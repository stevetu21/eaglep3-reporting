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Enforcements!$A$6:$AC$67</definedName>
    <definedName name="_xlnm._FilterDatabase" localSheetId="2" hidden="1">'Missing Trips'!$A$2:$J$89</definedName>
    <definedName name="_xlnm._FilterDatabase" localSheetId="0" hidden="1">'Train Runs'!$A$12:$AG$272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Runs'!$A$12:$J$64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29" i="1" l="1"/>
  <c r="L129" i="1"/>
  <c r="M129" i="1"/>
  <c r="P129" i="1" s="1"/>
  <c r="V129" i="1"/>
  <c r="Y129" i="1"/>
  <c r="Z129" i="1"/>
  <c r="AB129" i="1"/>
  <c r="AC129" i="1"/>
  <c r="AD129" i="1"/>
  <c r="AG129" i="1" s="1"/>
  <c r="AE129" i="1"/>
  <c r="AF129" i="1"/>
  <c r="AH129" i="1"/>
  <c r="AM129" i="1"/>
  <c r="AN129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200" i="1"/>
  <c r="L200" i="1"/>
  <c r="M200" i="1"/>
  <c r="V200" i="1"/>
  <c r="Y200" i="1"/>
  <c r="Z200" i="1"/>
  <c r="AB200" i="1"/>
  <c r="AC200" i="1"/>
  <c r="AD200" i="1"/>
  <c r="T200" i="1" s="1"/>
  <c r="AE200" i="1"/>
  <c r="AF200" i="1"/>
  <c r="AH200" i="1"/>
  <c r="AM200" i="1"/>
  <c r="AN200" i="1"/>
  <c r="K190" i="1"/>
  <c r="L190" i="1"/>
  <c r="M190" i="1"/>
  <c r="V190" i="1"/>
  <c r="Y190" i="1"/>
  <c r="Z190" i="1"/>
  <c r="AB190" i="1"/>
  <c r="AC190" i="1"/>
  <c r="AD190" i="1"/>
  <c r="AG190" i="1" s="1"/>
  <c r="AE190" i="1"/>
  <c r="AF190" i="1"/>
  <c r="AH190" i="1"/>
  <c r="AM190" i="1"/>
  <c r="AN190" i="1"/>
  <c r="K189" i="1"/>
  <c r="L189" i="1"/>
  <c r="M189" i="1"/>
  <c r="P189" i="1" s="1"/>
  <c r="V189" i="1"/>
  <c r="Y189" i="1"/>
  <c r="Z189" i="1"/>
  <c r="AA189" i="1" s="1"/>
  <c r="W189" i="1" s="1"/>
  <c r="AB189" i="1"/>
  <c r="AC189" i="1"/>
  <c r="AD189" i="1"/>
  <c r="AG189" i="1" s="1"/>
  <c r="AE189" i="1"/>
  <c r="AF189" i="1"/>
  <c r="AH189" i="1"/>
  <c r="AM189" i="1"/>
  <c r="AN189" i="1"/>
  <c r="K14" i="1"/>
  <c r="L14" i="1"/>
  <c r="M14" i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R24" i="3" s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S33" i="3" s="1"/>
  <c r="Y23" i="1"/>
  <c r="Z23" i="1"/>
  <c r="AA23" i="1" s="1"/>
  <c r="AB23" i="1"/>
  <c r="AC23" i="1"/>
  <c r="AD23" i="1"/>
  <c r="T23" i="1" s="1"/>
  <c r="AE23" i="1"/>
  <c r="R33" i="3" s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V26" i="1"/>
  <c r="S26" i="3" s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P27" i="1" s="1"/>
  <c r="V27" i="1"/>
  <c r="Y27" i="1"/>
  <c r="Z27" i="1"/>
  <c r="AA27" i="1" s="1"/>
  <c r="AB27" i="1"/>
  <c r="AC27" i="1"/>
  <c r="AD27" i="1"/>
  <c r="T27" i="1" s="1"/>
  <c r="AE27" i="1"/>
  <c r="R26" i="3" s="1"/>
  <c r="AF27" i="1"/>
  <c r="AH27" i="1"/>
  <c r="AM27" i="1"/>
  <c r="AN27" i="1"/>
  <c r="K28" i="1"/>
  <c r="L28" i="1"/>
  <c r="M28" i="1"/>
  <c r="N28" i="1" s="1"/>
  <c r="V28" i="1"/>
  <c r="S34" i="3" s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A31" i="1" s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S35" i="3" s="1"/>
  <c r="Y36" i="1"/>
  <c r="Z36" i="1"/>
  <c r="AB36" i="1"/>
  <c r="AC36" i="1"/>
  <c r="AD36" i="1"/>
  <c r="AG36" i="1" s="1"/>
  <c r="AE36" i="1"/>
  <c r="R35" i="3" s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R13" i="3" s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G43" i="1"/>
  <c r="AH43" i="1"/>
  <c r="AM43" i="1"/>
  <c r="AN43" i="1"/>
  <c r="K44" i="1"/>
  <c r="L44" i="1"/>
  <c r="M44" i="1"/>
  <c r="N44" i="1" s="1"/>
  <c r="V44" i="1"/>
  <c r="S14" i="3" s="1"/>
  <c r="Y44" i="1"/>
  <c r="Z44" i="1"/>
  <c r="AB44" i="1"/>
  <c r="AC44" i="1"/>
  <c r="AD44" i="1"/>
  <c r="AG44" i="1" s="1"/>
  <c r="AE44" i="1"/>
  <c r="R14" i="3" s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R30" i="3" s="1"/>
  <c r="AF47" i="1"/>
  <c r="AH47" i="1"/>
  <c r="AM47" i="1"/>
  <c r="AN47" i="1"/>
  <c r="K48" i="1"/>
  <c r="L48" i="1"/>
  <c r="M48" i="1"/>
  <c r="V48" i="1"/>
  <c r="S29" i="3" s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V49" i="1"/>
  <c r="Y49" i="1"/>
  <c r="Z49" i="1"/>
  <c r="AB49" i="1"/>
  <c r="AC49" i="1"/>
  <c r="AD49" i="1"/>
  <c r="AE49" i="1"/>
  <c r="R29" i="3" s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R27" i="3" s="1"/>
  <c r="AF58" i="1"/>
  <c r="AH58" i="1"/>
  <c r="AM58" i="1"/>
  <c r="AN58" i="1"/>
  <c r="K59" i="1"/>
  <c r="L59" i="1"/>
  <c r="M59" i="1"/>
  <c r="N59" i="1" s="1"/>
  <c r="V59" i="1"/>
  <c r="S11" i="3" s="1"/>
  <c r="Y59" i="1"/>
  <c r="Z59" i="1"/>
  <c r="AB59" i="1"/>
  <c r="AC59" i="1"/>
  <c r="AD59" i="1"/>
  <c r="T59" i="1" s="1"/>
  <c r="AE59" i="1"/>
  <c r="R10" i="3" s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AM63" i="1"/>
  <c r="AN63" i="1"/>
  <c r="K64" i="1"/>
  <c r="L64" i="1"/>
  <c r="M64" i="1"/>
  <c r="N64" i="1" s="1"/>
  <c r="V64" i="1"/>
  <c r="S42" i="3" s="1"/>
  <c r="Y64" i="1"/>
  <c r="Z64" i="1"/>
  <c r="AB64" i="1"/>
  <c r="AC64" i="1"/>
  <c r="AD64" i="1"/>
  <c r="AE64" i="1"/>
  <c r="R42" i="3" s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R36" i="3" s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R37" i="3" s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S38" i="3" s="1"/>
  <c r="Y77" i="1"/>
  <c r="Z77" i="1"/>
  <c r="AB77" i="1"/>
  <c r="AC77" i="1"/>
  <c r="AD77" i="1"/>
  <c r="T77" i="1" s="1"/>
  <c r="AE77" i="1"/>
  <c r="R38" i="3" s="1"/>
  <c r="AF77" i="1"/>
  <c r="AH77" i="1"/>
  <c r="AM77" i="1"/>
  <c r="AN77" i="1"/>
  <c r="K78" i="1"/>
  <c r="L78" i="1"/>
  <c r="M78" i="1"/>
  <c r="N78" i="1" s="1"/>
  <c r="V78" i="1"/>
  <c r="S20" i="3" s="1"/>
  <c r="Y78" i="1"/>
  <c r="Z78" i="1"/>
  <c r="AB78" i="1"/>
  <c r="AC78" i="1"/>
  <c r="AD78" i="1"/>
  <c r="AG78" i="1" s="1"/>
  <c r="AE78" i="1"/>
  <c r="R20" i="3" s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G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S39" i="3" s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E91" i="1"/>
  <c r="R40" i="3" s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S9" i="3" s="1"/>
  <c r="Y93" i="1"/>
  <c r="Z93" i="1"/>
  <c r="AB93" i="1"/>
  <c r="AC93" i="1"/>
  <c r="AD93" i="1"/>
  <c r="AG93" i="1" s="1"/>
  <c r="AE93" i="1"/>
  <c r="AF93" i="1"/>
  <c r="AH93" i="1"/>
  <c r="AM93" i="1"/>
  <c r="AN93" i="1"/>
  <c r="K94" i="1"/>
  <c r="L94" i="1"/>
  <c r="M94" i="1"/>
  <c r="N94" i="1" s="1"/>
  <c r="V94" i="1"/>
  <c r="S43" i="3" s="1"/>
  <c r="Y94" i="1"/>
  <c r="Z94" i="1"/>
  <c r="AB94" i="1"/>
  <c r="AC94" i="1"/>
  <c r="AD94" i="1"/>
  <c r="AE94" i="1"/>
  <c r="AF94" i="1"/>
  <c r="AH94" i="1"/>
  <c r="AM94" i="1"/>
  <c r="AN94" i="1"/>
  <c r="K95" i="1"/>
  <c r="L95" i="1"/>
  <c r="M95" i="1"/>
  <c r="N95" i="1" s="1"/>
  <c r="V95" i="1"/>
  <c r="S22" i="3" s="1"/>
  <c r="Y95" i="1"/>
  <c r="Z95" i="1"/>
  <c r="AB95" i="1"/>
  <c r="AC95" i="1"/>
  <c r="AD95" i="1"/>
  <c r="AE95" i="1"/>
  <c r="R22" i="3" s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96" i="1"/>
  <c r="AM96" i="1"/>
  <c r="AN96" i="1"/>
  <c r="K97" i="1"/>
  <c r="L97" i="1"/>
  <c r="M97" i="1"/>
  <c r="N97" i="1" s="1"/>
  <c r="T97" i="1"/>
  <c r="V97" i="1"/>
  <c r="Y97" i="1"/>
  <c r="Z97" i="1"/>
  <c r="AA97" i="1" s="1"/>
  <c r="AB97" i="1"/>
  <c r="AC97" i="1"/>
  <c r="AD97" i="1"/>
  <c r="AG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P99" i="1" s="1"/>
  <c r="V99" i="1"/>
  <c r="Y99" i="1"/>
  <c r="Z99" i="1"/>
  <c r="AA99" i="1" s="1"/>
  <c r="AB99" i="1"/>
  <c r="AC99" i="1"/>
  <c r="AD99" i="1"/>
  <c r="AE99" i="1"/>
  <c r="AF99" i="1"/>
  <c r="AH99" i="1"/>
  <c r="AM99" i="1"/>
  <c r="AN99" i="1"/>
  <c r="K100" i="1"/>
  <c r="L100" i="1"/>
  <c r="M100" i="1"/>
  <c r="V100" i="1"/>
  <c r="Y100" i="1"/>
  <c r="Z100" i="1"/>
  <c r="AB100" i="1"/>
  <c r="AC100" i="1"/>
  <c r="AD100" i="1"/>
  <c r="AG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P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V113" i="1"/>
  <c r="Y113" i="1"/>
  <c r="Z113" i="1"/>
  <c r="AB113" i="1"/>
  <c r="AC113" i="1"/>
  <c r="AD113" i="1"/>
  <c r="AG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S16" i="3" s="1"/>
  <c r="Y115" i="1"/>
  <c r="Z115" i="1"/>
  <c r="AB115" i="1"/>
  <c r="AC115" i="1"/>
  <c r="AD115" i="1"/>
  <c r="AE115" i="1"/>
  <c r="R16" i="3" s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S23" i="3" s="1"/>
  <c r="Y117" i="1"/>
  <c r="Z117" i="1"/>
  <c r="AB117" i="1"/>
  <c r="AC117" i="1"/>
  <c r="AD117" i="1"/>
  <c r="AE117" i="1"/>
  <c r="R23" i="3" s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R19" i="3" s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AH124" i="1"/>
  <c r="AM124" i="1"/>
  <c r="AN124" i="1"/>
  <c r="K125" i="1"/>
  <c r="L125" i="1"/>
  <c r="M125" i="1"/>
  <c r="N125" i="1" s="1"/>
  <c r="V125" i="1"/>
  <c r="S41" i="3" s="1"/>
  <c r="Y125" i="1"/>
  <c r="Z125" i="1"/>
  <c r="AB125" i="1"/>
  <c r="AC125" i="1"/>
  <c r="AD125" i="1"/>
  <c r="AG125" i="1" s="1"/>
  <c r="AE125" i="1"/>
  <c r="R41" i="3" s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S25" i="3" s="1"/>
  <c r="Y133" i="1"/>
  <c r="Z133" i="1"/>
  <c r="AB133" i="1"/>
  <c r="AC133" i="1"/>
  <c r="AD133" i="1"/>
  <c r="AG133" i="1" s="1"/>
  <c r="AE133" i="1"/>
  <c r="R25" i="3" s="1"/>
  <c r="AF133" i="1"/>
  <c r="AH133" i="1"/>
  <c r="AM133" i="1"/>
  <c r="AN133" i="1"/>
  <c r="K134" i="1"/>
  <c r="L134" i="1"/>
  <c r="M134" i="1"/>
  <c r="N134" i="1" s="1"/>
  <c r="V134" i="1"/>
  <c r="S7" i="3" s="1"/>
  <c r="Y134" i="1"/>
  <c r="Z134" i="1"/>
  <c r="AB134" i="1"/>
  <c r="AC134" i="1"/>
  <c r="AD134" i="1"/>
  <c r="AG134" i="1" s="1"/>
  <c r="AE134" i="1"/>
  <c r="R7" i="3" s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AM137" i="1"/>
  <c r="AN137" i="1"/>
  <c r="K138" i="1"/>
  <c r="L138" i="1"/>
  <c r="M138" i="1"/>
  <c r="N138" i="1" s="1"/>
  <c r="V138" i="1"/>
  <c r="S31" i="3" s="1"/>
  <c r="Y138" i="1"/>
  <c r="Z138" i="1"/>
  <c r="AB138" i="1"/>
  <c r="AC138" i="1"/>
  <c r="AD138" i="1"/>
  <c r="T138" i="1" s="1"/>
  <c r="AE138" i="1"/>
  <c r="R31" i="3" s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AM141" i="1"/>
  <c r="AN141" i="1"/>
  <c r="K142" i="1"/>
  <c r="L142" i="1"/>
  <c r="M142" i="1"/>
  <c r="N142" i="1" s="1"/>
  <c r="V142" i="1"/>
  <c r="S8" i="3" s="1"/>
  <c r="Y142" i="1"/>
  <c r="Z142" i="1"/>
  <c r="AB142" i="1"/>
  <c r="AC142" i="1"/>
  <c r="AD142" i="1"/>
  <c r="T142" i="1" s="1"/>
  <c r="AE142" i="1"/>
  <c r="R8" i="3" s="1"/>
  <c r="AF142" i="1"/>
  <c r="AH142" i="1"/>
  <c r="AM142" i="1"/>
  <c r="AN142" i="1"/>
  <c r="K143" i="1"/>
  <c r="L143" i="1"/>
  <c r="M143" i="1"/>
  <c r="N143" i="1" s="1"/>
  <c r="V143" i="1"/>
  <c r="Y143" i="1"/>
  <c r="Z143" i="1"/>
  <c r="AI143" i="1" s="1"/>
  <c r="AB143" i="1"/>
  <c r="AC143" i="1"/>
  <c r="AD143" i="1"/>
  <c r="AG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S15" i="3" s="1"/>
  <c r="Y145" i="1"/>
  <c r="Z145" i="1"/>
  <c r="AB145" i="1"/>
  <c r="AC145" i="1"/>
  <c r="AD145" i="1"/>
  <c r="AG145" i="1" s="1"/>
  <c r="AE145" i="1"/>
  <c r="R15" i="3" s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V157" i="1"/>
  <c r="Y157" i="1"/>
  <c r="Z157" i="1"/>
  <c r="AB157" i="1"/>
  <c r="AC157" i="1"/>
  <c r="AD157" i="1"/>
  <c r="AE157" i="1"/>
  <c r="AF157" i="1"/>
  <c r="AH157" i="1"/>
  <c r="AM157" i="1"/>
  <c r="AN157" i="1"/>
  <c r="K158" i="1"/>
  <c r="L158" i="1"/>
  <c r="M158" i="1"/>
  <c r="V158" i="1"/>
  <c r="Y158" i="1"/>
  <c r="Z158" i="1"/>
  <c r="AB158" i="1"/>
  <c r="AC158" i="1"/>
  <c r="AD158" i="1"/>
  <c r="AG158" i="1" s="1"/>
  <c r="AE158" i="1"/>
  <c r="AF158" i="1"/>
  <c r="AH158" i="1"/>
  <c r="AM158" i="1"/>
  <c r="AN15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59" i="1"/>
  <c r="AM159" i="1"/>
  <c r="AN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60" i="1"/>
  <c r="AM160" i="1"/>
  <c r="AN160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61" i="1"/>
  <c r="AM161" i="1"/>
  <c r="AN161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62" i="1"/>
  <c r="AM162" i="1"/>
  <c r="AN162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3" i="1"/>
  <c r="AM163" i="1"/>
  <c r="AN163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4" i="1"/>
  <c r="AM164" i="1"/>
  <c r="AN164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5" i="1"/>
  <c r="AM165" i="1"/>
  <c r="AN165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6" i="1"/>
  <c r="AM166" i="1"/>
  <c r="AN166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7" i="1"/>
  <c r="AM167" i="1"/>
  <c r="AN167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168" i="1"/>
  <c r="AM168" i="1"/>
  <c r="AN168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69" i="1"/>
  <c r="AM169" i="1"/>
  <c r="AN169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0" i="1"/>
  <c r="AM170" i="1"/>
  <c r="AN170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171" i="1"/>
  <c r="AM171" i="1"/>
  <c r="AN171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AH172" i="1"/>
  <c r="AM172" i="1"/>
  <c r="AN172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173" i="1"/>
  <c r="AM173" i="1"/>
  <c r="AN173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174" i="1"/>
  <c r="AM174" i="1"/>
  <c r="AN174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175" i="1"/>
  <c r="AM175" i="1"/>
  <c r="AN175" i="1"/>
  <c r="K231" i="1"/>
  <c r="L231" i="1"/>
  <c r="M231" i="1"/>
  <c r="N231" i="1" s="1"/>
  <c r="V231" i="1"/>
  <c r="Y231" i="1"/>
  <c r="Z231" i="1"/>
  <c r="AB231" i="1"/>
  <c r="AC231" i="1"/>
  <c r="AD231" i="1"/>
  <c r="AG231" i="1" s="1"/>
  <c r="AE231" i="1"/>
  <c r="AF231" i="1"/>
  <c r="AH176" i="1"/>
  <c r="AM176" i="1"/>
  <c r="AN176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7" i="1"/>
  <c r="AM177" i="1"/>
  <c r="AN177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78" i="1"/>
  <c r="AM178" i="1"/>
  <c r="AN178" i="1"/>
  <c r="K234" i="1"/>
  <c r="L234" i="1"/>
  <c r="M234" i="1"/>
  <c r="N234" i="1" s="1"/>
  <c r="V234" i="1"/>
  <c r="S58" i="3" s="1"/>
  <c r="Y234" i="1"/>
  <c r="Z234" i="1"/>
  <c r="AA234" i="1" s="1"/>
  <c r="AB234" i="1"/>
  <c r="AC234" i="1"/>
  <c r="AD234" i="1"/>
  <c r="AE234" i="1"/>
  <c r="AF234" i="1"/>
  <c r="AH179" i="1"/>
  <c r="AM179" i="1"/>
  <c r="AN179" i="1"/>
  <c r="K235" i="1"/>
  <c r="L235" i="1"/>
  <c r="M235" i="1"/>
  <c r="N235" i="1"/>
  <c r="V235" i="1"/>
  <c r="Y235" i="1"/>
  <c r="Z235" i="1"/>
  <c r="AB235" i="1"/>
  <c r="AC235" i="1"/>
  <c r="AD235" i="1"/>
  <c r="AG235" i="1" s="1"/>
  <c r="AE235" i="1"/>
  <c r="AF235" i="1"/>
  <c r="AH180" i="1"/>
  <c r="AM180" i="1"/>
  <c r="AN180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181" i="1"/>
  <c r="AM181" i="1"/>
  <c r="AN181" i="1"/>
  <c r="K237" i="1"/>
  <c r="L237" i="1"/>
  <c r="M237" i="1"/>
  <c r="N237" i="1" s="1"/>
  <c r="V237" i="1"/>
  <c r="S59" i="3" s="1"/>
  <c r="Y237" i="1"/>
  <c r="Z237" i="1"/>
  <c r="AB237" i="1"/>
  <c r="AC237" i="1"/>
  <c r="AD237" i="1"/>
  <c r="AE237" i="1"/>
  <c r="AF237" i="1"/>
  <c r="AH182" i="1"/>
  <c r="AM182" i="1"/>
  <c r="AN182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83" i="1"/>
  <c r="AM183" i="1"/>
  <c r="AN183" i="1"/>
  <c r="K239" i="1"/>
  <c r="L239" i="1"/>
  <c r="M239" i="1"/>
  <c r="N239" i="1" s="1"/>
  <c r="V239" i="1"/>
  <c r="Y239" i="1"/>
  <c r="Z239" i="1"/>
  <c r="AB239" i="1"/>
  <c r="AC239" i="1"/>
  <c r="AD239" i="1"/>
  <c r="AG239" i="1" s="1"/>
  <c r="AE239" i="1"/>
  <c r="AF239" i="1"/>
  <c r="AH184" i="1"/>
  <c r="AM184" i="1"/>
  <c r="AN184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85" i="1"/>
  <c r="AM185" i="1"/>
  <c r="AN185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86" i="1"/>
  <c r="AM186" i="1"/>
  <c r="AN186" i="1"/>
  <c r="K165" i="1"/>
  <c r="L165" i="1"/>
  <c r="M165" i="1"/>
  <c r="N165" i="1" s="1"/>
  <c r="V165" i="1"/>
  <c r="S47" i="3" s="1"/>
  <c r="Y165" i="1"/>
  <c r="Z165" i="1"/>
  <c r="AB165" i="1"/>
  <c r="AC165" i="1"/>
  <c r="AD165" i="1"/>
  <c r="AE165" i="1"/>
  <c r="R47" i="3" s="1"/>
  <c r="AF165" i="1"/>
  <c r="AH187" i="1"/>
  <c r="AM187" i="1"/>
  <c r="AN187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188" i="1"/>
  <c r="AM188" i="1"/>
  <c r="AN188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91" i="1"/>
  <c r="AM191" i="1"/>
  <c r="AN191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92" i="1"/>
  <c r="AM192" i="1"/>
  <c r="AN192" i="1"/>
  <c r="K170" i="1"/>
  <c r="L170" i="1"/>
  <c r="M170" i="1"/>
  <c r="P170" i="1" s="1"/>
  <c r="V170" i="1"/>
  <c r="S50" i="3" s="1"/>
  <c r="Y170" i="1"/>
  <c r="Z170" i="1"/>
  <c r="AA170" i="1" s="1"/>
  <c r="AB170" i="1"/>
  <c r="AC170" i="1"/>
  <c r="AD170" i="1"/>
  <c r="AG170" i="1" s="1"/>
  <c r="AE170" i="1"/>
  <c r="R50" i="3" s="1"/>
  <c r="AF170" i="1"/>
  <c r="AH193" i="1"/>
  <c r="AM193" i="1"/>
  <c r="AN193" i="1"/>
  <c r="K171" i="1"/>
  <c r="L171" i="1"/>
  <c r="M171" i="1"/>
  <c r="N171" i="1" s="1"/>
  <c r="V171" i="1"/>
  <c r="S46" i="3" s="1"/>
  <c r="Y171" i="1"/>
  <c r="Z171" i="1"/>
  <c r="AB171" i="1"/>
  <c r="AC171" i="1"/>
  <c r="AD171" i="1"/>
  <c r="AE171" i="1"/>
  <c r="R52" i="3" s="1"/>
  <c r="AF171" i="1"/>
  <c r="AH194" i="1"/>
  <c r="AM194" i="1"/>
  <c r="AN194" i="1"/>
  <c r="K172" i="1"/>
  <c r="L172" i="1"/>
  <c r="M172" i="1"/>
  <c r="N172" i="1" s="1"/>
  <c r="V172" i="1"/>
  <c r="Y172" i="1"/>
  <c r="Z172" i="1"/>
  <c r="AA172" i="1" s="1"/>
  <c r="AB172" i="1"/>
  <c r="AC172" i="1"/>
  <c r="AD172" i="1"/>
  <c r="T172" i="1" s="1"/>
  <c r="AE172" i="1"/>
  <c r="AF172" i="1"/>
  <c r="AH195" i="1"/>
  <c r="AM195" i="1"/>
  <c r="AN195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96" i="1"/>
  <c r="AM196" i="1"/>
  <c r="AN196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197" i="1"/>
  <c r="AM197" i="1"/>
  <c r="AN197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98" i="1"/>
  <c r="AM198" i="1"/>
  <c r="AN198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99" i="1"/>
  <c r="AM199" i="1"/>
  <c r="AN199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01" i="1"/>
  <c r="AM201" i="1"/>
  <c r="AN201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02" i="1"/>
  <c r="AM202" i="1"/>
  <c r="AN202" i="1"/>
  <c r="K179" i="1"/>
  <c r="L179" i="1"/>
  <c r="M179" i="1"/>
  <c r="N179" i="1" s="1"/>
  <c r="V179" i="1"/>
  <c r="S44" i="3" s="1"/>
  <c r="Y179" i="1"/>
  <c r="Z179" i="1"/>
  <c r="AB179" i="1"/>
  <c r="AC179" i="1"/>
  <c r="AD179" i="1"/>
  <c r="AE179" i="1"/>
  <c r="R44" i="3" s="1"/>
  <c r="AF179" i="1"/>
  <c r="AH203" i="1"/>
  <c r="AM203" i="1"/>
  <c r="AN203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04" i="1"/>
  <c r="AM204" i="1"/>
  <c r="AN204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05" i="1"/>
  <c r="AM205" i="1"/>
  <c r="AN205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206" i="1"/>
  <c r="AM206" i="1"/>
  <c r="AN206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07" i="1"/>
  <c r="AM207" i="1"/>
  <c r="AN207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8" i="1"/>
  <c r="AM208" i="1"/>
  <c r="AN208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09" i="1"/>
  <c r="AM209" i="1"/>
  <c r="AN209" i="1"/>
  <c r="K186" i="1"/>
  <c r="L186" i="1"/>
  <c r="M186" i="1"/>
  <c r="N186" i="1" s="1"/>
  <c r="V186" i="1"/>
  <c r="S54" i="3" s="1"/>
  <c r="Y186" i="1"/>
  <c r="Z186" i="1"/>
  <c r="AB186" i="1"/>
  <c r="AC186" i="1"/>
  <c r="AD186" i="1"/>
  <c r="T186" i="1" s="1"/>
  <c r="AE186" i="1"/>
  <c r="R54" i="3" s="1"/>
  <c r="AF186" i="1"/>
  <c r="AH210" i="1"/>
  <c r="AM210" i="1"/>
  <c r="AN210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11" i="1"/>
  <c r="AM211" i="1"/>
  <c r="AN211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12" i="1"/>
  <c r="AM212" i="1"/>
  <c r="AN212" i="1"/>
  <c r="AH213" i="1"/>
  <c r="AM213" i="1"/>
  <c r="AN213" i="1"/>
  <c r="K191" i="1"/>
  <c r="L191" i="1"/>
  <c r="M191" i="1"/>
  <c r="P191" i="1" s="1"/>
  <c r="V191" i="1"/>
  <c r="S55" i="3" s="1"/>
  <c r="Y191" i="1"/>
  <c r="Z191" i="1"/>
  <c r="AB191" i="1"/>
  <c r="AC191" i="1"/>
  <c r="AD191" i="1"/>
  <c r="T191" i="1" s="1"/>
  <c r="AE191" i="1"/>
  <c r="R55" i="3" s="1"/>
  <c r="AF191" i="1"/>
  <c r="AH214" i="1"/>
  <c r="AM214" i="1"/>
  <c r="AN214" i="1"/>
  <c r="K192" i="1"/>
  <c r="L192" i="1"/>
  <c r="M192" i="1"/>
  <c r="P192" i="1" s="1"/>
  <c r="V192" i="1"/>
  <c r="Y192" i="1"/>
  <c r="Z192" i="1"/>
  <c r="AB192" i="1"/>
  <c r="AC192" i="1"/>
  <c r="AD192" i="1"/>
  <c r="AG192" i="1" s="1"/>
  <c r="AE192" i="1"/>
  <c r="AF192" i="1"/>
  <c r="AH215" i="1"/>
  <c r="AM215" i="1"/>
  <c r="AN215" i="1"/>
  <c r="K193" i="1"/>
  <c r="L193" i="1"/>
  <c r="M193" i="1"/>
  <c r="V193" i="1"/>
  <c r="Y193" i="1"/>
  <c r="Z193" i="1"/>
  <c r="AB193" i="1"/>
  <c r="AC193" i="1"/>
  <c r="AD193" i="1"/>
  <c r="AE193" i="1"/>
  <c r="AF193" i="1"/>
  <c r="AH216" i="1"/>
  <c r="AM216" i="1"/>
  <c r="AN216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17" i="1"/>
  <c r="AM217" i="1"/>
  <c r="AN217" i="1"/>
  <c r="K195" i="1"/>
  <c r="L195" i="1"/>
  <c r="M195" i="1"/>
  <c r="P195" i="1" s="1"/>
  <c r="V195" i="1"/>
  <c r="S49" i="3" s="1"/>
  <c r="Y195" i="1"/>
  <c r="Z195" i="1"/>
  <c r="AB195" i="1"/>
  <c r="AC195" i="1"/>
  <c r="AD195" i="1"/>
  <c r="T195" i="1" s="1"/>
  <c r="AE195" i="1"/>
  <c r="R49" i="3" s="1"/>
  <c r="AF195" i="1"/>
  <c r="AH218" i="1"/>
  <c r="AM218" i="1"/>
  <c r="AN218" i="1"/>
  <c r="K196" i="1"/>
  <c r="L196" i="1"/>
  <c r="M196" i="1"/>
  <c r="P196" i="1" s="1"/>
  <c r="V196" i="1"/>
  <c r="S48" i="3" s="1"/>
  <c r="Y196" i="1"/>
  <c r="Z196" i="1"/>
  <c r="AB196" i="1"/>
  <c r="AC196" i="1"/>
  <c r="AD196" i="1"/>
  <c r="AG196" i="1" s="1"/>
  <c r="AE196" i="1"/>
  <c r="R48" i="3" s="1"/>
  <c r="AF196" i="1"/>
  <c r="AH219" i="1"/>
  <c r="AM219" i="1"/>
  <c r="AN219" i="1"/>
  <c r="K197" i="1"/>
  <c r="L197" i="1"/>
  <c r="M197" i="1"/>
  <c r="P197" i="1" s="1"/>
  <c r="V197" i="1"/>
  <c r="Y197" i="1"/>
  <c r="Z197" i="1"/>
  <c r="AB197" i="1"/>
  <c r="AC197" i="1"/>
  <c r="AD197" i="1"/>
  <c r="T197" i="1" s="1"/>
  <c r="AE197" i="1"/>
  <c r="AF197" i="1"/>
  <c r="AH220" i="1"/>
  <c r="AM220" i="1"/>
  <c r="AN220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21" i="1"/>
  <c r="AM221" i="1"/>
  <c r="AN221" i="1"/>
  <c r="K199" i="1"/>
  <c r="L199" i="1"/>
  <c r="M199" i="1"/>
  <c r="P199" i="1" s="1"/>
  <c r="V199" i="1"/>
  <c r="S51" i="3" s="1"/>
  <c r="Y199" i="1"/>
  <c r="Z199" i="1"/>
  <c r="AB199" i="1"/>
  <c r="AC199" i="1"/>
  <c r="AD199" i="1"/>
  <c r="AG199" i="1" s="1"/>
  <c r="AE199" i="1"/>
  <c r="R51" i="3" s="1"/>
  <c r="AF199" i="1"/>
  <c r="AH222" i="1"/>
  <c r="AM222" i="1"/>
  <c r="AN222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23" i="1"/>
  <c r="AM223" i="1"/>
  <c r="AN223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24" i="1"/>
  <c r="AM224" i="1"/>
  <c r="AN224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25" i="1"/>
  <c r="AM225" i="1"/>
  <c r="AN22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26" i="1"/>
  <c r="AM226" i="1"/>
  <c r="AN226" i="1"/>
  <c r="K205" i="1"/>
  <c r="L205" i="1"/>
  <c r="M205" i="1"/>
  <c r="N205" i="1" s="1"/>
  <c r="V205" i="1"/>
  <c r="S53" i="3" s="1"/>
  <c r="Y205" i="1"/>
  <c r="Z205" i="1"/>
  <c r="AB205" i="1"/>
  <c r="AC205" i="1"/>
  <c r="AD205" i="1"/>
  <c r="T205" i="1" s="1"/>
  <c r="AE205" i="1"/>
  <c r="R53" i="3" s="1"/>
  <c r="AF205" i="1"/>
  <c r="AH227" i="1"/>
  <c r="AM227" i="1"/>
  <c r="AN227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G206" i="1"/>
  <c r="AH228" i="1"/>
  <c r="AM228" i="1"/>
  <c r="AN228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229" i="1"/>
  <c r="AM229" i="1"/>
  <c r="AN229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30" i="1"/>
  <c r="AM230" i="1"/>
  <c r="AN230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31" i="1"/>
  <c r="AM231" i="1"/>
  <c r="AN231" i="1"/>
  <c r="K210" i="1"/>
  <c r="L210" i="1"/>
  <c r="M210" i="1"/>
  <c r="N210" i="1" s="1"/>
  <c r="V210" i="1"/>
  <c r="S45" i="3" s="1"/>
  <c r="Y210" i="1"/>
  <c r="Z210" i="1"/>
  <c r="AB210" i="1"/>
  <c r="AC210" i="1"/>
  <c r="AD210" i="1"/>
  <c r="AG210" i="1" s="1"/>
  <c r="AE210" i="1"/>
  <c r="AF210" i="1"/>
  <c r="AH232" i="1"/>
  <c r="AM232" i="1"/>
  <c r="AN232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233" i="1"/>
  <c r="AM233" i="1"/>
  <c r="AN233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234" i="1"/>
  <c r="AM234" i="1"/>
  <c r="AN234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235" i="1"/>
  <c r="AM235" i="1"/>
  <c r="AN235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236" i="1"/>
  <c r="AM236" i="1"/>
  <c r="AN236" i="1"/>
  <c r="K228" i="1"/>
  <c r="L228" i="1"/>
  <c r="M228" i="1"/>
  <c r="N228" i="1" s="1"/>
  <c r="V228" i="1"/>
  <c r="S57" i="3" s="1"/>
  <c r="Y228" i="1"/>
  <c r="Z228" i="1"/>
  <c r="AB228" i="1"/>
  <c r="AC228" i="1"/>
  <c r="AD228" i="1"/>
  <c r="T228" i="1" s="1"/>
  <c r="AE228" i="1"/>
  <c r="AF228" i="1"/>
  <c r="AH237" i="1"/>
  <c r="AM237" i="1"/>
  <c r="AN237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238" i="1"/>
  <c r="AM238" i="1"/>
  <c r="AN238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239" i="1"/>
  <c r="AM239" i="1"/>
  <c r="AN239" i="1"/>
  <c r="M28" i="3"/>
  <c r="R28" i="3"/>
  <c r="U28" i="3"/>
  <c r="T28" i="3" s="1"/>
  <c r="V28" i="3"/>
  <c r="W28" i="3"/>
  <c r="X28" i="3"/>
  <c r="M32" i="3"/>
  <c r="R32" i="3"/>
  <c r="U32" i="3"/>
  <c r="T32" i="3" s="1"/>
  <c r="V32" i="3"/>
  <c r="W32" i="3"/>
  <c r="X32" i="3"/>
  <c r="M24" i="3"/>
  <c r="S24" i="3"/>
  <c r="U24" i="3"/>
  <c r="AC24" i="3" s="1"/>
  <c r="V24" i="3"/>
  <c r="W24" i="3"/>
  <c r="X24" i="3"/>
  <c r="M26" i="3"/>
  <c r="U26" i="3"/>
  <c r="AC26" i="3" s="1"/>
  <c r="V26" i="3"/>
  <c r="W26" i="3"/>
  <c r="X26" i="3"/>
  <c r="M33" i="3"/>
  <c r="U33" i="3"/>
  <c r="AC33" i="3" s="1"/>
  <c r="V33" i="3"/>
  <c r="W33" i="3"/>
  <c r="X33" i="3"/>
  <c r="M47" i="3"/>
  <c r="U47" i="3"/>
  <c r="AC47" i="3" s="1"/>
  <c r="V47" i="3"/>
  <c r="W47" i="3"/>
  <c r="X47" i="3"/>
  <c r="M12" i="3"/>
  <c r="S12" i="3"/>
  <c r="U12" i="3"/>
  <c r="AC12" i="3" s="1"/>
  <c r="V12" i="3"/>
  <c r="W12" i="3"/>
  <c r="X12" i="3"/>
  <c r="M13" i="3"/>
  <c r="S13" i="3"/>
  <c r="U13" i="3"/>
  <c r="AC13" i="3" s="1"/>
  <c r="V13" i="3"/>
  <c r="W13" i="3"/>
  <c r="X13" i="3"/>
  <c r="M34" i="3"/>
  <c r="R34" i="3"/>
  <c r="U34" i="3"/>
  <c r="AC34" i="3" s="1"/>
  <c r="V34" i="3"/>
  <c r="W34" i="3"/>
  <c r="X34" i="3"/>
  <c r="M50" i="3"/>
  <c r="U50" i="3"/>
  <c r="T50" i="3" s="1"/>
  <c r="V50" i="3"/>
  <c r="W50" i="3"/>
  <c r="X50" i="3"/>
  <c r="M46" i="3"/>
  <c r="U46" i="3"/>
  <c r="AC46" i="3" s="1"/>
  <c r="V46" i="3"/>
  <c r="W46" i="3"/>
  <c r="X46" i="3"/>
  <c r="M35" i="3"/>
  <c r="U35" i="3"/>
  <c r="AC35" i="3" s="1"/>
  <c r="V35" i="3"/>
  <c r="W35" i="3"/>
  <c r="X35" i="3"/>
  <c r="M52" i="3"/>
  <c r="U52" i="3"/>
  <c r="AD52" i="3" s="1"/>
  <c r="V52" i="3"/>
  <c r="W52" i="3"/>
  <c r="X52" i="3"/>
  <c r="M30" i="3"/>
  <c r="S30" i="3"/>
  <c r="U30" i="3"/>
  <c r="AC30" i="3" s="1"/>
  <c r="V30" i="3"/>
  <c r="W30" i="3"/>
  <c r="X30" i="3"/>
  <c r="M14" i="3"/>
  <c r="U14" i="3"/>
  <c r="AC14" i="3" s="1"/>
  <c r="V14" i="3"/>
  <c r="W14" i="3"/>
  <c r="X14" i="3"/>
  <c r="M21" i="3"/>
  <c r="R21" i="3"/>
  <c r="S21" i="3"/>
  <c r="U21" i="3"/>
  <c r="AC21" i="3" s="1"/>
  <c r="V21" i="3"/>
  <c r="W21" i="3"/>
  <c r="X21" i="3"/>
  <c r="M27" i="3"/>
  <c r="S27" i="3"/>
  <c r="U27" i="3"/>
  <c r="T27" i="3" s="1"/>
  <c r="V27" i="3"/>
  <c r="W27" i="3"/>
  <c r="X27" i="3"/>
  <c r="M29" i="3"/>
  <c r="U29" i="3"/>
  <c r="AC29" i="3" s="1"/>
  <c r="V29" i="3"/>
  <c r="W29" i="3"/>
  <c r="X29" i="3"/>
  <c r="M42" i="3"/>
  <c r="U42" i="3"/>
  <c r="AC42" i="3" s="1"/>
  <c r="V42" i="3"/>
  <c r="W42" i="3"/>
  <c r="X42" i="3"/>
  <c r="M11" i="3"/>
  <c r="R11" i="3"/>
  <c r="U11" i="3"/>
  <c r="AC11" i="3" s="1"/>
  <c r="V11" i="3"/>
  <c r="W11" i="3"/>
  <c r="X11" i="3"/>
  <c r="M10" i="3"/>
  <c r="S10" i="3"/>
  <c r="U10" i="3"/>
  <c r="AC10" i="3" s="1"/>
  <c r="V10" i="3"/>
  <c r="W10" i="3"/>
  <c r="X10" i="3"/>
  <c r="M58" i="3"/>
  <c r="R58" i="3"/>
  <c r="U58" i="3"/>
  <c r="AC58" i="3" s="1"/>
  <c r="V58" i="3"/>
  <c r="W58" i="3"/>
  <c r="X58" i="3"/>
  <c r="M44" i="3"/>
  <c r="U44" i="3"/>
  <c r="AC44" i="3" s="1"/>
  <c r="V44" i="3"/>
  <c r="W44" i="3"/>
  <c r="X44" i="3"/>
  <c r="M36" i="3"/>
  <c r="S36" i="3"/>
  <c r="U36" i="3"/>
  <c r="AC36" i="3" s="1"/>
  <c r="V36" i="3"/>
  <c r="W36" i="3"/>
  <c r="X36" i="3"/>
  <c r="M20" i="3"/>
  <c r="U20" i="3"/>
  <c r="T20" i="3" s="1"/>
  <c r="V20" i="3"/>
  <c r="W20" i="3"/>
  <c r="X20" i="3"/>
  <c r="M37" i="3"/>
  <c r="S37" i="3"/>
  <c r="U37" i="3"/>
  <c r="V37" i="3"/>
  <c r="W37" i="3"/>
  <c r="X37" i="3"/>
  <c r="M38" i="3"/>
  <c r="U38" i="3"/>
  <c r="AC38" i="3" s="1"/>
  <c r="V38" i="3"/>
  <c r="W38" i="3"/>
  <c r="X38" i="3"/>
  <c r="M43" i="3"/>
  <c r="R43" i="3"/>
  <c r="U43" i="3"/>
  <c r="AC43" i="3" s="1"/>
  <c r="V43" i="3"/>
  <c r="W43" i="3"/>
  <c r="X43" i="3"/>
  <c r="M39" i="3"/>
  <c r="R39" i="3"/>
  <c r="U39" i="3"/>
  <c r="T39" i="3" s="1"/>
  <c r="V39" i="3"/>
  <c r="W39" i="3"/>
  <c r="X39" i="3"/>
  <c r="M40" i="3"/>
  <c r="S40" i="3"/>
  <c r="U40" i="3"/>
  <c r="V40" i="3"/>
  <c r="W40" i="3"/>
  <c r="X40" i="3"/>
  <c r="M54" i="3"/>
  <c r="U54" i="3"/>
  <c r="AC54" i="3" s="1"/>
  <c r="V54" i="3"/>
  <c r="W54" i="3"/>
  <c r="X54" i="3"/>
  <c r="M9" i="3"/>
  <c r="R9" i="3"/>
  <c r="U9" i="3"/>
  <c r="AC9" i="3" s="1"/>
  <c r="V9" i="3"/>
  <c r="W9" i="3"/>
  <c r="X9" i="3"/>
  <c r="M22" i="3"/>
  <c r="U22" i="3"/>
  <c r="AC22" i="3" s="1"/>
  <c r="V22" i="3"/>
  <c r="W22" i="3"/>
  <c r="X22" i="3"/>
  <c r="M56" i="3"/>
  <c r="R56" i="3"/>
  <c r="U56" i="3"/>
  <c r="AC56" i="3" s="1"/>
  <c r="V56" i="3"/>
  <c r="W56" i="3"/>
  <c r="X56" i="3"/>
  <c r="M57" i="3"/>
  <c r="R57" i="3"/>
  <c r="U57" i="3"/>
  <c r="AC57" i="3" s="1"/>
  <c r="V57" i="3"/>
  <c r="W57" i="3"/>
  <c r="X57" i="3"/>
  <c r="M55" i="3"/>
  <c r="U55" i="3"/>
  <c r="AC55" i="3" s="1"/>
  <c r="V55" i="3"/>
  <c r="W55" i="3"/>
  <c r="X55" i="3"/>
  <c r="M19" i="3"/>
  <c r="S19" i="3"/>
  <c r="U19" i="3"/>
  <c r="T19" i="3" s="1"/>
  <c r="V19" i="3"/>
  <c r="W19" i="3"/>
  <c r="X19" i="3"/>
  <c r="M49" i="3"/>
  <c r="U49" i="3"/>
  <c r="V49" i="3"/>
  <c r="W49" i="3"/>
  <c r="X49" i="3"/>
  <c r="M16" i="3"/>
  <c r="U16" i="3"/>
  <c r="AC16" i="3" s="1"/>
  <c r="V16" i="3"/>
  <c r="W16" i="3"/>
  <c r="X16" i="3"/>
  <c r="M48" i="3"/>
  <c r="U48" i="3"/>
  <c r="V48" i="3"/>
  <c r="W48" i="3"/>
  <c r="X48" i="3"/>
  <c r="AD48" i="3"/>
  <c r="M23" i="3"/>
  <c r="U23" i="3"/>
  <c r="T23" i="3" s="1"/>
  <c r="V23" i="3"/>
  <c r="W23" i="3"/>
  <c r="X23" i="3"/>
  <c r="M51" i="3"/>
  <c r="U51" i="3"/>
  <c r="AD51" i="3" s="1"/>
  <c r="V51" i="3"/>
  <c r="W51" i="3"/>
  <c r="X51" i="3"/>
  <c r="M7" i="3"/>
  <c r="U7" i="3"/>
  <c r="AC7" i="3" s="1"/>
  <c r="V7" i="3"/>
  <c r="W7" i="3"/>
  <c r="X7" i="3"/>
  <c r="M59" i="3"/>
  <c r="R59" i="3"/>
  <c r="U59" i="3"/>
  <c r="AC59" i="3" s="1"/>
  <c r="V59" i="3"/>
  <c r="W59" i="3"/>
  <c r="X59" i="3"/>
  <c r="M41" i="3"/>
  <c r="U41" i="3"/>
  <c r="T41" i="3" s="1"/>
  <c r="V41" i="3"/>
  <c r="W41" i="3"/>
  <c r="X41" i="3"/>
  <c r="M25" i="3"/>
  <c r="U25" i="3"/>
  <c r="AC25" i="3" s="1"/>
  <c r="V25" i="3"/>
  <c r="W25" i="3"/>
  <c r="X25" i="3"/>
  <c r="M17" i="3"/>
  <c r="S17" i="3"/>
  <c r="U17" i="3"/>
  <c r="AC17" i="3" s="1"/>
  <c r="V17" i="3"/>
  <c r="W17" i="3"/>
  <c r="X17" i="3"/>
  <c r="M31" i="3"/>
  <c r="U31" i="3"/>
  <c r="AC31" i="3" s="1"/>
  <c r="V31" i="3"/>
  <c r="W31" i="3"/>
  <c r="X31" i="3"/>
  <c r="M53" i="3"/>
  <c r="U53" i="3"/>
  <c r="V53" i="3"/>
  <c r="W53" i="3"/>
  <c r="X53" i="3"/>
  <c r="M8" i="3"/>
  <c r="U8" i="3"/>
  <c r="V8" i="3"/>
  <c r="W8" i="3"/>
  <c r="X8" i="3"/>
  <c r="M45" i="3"/>
  <c r="R45" i="3"/>
  <c r="U45" i="3"/>
  <c r="AC45" i="3" s="1"/>
  <c r="V45" i="3"/>
  <c r="W45" i="3"/>
  <c r="X45" i="3"/>
  <c r="M15" i="3"/>
  <c r="U15" i="3"/>
  <c r="AC15" i="3" s="1"/>
  <c r="V15" i="3"/>
  <c r="W15" i="3"/>
  <c r="X15" i="3"/>
  <c r="AD38" i="3" l="1"/>
  <c r="Y24" i="3"/>
  <c r="AD40" i="3"/>
  <c r="AA28" i="1"/>
  <c r="W28" i="1" s="1"/>
  <c r="AA24" i="1"/>
  <c r="W24" i="1" s="1"/>
  <c r="AA20" i="1"/>
  <c r="W20" i="1" s="1"/>
  <c r="AA236" i="1"/>
  <c r="AG118" i="1"/>
  <c r="AG191" i="1"/>
  <c r="T108" i="1"/>
  <c r="X163" i="1"/>
  <c r="AA142" i="1"/>
  <c r="T125" i="1"/>
  <c r="X185" i="1"/>
  <c r="T182" i="1"/>
  <c r="AA181" i="1"/>
  <c r="AA141" i="1"/>
  <c r="W141" i="1" s="1"/>
  <c r="AA120" i="1"/>
  <c r="X202" i="1"/>
  <c r="T201" i="1"/>
  <c r="U201" i="1" s="1"/>
  <c r="S201" i="1" s="1"/>
  <c r="X194" i="1"/>
  <c r="X167" i="1"/>
  <c r="X89" i="1"/>
  <c r="AA166" i="1"/>
  <c r="AA86" i="1"/>
  <c r="W86" i="1" s="1"/>
  <c r="AG80" i="1"/>
  <c r="AI80" i="1" s="1"/>
  <c r="AA62" i="1"/>
  <c r="AG128" i="1"/>
  <c r="AI128" i="1" s="1"/>
  <c r="R46" i="3"/>
  <c r="X206" i="1"/>
  <c r="AG205" i="1"/>
  <c r="U205" i="1" s="1"/>
  <c r="S205" i="1" s="1"/>
  <c r="P157" i="1"/>
  <c r="AA146" i="1"/>
  <c r="AG66" i="1"/>
  <c r="AG47" i="1"/>
  <c r="U47" i="1" s="1"/>
  <c r="S47" i="1" s="1"/>
  <c r="X41" i="1"/>
  <c r="X37" i="1"/>
  <c r="T190" i="1"/>
  <c r="AA128" i="1"/>
  <c r="X129" i="1"/>
  <c r="AA222" i="1"/>
  <c r="AA41" i="1"/>
  <c r="X193" i="1"/>
  <c r="AG186" i="1"/>
  <c r="AI186" i="1" s="1"/>
  <c r="T185" i="1"/>
  <c r="AA184" i="1"/>
  <c r="AA173" i="1"/>
  <c r="X218" i="1"/>
  <c r="AG162" i="1"/>
  <c r="AA151" i="1"/>
  <c r="X139" i="1"/>
  <c r="X131" i="1"/>
  <c r="AA96" i="1"/>
  <c r="X75" i="1"/>
  <c r="AG68" i="1"/>
  <c r="AA51" i="1"/>
  <c r="X49" i="1"/>
  <c r="P48" i="1"/>
  <c r="AA18" i="1"/>
  <c r="AA16" i="1"/>
  <c r="X15" i="1"/>
  <c r="AA129" i="1"/>
  <c r="W129" i="1" s="1"/>
  <c r="AG219" i="1"/>
  <c r="U43" i="1"/>
  <c r="S43" i="1" s="1"/>
  <c r="AA194" i="1"/>
  <c r="AA180" i="1"/>
  <c r="AA178" i="1"/>
  <c r="AA145" i="1"/>
  <c r="W145" i="1" s="1"/>
  <c r="AA134" i="1"/>
  <c r="AA126" i="1"/>
  <c r="AA117" i="1"/>
  <c r="X97" i="1"/>
  <c r="AA95" i="1"/>
  <c r="AI85" i="1"/>
  <c r="X63" i="1"/>
  <c r="AA58" i="1"/>
  <c r="X45" i="1"/>
  <c r="X16" i="1"/>
  <c r="X128" i="1"/>
  <c r="AA150" i="1"/>
  <c r="U108" i="1"/>
  <c r="S108" i="1" s="1"/>
  <c r="T71" i="1"/>
  <c r="U71" i="1" s="1"/>
  <c r="S71" i="1" s="1"/>
  <c r="AI68" i="1"/>
  <c r="AI47" i="1"/>
  <c r="X175" i="1"/>
  <c r="X236" i="1"/>
  <c r="X148" i="1"/>
  <c r="T130" i="1"/>
  <c r="U130" i="1" s="1"/>
  <c r="S130" i="1" s="1"/>
  <c r="T100" i="1"/>
  <c r="U100" i="1" s="1"/>
  <c r="T96" i="1"/>
  <c r="U96" i="1" s="1"/>
  <c r="S96" i="1" s="1"/>
  <c r="X195" i="1"/>
  <c r="X191" i="1"/>
  <c r="X203" i="1"/>
  <c r="U128" i="1"/>
  <c r="S128" i="1" s="1"/>
  <c r="S56" i="3"/>
  <c r="AA230" i="1"/>
  <c r="AA211" i="1"/>
  <c r="AA195" i="1"/>
  <c r="AA176" i="1"/>
  <c r="AA174" i="1"/>
  <c r="AG168" i="1"/>
  <c r="AA164" i="1"/>
  <c r="AA239" i="1"/>
  <c r="AA237" i="1"/>
  <c r="AA232" i="1"/>
  <c r="AA224" i="1"/>
  <c r="AG214" i="1"/>
  <c r="U214" i="1" s="1"/>
  <c r="X214" i="1"/>
  <c r="AG213" i="1"/>
  <c r="U213" i="1" s="1"/>
  <c r="S213" i="1" s="1"/>
  <c r="AA143" i="1"/>
  <c r="W143" i="1" s="1"/>
  <c r="AA136" i="1"/>
  <c r="X135" i="1"/>
  <c r="AA123" i="1"/>
  <c r="AA114" i="1"/>
  <c r="X109" i="1"/>
  <c r="AA108" i="1"/>
  <c r="X105" i="1"/>
  <c r="AG102" i="1"/>
  <c r="AI102" i="1" s="1"/>
  <c r="AG90" i="1"/>
  <c r="AI86" i="1"/>
  <c r="AA71" i="1"/>
  <c r="W71" i="1" s="1"/>
  <c r="AI70" i="1"/>
  <c r="AA43" i="1"/>
  <c r="AA35" i="1"/>
  <c r="AG29" i="1"/>
  <c r="AI29" i="1" s="1"/>
  <c r="X29" i="1"/>
  <c r="AG25" i="1"/>
  <c r="AI25" i="1" s="1"/>
  <c r="X25" i="1"/>
  <c r="X190" i="1"/>
  <c r="T129" i="1"/>
  <c r="U129" i="1" s="1"/>
  <c r="S129" i="1" s="1"/>
  <c r="X130" i="1"/>
  <c r="X189" i="1"/>
  <c r="X205" i="1"/>
  <c r="X201" i="1"/>
  <c r="X133" i="1"/>
  <c r="AA227" i="1"/>
  <c r="AA210" i="1"/>
  <c r="W210" i="1" s="1"/>
  <c r="AG204" i="1"/>
  <c r="U204" i="1" s="1"/>
  <c r="AA203" i="1"/>
  <c r="AA201" i="1"/>
  <c r="W201" i="1" s="1"/>
  <c r="AA185" i="1"/>
  <c r="AG176" i="1"/>
  <c r="AI176" i="1" s="1"/>
  <c r="AA168" i="1"/>
  <c r="AA165" i="1"/>
  <c r="AA223" i="1"/>
  <c r="AA221" i="1"/>
  <c r="W221" i="1" s="1"/>
  <c r="AA155" i="1"/>
  <c r="AG148" i="1"/>
  <c r="AI148" i="1" s="1"/>
  <c r="AA147" i="1"/>
  <c r="AA135" i="1"/>
  <c r="W135" i="1" s="1"/>
  <c r="T135" i="1"/>
  <c r="T134" i="1"/>
  <c r="U134" i="1" s="1"/>
  <c r="S134" i="1" s="1"/>
  <c r="AA133" i="1"/>
  <c r="W133" i="1" s="1"/>
  <c r="AG127" i="1"/>
  <c r="U127" i="1" s="1"/>
  <c r="S127" i="1" s="1"/>
  <c r="X127" i="1"/>
  <c r="AG123" i="1"/>
  <c r="AI123" i="1" s="1"/>
  <c r="AG110" i="1"/>
  <c r="U110" i="1" s="1"/>
  <c r="S110" i="1" s="1"/>
  <c r="AA109" i="1"/>
  <c r="T109" i="1"/>
  <c r="AA107" i="1"/>
  <c r="AA92" i="1"/>
  <c r="AA88" i="1"/>
  <c r="AG76" i="1"/>
  <c r="AA74" i="1"/>
  <c r="AG59" i="1"/>
  <c r="AI59" i="1" s="1"/>
  <c r="X59" i="1"/>
  <c r="AG51" i="1"/>
  <c r="AI51" i="1" s="1"/>
  <c r="AA42" i="1"/>
  <c r="T189" i="1"/>
  <c r="U189" i="1" s="1"/>
  <c r="S189" i="1" s="1"/>
  <c r="AA190" i="1"/>
  <c r="W190" i="1" s="1"/>
  <c r="X196" i="1"/>
  <c r="X192" i="1"/>
  <c r="AA200" i="1"/>
  <c r="X204" i="1"/>
  <c r="X200" i="1"/>
  <c r="X132" i="1"/>
  <c r="AD28" i="3"/>
  <c r="Y13" i="3"/>
  <c r="Y25" i="3"/>
  <c r="AE12" i="3"/>
  <c r="AD57" i="3"/>
  <c r="AE48" i="3"/>
  <c r="AD46" i="3"/>
  <c r="AD56" i="3"/>
  <c r="AE28" i="3"/>
  <c r="Y46" i="3"/>
  <c r="Y12" i="3"/>
  <c r="Y33" i="3"/>
  <c r="AC20" i="3"/>
  <c r="AD55" i="3"/>
  <c r="Y37" i="3"/>
  <c r="Y16" i="3"/>
  <c r="Y57" i="3"/>
  <c r="Y44" i="3"/>
  <c r="Y14" i="3"/>
  <c r="Y26" i="3"/>
  <c r="Y28" i="3"/>
  <c r="AC28" i="3"/>
  <c r="AC50" i="3"/>
  <c r="AC52" i="3"/>
  <c r="AC48" i="3"/>
  <c r="AC32" i="3"/>
  <c r="T31" i="3"/>
  <c r="Y17" i="3"/>
  <c r="AE32" i="3"/>
  <c r="AD29" i="3"/>
  <c r="Y15" i="3"/>
  <c r="AE55" i="3"/>
  <c r="Y7" i="3"/>
  <c r="AD50" i="3"/>
  <c r="AD34" i="3"/>
  <c r="AD32" i="3"/>
  <c r="Y27" i="3"/>
  <c r="AC53" i="3"/>
  <c r="AC49" i="3"/>
  <c r="AC41" i="3"/>
  <c r="AC37" i="3"/>
  <c r="AC40" i="3"/>
  <c r="AC51" i="3"/>
  <c r="AC39" i="3"/>
  <c r="AC27" i="3"/>
  <c r="AC23" i="3"/>
  <c r="AC19" i="3"/>
  <c r="AI129" i="1"/>
  <c r="AG200" i="1"/>
  <c r="AI190" i="1"/>
  <c r="U190" i="1"/>
  <c r="AI189" i="1"/>
  <c r="AD37" i="3"/>
  <c r="AE37" i="3"/>
  <c r="R12" i="3"/>
  <c r="Y29" i="3"/>
  <c r="AE24" i="3"/>
  <c r="R17" i="3"/>
  <c r="T9" i="3"/>
  <c r="T34" i="3"/>
  <c r="Y8" i="3"/>
  <c r="Y41" i="3"/>
  <c r="AD36" i="3"/>
  <c r="T36" i="3"/>
  <c r="T11" i="3"/>
  <c r="S52" i="3"/>
  <c r="Y35" i="3"/>
  <c r="Y34" i="3"/>
  <c r="Y45" i="3"/>
  <c r="AE52" i="3"/>
  <c r="Y51" i="3"/>
  <c r="AD44" i="3"/>
  <c r="AD42" i="3"/>
  <c r="AE40" i="3"/>
  <c r="Y40" i="3"/>
  <c r="Y38" i="3"/>
  <c r="Y36" i="3"/>
  <c r="AD24" i="3"/>
  <c r="Y30" i="3"/>
  <c r="AD13" i="3"/>
  <c r="AD12" i="3"/>
  <c r="Y32" i="3"/>
  <c r="AA193" i="1"/>
  <c r="W108" i="1"/>
  <c r="AI158" i="1"/>
  <c r="AA49" i="1"/>
  <c r="AG131" i="1"/>
  <c r="AI131" i="1" s="1"/>
  <c r="AG79" i="1"/>
  <c r="T79" i="1"/>
  <c r="T53" i="1"/>
  <c r="X53" i="1"/>
  <c r="AG53" i="1"/>
  <c r="AI53" i="1" s="1"/>
  <c r="AA208" i="1"/>
  <c r="AG228" i="1"/>
  <c r="U228" i="1" s="1"/>
  <c r="S228" i="1" s="1"/>
  <c r="X228" i="1"/>
  <c r="X227" i="1"/>
  <c r="AA206" i="1"/>
  <c r="W206" i="1" s="1"/>
  <c r="AA204" i="1"/>
  <c r="AG188" i="1"/>
  <c r="AA187" i="1"/>
  <c r="AA182" i="1"/>
  <c r="W182" i="1" s="1"/>
  <c r="AA179" i="1"/>
  <c r="AA177" i="1"/>
  <c r="X171" i="1"/>
  <c r="AA171" i="1"/>
  <c r="AA169" i="1"/>
  <c r="AA163" i="1"/>
  <c r="AA238" i="1"/>
  <c r="X222" i="1"/>
  <c r="AA220" i="1"/>
  <c r="AA213" i="1"/>
  <c r="AG140" i="1"/>
  <c r="U140" i="1" s="1"/>
  <c r="S140" i="1" s="1"/>
  <c r="AA130" i="1"/>
  <c r="W130" i="1" s="1"/>
  <c r="AA124" i="1"/>
  <c r="AG120" i="1"/>
  <c r="U120" i="1" s="1"/>
  <c r="S120" i="1" s="1"/>
  <c r="X117" i="1"/>
  <c r="AG112" i="1"/>
  <c r="AI112" i="1" s="1"/>
  <c r="AG104" i="1"/>
  <c r="T104" i="1"/>
  <c r="AA104" i="1"/>
  <c r="X93" i="1"/>
  <c r="AG92" i="1"/>
  <c r="U92" i="1" s="1"/>
  <c r="S92" i="1" s="1"/>
  <c r="T86" i="1"/>
  <c r="AG75" i="1"/>
  <c r="AI75" i="1" s="1"/>
  <c r="T75" i="1"/>
  <c r="T64" i="1"/>
  <c r="AG64" i="1"/>
  <c r="AI64" i="1" s="1"/>
  <c r="AA47" i="1"/>
  <c r="W47" i="1" s="1"/>
  <c r="T39" i="1"/>
  <c r="X39" i="1"/>
  <c r="X21" i="1"/>
  <c r="AG21" i="1"/>
  <c r="AI21" i="1" s="1"/>
  <c r="T21" i="1"/>
  <c r="X17" i="1"/>
  <c r="AG17" i="1"/>
  <c r="AI17" i="1" s="1"/>
  <c r="T17" i="1"/>
  <c r="AA175" i="1"/>
  <c r="AA167" i="1"/>
  <c r="AA235" i="1"/>
  <c r="AG233" i="1"/>
  <c r="AI233" i="1" s="1"/>
  <c r="T223" i="1"/>
  <c r="AG223" i="1"/>
  <c r="AA218" i="1"/>
  <c r="AG155" i="1"/>
  <c r="AI155" i="1" s="1"/>
  <c r="X155" i="1"/>
  <c r="T144" i="1"/>
  <c r="X144" i="1"/>
  <c r="AG144" i="1"/>
  <c r="AA140" i="1"/>
  <c r="AA138" i="1"/>
  <c r="AG132" i="1"/>
  <c r="U132" i="1" s="1"/>
  <c r="S132" i="1" s="1"/>
  <c r="X126" i="1"/>
  <c r="AG126" i="1"/>
  <c r="AI126" i="1" s="1"/>
  <c r="AG117" i="1"/>
  <c r="T117" i="1"/>
  <c r="AA112" i="1"/>
  <c r="T106" i="1"/>
  <c r="AG106" i="1"/>
  <c r="AA101" i="1"/>
  <c r="AG98" i="1"/>
  <c r="U98" i="1" s="1"/>
  <c r="S98" i="1" s="1"/>
  <c r="X79" i="1"/>
  <c r="AG72" i="1"/>
  <c r="AI72" i="1" s="1"/>
  <c r="AA70" i="1"/>
  <c r="W70" i="1" s="1"/>
  <c r="AA67" i="1"/>
  <c r="X62" i="1"/>
  <c r="AG62" i="1"/>
  <c r="AI62" i="1" s="1"/>
  <c r="T152" i="1"/>
  <c r="X152" i="1"/>
  <c r="AG152" i="1"/>
  <c r="T94" i="1"/>
  <c r="AG94" i="1"/>
  <c r="AA228" i="1"/>
  <c r="W228" i="1" s="1"/>
  <c r="AG209" i="1"/>
  <c r="X209" i="1"/>
  <c r="AA199" i="1"/>
  <c r="W199" i="1" s="1"/>
  <c r="AA188" i="1"/>
  <c r="AG180" i="1"/>
  <c r="U180" i="1" s="1"/>
  <c r="S180" i="1" s="1"/>
  <c r="AG172" i="1"/>
  <c r="W172" i="1" s="1"/>
  <c r="AG164" i="1"/>
  <c r="AI164" i="1" s="1"/>
  <c r="T237" i="1"/>
  <c r="AG237" i="1"/>
  <c r="X232" i="1"/>
  <c r="T161" i="1"/>
  <c r="AG161" i="1"/>
  <c r="AG151" i="1"/>
  <c r="AI151" i="1" s="1"/>
  <c r="X151" i="1"/>
  <c r="X143" i="1"/>
  <c r="T131" i="1"/>
  <c r="U125" i="1"/>
  <c r="S125" i="1" s="1"/>
  <c r="AI108" i="1"/>
  <c r="AG101" i="1"/>
  <c r="U101" i="1" s="1"/>
  <c r="S101" i="1" s="1"/>
  <c r="X101" i="1"/>
  <c r="AG83" i="1"/>
  <c r="T83" i="1"/>
  <c r="U83" i="1" s="1"/>
  <c r="S83" i="1" s="1"/>
  <c r="T74" i="1"/>
  <c r="AG74" i="1"/>
  <c r="AI74" i="1" s="1"/>
  <c r="X70" i="1"/>
  <c r="X71" i="1"/>
  <c r="AG67" i="1"/>
  <c r="U67" i="1" s="1"/>
  <c r="S67" i="1" s="1"/>
  <c r="X67" i="1"/>
  <c r="T60" i="1"/>
  <c r="AG60" i="1"/>
  <c r="AI60" i="1" s="1"/>
  <c r="T56" i="1"/>
  <c r="AG56" i="1"/>
  <c r="AI56" i="1" s="1"/>
  <c r="AA103" i="1"/>
  <c r="W96" i="1"/>
  <c r="AI84" i="1"/>
  <c r="AA83" i="1"/>
  <c r="AA79" i="1"/>
  <c r="AA78" i="1"/>
  <c r="W78" i="1" s="1"/>
  <c r="AI76" i="1"/>
  <c r="AA75" i="1"/>
  <c r="W75" i="1" s="1"/>
  <c r="AI66" i="1"/>
  <c r="AA60" i="1"/>
  <c r="AA56" i="1"/>
  <c r="W51" i="1"/>
  <c r="W43" i="1"/>
  <c r="AA39" i="1"/>
  <c r="AA32" i="1"/>
  <c r="W32" i="1" s="1"/>
  <c r="AA22" i="1"/>
  <c r="AA17" i="1"/>
  <c r="X58" i="1"/>
  <c r="AA45" i="1"/>
  <c r="AA37" i="1"/>
  <c r="AA233" i="1"/>
  <c r="AA231" i="1"/>
  <c r="W231" i="1" s="1"/>
  <c r="AA219" i="1"/>
  <c r="W219" i="1" s="1"/>
  <c r="AA217" i="1"/>
  <c r="W217" i="1" s="1"/>
  <c r="AA212" i="1"/>
  <c r="AA160" i="1"/>
  <c r="AA157" i="1"/>
  <c r="AA154" i="1"/>
  <c r="AA139" i="1"/>
  <c r="AA132" i="1"/>
  <c r="AA127" i="1"/>
  <c r="AA125" i="1"/>
  <c r="W125" i="1" s="1"/>
  <c r="AA119" i="1"/>
  <c r="AA116" i="1"/>
  <c r="AA111" i="1"/>
  <c r="AA105" i="1"/>
  <c r="W105" i="1" s="1"/>
  <c r="T105" i="1"/>
  <c r="U105" i="1" s="1"/>
  <c r="S105" i="1" s="1"/>
  <c r="AA100" i="1"/>
  <c r="W100" i="1" s="1"/>
  <c r="AA93" i="1"/>
  <c r="T93" i="1"/>
  <c r="U93" i="1" s="1"/>
  <c r="S93" i="1" s="1"/>
  <c r="AA91" i="1"/>
  <c r="AA82" i="1"/>
  <c r="AA66" i="1"/>
  <c r="W66" i="1" s="1"/>
  <c r="AA63" i="1"/>
  <c r="W63" i="1" s="1"/>
  <c r="T63" i="1"/>
  <c r="U63" i="1" s="1"/>
  <c r="S63" i="1" s="1"/>
  <c r="AA59" i="1"/>
  <c r="AG58" i="1"/>
  <c r="AI58" i="1" s="1"/>
  <c r="X55" i="1"/>
  <c r="AA46" i="1"/>
  <c r="AA38" i="1"/>
  <c r="X35" i="1"/>
  <c r="X33" i="1"/>
  <c r="AA33" i="1"/>
  <c r="AA26" i="1"/>
  <c r="AA19" i="1"/>
  <c r="AA15" i="1"/>
  <c r="W15" i="1" s="1"/>
  <c r="AG208" i="1"/>
  <c r="AI208" i="1" s="1"/>
  <c r="T202" i="1"/>
  <c r="AG202" i="1"/>
  <c r="AI202" i="1" s="1"/>
  <c r="AA202" i="1"/>
  <c r="AG195" i="1"/>
  <c r="AG178" i="1"/>
  <c r="T178" i="1"/>
  <c r="T227" i="1"/>
  <c r="U227" i="1" s="1"/>
  <c r="S227" i="1" s="1"/>
  <c r="AA225" i="1"/>
  <c r="AG211" i="1"/>
  <c r="X211" i="1"/>
  <c r="T199" i="1"/>
  <c r="U199" i="1" s="1"/>
  <c r="S199" i="1" s="1"/>
  <c r="AA198" i="1"/>
  <c r="AA229" i="1"/>
  <c r="AA226" i="1"/>
  <c r="T225" i="1"/>
  <c r="AG225" i="1"/>
  <c r="AI225" i="1" s="1"/>
  <c r="T198" i="1"/>
  <c r="X198" i="1"/>
  <c r="T193" i="1"/>
  <c r="AG193" i="1"/>
  <c r="X179" i="1"/>
  <c r="AG179" i="1"/>
  <c r="W179" i="1" s="1"/>
  <c r="T179" i="1"/>
  <c r="T229" i="1"/>
  <c r="AG229" i="1"/>
  <c r="AI229" i="1" s="1"/>
  <c r="X160" i="1"/>
  <c r="W151" i="1"/>
  <c r="T147" i="1"/>
  <c r="AA197" i="1"/>
  <c r="AA207" i="1"/>
  <c r="W207" i="1" s="1"/>
  <c r="AA205" i="1"/>
  <c r="W205" i="1" s="1"/>
  <c r="AG197" i="1"/>
  <c r="AI197" i="1" s="1"/>
  <c r="AA196" i="1"/>
  <c r="W196" i="1" s="1"/>
  <c r="AA192" i="1"/>
  <c r="W192" i="1" s="1"/>
  <c r="AA186" i="1"/>
  <c r="W186" i="1" s="1"/>
  <c r="X186" i="1"/>
  <c r="AG184" i="1"/>
  <c r="W184" i="1" s="1"/>
  <c r="T175" i="1"/>
  <c r="T174" i="1"/>
  <c r="U174" i="1" s="1"/>
  <c r="S174" i="1" s="1"/>
  <c r="T171" i="1"/>
  <c r="T170" i="1"/>
  <c r="U170" i="1" s="1"/>
  <c r="S170" i="1" s="1"/>
  <c r="T167" i="1"/>
  <c r="T166" i="1"/>
  <c r="U166" i="1" s="1"/>
  <c r="S166" i="1" s="1"/>
  <c r="T163" i="1"/>
  <c r="T239" i="1"/>
  <c r="U239" i="1" s="1"/>
  <c r="S239" i="1" s="1"/>
  <c r="T236" i="1"/>
  <c r="T235" i="1"/>
  <c r="U235" i="1" s="1"/>
  <c r="S235" i="1" s="1"/>
  <c r="T232" i="1"/>
  <c r="T231" i="1"/>
  <c r="U231" i="1" s="1"/>
  <c r="S231" i="1" s="1"/>
  <c r="T222" i="1"/>
  <c r="T221" i="1"/>
  <c r="U221" i="1" s="1"/>
  <c r="S221" i="1" s="1"/>
  <c r="T218" i="1"/>
  <c r="T217" i="1"/>
  <c r="U217" i="1" s="1"/>
  <c r="S217" i="1" s="1"/>
  <c r="AA216" i="1"/>
  <c r="AA215" i="1"/>
  <c r="AA214" i="1"/>
  <c r="W214" i="1" s="1"/>
  <c r="AA161" i="1"/>
  <c r="AG160" i="1"/>
  <c r="X158" i="1"/>
  <c r="AG156" i="1"/>
  <c r="U156" i="1" s="1"/>
  <c r="S156" i="1" s="1"/>
  <c r="X156" i="1"/>
  <c r="T151" i="1"/>
  <c r="U151" i="1" s="1"/>
  <c r="S151" i="1" s="1"/>
  <c r="AA149" i="1"/>
  <c r="AG147" i="1"/>
  <c r="T143" i="1"/>
  <c r="U143" i="1" s="1"/>
  <c r="S143" i="1" s="1"/>
  <c r="AG139" i="1"/>
  <c r="U135" i="1"/>
  <c r="S135" i="1" s="1"/>
  <c r="AI135" i="1"/>
  <c r="AI78" i="1"/>
  <c r="X217" i="1"/>
  <c r="AA162" i="1"/>
  <c r="W162" i="1" s="1"/>
  <c r="AA153" i="1"/>
  <c r="X147" i="1"/>
  <c r="AA191" i="1"/>
  <c r="W191" i="1" s="1"/>
  <c r="AA183" i="1"/>
  <c r="X182" i="1"/>
  <c r="X178" i="1"/>
  <c r="AG175" i="1"/>
  <c r="X174" i="1"/>
  <c r="AG171" i="1"/>
  <c r="U171" i="1" s="1"/>
  <c r="S171" i="1" s="1"/>
  <c r="X170" i="1"/>
  <c r="AG167" i="1"/>
  <c r="W167" i="1" s="1"/>
  <c r="X166" i="1"/>
  <c r="AG163" i="1"/>
  <c r="U163" i="1" s="1"/>
  <c r="S163" i="1" s="1"/>
  <c r="X239" i="1"/>
  <c r="AG236" i="1"/>
  <c r="AI236" i="1" s="1"/>
  <c r="X235" i="1"/>
  <c r="AG232" i="1"/>
  <c r="U232" i="1" s="1"/>
  <c r="S232" i="1" s="1"/>
  <c r="X231" i="1"/>
  <c r="AG222" i="1"/>
  <c r="W222" i="1" s="1"/>
  <c r="X221" i="1"/>
  <c r="AG218" i="1"/>
  <c r="U218" i="1" s="1"/>
  <c r="S218" i="1" s="1"/>
  <c r="AG215" i="1"/>
  <c r="X213" i="1"/>
  <c r="X161" i="1"/>
  <c r="AA159" i="1"/>
  <c r="AA158" i="1"/>
  <c r="W158" i="1" s="1"/>
  <c r="T158" i="1"/>
  <c r="U158" i="1" s="1"/>
  <c r="U155" i="1"/>
  <c r="S155" i="1" s="1"/>
  <c r="X140" i="1"/>
  <c r="T139" i="1"/>
  <c r="AA137" i="1"/>
  <c r="W137" i="1" s="1"/>
  <c r="T136" i="1"/>
  <c r="X136" i="1"/>
  <c r="AG136" i="1"/>
  <c r="W132" i="1"/>
  <c r="AA144" i="1"/>
  <c r="AA131" i="1"/>
  <c r="AG122" i="1"/>
  <c r="AI122" i="1" s="1"/>
  <c r="X122" i="1"/>
  <c r="AA118" i="1"/>
  <c r="T116" i="1"/>
  <c r="AA115" i="1"/>
  <c r="X113" i="1"/>
  <c r="AA89" i="1"/>
  <c r="T89" i="1"/>
  <c r="AG88" i="1"/>
  <c r="AA85" i="1"/>
  <c r="W85" i="1" s="1"/>
  <c r="AG82" i="1"/>
  <c r="AA80" i="1"/>
  <c r="W80" i="1" s="1"/>
  <c r="T78" i="1"/>
  <c r="U78" i="1" s="1"/>
  <c r="S78" i="1" s="1"/>
  <c r="AA77" i="1"/>
  <c r="X74" i="1"/>
  <c r="AA72" i="1"/>
  <c r="T70" i="1"/>
  <c r="U70" i="1" s="1"/>
  <c r="S70" i="1" s="1"/>
  <c r="AA69" i="1"/>
  <c r="X66" i="1"/>
  <c r="AA64" i="1"/>
  <c r="T62" i="1"/>
  <c r="AA61" i="1"/>
  <c r="T58" i="1"/>
  <c r="AA57" i="1"/>
  <c r="AA55" i="1"/>
  <c r="T55" i="1"/>
  <c r="AA54" i="1"/>
  <c r="W54" i="1" s="1"/>
  <c r="X52" i="1"/>
  <c r="AA50" i="1"/>
  <c r="T49" i="1"/>
  <c r="AA48" i="1"/>
  <c r="W48" i="1" s="1"/>
  <c r="T48" i="1"/>
  <c r="U48" i="1" s="1"/>
  <c r="X47" i="1"/>
  <c r="T45" i="1"/>
  <c r="AA44" i="1"/>
  <c r="W44" i="1" s="1"/>
  <c r="T44" i="1"/>
  <c r="X43" i="1"/>
  <c r="T41" i="1"/>
  <c r="U41" i="1" s="1"/>
  <c r="S41" i="1" s="1"/>
  <c r="AA40" i="1"/>
  <c r="T40" i="1"/>
  <c r="U40" i="1" s="1"/>
  <c r="S40" i="1" s="1"/>
  <c r="AG39" i="1"/>
  <c r="T37" i="1"/>
  <c r="AA36" i="1"/>
  <c r="T36" i="1"/>
  <c r="AG35" i="1"/>
  <c r="T33" i="1"/>
  <c r="AA30" i="1"/>
  <c r="X28" i="1"/>
  <c r="X24" i="1"/>
  <c r="X20" i="1"/>
  <c r="T16" i="1"/>
  <c r="AI100" i="1"/>
  <c r="AI96" i="1"/>
  <c r="AI92" i="1"/>
  <c r="U86" i="1"/>
  <c r="S86" i="1" s="1"/>
  <c r="X83" i="1"/>
  <c r="T32" i="1"/>
  <c r="U32" i="1" s="1"/>
  <c r="S32" i="1" s="1"/>
  <c r="AG16" i="1"/>
  <c r="W16" i="1" s="1"/>
  <c r="T15" i="1"/>
  <c r="AA14" i="1"/>
  <c r="AA122" i="1"/>
  <c r="AA121" i="1"/>
  <c r="W121" i="1" s="1"/>
  <c r="AG116" i="1"/>
  <c r="AG114" i="1"/>
  <c r="AA113" i="1"/>
  <c r="W113" i="1" s="1"/>
  <c r="T113" i="1"/>
  <c r="U113" i="1" s="1"/>
  <c r="X112" i="1"/>
  <c r="AA110" i="1"/>
  <c r="X108" i="1"/>
  <c r="AA106" i="1"/>
  <c r="X104" i="1"/>
  <c r="AA102" i="1"/>
  <c r="X100" i="1"/>
  <c r="AA98" i="1"/>
  <c r="X96" i="1"/>
  <c r="AA94" i="1"/>
  <c r="W94" i="1" s="1"/>
  <c r="X92" i="1"/>
  <c r="AA90" i="1"/>
  <c r="W90" i="1" s="1"/>
  <c r="AG89" i="1"/>
  <c r="AA87" i="1"/>
  <c r="AA84" i="1"/>
  <c r="W84" i="1" s="1"/>
  <c r="AA81" i="1"/>
  <c r="AA76" i="1"/>
  <c r="W76" i="1" s="1"/>
  <c r="AA73" i="1"/>
  <c r="AA68" i="1"/>
  <c r="W68" i="1" s="1"/>
  <c r="AA65" i="1"/>
  <c r="AG55" i="1"/>
  <c r="AA53" i="1"/>
  <c r="AA52" i="1"/>
  <c r="W52" i="1" s="1"/>
  <c r="T52" i="1"/>
  <c r="U52" i="1" s="1"/>
  <c r="S52" i="1" s="1"/>
  <c r="AG49" i="1"/>
  <c r="X48" i="1"/>
  <c r="AG45" i="1"/>
  <c r="AI45" i="1" s="1"/>
  <c r="X44" i="1"/>
  <c r="AG41" i="1"/>
  <c r="AI41" i="1" s="1"/>
  <c r="X40" i="1"/>
  <c r="AG37" i="1"/>
  <c r="AI37" i="1" s="1"/>
  <c r="X36" i="1"/>
  <c r="AG33" i="1"/>
  <c r="AI33" i="1" s="1"/>
  <c r="AA29" i="1"/>
  <c r="T28" i="1"/>
  <c r="U28" i="1" s="1"/>
  <c r="S28" i="1" s="1"/>
  <c r="AA25" i="1"/>
  <c r="W25" i="1" s="1"/>
  <c r="T24" i="1"/>
  <c r="U24" i="1" s="1"/>
  <c r="S24" i="1" s="1"/>
  <c r="AA21" i="1"/>
  <c r="T20" i="1"/>
  <c r="AI125" i="1"/>
  <c r="AI120" i="1"/>
  <c r="X88" i="1"/>
  <c r="U66" i="1"/>
  <c r="S66" i="1" s="1"/>
  <c r="AI43" i="1"/>
  <c r="AA34" i="1"/>
  <c r="X32" i="1"/>
  <c r="W227" i="1"/>
  <c r="AI231" i="1"/>
  <c r="AG230" i="1"/>
  <c r="AI230" i="1" s="1"/>
  <c r="X229" i="1"/>
  <c r="AI237" i="1"/>
  <c r="AG226" i="1"/>
  <c r="X225" i="1"/>
  <c r="X208" i="1"/>
  <c r="T207" i="1"/>
  <c r="U207" i="1" s="1"/>
  <c r="S207" i="1" s="1"/>
  <c r="AI228" i="1"/>
  <c r="S204" i="1"/>
  <c r="AG194" i="1"/>
  <c r="W194" i="1" s="1"/>
  <c r="T192" i="1"/>
  <c r="U192" i="1" s="1"/>
  <c r="S192" i="1" s="1"/>
  <c r="U191" i="1"/>
  <c r="S191" i="1" s="1"/>
  <c r="AI210" i="1"/>
  <c r="AI206" i="1"/>
  <c r="X230" i="1"/>
  <c r="X226" i="1"/>
  <c r="T226" i="1"/>
  <c r="T211" i="1"/>
  <c r="AA209" i="1"/>
  <c r="U209" i="1"/>
  <c r="S209" i="1" s="1"/>
  <c r="X207" i="1"/>
  <c r="T206" i="1"/>
  <c r="U206" i="1" s="1"/>
  <c r="S206" i="1" s="1"/>
  <c r="W203" i="1"/>
  <c r="T203" i="1"/>
  <c r="U203" i="1" s="1"/>
  <c r="S203" i="1" s="1"/>
  <c r="X199" i="1"/>
  <c r="AG198" i="1"/>
  <c r="W198" i="1" s="1"/>
  <c r="T196" i="1"/>
  <c r="U196" i="1" s="1"/>
  <c r="S196" i="1" s="1"/>
  <c r="AI215" i="1"/>
  <c r="U182" i="1"/>
  <c r="S182" i="1" s="1"/>
  <c r="W174" i="1"/>
  <c r="W170" i="1"/>
  <c r="W166" i="1"/>
  <c r="W239" i="1"/>
  <c r="W235" i="1"/>
  <c r="T210" i="1"/>
  <c r="U210" i="1" s="1"/>
  <c r="S210" i="1" s="1"/>
  <c r="X210" i="1"/>
  <c r="AI227" i="1"/>
  <c r="AI219" i="1"/>
  <c r="AI188" i="1"/>
  <c r="AI180" i="1"/>
  <c r="AI223" i="1"/>
  <c r="T194" i="1"/>
  <c r="U188" i="1"/>
  <c r="S188" i="1" s="1"/>
  <c r="AG187" i="1"/>
  <c r="T187" i="1"/>
  <c r="X187" i="1"/>
  <c r="AG183" i="1"/>
  <c r="W183" i="1" s="1"/>
  <c r="T183" i="1"/>
  <c r="X183" i="1"/>
  <c r="U172" i="1"/>
  <c r="S172" i="1" s="1"/>
  <c r="U168" i="1"/>
  <c r="S168" i="1" s="1"/>
  <c r="U219" i="1"/>
  <c r="S219" i="1" s="1"/>
  <c r="U215" i="1"/>
  <c r="S215" i="1" s="1"/>
  <c r="U162" i="1"/>
  <c r="S162" i="1" s="1"/>
  <c r="T157" i="1"/>
  <c r="X157" i="1"/>
  <c r="AI152" i="1"/>
  <c r="AI141" i="1"/>
  <c r="AI130" i="1"/>
  <c r="AI124" i="1"/>
  <c r="X197" i="1"/>
  <c r="X188" i="1"/>
  <c r="AG185" i="1"/>
  <c r="AI185" i="1" s="1"/>
  <c r="X184" i="1"/>
  <c r="AG181" i="1"/>
  <c r="AI181" i="1" s="1"/>
  <c r="X180" i="1"/>
  <c r="AI203" i="1"/>
  <c r="AG177" i="1"/>
  <c r="AI177" i="1" s="1"/>
  <c r="X176" i="1"/>
  <c r="AG173" i="1"/>
  <c r="AI173" i="1" s="1"/>
  <c r="X172" i="1"/>
  <c r="AG169" i="1"/>
  <c r="X168" i="1"/>
  <c r="AG165" i="1"/>
  <c r="X164" i="1"/>
  <c r="AG238" i="1"/>
  <c r="AI238" i="1" s="1"/>
  <c r="X237" i="1"/>
  <c r="AG234" i="1"/>
  <c r="AI234" i="1" s="1"/>
  <c r="X233" i="1"/>
  <c r="AG224" i="1"/>
  <c r="AI224" i="1" s="1"/>
  <c r="X223" i="1"/>
  <c r="AG220" i="1"/>
  <c r="X219" i="1"/>
  <c r="AI169" i="1"/>
  <c r="AG216" i="1"/>
  <c r="AI216" i="1" s="1"/>
  <c r="X215" i="1"/>
  <c r="AI165" i="1"/>
  <c r="S214" i="1"/>
  <c r="AG212" i="1"/>
  <c r="AI212" i="1" s="1"/>
  <c r="X162" i="1"/>
  <c r="AG159" i="1"/>
  <c r="AG157" i="1"/>
  <c r="AI156" i="1"/>
  <c r="AA148" i="1"/>
  <c r="W148" i="1" s="1"/>
  <c r="AI145" i="1"/>
  <c r="W134" i="1"/>
  <c r="U123" i="1"/>
  <c r="S123" i="1" s="1"/>
  <c r="X181" i="1"/>
  <c r="T181" i="1"/>
  <c r="X177" i="1"/>
  <c r="T177" i="1"/>
  <c r="AI199" i="1"/>
  <c r="X173" i="1"/>
  <c r="T173" i="1"/>
  <c r="X169" i="1"/>
  <c r="T169" i="1"/>
  <c r="AI191" i="1"/>
  <c r="X165" i="1"/>
  <c r="T165" i="1"/>
  <c r="X238" i="1"/>
  <c r="T238" i="1"/>
  <c r="AI182" i="1"/>
  <c r="X234" i="1"/>
  <c r="T234" i="1"/>
  <c r="X224" i="1"/>
  <c r="T224" i="1"/>
  <c r="AI174" i="1"/>
  <c r="X220" i="1"/>
  <c r="T220" i="1"/>
  <c r="AI170" i="1"/>
  <c r="X216" i="1"/>
  <c r="T216" i="1"/>
  <c r="AI166" i="1"/>
  <c r="X212" i="1"/>
  <c r="T212" i="1"/>
  <c r="AI162" i="1"/>
  <c r="X159" i="1"/>
  <c r="T159" i="1"/>
  <c r="AA152" i="1"/>
  <c r="AG149" i="1"/>
  <c r="T149" i="1"/>
  <c r="X149" i="1"/>
  <c r="AI134" i="1"/>
  <c r="AI133" i="1"/>
  <c r="AA156" i="1"/>
  <c r="W156" i="1" s="1"/>
  <c r="AG153" i="1"/>
  <c r="T153" i="1"/>
  <c r="X153" i="1"/>
  <c r="AI137" i="1"/>
  <c r="W124" i="1"/>
  <c r="AG154" i="1"/>
  <c r="AG150" i="1"/>
  <c r="AG146" i="1"/>
  <c r="W146" i="1" s="1"/>
  <c r="X145" i="1"/>
  <c r="T145" i="1"/>
  <c r="U145" i="1" s="1"/>
  <c r="S145" i="1" s="1"/>
  <c r="AI144" i="1"/>
  <c r="AG142" i="1"/>
  <c r="W142" i="1" s="1"/>
  <c r="X141" i="1"/>
  <c r="T141" i="1"/>
  <c r="U141" i="1" s="1"/>
  <c r="S141" i="1" s="1"/>
  <c r="AG138" i="1"/>
  <c r="W138" i="1" s="1"/>
  <c r="X137" i="1"/>
  <c r="T137" i="1"/>
  <c r="U137" i="1" s="1"/>
  <c r="S137" i="1" s="1"/>
  <c r="AI136" i="1"/>
  <c r="T133" i="1"/>
  <c r="U133" i="1" s="1"/>
  <c r="S133" i="1" s="1"/>
  <c r="AI132" i="1"/>
  <c r="X124" i="1"/>
  <c r="T124" i="1"/>
  <c r="U124" i="1" s="1"/>
  <c r="S124" i="1" s="1"/>
  <c r="AI121" i="1"/>
  <c r="AI117" i="1"/>
  <c r="U109" i="1"/>
  <c r="S109" i="1" s="1"/>
  <c r="AI109" i="1"/>
  <c r="AI105" i="1"/>
  <c r="U97" i="1"/>
  <c r="S97" i="1" s="1"/>
  <c r="AI97" i="1"/>
  <c r="AI93" i="1"/>
  <c r="X154" i="1"/>
  <c r="X150" i="1"/>
  <c r="X146" i="1"/>
  <c r="X142" i="1"/>
  <c r="X138" i="1"/>
  <c r="X134" i="1"/>
  <c r="X125" i="1"/>
  <c r="X121" i="1"/>
  <c r="X120" i="1"/>
  <c r="T119" i="1"/>
  <c r="X119" i="1"/>
  <c r="AG119" i="1"/>
  <c r="W119" i="1" s="1"/>
  <c r="W118" i="1"/>
  <c r="X116" i="1"/>
  <c r="T115" i="1"/>
  <c r="X115" i="1"/>
  <c r="AG115" i="1"/>
  <c r="AI118" i="1"/>
  <c r="X123" i="1"/>
  <c r="T121" i="1"/>
  <c r="U121" i="1" s="1"/>
  <c r="S121" i="1" s="1"/>
  <c r="U118" i="1"/>
  <c r="S118" i="1" s="1"/>
  <c r="AI113" i="1"/>
  <c r="W109" i="1"/>
  <c r="W97" i="1"/>
  <c r="W93" i="1"/>
  <c r="U94" i="1"/>
  <c r="S94" i="1" s="1"/>
  <c r="U90" i="1"/>
  <c r="S90" i="1" s="1"/>
  <c r="AI83" i="1"/>
  <c r="AI67" i="1"/>
  <c r="X118" i="1"/>
  <c r="X114" i="1"/>
  <c r="AG111" i="1"/>
  <c r="X110" i="1"/>
  <c r="AG107" i="1"/>
  <c r="W107" i="1" s="1"/>
  <c r="X106" i="1"/>
  <c r="AG103" i="1"/>
  <c r="W103" i="1" s="1"/>
  <c r="X102" i="1"/>
  <c r="AG99" i="1"/>
  <c r="W99" i="1" s="1"/>
  <c r="X98" i="1"/>
  <c r="AG95" i="1"/>
  <c r="X94" i="1"/>
  <c r="AG91" i="1"/>
  <c r="W91" i="1" s="1"/>
  <c r="X90" i="1"/>
  <c r="AI89" i="1"/>
  <c r="AG87" i="1"/>
  <c r="T87" i="1"/>
  <c r="T85" i="1"/>
  <c r="U85" i="1" s="1"/>
  <c r="S85" i="1" s="1"/>
  <c r="AI114" i="1"/>
  <c r="X111" i="1"/>
  <c r="T111" i="1"/>
  <c r="X107" i="1"/>
  <c r="T107" i="1"/>
  <c r="AI106" i="1"/>
  <c r="X103" i="1"/>
  <c r="T103" i="1"/>
  <c r="X99" i="1"/>
  <c r="T99" i="1"/>
  <c r="X95" i="1"/>
  <c r="T95" i="1"/>
  <c r="AI94" i="1"/>
  <c r="X91" i="1"/>
  <c r="T91" i="1"/>
  <c r="AI90" i="1"/>
  <c r="X87" i="1"/>
  <c r="AI71" i="1"/>
  <c r="AI63" i="1"/>
  <c r="X86" i="1"/>
  <c r="X85" i="1"/>
  <c r="U84" i="1"/>
  <c r="S84" i="1" s="1"/>
  <c r="W83" i="1"/>
  <c r="X82" i="1"/>
  <c r="X78" i="1"/>
  <c r="U59" i="1"/>
  <c r="S59" i="1" s="1"/>
  <c r="X54" i="1"/>
  <c r="W40" i="1"/>
  <c r="W36" i="1"/>
  <c r="U80" i="1"/>
  <c r="S80" i="1" s="1"/>
  <c r="U76" i="1"/>
  <c r="S76" i="1" s="1"/>
  <c r="U68" i="1"/>
  <c r="S68" i="1" s="1"/>
  <c r="U60" i="1"/>
  <c r="S60" i="1" s="1"/>
  <c r="AI48" i="1"/>
  <c r="U44" i="1"/>
  <c r="S44" i="1" s="1"/>
  <c r="AI44" i="1"/>
  <c r="AI40" i="1"/>
  <c r="U36" i="1"/>
  <c r="S36" i="1" s="1"/>
  <c r="AI36" i="1"/>
  <c r="AI32" i="1"/>
  <c r="U15" i="1"/>
  <c r="S15" i="1" s="1"/>
  <c r="AI15" i="1"/>
  <c r="X84" i="1"/>
  <c r="AG81" i="1"/>
  <c r="X80" i="1"/>
  <c r="AG77" i="1"/>
  <c r="W77" i="1" s="1"/>
  <c r="X76" i="1"/>
  <c r="AG73" i="1"/>
  <c r="X72" i="1"/>
  <c r="AG69" i="1"/>
  <c r="W69" i="1" s="1"/>
  <c r="X68" i="1"/>
  <c r="AG65" i="1"/>
  <c r="X64" i="1"/>
  <c r="AG61" i="1"/>
  <c r="W61" i="1" s="1"/>
  <c r="X60" i="1"/>
  <c r="AG57" i="1"/>
  <c r="X56" i="1"/>
  <c r="T54" i="1"/>
  <c r="U54" i="1" s="1"/>
  <c r="S54" i="1" s="1"/>
  <c r="W53" i="1"/>
  <c r="AI28" i="1"/>
  <c r="AI24" i="1"/>
  <c r="U20" i="1"/>
  <c r="S20" i="1" s="1"/>
  <c r="AI20" i="1"/>
  <c r="X81" i="1"/>
  <c r="X77" i="1"/>
  <c r="X73" i="1"/>
  <c r="X69" i="1"/>
  <c r="X65" i="1"/>
  <c r="X61" i="1"/>
  <c r="X57" i="1"/>
  <c r="AI54" i="1"/>
  <c r="AI52" i="1"/>
  <c r="U51" i="1"/>
  <c r="S51" i="1" s="1"/>
  <c r="U29" i="1"/>
  <c r="S29" i="1" s="1"/>
  <c r="U25" i="1"/>
  <c r="S25" i="1" s="1"/>
  <c r="AG50" i="1"/>
  <c r="AG46" i="1"/>
  <c r="AG42" i="1"/>
  <c r="W42" i="1" s="1"/>
  <c r="AG38" i="1"/>
  <c r="W38" i="1" s="1"/>
  <c r="AG34" i="1"/>
  <c r="AG30" i="1"/>
  <c r="AG26" i="1"/>
  <c r="W26" i="1" s="1"/>
  <c r="AG22" i="1"/>
  <c r="W22" i="1" s="1"/>
  <c r="AG18" i="1"/>
  <c r="AG14" i="1"/>
  <c r="X50" i="1"/>
  <c r="X46" i="1"/>
  <c r="T46" i="1"/>
  <c r="X42" i="1"/>
  <c r="T42" i="1"/>
  <c r="X38" i="1"/>
  <c r="X34" i="1"/>
  <c r="AG31" i="1"/>
  <c r="W31" i="1" s="1"/>
  <c r="X30" i="1"/>
  <c r="AG27" i="1"/>
  <c r="X26" i="1"/>
  <c r="AG23" i="1"/>
  <c r="X22" i="1"/>
  <c r="AG19" i="1"/>
  <c r="X18" i="1"/>
  <c r="X51" i="1"/>
  <c r="X31" i="1"/>
  <c r="X27" i="1"/>
  <c r="X23" i="1"/>
  <c r="X19" i="1"/>
  <c r="AD53" i="3"/>
  <c r="AD45" i="3"/>
  <c r="AE45" i="3"/>
  <c r="AE20" i="3"/>
  <c r="T33" i="3"/>
  <c r="AD59" i="3"/>
  <c r="Y53" i="3"/>
  <c r="T48" i="3"/>
  <c r="Y49" i="3"/>
  <c r="Y55" i="3"/>
  <c r="AD41" i="3"/>
  <c r="Y9" i="3"/>
  <c r="Y11" i="3"/>
  <c r="T21" i="3"/>
  <c r="AD20" i="3"/>
  <c r="AE16" i="3"/>
  <c r="Y59" i="3"/>
  <c r="Y48" i="3"/>
  <c r="Y56" i="3"/>
  <c r="Y54" i="3"/>
  <c r="Y20" i="3"/>
  <c r="Y58" i="3"/>
  <c r="Y42" i="3"/>
  <c r="Y21" i="3"/>
  <c r="T35" i="3"/>
  <c r="Y50" i="3"/>
  <c r="AD16" i="3"/>
  <c r="AD21" i="3"/>
  <c r="AD8" i="3"/>
  <c r="AE59" i="3"/>
  <c r="AC8" i="3"/>
  <c r="T53" i="3"/>
  <c r="Y31" i="3"/>
  <c r="T59" i="3"/>
  <c r="AD49" i="3"/>
  <c r="AE49" i="3"/>
  <c r="Y19" i="3"/>
  <c r="AE44" i="3"/>
  <c r="T22" i="3"/>
  <c r="T43" i="3"/>
  <c r="AD33" i="3"/>
  <c r="AE33" i="3"/>
  <c r="T44" i="3"/>
  <c r="T10" i="3"/>
  <c r="AE27" i="3"/>
  <c r="AD25" i="3"/>
  <c r="AE25" i="3"/>
  <c r="T14" i="3"/>
  <c r="T52" i="3"/>
  <c r="AE19" i="3"/>
  <c r="AD17" i="3"/>
  <c r="AE17" i="3"/>
  <c r="T13" i="3"/>
  <c r="T47" i="3"/>
  <c r="AE11" i="3"/>
  <c r="AD9" i="3"/>
  <c r="AE9" i="3"/>
  <c r="Y22" i="3"/>
  <c r="Y43" i="3"/>
  <c r="Y10" i="3"/>
  <c r="Y52" i="3"/>
  <c r="Y47" i="3"/>
  <c r="T15" i="3"/>
  <c r="AE56" i="3"/>
  <c r="AE51" i="3"/>
  <c r="T55" i="3"/>
  <c r="AE41" i="3"/>
  <c r="Y39" i="3"/>
  <c r="AE36" i="3"/>
  <c r="AE31" i="3"/>
  <c r="AE29" i="3"/>
  <c r="T42" i="3"/>
  <c r="AE23" i="3"/>
  <c r="AE21" i="3"/>
  <c r="T46" i="3"/>
  <c r="AE15" i="3"/>
  <c r="AE13" i="3"/>
  <c r="T26" i="3"/>
  <c r="Y23" i="3"/>
  <c r="AE54" i="3"/>
  <c r="T17" i="3"/>
  <c r="AE47" i="3"/>
  <c r="T16" i="3"/>
  <c r="AE39" i="3"/>
  <c r="T54" i="3"/>
  <c r="AE35" i="3"/>
  <c r="T38" i="3"/>
  <c r="AE58" i="3"/>
  <c r="T45" i="3"/>
  <c r="T7" i="3"/>
  <c r="AE43" i="3"/>
  <c r="T57" i="3"/>
  <c r="AD58" i="3"/>
  <c r="AE57" i="3"/>
  <c r="T8" i="3"/>
  <c r="AD54" i="3"/>
  <c r="AE53" i="3"/>
  <c r="T25" i="3"/>
  <c r="AE50" i="3"/>
  <c r="T51" i="3"/>
  <c r="AD47" i="3"/>
  <c r="AE46" i="3"/>
  <c r="T49" i="3"/>
  <c r="AD43" i="3"/>
  <c r="AE42" i="3"/>
  <c r="T56" i="3"/>
  <c r="AD39" i="3"/>
  <c r="AE38" i="3"/>
  <c r="T40" i="3"/>
  <c r="AD35" i="3"/>
  <c r="AE34" i="3"/>
  <c r="T37" i="3"/>
  <c r="AD31" i="3"/>
  <c r="AE30" i="3"/>
  <c r="T58" i="3"/>
  <c r="AD27" i="3"/>
  <c r="AE26" i="3"/>
  <c r="T29" i="3"/>
  <c r="AD23" i="3"/>
  <c r="AE22" i="3"/>
  <c r="T30" i="3"/>
  <c r="AD19" i="3"/>
  <c r="AD15" i="3"/>
  <c r="AE14" i="3"/>
  <c r="T12" i="3"/>
  <c r="AD11" i="3"/>
  <c r="AE10" i="3"/>
  <c r="T24" i="3"/>
  <c r="AD30" i="3"/>
  <c r="AD26" i="3"/>
  <c r="AD22" i="3"/>
  <c r="AD14" i="3"/>
  <c r="AD10" i="3"/>
  <c r="AE8" i="3"/>
  <c r="M18" i="3"/>
  <c r="R18" i="3"/>
  <c r="U18" i="3"/>
  <c r="V18" i="3"/>
  <c r="W18" i="3"/>
  <c r="X18" i="3"/>
  <c r="M28" i="5"/>
  <c r="U193" i="1" l="1"/>
  <c r="S193" i="1" s="1"/>
  <c r="W92" i="1"/>
  <c r="W123" i="1"/>
  <c r="W168" i="1"/>
  <c r="U161" i="1"/>
  <c r="S161" i="1" s="1"/>
  <c r="AI214" i="1"/>
  <c r="W204" i="1"/>
  <c r="W112" i="1"/>
  <c r="U75" i="1"/>
  <c r="S75" i="1" s="1"/>
  <c r="U102" i="1"/>
  <c r="S102" i="1" s="1"/>
  <c r="W101" i="1"/>
  <c r="AI101" i="1"/>
  <c r="AI168" i="1"/>
  <c r="W29" i="1"/>
  <c r="W102" i="1"/>
  <c r="W110" i="1"/>
  <c r="W114" i="1"/>
  <c r="W211" i="1"/>
  <c r="W178" i="1"/>
  <c r="U202" i="1"/>
  <c r="S202" i="1" s="1"/>
  <c r="W59" i="1"/>
  <c r="W213" i="1"/>
  <c r="U186" i="1"/>
  <c r="S186" i="1" s="1"/>
  <c r="W154" i="1"/>
  <c r="W209" i="1"/>
  <c r="U112" i="1"/>
  <c r="S112" i="1" s="1"/>
  <c r="W127" i="1"/>
  <c r="W56" i="1"/>
  <c r="U79" i="1"/>
  <c r="S79" i="1" s="1"/>
  <c r="W128" i="1"/>
  <c r="W30" i="1"/>
  <c r="U37" i="1"/>
  <c r="S37" i="1" s="1"/>
  <c r="AI79" i="1"/>
  <c r="AI98" i="1"/>
  <c r="AI110" i="1"/>
  <c r="W159" i="1"/>
  <c r="U233" i="1"/>
  <c r="S233" i="1" s="1"/>
  <c r="U45" i="1"/>
  <c r="S45" i="1" s="1"/>
  <c r="U126" i="1"/>
  <c r="S126" i="1" s="1"/>
  <c r="W153" i="1"/>
  <c r="U164" i="1"/>
  <c r="S164" i="1" s="1"/>
  <c r="W161" i="1"/>
  <c r="W176" i="1"/>
  <c r="U106" i="1"/>
  <c r="S106" i="1" s="1"/>
  <c r="U223" i="1"/>
  <c r="S223" i="1" s="1"/>
  <c r="W208" i="1"/>
  <c r="W120" i="1"/>
  <c r="W188" i="1"/>
  <c r="W67" i="1"/>
  <c r="U53" i="1"/>
  <c r="S53" i="1" s="1"/>
  <c r="W116" i="1"/>
  <c r="W17" i="1"/>
  <c r="U131" i="1"/>
  <c r="S131" i="1" s="1"/>
  <c r="U237" i="1"/>
  <c r="S237" i="1" s="1"/>
  <c r="U117" i="1"/>
  <c r="S117" i="1" s="1"/>
  <c r="U64" i="1"/>
  <c r="S64" i="1" s="1"/>
  <c r="AI178" i="1"/>
  <c r="AI198" i="1"/>
  <c r="AI172" i="1"/>
  <c r="AI193" i="1"/>
  <c r="W226" i="1"/>
  <c r="W106" i="1"/>
  <c r="W64" i="1"/>
  <c r="W72" i="1"/>
  <c r="W131" i="1"/>
  <c r="W180" i="1"/>
  <c r="W233" i="1"/>
  <c r="W79" i="1"/>
  <c r="U21" i="1"/>
  <c r="S21" i="1" s="1"/>
  <c r="U114" i="1"/>
  <c r="S114" i="1" s="1"/>
  <c r="W117" i="1"/>
  <c r="W49" i="1"/>
  <c r="U55" i="1"/>
  <c r="S55" i="1" s="1"/>
  <c r="U89" i="1"/>
  <c r="S89" i="1" s="1"/>
  <c r="U58" i="1"/>
  <c r="S58" i="1" s="1"/>
  <c r="W144" i="1"/>
  <c r="U148" i="1"/>
  <c r="S148" i="1" s="1"/>
  <c r="U178" i="1"/>
  <c r="S178" i="1" s="1"/>
  <c r="U152" i="1"/>
  <c r="S152" i="1" s="1"/>
  <c r="U56" i="1"/>
  <c r="S56" i="1" s="1"/>
  <c r="U72" i="1"/>
  <c r="S72" i="1" s="1"/>
  <c r="W87" i="1"/>
  <c r="AI127" i="1"/>
  <c r="AI204" i="1"/>
  <c r="AI161" i="1"/>
  <c r="U176" i="1"/>
  <c r="S176" i="1" s="1"/>
  <c r="U211" i="1"/>
  <c r="S211" i="1" s="1"/>
  <c r="U229" i="1"/>
  <c r="S229" i="1" s="1"/>
  <c r="U62" i="1"/>
  <c r="S62" i="1" s="1"/>
  <c r="W195" i="1"/>
  <c r="W60" i="1"/>
  <c r="W237" i="1"/>
  <c r="T18" i="3"/>
  <c r="AC18" i="3"/>
  <c r="AI200" i="1"/>
  <c r="U200" i="1"/>
  <c r="S200" i="1" s="1"/>
  <c r="W200" i="1"/>
  <c r="U17" i="1"/>
  <c r="S17" i="1" s="1"/>
  <c r="W104" i="1"/>
  <c r="W82" i="1"/>
  <c r="W160" i="1"/>
  <c r="W164" i="1"/>
  <c r="W62" i="1"/>
  <c r="U122" i="1"/>
  <c r="S122" i="1" s="1"/>
  <c r="AI194" i="1"/>
  <c r="U195" i="1"/>
  <c r="S195" i="1" s="1"/>
  <c r="U208" i="1"/>
  <c r="S208" i="1" s="1"/>
  <c r="U74" i="1"/>
  <c r="S74" i="1" s="1"/>
  <c r="W21" i="1"/>
  <c r="W74" i="1"/>
  <c r="W223" i="1"/>
  <c r="W126" i="1"/>
  <c r="W41" i="1"/>
  <c r="W50" i="1"/>
  <c r="U184" i="1"/>
  <c r="S184" i="1" s="1"/>
  <c r="W187" i="1"/>
  <c r="AI184" i="1"/>
  <c r="AI232" i="1"/>
  <c r="W98" i="1"/>
  <c r="W58" i="1"/>
  <c r="W155" i="1"/>
  <c r="W34" i="1"/>
  <c r="AI55" i="1"/>
  <c r="AI49" i="1"/>
  <c r="U33" i="1"/>
  <c r="S33" i="1" s="1"/>
  <c r="U49" i="1"/>
  <c r="S48" i="1" s="1"/>
  <c r="AI140" i="1"/>
  <c r="W152" i="1"/>
  <c r="AI195" i="1"/>
  <c r="AI218" i="1"/>
  <c r="AI226" i="1"/>
  <c r="U225" i="1"/>
  <c r="S225" i="1" s="1"/>
  <c r="W122" i="1"/>
  <c r="U236" i="1"/>
  <c r="S236" i="1" s="1"/>
  <c r="U167" i="1"/>
  <c r="S167" i="1" s="1"/>
  <c r="U175" i="1"/>
  <c r="S175" i="1" s="1"/>
  <c r="W140" i="1"/>
  <c r="U144" i="1"/>
  <c r="S144" i="1" s="1"/>
  <c r="U104" i="1"/>
  <c r="S104" i="1" s="1"/>
  <c r="AI104" i="1"/>
  <c r="W216" i="1"/>
  <c r="U16" i="1"/>
  <c r="S16" i="1" s="1"/>
  <c r="AI16" i="1"/>
  <c r="W37" i="1"/>
  <c r="U35" i="1"/>
  <c r="S35" i="1" s="1"/>
  <c r="AI35" i="1"/>
  <c r="U39" i="1"/>
  <c r="S39" i="1" s="1"/>
  <c r="AI39" i="1"/>
  <c r="W55" i="1"/>
  <c r="U88" i="1"/>
  <c r="S88" i="1" s="1"/>
  <c r="AI88" i="1"/>
  <c r="U139" i="1"/>
  <c r="S139" i="1" s="1"/>
  <c r="AI139" i="1"/>
  <c r="U147" i="1"/>
  <c r="S147" i="1" s="1"/>
  <c r="AI147" i="1"/>
  <c r="W197" i="1"/>
  <c r="W139" i="1"/>
  <c r="W147" i="1"/>
  <c r="W88" i="1"/>
  <c r="W232" i="1"/>
  <c r="W171" i="1"/>
  <c r="W215" i="1"/>
  <c r="AI220" i="1"/>
  <c r="W45" i="1"/>
  <c r="U82" i="1"/>
  <c r="S82" i="1" s="1"/>
  <c r="AI82" i="1"/>
  <c r="W89" i="1"/>
  <c r="U136" i="1"/>
  <c r="S136" i="1" s="1"/>
  <c r="W136" i="1"/>
  <c r="W236" i="1"/>
  <c r="W175" i="1"/>
  <c r="U160" i="1"/>
  <c r="S160" i="1" s="1"/>
  <c r="AI160" i="1"/>
  <c r="W39" i="1"/>
  <c r="U179" i="1"/>
  <c r="S179" i="1" s="1"/>
  <c r="W225" i="1"/>
  <c r="W202" i="1"/>
  <c r="U116" i="1"/>
  <c r="S116" i="1" s="1"/>
  <c r="AI116" i="1"/>
  <c r="W33" i="1"/>
  <c r="U222" i="1"/>
  <c r="S222" i="1" s="1"/>
  <c r="AI222" i="1"/>
  <c r="W218" i="1"/>
  <c r="W163" i="1"/>
  <c r="W35" i="1"/>
  <c r="U197" i="1"/>
  <c r="S197" i="1" s="1"/>
  <c r="W229" i="1"/>
  <c r="W193" i="1"/>
  <c r="AI14" i="1"/>
  <c r="U14" i="1"/>
  <c r="U57" i="1"/>
  <c r="S57" i="1" s="1"/>
  <c r="AI57" i="1"/>
  <c r="U65" i="1"/>
  <c r="S65" i="1" s="1"/>
  <c r="AI65" i="1"/>
  <c r="U73" i="1"/>
  <c r="S73" i="1" s="1"/>
  <c r="AI73" i="1"/>
  <c r="U81" i="1"/>
  <c r="S81" i="1" s="1"/>
  <c r="AI81" i="1"/>
  <c r="W65" i="1"/>
  <c r="W73" i="1"/>
  <c r="W81" i="1"/>
  <c r="W57" i="1"/>
  <c r="AI209" i="1"/>
  <c r="U185" i="1"/>
  <c r="S185" i="1" s="1"/>
  <c r="AI213" i="1"/>
  <c r="W185" i="1"/>
  <c r="U19" i="1"/>
  <c r="S19" i="1" s="1"/>
  <c r="AI19" i="1"/>
  <c r="U27" i="1"/>
  <c r="S27" i="1" s="1"/>
  <c r="AI27" i="1"/>
  <c r="AI18" i="1"/>
  <c r="U18" i="1"/>
  <c r="S18" i="1" s="1"/>
  <c r="AI34" i="1"/>
  <c r="U34" i="1"/>
  <c r="S34" i="1" s="1"/>
  <c r="AI50" i="1"/>
  <c r="U50" i="1"/>
  <c r="S50" i="1" s="1"/>
  <c r="AI95" i="1"/>
  <c r="U95" i="1"/>
  <c r="S95" i="1" s="1"/>
  <c r="AI103" i="1"/>
  <c r="U103" i="1"/>
  <c r="S103" i="1" s="1"/>
  <c r="AI111" i="1"/>
  <c r="U111" i="1"/>
  <c r="S111" i="1" s="1"/>
  <c r="W95" i="1"/>
  <c r="W111" i="1"/>
  <c r="U150" i="1"/>
  <c r="S150" i="1" s="1"/>
  <c r="W150" i="1"/>
  <c r="AI150" i="1"/>
  <c r="AI157" i="1"/>
  <c r="U157" i="1"/>
  <c r="S157" i="1" s="1"/>
  <c r="U183" i="1"/>
  <c r="S183" i="1" s="1"/>
  <c r="AI207" i="1"/>
  <c r="AI217" i="1"/>
  <c r="U194" i="1"/>
  <c r="S194" i="1" s="1"/>
  <c r="U23" i="1"/>
  <c r="S23" i="1" s="1"/>
  <c r="AI23" i="1"/>
  <c r="AI26" i="1"/>
  <c r="U26" i="1"/>
  <c r="AI30" i="1"/>
  <c r="U30" i="1"/>
  <c r="S30" i="1" s="1"/>
  <c r="AI46" i="1"/>
  <c r="U46" i="1"/>
  <c r="S46" i="1" s="1"/>
  <c r="U146" i="1"/>
  <c r="S146" i="1" s="1"/>
  <c r="AI146" i="1"/>
  <c r="AI22" i="1"/>
  <c r="U22" i="1"/>
  <c r="S22" i="1" s="1"/>
  <c r="AI38" i="1"/>
  <c r="U38" i="1"/>
  <c r="S38" i="1" s="1"/>
  <c r="W46" i="1"/>
  <c r="W19" i="1"/>
  <c r="W23" i="1"/>
  <c r="W27" i="1"/>
  <c r="U61" i="1"/>
  <c r="S61" i="1" s="1"/>
  <c r="AI61" i="1"/>
  <c r="U69" i="1"/>
  <c r="S69" i="1" s="1"/>
  <c r="AI69" i="1"/>
  <c r="U77" i="1"/>
  <c r="S77" i="1" s="1"/>
  <c r="AI77" i="1"/>
  <c r="W14" i="1"/>
  <c r="W18" i="1"/>
  <c r="AI115" i="1"/>
  <c r="U115" i="1"/>
  <c r="S115" i="1" s="1"/>
  <c r="W115" i="1"/>
  <c r="AI138" i="1"/>
  <c r="U138" i="1"/>
  <c r="S138" i="1" s="1"/>
  <c r="U154" i="1"/>
  <c r="S154" i="1" s="1"/>
  <c r="AI154" i="1"/>
  <c r="U149" i="1"/>
  <c r="S149" i="1" s="1"/>
  <c r="AI149" i="1"/>
  <c r="W149" i="1"/>
  <c r="AI159" i="1"/>
  <c r="U159" i="1"/>
  <c r="S159" i="1" s="1"/>
  <c r="AI163" i="1"/>
  <c r="U212" i="1"/>
  <c r="S212" i="1" s="1"/>
  <c r="AI167" i="1"/>
  <c r="U216" i="1"/>
  <c r="S216" i="1" s="1"/>
  <c r="AI171" i="1"/>
  <c r="U220" i="1"/>
  <c r="S220" i="1" s="1"/>
  <c r="AI175" i="1"/>
  <c r="U224" i="1"/>
  <c r="S224" i="1" s="1"/>
  <c r="AI179" i="1"/>
  <c r="U234" i="1"/>
  <c r="S234" i="1" s="1"/>
  <c r="AI183" i="1"/>
  <c r="U238" i="1"/>
  <c r="S238" i="1" s="1"/>
  <c r="AI187" i="1"/>
  <c r="U165" i="1"/>
  <c r="S165" i="1" s="1"/>
  <c r="AI192" i="1"/>
  <c r="U169" i="1"/>
  <c r="S169" i="1" s="1"/>
  <c r="AI196" i="1"/>
  <c r="U173" i="1"/>
  <c r="S173" i="1" s="1"/>
  <c r="AI201" i="1"/>
  <c r="U177" i="1"/>
  <c r="S177" i="1" s="1"/>
  <c r="AI205" i="1"/>
  <c r="U181" i="1"/>
  <c r="S181" i="1" s="1"/>
  <c r="U187" i="1"/>
  <c r="S187" i="1" s="1"/>
  <c r="AI211" i="1"/>
  <c r="W212" i="1"/>
  <c r="W220" i="1"/>
  <c r="W224" i="1"/>
  <c r="W234" i="1"/>
  <c r="W238" i="1"/>
  <c r="W165" i="1"/>
  <c r="W169" i="1"/>
  <c r="W173" i="1"/>
  <c r="W177" i="1"/>
  <c r="W181" i="1"/>
  <c r="AI221" i="1"/>
  <c r="U198" i="1"/>
  <c r="S198" i="1" s="1"/>
  <c r="W157" i="1"/>
  <c r="U31" i="1"/>
  <c r="S31" i="1" s="1"/>
  <c r="AI31" i="1"/>
  <c r="AI42" i="1"/>
  <c r="U42" i="1"/>
  <c r="S42" i="1" s="1"/>
  <c r="AI87" i="1"/>
  <c r="U87" i="1"/>
  <c r="S87" i="1" s="1"/>
  <c r="AI91" i="1"/>
  <c r="U91" i="1"/>
  <c r="S91" i="1" s="1"/>
  <c r="AI99" i="1"/>
  <c r="U99" i="1"/>
  <c r="S99" i="1" s="1"/>
  <c r="AI107" i="1"/>
  <c r="U107" i="1"/>
  <c r="S107" i="1" s="1"/>
  <c r="AI119" i="1"/>
  <c r="U119" i="1"/>
  <c r="S119" i="1" s="1"/>
  <c r="AI142" i="1"/>
  <c r="U142" i="1"/>
  <c r="S142" i="1" s="1"/>
  <c r="U153" i="1"/>
  <c r="S153" i="1" s="1"/>
  <c r="AI153" i="1"/>
  <c r="AI235" i="1"/>
  <c r="U226" i="1"/>
  <c r="S226" i="1" s="1"/>
  <c r="AI239" i="1"/>
  <c r="U230" i="1"/>
  <c r="S230" i="1" s="1"/>
  <c r="W230" i="1"/>
  <c r="AD18" i="3"/>
  <c r="AE18" i="3"/>
  <c r="Y18" i="3"/>
  <c r="M23" i="5" l="1"/>
  <c r="D22" i="10" l="1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22" i="10"/>
  <c r="L22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AF13" i="1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K23" i="10" l="1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G34" i="10" s="1"/>
  <c r="Q31" i="10"/>
  <c r="Q29" i="10"/>
  <c r="Q26" i="10"/>
  <c r="Q23" i="10"/>
  <c r="H23" i="10" s="1"/>
  <c r="Q22" i="10"/>
  <c r="H22" i="10" s="1"/>
  <c r="Q18" i="10"/>
  <c r="H18" i="10" s="1"/>
  <c r="Q15" i="10"/>
  <c r="H15" i="10" s="1"/>
  <c r="Q13" i="10"/>
  <c r="H13" i="10" s="1"/>
  <c r="Q11" i="10"/>
  <c r="Q9" i="10"/>
  <c r="Q7" i="10"/>
  <c r="Q5" i="10"/>
  <c r="Q35" i="10"/>
  <c r="G35" i="10" s="1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I5" i="10" l="1"/>
  <c r="H5" i="10"/>
  <c r="G4" i="10"/>
  <c r="I23" i="10"/>
  <c r="G20" i="10"/>
  <c r="D25" i="10"/>
  <c r="K24" i="10"/>
  <c r="L24" i="10" s="1"/>
  <c r="G24" i="10" s="1"/>
  <c r="I34" i="10"/>
  <c r="I22" i="10"/>
  <c r="I18" i="10"/>
  <c r="I16" i="10"/>
  <c r="I14" i="10"/>
  <c r="G3" i="10"/>
  <c r="H34" i="10"/>
  <c r="G2" i="10"/>
  <c r="G19" i="10"/>
  <c r="H35" i="10"/>
  <c r="G16" i="10"/>
  <c r="G22" i="10"/>
  <c r="G6" i="10"/>
  <c r="G12" i="10"/>
  <c r="K7" i="10"/>
  <c r="L7" i="10" s="1"/>
  <c r="H7" i="10" s="1"/>
  <c r="D8" i="10"/>
  <c r="G15" i="10"/>
  <c r="G14" i="10"/>
  <c r="G17" i="10"/>
  <c r="G13" i="10"/>
  <c r="G23" i="10"/>
  <c r="G18" i="10"/>
  <c r="G5" i="10"/>
  <c r="G21" i="10"/>
  <c r="K13" i="1"/>
  <c r="M13" i="1"/>
  <c r="P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G7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C94" i="9" s="1"/>
  <c r="B95" i="9"/>
  <c r="B96" i="9"/>
  <c r="C96" i="9" s="1"/>
  <c r="B97" i="9"/>
  <c r="B98" i="9"/>
  <c r="C98" i="9" s="1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C114" i="9"/>
  <c r="B115" i="9"/>
  <c r="B116" i="9"/>
  <c r="B117" i="9"/>
  <c r="B118" i="9"/>
  <c r="C118" i="9" s="1"/>
  <c r="B119" i="9"/>
  <c r="B120" i="9"/>
  <c r="C120" i="9" s="1"/>
  <c r="B121" i="9"/>
  <c r="B122" i="9"/>
  <c r="C122" i="9" s="1"/>
  <c r="B123" i="9"/>
  <c r="B124" i="9"/>
  <c r="B125" i="9"/>
  <c r="B126" i="9"/>
  <c r="B127" i="9"/>
  <c r="B128" i="9"/>
  <c r="C128" i="9" s="1"/>
  <c r="B129" i="9"/>
  <c r="B130" i="9"/>
  <c r="G25" i="10" l="1"/>
  <c r="H25" i="10"/>
  <c r="L9" i="10"/>
  <c r="H9" i="10" s="1"/>
  <c r="I9" i="10"/>
  <c r="L26" i="10"/>
  <c r="I26" i="10"/>
  <c r="G8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G9" i="10"/>
  <c r="L10" i="10"/>
  <c r="H10" i="10" s="1"/>
  <c r="I10" i="10"/>
  <c r="L27" i="10"/>
  <c r="I27" i="10"/>
  <c r="G26" i="10"/>
  <c r="H26" i="10"/>
  <c r="B87" i="9"/>
  <c r="B88" i="9"/>
  <c r="B89" i="9"/>
  <c r="B90" i="9"/>
  <c r="B91" i="9"/>
  <c r="B92" i="9"/>
  <c r="G11" i="10" l="1"/>
  <c r="G10" i="10"/>
  <c r="H27" i="10"/>
  <c r="G27" i="10"/>
  <c r="D30" i="10"/>
  <c r="K29" i="10"/>
  <c r="L28" i="10"/>
  <c r="I28" i="10"/>
  <c r="C88" i="9"/>
  <c r="C92" i="9"/>
  <c r="C93" i="9"/>
  <c r="C90" i="9"/>
  <c r="C89" i="9"/>
  <c r="C91" i="9"/>
  <c r="H28" i="10" l="1"/>
  <c r="G28" i="10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G29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G30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G31" i="10"/>
  <c r="H31" i="10"/>
  <c r="L32" i="10"/>
  <c r="I32" i="10"/>
  <c r="C61" i="9"/>
  <c r="C57" i="9"/>
  <c r="C59" i="9"/>
  <c r="C62" i="9"/>
  <c r="C60" i="9"/>
  <c r="C58" i="9"/>
  <c r="C56" i="9"/>
  <c r="H32" i="10" l="1"/>
  <c r="G32" i="10"/>
  <c r="G33" i="10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AN13" i="1"/>
  <c r="AD7" i="3"/>
  <c r="B31" i="9"/>
  <c r="B32" i="9"/>
  <c r="C33" i="9" s="1"/>
  <c r="S32" i="3" l="1"/>
  <c r="S28" i="3"/>
  <c r="S18" i="3"/>
  <c r="AE7" i="3"/>
  <c r="C32" i="9"/>
  <c r="G3" i="4" l="1"/>
  <c r="G4" i="4"/>
  <c r="G5" i="4"/>
  <c r="G6" i="4"/>
  <c r="G7" i="4"/>
  <c r="G8" i="4"/>
  <c r="G9" i="4"/>
  <c r="G10" i="4"/>
  <c r="G11" i="4"/>
  <c r="G12" i="4"/>
  <c r="G13" i="4"/>
  <c r="N24" i="3" s="1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N26" i="3" s="1"/>
  <c r="G30" i="4"/>
  <c r="N33" i="3" s="1"/>
  <c r="G31" i="4"/>
  <c r="G32" i="4"/>
  <c r="G33" i="4"/>
  <c r="G34" i="4"/>
  <c r="G35" i="4"/>
  <c r="G36" i="4"/>
  <c r="G37" i="4"/>
  <c r="G38" i="4"/>
  <c r="G39" i="4"/>
  <c r="G40" i="4"/>
  <c r="N34" i="3" s="1"/>
  <c r="G41" i="4"/>
  <c r="N47" i="3" s="1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N35" i="3" s="1"/>
  <c r="G55" i="4"/>
  <c r="G56" i="4"/>
  <c r="G57" i="4"/>
  <c r="G58" i="4"/>
  <c r="G59" i="4"/>
  <c r="G60" i="4"/>
  <c r="G61" i="4"/>
  <c r="G62" i="4"/>
  <c r="G63" i="4"/>
  <c r="N30" i="3" s="1"/>
  <c r="G64" i="4"/>
  <c r="G65" i="4"/>
  <c r="G66" i="4"/>
  <c r="G67" i="4"/>
  <c r="G68" i="4"/>
  <c r="G69" i="4"/>
  <c r="G70" i="4"/>
  <c r="G71" i="4"/>
  <c r="G72" i="4"/>
  <c r="G73" i="4"/>
  <c r="N29" i="3" s="1"/>
  <c r="G74" i="4"/>
  <c r="G75" i="4"/>
  <c r="G76" i="4"/>
  <c r="G77" i="4"/>
  <c r="G78" i="4"/>
  <c r="N27" i="3" s="1"/>
  <c r="G79" i="4"/>
  <c r="G80" i="4"/>
  <c r="G81" i="4"/>
  <c r="G82" i="4"/>
  <c r="G83" i="4"/>
  <c r="G84" i="4"/>
  <c r="G85" i="4"/>
  <c r="G86" i="4"/>
  <c r="N42" i="3" s="1"/>
  <c r="G87" i="4"/>
  <c r="G88" i="4"/>
  <c r="G89" i="4"/>
  <c r="G90" i="4"/>
  <c r="G91" i="4"/>
  <c r="G92" i="4"/>
  <c r="G93" i="4"/>
  <c r="N58" i="3" s="1"/>
  <c r="G94" i="4"/>
  <c r="G95" i="4"/>
  <c r="N36" i="3" s="1"/>
  <c r="G96" i="4"/>
  <c r="N44" i="3" s="1"/>
  <c r="G97" i="4"/>
  <c r="G98" i="4"/>
  <c r="G99" i="4"/>
  <c r="G100" i="4"/>
  <c r="G101" i="4"/>
  <c r="N37" i="3" s="1"/>
  <c r="G102" i="4"/>
  <c r="G103" i="4"/>
  <c r="G104" i="4"/>
  <c r="G105" i="4"/>
  <c r="N20" i="3" s="1"/>
  <c r="G106" i="4"/>
  <c r="G107" i="4"/>
  <c r="G108" i="4"/>
  <c r="G109" i="4"/>
  <c r="G110" i="4"/>
  <c r="G111" i="4"/>
  <c r="G112" i="4"/>
  <c r="N38" i="3" s="1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N43" i="3" s="1"/>
  <c r="G126" i="4"/>
  <c r="N39" i="3" s="1"/>
  <c r="G127" i="4"/>
  <c r="G128" i="4"/>
  <c r="G129" i="4"/>
  <c r="G130" i="4"/>
  <c r="N40" i="3" s="1"/>
  <c r="G131" i="4"/>
  <c r="N9" i="3" s="1"/>
  <c r="G132" i="4"/>
  <c r="G133" i="4"/>
  <c r="N54" i="3" s="1"/>
  <c r="G134" i="4"/>
  <c r="N22" i="3" s="1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N55" i="3" s="1"/>
  <c r="G153" i="4"/>
  <c r="G154" i="4"/>
  <c r="G155" i="4"/>
  <c r="G156" i="4"/>
  <c r="G157" i="4"/>
  <c r="G158" i="4"/>
  <c r="G159" i="4"/>
  <c r="N19" i="3" s="1"/>
  <c r="G160" i="4"/>
  <c r="G161" i="4"/>
  <c r="N16" i="3" s="1"/>
  <c r="G162" i="4"/>
  <c r="G163" i="4"/>
  <c r="N49" i="3" s="1"/>
  <c r="G164" i="4"/>
  <c r="G165" i="4"/>
  <c r="N23" i="3" s="1"/>
  <c r="G166" i="4"/>
  <c r="N48" i="3" s="1"/>
  <c r="G167" i="4"/>
  <c r="G168" i="4"/>
  <c r="G169" i="4"/>
  <c r="G170" i="4"/>
  <c r="G171" i="4"/>
  <c r="G172" i="4"/>
  <c r="G173" i="4"/>
  <c r="G174" i="4"/>
  <c r="G175" i="4"/>
  <c r="G176" i="4"/>
  <c r="N51" i="3" s="1"/>
  <c r="G177" i="4"/>
  <c r="G178" i="4"/>
  <c r="G179" i="4"/>
  <c r="N41" i="3" s="1"/>
  <c r="G180" i="4"/>
  <c r="G181" i="4"/>
  <c r="G182" i="4"/>
  <c r="G183" i="4"/>
  <c r="N59" i="3" s="1"/>
  <c r="G184" i="4"/>
  <c r="G185" i="4"/>
  <c r="N7" i="3" s="1"/>
  <c r="G186" i="4"/>
  <c r="G187" i="4"/>
  <c r="G188" i="4"/>
  <c r="G189" i="4"/>
  <c r="G190" i="4"/>
  <c r="G191" i="4"/>
  <c r="G192" i="4"/>
  <c r="G193" i="4"/>
  <c r="G194" i="4"/>
  <c r="N31" i="3" s="1"/>
  <c r="G195" i="4"/>
  <c r="G196" i="4"/>
  <c r="G197" i="4"/>
  <c r="G198" i="4"/>
  <c r="G199" i="4"/>
  <c r="G200" i="4"/>
  <c r="G201" i="4"/>
  <c r="N53" i="3" s="1"/>
  <c r="G202" i="4"/>
  <c r="G203" i="4"/>
  <c r="G204" i="4"/>
  <c r="N8" i="3" s="1"/>
  <c r="G205" i="4"/>
  <c r="G206" i="4"/>
  <c r="G207" i="4"/>
  <c r="G208" i="4"/>
  <c r="G209" i="4"/>
  <c r="G210" i="4"/>
  <c r="G211" i="4"/>
  <c r="G212" i="4"/>
  <c r="N15" i="3" s="1"/>
  <c r="G213" i="4"/>
  <c r="N45" i="3" s="1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46" i="3" l="1"/>
  <c r="N52" i="3"/>
  <c r="N50" i="3"/>
  <c r="N28" i="3"/>
  <c r="N32" i="3"/>
  <c r="N17" i="3"/>
  <c r="N25" i="3"/>
  <c r="N56" i="3"/>
  <c r="N57" i="3"/>
  <c r="N10" i="3"/>
  <c r="N11" i="3"/>
  <c r="N14" i="3"/>
  <c r="N21" i="3"/>
  <c r="N12" i="3"/>
  <c r="N13" i="3"/>
  <c r="N18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J3" i="6"/>
  <c r="H3" i="6"/>
  <c r="G3" i="6"/>
  <c r="B4" i="6"/>
  <c r="I4" i="6" l="1"/>
  <c r="F4" i="6"/>
  <c r="H4" i="6"/>
  <c r="J4" i="6"/>
  <c r="G4" i="6"/>
  <c r="B5" i="6"/>
  <c r="I5" i="6" l="1"/>
  <c r="F5" i="6"/>
  <c r="H5" i="6"/>
  <c r="J5" i="6"/>
  <c r="G5" i="6"/>
  <c r="B6" i="6"/>
  <c r="I6" i="6" l="1"/>
  <c r="F6" i="6"/>
  <c r="H6" i="6"/>
  <c r="J6" i="6"/>
  <c r="G6" i="6"/>
  <c r="B7" i="6" l="1"/>
  <c r="I7" i="6" l="1"/>
  <c r="F7" i="6"/>
  <c r="B8" i="6"/>
  <c r="J7" i="6"/>
  <c r="G7" i="6"/>
  <c r="H7" i="6"/>
  <c r="I8" i="6" l="1"/>
  <c r="F8" i="6"/>
  <c r="B9" i="6"/>
  <c r="J8" i="6"/>
  <c r="G8" i="6"/>
  <c r="H8" i="6"/>
  <c r="I9" i="6" l="1"/>
  <c r="F9" i="6"/>
  <c r="H9" i="6"/>
  <c r="J9" i="6"/>
  <c r="G9" i="6"/>
  <c r="B10" i="6"/>
  <c r="I10" i="6" l="1"/>
  <c r="F10" i="6"/>
  <c r="B11" i="6"/>
  <c r="G10" i="6"/>
  <c r="J10" i="6"/>
  <c r="H10" i="6"/>
  <c r="I11" i="6" l="1"/>
  <c r="F11" i="6"/>
  <c r="G11" i="6"/>
  <c r="H11" i="6"/>
  <c r="J11" i="6"/>
  <c r="B12" i="6"/>
  <c r="I12" i="6" l="1"/>
  <c r="F12" i="6"/>
  <c r="J12" i="6"/>
  <c r="G12" i="6"/>
  <c r="H12" i="6"/>
  <c r="B13" i="6"/>
  <c r="I13" i="6" l="1"/>
  <c r="F13" i="6"/>
  <c r="G13" i="6"/>
  <c r="H13" i="6"/>
  <c r="J13" i="6"/>
  <c r="B14" i="6"/>
  <c r="I14" i="6" l="1"/>
  <c r="F14" i="6"/>
  <c r="B15" i="6"/>
  <c r="J14" i="6"/>
  <c r="H14" i="6"/>
  <c r="G14" i="6"/>
  <c r="I15" i="6" l="1"/>
  <c r="F15" i="6"/>
  <c r="J15" i="6"/>
  <c r="G15" i="6"/>
  <c r="H15" i="6"/>
  <c r="B16" i="6"/>
  <c r="I16" i="6" l="1"/>
  <c r="F16" i="6"/>
  <c r="B17" i="6"/>
  <c r="G16" i="6"/>
  <c r="J16" i="6"/>
  <c r="H16" i="6"/>
  <c r="I17" i="6" l="1"/>
  <c r="F17" i="6"/>
  <c r="G17" i="6"/>
  <c r="J17" i="6"/>
  <c r="H17" i="6"/>
  <c r="B18" i="6"/>
  <c r="I18" i="6" l="1"/>
  <c r="F18" i="6"/>
  <c r="B19" i="6"/>
  <c r="G18" i="6"/>
  <c r="J18" i="6"/>
  <c r="H18" i="6"/>
  <c r="I19" i="6" l="1"/>
  <c r="F19" i="6"/>
  <c r="G19" i="6"/>
  <c r="H19" i="6"/>
  <c r="J19" i="6"/>
  <c r="B20" i="6"/>
  <c r="I20" i="6" l="1"/>
  <c r="F20" i="6"/>
  <c r="B21" i="6"/>
  <c r="G20" i="6"/>
  <c r="H20" i="6"/>
  <c r="J20" i="6"/>
  <c r="I21" i="6" l="1"/>
  <c r="F21" i="6"/>
  <c r="G21" i="6"/>
  <c r="H21" i="6"/>
  <c r="J21" i="6"/>
  <c r="B22" i="6"/>
  <c r="I22" i="6" l="1"/>
  <c r="F22" i="6"/>
  <c r="G22" i="6"/>
  <c r="H22" i="6"/>
  <c r="J22" i="6"/>
  <c r="B23" i="6"/>
  <c r="I23" i="6" l="1"/>
  <c r="F23" i="6"/>
  <c r="B24" i="6"/>
  <c r="J23" i="6"/>
  <c r="G23" i="6"/>
  <c r="H23" i="6"/>
  <c r="I24" i="6" l="1"/>
  <c r="F24" i="6"/>
  <c r="B25" i="6"/>
  <c r="J24" i="6"/>
  <c r="G24" i="6"/>
  <c r="H24" i="6"/>
  <c r="I25" i="6" l="1"/>
  <c r="F25" i="6"/>
  <c r="H25" i="6"/>
  <c r="G25" i="6"/>
  <c r="J25" i="6"/>
  <c r="B26" i="6"/>
  <c r="I26" i="6" l="1"/>
  <c r="F26" i="6"/>
  <c r="B27" i="6"/>
  <c r="G26" i="6"/>
  <c r="J26" i="6"/>
  <c r="H26" i="6"/>
  <c r="I27" i="6" l="1"/>
  <c r="F27" i="6"/>
  <c r="B28" i="6"/>
  <c r="J27" i="6"/>
  <c r="G27" i="6"/>
  <c r="H27" i="6"/>
  <c r="I28" i="6" l="1"/>
  <c r="F28" i="6"/>
  <c r="J28" i="6"/>
  <c r="G28" i="6"/>
  <c r="H28" i="6"/>
  <c r="B29" i="6"/>
  <c r="I29" i="6" l="1"/>
  <c r="F29" i="6"/>
  <c r="H29" i="6"/>
  <c r="J29" i="6"/>
  <c r="G29" i="6"/>
  <c r="B30" i="6"/>
  <c r="I30" i="6" l="1"/>
  <c r="F30" i="6"/>
  <c r="B31" i="6"/>
  <c r="J30" i="6"/>
  <c r="H30" i="6"/>
  <c r="G30" i="6"/>
  <c r="I31" i="6" l="1"/>
  <c r="F31" i="6"/>
  <c r="J31" i="6"/>
  <c r="G31" i="6"/>
  <c r="H31" i="6"/>
  <c r="B32" i="6"/>
  <c r="I32" i="6" l="1"/>
  <c r="F32" i="6"/>
  <c r="G32" i="6"/>
  <c r="H32" i="6"/>
  <c r="J32" i="6"/>
  <c r="B33" i="6"/>
  <c r="I33" i="6" l="1"/>
  <c r="F33" i="6"/>
  <c r="G33" i="6"/>
  <c r="H33" i="6"/>
  <c r="J33" i="6"/>
  <c r="B34" i="6"/>
  <c r="I34" i="6" l="1"/>
  <c r="F34" i="6"/>
  <c r="B35" i="6"/>
  <c r="J34" i="6"/>
  <c r="H34" i="6"/>
  <c r="G34" i="6"/>
  <c r="I35" i="6" l="1"/>
  <c r="F35" i="6"/>
  <c r="B36" i="6"/>
  <c r="J35" i="6"/>
  <c r="G35" i="6"/>
  <c r="H35" i="6"/>
  <c r="I36" i="6" l="1"/>
  <c r="F36" i="6"/>
  <c r="H36" i="6"/>
  <c r="G36" i="6"/>
  <c r="J36" i="6"/>
  <c r="B37" i="6"/>
  <c r="I37" i="6" l="1"/>
  <c r="F37" i="6"/>
  <c r="G37" i="6"/>
  <c r="H37" i="6"/>
  <c r="J37" i="6"/>
  <c r="B38" i="6"/>
  <c r="I38" i="6" l="1"/>
  <c r="F38" i="6"/>
  <c r="B39" i="6"/>
  <c r="J38" i="6"/>
  <c r="H38" i="6"/>
  <c r="G38" i="6"/>
  <c r="I39" i="6" l="1"/>
  <c r="F39" i="6"/>
  <c r="B40" i="6"/>
  <c r="J39" i="6"/>
  <c r="G39" i="6"/>
  <c r="H39" i="6"/>
  <c r="I40" i="6" l="1"/>
  <c r="F40" i="6"/>
  <c r="B41" i="6"/>
  <c r="J40" i="6"/>
  <c r="G40" i="6"/>
  <c r="H40" i="6"/>
  <c r="I41" i="6" l="1"/>
  <c r="F41" i="6"/>
  <c r="J41" i="6"/>
  <c r="H41" i="6"/>
  <c r="G41" i="6"/>
  <c r="B42" i="6"/>
  <c r="I42" i="6" l="1"/>
  <c r="F42" i="6"/>
  <c r="J42" i="6"/>
  <c r="H42" i="6"/>
  <c r="G42" i="6"/>
  <c r="B43" i="6"/>
  <c r="I43" i="6" l="1"/>
  <c r="F43" i="6"/>
  <c r="J43" i="6"/>
  <c r="G43" i="6"/>
  <c r="H43" i="6"/>
  <c r="B44" i="6"/>
  <c r="I44" i="6" l="1"/>
  <c r="F44" i="6"/>
  <c r="B45" i="6"/>
  <c r="G44" i="6"/>
  <c r="H44" i="6"/>
  <c r="J44" i="6"/>
  <c r="I45" i="6" l="1"/>
  <c r="F45" i="6"/>
  <c r="G45" i="6"/>
  <c r="H45" i="6"/>
  <c r="J45" i="6"/>
  <c r="B46" i="6"/>
  <c r="I46" i="6" l="1"/>
  <c r="F46" i="6"/>
  <c r="B47" i="6"/>
  <c r="J46" i="6"/>
  <c r="G46" i="6"/>
  <c r="H46" i="6"/>
  <c r="I47" i="6" l="1"/>
  <c r="F47" i="6"/>
  <c r="H47" i="6"/>
  <c r="G47" i="6"/>
  <c r="J47" i="6"/>
  <c r="B48" i="6"/>
  <c r="I48" i="6" l="1"/>
  <c r="F48" i="6"/>
  <c r="B49" i="6"/>
  <c r="H48" i="6"/>
  <c r="G48" i="6"/>
  <c r="J48" i="6"/>
  <c r="I49" i="6" l="1"/>
  <c r="F49" i="6"/>
  <c r="B50" i="6"/>
  <c r="J49" i="6"/>
  <c r="H49" i="6"/>
  <c r="G49" i="6"/>
  <c r="I50" i="6" l="1"/>
  <c r="F50" i="6"/>
  <c r="J50" i="6"/>
  <c r="H50" i="6"/>
  <c r="G50" i="6"/>
  <c r="B51" i="6"/>
  <c r="I51" i="6" l="1"/>
  <c r="F51" i="6"/>
  <c r="J51" i="6"/>
  <c r="H51" i="6"/>
  <c r="G51" i="6"/>
  <c r="B52" i="6"/>
  <c r="I52" i="6" l="1"/>
  <c r="F52" i="6"/>
  <c r="B53" i="6"/>
  <c r="J52" i="6"/>
  <c r="G52" i="6"/>
  <c r="H52" i="6"/>
  <c r="I53" i="6" l="1"/>
  <c r="F53" i="6"/>
  <c r="B54" i="6"/>
  <c r="G53" i="6"/>
  <c r="H53" i="6"/>
  <c r="J53" i="6"/>
  <c r="I54" i="6" l="1"/>
  <c r="F54" i="6"/>
  <c r="B55" i="6"/>
  <c r="J54" i="6"/>
  <c r="H54" i="6"/>
  <c r="G54" i="6"/>
  <c r="I55" i="6" l="1"/>
  <c r="F55" i="6"/>
  <c r="B56" i="6"/>
  <c r="H55" i="6"/>
  <c r="J55" i="6"/>
  <c r="G55" i="6"/>
  <c r="I56" i="6" l="1"/>
  <c r="F56" i="6"/>
  <c r="G56" i="6"/>
  <c r="H56" i="6"/>
  <c r="J56" i="6"/>
  <c r="B57" i="6"/>
  <c r="I57" i="6" l="1"/>
  <c r="F57" i="6"/>
  <c r="B58" i="6"/>
  <c r="G57" i="6"/>
  <c r="J57" i="6"/>
  <c r="H57" i="6"/>
  <c r="I58" i="6" l="1"/>
  <c r="F58" i="6"/>
  <c r="H58" i="6"/>
  <c r="J58" i="6"/>
  <c r="G58" i="6"/>
  <c r="B59" i="6"/>
  <c r="I59" i="6" l="1"/>
  <c r="F59" i="6"/>
  <c r="H59" i="6"/>
  <c r="G59" i="6"/>
  <c r="J59" i="6"/>
  <c r="B60" i="6"/>
  <c r="I60" i="6" l="1"/>
  <c r="F60" i="6"/>
  <c r="H60" i="6"/>
  <c r="G60" i="6"/>
  <c r="J60" i="6"/>
  <c r="B61" i="6"/>
  <c r="I61" i="6" l="1"/>
  <c r="F61" i="6"/>
  <c r="H61" i="6"/>
  <c r="J61" i="6"/>
  <c r="G61" i="6"/>
  <c r="B62" i="6"/>
  <c r="I62" i="6" l="1"/>
  <c r="F62" i="6"/>
  <c r="J62" i="6"/>
  <c r="G62" i="6"/>
  <c r="H62" i="6"/>
  <c r="B63" i="6"/>
  <c r="I63" i="6" l="1"/>
  <c r="F63" i="6"/>
  <c r="J63" i="6"/>
  <c r="H63" i="6"/>
  <c r="G63" i="6"/>
  <c r="B64" i="6"/>
  <c r="I64" i="6" l="1"/>
  <c r="F64" i="6"/>
  <c r="G64" i="6"/>
  <c r="H64" i="6"/>
  <c r="J64" i="6"/>
  <c r="B65" i="6"/>
  <c r="I65" i="6" l="1"/>
  <c r="F65" i="6"/>
  <c r="B66" i="6"/>
  <c r="J65" i="6"/>
  <c r="G65" i="6"/>
  <c r="H65" i="6"/>
  <c r="I66" i="6" l="1"/>
  <c r="F66" i="6"/>
  <c r="J66" i="6"/>
  <c r="H66" i="6"/>
  <c r="G66" i="6"/>
  <c r="B67" i="6"/>
  <c r="I67" i="6" l="1"/>
  <c r="F67" i="6"/>
  <c r="B68" i="6"/>
  <c r="J67" i="6"/>
  <c r="G67" i="6"/>
  <c r="H67" i="6"/>
  <c r="I68" i="6" l="1"/>
  <c r="F68" i="6"/>
  <c r="B69" i="6"/>
  <c r="H68" i="6"/>
  <c r="G68" i="6"/>
  <c r="J68" i="6"/>
  <c r="I69" i="6" l="1"/>
  <c r="F69" i="6"/>
  <c r="B70" i="6"/>
  <c r="J69" i="6"/>
  <c r="G69" i="6"/>
  <c r="H69" i="6"/>
  <c r="I70" i="6" l="1"/>
  <c r="F70" i="6"/>
  <c r="B71" i="6"/>
  <c r="J70" i="6"/>
  <c r="H70" i="6"/>
  <c r="G70" i="6"/>
  <c r="I71" i="6" l="1"/>
  <c r="F71" i="6"/>
  <c r="G71" i="6"/>
  <c r="H71" i="6"/>
  <c r="J71" i="6"/>
  <c r="B72" i="6"/>
  <c r="I72" i="6" l="1"/>
  <c r="F72" i="6"/>
  <c r="B73" i="6"/>
  <c r="J72" i="6"/>
  <c r="G72" i="6"/>
  <c r="H72" i="6"/>
  <c r="I73" i="6" l="1"/>
  <c r="F73" i="6"/>
  <c r="G73" i="6"/>
  <c r="H73" i="6"/>
  <c r="J73" i="6"/>
  <c r="B74" i="6"/>
  <c r="I74" i="6" l="1"/>
  <c r="F74" i="6"/>
  <c r="H74" i="6"/>
  <c r="G74" i="6"/>
  <c r="J74" i="6"/>
  <c r="B75" i="6"/>
  <c r="I75" i="6" l="1"/>
  <c r="F75" i="6"/>
  <c r="J75" i="6"/>
  <c r="H75" i="6"/>
  <c r="G75" i="6"/>
  <c r="B76" i="6"/>
  <c r="I76" i="6" l="1"/>
  <c r="F76" i="6"/>
  <c r="H76" i="6"/>
  <c r="G76" i="6"/>
  <c r="J76" i="6"/>
  <c r="B77" i="6"/>
  <c r="I77" i="6" l="1"/>
  <c r="F77" i="6"/>
  <c r="H77" i="6"/>
  <c r="G77" i="6"/>
  <c r="J77" i="6"/>
  <c r="B78" i="6"/>
  <c r="I78" i="6" l="1"/>
  <c r="F78" i="6"/>
  <c r="J78" i="6"/>
  <c r="G78" i="6"/>
  <c r="H78" i="6"/>
  <c r="B79" i="6"/>
  <c r="I79" i="6" l="1"/>
  <c r="F79" i="6"/>
  <c r="G79" i="6"/>
  <c r="H79" i="6"/>
  <c r="J79" i="6"/>
  <c r="B80" i="6"/>
  <c r="I80" i="6" l="1"/>
  <c r="F80" i="6"/>
  <c r="B81" i="6"/>
  <c r="H80" i="6"/>
  <c r="G80" i="6"/>
  <c r="J80" i="6"/>
  <c r="I81" i="6" l="1"/>
  <c r="F81" i="6"/>
  <c r="B82" i="6"/>
  <c r="J81" i="6"/>
  <c r="G81" i="6"/>
  <c r="H81" i="6"/>
  <c r="I82" i="6" l="1"/>
  <c r="F82" i="6"/>
  <c r="H82" i="6"/>
  <c r="G82" i="6"/>
  <c r="J82" i="6"/>
  <c r="B83" i="6"/>
  <c r="I83" i="6" l="1"/>
  <c r="F83" i="6"/>
  <c r="H83" i="6"/>
  <c r="J83" i="6"/>
  <c r="G83" i="6"/>
  <c r="B84" i="6"/>
  <c r="I84" i="6" l="1"/>
  <c r="F84" i="6"/>
  <c r="G84" i="6"/>
  <c r="J84" i="6"/>
  <c r="H84" i="6"/>
  <c r="B85" i="6"/>
  <c r="I85" i="6" l="1"/>
  <c r="F85" i="6"/>
  <c r="B86" i="6"/>
  <c r="H85" i="6"/>
  <c r="J85" i="6"/>
  <c r="G85" i="6"/>
  <c r="I86" i="6" l="1"/>
  <c r="F86" i="6"/>
  <c r="B87" i="6"/>
  <c r="J86" i="6"/>
  <c r="H86" i="6"/>
  <c r="G86" i="6"/>
  <c r="I87" i="6" l="1"/>
  <c r="F87" i="6"/>
  <c r="B89" i="6"/>
  <c r="B88" i="6"/>
  <c r="G87" i="6"/>
  <c r="H87" i="6"/>
  <c r="J87" i="6"/>
  <c r="I88" i="6" l="1"/>
  <c r="F88" i="6"/>
  <c r="I89" i="6"/>
  <c r="F89" i="6"/>
  <c r="G88" i="6"/>
  <c r="H88" i="6"/>
  <c r="J88" i="6"/>
  <c r="J89" i="6"/>
  <c r="G89" i="6"/>
  <c r="H89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<sst xmlns="http://schemas.openxmlformats.org/spreadsheetml/2006/main" count="3088" uniqueCount="1061">
  <si>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</si>
  <si>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</si>
  <si>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</si>
  <si>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</si>
  <si>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</si>
  <si>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</si>
  <si>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</si>
  <si>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</si>
  <si>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</si>
  <si>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</si>
  <si>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</si>
  <si>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</si>
  <si>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</si>
  <si>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</si>
  <si>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</si>
  <si>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</si>
  <si>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</si>
  <si>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</si>
  <si>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</si>
  <si>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</si>
  <si>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</si>
  <si>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</si>
  <si>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</si>
  <si>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</si>
  <si>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</si>
  <si>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</si>
  <si>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</si>
  <si>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</si>
  <si>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</si>
  <si>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</si>
  <si>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</si>
  <si>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</si>
  <si>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</si>
  <si>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</si>
  <si>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</si>
  <si>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</si>
  <si>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</si>
  <si>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</si>
  <si>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</si>
  <si>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</si>
  <si>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</si>
  <si>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</si>
  <si>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</si>
  <si>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</si>
  <si>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</si>
  <si>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</si>
  <si>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</si>
  <si>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</si>
  <si>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</si>
  <si>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</si>
  <si>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</si>
  <si>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</si>
  <si>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</si>
  <si>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</si>
  <si>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</si>
  <si>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</si>
  <si>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</si>
  <si>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</si>
  <si>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</si>
  <si>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</si>
  <si>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</si>
  <si>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</si>
  <si>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</si>
  <si>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</si>
  <si>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</si>
  <si>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</si>
  <si>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</si>
  <si>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</si>
  <si>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</si>
  <si>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</si>
  <si>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</si>
  <si>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</si>
  <si>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</si>
  <si>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</si>
  <si>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</si>
  <si>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</si>
  <si>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</si>
  <si>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</si>
  <si>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</si>
  <si>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</si>
  <si>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</si>
  <si>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</si>
  <si>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</si>
  <si>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</si>
  <si>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</si>
  <si>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</si>
  <si>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</si>
  <si>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</si>
  <si>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</si>
  <si>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</si>
  <si>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</si>
  <si>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</si>
  <si>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</si>
  <si>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</si>
  <si>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</si>
  <si>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</si>
  <si>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</si>
  <si>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</si>
  <si>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</si>
  <si>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</si>
  <si>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</si>
  <si>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</si>
  <si>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</si>
  <si>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</si>
  <si>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</si>
  <si>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</si>
  <si>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</si>
  <si>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</si>
  <si>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</si>
  <si>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</si>
  <si>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</si>
  <si>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</si>
  <si>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</si>
  <si>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</si>
  <si>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</si>
  <si>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</si>
  <si>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</si>
  <si>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</si>
  <si>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</si>
  <si>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</si>
  <si>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</si>
  <si>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</si>
  <si>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</si>
  <si>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</si>
  <si>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</si>
  <si>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</si>
  <si>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</si>
  <si>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</si>
  <si>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</si>
  <si>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</si>
  <si>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</si>
  <si>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</si>
  <si>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</si>
  <si>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</si>
  <si>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</si>
  <si>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</si>
  <si>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</si>
  <si>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</si>
  <si>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</si>
  <si>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</si>
  <si>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</si>
  <si>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</si>
  <si>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</si>
  <si>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</si>
  <si>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</si>
  <si>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</si>
  <si>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</si>
  <si>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</si>
  <si>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</si>
  <si>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</si>
  <si>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</si>
  <si>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</si>
  <si>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</si>
  <si>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</si>
  <si>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</si>
  <si>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</si>
  <si>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</si>
  <si>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</si>
  <si>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</si>
  <si>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</si>
  <si>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</si>
  <si>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</si>
  <si>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</si>
  <si>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</si>
  <si>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</si>
  <si>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</si>
  <si>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</si>
  <si>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</si>
  <si>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</si>
  <si>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</si>
  <si>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</si>
  <si>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</si>
  <si>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</si>
  <si>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</si>
  <si>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</si>
  <si>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</si>
  <si>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</si>
  <si>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</si>
  <si>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</si>
  <si>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</si>
  <si>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</si>
  <si>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</si>
  <si>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</si>
  <si>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</si>
  <si>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</si>
  <si>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</si>
  <si>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</si>
  <si>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</si>
  <si>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</si>
  <si>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</si>
  <si>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</si>
  <si>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204:150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</si>
  <si>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</si>
  <si>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</si>
  <si>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</si>
  <si>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</si>
  <si>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</si>
  <si>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</si>
  <si>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</si>
  <si>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</si>
  <si>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</si>
  <si>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</si>
  <si>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</si>
  <si>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</si>
  <si>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</si>
  <si>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</si>
  <si>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Uncaught Wi-MAX GREP</t>
  </si>
  <si>
    <t>204:451</t>
  </si>
  <si>
    <t>204:457</t>
  </si>
  <si>
    <t>204:460</t>
  </si>
  <si>
    <t>BROWN</t>
  </si>
  <si>
    <t>JACOB</t>
  </si>
  <si>
    <t>204:453</t>
  </si>
  <si>
    <t>204:455</t>
  </si>
  <si>
    <t>204:156</t>
  </si>
  <si>
    <t>204:147</t>
  </si>
  <si>
    <t>204:466</t>
  </si>
  <si>
    <t>PERMANENT SPEED RESTRICTION</t>
  </si>
  <si>
    <t>Speed (6)</t>
  </si>
  <si>
    <t>DE.1.0.9.0</t>
  </si>
  <si>
    <t>204:233297</t>
  </si>
  <si>
    <t>204:467</t>
  </si>
  <si>
    <t>204:233000</t>
  </si>
  <si>
    <t>204:469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</si>
  <si>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</si>
  <si>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</si>
  <si>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</si>
  <si>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</si>
  <si>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</si>
  <si>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</si>
  <si>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</si>
  <si>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</si>
  <si>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</si>
  <si>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</si>
  <si>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</si>
  <si>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</si>
  <si>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</si>
  <si>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</si>
  <si>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</si>
  <si>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</si>
  <si>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</si>
  <si>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</si>
  <si>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</si>
  <si>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</si>
  <si>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</si>
  <si>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</si>
  <si>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</si>
  <si>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</si>
  <si>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</si>
  <si>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</si>
  <si>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</si>
  <si>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</si>
  <si>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</si>
  <si>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</si>
  <si>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</si>
  <si>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</si>
  <si>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</si>
  <si>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</si>
  <si>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</si>
  <si>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</si>
  <si>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</si>
  <si>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</si>
  <si>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</si>
  <si>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</si>
  <si>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</si>
  <si>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</si>
  <si>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</si>
  <si>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</si>
  <si>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</si>
  <si>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</si>
  <si>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</si>
  <si>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</si>
  <si>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</si>
  <si>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</si>
  <si>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</si>
  <si>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</si>
  <si>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</si>
  <si>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</si>
  <si>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</si>
  <si>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</si>
  <si>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</si>
  <si>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</si>
  <si>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</si>
  <si>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</si>
  <si>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</si>
  <si>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</si>
  <si>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</si>
  <si>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</si>
  <si>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</si>
  <si>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</si>
  <si>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</si>
  <si>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</si>
  <si>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</si>
  <si>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</si>
  <si>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</si>
  <si>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</si>
  <si>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</si>
  <si>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</si>
  <si>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</si>
  <si>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</si>
  <si>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</si>
  <si>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</si>
  <si>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</si>
  <si>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</si>
  <si>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</si>
  <si>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</si>
  <si>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</si>
  <si>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</si>
  <si>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</si>
  <si>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</si>
  <si>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</si>
  <si>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</si>
  <si>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</si>
  <si>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</si>
  <si>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</si>
  <si>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</si>
  <si>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</si>
  <si>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</si>
  <si>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</si>
  <si>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</si>
  <si>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</si>
  <si>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</si>
  <si>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</si>
  <si>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</si>
  <si>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</si>
  <si>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</si>
  <si>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</si>
  <si>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</si>
  <si>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</si>
  <si>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</si>
  <si>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</si>
  <si>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</si>
  <si>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</si>
  <si>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</si>
  <si>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</si>
  <si>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</si>
  <si>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</si>
  <si>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</si>
  <si>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</si>
  <si>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</si>
  <si>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</si>
  <si>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</si>
  <si>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</si>
  <si>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</si>
  <si>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</si>
  <si>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</si>
  <si>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</si>
  <si>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</si>
  <si>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</si>
  <si>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</si>
  <si>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</si>
  <si>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</si>
  <si>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</si>
  <si>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</si>
  <si>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partly-cloudy-night</t>
  </si>
  <si>
    <t>Partly Cloudy</t>
  </si>
  <si>
    <t>partly-cloudy-day</t>
  </si>
  <si>
    <t>SIGNAL</t>
  </si>
  <si>
    <t>Signal based authority (5)</t>
  </si>
  <si>
    <t>Y</t>
  </si>
  <si>
    <t>204:233307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</si>
  <si>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</si>
  <si>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</si>
  <si>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</si>
  <si>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</si>
  <si>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</si>
  <si>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</si>
  <si>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</si>
  <si>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</si>
  <si>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</si>
  <si>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</si>
  <si>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</si>
  <si>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</si>
  <si>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</si>
  <si>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</si>
  <si>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</si>
  <si>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</si>
  <si>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</si>
  <si>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</si>
  <si>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</si>
  <si>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</si>
  <si>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</si>
  <si>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</si>
  <si>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</si>
  <si>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</si>
  <si>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</si>
  <si>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</si>
  <si>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204:233293</t>
  </si>
  <si>
    <t>204:462</t>
  </si>
  <si>
    <t>rtdc.l.rtdc.4028:itc</t>
  </si>
  <si>
    <t>rtdc.l.rtdc.4027:itc</t>
  </si>
  <si>
    <t>STAMBAUGH</t>
  </si>
  <si>
    <t>204:471</t>
  </si>
  <si>
    <t>rtdc.l.rtdc.4032:itc</t>
  </si>
  <si>
    <t>rtdc.l.rtdc.4031:itc</t>
  </si>
  <si>
    <t>204:145</t>
  </si>
  <si>
    <t>204:163</t>
  </si>
  <si>
    <t>rtdc.l.rtdc.4046:itc</t>
  </si>
  <si>
    <t>HELVIE</t>
  </si>
  <si>
    <t>ADAM</t>
  </si>
  <si>
    <t>204:143</t>
  </si>
  <si>
    <t>204:233304</t>
  </si>
  <si>
    <t>204:233308</t>
  </si>
  <si>
    <t>rtdc.l.rtdc.4021:itc</t>
  </si>
  <si>
    <t>rtdc.l.rtdc.4022:itc</t>
  </si>
  <si>
    <t>SMITH</t>
  </si>
  <si>
    <t>204:473</t>
  </si>
  <si>
    <t>300:58926</t>
  </si>
  <si>
    <t>rtdc.l.rtdc.4011:itc</t>
  </si>
  <si>
    <t>rtdc.l.rtdc.4015:itc</t>
  </si>
  <si>
    <t>rtdc.l.rtdc.4044:itc</t>
  </si>
  <si>
    <t>rtdc.l.rtdc.4043:itc</t>
  </si>
  <si>
    <t>rtdc.l.rtdc.4012:itc</t>
  </si>
  <si>
    <t>rtdc.l.rtdc.4016:itc</t>
  </si>
  <si>
    <t>SAFIEF</t>
  </si>
  <si>
    <t>AEIMEN</t>
  </si>
  <si>
    <t>204:233278</t>
  </si>
  <si>
    <t>204:170</t>
  </si>
  <si>
    <t>204:160</t>
  </si>
  <si>
    <t>300:58615</t>
  </si>
  <si>
    <t>300:58613</t>
  </si>
  <si>
    <t>rtdc.l.rtdc.4029:itc</t>
  </si>
  <si>
    <t>238-18</t>
  </si>
  <si>
    <t>243-18</t>
  </si>
  <si>
    <t>DAVIS</t>
  </si>
  <si>
    <t>SANTIZO</t>
  </si>
  <si>
    <t>D. EDY</t>
  </si>
  <si>
    <t>MAELZER</t>
  </si>
  <si>
    <t>KURT</t>
  </si>
  <si>
    <t>MACDONALD</t>
  </si>
  <si>
    <t>THOMAS</t>
  </si>
  <si>
    <t>231-18</t>
  </si>
  <si>
    <t>226-18</t>
  </si>
  <si>
    <t>1831-18</t>
  </si>
  <si>
    <t>228-18</t>
  </si>
  <si>
    <t>1832-18</t>
  </si>
  <si>
    <t>230-18</t>
  </si>
  <si>
    <t>233-18</t>
  </si>
  <si>
    <t>1833-18</t>
  </si>
  <si>
    <t>234-18</t>
  </si>
  <si>
    <t>237-18</t>
  </si>
  <si>
    <t>1902-18</t>
  </si>
  <si>
    <t>53-18</t>
  </si>
  <si>
    <t>52-18</t>
  </si>
  <si>
    <t>55-18</t>
  </si>
  <si>
    <t>241-18</t>
  </si>
  <si>
    <t>240-18</t>
  </si>
  <si>
    <t>67-18</t>
  </si>
  <si>
    <t>245-18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</si>
  <si>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</si>
  <si>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</si>
  <si>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</si>
  <si>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</si>
  <si>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</si>
  <si>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</si>
  <si>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</si>
  <si>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</si>
  <si>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204:232981</t>
  </si>
  <si>
    <t>204:233314</t>
  </si>
  <si>
    <t>204:233309</t>
  </si>
  <si>
    <t>204:232973</t>
  </si>
  <si>
    <t>204:233021</t>
  </si>
  <si>
    <t>204:232993</t>
  </si>
  <si>
    <t>300:58929</t>
  </si>
  <si>
    <t>204:232996</t>
  </si>
  <si>
    <t>204:232980</t>
  </si>
  <si>
    <t>204:232983</t>
  </si>
  <si>
    <t>rtdc.l.rtdc.4004:itc</t>
  </si>
  <si>
    <t>rtdc.l.rtdc.4026:itc</t>
  </si>
  <si>
    <t>rtdc.l.rtdc.4003:itc</t>
  </si>
  <si>
    <t>rtdc.l.rtdc.4017:itc</t>
  </si>
  <si>
    <t>rtdc.l.rtdc.4025:itc</t>
  </si>
  <si>
    <t>rtdc.l.rtdc.4041:itc</t>
  </si>
  <si>
    <t>LALONDE</t>
  </si>
  <si>
    <t>GREGORY</t>
  </si>
  <si>
    <t>rtdc.l.rtdc.4042:itc</t>
  </si>
  <si>
    <t>LOCKLEAR</t>
  </si>
  <si>
    <t>TRAVIS</t>
  </si>
  <si>
    <t>CHANDLER</t>
  </si>
  <si>
    <t>KELVIN</t>
  </si>
  <si>
    <t>rtdc.l.rtdc.4018:itc</t>
  </si>
  <si>
    <t>NEWELL</t>
  </si>
  <si>
    <t>Mostly Cloudy</t>
  </si>
  <si>
    <t>204:161</t>
  </si>
  <si>
    <t>204:684</t>
  </si>
  <si>
    <t>204:232988</t>
  </si>
  <si>
    <t>300:58611</t>
  </si>
  <si>
    <t>204:475</t>
  </si>
  <si>
    <t>204:165</t>
  </si>
  <si>
    <t>204:484</t>
  </si>
  <si>
    <t>204:232969</t>
  </si>
  <si>
    <t>204:464</t>
  </si>
  <si>
    <t>204:442</t>
  </si>
  <si>
    <t>204:437</t>
  </si>
  <si>
    <t>Wi-MAX data drop</t>
  </si>
  <si>
    <t>Onboard in-route failure</t>
  </si>
  <si>
    <t>Early arrival</t>
  </si>
  <si>
    <t>STARKS</t>
  </si>
  <si>
    <t>ANGELINA</t>
  </si>
  <si>
    <t>GUZMAN</t>
  </si>
  <si>
    <t>DANNY</t>
  </si>
  <si>
    <t>WILLIAMS</t>
  </si>
  <si>
    <t>DONTE</t>
  </si>
  <si>
    <t>MENGES</t>
  </si>
  <si>
    <t>BRAD</t>
  </si>
  <si>
    <t>rtdc.l.rtdc.4008:itc</t>
  </si>
  <si>
    <t>SULLIVAN</t>
  </si>
  <si>
    <t>BRANDON</t>
  </si>
  <si>
    <t>CLARK</t>
  </si>
  <si>
    <t>KATHLEEN</t>
  </si>
  <si>
    <t>FORTUNATO</t>
  </si>
  <si>
    <t>FRANK</t>
  </si>
  <si>
    <t>STORY</t>
  </si>
  <si>
    <t>SAMANTHA</t>
  </si>
  <si>
    <t>204:232979</t>
  </si>
  <si>
    <t>204:232977</t>
  </si>
  <si>
    <t>204:233274</t>
  </si>
  <si>
    <t>204:233300</t>
  </si>
  <si>
    <t>204:232965</t>
  </si>
  <si>
    <t>204:233019</t>
  </si>
  <si>
    <t>204:232994</t>
  </si>
  <si>
    <t>204:673</t>
  </si>
  <si>
    <t>300:58608</t>
  </si>
  <si>
    <t>300:58922</t>
  </si>
  <si>
    <t>300:58638</t>
  </si>
  <si>
    <t>204:964</t>
  </si>
  <si>
    <t>rtdc.l.rtdc.4010:itc</t>
  </si>
  <si>
    <t>rtdc.l.rtdc.4014:itc</t>
  </si>
  <si>
    <t>240-21</t>
  </si>
  <si>
    <t>rtdc.l.rtdc.4013:itc</t>
  </si>
  <si>
    <t>YORK</t>
  </si>
  <si>
    <t>EDGAR</t>
  </si>
  <si>
    <t>LOZA</t>
  </si>
  <si>
    <t>FIDEL</t>
  </si>
  <si>
    <t>BEAM</t>
  </si>
  <si>
    <t>ROSS</t>
  </si>
  <si>
    <t>rtdc.l.rtdc.4007:itc</t>
  </si>
  <si>
    <t>STRICKLAND</t>
  </si>
  <si>
    <t>EVAN</t>
  </si>
  <si>
    <t>236-21</t>
  </si>
  <si>
    <t>239-21</t>
  </si>
  <si>
    <t>241-21</t>
  </si>
  <si>
    <t>238-21</t>
  </si>
  <si>
    <t>243-21</t>
  </si>
  <si>
    <t>242-21</t>
  </si>
  <si>
    <t>315-21</t>
  </si>
  <si>
    <t>309-21</t>
  </si>
  <si>
    <t>244-21</t>
  </si>
  <si>
    <t>311-21</t>
  </si>
  <si>
    <t>313-21</t>
  </si>
  <si>
    <t>204:233323</t>
  </si>
  <si>
    <t>204:233289</t>
  </si>
  <si>
    <t>204:233370</t>
  </si>
  <si>
    <t>204:233393</t>
  </si>
  <si>
    <t>204:233017</t>
  </si>
  <si>
    <t>204:233291</t>
  </si>
  <si>
    <t>204:438</t>
  </si>
  <si>
    <t>204:233004</t>
  </si>
  <si>
    <t>204:233315</t>
  </si>
  <si>
    <t>204:233284</t>
  </si>
  <si>
    <t>204:233325</t>
  </si>
  <si>
    <t>204:233008</t>
  </si>
  <si>
    <t>204:233298</t>
  </si>
  <si>
    <t>204:233364</t>
  </si>
  <si>
    <t>204:233301</t>
  </si>
  <si>
    <t>204:233407</t>
  </si>
  <si>
    <t>204:522</t>
  </si>
  <si>
    <t>204:232984</t>
  </si>
  <si>
    <t>204:233347</t>
  </si>
  <si>
    <t>204:504</t>
  </si>
  <si>
    <t>204:233353</t>
  </si>
  <si>
    <t>204:232992</t>
  </si>
  <si>
    <t>204:233266</t>
  </si>
  <si>
    <t>204:130</t>
  </si>
  <si>
    <t>204:232974</t>
  </si>
  <si>
    <t>300:23346</t>
  </si>
  <si>
    <t>300:23304</t>
  </si>
  <si>
    <t>300:23302</t>
  </si>
  <si>
    <t>300:58948</t>
  </si>
  <si>
    <t>204:1042</t>
  </si>
  <si>
    <t>300:58958</t>
  </si>
  <si>
    <t>204:738</t>
  </si>
  <si>
    <t>300:58952</t>
  </si>
  <si>
    <t>300:58924</t>
  </si>
  <si>
    <t>204:682</t>
  </si>
  <si>
    <t>204:967</t>
  </si>
  <si>
    <t>300:58939</t>
  </si>
  <si>
    <t>204:978</t>
  </si>
  <si>
    <t>300:58619</t>
  </si>
  <si>
    <t>300:58954</t>
  </si>
  <si>
    <t>300:58626</t>
  </si>
  <si>
    <t>204:981</t>
  </si>
  <si>
    <t>204:745</t>
  </si>
  <si>
    <t>101-22</t>
  </si>
  <si>
    <t>103-22</t>
  </si>
  <si>
    <t>113-22</t>
  </si>
  <si>
    <t>110-22</t>
  </si>
  <si>
    <t>802-22</t>
  </si>
  <si>
    <t>123-22</t>
  </si>
  <si>
    <t>114-22</t>
  </si>
  <si>
    <t>807-22</t>
  </si>
  <si>
    <t>808-22</t>
  </si>
  <si>
    <t>rtdc.l.rtdc.4019:itc</t>
  </si>
  <si>
    <t>122-22</t>
  </si>
  <si>
    <t>rtdc.l.rtdc.4040:itc</t>
  </si>
  <si>
    <t>133-22</t>
  </si>
  <si>
    <t>130-22</t>
  </si>
  <si>
    <t>143-22</t>
  </si>
  <si>
    <t>rtdc.l.rtdc.4039:itc</t>
  </si>
  <si>
    <t>134-22</t>
  </si>
  <si>
    <t>rtdc.l.rtdc.4020:itc</t>
  </si>
  <si>
    <t>149-22</t>
  </si>
  <si>
    <t>144-22</t>
  </si>
  <si>
    <t>54-22</t>
  </si>
  <si>
    <t>816-22</t>
  </si>
  <si>
    <t>150-22</t>
  </si>
  <si>
    <t>163-22</t>
  </si>
  <si>
    <t>154-22</t>
  </si>
  <si>
    <t>162-22</t>
  </si>
  <si>
    <t>179-22</t>
  </si>
  <si>
    <t>174-22</t>
  </si>
  <si>
    <t>176-22</t>
  </si>
  <si>
    <t>823-22</t>
  </si>
  <si>
    <t>178-22</t>
  </si>
  <si>
    <t>180-22</t>
  </si>
  <si>
    <t>904-22</t>
  </si>
  <si>
    <t>SWITCH UNKNOWN</t>
  </si>
  <si>
    <t>Track device (7)</t>
  </si>
  <si>
    <t>827-22</t>
  </si>
  <si>
    <t>203-22</t>
  </si>
  <si>
    <t>830-22</t>
  </si>
  <si>
    <t>198-22</t>
  </si>
  <si>
    <t>831-22</t>
  </si>
  <si>
    <t>200-22</t>
  </si>
  <si>
    <t>834-22</t>
  </si>
  <si>
    <t>217-22</t>
  </si>
  <si>
    <t>72-22</t>
  </si>
  <si>
    <t>208-22</t>
  </si>
  <si>
    <t>216-22</t>
  </si>
  <si>
    <t>221-22</t>
  </si>
  <si>
    <t>840-22</t>
  </si>
  <si>
    <t>225-22</t>
  </si>
  <si>
    <t>845-22</t>
  </si>
  <si>
    <t>rtdc.l.rtdc.4045:itc</t>
  </si>
  <si>
    <t>228-22</t>
  </si>
  <si>
    <t>302-22</t>
  </si>
  <si>
    <t>BADERTSCHER</t>
  </si>
  <si>
    <t>DIANE</t>
  </si>
  <si>
    <t>304-22</t>
  </si>
  <si>
    <t>rtdc.l.rtdc.4054:itc</t>
  </si>
  <si>
    <t>306-22</t>
  </si>
  <si>
    <t>GEBRETEKLE</t>
  </si>
  <si>
    <t>DAGNEW</t>
  </si>
  <si>
    <t>308-22</t>
  </si>
  <si>
    <t>105-22</t>
  </si>
  <si>
    <t>102-22</t>
  </si>
  <si>
    <t>107-22</t>
  </si>
  <si>
    <t>109-22</t>
  </si>
  <si>
    <t>310-22</t>
  </si>
  <si>
    <t>104-22</t>
  </si>
  <si>
    <t>50-22</t>
  </si>
  <si>
    <t>901-22</t>
  </si>
  <si>
    <t>111-22</t>
  </si>
  <si>
    <t>106-22</t>
  </si>
  <si>
    <t>800-22</t>
  </si>
  <si>
    <t>108-22</t>
  </si>
  <si>
    <t>115-22</t>
  </si>
  <si>
    <t>117-22</t>
  </si>
  <si>
    <t>801-22</t>
  </si>
  <si>
    <t>51-22</t>
  </si>
  <si>
    <t>119-22</t>
  </si>
  <si>
    <t>112-22</t>
  </si>
  <si>
    <t>COOLAHAN</t>
  </si>
  <si>
    <t>JOHN</t>
  </si>
  <si>
    <t>902-22</t>
  </si>
  <si>
    <t>121-22</t>
  </si>
  <si>
    <t>52-22</t>
  </si>
  <si>
    <t>116-22</t>
  </si>
  <si>
    <t>803-22</t>
  </si>
  <si>
    <t>805-22</t>
  </si>
  <si>
    <t>118-22</t>
  </si>
  <si>
    <t>804-22</t>
  </si>
  <si>
    <t>125-22</t>
  </si>
  <si>
    <t>120-22</t>
  </si>
  <si>
    <t>127-22</t>
  </si>
  <si>
    <t>806-22</t>
  </si>
  <si>
    <t>129-22</t>
  </si>
  <si>
    <t>124-22</t>
  </si>
  <si>
    <t>131-22</t>
  </si>
  <si>
    <t>809-22</t>
  </si>
  <si>
    <t>126-22</t>
  </si>
  <si>
    <t>128-22</t>
  </si>
  <si>
    <t>135-22</t>
  </si>
  <si>
    <t>810-22</t>
  </si>
  <si>
    <t>137-22</t>
  </si>
  <si>
    <t>132-22</t>
  </si>
  <si>
    <t>811-22</t>
  </si>
  <si>
    <t>903-22</t>
  </si>
  <si>
    <t>139-22</t>
  </si>
  <si>
    <t>812-22</t>
  </si>
  <si>
    <t>141-22</t>
  </si>
  <si>
    <t>YOUNG</t>
  </si>
  <si>
    <t>ELIZABETH</t>
  </si>
  <si>
    <t>136-22</t>
  </si>
  <si>
    <t>138-22</t>
  </si>
  <si>
    <t>145-22</t>
  </si>
  <si>
    <t>813-22</t>
  </si>
  <si>
    <t>140-22</t>
  </si>
  <si>
    <t>147-22</t>
  </si>
  <si>
    <t>142-22</t>
  </si>
  <si>
    <t>814-22</t>
  </si>
  <si>
    <t>151-22</t>
  </si>
  <si>
    <t>815-22</t>
  </si>
  <si>
    <t>146-22</t>
  </si>
  <si>
    <t>153-22</t>
  </si>
  <si>
    <t>148-22</t>
  </si>
  <si>
    <t>DE LA ROSA</t>
  </si>
  <si>
    <t>ALEX</t>
  </si>
  <si>
    <t>155-22</t>
  </si>
  <si>
    <t>152-22</t>
  </si>
  <si>
    <t>157-22</t>
  </si>
  <si>
    <t>159-22</t>
  </si>
  <si>
    <t>156-22</t>
  </si>
  <si>
    <t>161-22</t>
  </si>
  <si>
    <t>55-22</t>
  </si>
  <si>
    <t>817-22</t>
  </si>
  <si>
    <t>818-22</t>
  </si>
  <si>
    <t>158-22</t>
  </si>
  <si>
    <t>165-22</t>
  </si>
  <si>
    <t>160-22</t>
  </si>
  <si>
    <t>167-22</t>
  </si>
  <si>
    <t>819-22</t>
  </si>
  <si>
    <t>169-22</t>
  </si>
  <si>
    <t>MOSES</t>
  </si>
  <si>
    <t>BRADLEY</t>
  </si>
  <si>
    <t>164-22</t>
  </si>
  <si>
    <t>171-22</t>
  </si>
  <si>
    <t>166-22</t>
  </si>
  <si>
    <t>820-22</t>
  </si>
  <si>
    <t>173-22</t>
  </si>
  <si>
    <t>168-22</t>
  </si>
  <si>
    <t>175-22</t>
  </si>
  <si>
    <t>DELGADO</t>
  </si>
  <si>
    <t>DIANAH</t>
  </si>
  <si>
    <t>170-22</t>
  </si>
  <si>
    <t>177-22</t>
  </si>
  <si>
    <t>821-22</t>
  </si>
  <si>
    <t>172-22</t>
  </si>
  <si>
    <t>822-22</t>
  </si>
  <si>
    <t>181-22</t>
  </si>
  <si>
    <t>183-22</t>
  </si>
  <si>
    <t>LEVIN</t>
  </si>
  <si>
    <t>SCOTT</t>
  </si>
  <si>
    <t>185-22</t>
  </si>
  <si>
    <t>187-22</t>
  </si>
  <si>
    <t>824-22</t>
  </si>
  <si>
    <t>182-22</t>
  </si>
  <si>
    <t>189-22</t>
  </si>
  <si>
    <t>184-22</t>
  </si>
  <si>
    <t>191-22</t>
  </si>
  <si>
    <t>186-22</t>
  </si>
  <si>
    <t>193-22</t>
  </si>
  <si>
    <t>825-22</t>
  </si>
  <si>
    <t>188-22</t>
  </si>
  <si>
    <t>195-22</t>
  </si>
  <si>
    <t>190-22</t>
  </si>
  <si>
    <t>826-22</t>
  </si>
  <si>
    <t>197-22</t>
  </si>
  <si>
    <t>192-22</t>
  </si>
  <si>
    <t>199-22</t>
  </si>
  <si>
    <t>829-22</t>
  </si>
  <si>
    <t>194-22</t>
  </si>
  <si>
    <t>201-22</t>
  </si>
  <si>
    <t>828-22</t>
  </si>
  <si>
    <t>196-22</t>
  </si>
  <si>
    <t>205-22</t>
  </si>
  <si>
    <t>207-22</t>
  </si>
  <si>
    <t>833-22</t>
  </si>
  <si>
    <t>202-22</t>
  </si>
  <si>
    <t>209-22</t>
  </si>
  <si>
    <t>832-22</t>
  </si>
  <si>
    <t>211-22</t>
  </si>
  <si>
    <t>204-22</t>
  </si>
  <si>
    <t>71-22</t>
  </si>
  <si>
    <t>206-22</t>
  </si>
  <si>
    <t>213-22</t>
  </si>
  <si>
    <t>74-22</t>
  </si>
  <si>
    <t>215-22</t>
  </si>
  <si>
    <t>210-22</t>
  </si>
  <si>
    <t>837-22</t>
  </si>
  <si>
    <t>MCREYNOLDS</t>
  </si>
  <si>
    <t>KYLE</t>
  </si>
  <si>
    <t>836-22</t>
  </si>
  <si>
    <t>75-22</t>
  </si>
  <si>
    <t>212-22</t>
  </si>
  <si>
    <t>219-22</t>
  </si>
  <si>
    <t>214-22</t>
  </si>
  <si>
    <t>838-22</t>
  </si>
  <si>
    <t>303-22</t>
  </si>
  <si>
    <t>839-22</t>
  </si>
  <si>
    <t>841-22</t>
  </si>
  <si>
    <t>305-22</t>
  </si>
  <si>
    <t>218-22</t>
  </si>
  <si>
    <t>906-22</t>
  </si>
  <si>
    <t>220-22</t>
  </si>
  <si>
    <t>223-22</t>
  </si>
  <si>
    <t>307-22</t>
  </si>
  <si>
    <t>222-22</t>
  </si>
  <si>
    <t>843-22</t>
  </si>
  <si>
    <t>224-22</t>
  </si>
  <si>
    <t>227-22</t>
  </si>
  <si>
    <t>842-22</t>
  </si>
  <si>
    <t>229-22</t>
  </si>
  <si>
    <t>226-22</t>
  </si>
  <si>
    <t>231-22</t>
  </si>
  <si>
    <t>JACKSON</t>
  </si>
  <si>
    <t>WILLIAM</t>
  </si>
  <si>
    <t>844-22</t>
  </si>
  <si>
    <t>230-22</t>
  </si>
  <si>
    <t>233-22</t>
  </si>
  <si>
    <t>235-22</t>
  </si>
  <si>
    <t>232-22</t>
  </si>
  <si>
    <t>847-22</t>
  </si>
  <si>
    <t>908-22</t>
  </si>
  <si>
    <t>237-22</t>
  </si>
  <si>
    <t>234-22</t>
  </si>
  <si>
    <t>239-22</t>
  </si>
  <si>
    <t>236-22</t>
  </si>
  <si>
    <t>238-22</t>
  </si>
  <si>
    <t>241-22</t>
  </si>
  <si>
    <t>240-22</t>
  </si>
  <si>
    <t>243-22</t>
  </si>
  <si>
    <t>315-22</t>
  </si>
  <si>
    <t>242-22</t>
  </si>
  <si>
    <t>309-22</t>
  </si>
  <si>
    <t>244-22</t>
  </si>
  <si>
    <t>311-22</t>
  </si>
  <si>
    <t>313-22</t>
  </si>
  <si>
    <t>302-23</t>
  </si>
  <si>
    <t>fog</t>
  </si>
  <si>
    <t>Foggy</t>
  </si>
  <si>
    <t>204:19197</t>
  </si>
  <si>
    <t>204:803</t>
  </si>
  <si>
    <t>204:9080</t>
  </si>
  <si>
    <t>204:232651</t>
  </si>
  <si>
    <t>204:1588</t>
  </si>
  <si>
    <t>204:763</t>
  </si>
  <si>
    <t>204:233311</t>
  </si>
  <si>
    <t>204:232675</t>
  </si>
  <si>
    <t>204:754</t>
  </si>
  <si>
    <t>204:424</t>
  </si>
  <si>
    <t>204:174</t>
  </si>
  <si>
    <t>204:232982</t>
  </si>
  <si>
    <t>204:1500</t>
  </si>
  <si>
    <t>204:1766</t>
  </si>
  <si>
    <t>204:37162</t>
  </si>
  <si>
    <t>204:233295</t>
  </si>
  <si>
    <t>204:730</t>
  </si>
  <si>
    <t>204:138</t>
  </si>
  <si>
    <t>204:139</t>
  </si>
  <si>
    <t>204:783</t>
  </si>
  <si>
    <t>204:232967</t>
  </si>
  <si>
    <t>204:480</t>
  </si>
  <si>
    <t>204:233288</t>
  </si>
  <si>
    <t>204:232986</t>
  </si>
  <si>
    <t>204:232989</t>
  </si>
  <si>
    <t>204:233299</t>
  </si>
  <si>
    <t>204:232963</t>
  </si>
  <si>
    <t>204:55412</t>
  </si>
  <si>
    <t>204:36781</t>
  </si>
  <si>
    <t>204:446</t>
  </si>
  <si>
    <t>204:232991</t>
  </si>
  <si>
    <t>204:233332</t>
  </si>
  <si>
    <t>204:233011</t>
  </si>
  <si>
    <t>204:212</t>
  </si>
  <si>
    <t>204:233013</t>
  </si>
  <si>
    <t>204:233342</t>
  </si>
  <si>
    <t>204:233287</t>
  </si>
  <si>
    <t>204:520</t>
  </si>
  <si>
    <t>204:232985</t>
  </si>
  <si>
    <t>204:477</t>
  </si>
  <si>
    <t>204:172</t>
  </si>
  <si>
    <t>204:458</t>
  </si>
  <si>
    <t>204:233321</t>
  </si>
  <si>
    <t>204:209</t>
  </si>
  <si>
    <t>204:233318</t>
  </si>
  <si>
    <t>204:433</t>
  </si>
  <si>
    <t>204:233317</t>
  </si>
  <si>
    <t>204:233339</t>
  </si>
  <si>
    <t>204:233030</t>
  </si>
  <si>
    <t>204:415</t>
  </si>
  <si>
    <t>204:233343</t>
  </si>
  <si>
    <t>204:232962</t>
  </si>
  <si>
    <t>204:211</t>
  </si>
  <si>
    <t>204:528</t>
  </si>
  <si>
    <t>204:233078</t>
  </si>
  <si>
    <t>204:232964</t>
  </si>
  <si>
    <t>204:1181</t>
  </si>
  <si>
    <t>204:233176</t>
  </si>
  <si>
    <t>204:232852</t>
  </si>
  <si>
    <t>204:233355</t>
  </si>
  <si>
    <t>204:233027</t>
  </si>
  <si>
    <t>204:511</t>
  </si>
  <si>
    <t>204:233057</t>
  </si>
  <si>
    <t>204:63377</t>
  </si>
  <si>
    <t>204:36434</t>
  </si>
  <si>
    <t>204:495</t>
  </si>
  <si>
    <t>204:223</t>
  </si>
  <si>
    <t>204:233002</t>
  </si>
  <si>
    <t>204:127878</t>
  </si>
  <si>
    <t>204:233074</t>
  </si>
  <si>
    <t>204:233397</t>
  </si>
  <si>
    <t>204:233090</t>
  </si>
  <si>
    <t>204:232987</t>
  </si>
  <si>
    <t>204:233001</t>
  </si>
  <si>
    <t>204:232972</t>
  </si>
  <si>
    <t>204:232968</t>
  </si>
  <si>
    <t>204:233326</t>
  </si>
  <si>
    <t>204:1120</t>
  </si>
  <si>
    <t>204:233032</t>
  </si>
  <si>
    <t>204:233345</t>
  </si>
  <si>
    <t>204:233338</t>
  </si>
  <si>
    <t>204:429</t>
  </si>
  <si>
    <t>204:233359</t>
  </si>
  <si>
    <t>204:233047</t>
  </si>
  <si>
    <t>204:233319</t>
  </si>
  <si>
    <t>204:233060</t>
  </si>
  <si>
    <t>204:233062</t>
  </si>
  <si>
    <t>204:60774</t>
  </si>
  <si>
    <t>204:36779</t>
  </si>
  <si>
    <t>204:189</t>
  </si>
  <si>
    <t>300:22821</t>
  </si>
  <si>
    <t>204:180</t>
  </si>
  <si>
    <t>300:23310</t>
  </si>
  <si>
    <t>300:21742</t>
  </si>
  <si>
    <t>300:23601</t>
  </si>
  <si>
    <t>300:23525</t>
  </si>
  <si>
    <t>204:440</t>
  </si>
  <si>
    <t>300:19442</t>
  </si>
  <si>
    <t>300:23301</t>
  </si>
  <si>
    <t>204:1020</t>
  </si>
  <si>
    <t>300:23308</t>
  </si>
  <si>
    <t>204:1023</t>
  </si>
  <si>
    <t>300:21956</t>
  </si>
  <si>
    <t>204:1164</t>
  </si>
  <si>
    <t>204:1490</t>
  </si>
  <si>
    <t>300:23180</t>
  </si>
  <si>
    <t>204:1160</t>
  </si>
  <si>
    <t>300:22058</t>
  </si>
  <si>
    <t>204:991</t>
  </si>
  <si>
    <t>204:1303</t>
  </si>
  <si>
    <t>300:24195</t>
  </si>
  <si>
    <t>204:1477</t>
  </si>
  <si>
    <t>300:23087</t>
  </si>
  <si>
    <t>300:22335</t>
  </si>
  <si>
    <t>204:980</t>
  </si>
  <si>
    <t>300:23705</t>
  </si>
  <si>
    <t>204:63</t>
  </si>
  <si>
    <t>204:381</t>
  </si>
  <si>
    <t>204:1044</t>
  </si>
  <si>
    <t>300:58933</t>
  </si>
  <si>
    <t>204:761</t>
  </si>
  <si>
    <t>204:979</t>
  </si>
  <si>
    <t>204:1035</t>
  </si>
  <si>
    <t>204:957</t>
  </si>
  <si>
    <t>300:35742</t>
  </si>
  <si>
    <t>204:769</t>
  </si>
  <si>
    <t>204:873</t>
  </si>
  <si>
    <t>204:1049</t>
  </si>
  <si>
    <t>300:58641</t>
  </si>
  <si>
    <t>204:972</t>
  </si>
  <si>
    <t>300:58975</t>
  </si>
  <si>
    <t>300:58656</t>
  </si>
  <si>
    <t>204:661</t>
  </si>
  <si>
    <t>204:971</t>
  </si>
  <si>
    <t>300:58941</t>
  </si>
  <si>
    <t>300:58628</t>
  </si>
  <si>
    <t>204:664</t>
  </si>
  <si>
    <t>204:960</t>
  </si>
  <si>
    <t>300:58632</t>
  </si>
  <si>
    <t>204:685</t>
  </si>
  <si>
    <t>300:58852</t>
  </si>
  <si>
    <t>300:58532</t>
  </si>
  <si>
    <t>204:650</t>
  </si>
  <si>
    <t>204:962</t>
  </si>
  <si>
    <t>204:680</t>
  </si>
  <si>
    <t>204:918</t>
  </si>
  <si>
    <t>300:58835</t>
  </si>
  <si>
    <t>300:14975</t>
  </si>
  <si>
    <t>300:58528</t>
  </si>
  <si>
    <t>300:28669</t>
  </si>
  <si>
    <t>204:976</t>
  </si>
  <si>
    <t>204:771</t>
  </si>
  <si>
    <t>204:1847</t>
  </si>
  <si>
    <t>300:58572</t>
  </si>
  <si>
    <t>204:691</t>
  </si>
  <si>
    <t>300:58617</t>
  </si>
  <si>
    <t>204:748</t>
  </si>
  <si>
    <t>204:1056</t>
  </si>
  <si>
    <t>300:58907</t>
  </si>
  <si>
    <t>300:58602</t>
  </si>
  <si>
    <t>204:715</t>
  </si>
  <si>
    <t>300:58630</t>
  </si>
  <si>
    <t>204:713</t>
  </si>
  <si>
    <t>204:1002</t>
  </si>
  <si>
    <t>300:58946</t>
  </si>
  <si>
    <t>300:58591</t>
  </si>
  <si>
    <t>204:764</t>
  </si>
  <si>
    <t>300:58909</t>
  </si>
  <si>
    <t>204:1070</t>
  </si>
  <si>
    <t>300:58875</t>
  </si>
  <si>
    <t>300:30069</t>
  </si>
  <si>
    <t>300:23472</t>
  </si>
  <si>
    <t>204:1151</t>
  </si>
  <si>
    <t>300:24262</t>
  </si>
  <si>
    <t>300:23423</t>
  </si>
  <si>
    <t>204:626</t>
  </si>
  <si>
    <t>300:58596</t>
  </si>
  <si>
    <t>300:28789</t>
  </si>
  <si>
    <t>300:58557</t>
  </si>
  <si>
    <t>300:21587</t>
  </si>
  <si>
    <t>start /low /b %USERPROFILE%\Documents\GitHub\eaglep3\Utilities\DownloadLogsFromS3.py --loco 4011 --day 2017-03-22</t>
  </si>
  <si>
    <t>start /low /b %USERPROFILE%\Documents\GitHub\eaglep3\Utilities\DownloadLogsFromS3.py --loco 4039 --day 2017-03-22</t>
  </si>
  <si>
    <t>start /low /b %USERPROFILE%\Documents\GitHub\eaglep3\Utilities\DownloadLogsFromS3.py --loco 4012 --day 2017-03-22</t>
  </si>
  <si>
    <t>start /low /b %USERPROFILE%\Documents\GitHub\eaglep3\Utilities\DownloadLogsFromS3.py --loco 4017 --day 2017-03-22</t>
  </si>
  <si>
    <t>start /low /b %USERPROFILE%\Documents\GitHub\eaglep3\Utilities\DownloadLogsFromS3.py --loco 4004 --day 2017-03-23</t>
  </si>
  <si>
    <t>start /low /b %USERPROFILE%\Documents\GitHub\eaglep3\Utilities\DownloadLogsFromS3.py --loco 4007 --day 2017-03-22</t>
  </si>
  <si>
    <t>start /low /b %USERPROFILE%\Documents\GitHub\eaglep3\Utilities\DownloadLogsFromS3.py --loco 4021 --day 2017-03-22</t>
  </si>
  <si>
    <t>start /low /b %USERPROFILE%\Documents\GitHub\eaglep3\Utilities\DownloadLogsFromS3.py --loco 4022 --day 2017-03-22</t>
  </si>
  <si>
    <t>start /low /b %USERPROFILE%\Documents\GitHub\eaglep3\Utilities\DownloadLogsFromS3.py --loco 4040 --day 2017-03-23</t>
  </si>
  <si>
    <t>start /low /b %USERPROFILE%\Documents\GitHub\eaglep3\Utilities\DownloadLogsFromS3.py --loco 4019 --day 2017-03-22</t>
  </si>
  <si>
    <t>start /low /b %USERPROFILE%\Documents\GitHub\eaglep3\Utilities\DownloadLogsFromS3.py --loco 4004 --day 2017-03-22</t>
  </si>
  <si>
    <t>start /low /b %USERPROFILE%\Documents\GitHub\eaglep3\Utilities\DownloadLogsFromS3.py --loco 4042 --day 2017-03-22</t>
  </si>
  <si>
    <t>start /low /b %USERPROFILE%\Documents\GitHub\eaglep3\Utilities\DownloadLogsFromS3.py --loco 4045 --day 2017-03-23</t>
  </si>
  <si>
    <t>start /low /b %USERPROFILE%\Documents\GitHub\eaglep3\Utilities\DownloadLogsFromS3.py --loco 4028 --day 2017-03-23</t>
  </si>
  <si>
    <t>start /low /b %USERPROFILE%\Documents\GitHub\eaglep3\Utilities\DownloadLogsFromS3.py --loco 4040 --day 2017-03-22</t>
  </si>
  <si>
    <t>start /low /b %USERPROFILE%\Documents\GitHub\eaglep3\Utilities\DownloadLogsFromS3.py --loco 4020 --day 2017-03-22</t>
  </si>
  <si>
    <t>start /low /b %USERPROFILE%\Documents\GitHub\eaglep3\Utilities\DownloadLogsFromS3.py --loco 4041 --day 2017-03-22</t>
  </si>
  <si>
    <t>start /low /b %USERPROFILE%\Documents\GitHub\eaglep3\Utilities\DownloadLogsFromS3.py --loco 4003 --day 2017-03-22</t>
  </si>
  <si>
    <t>start /low /b %USERPROFILE%\Documents\GitHub\eaglep3\Utilities\DownloadLogsFromS3.py --loco 4018 --day 2017-03-23</t>
  </si>
  <si>
    <t>start /low /b %USERPROFILE%\Documents\GitHub\eaglep3\Utilities\DownloadLogsFromS3.py --loco 4028 --day 2017-03-22</t>
  </si>
  <si>
    <t>start /low /b %USERPROFILE%\Documents\GitHub\eaglep3\Utilities\DownloadLogsFromS3.py --loco 4041 --day 2017-03-23</t>
  </si>
  <si>
    <t>start /low /b %USERPROFILE%\Documents\GitHub\eaglep3\Utilities\DownloadLogsFromS3.py --loco 4008 --day 2017-03-22</t>
  </si>
  <si>
    <t>start /low /b %USERPROFILE%\Documents\GitHub\eaglep3\Utilities\DownloadLogsFromS3.py --loco 4007 --day 2017-03-23</t>
  </si>
  <si>
    <t>start /low /b %USERPROFILE%\Documents\GitHub\eaglep3\Utilities\DownloadLogsFromS3.py --loco 4008 --day 2017-03-23</t>
  </si>
  <si>
    <t>Main 3 departure</t>
  </si>
  <si>
    <t>Premature downgrade at Quebec 4S</t>
  </si>
  <si>
    <t>At 09:06:53, Quebec 4S dropped from PROCEED CAB to STOP while the train was approaching. Do logs tell anything unusual?</t>
  </si>
  <si>
    <t>http://stevetu21.github.io/eaglep3/load_kml.html?kml=http://rtdc.gmaps-snips.s3.amazonaws.com/06f65237-91a7-4479-8381-82b74fcee002.kml</t>
  </si>
  <si>
    <t>At 03:20:03, Bright 2N dropped from PROCEED CAB to STOP while train was ~0.1 miles away. Do logs tell of anything odd at this time?</t>
  </si>
  <si>
    <t>Planned maintenance - CRMF Pocket ELXS offline from 03/22/2017 14:28:58 - 18:08:16</t>
  </si>
  <si>
    <t>835-22</t>
  </si>
  <si>
    <t>Did not init</t>
  </si>
  <si>
    <t>Overspeed</t>
  </si>
  <si>
    <t>Minor onboard in-route failure (enforced for target over 1 mile away at low speed)</t>
  </si>
  <si>
    <t>http://stevetu21.github.io/eaglep3/load_kml.html?kml=http://rtdc.gmaps-snips.s3.amazonaws.com/74911614-6947-42f1-90a5-37dc8027b3d8.kml</t>
  </si>
  <si>
    <t>http://stevetu21.github.io/eaglep3/load_kml.html?kml=http://rtdc.gmaps-snips.s3.amazonaws.com/447bd1b6-ff8a-4ce9-9bc8-d5e55ed840c9.kml</t>
  </si>
  <si>
    <t>http://stevetu21.github.io/eaglep3/load_kml.html?kml=http://rtdc.gmaps-snips.s3.amazonaws.com/6180df7e-c3b7-4b39-8f24-18e645425049.kml</t>
  </si>
  <si>
    <t>RESTRICTING Aspect</t>
  </si>
  <si>
    <t>Unhealthy @ Chambers due to train stop</t>
  </si>
  <si>
    <t>Penalty brake into phase break caused arcing, tripped breaker and dropped Bright 2N to 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</si>
</sst>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5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8"/>
  <sheetViews>
    <sheetView tabSelected="1" workbookViewId="0">
      <selection activeCell="AF27" sqref="AF27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8" customWidth="1"/>
    <col min="22" max="22" width="5.7109375" style="188" customWidth="1"/>
    <col min="23" max="23" width="3.85546875" style="181" customWidth="1"/>
    <col min="24" max="24" width="6.5703125" style="181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6"/>
      <c r="V1" s="167"/>
      <c r="W1" s="166"/>
      <c r="X1" s="168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42816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42816</v>
      </c>
      <c r="S2" s="66"/>
      <c r="T2" s="67"/>
      <c r="U2" s="169"/>
      <c r="V2" s="170" t="s">
        <v>8</v>
      </c>
      <c r="W2" s="171"/>
      <c r="X2" s="172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3"/>
      <c r="V3" s="174" t="s">
        <v>11</v>
      </c>
      <c r="W3" s="175" t="s">
        <v>12</v>
      </c>
      <c r="X3" s="176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7"/>
      <c r="V4" s="174" t="s">
        <v>15</v>
      </c>
      <c r="W4" s="175" t="s">
        <v>15</v>
      </c>
      <c r="X4" s="176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COUNTIFS($N$13:$N$9337,"&gt;0",$AG$13:$AG$9337,I1)</f>
        <v>137</v>
      </c>
      <c r="K5" s="40"/>
      <c r="L5" s="40"/>
      <c r="M5" s="41">
        <f>AVERAGEIFS($N$13:$N$9337,$AG$13:$AG$9337,I1)</f>
        <v>38.46411192208447</v>
      </c>
      <c r="N5" s="39">
        <f t="array" ref="N5">MIN(IF($AG$13:$AG$9337=I1,IF(ISNUMBER($N$13:$N$9337),IF($N$13:$N$9337&gt;0,$N$13:$N$9337))))</f>
        <v>34.666666660923511</v>
      </c>
      <c r="O5" s="3">
        <f t="array" ref="O5">MAX(IF($AG$13:$AG$9337=I1,IF(ISNUMBER($N$13:$N$9337),IF($N$13:$N$9337&gt;0,$N$13:$N$9337))))</f>
        <v>53.183333339402452</v>
      </c>
      <c r="P5" s="2"/>
      <c r="R5" s="74" t="s">
        <v>17</v>
      </c>
      <c r="S5" s="50">
        <f>COUNTIFS($N$13:$N$9337,"&gt;0",$AG$13:$AG$9337,R1)</f>
        <v>38</v>
      </c>
      <c r="T5" s="40"/>
      <c r="U5" s="177"/>
      <c r="V5" s="174">
        <f>AVERAGEIFS($N$13:$N$9337,$AG$13:$AG$9337,R1)</f>
        <v>15.139473684646777</v>
      </c>
      <c r="W5" s="175">
        <f t="array" ref="W5">MIN(IF($AG$13:$AG$9337=R1,IF(ISNUMBER($N$13:$N$9337),IF($N$13:$N$9337&gt;0,$N$13:$N$9337))))</f>
        <v>12.066666658502072</v>
      </c>
      <c r="X5" s="176">
        <f t="array" ref="X5">MAX(IF($AG$13:$AG$9337=R1,IF(ISNUMBER($N$13:$N$9337),IF($N$13:$N$9337&gt;0,$N$13:$N$9337))))</f>
        <v>21.833333334652707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COUNT($O$13:$O$117)</f>
        <v>0</v>
      </c>
      <c r="K6" s="40"/>
      <c r="L6" s="40"/>
      <c r="M6" s="41">
        <f>IFERROR(AVERAGE($O$13:$O$117),0)</f>
        <v>0</v>
      </c>
      <c r="N6" s="39">
        <f>MIN($O$13:$O$117)</f>
        <v>0</v>
      </c>
      <c r="O6" s="3">
        <f>MAX($O$13:$O$117)</f>
        <v>0</v>
      </c>
      <c r="P6" s="2"/>
      <c r="R6" s="75" t="s">
        <v>43</v>
      </c>
      <c r="S6" s="50">
        <f>COUNT($O$13:$O$117)</f>
        <v>0</v>
      </c>
      <c r="T6" s="40"/>
      <c r="U6" s="177"/>
      <c r="V6" s="174">
        <f>IFERROR(AVERAGE($O$13:$O$117),0)</f>
        <v>0</v>
      </c>
      <c r="W6" s="175">
        <f>MIN($O$13:$O$117)</f>
        <v>0</v>
      </c>
      <c r="X6" s="176">
        <f>MAX($O$13:$O$117)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COUNTIFS($P$13:$P$9337,"&gt;0",$AG$13:$AG$9337,I1)</f>
        <v>7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COUNTIFS($P$13:$P$9337,"&gt;0",$AG$13:$AG$9337,R1)</f>
        <v>9</v>
      </c>
      <c r="T7" s="40"/>
      <c r="U7" s="177"/>
      <c r="V7" s="174" t="s">
        <v>15</v>
      </c>
      <c r="W7" s="175" t="s">
        <v>15</v>
      </c>
      <c r="X7" s="176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137</v>
      </c>
      <c r="K8" s="40"/>
      <c r="L8" s="40"/>
      <c r="M8" s="41">
        <f>M5</f>
        <v>38.46411192208447</v>
      </c>
      <c r="N8" s="39">
        <f>N5</f>
        <v>34.666666660923511</v>
      </c>
      <c r="O8" s="3">
        <f>O5</f>
        <v>53.183333339402452</v>
      </c>
      <c r="P8" s="2"/>
      <c r="R8" s="74" t="s">
        <v>16</v>
      </c>
      <c r="S8" s="50">
        <f>S5</f>
        <v>38</v>
      </c>
      <c r="T8" s="40"/>
      <c r="U8" s="177"/>
      <c r="V8" s="174">
        <f>V5</f>
        <v>15.139473684646777</v>
      </c>
      <c r="W8" s="175">
        <f>W5</f>
        <v>12.066666658502072</v>
      </c>
      <c r="X8" s="176">
        <f>X5</f>
        <v>21.833333334652707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0.95138888888888884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0.80851063829787229</v>
      </c>
      <c r="T9" s="42"/>
      <c r="U9" s="166"/>
      <c r="V9" s="178"/>
      <c r="W9" s="166"/>
      <c r="X9" s="179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8"/>
      <c r="V10" s="180"/>
      <c r="W10" s="181"/>
      <c r="X10" s="181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223" t="str">
        <f>"Eagle P3 System Performance - "&amp;TEXT(Variables!A2,"yyyy-mm-dd")</f>
        <v>Eagle P3 System Performance - 2017-03-22</v>
      </c>
      <c r="B11" s="223"/>
      <c r="C11" s="223"/>
      <c r="D11" s="223"/>
      <c r="E11" s="223"/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S11" s="64">
        <f>AVERAGE(S13:S87)</f>
        <v>0.99305555555555558</v>
      </c>
      <c r="V11" s="180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2" t="s">
        <v>65</v>
      </c>
      <c r="V12" s="183" t="s">
        <v>45</v>
      </c>
      <c r="W12" s="184" t="s">
        <v>23</v>
      </c>
      <c r="X12" s="184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202</v>
      </c>
      <c r="AN12" s="47" t="s">
        <v>206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593</v>
      </c>
      <c r="B13" s="7">
        <v>4011</v>
      </c>
      <c r="C13" s="21" t="s">
        <v>219</v>
      </c>
      <c r="D13" s="21" t="s">
        <v>841</v>
      </c>
      <c r="E13" s="13">
        <v>42816.143611111111</v>
      </c>
      <c r="F13" s="13">
        <v>42816.145115740743</v>
      </c>
      <c r="G13" s="7">
        <v>1</v>
      </c>
      <c r="H13" s="21" t="s">
        <v>401</v>
      </c>
      <c r="I13" s="13">
        <v>42816.171724537038</v>
      </c>
      <c r="J13" s="7">
        <v>2</v>
      </c>
      <c r="K13" s="98" t="str">
        <f t="shared" ref="K13:K76" si="0">IF(ISEVEN(B13),(B13-1)&amp;"/"&amp;B13,B13&amp;"/"&amp;(B13+1))</f>
        <v>4011/4012</v>
      </c>
      <c r="L13" s="21" t="str">
        <f>VLOOKUP(A13,'Trips&amp;Operators'!$C$1:$G$99999,5,FALSE)</f>
        <v>BADERTSCHER DIANE</v>
      </c>
      <c r="M13" s="6">
        <f t="shared" ref="M13:M76" si="1">I13-F13</f>
        <v>2.6608796295477077E-2</v>
      </c>
      <c r="N13" s="7"/>
      <c r="O13" s="7"/>
      <c r="P13" s="7">
        <f>24*60*SUM($M13:$M13)</f>
        <v>38.316666665486991</v>
      </c>
      <c r="Q13" s="22"/>
      <c r="R13" s="22" t="s">
        <v>1060</v>
      </c>
      <c r="S13" s="31">
        <f>SUM(U13:U13)/IF(AG13="EC",12,1)</f>
        <v>1</v>
      </c>
      <c r="T13" s="46" t="str">
        <f t="shared" ref="T13:T76" si="2">IF(ISEVEN(LEFT(AD13,4)),"Southbound","NorthBound")</f>
        <v>NorthBound</v>
      </c>
      <c r="U13" s="18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6" t="str">
        <f t="shared" ref="V13:V76" si="3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-03-22T02:26:48-0600',mode:absolute,to:'2017-03-22T05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" s="187" t="str">
        <f t="shared" ref="W13:W76" si="4">IF(AA13&lt;IF(AG13="EC",23,5.65),"Y","N")</f>
        <v>Y</v>
      </c>
      <c r="X13" s="187" t="e">
        <f t="shared" ref="X13:X44" si="5">VALUE(LEFT(AD13,4))-VALUE(LEFT(AD12,4))</f>
        <v>#VALUE!</v>
      </c>
      <c r="Y13" s="62">
        <f t="shared" ref="Y13:Y76" si="6">RIGHT(D13,LEN(D13)-4)/10000</f>
        <v>1.9197</v>
      </c>
      <c r="Z13" s="62">
        <f t="shared" ref="Z13:Z76" si="7">RIGHT(H13,LEN(H13)-4)/10000</f>
        <v>23.330400000000001</v>
      </c>
      <c r="AA13" s="62">
        <f t="shared" ref="AA13:AA76" si="8">ABS(Z13-Y13)</f>
        <v>21.410700000000002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9">IF(LEN(A13)=6,"0"&amp;A13,A13)</f>
        <v>0101-22</v>
      </c>
      <c r="AE13" s="85" t="str">
        <f t="shared" ref="AE13:AE76" si="1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s3://rtdc.mdm.uploadarchive.raw/RTDC4011/ "%USERPROFILE%\AppData\Local\Temp\OnboardLogs"\RTDC4011\2017-03-22 --exclude "*" --recursive --include "*20170322*" &amp; "%USERPROFILE%\Documents\GitHub\mrs-test-scripts\Headless Mode &amp; Sideloading\WalkAndUnGZ.bat" "%USERPROFILE%\AppData\Local\Temp\OnboardLogs"\RTDC4011\2017-03-22 &amp; aws s3 cp s3://rtdc.mdm.uploadarchive.raw/RTDC4011/ "%USERPROFILE%\AppData\Local\Temp\OnboardLogs"\RTDC4011\2017-03-23 --exclude "*" --recursive --include "*20170323*" &amp; "%USERPROFILE%\Documents\GitHub\mrs-test-scripts\Headless Mode &amp; Sideloading\WalkAndUnGZ.bat" "%USERPROFILE%\AppData\Local\Temp\OnboardLogs"\RTDC4011\2017-03-23</v>
      </c>
      <c r="AF13" s="82" t="str">
        <f t="shared" ref="AF13:AF76" si="11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/stypes="app*4011*20170322*" /stext=" 10:.+((SYSTEM_STATE.+slice.+state.+changed )|(ment ac)|(multiple cpu faults)|(system.+state.+changed )|(\[timeout)|(PRM\|1\|D)|(kpr)|(kdp)|(\|lc)|(penalty))"</v>
      </c>
      <c r="AG13" s="1" t="str">
        <f t="shared" ref="AG13:AG76" si="12">IFERROR(IF(VALUE(LEFT(AD13,2))&lt;=2,"EC",IF(OR(VALUE(LEFT(AD13,2))=8,VALUE(LEFT(AD13,2))=18),"NW","Other")),"Other")</f>
        <v>EC</v>
      </c>
      <c r="AH13" s="86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101-22 --locoid 4011 --swversion DE.1.0.9.0 --startMP 204:19197 --initTime 2017-03-22T03:26:48 --startdatetime 2017-03-22T03:28:58 --delay 1 --endMP 204:233304 --enddatetime 2017-03-22T04:07:17 --enforcementcount 2 &gt;&gt;C:\Users\stu\Documents\GitHub\eaglep3-reporting\EC\2017-03-22-refined-times.txt</v>
      </c>
      <c r="AI13" s="108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{"issue":{"subject":"Penalty brake into phase break caused arcing, tripped breaker and dropped Bright 2N to STOP","project_id":79,"tracker_id":40,"status_id":1,"priority_id":2,"assigned_to_id":23,"start_date":"2017-03-22","description":"At 03:20:03, Bright 2N dropped from PROCEED CAB to STOP while train was ~0.1 miles away. Do logs tell of anything odd at this time?","custom_fields":[{"id":1,"name":"Subdivision","value":"EC"},{"id":4,"name":"Milepost","value":"23.3304"},{"id":17,"name":"Train ID","value":"101-22"},{"id":16,"name":"Locomotive ID","value":"4011"},{"id":130,"name":"Impact","value":"Enforcement"},{"id":150,"name":"Time of Event (Mountain Time)","value":"04:07:17"},{"id":151,"name":"Denver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3" s="48" t="s">
        <v>1049</v>
      </c>
      <c r="AK13" s="48" t="s">
        <v>124</v>
      </c>
      <c r="AL13" s="48" t="s">
        <v>129</v>
      </c>
      <c r="AM13" s="154" t="str">
        <f t="shared" ref="AM13" si="15">"start /low /b "&amp;dls3logs&amp;" --loco "&amp;B13&amp;" --day "&amp;TEXT(F13,"YYYY-MM-DD")</f>
        <v>start /low /b %USERPROFILE%\Documents\GitHub\eaglep3\Utilities\DownloadLogsFromS3.py --loco 4011 --day 2017-03-22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"%USERPROFILE%\AppData\Local\Temp\OnboardLogs"\RTDC4011\*4011*20170322* | grep -SE "(Enforcement Action)|(\[TIMEOUT)|(CHR.+\|PRM\|1\|D.+(SWITCH|SIGNAL).+UNKNOWN)" - &gt;&gt; 2017-03-22-UncaughtWiMAX.txt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593</v>
      </c>
      <c r="B14" s="7">
        <v>4011</v>
      </c>
      <c r="C14" s="21" t="s">
        <v>219</v>
      </c>
      <c r="D14" s="21" t="s">
        <v>842</v>
      </c>
      <c r="E14" s="13">
        <v>42816.127222222225</v>
      </c>
      <c r="F14" s="13">
        <v>42816.145115740743</v>
      </c>
      <c r="G14" s="7">
        <v>1</v>
      </c>
      <c r="H14" s="21" t="s">
        <v>843</v>
      </c>
      <c r="I14" s="13">
        <v>42816.171724537038</v>
      </c>
      <c r="J14" s="7">
        <v>2</v>
      </c>
      <c r="K14" s="98" t="str">
        <f t="shared" si="0"/>
        <v>4011/4012</v>
      </c>
      <c r="L14" s="21" t="str">
        <f>VLOOKUP(A14,'Trips&amp;Operators'!$C$1:$G$99999,5,FALSE)</f>
        <v>BADERTSCHER DIANE</v>
      </c>
      <c r="M14" s="6">
        <f t="shared" si="1"/>
        <v>2.6608796295477077E-2</v>
      </c>
      <c r="N14" s="7"/>
      <c r="O14" s="7"/>
      <c r="P14" s="7"/>
      <c r="Q14" s="22"/>
      <c r="R14" s="22"/>
      <c r="S14" s="31"/>
      <c r="T14" s="46" t="str">
        <f t="shared" si="2"/>
        <v>NorthBound</v>
      </c>
      <c r="U14" s="18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0</v>
      </c>
      <c r="V14" s="186" t="str">
        <f t="shared" si="3"/>
        <v>https://d0f6bd738d7f1b3e5a7ca70fe4ff75f0.us-east-1.aws.found.io/app/kibana#/discover/Steve-Slow-Train-Analysis-(2080s-and-2083s)?_g=(refreshInterval:(display:Off,pause:!f,section:0,value:0),time:(from:'2017-03-22T02:03:12-0600',mode:absolute,to:'2017-03-22T05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" s="187" t="str">
        <f t="shared" si="4"/>
        <v>Y</v>
      </c>
      <c r="X14" s="187">
        <f t="shared" si="5"/>
        <v>0</v>
      </c>
      <c r="Y14" s="62">
        <f t="shared" si="6"/>
        <v>8.0299999999999996E-2</v>
      </c>
      <c r="Z14" s="62">
        <f t="shared" si="7"/>
        <v>0.90800000000000003</v>
      </c>
      <c r="AA14" s="62">
        <f t="shared" si="8"/>
        <v>0.82769999999999999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9"/>
        <v>0101-22</v>
      </c>
      <c r="AE14" s="85" t="str">
        <f t="shared" si="10"/>
        <v>aws s3 cp s3://rtdc.mdm.uploadarchive.raw/RTDC4011/ "%USERPROFILE%\AppData\Local\Temp\OnboardLogs"\RTDC4011\2017-03-22 --exclude "*" --recursive --include "*20170322*" &amp; "%USERPROFILE%\Documents\GitHub\mrs-test-scripts\Headless Mode &amp; Sideloading\WalkAndUnGZ.bat" "%USERPROFILE%\AppData\Local\Temp\OnboardLogs"\RTDC4011\2017-03-22 &amp; aws s3 cp s3://rtdc.mdm.uploadarchive.raw/RTDC4011/ "%USERPROFILE%\AppData\Local\Temp\OnboardLogs"\RTDC4011\2017-03-23 --exclude "*" --recursive --include "*20170323*" &amp; "%USERPROFILE%\Documents\GitHub\mrs-test-scripts\Headless Mode &amp; Sideloading\WalkAndUnGZ.bat" "%USERPROFILE%\AppData\Local\Temp\OnboardLogs"\RTDC4011\2017-03-23</v>
      </c>
      <c r="AF14" s="82" t="str">
        <f t="shared" si="11"/>
        <v>"C:\Program Files (x86)\AstroGrep\AstroGrep.exe" /e /r /s /spath="%USERPROFILE%\AppData\Local\Temp\OnboardLogs" /stypes="app*4011*20170322*" /stext=" 10:.+((SYSTEM_STATE.+slice.+state.+changed )|(ment ac)|(multiple cpu faults)|(system.+state.+changed )|(\[timeout)|(PRM\|1\|D)|(kpr)|(kdp)|(\|lc)|(penalty))"</v>
      </c>
      <c r="AG14" s="1" t="str">
        <f t="shared" si="12"/>
        <v>EC</v>
      </c>
      <c r="AH14" s="86" t="str">
        <f t="shared" ref="AH14:AH77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101-22 --locoid 4011 --swversion DE.1.0.9.0 --startMP 204:803 --initTime 2017-03-22T03:03:12 --startdatetime 2017-03-22T03:28:58 --delay 1 --endMP 204:9080 --enddatetime 2017-03-22T04:07:17 --enforcementcount 2 &gt;&gt;C:\Users\stu\Documents\GitHub\eaglep3-reporting\EC\2017-03-22-refined-times.txt</v>
      </c>
      <c r="AI14" s="108" t="str">
        <f t="shared" ref="AI14:AI77" si="17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{"issue":{"subject":"","project_id":79,"tracker_id":40,"status_id":1,"priority_id":2,"assigned_to_id":23,"start_date":"2017-03-22","description":"","custom_fields":[{"id":1,"name":"Subdivision","value":"EC"},{"id":4,"name":"Milepost","value":"0.908"},{"id":17,"name":"Train ID","value":"101-22"},{"id":16,"name":"Locomotive ID","value":"4011"},{"id":130,"name":"Impact","value":""},{"id":150,"name":"Time of Event (Mountain Time)","value":"04:07:17"},{"id":151,"name":"Denver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7" si="18">"start /low /b "&amp;dls3logs&amp;" --loco "&amp;B14&amp;" --day "&amp;TEXT(F14,"YYYY-MM-DD")</f>
        <v>start /low /b %USERPROFILE%\Documents\GitHub\eaglep3\Utilities\DownloadLogsFromS3.py --loco 4011 --day 2017-03-22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"%USERPROFILE%\AppData\Local\Temp\OnboardLogs"\RTDC4011\*4011*20170322* | grep -SE "(Enforcement Action)|(\[TIMEOUT)|(CHR.+\|PRM\|1\|D.+(SWITCH|SIGNAL).+UNKNOWN)" - &gt;&gt; 2017-03-22-UncaughtWiMAX.txt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655</v>
      </c>
      <c r="B15" s="7">
        <v>4010</v>
      </c>
      <c r="C15" s="21" t="s">
        <v>219</v>
      </c>
      <c r="D15" s="21" t="s">
        <v>844</v>
      </c>
      <c r="E15" s="13">
        <v>42816.174537037034</v>
      </c>
      <c r="F15" s="13">
        <v>42816.181238425925</v>
      </c>
      <c r="G15" s="7">
        <v>1</v>
      </c>
      <c r="H15" s="21" t="s">
        <v>845</v>
      </c>
      <c r="I15" s="13">
        <v>42816.218171296299</v>
      </c>
      <c r="J15" s="7">
        <v>2</v>
      </c>
      <c r="K15" s="98" t="str">
        <f t="shared" si="0"/>
        <v>4009/4010</v>
      </c>
      <c r="L15" s="21" t="str">
        <f>VLOOKUP(A15,'Trips&amp;Operators'!$C$1:$G$99999,5,FALSE)</f>
        <v>BADERTSCHER DIANE</v>
      </c>
      <c r="M15" s="6">
        <f t="shared" si="1"/>
        <v>3.6932870374585036E-2</v>
      </c>
      <c r="N15" s="7">
        <f t="shared" ref="N15:N25" si="19">24*60*SUM($M15:$M15)</f>
        <v>53.183333339402452</v>
      </c>
      <c r="O15" s="7"/>
      <c r="P15" s="7"/>
      <c r="Q15" s="22"/>
      <c r="R15" s="22"/>
      <c r="S15" s="31">
        <f t="shared" ref="S15:S25" si="20">SUM(U15:U15)/IF(AG15="EC",12,1)</f>
        <v>1</v>
      </c>
      <c r="T15" s="46" t="str">
        <f t="shared" si="2"/>
        <v>Southbound</v>
      </c>
      <c r="U15" s="18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6" t="str">
        <f t="shared" si="3"/>
        <v>https://d0f6bd738d7f1b3e5a7ca70fe4ff75f0.us-east-1.aws.found.io/app/kibana#/discover/Steve-Slow-Train-Analysis-(2080s-and-2083s)?_g=(refreshInterval:(display:Off,pause:!f,section:0,value:0),time:(from:'2017-03-22T03:11:20-0600',mode:absolute,to:'2017-03-22T06:14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" s="187" t="str">
        <f t="shared" si="4"/>
        <v>N</v>
      </c>
      <c r="X15" s="187">
        <f t="shared" si="5"/>
        <v>1</v>
      </c>
      <c r="Y15" s="62">
        <f t="shared" si="6"/>
        <v>23.2651</v>
      </c>
      <c r="Z15" s="62">
        <f t="shared" si="7"/>
        <v>0.1588</v>
      </c>
      <c r="AA15" s="62">
        <f t="shared" si="8"/>
        <v>23.106300000000001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9"/>
        <v>0102-22</v>
      </c>
      <c r="AE15" s="85" t="str">
        <f t="shared" si="10"/>
        <v>aws s3 cp s3://rtdc.mdm.uploadarchive.raw/RTDC4010/ "%USERPROFILE%\AppData\Local\Temp\OnboardLogs"\RTDC4010\2017-03-22 --exclude "*" --recursive --include "*20170322*" &amp; "%USERPROFILE%\Documents\GitHub\mrs-test-scripts\Headless Mode &amp; Sideloading\WalkAndUnGZ.bat" "%USERPROFILE%\AppData\Local\Temp\OnboardLogs"\RTDC4010\2017-03-22 &amp; aws s3 cp s3://rtdc.mdm.uploadarchive.raw/RTDC4010/ "%USERPROFILE%\AppData\Local\Temp\OnboardLogs"\RTDC4010\2017-03-23 --exclude "*" --recursive --include "*20170323*" &amp; "%USERPROFILE%\Documents\GitHub\mrs-test-scripts\Headless Mode &amp; Sideloading\WalkAndUnGZ.bat" "%USERPROFILE%\AppData\Local\Temp\OnboardLogs"\RTDC4010\2017-03-23</v>
      </c>
      <c r="AF15" s="82" t="str">
        <f t="shared" si="11"/>
        <v>"C:\Program Files (x86)\AstroGrep\AstroGrep.exe" /e /r /s /spath="%USERPROFILE%\AppData\Local\Temp\OnboardLogs" /stypes="app*4010*20170322*" /stext=" 11:.+((SYSTEM_STATE.+slice.+state.+changed )|(ment ac)|(multiple cpu faults)|(system.+state.+changed )|(\[timeout)|(PRM\|1\|D)|(kpr)|(kdp)|(\|lc)|(penalty))"</v>
      </c>
      <c r="AG15" s="1" t="str">
        <f t="shared" si="12"/>
        <v>EC</v>
      </c>
      <c r="AH15" s="86" t="str">
        <f t="shared" si="16"/>
        <v>"%USERPROFILE%\Documents\GitHub\eaglep3\Utilities\RefineRTDCRunTimes.py" --tripid 102-22 --locoid 4010 --swversion DE.1.0.9.0 --startMP 204:232651 --initTime 2017-03-22T04:11:20 --startdatetime 2017-03-22T04:20:59 --delay 1 --endMP 204:1588 --enddatetime 2017-03-22T05:14:10 --enforcementcount 2 &gt;&gt;C:\Users\stu\Documents\GitHub\eaglep3-reporting\EC\2017-03-22-refined-times.txt</v>
      </c>
      <c r="AI15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{"issue":{"subject":"","project_id":79,"tracker_id":40,"status_id":1,"priority_id":2,"assigned_to_id":23,"start_date":"2017-03-22","description":"","custom_fields":[{"id":1,"name":"Subdivision","value":"EC"},{"id":4,"name":"Milepost","value":"0.1588"},{"id":17,"name":"Train ID","value":"102-22"},{"id":16,"name":"Locomotive ID","value":"4010"},{"id":130,"name":"Impact","value":""},{"id":150,"name":"Time of Event (Mountain Time)","value":"05:14:10"},{"id":151,"name":"Denver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18"/>
        <v>start /low /b %USERPROFILE%\Documents\GitHub\eaglep3\Utilities\DownloadLogsFromS3.py --loco 4010 --day 2017-03-22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"%USERPROFILE%\AppData\Local\Temp\OnboardLogs"\RTDC4010\*4010*20170322* | grep -SE "(Enforcement Action)|(\[TIMEOUT)|(CHR.+\|PRM\|1\|D.+(SWITCH|SIGNAL).+UNKNOWN)" - &gt;&gt; 2017-03-22-UncaughtWiMAX.txt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594</v>
      </c>
      <c r="B16" s="7">
        <v>4003</v>
      </c>
      <c r="C16" s="21" t="s">
        <v>219</v>
      </c>
      <c r="D16" s="21" t="s">
        <v>846</v>
      </c>
      <c r="E16" s="13">
        <v>42816.153275462966</v>
      </c>
      <c r="F16" s="13">
        <v>42816.1565625</v>
      </c>
      <c r="G16" s="7">
        <v>1</v>
      </c>
      <c r="H16" s="21" t="s">
        <v>847</v>
      </c>
      <c r="I16" s="13">
        <v>42816.183807870373</v>
      </c>
      <c r="J16" s="7">
        <v>2</v>
      </c>
      <c r="K16" s="98" t="str">
        <f t="shared" si="0"/>
        <v>4003/4004</v>
      </c>
      <c r="L16" s="21" t="str">
        <f>VLOOKUP(A16,'Trips&amp;Operators'!$C$1:$G$99999,5,FALSE)</f>
        <v>MAELZER KURT</v>
      </c>
      <c r="M16" s="6">
        <f t="shared" si="1"/>
        <v>2.7245370372838806E-2</v>
      </c>
      <c r="N16" s="7">
        <f t="shared" si="19"/>
        <v>39.233333336887881</v>
      </c>
      <c r="O16" s="7"/>
      <c r="P16" s="7"/>
      <c r="Q16" s="22"/>
      <c r="R16" s="22"/>
      <c r="S16" s="31">
        <f t="shared" si="20"/>
        <v>1</v>
      </c>
      <c r="T16" s="46" t="str">
        <f t="shared" si="2"/>
        <v>NorthBound</v>
      </c>
      <c r="U16" s="18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6" t="str">
        <f t="shared" si="3"/>
        <v>https://d0f6bd738d7f1b3e5a7ca70fe4ff75f0.us-east-1.aws.found.io/app/kibana#/discover/Steve-Slow-Train-Analysis-(2080s-and-2083s)?_g=(refreshInterval:(display:Off,pause:!f,section:0,value:0),time:(from:'2017-03-22T02:40:43-0600',mode:absolute,to:'2017-03-22T05:24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" s="187" t="str">
        <f t="shared" si="4"/>
        <v>N</v>
      </c>
      <c r="X16" s="187">
        <f t="shared" si="5"/>
        <v>1</v>
      </c>
      <c r="Y16" s="62">
        <f t="shared" si="6"/>
        <v>7.6300000000000007E-2</v>
      </c>
      <c r="Z16" s="62">
        <f t="shared" si="7"/>
        <v>23.331099999999999</v>
      </c>
      <c r="AA16" s="62">
        <f t="shared" si="8"/>
        <v>23.254799999999999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9"/>
        <v>0103-22</v>
      </c>
      <c r="AE16" s="85" t="str">
        <f t="shared" si="10"/>
        <v>aws s3 cp s3://rtdc.mdm.uploadarchive.raw/RTDC4003/ "%USERPROFILE%\AppData\Local\Temp\OnboardLogs"\RTDC4003\2017-03-22 --exclude "*" --recursive --include "*20170322*" &amp; "%USERPROFILE%\Documents\GitHub\mrs-test-scripts\Headless Mode &amp; Sideloading\WalkAndUnGZ.bat" "%USERPROFILE%\AppData\Local\Temp\OnboardLogs"\RTDC4003\2017-03-22 &amp; aws s3 cp s3://rtdc.mdm.uploadarchive.raw/RTDC4003/ "%USERPROFILE%\AppData\Local\Temp\OnboardLogs"\RTDC4003\2017-03-23 --exclude "*" --recursive --include "*20170323*" &amp; "%USERPROFILE%\Documents\GitHub\mrs-test-scripts\Headless Mode &amp; Sideloading\WalkAndUnGZ.bat" "%USERPROFILE%\AppData\Local\Temp\OnboardLogs"\RTDC4003\2017-03-23</v>
      </c>
      <c r="AF16" s="82" t="str">
        <f t="shared" si="11"/>
        <v>"C:\Program Files (x86)\AstroGrep\AstroGrep.exe" /e /r /s /spath="%USERPROFILE%\AppData\Local\Temp\OnboardLogs" /stypes="app*4003*20170322*" /stext=" 10:.+((SYSTEM_STATE.+slice.+state.+changed )|(ment ac)|(multiple cpu faults)|(system.+state.+changed )|(\[timeout)|(PRM\|1\|D)|(kpr)|(kdp)|(\|lc)|(penalty))"</v>
      </c>
      <c r="AG16" s="1" t="str">
        <f t="shared" si="12"/>
        <v>EC</v>
      </c>
      <c r="AH16" s="86" t="str">
        <f t="shared" si="16"/>
        <v>"%USERPROFILE%\Documents\GitHub\eaglep3\Utilities\RefineRTDCRunTimes.py" --tripid 103-22 --locoid 4003 --swversion DE.1.0.9.0 --startMP 204:763 --initTime 2017-03-22T03:40:43 --startdatetime 2017-03-22T03:45:27 --delay 1 --endMP 204:233311 --enddatetime 2017-03-22T04:24:41 --enforcementcount 2 &gt;&gt;C:\Users\stu\Documents\GitHub\eaglep3-reporting\EC\2017-03-22-refined-times.txt</v>
      </c>
      <c r="AI16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{"issue":{"subject":"","project_id":79,"tracker_id":40,"status_id":1,"priority_id":2,"assigned_to_id":23,"start_date":"2017-03-22","description":"","custom_fields":[{"id":1,"name":"Subdivision","value":"EC"},{"id":4,"name":"Milepost","value":"23.3311"},{"id":17,"name":"Train ID","value":"103-22"},{"id":16,"name":"Locomotive ID","value":"4003"},{"id":130,"name":"Impact","value":""},{"id":150,"name":"Time of Event (Mountain Time)","value":"04:24:41"},{"id":151,"name":"Denver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18"/>
        <v>start /low /b %USERPROFILE%\Documents\GitHub\eaglep3\Utilities\DownloadLogsFromS3.py --loco 4003 --day 2017-03-22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"%USERPROFILE%\AppData\Local\Temp\OnboardLogs"\RTDC4003\*4003*20170322* | grep -SE "(Enforcement Action)|(\[TIMEOUT)|(CHR.+\|PRM\|1\|D.+(SWITCH|SIGNAL).+UNKNOWN)" - &gt;&gt; 2017-03-22-UncaughtWiMAX.txt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659</v>
      </c>
      <c r="B17" s="7">
        <v>4028</v>
      </c>
      <c r="C17" s="21" t="s">
        <v>219</v>
      </c>
      <c r="D17" s="21" t="s">
        <v>848</v>
      </c>
      <c r="E17" s="13">
        <v>42816.189606481479</v>
      </c>
      <c r="F17" s="13">
        <v>42816.195520833331</v>
      </c>
      <c r="G17" s="7">
        <v>1</v>
      </c>
      <c r="H17" s="21" t="s">
        <v>215</v>
      </c>
      <c r="I17" s="13">
        <v>42816.22314814815</v>
      </c>
      <c r="J17" s="7">
        <v>2</v>
      </c>
      <c r="K17" s="98" t="str">
        <f t="shared" si="0"/>
        <v>4027/4028</v>
      </c>
      <c r="L17" s="21" t="str">
        <f>VLOOKUP(A17,'Trips&amp;Operators'!$C$1:$G$99999,5,FALSE)</f>
        <v>MAELZER KURT</v>
      </c>
      <c r="M17" s="6">
        <f t="shared" si="1"/>
        <v>2.7627314819255844E-2</v>
      </c>
      <c r="N17" s="7">
        <f t="shared" si="19"/>
        <v>39.783333339728415</v>
      </c>
      <c r="O17" s="7"/>
      <c r="P17" s="7"/>
      <c r="Q17" s="22"/>
      <c r="R17" s="22"/>
      <c r="S17" s="31">
        <f t="shared" si="20"/>
        <v>1</v>
      </c>
      <c r="T17" s="46" t="str">
        <f t="shared" si="2"/>
        <v>Southbound</v>
      </c>
      <c r="U17" s="18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6" t="str">
        <f t="shared" si="3"/>
        <v>https://d0f6bd738d7f1b3e5a7ca70fe4ff75f0.us-east-1.aws.found.io/app/kibana#/discover/Steve-Slow-Train-Analysis-(2080s-and-2083s)?_g=(refreshInterval:(display:Off,pause:!f,section:0,value:0),time:(from:'2017-03-22T03:33:02-0600',mode:absolute,to:'2017-03-22T06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" s="187" t="str">
        <f t="shared" si="4"/>
        <v>N</v>
      </c>
      <c r="X17" s="187">
        <f t="shared" si="5"/>
        <v>1</v>
      </c>
      <c r="Y17" s="62">
        <f t="shared" si="6"/>
        <v>23.267499999999998</v>
      </c>
      <c r="Z17" s="62">
        <f t="shared" si="7"/>
        <v>1.47E-2</v>
      </c>
      <c r="AA17" s="62">
        <f t="shared" si="8"/>
        <v>23.252799999999997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9"/>
        <v>0104-22</v>
      </c>
      <c r="AE17" s="85" t="str">
        <f t="shared" si="10"/>
        <v>aws s3 cp s3://rtdc.mdm.uploadarchive.raw/RTDC4028/ "%USERPROFILE%\AppData\Local\Temp\OnboardLogs"\RTDC4028\2017-03-22 --exclude "*" --recursive --include "*20170322*" &amp; "%USERPROFILE%\Documents\GitHub\mrs-test-scripts\Headless Mode &amp; Sideloading\WalkAndUnGZ.bat" "%USERPROFILE%\AppData\Local\Temp\OnboardLogs"\RTDC4028\2017-03-22 &amp; aws s3 cp s3://rtdc.mdm.uploadarchive.raw/RTDC4028/ "%USERPROFILE%\AppData\Local\Temp\OnboardLogs"\RTDC4028\2017-03-23 --exclude "*" --recursive --include "*20170323*" &amp; "%USERPROFILE%\Documents\GitHub\mrs-test-scripts\Headless Mode &amp; Sideloading\WalkAndUnGZ.bat" "%USERPROFILE%\AppData\Local\Temp\OnboardLogs"\RTDC4028\2017-03-23</v>
      </c>
      <c r="AF17" s="82" t="str">
        <f t="shared" si="11"/>
        <v>"C:\Program Files (x86)\AstroGrep\AstroGrep.exe" /e /r /s /spath="%USERPROFILE%\AppData\Local\Temp\OnboardLogs" /stypes="app*4028*20170322*" /stext=" 11:.+((SYSTEM_STATE.+slice.+state.+changed )|(ment ac)|(multiple cpu faults)|(system.+state.+changed )|(\[timeout)|(PRM\|1\|D)|(kpr)|(kdp)|(\|lc)|(penalty))"</v>
      </c>
      <c r="AG17" s="1" t="str">
        <f t="shared" si="12"/>
        <v>EC</v>
      </c>
      <c r="AH17" s="86" t="str">
        <f t="shared" si="16"/>
        <v>"%USERPROFILE%\Documents\GitHub\eaglep3\Utilities\RefineRTDCRunTimes.py" --tripid 104-22 --locoid 4028 --swversion DE.1.0.9.0 --startMP 204:232675 --initTime 2017-03-22T04:33:02 --startdatetime 2017-03-22T04:41:33 --delay 1 --endMP 204:147 --enddatetime 2017-03-22T05:21:20 --enforcementcount 2 &gt;&gt;C:\Users\stu\Documents\GitHub\eaglep3-reporting\EC\2017-03-22-refined-times.txt</v>
      </c>
      <c r="AI17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{"issue":{"subject":"","project_id":79,"tracker_id":40,"status_id":1,"priority_id":2,"assigned_to_id":23,"start_date":"2017-03-22","description":"","custom_fields":[{"id":1,"name":"Subdivision","value":"EC"},{"id":4,"name":"Milepost","value":"0.0147"},{"id":17,"name":"Train ID","value":"104-22"},{"id":16,"name":"Locomotive ID","value":"4028"},{"id":130,"name":"Impact","value":""},{"id":150,"name":"Time of Event (Mountain Time)","value":"05:21:20"},{"id":151,"name":"Denver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18"/>
        <v>start /low /b %USERPROFILE%\Documents\GitHub\eaglep3\Utilities\DownloadLogsFromS3.py --loco 4028 --day 2017-03-22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"%USERPROFILE%\AppData\Local\Temp\OnboardLogs"\RTDC4028\*4028*20170322* | grep -SE "(Enforcement Action)|(\[TIMEOUT)|(CHR.+\|PRM\|1\|D.+(SWITCH|SIGNAL).+UNKNOWN)" - &gt;&gt; 2017-03-22-UncaughtWiMAX.txt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654</v>
      </c>
      <c r="B18" s="7">
        <v>4040</v>
      </c>
      <c r="C18" s="21" t="s">
        <v>219</v>
      </c>
      <c r="D18" s="21" t="s">
        <v>849</v>
      </c>
      <c r="E18" s="13">
        <v>42816.171620370369</v>
      </c>
      <c r="F18" s="13">
        <v>42816.17765046296</v>
      </c>
      <c r="G18" s="7">
        <v>2</v>
      </c>
      <c r="H18" s="21" t="s">
        <v>517</v>
      </c>
      <c r="I18" s="13">
        <v>42816.2033912037</v>
      </c>
      <c r="J18" s="7">
        <v>2</v>
      </c>
      <c r="K18" s="98" t="str">
        <f t="shared" si="0"/>
        <v>4039/4040</v>
      </c>
      <c r="L18" s="21" t="str">
        <f>VLOOKUP(A18,'Trips&amp;Operators'!$C$1:$G$99999,5,FALSE)</f>
        <v>GEBRETEKLE DAGNEW</v>
      </c>
      <c r="M18" s="6">
        <f t="shared" si="1"/>
        <v>2.5740740740729962E-2</v>
      </c>
      <c r="N18" s="7">
        <f t="shared" si="19"/>
        <v>37.066666666651145</v>
      </c>
      <c r="O18" s="7"/>
      <c r="P18" s="7"/>
      <c r="Q18" s="22"/>
      <c r="R18" s="22"/>
      <c r="S18" s="31">
        <f t="shared" si="20"/>
        <v>1</v>
      </c>
      <c r="T18" s="46" t="str">
        <f t="shared" si="2"/>
        <v>NorthBound</v>
      </c>
      <c r="U18" s="18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6" t="str">
        <f t="shared" si="3"/>
        <v>https://d0f6bd738d7f1b3e5a7ca70fe4ff75f0.us-east-1.aws.found.io/app/kibana#/discover/Steve-Slow-Train-Analysis-(2080s-and-2083s)?_g=(refreshInterval:(display:Off,pause:!f,section:0,value:0),time:(from:'2017-03-22T03:07:08-0600',mode:absolute,to:'2017-03-22T05:52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" s="187" t="str">
        <f t="shared" si="4"/>
        <v>N</v>
      </c>
      <c r="X18" s="187">
        <f t="shared" si="5"/>
        <v>1</v>
      </c>
      <c r="Y18" s="62">
        <f t="shared" si="6"/>
        <v>7.5399999999999995E-2</v>
      </c>
      <c r="Z18" s="62">
        <f t="shared" si="7"/>
        <v>23.33</v>
      </c>
      <c r="AA18" s="62">
        <f t="shared" si="8"/>
        <v>23.2546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9"/>
        <v>0105-22</v>
      </c>
      <c r="AE18" s="85" t="str">
        <f t="shared" si="10"/>
        <v>aws s3 cp s3://rtdc.mdm.uploadarchive.raw/RTDC4040/ "%USERPROFILE%\AppData\Local\Temp\OnboardLogs"\RTDC4040\2017-03-22 --exclude "*" --recursive --include "*20170322*" &amp; "%USERPROFILE%\Documents\GitHub\mrs-test-scripts\Headless Mode &amp; Sideloading\WalkAndUnGZ.bat" "%USERPROFILE%\AppData\Local\Temp\OnboardLogs"\RTDC4040\2017-03-22 &amp; aws s3 cp s3://rtdc.mdm.uploadarchive.raw/RTDC4040/ "%USERPROFILE%\AppData\Local\Temp\OnboardLogs"\RTDC4040\2017-03-23 --exclude "*" --recursive --include "*20170323*" &amp; "%USERPROFILE%\Documents\GitHub\mrs-test-scripts\Headless Mode &amp; Sideloading\WalkAndUnGZ.bat" "%USERPROFILE%\AppData\Local\Temp\OnboardLogs"\RTDC4040\2017-03-23</v>
      </c>
      <c r="AF18" s="82" t="str">
        <f t="shared" si="11"/>
        <v>"C:\Program Files (x86)\AstroGrep\AstroGrep.exe" /e /r /s /spath="%USERPROFILE%\AppData\Local\Temp\OnboardLogs" /stypes="app*4040*20170322*" /stext=" 10:.+((SYSTEM_STATE.+slice.+state.+changed )|(ment ac)|(multiple cpu faults)|(system.+state.+changed )|(\[timeout)|(PRM\|1\|D)|(kpr)|(kdp)|(\|lc)|(penalty))"</v>
      </c>
      <c r="AG18" s="1" t="str">
        <f t="shared" si="12"/>
        <v>EC</v>
      </c>
      <c r="AH18" s="86" t="str">
        <f t="shared" si="16"/>
        <v>"%USERPROFILE%\Documents\GitHub\eaglep3\Utilities\RefineRTDCRunTimes.py" --tripid 105-22 --locoid 4040 --swversion DE.1.0.9.0 --startMP 204:754 --initTime 2017-03-22T04:07:08 --startdatetime 2017-03-22T04:15:49 --delay 2 --endMP 204:233300 --enddatetime 2017-03-22T04:52:53 --enforcementcount 2 &gt;&gt;C:\Users\stu\Documents\GitHub\eaglep3-reporting\EC\2017-03-22-refined-times.txt</v>
      </c>
      <c r="AI18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{"issue":{"subject":"","project_id":79,"tracker_id":40,"status_id":1,"priority_id":2,"assigned_to_id":23,"start_date":"2017-03-22","description":"","custom_fields":[{"id":1,"name":"Subdivision","value":"EC"},{"id":4,"name":"Milepost","value":"23.33"},{"id":17,"name":"Train ID","value":"105-22"},{"id":16,"name":"Locomotive ID","value":"4040"},{"id":130,"name":"Impact","value":""},{"id":150,"name":"Time of Event (Mountain Time)","value":"04:52:53"},{"id":151,"name":"Denver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18"/>
        <v>start /low /b %USERPROFILE%\Documents\GitHub\eaglep3\Utilities\DownloadLogsFromS3.py --loco 4040 --day 2017-03-22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"%USERPROFILE%\AppData\Local\Temp\OnboardLogs"\RTDC4040\*4040*20170322* | grep -SE "(Enforcement Action)|(\[TIMEOUT)|(CHR.+\|PRM\|1\|D.+(SWITCH|SIGNAL).+UNKNOWN)" - &gt;&gt; 2017-03-22-UncaughtWiMAX.txt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663</v>
      </c>
      <c r="B19" s="7">
        <v>4054</v>
      </c>
      <c r="C19" s="21" t="s">
        <v>219</v>
      </c>
      <c r="D19" s="21" t="s">
        <v>848</v>
      </c>
      <c r="E19" s="13">
        <v>42816.210914351854</v>
      </c>
      <c r="F19" s="13">
        <v>42816.216180555559</v>
      </c>
      <c r="G19" s="7">
        <v>1</v>
      </c>
      <c r="H19" s="21" t="s">
        <v>205</v>
      </c>
      <c r="I19" s="13">
        <v>42816.243495370371</v>
      </c>
      <c r="J19" s="7">
        <v>2</v>
      </c>
      <c r="K19" s="98" t="str">
        <f t="shared" si="0"/>
        <v>4053/4054</v>
      </c>
      <c r="L19" s="21" t="str">
        <f>VLOOKUP(A19,'Trips&amp;Operators'!$C$1:$G$99999,5,FALSE)</f>
        <v>GEBRETEKLE DAGNEW</v>
      </c>
      <c r="M19" s="6">
        <f t="shared" si="1"/>
        <v>2.7314814811688848E-2</v>
      </c>
      <c r="N19" s="7">
        <f t="shared" si="19"/>
        <v>39.333333328831941</v>
      </c>
      <c r="O19" s="7"/>
      <c r="P19" s="7"/>
      <c r="Q19" s="22"/>
      <c r="R19" s="22"/>
      <c r="S19" s="31">
        <f t="shared" si="20"/>
        <v>1</v>
      </c>
      <c r="T19" s="46" t="str">
        <f t="shared" si="2"/>
        <v>Southbound</v>
      </c>
      <c r="U19" s="18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6" t="str">
        <f t="shared" si="3"/>
        <v>https://d0f6bd738d7f1b3e5a7ca70fe4ff75f0.us-east-1.aws.found.io/app/kibana#/discover/Steve-Slow-Train-Analysis-(2080s-and-2083s)?_g=(refreshInterval:(display:Off,pause:!f,section:0,value:0),time:(from:'2017-03-22T04:03:43-0600',mode:absolute,to:'2017-03-22T06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" s="187" t="str">
        <f t="shared" si="4"/>
        <v>N</v>
      </c>
      <c r="X19" s="187">
        <f t="shared" si="5"/>
        <v>1</v>
      </c>
      <c r="Y19" s="62">
        <f t="shared" si="6"/>
        <v>23.267499999999998</v>
      </c>
      <c r="Z19" s="62">
        <f t="shared" si="7"/>
        <v>1.54E-2</v>
      </c>
      <c r="AA19" s="62">
        <f t="shared" si="8"/>
        <v>23.252099999999999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9"/>
        <v>0106-22</v>
      </c>
      <c r="AE19" s="85" t="str">
        <f t="shared" si="10"/>
        <v>aws s3 cp s3://rtdc.mdm.uploadarchive.raw/RTDC4054/ "%USERPROFILE%\AppData\Local\Temp\OnboardLogs"\RTDC4054\2017-03-22 --exclude "*" --recursive --include "*20170322*" &amp; "%USERPROFILE%\Documents\GitHub\mrs-test-scripts\Headless Mode &amp; Sideloading\WalkAndUnGZ.bat" "%USERPROFILE%\AppData\Local\Temp\OnboardLogs"\RTDC4054\2017-03-22 &amp; aws s3 cp s3://rtdc.mdm.uploadarchive.raw/RTDC4054/ "%USERPROFILE%\AppData\Local\Temp\OnboardLogs"\RTDC4054\2017-03-23 --exclude "*" --recursive --include "*20170323*" &amp; "%USERPROFILE%\Documents\GitHub\mrs-test-scripts\Headless Mode &amp; Sideloading\WalkAndUnGZ.bat" "%USERPROFILE%\AppData\Local\Temp\OnboardLogs"\RTDC4054\2017-03-23</v>
      </c>
      <c r="AF19" s="82" t="str">
        <f t="shared" si="11"/>
        <v>"C:\Program Files (x86)\AstroGrep\AstroGrep.exe" /e /r /s /spath="%USERPROFILE%\AppData\Local\Temp\OnboardLogs" /stypes="app*4054*20170322*" /stext=" 11:.+((SYSTEM_STATE.+slice.+state.+changed )|(ment ac)|(multiple cpu faults)|(system.+state.+changed )|(\[timeout)|(PRM\|1\|D)|(kpr)|(kdp)|(\|lc)|(penalty))"</v>
      </c>
      <c r="AG19" s="1" t="str">
        <f t="shared" si="12"/>
        <v>EC</v>
      </c>
      <c r="AH19" s="86" t="str">
        <f t="shared" si="16"/>
        <v>"%USERPROFILE%\Documents\GitHub\eaglep3\Utilities\RefineRTDCRunTimes.py" --tripid 106-22 --locoid 4054 --swversion DE.1.0.9.0 --startMP 204:232675 --initTime 2017-03-22T05:03:43 --startdatetime 2017-03-22T05:11:18 --delay 1 --endMP 204:154 --enddatetime 2017-03-22T05:50:38 --enforcementcount 2 &gt;&gt;C:\Users\stu\Documents\GitHub\eaglep3-reporting\EC\2017-03-22-refined-times.txt</v>
      </c>
      <c r="AI19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{"issue":{"subject":"","project_id":79,"tracker_id":40,"status_id":1,"priority_id":2,"assigned_to_id":23,"start_date":"2017-03-22","description":"","custom_fields":[{"id":1,"name":"Subdivision","value":"EC"},{"id":4,"name":"Milepost","value":"0.0154"},{"id":17,"name":"Train ID","value":"106-22"},{"id":16,"name":"Locomotive ID","value":"4054"},{"id":130,"name":"Impact","value":""},{"id":150,"name":"Time of Event (Mountain Time)","value":"05:50:38"},{"id":151,"name":"Denver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18"/>
        <v>start /low /b %USERPROFILE%\Documents\GitHub\eaglep3\Utilities\DownloadLogsFromS3.py --loco 4054 --day 2017-03-22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"%USERPROFILE%\AppData\Local\Temp\OnboardLogs"\RTDC4054\*4054*20170322* | grep -SE "(Enforcement Action)|(\[TIMEOUT)|(CHR.+\|PRM\|1\|D.+(SWITCH|SIGNAL).+UNKNOWN)" - &gt;&gt; 2017-03-22-UncaughtWiMAX.txt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656</v>
      </c>
      <c r="B20" s="7">
        <v>4020</v>
      </c>
      <c r="C20" s="21" t="s">
        <v>219</v>
      </c>
      <c r="D20" s="21" t="s">
        <v>489</v>
      </c>
      <c r="E20" s="13">
        <v>42816.179120370369</v>
      </c>
      <c r="F20" s="13">
        <v>42816.187662037039</v>
      </c>
      <c r="G20" s="7">
        <v>1</v>
      </c>
      <c r="H20" s="21" t="s">
        <v>559</v>
      </c>
      <c r="I20" s="13">
        <v>42816.21398148148</v>
      </c>
      <c r="J20" s="7">
        <v>2</v>
      </c>
      <c r="K20" s="98" t="str">
        <f t="shared" si="0"/>
        <v>4019/4020</v>
      </c>
      <c r="L20" s="21" t="str">
        <f>VLOOKUP(A20,'Trips&amp;Operators'!$C$1:$G$99999,5,FALSE)</f>
        <v>GUZMAN DANNY</v>
      </c>
      <c r="M20" s="6">
        <f t="shared" si="1"/>
        <v>2.6319444441469386E-2</v>
      </c>
      <c r="N20" s="7">
        <f t="shared" si="19"/>
        <v>37.899999995715916</v>
      </c>
      <c r="O20" s="7"/>
      <c r="P20" s="7"/>
      <c r="Q20" s="22"/>
      <c r="R20" s="22"/>
      <c r="S20" s="31">
        <f t="shared" si="20"/>
        <v>1</v>
      </c>
      <c r="T20" s="46" t="str">
        <f t="shared" si="2"/>
        <v>NorthBound</v>
      </c>
      <c r="U20" s="18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6" t="str">
        <f t="shared" si="3"/>
        <v>https://d0f6bd738d7f1b3e5a7ca70fe4ff75f0.us-east-1.aws.found.io/app/kibana#/discover/Steve-Slow-Train-Analysis-(2080s-and-2083s)?_g=(refreshInterval:(display:Off,pause:!f,section:0,value:0),time:(from:'2017-03-22T03:17:56-0600',mode:absolute,to:'2017-03-22T06:08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" s="187" t="str">
        <f t="shared" si="4"/>
        <v>N</v>
      </c>
      <c r="X20" s="187">
        <f t="shared" si="5"/>
        <v>1</v>
      </c>
      <c r="Y20" s="62">
        <f t="shared" si="6"/>
        <v>4.8399999999999999E-2</v>
      </c>
      <c r="Z20" s="62">
        <f t="shared" si="7"/>
        <v>23.328399999999998</v>
      </c>
      <c r="AA20" s="62">
        <f t="shared" si="8"/>
        <v>23.279999999999998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9"/>
        <v>0107-22</v>
      </c>
      <c r="AE20" s="85" t="str">
        <f t="shared" si="10"/>
        <v>aws s3 cp s3://rtdc.mdm.uploadarchive.raw/RTDC4020/ "%USERPROFILE%\AppData\Local\Temp\OnboardLogs"\RTDC4020\2017-03-22 --exclude "*" --recursive --include "*20170322*" &amp; "%USERPROFILE%\Documents\GitHub\mrs-test-scripts\Headless Mode &amp; Sideloading\WalkAndUnGZ.bat" "%USERPROFILE%\AppData\Local\Temp\OnboardLogs"\RTDC4020\2017-03-22 &amp; aws s3 cp s3://rtdc.mdm.uploadarchive.raw/RTDC4020/ "%USERPROFILE%\AppData\Local\Temp\OnboardLogs"\RTDC4020\2017-03-23 --exclude "*" --recursive --include "*20170323*" &amp; "%USERPROFILE%\Documents\GitHub\mrs-test-scripts\Headless Mode &amp; Sideloading\WalkAndUnGZ.bat" "%USERPROFILE%\AppData\Local\Temp\OnboardLogs"\RTDC4020\2017-03-23</v>
      </c>
      <c r="AF20" s="82" t="str">
        <f t="shared" si="11"/>
        <v>"C:\Program Files (x86)\AstroGrep\AstroGrep.exe" /e /r /s /spath="%USERPROFILE%\AppData\Local\Temp\OnboardLogs" /stypes="app*4020*20170322*" /stext=" 11:.+((SYSTEM_STATE.+slice.+state.+changed )|(ment ac)|(multiple cpu faults)|(system.+state.+changed )|(\[timeout)|(PRM\|1\|D)|(kpr)|(kdp)|(\|lc)|(penalty))"</v>
      </c>
      <c r="AG20" s="1" t="str">
        <f t="shared" si="12"/>
        <v>EC</v>
      </c>
      <c r="AH20" s="86" t="str">
        <f t="shared" si="16"/>
        <v>"%USERPROFILE%\Documents\GitHub\eaglep3\Utilities\RefineRTDCRunTimes.py" --tripid 107-22 --locoid 4020 --swversion DE.1.0.9.0 --startMP 204:484 --initTime 2017-03-22T04:17:56 --startdatetime 2017-03-22T04:30:14 --delay 1 --endMP 204:233284 --enddatetime 2017-03-22T05:08:08 --enforcementcount 2 &gt;&gt;C:\Users\stu\Documents\GitHub\eaglep3-reporting\EC\2017-03-22-refined-times.txt</v>
      </c>
      <c r="AI20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{"issue":{"subject":"","project_id":79,"tracker_id":40,"status_id":1,"priority_id":2,"assigned_to_id":23,"start_date":"2017-03-22","description":"","custom_fields":[{"id":1,"name":"Subdivision","value":"EC"},{"id":4,"name":"Milepost","value":"23.3284"},{"id":17,"name":"Train ID","value":"107-22"},{"id":16,"name":"Locomotive ID","value":"4020"},{"id":130,"name":"Impact","value":""},{"id":150,"name":"Time of Event (Mountain Time)","value":"05:08:08"},{"id":151,"name":"Denver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18"/>
        <v>start /low /b %USERPROFILE%\Documents\GitHub\eaglep3\Utilities\DownloadLogsFromS3.py --loco 4020 --day 2017-03-22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"%USERPROFILE%\AppData\Local\Temp\OnboardLogs"\RTDC4020\*4020*20170322* | grep -SE "(Enforcement Action)|(\[TIMEOUT)|(CHR.+\|PRM\|1\|D.+(SWITCH|SIGNAL).+UNKNOWN)" - &gt;&gt; 2017-03-22-UncaughtWiMAX.txt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665</v>
      </c>
      <c r="B21" s="7">
        <v>4019</v>
      </c>
      <c r="C21" s="21" t="s">
        <v>219</v>
      </c>
      <c r="D21" s="21" t="s">
        <v>460</v>
      </c>
      <c r="E21" s="13">
        <v>42816.220520833333</v>
      </c>
      <c r="F21" s="13">
        <v>42816.226597222223</v>
      </c>
      <c r="G21" s="7">
        <v>1</v>
      </c>
      <c r="H21" s="21" t="s">
        <v>191</v>
      </c>
      <c r="I21" s="13">
        <v>42816.254803240743</v>
      </c>
      <c r="J21" s="7">
        <v>2</v>
      </c>
      <c r="K21" s="98" t="str">
        <f t="shared" si="0"/>
        <v>4019/4020</v>
      </c>
      <c r="L21" s="21" t="str">
        <f>VLOOKUP(A21,'Trips&amp;Operators'!$C$1:$G$99999,5,FALSE)</f>
        <v>GUZMAN DANNY</v>
      </c>
      <c r="M21" s="6">
        <f t="shared" si="1"/>
        <v>2.8206018519995268E-2</v>
      </c>
      <c r="N21" s="7">
        <f t="shared" si="19"/>
        <v>40.616666668793187</v>
      </c>
      <c r="O21" s="7"/>
      <c r="P21" s="7"/>
      <c r="Q21" s="22"/>
      <c r="R21" s="22"/>
      <c r="S21" s="31">
        <f t="shared" si="20"/>
        <v>1</v>
      </c>
      <c r="T21" s="46" t="str">
        <f t="shared" si="2"/>
        <v>Southbound</v>
      </c>
      <c r="U21" s="18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6" t="str">
        <f t="shared" si="3"/>
        <v>https://d0f6bd738d7f1b3e5a7ca70fe4ff75f0.us-east-1.aws.found.io/app/kibana#/discover/Steve-Slow-Train-Analysis-(2080s-and-2083s)?_g=(refreshInterval:(display:Off,pause:!f,section:0,value:0),time:(from:'2017-03-22T04:17:33-0600',mode:absolute,to:'2017-03-22T07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" s="187" t="str">
        <f t="shared" si="4"/>
        <v>N</v>
      </c>
      <c r="X21" s="187">
        <f t="shared" si="5"/>
        <v>1</v>
      </c>
      <c r="Y21" s="62">
        <f t="shared" si="6"/>
        <v>23.2973</v>
      </c>
      <c r="Z21" s="62">
        <f t="shared" si="7"/>
        <v>1.4999999999999999E-2</v>
      </c>
      <c r="AA21" s="62">
        <f t="shared" si="8"/>
        <v>23.282299999999999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9"/>
        <v>0108-22</v>
      </c>
      <c r="AE21" s="85" t="str">
        <f t="shared" si="10"/>
        <v>aws s3 cp s3://rtdc.mdm.uploadarchive.raw/RTDC4019/ "%USERPROFILE%\AppData\Local\Temp\OnboardLogs"\RTDC4019\2017-03-22 --exclude "*" --recursive --include "*20170322*" &amp; "%USERPROFILE%\Documents\GitHub\mrs-test-scripts\Headless Mode &amp; Sideloading\WalkAndUnGZ.bat" "%USERPROFILE%\AppData\Local\Temp\OnboardLogs"\RTDC4019\2017-03-22 &amp; aws s3 cp s3://rtdc.mdm.uploadarchive.raw/RTDC4019/ "%USERPROFILE%\AppData\Local\Temp\OnboardLogs"\RTDC4019\2017-03-23 --exclude "*" --recursive --include "*20170323*" &amp; "%USERPROFILE%\Documents\GitHub\mrs-test-scripts\Headless Mode &amp; Sideloading\WalkAndUnGZ.bat" "%USERPROFILE%\AppData\Local\Temp\OnboardLogs"\RTDC4019\2017-03-23</v>
      </c>
      <c r="AF21" s="82" t="str">
        <f t="shared" si="11"/>
        <v>"C:\Program Files (x86)\AstroGrep\AstroGrep.exe" /e /r /s /spath="%USERPROFILE%\AppData\Local\Temp\OnboardLogs" /stypes="app*4019*20170322*" /stext=" 12:.+((SYSTEM_STATE.+slice.+state.+changed )|(ment ac)|(multiple cpu faults)|(system.+state.+changed )|(\[timeout)|(PRM\|1\|D)|(kpr)|(kdp)|(\|lc)|(penalty))"</v>
      </c>
      <c r="AG21" s="1" t="str">
        <f t="shared" si="12"/>
        <v>EC</v>
      </c>
      <c r="AH21" s="86" t="str">
        <f t="shared" si="16"/>
        <v>"%USERPROFILE%\Documents\GitHub\eaglep3\Utilities\RefineRTDCRunTimes.py" --tripid 108-22 --locoid 4019 --swversion DE.1.0.9.0 --startMP 204:232973 --initTime 2017-03-22T05:17:33 --startdatetime 2017-03-22T05:26:18 --delay 1 --endMP 204:150 --enddatetime 2017-03-22T06:06:55 --enforcementcount 2 &gt;&gt;C:\Users\stu\Documents\GitHub\eaglep3-reporting\EC\2017-03-22-refined-times.txt</v>
      </c>
      <c r="AI21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{"issue":{"subject":"","project_id":79,"tracker_id":40,"status_id":1,"priority_id":2,"assigned_to_id":23,"start_date":"2017-03-22","description":"","custom_fields":[{"id":1,"name":"Subdivision","value":"EC"},{"id":4,"name":"Milepost","value":"0.015"},{"id":17,"name":"Train ID","value":"108-22"},{"id":16,"name":"Locomotive ID","value":"4019"},{"id":130,"name":"Impact","value":""},{"id":150,"name":"Time of Event (Mountain Time)","value":"06:06:55"},{"id":151,"name":"Denver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18"/>
        <v>start /low /b %USERPROFILE%\Documents\GitHub\eaglep3\Utilities\DownloadLogsFromS3.py --loco 4019 --day 2017-03-22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"%USERPROFILE%\AppData\Local\Temp\OnboardLogs"\RTDC4019\*4019*20170322* | grep -SE "(Enforcement Action)|(\[TIMEOUT)|(CHR.+\|PRM\|1\|D.+(SWITCH|SIGNAL).+UNKNOWN)" - &gt;&gt; 2017-03-22-UncaughtWiMAX.txt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657</v>
      </c>
      <c r="B22" s="7">
        <v>4042</v>
      </c>
      <c r="C22" s="21" t="s">
        <v>219</v>
      </c>
      <c r="D22" s="21" t="s">
        <v>850</v>
      </c>
      <c r="E22" s="13">
        <v>42816.193287037036</v>
      </c>
      <c r="F22" s="13">
        <v>42816.198148148149</v>
      </c>
      <c r="G22" s="7">
        <v>3</v>
      </c>
      <c r="H22" s="21" t="s">
        <v>562</v>
      </c>
      <c r="I22" s="13">
        <v>42816.223506944443</v>
      </c>
      <c r="J22" s="7">
        <v>2</v>
      </c>
      <c r="K22" s="98" t="str">
        <f t="shared" si="0"/>
        <v>4041/4042</v>
      </c>
      <c r="L22" s="21" t="str">
        <f>VLOOKUP(A22,'Trips&amp;Operators'!$C$1:$G$99999,5,FALSE)</f>
        <v>SANTIZO D. EDY</v>
      </c>
      <c r="M22" s="6">
        <f t="shared" si="1"/>
        <v>2.5358796294312924E-2</v>
      </c>
      <c r="N22" s="7">
        <f t="shared" si="19"/>
        <v>36.516666663810611</v>
      </c>
      <c r="O22" s="7"/>
      <c r="P22" s="7"/>
      <c r="Q22" s="22"/>
      <c r="R22" s="22"/>
      <c r="S22" s="31">
        <f t="shared" si="20"/>
        <v>1</v>
      </c>
      <c r="T22" s="46" t="str">
        <f t="shared" si="2"/>
        <v>NorthBound</v>
      </c>
      <c r="U22" s="18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6" t="str">
        <f t="shared" si="3"/>
        <v>https://d0f6bd738d7f1b3e5a7ca70fe4ff75f0.us-east-1.aws.found.io/app/kibana#/discover/Steve-Slow-Train-Analysis-(2080s-and-2083s)?_g=(refreshInterval:(display:Off,pause:!f,section:0,value:0),time:(from:'2017-03-22T03:38:20-0600',mode:absolute,to:'2017-03-22T06:21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" s="187" t="str">
        <f t="shared" si="4"/>
        <v>N</v>
      </c>
      <c r="X22" s="187">
        <f t="shared" si="5"/>
        <v>1</v>
      </c>
      <c r="Y22" s="62">
        <f t="shared" si="6"/>
        <v>4.24E-2</v>
      </c>
      <c r="Z22" s="62">
        <f t="shared" si="7"/>
        <v>23.329799999999999</v>
      </c>
      <c r="AA22" s="62">
        <f t="shared" si="8"/>
        <v>23.287399999999998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9"/>
        <v>0109-22</v>
      </c>
      <c r="AE22" s="85" t="str">
        <f t="shared" si="10"/>
        <v>aws s3 cp s3://rtdc.mdm.uploadarchive.raw/RTDC4042/ "%USERPROFILE%\AppData\Local\Temp\OnboardLogs"\RTDC4042\2017-03-22 --exclude "*" --recursive --include "*20170322*" &amp; "%USERPROFILE%\Documents\GitHub\mrs-test-scripts\Headless Mode &amp; Sideloading\WalkAndUnGZ.bat" "%USERPROFILE%\AppData\Local\Temp\OnboardLogs"\RTDC4042\2017-03-22 &amp; aws s3 cp s3://rtdc.mdm.uploadarchive.raw/RTDC4042/ "%USERPROFILE%\AppData\Local\Temp\OnboardLogs"\RTDC4042\2017-03-23 --exclude "*" --recursive --include "*20170323*" &amp; "%USERPROFILE%\Documents\GitHub\mrs-test-scripts\Headless Mode &amp; Sideloading\WalkAndUnGZ.bat" "%USERPROFILE%\AppData\Local\Temp\OnboardLogs"\RTDC4042\2017-03-23</v>
      </c>
      <c r="AF22" s="82" t="str">
        <f t="shared" si="11"/>
        <v>"C:\Program Files (x86)\AstroGrep\AstroGrep.exe" /e /r /s /spath="%USERPROFILE%\AppData\Local\Temp\OnboardLogs" /stypes="app*4042*20170322*" /stext=" 11:.+((SYSTEM_STATE.+slice.+state.+changed )|(ment ac)|(multiple cpu faults)|(system.+state.+changed )|(\[timeout)|(PRM\|1\|D)|(kpr)|(kdp)|(\|lc)|(penalty))"</v>
      </c>
      <c r="AG22" s="1" t="str">
        <f t="shared" si="12"/>
        <v>EC</v>
      </c>
      <c r="AH22" s="86" t="str">
        <f t="shared" si="16"/>
        <v>"%USERPROFILE%\Documents\GitHub\eaglep3\Utilities\RefineRTDCRunTimes.py" --tripid 109-22 --locoid 4042 --swversion DE.1.0.9.0 --startMP 204:424 --initTime 2017-03-22T04:38:20 --startdatetime 2017-03-22T04:45:20 --delay 3 --endMP 204:233298 --enddatetime 2017-03-22T05:21:51 --enforcementcount 2 &gt;&gt;C:\Users\stu\Documents\GitHub\eaglep3-reporting\EC\2017-03-22-refined-times.txt</v>
      </c>
      <c r="AI22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{"issue":{"subject":"","project_id":79,"tracker_id":40,"status_id":1,"priority_id":2,"assigned_to_id":23,"start_date":"2017-03-22","description":"","custom_fields":[{"id":1,"name":"Subdivision","value":"EC"},{"id":4,"name":"Milepost","value":"23.3298"},{"id":17,"name":"Train ID","value":"109-22"},{"id":16,"name":"Locomotive ID","value":"4042"},{"id":130,"name":"Impact","value":""},{"id":150,"name":"Time of Event (Mountain Time)","value":"05:21:51"},{"id":151,"name":"Denver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18"/>
        <v>start /low /b %USERPROFILE%\Documents\GitHub\eaglep3\Utilities\DownloadLogsFromS3.py --loco 4042 --day 2017-03-22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"%USERPROFILE%\AppData\Local\Temp\OnboardLogs"\RTDC4042\*4042*20170322* | grep -SE "(Enforcement Action)|(\[TIMEOUT)|(CHR.+\|PRM\|1\|D.+(SWITCH|SIGNAL).+UNKNOWN)" - &gt;&gt; 2017-03-22-UncaughtWiMAX.txt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596</v>
      </c>
      <c r="B23" s="7">
        <v>4041</v>
      </c>
      <c r="C23" s="21" t="s">
        <v>219</v>
      </c>
      <c r="D23" s="21" t="s">
        <v>457</v>
      </c>
      <c r="E23" s="13">
        <v>42816.22519675926</v>
      </c>
      <c r="F23" s="13">
        <v>42816.237071759257</v>
      </c>
      <c r="G23" s="7">
        <v>1</v>
      </c>
      <c r="H23" s="21" t="s">
        <v>851</v>
      </c>
      <c r="I23" s="13">
        <v>42816.263067129628</v>
      </c>
      <c r="J23" s="7">
        <v>2</v>
      </c>
      <c r="K23" s="98" t="str">
        <f t="shared" si="0"/>
        <v>4041/4042</v>
      </c>
      <c r="L23" s="21" t="str">
        <f>VLOOKUP(A23,'Trips&amp;Operators'!$C$1:$G$99999,5,FALSE)</f>
        <v>SANTIZO D. EDY</v>
      </c>
      <c r="M23" s="6">
        <f t="shared" si="1"/>
        <v>2.5995370371674653E-2</v>
      </c>
      <c r="N23" s="7">
        <f t="shared" si="19"/>
        <v>37.433333335211501</v>
      </c>
      <c r="O23" s="7"/>
      <c r="P23" s="7"/>
      <c r="Q23" s="22"/>
      <c r="R23" s="22"/>
      <c r="S23" s="31">
        <f t="shared" si="20"/>
        <v>1</v>
      </c>
      <c r="T23" s="46" t="str">
        <f t="shared" si="2"/>
        <v>Southbound</v>
      </c>
      <c r="U23" s="18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6" t="str">
        <f t="shared" si="3"/>
        <v>https://d0f6bd738d7f1b3e5a7ca70fe4ff75f0.us-east-1.aws.found.io/app/kibana#/discover/Steve-Slow-Train-Analysis-(2080s-and-2083s)?_g=(refreshInterval:(display:Off,pause:!f,section:0,value:0),time:(from:'2017-03-22T04:24:17-0600',mode:absolute,to:'2017-03-22T07:18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" s="187" t="str">
        <f t="shared" si="4"/>
        <v>N</v>
      </c>
      <c r="X23" s="187">
        <f t="shared" si="5"/>
        <v>1</v>
      </c>
      <c r="Y23" s="62">
        <f t="shared" si="6"/>
        <v>23.298100000000002</v>
      </c>
      <c r="Z23" s="62">
        <f t="shared" si="7"/>
        <v>1.7399999999999999E-2</v>
      </c>
      <c r="AA23" s="62">
        <f t="shared" si="8"/>
        <v>23.280700000000003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9"/>
        <v>0110-22</v>
      </c>
      <c r="AE23" s="85" t="str">
        <f t="shared" si="10"/>
        <v>aws s3 cp s3://rtdc.mdm.uploadarchive.raw/RTDC4041/ "%USERPROFILE%\AppData\Local\Temp\OnboardLogs"\RTDC4041\2017-03-22 --exclude "*" --recursive --include "*20170322*" &amp; "%USERPROFILE%\Documents\GitHub\mrs-test-scripts\Headless Mode &amp; Sideloading\WalkAndUnGZ.bat" "%USERPROFILE%\AppData\Local\Temp\OnboardLogs"\RTDC4041\2017-03-22 &amp; aws s3 cp s3://rtdc.mdm.uploadarchive.raw/RTDC4041/ "%USERPROFILE%\AppData\Local\Temp\OnboardLogs"\RTDC4041\2017-03-23 --exclude "*" --recursive --include "*20170323*" &amp; "%USERPROFILE%\Documents\GitHub\mrs-test-scripts\Headless Mode &amp; Sideloading\WalkAndUnGZ.bat" "%USERPROFILE%\AppData\Local\Temp\OnboardLogs"\RTDC4041\2017-03-23</v>
      </c>
      <c r="AF23" s="82" t="str">
        <f t="shared" si="11"/>
        <v>"C:\Program Files (x86)\AstroGrep\AstroGrep.exe" /e /r /s /spath="%USERPROFILE%\AppData\Local\Temp\OnboardLogs" /stypes="app*4041*20170322*" /stext=" 12:.+((SYSTEM_STATE.+slice.+state.+changed )|(ment ac)|(multiple cpu faults)|(system.+state.+changed )|(\[timeout)|(PRM\|1\|D)|(kpr)|(kdp)|(\|lc)|(penalty))"</v>
      </c>
      <c r="AG23" s="1" t="str">
        <f t="shared" si="12"/>
        <v>EC</v>
      </c>
      <c r="AH23" s="86" t="str">
        <f t="shared" si="16"/>
        <v>"%USERPROFILE%\Documents\GitHub\eaglep3\Utilities\RefineRTDCRunTimes.py" --tripid 110-22 --locoid 4041 --swversion DE.1.0.9.0 --startMP 204:232981 --initTime 2017-03-22T05:24:17 --startdatetime 2017-03-22T05:41:23 --delay 1 --endMP 204:174 --enddatetime 2017-03-22T06:18:49 --enforcementcount 2 &gt;&gt;C:\Users\stu\Documents\GitHub\eaglep3-reporting\EC\2017-03-22-refined-times.txt</v>
      </c>
      <c r="AI23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{"issue":{"subject":"","project_id":79,"tracker_id":40,"status_id":1,"priority_id":2,"assigned_to_id":23,"start_date":"2017-03-22","description":"","custom_fields":[{"id":1,"name":"Subdivision","value":"EC"},{"id":4,"name":"Milepost","value":"0.0174"},{"id":17,"name":"Train ID","value":"110-22"},{"id":16,"name":"Locomotive ID","value":"4041"},{"id":130,"name":"Impact","value":""},{"id":150,"name":"Time of Event (Mountain Time)","value":"06:18:49"},{"id":151,"name":"Denver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18"/>
        <v>start /low /b %USERPROFILE%\Documents\GitHub\eaglep3\Utilities\DownloadLogsFromS3.py --loco 4041 --day 2017-03-22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"%USERPROFILE%\AppData\Local\Temp\OnboardLogs"\RTDC4041\*4041*20170322* | grep -SE "(Enforcement Action)|(\[TIMEOUT)|(CHR.+\|PRM\|1\|D.+(SWITCH|SIGNAL).+UNKNOWN)" - &gt;&gt; 2017-03-22-UncaughtWiMAX.txt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662</v>
      </c>
      <c r="B24" s="7">
        <v>4018</v>
      </c>
      <c r="C24" s="21" t="s">
        <v>219</v>
      </c>
      <c r="D24" s="21" t="s">
        <v>208</v>
      </c>
      <c r="E24" s="13">
        <v>42816.2030787037</v>
      </c>
      <c r="F24" s="13">
        <v>42816.208541666667</v>
      </c>
      <c r="G24" s="7">
        <v>1</v>
      </c>
      <c r="H24" s="21" t="s">
        <v>458</v>
      </c>
      <c r="I24" s="13">
        <v>42816.233101851853</v>
      </c>
      <c r="J24" s="7">
        <v>2</v>
      </c>
      <c r="K24" s="98" t="str">
        <f t="shared" si="0"/>
        <v>4017/4018</v>
      </c>
      <c r="L24" s="21" t="str">
        <f>VLOOKUP(A24,'Trips&amp;Operators'!$C$1:$G$99999,5,FALSE)</f>
        <v>SULLIVAN BRANDON</v>
      </c>
      <c r="M24" s="6">
        <f t="shared" si="1"/>
        <v>2.4560185185691807E-2</v>
      </c>
      <c r="N24" s="7">
        <f t="shared" si="19"/>
        <v>35.366666667396203</v>
      </c>
      <c r="O24" s="7"/>
      <c r="P24" s="7"/>
      <c r="Q24" s="22"/>
      <c r="R24" s="22"/>
      <c r="S24" s="31">
        <f t="shared" si="20"/>
        <v>1</v>
      </c>
      <c r="T24" s="46" t="str">
        <f t="shared" si="2"/>
        <v>NorthBound</v>
      </c>
      <c r="U24" s="18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6" t="str">
        <f t="shared" si="3"/>
        <v>https://d0f6bd738d7f1b3e5a7ca70fe4ff75f0.us-east-1.aws.found.io/app/kibana#/discover/Steve-Slow-Train-Analysis-(2080s-and-2083s)?_g=(refreshInterval:(display:Off,pause:!f,section:0,value:0),time:(from:'2017-03-22T03:52:26-0600',mode:absolute,to:'2017-03-22T06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4" s="187" t="str">
        <f t="shared" si="4"/>
        <v>N</v>
      </c>
      <c r="X24" s="187">
        <f t="shared" si="5"/>
        <v>1</v>
      </c>
      <c r="Y24" s="62">
        <f t="shared" si="6"/>
        <v>4.5699999999999998E-2</v>
      </c>
      <c r="Z24" s="62">
        <f t="shared" si="7"/>
        <v>23.331399999999999</v>
      </c>
      <c r="AA24" s="62">
        <f t="shared" si="8"/>
        <v>23.285699999999999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9"/>
        <v>0111-22</v>
      </c>
      <c r="AE24" s="85" t="str">
        <f t="shared" si="10"/>
        <v>aws s3 cp s3://rtdc.mdm.uploadarchive.raw/RTDC4018/ "%USERPROFILE%\AppData\Local\Temp\OnboardLogs"\RTDC4018\2017-03-22 --exclude "*" --recursive --include "*20170322*" &amp; "%USERPROFILE%\Documents\GitHub\mrs-test-scripts\Headless Mode &amp; Sideloading\WalkAndUnGZ.bat" "%USERPROFILE%\AppData\Local\Temp\OnboardLogs"\RTDC4018\2017-03-22 &amp; aws s3 cp s3://rtdc.mdm.uploadarchive.raw/RTDC4018/ "%USERPROFILE%\AppData\Local\Temp\OnboardLogs"\RTDC4018\2017-03-23 --exclude "*" --recursive --include "*20170323*" &amp; "%USERPROFILE%\Documents\GitHub\mrs-test-scripts\Headless Mode &amp; Sideloading\WalkAndUnGZ.bat" "%USERPROFILE%\AppData\Local\Temp\OnboardLogs"\RTDC4018\2017-03-23</v>
      </c>
      <c r="AF24" s="82" t="str">
        <f t="shared" si="11"/>
        <v>"C:\Program Files (x86)\AstroGrep\AstroGrep.exe" /e /r /s /spath="%USERPROFILE%\AppData\Local\Temp\OnboardLogs" /stypes="app*4018*20170322*" /stext=" 11:.+((SYSTEM_STATE.+slice.+state.+changed )|(ment ac)|(multiple cpu faults)|(system.+state.+changed )|(\[timeout)|(PRM\|1\|D)|(kpr)|(kdp)|(\|lc)|(penalty))"</v>
      </c>
      <c r="AG24" s="1" t="str">
        <f t="shared" si="12"/>
        <v>EC</v>
      </c>
      <c r="AH24" s="86" t="str">
        <f t="shared" si="16"/>
        <v>"%USERPROFILE%\Documents\GitHub\eaglep3\Utilities\RefineRTDCRunTimes.py" --tripid 111-22 --locoid 4018 --swversion DE.1.0.9.0 --startMP 204:457 --initTime 2017-03-22T04:52:26 --startdatetime 2017-03-22T05:00:18 --delay 1 --endMP 204:233314 --enddatetime 2017-03-22T05:35:40 --enforcementcount 2 &gt;&gt;C:\Users\stu\Documents\GitHub\eaglep3-reporting\EC\2017-03-22-refined-times.txt</v>
      </c>
      <c r="AI24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{"issue":{"subject":"","project_id":79,"tracker_id":40,"status_id":1,"priority_id":2,"assigned_to_id":23,"start_date":"2017-03-22","description":"","custom_fields":[{"id":1,"name":"Subdivision","value":"EC"},{"id":4,"name":"Milepost","value":"23.3314"},{"id":17,"name":"Train ID","value":"111-22"},{"id":16,"name":"Locomotive ID","value":"4018"},{"id":130,"name":"Impact","value":""},{"id":150,"name":"Time of Event (Mountain Time)","value":"05:35:40"},{"id":151,"name":"Denver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18"/>
        <v>start /low /b %USERPROFILE%\Documents\GitHub\eaglep3\Utilities\DownloadLogsFromS3.py --loco 4018 --day 2017-03-22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"%USERPROFILE%\AppData\Local\Temp\OnboardLogs"\RTDC4018\*4018*20170322* | grep -SE "(Enforcement Action)|(\[TIMEOUT)|(CHR.+\|PRM\|1\|D.+(SWITCH|SIGNAL).+UNKNOWN)" - &gt;&gt; 2017-03-22-UncaughtWiMAX.txt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671</v>
      </c>
      <c r="B25" s="7">
        <v>4017</v>
      </c>
      <c r="C25" s="21" t="s">
        <v>219</v>
      </c>
      <c r="D25" s="21" t="s">
        <v>852</v>
      </c>
      <c r="E25" s="13">
        <v>42816.247094907405</v>
      </c>
      <c r="F25" s="13">
        <v>42816.248564814814</v>
      </c>
      <c r="G25" s="7">
        <v>1</v>
      </c>
      <c r="H25" s="21" t="s">
        <v>395</v>
      </c>
      <c r="I25" s="13">
        <v>42816.275567129633</v>
      </c>
      <c r="J25" s="7">
        <v>2</v>
      </c>
      <c r="K25" s="98" t="str">
        <f t="shared" si="0"/>
        <v>4017/4018</v>
      </c>
      <c r="L25" s="21" t="str">
        <f>VLOOKUP(A25,'Trips&amp;Operators'!$C$1:$G$99999,5,FALSE)</f>
        <v>SULLIVAN BRANDON</v>
      </c>
      <c r="M25" s="6">
        <f t="shared" si="1"/>
        <v>2.7002314818673767E-2</v>
      </c>
      <c r="N25" s="7">
        <f t="shared" si="19"/>
        <v>38.883333338890225</v>
      </c>
      <c r="O25" s="7"/>
      <c r="P25" s="7"/>
      <c r="Q25" s="22"/>
      <c r="R25" s="22"/>
      <c r="S25" s="31">
        <f t="shared" si="20"/>
        <v>1</v>
      </c>
      <c r="T25" s="46" t="str">
        <f t="shared" si="2"/>
        <v>Southbound</v>
      </c>
      <c r="U25" s="18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6" t="str">
        <f t="shared" si="3"/>
        <v>https://d0f6bd738d7f1b3e5a7ca70fe4ff75f0.us-east-1.aws.found.io/app/kibana#/discover/Steve-Slow-Train-Analysis-(2080s-and-2083s)?_g=(refreshInterval:(display:Off,pause:!f,section:0,value:0),time:(from:'2017-03-22T04:55:49-0600',mode:absolute,to:'2017-03-22T07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5" s="187" t="str">
        <f t="shared" si="4"/>
        <v>N</v>
      </c>
      <c r="X25" s="187">
        <f t="shared" si="5"/>
        <v>1</v>
      </c>
      <c r="Y25" s="62">
        <f t="shared" si="6"/>
        <v>23.298200000000001</v>
      </c>
      <c r="Z25" s="62">
        <f t="shared" si="7"/>
        <v>1.4500000000000001E-2</v>
      </c>
      <c r="AA25" s="62">
        <f t="shared" si="8"/>
        <v>23.2837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9"/>
        <v>0112-22</v>
      </c>
      <c r="AE25" s="85" t="str">
        <f t="shared" si="10"/>
        <v>aws s3 cp s3://rtdc.mdm.uploadarchive.raw/RTDC4017/ "%USERPROFILE%\AppData\Local\Temp\OnboardLogs"\RTDC4017\2017-03-22 --exclude "*" --recursive --include "*20170322*" &amp; "%USERPROFILE%\Documents\GitHub\mrs-test-scripts\Headless Mode &amp; Sideloading\WalkAndUnGZ.bat" "%USERPROFILE%\AppData\Local\Temp\OnboardLogs"\RTDC4017\2017-03-22 &amp; aws s3 cp s3://rtdc.mdm.uploadarchive.raw/RTDC4017/ "%USERPROFILE%\AppData\Local\Temp\OnboardLogs"\RTDC4017\2017-03-23 --exclude "*" --recursive --include "*20170323*" &amp; "%USERPROFILE%\Documents\GitHub\mrs-test-scripts\Headless Mode &amp; Sideloading\WalkAndUnGZ.bat" "%USERPROFILE%\AppData\Local\Temp\OnboardLogs"\RTDC4017\2017-03-23</v>
      </c>
      <c r="AF25" s="82" t="str">
        <f t="shared" si="11"/>
        <v>"C:\Program Files (x86)\AstroGrep\AstroGrep.exe" /e /r /s /spath="%USERPROFILE%\AppData\Local\Temp\OnboardLogs" /stypes="app*4017*20170322*" /stext=" 12:.+((SYSTEM_STATE.+slice.+state.+changed )|(ment ac)|(multiple cpu faults)|(system.+state.+changed )|(\[timeout)|(PRM\|1\|D)|(kpr)|(kdp)|(\|lc)|(penalty))"</v>
      </c>
      <c r="AG25" s="1" t="str">
        <f t="shared" si="12"/>
        <v>EC</v>
      </c>
      <c r="AH25" s="86" t="str">
        <f t="shared" si="16"/>
        <v>"%USERPROFILE%\Documents\GitHub\eaglep3\Utilities\RefineRTDCRunTimes.py" --tripid 112-22 --locoid 4017 --swversion DE.1.0.9.0 --startMP 204:232982 --initTime 2017-03-22T05:55:49 --startdatetime 2017-03-22T05:57:56 --delay 1 --endMP 204:145 --enddatetime 2017-03-22T06:36:49 --enforcementcount 2 &gt;&gt;C:\Users\stu\Documents\GitHub\eaglep3-reporting\EC\2017-03-22-refined-times.txt</v>
      </c>
      <c r="AI25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{"issue":{"subject":"","project_id":79,"tracker_id":40,"status_id":1,"priority_id":2,"assigned_to_id":23,"start_date":"2017-03-22","description":"","custom_fields":[{"id":1,"name":"Subdivision","value":"EC"},{"id":4,"name":"Milepost","value":"0.0145"},{"id":17,"name":"Train ID","value":"112-22"},{"id":16,"name":"Locomotive ID","value":"4017"},{"id":130,"name":"Impact","value":""},{"id":150,"name":"Time of Event (Mountain Time)","value":"06:36:49"},{"id":151,"name":"Denver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18"/>
        <v>start /low /b %USERPROFILE%\Documents\GitHub\eaglep3\Utilities\DownloadLogsFromS3.py --loco 4017 --day 2017-03-22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"%USERPROFILE%\AppData\Local\Temp\OnboardLogs"\RTDC4017\*4017*20170322* | grep -SE "(Enforcement Action)|(\[TIMEOUT)|(CHR.+\|PRM\|1\|D.+(SWITCH|SIGNAL).+UNKNOWN)" - &gt;&gt; 2017-03-22-UncaughtWiMAX.txt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595</v>
      </c>
      <c r="B26" s="7">
        <v>4011</v>
      </c>
      <c r="C26" s="21" t="s">
        <v>219</v>
      </c>
      <c r="D26" s="21" t="s">
        <v>853</v>
      </c>
      <c r="E26" s="13">
        <v>42816.222233796296</v>
      </c>
      <c r="F26" s="13">
        <v>42816.232372685183</v>
      </c>
      <c r="G26" s="7">
        <v>1</v>
      </c>
      <c r="H26" s="21" t="s">
        <v>854</v>
      </c>
      <c r="I26" s="13">
        <v>42816.253969907404</v>
      </c>
      <c r="J26" s="7">
        <v>2</v>
      </c>
      <c r="K26" s="98" t="str">
        <f t="shared" si="0"/>
        <v>4011/4012</v>
      </c>
      <c r="L26" s="21" t="str">
        <f>VLOOKUP(A26,'Trips&amp;Operators'!$C$1:$G$99999,5,FALSE)</f>
        <v>BADERTSCHER DIANE</v>
      </c>
      <c r="M26" s="6">
        <f t="shared" si="1"/>
        <v>2.159722222131677E-2</v>
      </c>
      <c r="N26" s="7"/>
      <c r="O26" s="7"/>
      <c r="P26" s="7"/>
      <c r="Q26" s="22"/>
      <c r="R26" s="22"/>
      <c r="S26" s="31"/>
      <c r="T26" s="46" t="str">
        <f t="shared" si="2"/>
        <v>NorthBound</v>
      </c>
      <c r="U26" s="18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0</v>
      </c>
      <c r="V26" s="186" t="str">
        <f t="shared" si="3"/>
        <v>https://d0f6bd738d7f1b3e5a7ca70fe4ff75f0.us-east-1.aws.found.io/app/kibana#/discover/Steve-Slow-Train-Analysis-(2080s-and-2083s)?_g=(refreshInterval:(display:Off,pause:!f,section:0,value:0),time:(from:'2017-03-22T04:20:01-0600',mode:absolute,to:'2017-03-22T07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6" s="187" t="str">
        <f t="shared" si="4"/>
        <v>Y</v>
      </c>
      <c r="X26" s="187">
        <f t="shared" si="5"/>
        <v>1</v>
      </c>
      <c r="Y26" s="62">
        <f t="shared" si="6"/>
        <v>0.15</v>
      </c>
      <c r="Z26" s="62">
        <f t="shared" si="7"/>
        <v>0.17660000000000001</v>
      </c>
      <c r="AA26" s="62">
        <f t="shared" si="8"/>
        <v>2.6600000000000013E-2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9"/>
        <v>0113-22</v>
      </c>
      <c r="AE26" s="85" t="str">
        <f t="shared" si="10"/>
        <v>aws s3 cp s3://rtdc.mdm.uploadarchive.raw/RTDC4011/ "%USERPROFILE%\AppData\Local\Temp\OnboardLogs"\RTDC4011\2017-03-22 --exclude "*" --recursive --include "*20170322*" &amp; "%USERPROFILE%\Documents\GitHub\mrs-test-scripts\Headless Mode &amp; Sideloading\WalkAndUnGZ.bat" "%USERPROFILE%\AppData\Local\Temp\OnboardLogs"\RTDC4011\2017-03-22 &amp; aws s3 cp s3://rtdc.mdm.uploadarchive.raw/RTDC4011/ "%USERPROFILE%\AppData\Local\Temp\OnboardLogs"\RTDC4011\2017-03-23 --exclude "*" --recursive --include "*20170323*" &amp; "%USERPROFILE%\Documents\GitHub\mrs-test-scripts\Headless Mode &amp; Sideloading\WalkAndUnGZ.bat" "%USERPROFILE%\AppData\Local\Temp\OnboardLogs"\RTDC4011\2017-03-23</v>
      </c>
      <c r="AF26" s="82" t="str">
        <f t="shared" si="11"/>
        <v>"C:\Program Files (x86)\AstroGrep\AstroGrep.exe" /e /r /s /spath="%USERPROFILE%\AppData\Local\Temp\OnboardLogs" /stypes="app*4011*20170322*" /stext=" 12:.+((SYSTEM_STATE.+slice.+state.+changed )|(ment ac)|(multiple cpu faults)|(system.+state.+changed )|(\[timeout)|(PRM\|1\|D)|(kpr)|(kdp)|(\|lc)|(penalty))"</v>
      </c>
      <c r="AG26" s="1" t="str">
        <f t="shared" si="12"/>
        <v>EC</v>
      </c>
      <c r="AH26" s="86" t="str">
        <f t="shared" si="16"/>
        <v>"%USERPROFILE%\Documents\GitHub\eaglep3\Utilities\RefineRTDCRunTimes.py" --tripid 113-22 --locoid 4011 --swversion DE.1.0.9.0 --startMP 204:1500 --initTime 2017-03-22T05:20:01 --startdatetime 2017-03-22T05:34:37 --delay 1 --endMP 204:1766 --enddatetime 2017-03-22T06:05:43 --enforcementcount 2 &gt;&gt;C:\Users\stu\Documents\GitHub\eaglep3-reporting\EC\2017-03-22-refined-times.txt</v>
      </c>
      <c r="AI26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{"issue":{"subject":"","project_id":79,"tracker_id":40,"status_id":1,"priority_id":2,"assigned_to_id":23,"start_date":"2017-03-22","description":"","custom_fields":[{"id":1,"name":"Subdivision","value":"EC"},{"id":4,"name":"Milepost","value":"0.1766"},{"id":17,"name":"Train ID","value":"113-22"},{"id":16,"name":"Locomotive ID","value":"4011"},{"id":130,"name":"Impact","value":""},{"id":150,"name":"Time of Event (Mountain Time)","value":"06:05:43"},{"id":151,"name":"Denver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18"/>
        <v>start /low /b %USERPROFILE%\Documents\GitHub\eaglep3\Utilities\DownloadLogsFromS3.py --loco 4011 --day 2017-03-22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"%USERPROFILE%\AppData\Local\Temp\OnboardLogs"\RTDC4011\*4011*20170322* | grep -SE "(Enforcement Action)|(\[TIMEOUT)|(CHR.+\|PRM\|1\|D.+(SWITCH|SIGNAL).+UNKNOWN)" - &gt;&gt; 2017-03-22-UncaughtWiMAX.txt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595</v>
      </c>
      <c r="B27" s="7">
        <v>4011</v>
      </c>
      <c r="C27" s="21" t="s">
        <v>219</v>
      </c>
      <c r="D27" s="21" t="s">
        <v>855</v>
      </c>
      <c r="E27" s="13">
        <v>42816.231249999997</v>
      </c>
      <c r="F27" s="13">
        <v>42816.232372685183</v>
      </c>
      <c r="G27" s="7">
        <v>1</v>
      </c>
      <c r="H27" s="21" t="s">
        <v>856</v>
      </c>
      <c r="I27" s="13">
        <v>42816.253969907404</v>
      </c>
      <c r="J27" s="7">
        <v>2</v>
      </c>
      <c r="K27" s="98" t="str">
        <f t="shared" si="0"/>
        <v>4011/4012</v>
      </c>
      <c r="L27" s="21" t="str">
        <f>VLOOKUP(A27,'Trips&amp;Operators'!$C$1:$G$99999,5,FALSE)</f>
        <v>BADERTSCHER DIANE</v>
      </c>
      <c r="M27" s="6">
        <f t="shared" si="1"/>
        <v>2.159722222131677E-2</v>
      </c>
      <c r="N27" s="7"/>
      <c r="O27" s="7"/>
      <c r="P27" s="7">
        <f>24*60*SUM($M27:$M27)</f>
        <v>31.099999998696148</v>
      </c>
      <c r="Q27" s="22"/>
      <c r="R27" s="22" t="s">
        <v>1045</v>
      </c>
      <c r="S27" s="31">
        <f t="shared" ref="S27:S47" si="21">SUM(U27:U27)/IF(AG27="EC",12,1)</f>
        <v>0.75</v>
      </c>
      <c r="T27" s="46" t="str">
        <f t="shared" si="2"/>
        <v>NorthBound</v>
      </c>
      <c r="U27" s="18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9</v>
      </c>
      <c r="V27" s="186" t="str">
        <f t="shared" si="3"/>
        <v>https://d0f6bd738d7f1b3e5a7ca70fe4ff75f0.us-east-1.aws.found.io/app/kibana#/discover/Steve-Slow-Train-Analysis-(2080s-and-2083s)?_g=(refreshInterval:(display:Off,pause:!f,section:0,value:0),time:(from:'2017-03-22T04:33:00-0600',mode:absolute,to:'2017-03-22T07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7" s="187" t="str">
        <f t="shared" si="4"/>
        <v>Y</v>
      </c>
      <c r="X27" s="187">
        <f t="shared" si="5"/>
        <v>0</v>
      </c>
      <c r="Y27" s="62">
        <f t="shared" si="6"/>
        <v>3.7162000000000002</v>
      </c>
      <c r="Z27" s="62">
        <f t="shared" si="7"/>
        <v>23.329499999999999</v>
      </c>
      <c r="AA27" s="62">
        <f t="shared" si="8"/>
        <v>19.613299999999999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9"/>
        <v>0113-22</v>
      </c>
      <c r="AE27" s="85" t="str">
        <f t="shared" si="10"/>
        <v>aws s3 cp s3://rtdc.mdm.uploadarchive.raw/RTDC4011/ "%USERPROFILE%\AppData\Local\Temp\OnboardLogs"\RTDC4011\2017-03-22 --exclude "*" --recursive --include "*20170322*" &amp; "%USERPROFILE%\Documents\GitHub\mrs-test-scripts\Headless Mode &amp; Sideloading\WalkAndUnGZ.bat" "%USERPROFILE%\AppData\Local\Temp\OnboardLogs"\RTDC4011\2017-03-22 &amp; aws s3 cp s3://rtdc.mdm.uploadarchive.raw/RTDC4011/ "%USERPROFILE%\AppData\Local\Temp\OnboardLogs"\RTDC4011\2017-03-23 --exclude "*" --recursive --include "*20170323*" &amp; "%USERPROFILE%\Documents\GitHub\mrs-test-scripts\Headless Mode &amp; Sideloading\WalkAndUnGZ.bat" "%USERPROFILE%\AppData\Local\Temp\OnboardLogs"\RTDC4011\2017-03-23</v>
      </c>
      <c r="AF27" s="82" t="str">
        <f t="shared" si="11"/>
        <v>"C:\Program Files (x86)\AstroGrep\AstroGrep.exe" /e /r /s /spath="%USERPROFILE%\AppData\Local\Temp\OnboardLogs" /stypes="app*4011*20170322*" /stext=" 12:.+((SYSTEM_STATE.+slice.+state.+changed )|(ment ac)|(multiple cpu faults)|(system.+state.+changed )|(\[timeout)|(PRM\|1\|D)|(kpr)|(kdp)|(\|lc)|(penalty))"</v>
      </c>
      <c r="AG27" s="1" t="str">
        <f t="shared" si="12"/>
        <v>EC</v>
      </c>
      <c r="AH27" s="86" t="str">
        <f t="shared" si="16"/>
        <v>"%USERPROFILE%\Documents\GitHub\eaglep3\Utilities\RefineRTDCRunTimes.py" --tripid 113-22 --locoid 4011 --swversion DE.1.0.9.0 --startMP 204:37162 --initTime 2017-03-22T05:33:00 --startdatetime 2017-03-22T05:34:37 --delay 1 --endMP 204:233295 --enddatetime 2017-03-22T06:05:43 --enforcementcount 2 &gt;&gt;C:\Users\stu\Documents\GitHub\eaglep3-reporting\EC\2017-03-22-refined-times.txt</v>
      </c>
      <c r="AI27" s="108" t="str">
        <f t="shared" si="17"/>
        <v>echo {"issue":{"subject":"Main 3 departure","project_id":79,"tracker_id":40,"status_id":1,"priority_id":2,"assigned_to_id":23,"start_date":"2017-03-22","description":"","custom_fields":[{"id":1,"name":"Subdivision","value":"EC"},{"id":4,"name":"Milepost","value":"23.3295"},{"id":17,"name":"Train ID","value":"113-22"},{"id":16,"name":"Locomotive ID","value":"4011"},{"id":130,"name":"Impact","value":""},{"id":150,"name":"Time of Event (Mountain Time)","value":"06:05:43"},{"id":151,"name":"Denver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18"/>
        <v>start /low /b %USERPROFILE%\Documents\GitHub\eaglep3\Utilities\DownloadLogsFromS3.py --loco 4011 --day 2017-03-22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"%USERPROFILE%\AppData\Local\Temp\OnboardLogs"\RTDC4011\*4011*20170322* | grep -SE "(Enforcement Action)|(\[TIMEOUT)|(CHR.+\|PRM\|1\|D.+(SWITCH|SIGNAL).+UNKNOWN)" - &gt;&gt; 2017-03-22-UncaughtWiMAX.txt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599</v>
      </c>
      <c r="B28" s="7">
        <v>4012</v>
      </c>
      <c r="C28" s="21" t="s">
        <v>219</v>
      </c>
      <c r="D28" s="21" t="s">
        <v>574</v>
      </c>
      <c r="E28" s="13">
        <v>42816.254861111112</v>
      </c>
      <c r="F28" s="13">
        <v>42816.257928240739</v>
      </c>
      <c r="G28" s="7">
        <v>2</v>
      </c>
      <c r="H28" s="21" t="s">
        <v>396</v>
      </c>
      <c r="I28" s="13">
        <v>42816.284513888888</v>
      </c>
      <c r="J28" s="7">
        <v>2</v>
      </c>
      <c r="K28" s="98" t="str">
        <f t="shared" si="0"/>
        <v>4011/4012</v>
      </c>
      <c r="L28" s="21" t="str">
        <f>VLOOKUP(A28,'Trips&amp;Operators'!$C$1:$G$99999,5,FALSE)</f>
        <v>COOLAHAN JOHN</v>
      </c>
      <c r="M28" s="6">
        <f t="shared" si="1"/>
        <v>2.658564814919373E-2</v>
      </c>
      <c r="N28" s="7">
        <f t="shared" ref="N28:N47" si="22">24*60*SUM($M28:$M28)</f>
        <v>38.283333334838971</v>
      </c>
      <c r="O28" s="7"/>
      <c r="P28" s="7"/>
      <c r="Q28" s="22"/>
      <c r="R28" s="22"/>
      <c r="S28" s="31">
        <f t="shared" si="21"/>
        <v>1</v>
      </c>
      <c r="T28" s="46" t="str">
        <f t="shared" si="2"/>
        <v>Southbound</v>
      </c>
      <c r="U28" s="18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6" t="str">
        <f t="shared" si="3"/>
        <v>https://d0f6bd738d7f1b3e5a7ca70fe4ff75f0.us-east-1.aws.found.io/app/kibana#/discover/Steve-Slow-Train-Analysis-(2080s-and-2083s)?_g=(refreshInterval:(display:Off,pause:!f,section:0,value:0),time:(from:'2017-03-22T05:07:00-0600',mode:absolute,to:'2017-03-22T07:49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8" s="187" t="str">
        <f t="shared" si="4"/>
        <v>N</v>
      </c>
      <c r="X28" s="187">
        <f t="shared" si="5"/>
        <v>1</v>
      </c>
      <c r="Y28" s="62">
        <f t="shared" si="6"/>
        <v>23.2974</v>
      </c>
      <c r="Z28" s="62">
        <f t="shared" si="7"/>
        <v>1.6299999999999999E-2</v>
      </c>
      <c r="AA28" s="62">
        <f t="shared" si="8"/>
        <v>23.281099999999999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9"/>
        <v>0114-22</v>
      </c>
      <c r="AE28" s="85" t="str">
        <f t="shared" si="10"/>
        <v>aws s3 cp s3://rtdc.mdm.uploadarchive.raw/RTDC4012/ "%USERPROFILE%\AppData\Local\Temp\OnboardLogs"\RTDC4012\2017-03-22 --exclude "*" --recursive --include "*20170322*" &amp; "%USERPROFILE%\Documents\GitHub\mrs-test-scripts\Headless Mode &amp; Sideloading\WalkAndUnGZ.bat" "%USERPROFILE%\AppData\Local\Temp\OnboardLogs"\RTDC4012\2017-03-22 &amp; aws s3 cp s3://rtdc.mdm.uploadarchive.raw/RTDC4012/ "%USERPROFILE%\AppData\Local\Temp\OnboardLogs"\RTDC4012\2017-03-23 --exclude "*" --recursive --include "*20170323*" &amp; "%USERPROFILE%\Documents\GitHub\mrs-test-scripts\Headless Mode &amp; Sideloading\WalkAndUnGZ.bat" "%USERPROFILE%\AppData\Local\Temp\OnboardLogs"\RTDC4012\2017-03-23</v>
      </c>
      <c r="AF28" s="82" t="str">
        <f t="shared" si="11"/>
        <v>"C:\Program Files (x86)\AstroGrep\AstroGrep.exe" /e /r /s /spath="%USERPROFILE%\AppData\Local\Temp\OnboardLogs" /stypes="app*4012*20170322*" /stext=" 12:.+((SYSTEM_STATE.+slice.+state.+changed )|(ment ac)|(multiple cpu faults)|(system.+state.+changed )|(\[timeout)|(PRM\|1\|D)|(kpr)|(kdp)|(\|lc)|(penalty))"</v>
      </c>
      <c r="AG28" s="1" t="str">
        <f t="shared" si="12"/>
        <v>EC</v>
      </c>
      <c r="AH28" s="86" t="str">
        <f t="shared" si="16"/>
        <v>"%USERPROFILE%\Documents\GitHub\eaglep3\Utilities\RefineRTDCRunTimes.py" --tripid 114-22 --locoid 4012 --swversion DE.1.0.9.0 --startMP 204:232974 --initTime 2017-03-22T06:07:00 --startdatetime 2017-03-22T06:11:25 --delay 2 --endMP 204:163 --enddatetime 2017-03-22T06:49:42 --enforcementcount 2 &gt;&gt;C:\Users\stu\Documents\GitHub\eaglep3-reporting\EC\2017-03-22-refined-times.txt</v>
      </c>
      <c r="AI28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{"issue":{"subject":"","project_id":79,"tracker_id":40,"status_id":1,"priority_id":2,"assigned_to_id":23,"start_date":"2017-03-22","description":"","custom_fields":[{"id":1,"name":"Subdivision","value":"EC"},{"id":4,"name":"Milepost","value":"0.0163"},{"id":17,"name":"Train ID","value":"114-22"},{"id":16,"name":"Locomotive ID","value":"4012"},{"id":130,"name":"Impact","value":""},{"id":150,"name":"Time of Event (Mountain Time)","value":"06:49:42"},{"id":151,"name":"Denver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18"/>
        <v>start /low /b %USERPROFILE%\Documents\GitHub\eaglep3\Utilities\DownloadLogsFromS3.py --loco 4012 --day 2017-03-22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"%USERPROFILE%\AppData\Local\Temp\OnboardLogs"\RTDC4012\*4012*20170322* | grep -SE "(Enforcement Action)|(\[TIMEOUT)|(CHR.+\|PRM\|1\|D.+(SWITCH|SIGNAL).+UNKNOWN)" - &gt;&gt; 2017-03-22-UncaughtWiMAX.txt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666</v>
      </c>
      <c r="B29" s="7">
        <v>4003</v>
      </c>
      <c r="C29" s="21" t="s">
        <v>219</v>
      </c>
      <c r="D29" s="21" t="s">
        <v>857</v>
      </c>
      <c r="E29" s="13">
        <v>42816.225347222222</v>
      </c>
      <c r="F29" s="13">
        <v>42816.22934027778</v>
      </c>
      <c r="G29" s="7">
        <v>1</v>
      </c>
      <c r="H29" s="21" t="s">
        <v>551</v>
      </c>
      <c r="I29" s="13">
        <v>42816.256122685183</v>
      </c>
      <c r="J29" s="7">
        <v>2</v>
      </c>
      <c r="K29" s="98" t="str">
        <f t="shared" si="0"/>
        <v>4003/4004</v>
      </c>
      <c r="L29" s="21" t="str">
        <f>VLOOKUP(A29,'Trips&amp;Operators'!$C$1:$G$99999,5,FALSE)</f>
        <v>STARKS ANGELINA</v>
      </c>
      <c r="M29" s="6">
        <f t="shared" si="1"/>
        <v>2.6782407403516117E-2</v>
      </c>
      <c r="N29" s="7">
        <f t="shared" si="22"/>
        <v>38.566666661063209</v>
      </c>
      <c r="O29" s="7"/>
      <c r="P29" s="7"/>
      <c r="Q29" s="22"/>
      <c r="R29" s="22"/>
      <c r="S29" s="31">
        <f t="shared" si="21"/>
        <v>1</v>
      </c>
      <c r="T29" s="46" t="str">
        <f t="shared" si="2"/>
        <v>NorthBound</v>
      </c>
      <c r="U29" s="18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6" t="str">
        <f t="shared" si="3"/>
        <v>https://d0f6bd738d7f1b3e5a7ca70fe4ff75f0.us-east-1.aws.found.io/app/kibana#/discover/Steve-Slow-Train-Analysis-(2080s-and-2083s)?_g=(refreshInterval:(display:Off,pause:!f,section:0,value:0),time:(from:'2017-03-22T04:24:30-0600',mode:absolute,to:'2017-03-22T07:08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9" s="187" t="str">
        <f t="shared" si="4"/>
        <v>N</v>
      </c>
      <c r="X29" s="187">
        <f t="shared" si="5"/>
        <v>1</v>
      </c>
      <c r="Y29" s="62">
        <f t="shared" si="6"/>
        <v>7.2999999999999995E-2</v>
      </c>
      <c r="Z29" s="62">
        <f t="shared" si="7"/>
        <v>23.328900000000001</v>
      </c>
      <c r="AA29" s="62">
        <f t="shared" si="8"/>
        <v>23.2559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9"/>
        <v>0115-22</v>
      </c>
      <c r="AE29" s="85" t="str">
        <f t="shared" si="10"/>
        <v>aws s3 cp s3://rtdc.mdm.uploadarchive.raw/RTDC4003/ "%USERPROFILE%\AppData\Local\Temp\OnboardLogs"\RTDC4003\2017-03-22 --exclude "*" --recursive --include "*20170322*" &amp; "%USERPROFILE%\Documents\GitHub\mrs-test-scripts\Headless Mode &amp; Sideloading\WalkAndUnGZ.bat" "%USERPROFILE%\AppData\Local\Temp\OnboardLogs"\RTDC4003\2017-03-22 &amp; aws s3 cp s3://rtdc.mdm.uploadarchive.raw/RTDC4003/ "%USERPROFILE%\AppData\Local\Temp\OnboardLogs"\RTDC4003\2017-03-23 --exclude "*" --recursive --include "*20170323*" &amp; "%USERPROFILE%\Documents\GitHub\mrs-test-scripts\Headless Mode &amp; Sideloading\WalkAndUnGZ.bat" "%USERPROFILE%\AppData\Local\Temp\OnboardLogs"\RTDC4003\2017-03-23</v>
      </c>
      <c r="AF29" s="82" t="str">
        <f t="shared" si="11"/>
        <v>"C:\Program Files (x86)\AstroGrep\AstroGrep.exe" /e /r /s /spath="%USERPROFILE%\AppData\Local\Temp\OnboardLogs" /stypes="app*4003*20170322*" /stext=" 12:.+((SYSTEM_STATE.+slice.+state.+changed )|(ment ac)|(multiple cpu faults)|(system.+state.+changed )|(\[timeout)|(PRM\|1\|D)|(kpr)|(kdp)|(\|lc)|(penalty))"</v>
      </c>
      <c r="AG29" s="1" t="str">
        <f t="shared" si="12"/>
        <v>EC</v>
      </c>
      <c r="AH29" s="86" t="str">
        <f t="shared" si="16"/>
        <v>"%USERPROFILE%\Documents\GitHub\eaglep3\Utilities\RefineRTDCRunTimes.py" --tripid 115-22 --locoid 4003 --swversion DE.1.0.9.0 --startMP 204:730 --initTime 2017-03-22T05:24:30 --startdatetime 2017-03-22T05:30:15 --delay 1 --endMP 204:233289 --enddatetime 2017-03-22T06:08:49 --enforcementcount 2 &gt;&gt;C:\Users\stu\Documents\GitHub\eaglep3-reporting\EC\2017-03-22-refined-times.txt</v>
      </c>
      <c r="AI29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{"issue":{"subject":"","project_id":79,"tracker_id":40,"status_id":1,"priority_id":2,"assigned_to_id":23,"start_date":"2017-03-22","description":"","custom_fields":[{"id":1,"name":"Subdivision","value":"EC"},{"id":4,"name":"Milepost","value":"23.3289"},{"id":17,"name":"Train ID","value":"115-22"},{"id":16,"name":"Locomotive ID","value":"4003"},{"id":130,"name":"Impact","value":""},{"id":150,"name":"Time of Event (Mountain Time)","value":"06:08:49"},{"id":151,"name":"Denver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18"/>
        <v>start /low /b %USERPROFILE%\Documents\GitHub\eaglep3\Utilities\DownloadLogsFromS3.py --loco 4003 --day 2017-03-22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"%USERPROFILE%\AppData\Local\Temp\OnboardLogs"\RTDC4003\*4003*20170322* | grep -SE "(Enforcement Action)|(\[TIMEOUT)|(CHR.+\|PRM\|1\|D.+(SWITCH|SIGNAL).+UNKNOWN)" - &gt;&gt; 2017-03-22-UncaughtWiMAX.txt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677</v>
      </c>
      <c r="B30" s="7">
        <v>4004</v>
      </c>
      <c r="C30" s="21" t="s">
        <v>219</v>
      </c>
      <c r="D30" s="21" t="s">
        <v>465</v>
      </c>
      <c r="E30" s="13">
        <v>42816.263564814813</v>
      </c>
      <c r="F30" s="13">
        <v>42816.268321759257</v>
      </c>
      <c r="G30" s="7">
        <v>1</v>
      </c>
      <c r="H30" s="21" t="s">
        <v>858</v>
      </c>
      <c r="I30" s="13">
        <v>42816.296157407407</v>
      </c>
      <c r="J30" s="7">
        <v>2</v>
      </c>
      <c r="K30" s="98" t="str">
        <f t="shared" si="0"/>
        <v>4003/4004</v>
      </c>
      <c r="L30" s="21" t="str">
        <f>VLOOKUP(A30,'Trips&amp;Operators'!$C$1:$G$99999,5,FALSE)</f>
        <v>STARKS ANGELINA</v>
      </c>
      <c r="M30" s="6">
        <f t="shared" si="1"/>
        <v>2.7835648150357883E-2</v>
      </c>
      <c r="N30" s="7">
        <f t="shared" si="22"/>
        <v>40.083333336515352</v>
      </c>
      <c r="O30" s="7"/>
      <c r="P30" s="7"/>
      <c r="Q30" s="22"/>
      <c r="R30" s="22"/>
      <c r="S30" s="31">
        <f t="shared" si="21"/>
        <v>1</v>
      </c>
      <c r="T30" s="46" t="str">
        <f t="shared" si="2"/>
        <v>Southbound</v>
      </c>
      <c r="U30" s="18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6" t="str">
        <f t="shared" si="3"/>
        <v>https://d0f6bd738d7f1b3e5a7ca70fe4ff75f0.us-east-1.aws.found.io/app/kibana#/discover/Steve-Slow-Train-Analysis-(2080s-and-2083s)?_g=(refreshInterval:(display:Off,pause:!f,section:0,value:0),time:(from:'2017-03-22T05:19:32-0600',mode:absolute,to:'2017-03-22T08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0" s="187" t="str">
        <f t="shared" si="4"/>
        <v>N</v>
      </c>
      <c r="X30" s="187">
        <f t="shared" si="5"/>
        <v>1</v>
      </c>
      <c r="Y30" s="62">
        <f t="shared" si="6"/>
        <v>23.297999999999998</v>
      </c>
      <c r="Z30" s="62">
        <f t="shared" si="7"/>
        <v>1.38E-2</v>
      </c>
      <c r="AA30" s="62">
        <f t="shared" si="8"/>
        <v>23.284199999999998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9"/>
        <v>0116-22</v>
      </c>
      <c r="AE30" s="85" t="str">
        <f t="shared" si="10"/>
        <v>aws s3 cp s3://rtdc.mdm.uploadarchive.raw/RTDC4004/ "%USERPROFILE%\AppData\Local\Temp\OnboardLogs"\RTDC4004\2017-03-22 --exclude "*" --recursive --include "*20170322*" &amp; "%USERPROFILE%\Documents\GitHub\mrs-test-scripts\Headless Mode &amp; Sideloading\WalkAndUnGZ.bat" "%USERPROFILE%\AppData\Local\Temp\OnboardLogs"\RTDC4004\2017-03-22 &amp; aws s3 cp s3://rtdc.mdm.uploadarchive.raw/RTDC4004/ "%USERPROFILE%\AppData\Local\Temp\OnboardLogs"\RTDC4004\2017-03-23 --exclude "*" --recursive --include "*20170323*" &amp; "%USERPROFILE%\Documents\GitHub\mrs-test-scripts\Headless Mode &amp; Sideloading\WalkAndUnGZ.bat" "%USERPROFILE%\AppData\Local\Temp\OnboardLogs"\RTDC4004\2017-03-23</v>
      </c>
      <c r="AF30" s="82" t="str">
        <f t="shared" si="11"/>
        <v>"C:\Program Files (x86)\AstroGrep\AstroGrep.exe" /e /r /s /spath="%USERPROFILE%\AppData\Local\Temp\OnboardLogs" /stypes="app*4004*20170322*" /stext=" 13:.+((SYSTEM_STATE.+slice.+state.+changed )|(ment ac)|(multiple cpu faults)|(system.+state.+changed )|(\[timeout)|(PRM\|1\|D)|(kpr)|(kdp)|(\|lc)|(penalty))"</v>
      </c>
      <c r="AG30" s="1" t="str">
        <f t="shared" si="12"/>
        <v>EC</v>
      </c>
      <c r="AH30" s="86" t="str">
        <f t="shared" si="16"/>
        <v>"%USERPROFILE%\Documents\GitHub\eaglep3\Utilities\RefineRTDCRunTimes.py" --tripid 116-22 --locoid 4004 --swversion DE.1.0.9.0 --startMP 204:232980 --initTime 2017-03-22T06:19:32 --startdatetime 2017-03-22T06:26:23 --delay 1 --endMP 204:138 --enddatetime 2017-03-22T07:06:28 --enforcementcount 2 &gt;&gt;C:\Users\stu\Documents\GitHub\eaglep3-reporting\EC\2017-03-22-refined-times.txt</v>
      </c>
      <c r="AI30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{"issue":{"subject":"","project_id":79,"tracker_id":40,"status_id":1,"priority_id":2,"assigned_to_id":23,"start_date":"2017-03-22","description":"","custom_fields":[{"id":1,"name":"Subdivision","value":"EC"},{"id":4,"name":"Milepost","value":"0.0138"},{"id":17,"name":"Train ID","value":"116-22"},{"id":16,"name":"Locomotive ID","value":"4004"},{"id":130,"name":"Impact","value":""},{"id":150,"name":"Time of Event (Mountain Time)","value":"07:06:28"},{"id":151,"name":"Denver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18"/>
        <v>start /low /b %USERPROFILE%\Documents\GitHub\eaglep3\Utilities\DownloadLogsFromS3.py --loco 4004 --day 2017-03-22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"%USERPROFILE%\AppData\Local\Temp\OnboardLogs"\RTDC4004\*4004*20170322* | grep -SE "(Enforcement Action)|(\[TIMEOUT)|(CHR.+\|PRM\|1\|D.+(SWITCH|SIGNAL).+UNKNOWN)" - &gt;&gt; 2017-03-22-UncaughtWiMAX.txt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667</v>
      </c>
      <c r="B31" s="7">
        <v>4027</v>
      </c>
      <c r="C31" s="21" t="s">
        <v>219</v>
      </c>
      <c r="D31" s="21" t="s">
        <v>493</v>
      </c>
      <c r="E31" s="13">
        <v>42816.228738425925</v>
      </c>
      <c r="F31" s="13">
        <v>42816.239837962959</v>
      </c>
      <c r="G31" s="7">
        <v>1</v>
      </c>
      <c r="H31" s="21" t="s">
        <v>402</v>
      </c>
      <c r="I31" s="13">
        <v>42816.264988425923</v>
      </c>
      <c r="J31" s="7">
        <v>2</v>
      </c>
      <c r="K31" s="98" t="str">
        <f t="shared" si="0"/>
        <v>4027/4028</v>
      </c>
      <c r="L31" s="21" t="str">
        <f>VLOOKUP(A31,'Trips&amp;Operators'!$C$1:$G$99999,5,FALSE)</f>
        <v>MAELZER KURT</v>
      </c>
      <c r="M31" s="6">
        <f t="shared" si="1"/>
        <v>2.5150462963210884E-2</v>
      </c>
      <c r="N31" s="7">
        <f t="shared" si="22"/>
        <v>36.216666667023674</v>
      </c>
      <c r="O31" s="7"/>
      <c r="P31" s="7"/>
      <c r="Q31" s="22"/>
      <c r="R31" s="22"/>
      <c r="S31" s="31">
        <f t="shared" si="21"/>
        <v>1</v>
      </c>
      <c r="T31" s="46" t="str">
        <f t="shared" si="2"/>
        <v>NorthBound</v>
      </c>
      <c r="U31" s="18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6" t="str">
        <f t="shared" si="3"/>
        <v>https://d0f6bd738d7f1b3e5a7ca70fe4ff75f0.us-east-1.aws.found.io/app/kibana#/discover/Steve-Slow-Train-Analysis-(2080s-and-2083s)?_g=(refreshInterval:(display:Off,pause:!f,section:0,value:0),time:(from:'2017-03-22T04:29:23-0600',mode:absolute,to:'2017-03-22T07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1" s="187" t="str">
        <f t="shared" si="4"/>
        <v>N</v>
      </c>
      <c r="X31" s="187">
        <f t="shared" si="5"/>
        <v>1</v>
      </c>
      <c r="Y31" s="62">
        <f t="shared" si="6"/>
        <v>4.3700000000000003E-2</v>
      </c>
      <c r="Z31" s="62">
        <f t="shared" si="7"/>
        <v>23.3308</v>
      </c>
      <c r="AA31" s="62">
        <f t="shared" si="8"/>
        <v>23.287099999999999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9"/>
        <v>0117-22</v>
      </c>
      <c r="AE31" s="85" t="str">
        <f t="shared" si="10"/>
        <v>aws s3 cp s3://rtdc.mdm.uploadarchive.raw/RTDC4027/ "%USERPROFILE%\AppData\Local\Temp\OnboardLogs"\RTDC4027\2017-03-22 --exclude "*" --recursive --include "*20170322*" &amp; "%USERPROFILE%\Documents\GitHub\mrs-test-scripts\Headless Mode &amp; Sideloading\WalkAndUnGZ.bat" "%USERPROFILE%\AppData\Local\Temp\OnboardLogs"\RTDC4027\2017-03-22 &amp; aws s3 cp s3://rtdc.mdm.uploadarchive.raw/RTDC4027/ "%USERPROFILE%\AppData\Local\Temp\OnboardLogs"\RTDC4027\2017-03-23 --exclude "*" --recursive --include "*20170323*" &amp; "%USERPROFILE%\Documents\GitHub\mrs-test-scripts\Headless Mode &amp; Sideloading\WalkAndUnGZ.bat" "%USERPROFILE%\AppData\Local\Temp\OnboardLogs"\RTDC4027\2017-03-23</v>
      </c>
      <c r="AF31" s="82" t="str">
        <f t="shared" si="11"/>
        <v>"C:\Program Files (x86)\AstroGrep\AstroGrep.exe" /e /r /s /spath="%USERPROFILE%\AppData\Local\Temp\OnboardLogs" /stypes="app*4027*20170322*" /stext=" 12:.+((SYSTEM_STATE.+slice.+state.+changed )|(ment ac)|(multiple cpu faults)|(system.+state.+changed )|(\[timeout)|(PRM\|1\|D)|(kpr)|(kdp)|(\|lc)|(penalty))"</v>
      </c>
      <c r="AG31" s="1" t="str">
        <f t="shared" si="12"/>
        <v>EC</v>
      </c>
      <c r="AH31" s="86" t="str">
        <f t="shared" si="16"/>
        <v>"%USERPROFILE%\Documents\GitHub\eaglep3\Utilities\RefineRTDCRunTimes.py" --tripid 117-22 --locoid 4027 --swversion DE.1.0.9.0 --startMP 204:437 --initTime 2017-03-22T05:29:23 --startdatetime 2017-03-22T05:45:22 --delay 1 --endMP 204:233308 --enddatetime 2017-03-22T06:21:35 --enforcementcount 2 &gt;&gt;C:\Users\stu\Documents\GitHub\eaglep3-reporting\EC\2017-03-22-refined-times.txt</v>
      </c>
      <c r="AI31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{"issue":{"subject":"","project_id":79,"tracker_id":40,"status_id":1,"priority_id":2,"assigned_to_id":23,"start_date":"2017-03-22","description":"","custom_fields":[{"id":1,"name":"Subdivision","value":"EC"},{"id":4,"name":"Milepost","value":"23.3308"},{"id":17,"name":"Train ID","value":"117-22"},{"id":16,"name":"Locomotive ID","value":"4027"},{"id":130,"name":"Impact","value":""},{"id":150,"name":"Time of Event (Mountain Time)","value":"06:21:35"},{"id":151,"name":"Denver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18"/>
        <v>start /low /b %USERPROFILE%\Documents\GitHub\eaglep3\Utilities\DownloadLogsFromS3.py --loco 4027 --day 2017-03-22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"%USERPROFILE%\AppData\Local\Temp\OnboardLogs"\RTDC4027\*4027*20170322* | grep -SE "(Enforcement Action)|(\[TIMEOUT)|(CHR.+\|PRM\|1\|D.+(SWITCH|SIGNAL).+UNKNOWN)" - &gt;&gt; 2017-03-22-UncaughtWiMAX.txt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680</v>
      </c>
      <c r="B32" s="7">
        <v>4028</v>
      </c>
      <c r="C32" s="21" t="s">
        <v>219</v>
      </c>
      <c r="D32" s="21" t="s">
        <v>466</v>
      </c>
      <c r="E32" s="13">
        <v>42816.27412037037</v>
      </c>
      <c r="F32" s="13">
        <v>42816.278738425928</v>
      </c>
      <c r="G32" s="7">
        <v>1</v>
      </c>
      <c r="H32" s="21" t="s">
        <v>859</v>
      </c>
      <c r="I32" s="13">
        <v>42816.306597222225</v>
      </c>
      <c r="J32" s="7">
        <v>2</v>
      </c>
      <c r="K32" s="98" t="str">
        <f t="shared" si="0"/>
        <v>4027/4028</v>
      </c>
      <c r="L32" s="21" t="str">
        <f>VLOOKUP(A32,'Trips&amp;Operators'!$C$1:$G$99999,5,FALSE)</f>
        <v>MAELZER KURT</v>
      </c>
      <c r="M32" s="6">
        <f t="shared" si="1"/>
        <v>2.7858796296641231E-2</v>
      </c>
      <c r="N32" s="7">
        <f t="shared" si="22"/>
        <v>40.116666667163372</v>
      </c>
      <c r="O32" s="7"/>
      <c r="P32" s="7"/>
      <c r="Q32" s="22"/>
      <c r="R32" s="22"/>
      <c r="S32" s="31">
        <f t="shared" si="21"/>
        <v>1</v>
      </c>
      <c r="T32" s="46" t="str">
        <f t="shared" si="2"/>
        <v>Southbound</v>
      </c>
      <c r="U32" s="18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6" t="str">
        <f t="shared" si="3"/>
        <v>https://d0f6bd738d7f1b3e5a7ca70fe4ff75f0.us-east-1.aws.found.io/app/kibana#/discover/Steve-Slow-Train-Analysis-(2080s-and-2083s)?_g=(refreshInterval:(display:Off,pause:!f,section:0,value:0),time:(from:'2017-03-22T05:34:44-0600',mode:absolute,to:'2017-03-22T08:21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2" s="187" t="str">
        <f t="shared" si="4"/>
        <v>N</v>
      </c>
      <c r="X32" s="187">
        <f t="shared" si="5"/>
        <v>1</v>
      </c>
      <c r="Y32" s="62">
        <f t="shared" si="6"/>
        <v>23.298300000000001</v>
      </c>
      <c r="Z32" s="62">
        <f t="shared" si="7"/>
        <v>1.3899999999999999E-2</v>
      </c>
      <c r="AA32" s="62">
        <f t="shared" si="8"/>
        <v>23.284400000000002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9"/>
        <v>0118-22</v>
      </c>
      <c r="AE32" s="85" t="str">
        <f t="shared" si="10"/>
        <v>aws s3 cp s3://rtdc.mdm.uploadarchive.raw/RTDC4028/ "%USERPROFILE%\AppData\Local\Temp\OnboardLogs"\RTDC4028\2017-03-22 --exclude "*" --recursive --include "*20170322*" &amp; "%USERPROFILE%\Documents\GitHub\mrs-test-scripts\Headless Mode &amp; Sideloading\WalkAndUnGZ.bat" "%USERPROFILE%\AppData\Local\Temp\OnboardLogs"\RTDC4028\2017-03-22 &amp; aws s3 cp s3://rtdc.mdm.uploadarchive.raw/RTDC4028/ "%USERPROFILE%\AppData\Local\Temp\OnboardLogs"\RTDC4028\2017-03-23 --exclude "*" --recursive --include "*20170323*" &amp; "%USERPROFILE%\Documents\GitHub\mrs-test-scripts\Headless Mode &amp; Sideloading\WalkAndUnGZ.bat" "%USERPROFILE%\AppData\Local\Temp\OnboardLogs"\RTDC4028\2017-03-23</v>
      </c>
      <c r="AF32" s="82" t="str">
        <f t="shared" si="11"/>
        <v>"C:\Program Files (x86)\AstroGrep\AstroGrep.exe" /e /r /s /spath="%USERPROFILE%\AppData\Local\Temp\OnboardLogs" /stypes="app*4028*20170322*" /stext=" 13:.+((SYSTEM_STATE.+slice.+state.+changed )|(ment ac)|(multiple cpu faults)|(system.+state.+changed )|(\[timeout)|(PRM\|1\|D)|(kpr)|(kdp)|(\|lc)|(penalty))"</v>
      </c>
      <c r="AG32" s="1" t="str">
        <f t="shared" si="12"/>
        <v>EC</v>
      </c>
      <c r="AH32" s="86" t="str">
        <f t="shared" si="16"/>
        <v>"%USERPROFILE%\Documents\GitHub\eaglep3\Utilities\RefineRTDCRunTimes.py" --tripid 118-22 --locoid 4028 --swversion DE.1.0.9.0 --startMP 204:232983 --initTime 2017-03-22T06:34:44 --startdatetime 2017-03-22T06:41:23 --delay 1 --endMP 204:139 --enddatetime 2017-03-22T07:21:30 --enforcementcount 2 &gt;&gt;C:\Users\stu\Documents\GitHub\eaglep3-reporting\EC\2017-03-22-refined-times.txt</v>
      </c>
      <c r="AI32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{"issue":{"subject":"","project_id":79,"tracker_id":40,"status_id":1,"priority_id":2,"assigned_to_id":23,"start_date":"2017-03-22","description":"","custom_fields":[{"id":1,"name":"Subdivision","value":"EC"},{"id":4,"name":"Milepost","value":"0.0139"},{"id":17,"name":"Train ID","value":"118-22"},{"id":16,"name":"Locomotive ID","value":"4028"},{"id":130,"name":"Impact","value":""},{"id":150,"name":"Time of Event (Mountain Time)","value":"07:21:30"},{"id":151,"name":"Denver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18"/>
        <v>start /low /b %USERPROFILE%\Documents\GitHub\eaglep3\Utilities\DownloadLogsFromS3.py --loco 4028 --day 2017-03-22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"%USERPROFILE%\AppData\Local\Temp\OnboardLogs"\RTDC4028\*4028*20170322* | grep -SE "(Enforcement Action)|(\[TIMEOUT)|(CHR.+\|PRM\|1\|D.+(SWITCH|SIGNAL).+UNKNOWN)" - &gt;&gt; 2017-03-22-UncaughtWiMAX.txt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670</v>
      </c>
      <c r="B33" s="7">
        <v>4040</v>
      </c>
      <c r="C33" s="21" t="s">
        <v>219</v>
      </c>
      <c r="D33" s="21" t="s">
        <v>860</v>
      </c>
      <c r="E33" s="13">
        <v>42816.246655092589</v>
      </c>
      <c r="F33" s="13">
        <v>42816.250219907408</v>
      </c>
      <c r="G33" s="7">
        <v>3</v>
      </c>
      <c r="H33" s="21" t="s">
        <v>459</v>
      </c>
      <c r="I33" s="13">
        <v>42816.274560185186</v>
      </c>
      <c r="J33" s="7">
        <v>2</v>
      </c>
      <c r="K33" s="98" t="str">
        <f t="shared" si="0"/>
        <v>4039/4040</v>
      </c>
      <c r="L33" s="21" t="str">
        <f>VLOOKUP(A33,'Trips&amp;Operators'!$C$1:$G$99999,5,FALSE)</f>
        <v>GEBRETEKLE DAGNEW</v>
      </c>
      <c r="M33" s="6">
        <f t="shared" si="1"/>
        <v>2.4340277777810115E-2</v>
      </c>
      <c r="N33" s="7">
        <f t="shared" si="22"/>
        <v>35.050000000046566</v>
      </c>
      <c r="O33" s="7"/>
      <c r="P33" s="7"/>
      <c r="Q33" s="22"/>
      <c r="R33" s="22"/>
      <c r="S33" s="31">
        <f t="shared" si="21"/>
        <v>1</v>
      </c>
      <c r="T33" s="46" t="str">
        <f t="shared" si="2"/>
        <v>NorthBound</v>
      </c>
      <c r="U33" s="18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6" t="str">
        <f t="shared" si="3"/>
        <v>https://d0f6bd738d7f1b3e5a7ca70fe4ff75f0.us-east-1.aws.found.io/app/kibana#/discover/Steve-Slow-Train-Analysis-(2080s-and-2083s)?_g=(refreshInterval:(display:Off,pause:!f,section:0,value:0),time:(from:'2017-03-22T04:55:11-0600',mode:absolute,to:'2017-03-22T07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3" s="187" t="str">
        <f t="shared" si="4"/>
        <v>N</v>
      </c>
      <c r="X33" s="187">
        <f t="shared" si="5"/>
        <v>1</v>
      </c>
      <c r="Y33" s="62">
        <f t="shared" si="6"/>
        <v>7.8299999999999995E-2</v>
      </c>
      <c r="Z33" s="62">
        <f t="shared" si="7"/>
        <v>23.3309</v>
      </c>
      <c r="AA33" s="62">
        <f t="shared" si="8"/>
        <v>23.252600000000001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9"/>
        <v>0119-22</v>
      </c>
      <c r="AE33" s="85" t="str">
        <f t="shared" si="10"/>
        <v>aws s3 cp s3://rtdc.mdm.uploadarchive.raw/RTDC4040/ "%USERPROFILE%\AppData\Local\Temp\OnboardLogs"\RTDC4040\2017-03-22 --exclude "*" --recursive --include "*20170322*" &amp; "%USERPROFILE%\Documents\GitHub\mrs-test-scripts\Headless Mode &amp; Sideloading\WalkAndUnGZ.bat" "%USERPROFILE%\AppData\Local\Temp\OnboardLogs"\RTDC4040\2017-03-22 &amp; aws s3 cp s3://rtdc.mdm.uploadarchive.raw/RTDC4040/ "%USERPROFILE%\AppData\Local\Temp\OnboardLogs"\RTDC4040\2017-03-23 --exclude "*" --recursive --include "*20170323*" &amp; "%USERPROFILE%\Documents\GitHub\mrs-test-scripts\Headless Mode &amp; Sideloading\WalkAndUnGZ.bat" "%USERPROFILE%\AppData\Local\Temp\OnboardLogs"\RTDC4040\2017-03-23</v>
      </c>
      <c r="AF33" s="82" t="str">
        <f t="shared" si="11"/>
        <v>"C:\Program Files (x86)\AstroGrep\AstroGrep.exe" /e /r /s /spath="%USERPROFILE%\AppData\Local\Temp\OnboardLogs" /stypes="app*4040*20170322*" /stext=" 12:.+((SYSTEM_STATE.+slice.+state.+changed )|(ment ac)|(multiple cpu faults)|(system.+state.+changed )|(\[timeout)|(PRM\|1\|D)|(kpr)|(kdp)|(\|lc)|(penalty))"</v>
      </c>
      <c r="AG33" s="1" t="str">
        <f t="shared" si="12"/>
        <v>EC</v>
      </c>
      <c r="AH33" s="86" t="str">
        <f t="shared" si="16"/>
        <v>"%USERPROFILE%\Documents\GitHub\eaglep3\Utilities\RefineRTDCRunTimes.py" --tripid 119-22 --locoid 4040 --swversion DE.1.0.9.0 --startMP 204:783 --initTime 2017-03-22T05:55:11 --startdatetime 2017-03-22T06:00:19 --delay 3 --endMP 204:233309 --enddatetime 2017-03-22T06:35:22 --enforcementcount 2 &gt;&gt;C:\Users\stu\Documents\GitHub\eaglep3-reporting\EC\2017-03-22-refined-times.txt</v>
      </c>
      <c r="AI33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{"issue":{"subject":"","project_id":79,"tracker_id":40,"status_id":1,"priority_id":2,"assigned_to_id":23,"start_date":"2017-03-22","description":"","custom_fields":[{"id":1,"name":"Subdivision","value":"EC"},{"id":4,"name":"Milepost","value":"23.3309"},{"id":17,"name":"Train ID","value":"119-22"},{"id":16,"name":"Locomotive ID","value":"4040"},{"id":130,"name":"Impact","value":""},{"id":150,"name":"Time of Event (Mountain Time)","value":"06:35:22"},{"id":151,"name":"Denver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18"/>
        <v>start /low /b %USERPROFILE%\Documents\GitHub\eaglep3\Utilities\DownloadLogsFromS3.py --loco 4040 --day 2017-03-22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"%USERPROFILE%\AppData\Local\Temp\OnboardLogs"\RTDC4040\*4040*20170322* | grep -SE "(Enforcement Action)|(\[TIMEOUT)|(CHR.+\|PRM\|1\|D.+(SWITCH|SIGNAL).+UNKNOWN)" - &gt;&gt; 2017-03-22-UncaughtWiMAX.txt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683</v>
      </c>
      <c r="B34" s="7">
        <v>4039</v>
      </c>
      <c r="C34" s="21" t="s">
        <v>219</v>
      </c>
      <c r="D34" s="21" t="s">
        <v>485</v>
      </c>
      <c r="E34" s="13">
        <v>42816.283043981479</v>
      </c>
      <c r="F34" s="13">
        <v>42816.2890625</v>
      </c>
      <c r="G34" s="7">
        <v>1</v>
      </c>
      <c r="H34" s="21" t="s">
        <v>191</v>
      </c>
      <c r="I34" s="13">
        <v>42816.316724537035</v>
      </c>
      <c r="J34" s="7">
        <v>2</v>
      </c>
      <c r="K34" s="98" t="str">
        <f t="shared" si="0"/>
        <v>4039/4040</v>
      </c>
      <c r="L34" s="21" t="str">
        <f>VLOOKUP(A34,'Trips&amp;Operators'!$C$1:$G$99999,5,FALSE)</f>
        <v>GEBRETEKLE DAGNEW</v>
      </c>
      <c r="M34" s="6">
        <f t="shared" si="1"/>
        <v>2.7662037035042886E-2</v>
      </c>
      <c r="N34" s="7">
        <f t="shared" si="22"/>
        <v>39.833333330461755</v>
      </c>
      <c r="O34" s="7"/>
      <c r="P34" s="7"/>
      <c r="Q34" s="22"/>
      <c r="R34" s="22"/>
      <c r="S34" s="31">
        <f t="shared" si="21"/>
        <v>1</v>
      </c>
      <c r="T34" s="46" t="str">
        <f t="shared" si="2"/>
        <v>Southbound</v>
      </c>
      <c r="U34" s="18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6" t="str">
        <f t="shared" si="3"/>
        <v>https://d0f6bd738d7f1b3e5a7ca70fe4ff75f0.us-east-1.aws.found.io/app/kibana#/discover/Steve-Slow-Train-Analysis-(2080s-and-2083s)?_g=(refreshInterval:(display:Off,pause:!f,section:0,value:0),time:(from:'2017-03-22T05:47:35-0600',mode:absolute,to:'2017-03-22T08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4" s="187" t="str">
        <f t="shared" si="4"/>
        <v>N</v>
      </c>
      <c r="X34" s="187">
        <f t="shared" si="5"/>
        <v>1</v>
      </c>
      <c r="Y34" s="62">
        <f t="shared" si="6"/>
        <v>23.2988</v>
      </c>
      <c r="Z34" s="62">
        <f t="shared" si="7"/>
        <v>1.4999999999999999E-2</v>
      </c>
      <c r="AA34" s="62">
        <f t="shared" si="8"/>
        <v>23.283799999999999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9"/>
        <v>0120-22</v>
      </c>
      <c r="AE34" s="85" t="str">
        <f t="shared" si="10"/>
        <v>aws s3 cp s3://rtdc.mdm.uploadarchive.raw/RTDC4039/ "%USERPROFILE%\AppData\Local\Temp\OnboardLogs"\RTDC4039\2017-03-22 --exclude "*" --recursive --include "*20170322*" &amp; "%USERPROFILE%\Documents\GitHub\mrs-test-scripts\Headless Mode &amp; Sideloading\WalkAndUnGZ.bat" "%USERPROFILE%\AppData\Local\Temp\OnboardLogs"\RTDC4039\2017-03-22 &amp; aws s3 cp s3://rtdc.mdm.uploadarchive.raw/RTDC4039/ "%USERPROFILE%\AppData\Local\Temp\OnboardLogs"\RTDC4039\2017-03-23 --exclude "*" --recursive --include "*20170323*" &amp; "%USERPROFILE%\Documents\GitHub\mrs-test-scripts\Headless Mode &amp; Sideloading\WalkAndUnGZ.bat" "%USERPROFILE%\AppData\Local\Temp\OnboardLogs"\RTDC4039\2017-03-23</v>
      </c>
      <c r="AF34" s="82" t="str">
        <f t="shared" si="11"/>
        <v>"C:\Program Files (x86)\AstroGrep\AstroGrep.exe" /e /r /s /spath="%USERPROFILE%\AppData\Local\Temp\OnboardLogs" /stypes="app*4039*20170322*" /stext=" 13:.+((SYSTEM_STATE.+slice.+state.+changed )|(ment ac)|(multiple cpu faults)|(system.+state.+changed )|(\[timeout)|(PRM\|1\|D)|(kpr)|(kdp)|(\|lc)|(penalty))"</v>
      </c>
      <c r="AG34" s="1" t="str">
        <f t="shared" si="12"/>
        <v>EC</v>
      </c>
      <c r="AH34" s="86" t="str">
        <f t="shared" si="16"/>
        <v>"%USERPROFILE%\Documents\GitHub\eaglep3\Utilities\RefineRTDCRunTimes.py" --tripid 120-22 --locoid 4039 --swversion DE.1.0.9.0 --startMP 204:232988 --initTime 2017-03-22T06:47:35 --startdatetime 2017-03-22T06:56:15 --delay 1 --endMP 204:150 --enddatetime 2017-03-22T07:36:05 --enforcementcount 2 &gt;&gt;C:\Users\stu\Documents\GitHub\eaglep3-reporting\EC\2017-03-22-refined-times.txt</v>
      </c>
      <c r="AI34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{"issue":{"subject":"","project_id":79,"tracker_id":40,"status_id":1,"priority_id":2,"assigned_to_id":23,"start_date":"2017-03-22","description":"","custom_fields":[{"id":1,"name":"Subdivision","value":"EC"},{"id":4,"name":"Milepost","value":"0.015"},{"id":17,"name":"Train ID","value":"120-22"},{"id":16,"name":"Locomotive ID","value":"4039"},{"id":130,"name":"Impact","value":""},{"id":150,"name":"Time of Event (Mountain Time)","value":"07:36:05"},{"id":151,"name":"Denver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18"/>
        <v>start /low /b %USERPROFILE%\Documents\GitHub\eaglep3\Utilities\DownloadLogsFromS3.py --loco 4039 --day 2017-03-22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"%USERPROFILE%\AppData\Local\Temp\OnboardLogs"\RTDC4039\*4039*20170322* | grep -SE "(Enforcement Action)|(\[TIMEOUT)|(CHR.+\|PRM\|1\|D.+(SWITCH|SIGNAL).+UNKNOWN)" - &gt;&gt; 2017-03-22-UncaughtWiMAX.txt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675</v>
      </c>
      <c r="B35" s="7">
        <v>4020</v>
      </c>
      <c r="C35" s="21" t="s">
        <v>219</v>
      </c>
      <c r="D35" s="21" t="s">
        <v>213</v>
      </c>
      <c r="E35" s="13">
        <v>42816.256157407406</v>
      </c>
      <c r="F35" s="13">
        <v>42816.260787037034</v>
      </c>
      <c r="G35" s="7">
        <v>1</v>
      </c>
      <c r="H35" s="21" t="s">
        <v>856</v>
      </c>
      <c r="I35" s="13">
        <v>42816.28696759259</v>
      </c>
      <c r="J35" s="7">
        <v>2</v>
      </c>
      <c r="K35" s="98" t="str">
        <f t="shared" si="0"/>
        <v>4019/4020</v>
      </c>
      <c r="L35" s="21" t="str">
        <f>VLOOKUP(A35,'Trips&amp;Operators'!$C$1:$G$99999,5,FALSE)</f>
        <v>GUZMAN DANNY</v>
      </c>
      <c r="M35" s="6">
        <f t="shared" si="1"/>
        <v>2.6180555556493346E-2</v>
      </c>
      <c r="N35" s="7">
        <f t="shared" si="22"/>
        <v>37.700000001350418</v>
      </c>
      <c r="O35" s="7"/>
      <c r="P35" s="7"/>
      <c r="Q35" s="22"/>
      <c r="R35" s="22"/>
      <c r="S35" s="31">
        <f t="shared" si="21"/>
        <v>1</v>
      </c>
      <c r="T35" s="46" t="str">
        <f t="shared" si="2"/>
        <v>NorthBound</v>
      </c>
      <c r="U35" s="18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6" t="str">
        <f t="shared" si="3"/>
        <v>https://d0f6bd738d7f1b3e5a7ca70fe4ff75f0.us-east-1.aws.found.io/app/kibana#/discover/Steve-Slow-Train-Analysis-(2080s-and-2083s)?_g=(refreshInterval:(display:Off,pause:!f,section:0,value:0),time:(from:'2017-03-22T05:08:52-0600',mode:absolute,to:'2017-03-22T07:53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5" s="187" t="str">
        <f t="shared" si="4"/>
        <v>N</v>
      </c>
      <c r="X35" s="187">
        <f t="shared" si="5"/>
        <v>1</v>
      </c>
      <c r="Y35" s="62">
        <f t="shared" si="6"/>
        <v>4.5499999999999999E-2</v>
      </c>
      <c r="Z35" s="62">
        <f t="shared" si="7"/>
        <v>23.329499999999999</v>
      </c>
      <c r="AA35" s="62">
        <f t="shared" si="8"/>
        <v>23.283999999999999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9"/>
        <v>0121-22</v>
      </c>
      <c r="AE35" s="85" t="str">
        <f t="shared" si="10"/>
        <v>aws s3 cp s3://rtdc.mdm.uploadarchive.raw/RTDC4020/ "%USERPROFILE%\AppData\Local\Temp\OnboardLogs"\RTDC4020\2017-03-22 --exclude "*" --recursive --include "*20170322*" &amp; "%USERPROFILE%\Documents\GitHub\mrs-test-scripts\Headless Mode &amp; Sideloading\WalkAndUnGZ.bat" "%USERPROFILE%\AppData\Local\Temp\OnboardLogs"\RTDC4020\2017-03-22 &amp; aws s3 cp s3://rtdc.mdm.uploadarchive.raw/RTDC4020/ "%USERPROFILE%\AppData\Local\Temp\OnboardLogs"\RTDC4020\2017-03-23 --exclude "*" --recursive --include "*20170323*" &amp; "%USERPROFILE%\Documents\GitHub\mrs-test-scripts\Headless Mode &amp; Sideloading\WalkAndUnGZ.bat" "%USERPROFILE%\AppData\Local\Temp\OnboardLogs"\RTDC4020\2017-03-23</v>
      </c>
      <c r="AF35" s="82" t="str">
        <f t="shared" si="11"/>
        <v>"C:\Program Files (x86)\AstroGrep\AstroGrep.exe" /e /r /s /spath="%USERPROFILE%\AppData\Local\Temp\OnboardLogs" /stypes="app*4020*20170322*" /stext=" 12:.+((SYSTEM_STATE.+slice.+state.+changed )|(ment ac)|(multiple cpu faults)|(system.+state.+changed )|(\[timeout)|(PRM\|1\|D)|(kpr)|(kdp)|(\|lc)|(penalty))"</v>
      </c>
      <c r="AG35" s="1" t="str">
        <f t="shared" si="12"/>
        <v>EC</v>
      </c>
      <c r="AH35" s="86" t="str">
        <f t="shared" si="16"/>
        <v>"%USERPROFILE%\Documents\GitHub\eaglep3\Utilities\RefineRTDCRunTimes.py" --tripid 121-22 --locoid 4020 --swversion DE.1.0.9.0 --startMP 204:455 --initTime 2017-03-22T06:08:52 --startdatetime 2017-03-22T06:15:32 --delay 1 --endMP 204:233295 --enddatetime 2017-03-22T06:53:14 --enforcementcount 2 &gt;&gt;C:\Users\stu\Documents\GitHub\eaglep3-reporting\EC\2017-03-22-refined-times.txt</v>
      </c>
      <c r="AI35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{"issue":{"subject":"","project_id":79,"tracker_id":40,"status_id":1,"priority_id":2,"assigned_to_id":23,"start_date":"2017-03-22","description":"","custom_fields":[{"id":1,"name":"Subdivision","value":"EC"},{"id":4,"name":"Milepost","value":"23.3295"},{"id":17,"name":"Train ID","value":"121-22"},{"id":16,"name":"Locomotive ID","value":"4020"},{"id":130,"name":"Impact","value":""},{"id":150,"name":"Time of Event (Mountain Time)","value":"06:53:14"},{"id":151,"name":"Denver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18"/>
        <v>start /low /b %USERPROFILE%\Documents\GitHub\eaglep3\Utilities\DownloadLogsFromS3.py --loco 4020 --day 2017-03-22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"%USERPROFILE%\AppData\Local\Temp\OnboardLogs"\RTDC4020\*4020*20170322* | grep -SE "(Enforcement Action)|(\[TIMEOUT)|(CHR.+\|PRM\|1\|D.+(SWITCH|SIGNAL).+UNKNOWN)" - &gt;&gt; 2017-03-22-UncaughtWiMAX.txt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603</v>
      </c>
      <c r="B36" s="7">
        <v>4019</v>
      </c>
      <c r="C36" s="21" t="s">
        <v>219</v>
      </c>
      <c r="D36" s="21" t="s">
        <v>515</v>
      </c>
      <c r="E36" s="13">
        <v>42816.293321759258</v>
      </c>
      <c r="F36" s="13">
        <v>42816.299467592595</v>
      </c>
      <c r="G36" s="7">
        <v>1</v>
      </c>
      <c r="H36" s="21" t="s">
        <v>184</v>
      </c>
      <c r="I36" s="13">
        <v>42816.32708333333</v>
      </c>
      <c r="J36" s="7">
        <v>2</v>
      </c>
      <c r="K36" s="98" t="str">
        <f t="shared" si="0"/>
        <v>4019/4020</v>
      </c>
      <c r="L36" s="21" t="str">
        <f>VLOOKUP(A36,'Trips&amp;Operators'!$C$1:$G$99999,5,FALSE)</f>
        <v>GUZMAN DANNY</v>
      </c>
      <c r="M36" s="6">
        <f t="shared" si="1"/>
        <v>2.7615740735200234E-2</v>
      </c>
      <c r="N36" s="7">
        <f t="shared" si="22"/>
        <v>39.766666658688337</v>
      </c>
      <c r="O36" s="7"/>
      <c r="P36" s="7"/>
      <c r="Q36" s="22"/>
      <c r="R36" s="22"/>
      <c r="S36" s="31">
        <f t="shared" si="21"/>
        <v>1</v>
      </c>
      <c r="T36" s="46" t="str">
        <f t="shared" si="2"/>
        <v>Southbound</v>
      </c>
      <c r="U36" s="18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6" t="str">
        <f t="shared" si="3"/>
        <v>https://d0f6bd738d7f1b3e5a7ca70fe4ff75f0.us-east-1.aws.found.io/app/kibana#/discover/Steve-Slow-Train-Analysis-(2080s-and-2083s)?_g=(refreshInterval:(display:Off,pause:!f,section:0,value:0),time:(from:'2017-03-22T06:02:23-0600',mode:absolute,to:'2017-03-22T08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6" s="187" t="str">
        <f t="shared" si="4"/>
        <v>N</v>
      </c>
      <c r="X36" s="187">
        <f t="shared" si="5"/>
        <v>1</v>
      </c>
      <c r="Y36" s="62">
        <f t="shared" si="6"/>
        <v>23.297699999999999</v>
      </c>
      <c r="Z36" s="62">
        <f t="shared" si="7"/>
        <v>1.49E-2</v>
      </c>
      <c r="AA36" s="62">
        <f t="shared" si="8"/>
        <v>23.282799999999998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9"/>
        <v>0122-22</v>
      </c>
      <c r="AE36" s="85" t="str">
        <f t="shared" si="10"/>
        <v>aws s3 cp s3://rtdc.mdm.uploadarchive.raw/RTDC4019/ "%USERPROFILE%\AppData\Local\Temp\OnboardLogs"\RTDC4019\2017-03-22 --exclude "*" --recursive --include "*20170322*" &amp; "%USERPROFILE%\Documents\GitHub\mrs-test-scripts\Headless Mode &amp; Sideloading\WalkAndUnGZ.bat" "%USERPROFILE%\AppData\Local\Temp\OnboardLogs"\RTDC4019\2017-03-22 &amp; aws s3 cp s3://rtdc.mdm.uploadarchive.raw/RTDC4019/ "%USERPROFILE%\AppData\Local\Temp\OnboardLogs"\RTDC4019\2017-03-23 --exclude "*" --recursive --include "*20170323*" &amp; "%USERPROFILE%\Documents\GitHub\mrs-test-scripts\Headless Mode &amp; Sideloading\WalkAndUnGZ.bat" "%USERPROFILE%\AppData\Local\Temp\OnboardLogs"\RTDC4019\2017-03-23</v>
      </c>
      <c r="AF36" s="82" t="str">
        <f t="shared" si="11"/>
        <v>"C:\Program Files (x86)\AstroGrep\AstroGrep.exe" /e /r /s /spath="%USERPROFILE%\AppData\Local\Temp\OnboardLogs" /stypes="app*4019*20170322*" /stext=" 13:.+((SYSTEM_STATE.+slice.+state.+changed )|(ment ac)|(multiple cpu faults)|(system.+state.+changed )|(\[timeout)|(PRM\|1\|D)|(kpr)|(kdp)|(\|lc)|(penalty))"</v>
      </c>
      <c r="AG36" s="1" t="str">
        <f t="shared" si="12"/>
        <v>EC</v>
      </c>
      <c r="AH36" s="86" t="str">
        <f t="shared" si="16"/>
        <v>"%USERPROFILE%\Documents\GitHub\eaglep3\Utilities\RefineRTDCRunTimes.py" --tripid 122-22 --locoid 4019 --swversion DE.1.0.9.0 --startMP 204:232977 --initTime 2017-03-22T07:02:23 --startdatetime 2017-03-22T07:11:14 --delay 1 --endMP 204:149 --enddatetime 2017-03-22T07:51:00 --enforcementcount 2 &gt;&gt;C:\Users\stu\Documents\GitHub\eaglep3-reporting\EC\2017-03-22-refined-times.txt</v>
      </c>
      <c r="AI36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{"issue":{"subject":"","project_id":79,"tracker_id":40,"status_id":1,"priority_id":2,"assigned_to_id":23,"start_date":"2017-03-22","description":"","custom_fields":[{"id":1,"name":"Subdivision","value":"EC"},{"id":4,"name":"Milepost","value":"0.0149"},{"id":17,"name":"Train ID","value":"122-22"},{"id":16,"name":"Locomotive ID","value":"4019"},{"id":130,"name":"Impact","value":""},{"id":150,"name":"Time of Event (Mountain Time)","value":"07:51:00"},{"id":151,"name":"Denver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18"/>
        <v>start /low /b %USERPROFILE%\Documents\GitHub\eaglep3\Utilities\DownloadLogsFromS3.py --loco 4019 --day 2017-03-22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"%USERPROFILE%\AppData\Local\Temp\OnboardLogs"\RTDC4019\*4019*20170322* | grep -SE "(Enforcement Action)|(\[TIMEOUT)|(CHR.+\|PRM\|1\|D.+(SWITCH|SIGNAL).+UNKNOWN)" - &gt;&gt; 2017-03-22-UncaughtWiMAX.txt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598</v>
      </c>
      <c r="B37" s="7">
        <v>4042</v>
      </c>
      <c r="C37" s="21" t="s">
        <v>219</v>
      </c>
      <c r="D37" s="21" t="s">
        <v>223</v>
      </c>
      <c r="E37" s="13">
        <v>42816.264699074076</v>
      </c>
      <c r="F37" s="13">
        <v>42816.271481481483</v>
      </c>
      <c r="G37" s="7">
        <v>1</v>
      </c>
      <c r="H37" s="21" t="s">
        <v>572</v>
      </c>
      <c r="I37" s="13">
        <v>42816.298344907409</v>
      </c>
      <c r="J37" s="7">
        <v>2</v>
      </c>
      <c r="K37" s="98" t="str">
        <f t="shared" si="0"/>
        <v>4041/4042</v>
      </c>
      <c r="L37" s="21" t="str">
        <f>VLOOKUP(A37,'Trips&amp;Operators'!$C$1:$G$99999,5,FALSE)</f>
        <v>SANTIZO D. EDY</v>
      </c>
      <c r="M37" s="6">
        <f t="shared" si="1"/>
        <v>2.6863425926421769E-2</v>
      </c>
      <c r="N37" s="7">
        <f t="shared" si="22"/>
        <v>38.683333334047347</v>
      </c>
      <c r="O37" s="7"/>
      <c r="P37" s="7"/>
      <c r="Q37" s="22"/>
      <c r="R37" s="22"/>
      <c r="S37" s="31">
        <f t="shared" si="21"/>
        <v>1</v>
      </c>
      <c r="T37" s="46" t="str">
        <f t="shared" si="2"/>
        <v>NorthBound</v>
      </c>
      <c r="U37" s="18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6" t="str">
        <f t="shared" si="3"/>
        <v>https://d0f6bd738d7f1b3e5a7ca70fe4ff75f0.us-east-1.aws.found.io/app/kibana#/discover/Steve-Slow-Train-Analysis-(2080s-and-2083s)?_g=(refreshInterval:(display:Off,pause:!f,section:0,value:0),time:(from:'2017-03-22T05:21:10-0600',mode:absolute,to:'2017-03-22T08:09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7" s="187" t="str">
        <f t="shared" si="4"/>
        <v>N</v>
      </c>
      <c r="X37" s="187">
        <f t="shared" si="5"/>
        <v>1</v>
      </c>
      <c r="Y37" s="62">
        <f t="shared" si="6"/>
        <v>4.6899999999999997E-2</v>
      </c>
      <c r="Z37" s="62">
        <f t="shared" si="7"/>
        <v>23.326599999999999</v>
      </c>
      <c r="AA37" s="62">
        <f t="shared" si="8"/>
        <v>23.279699999999998</v>
      </c>
      <c r="AB37" s="59" t="str">
        <f>VLOOKUP(A37,Enforcements!$C$7:$K$13,8,0)</f>
        <v>Bulletin (2)</v>
      </c>
      <c r="AC37" s="55" t="str">
        <f>VLOOKUP(A37,Enforcements!$C$7:$E$13,3,0)</f>
        <v>GRADE CROSSING</v>
      </c>
      <c r="AD37" s="56" t="str">
        <f t="shared" si="9"/>
        <v>0123-22</v>
      </c>
      <c r="AE37" s="85" t="str">
        <f t="shared" si="10"/>
        <v>aws s3 cp s3://rtdc.mdm.uploadarchive.raw/RTDC4042/ "%USERPROFILE%\AppData\Local\Temp\OnboardLogs"\RTDC4042\2017-03-22 --exclude "*" --recursive --include "*20170322*" &amp; "%USERPROFILE%\Documents\GitHub\mrs-test-scripts\Headless Mode &amp; Sideloading\WalkAndUnGZ.bat" "%USERPROFILE%\AppData\Local\Temp\OnboardLogs"\RTDC4042\2017-03-22 &amp; aws s3 cp s3://rtdc.mdm.uploadarchive.raw/RTDC4042/ "%USERPROFILE%\AppData\Local\Temp\OnboardLogs"\RTDC4042\2017-03-23 --exclude "*" --recursive --include "*20170323*" &amp; "%USERPROFILE%\Documents\GitHub\mrs-test-scripts\Headless Mode &amp; Sideloading\WalkAndUnGZ.bat" "%USERPROFILE%\AppData\Local\Temp\OnboardLogs"\RTDC4042\2017-03-23</v>
      </c>
      <c r="AF37" s="82" t="str">
        <f t="shared" si="11"/>
        <v>"C:\Program Files (x86)\AstroGrep\AstroGrep.exe" /e /r /s /spath="%USERPROFILE%\AppData\Local\Temp\OnboardLogs" /stypes="app*4042*20170322*" /stext=" 13:.+((SYSTEM_STATE.+slice.+state.+changed )|(ment ac)|(multiple cpu faults)|(system.+state.+changed )|(\[timeout)|(PRM\|1\|D)|(kpr)|(kdp)|(\|lc)|(penalty))"</v>
      </c>
      <c r="AG37" s="1" t="str">
        <f t="shared" si="12"/>
        <v>EC</v>
      </c>
      <c r="AH37" s="86" t="str">
        <f t="shared" si="16"/>
        <v>"%USERPROFILE%\Documents\GitHub\eaglep3\Utilities\RefineRTDCRunTimes.py" --tripid 123-22 --locoid 4042 --swversion DE.1.0.9.0 --startMP 204:469 --initTime 2017-03-22T06:21:10 --startdatetime 2017-03-22T06:30:56 --delay 1 --endMP 204:233266 --enddatetime 2017-03-22T07:09:37 --enforcementcount 2 &gt;&gt;C:\Users\stu\Documents\GitHub\eaglep3-reporting\EC\2017-03-22-refined-times.txt</v>
      </c>
      <c r="AI37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{"issue":{"subject":"","project_id":79,"tracker_id":40,"status_id":1,"priority_id":2,"assigned_to_id":23,"start_date":"2017-03-22","description":"","custom_fields":[{"id":1,"name":"Subdivision","value":"EC"},{"id":4,"name":"Milepost","value":"23.3266"},{"id":17,"name":"Train ID","value":"123-22"},{"id":16,"name":"Locomotive ID","value":"4042"},{"id":130,"name":"Impact","value":""},{"id":150,"name":"Time of Event (Mountain Time)","value":"07:09:37"},{"id":151,"name":"Denver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18"/>
        <v>start /low /b %USERPROFILE%\Documents\GitHub\eaglep3\Utilities\DownloadLogsFromS3.py --loco 4042 --day 2017-03-22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"%USERPROFILE%\AppData\Local\Temp\OnboardLogs"\RTDC4042\*4042*20170322* | grep -SE "(Enforcement Action)|(\[TIMEOUT)|(CHR.+\|PRM\|1\|D.+(SWITCH|SIGNAL).+UNKNOWN)" - &gt;&gt; 2017-03-22-UncaughtWiMAX.txt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687</v>
      </c>
      <c r="B38" s="7">
        <v>4041</v>
      </c>
      <c r="C38" s="21" t="s">
        <v>219</v>
      </c>
      <c r="D38" s="21" t="s">
        <v>861</v>
      </c>
      <c r="E38" s="13">
        <v>42816.300381944442</v>
      </c>
      <c r="F38" s="13">
        <v>42816.309965277775</v>
      </c>
      <c r="G38" s="7">
        <v>1</v>
      </c>
      <c r="H38" s="21" t="s">
        <v>191</v>
      </c>
      <c r="I38" s="13">
        <v>42816.337337962963</v>
      </c>
      <c r="J38" s="7">
        <v>2</v>
      </c>
      <c r="K38" s="98" t="str">
        <f t="shared" si="0"/>
        <v>4041/4042</v>
      </c>
      <c r="L38" s="21" t="str">
        <f>VLOOKUP(A38,'Trips&amp;Operators'!$C$1:$G$99999,5,FALSE)</f>
        <v>SANTIZO D. EDY</v>
      </c>
      <c r="M38" s="6">
        <f t="shared" si="1"/>
        <v>2.7372685188311152E-2</v>
      </c>
      <c r="N38" s="7">
        <f t="shared" si="22"/>
        <v>39.416666671168059</v>
      </c>
      <c r="O38" s="7"/>
      <c r="P38" s="7"/>
      <c r="Q38" s="22"/>
      <c r="R38" s="22"/>
      <c r="S38" s="31">
        <f t="shared" si="21"/>
        <v>1</v>
      </c>
      <c r="T38" s="46" t="str">
        <f t="shared" si="2"/>
        <v>Southbound</v>
      </c>
      <c r="U38" s="18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6" t="str">
        <f t="shared" si="3"/>
        <v>https://d0f6bd738d7f1b3e5a7ca70fe4ff75f0.us-east-1.aws.found.io/app/kibana#/discover/Steve-Slow-Train-Analysis-(2080s-and-2083s)?_g=(refreshInterval:(display:Off,pause:!f,section:0,value:0),time:(from:'2017-03-22T06:12:33-0600',mode:absolute,to:'2017-03-22T09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8" s="187" t="str">
        <f t="shared" si="4"/>
        <v>N</v>
      </c>
      <c r="X38" s="187">
        <f t="shared" si="5"/>
        <v>1</v>
      </c>
      <c r="Y38" s="62">
        <f t="shared" si="6"/>
        <v>23.296700000000001</v>
      </c>
      <c r="Z38" s="62">
        <f t="shared" si="7"/>
        <v>1.4999999999999999E-2</v>
      </c>
      <c r="AA38" s="62">
        <f t="shared" si="8"/>
        <v>23.281700000000001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9"/>
        <v>0124-22</v>
      </c>
      <c r="AE38" s="85" t="str">
        <f t="shared" si="10"/>
        <v>aws s3 cp s3://rtdc.mdm.uploadarchive.raw/RTDC4041/ "%USERPROFILE%\AppData\Local\Temp\OnboardLogs"\RTDC4041\2017-03-22 --exclude "*" --recursive --include "*20170322*" &amp; "%USERPROFILE%\Documents\GitHub\mrs-test-scripts\Headless Mode &amp; Sideloading\WalkAndUnGZ.bat" "%USERPROFILE%\AppData\Local\Temp\OnboardLogs"\RTDC4041\2017-03-22 &amp; aws s3 cp s3://rtdc.mdm.uploadarchive.raw/RTDC4041/ "%USERPROFILE%\AppData\Local\Temp\OnboardLogs"\RTDC4041\2017-03-23 --exclude "*" --recursive --include "*20170323*" &amp; "%USERPROFILE%\Documents\GitHub\mrs-test-scripts\Headless Mode &amp; Sideloading\WalkAndUnGZ.bat" "%USERPROFILE%\AppData\Local\Temp\OnboardLogs"\RTDC4041\2017-03-23</v>
      </c>
      <c r="AF38" s="82" t="str">
        <f t="shared" si="11"/>
        <v>"C:\Program Files (x86)\AstroGrep\AstroGrep.exe" /e /r /s /spath="%USERPROFILE%\AppData\Local\Temp\OnboardLogs" /stypes="app*4041*20170322*" /stext=" 14:.+((SYSTEM_STATE.+slice.+state.+changed )|(ment ac)|(multiple cpu faults)|(system.+state.+changed )|(\[timeout)|(PRM\|1\|D)|(kpr)|(kdp)|(\|lc)|(penalty))"</v>
      </c>
      <c r="AG38" s="1" t="str">
        <f t="shared" si="12"/>
        <v>EC</v>
      </c>
      <c r="AH38" s="86" t="str">
        <f t="shared" si="16"/>
        <v>"%USERPROFILE%\Documents\GitHub\eaglep3\Utilities\RefineRTDCRunTimes.py" --tripid 124-22 --locoid 4041 --swversion DE.1.0.9.0 --startMP 204:232967 --initTime 2017-03-22T07:12:33 --startdatetime 2017-03-22T07:26:21 --delay 1 --endMP 204:150 --enddatetime 2017-03-22T08:05:46 --enforcementcount 2 &gt;&gt;C:\Users\stu\Documents\GitHub\eaglep3-reporting\EC\2017-03-22-refined-times.txt</v>
      </c>
      <c r="AI38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{"issue":{"subject":"","project_id":79,"tracker_id":40,"status_id":1,"priority_id":2,"assigned_to_id":23,"start_date":"2017-03-22","description":"","custom_fields":[{"id":1,"name":"Subdivision","value":"EC"},{"id":4,"name":"Milepost","value":"0.015"},{"id":17,"name":"Train ID","value":"124-22"},{"id":16,"name":"Locomotive ID","value":"4041"},{"id":130,"name":"Impact","value":""},{"id":150,"name":"Time of Event (Mountain Time)","value":"08:05:46"},{"id":151,"name":"Denver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18"/>
        <v>start /low /b %USERPROFILE%\Documents\GitHub\eaglep3\Utilities\DownloadLogsFromS3.py --loco 4041 --day 2017-03-22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"%USERPROFILE%\AppData\Local\Temp\OnboardLogs"\RTDC4041\*4041*20170322* | grep -SE "(Enforcement Action)|(\[TIMEOUT)|(CHR.+\|PRM\|1\|D.+(SWITCH|SIGNAL).+UNKNOWN)" - &gt;&gt; 2017-03-22-UncaughtWiMAX.txt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682</v>
      </c>
      <c r="B39" s="7">
        <v>4018</v>
      </c>
      <c r="C39" s="21" t="s">
        <v>219</v>
      </c>
      <c r="D39" s="21" t="s">
        <v>212</v>
      </c>
      <c r="E39" s="13">
        <v>42816.278136574074</v>
      </c>
      <c r="F39" s="13">
        <v>42816.281574074077</v>
      </c>
      <c r="G39" s="7">
        <v>2</v>
      </c>
      <c r="H39" s="21" t="s">
        <v>401</v>
      </c>
      <c r="I39" s="13">
        <v>42816.306192129632</v>
      </c>
      <c r="J39" s="7">
        <v>2</v>
      </c>
      <c r="K39" s="98" t="str">
        <f t="shared" si="0"/>
        <v>4017/4018</v>
      </c>
      <c r="L39" s="21" t="str">
        <f>VLOOKUP(A39,'Trips&amp;Operators'!$C$1:$G$99999,5,FALSE)</f>
        <v>SULLIVAN BRANDON</v>
      </c>
      <c r="M39" s="6">
        <f t="shared" si="1"/>
        <v>2.4618055555038154E-2</v>
      </c>
      <c r="N39" s="7">
        <f t="shared" si="22"/>
        <v>35.449999999254942</v>
      </c>
      <c r="O39" s="7"/>
      <c r="P39" s="7"/>
      <c r="Q39" s="22"/>
      <c r="R39" s="22"/>
      <c r="S39" s="31">
        <f t="shared" si="21"/>
        <v>1</v>
      </c>
      <c r="T39" s="46" t="str">
        <f t="shared" si="2"/>
        <v>NorthBound</v>
      </c>
      <c r="U39" s="18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6" t="str">
        <f t="shared" si="3"/>
        <v>https://d0f6bd738d7f1b3e5a7ca70fe4ff75f0.us-east-1.aws.found.io/app/kibana#/discover/Steve-Slow-Train-Analysis-(2080s-and-2083s)?_g=(refreshInterval:(display:Off,pause:!f,section:0,value:0),time:(from:'2017-03-22T05:40:31-0600',mode:absolute,to:'2017-03-22T08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9" s="187" t="str">
        <f t="shared" si="4"/>
        <v>N</v>
      </c>
      <c r="X39" s="187">
        <f t="shared" si="5"/>
        <v>1</v>
      </c>
      <c r="Y39" s="62">
        <f t="shared" si="6"/>
        <v>4.53E-2</v>
      </c>
      <c r="Z39" s="62">
        <f t="shared" si="7"/>
        <v>23.330400000000001</v>
      </c>
      <c r="AA39" s="62">
        <f t="shared" si="8"/>
        <v>23.2851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9"/>
        <v>0125-22</v>
      </c>
      <c r="AE39" s="85" t="str">
        <f t="shared" si="10"/>
        <v>aws s3 cp s3://rtdc.mdm.uploadarchive.raw/RTDC4018/ "%USERPROFILE%\AppData\Local\Temp\OnboardLogs"\RTDC4018\2017-03-22 --exclude "*" --recursive --include "*20170322*" &amp; "%USERPROFILE%\Documents\GitHub\mrs-test-scripts\Headless Mode &amp; Sideloading\WalkAndUnGZ.bat" "%USERPROFILE%\AppData\Local\Temp\OnboardLogs"\RTDC4018\2017-03-22 &amp; aws s3 cp s3://rtdc.mdm.uploadarchive.raw/RTDC4018/ "%USERPROFILE%\AppData\Local\Temp\OnboardLogs"\RTDC4018\2017-03-23 --exclude "*" --recursive --include "*20170323*" &amp; "%USERPROFILE%\Documents\GitHub\mrs-test-scripts\Headless Mode &amp; Sideloading\WalkAndUnGZ.bat" "%USERPROFILE%\AppData\Local\Temp\OnboardLogs"\RTDC4018\2017-03-23</v>
      </c>
      <c r="AF39" s="82" t="str">
        <f t="shared" si="11"/>
        <v>"C:\Program Files (x86)\AstroGrep\AstroGrep.exe" /e /r /s /spath="%USERPROFILE%\AppData\Local\Temp\OnboardLogs" /stypes="app*4018*20170322*" /stext=" 13:.+((SYSTEM_STATE.+slice.+state.+changed )|(ment ac)|(multiple cpu faults)|(system.+state.+changed )|(\[timeout)|(PRM\|1\|D)|(kpr)|(kdp)|(\|lc)|(penalty))"</v>
      </c>
      <c r="AG39" s="1" t="str">
        <f t="shared" si="12"/>
        <v>EC</v>
      </c>
      <c r="AH39" s="86" t="str">
        <f t="shared" si="16"/>
        <v>"%USERPROFILE%\Documents\GitHub\eaglep3\Utilities\RefineRTDCRunTimes.py" --tripid 125-22 --locoid 4018 --swversion DE.1.0.9.0 --startMP 204:453 --initTime 2017-03-22T06:40:31 --startdatetime 2017-03-22T06:45:28 --delay 2 --endMP 204:233304 --enddatetime 2017-03-22T07:20:55 --enforcementcount 2 &gt;&gt;C:\Users\stu\Documents\GitHub\eaglep3-reporting\EC\2017-03-22-refined-times.txt</v>
      </c>
      <c r="AI39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{"issue":{"subject":"","project_id":79,"tracker_id":40,"status_id":1,"priority_id":2,"assigned_to_id":23,"start_date":"2017-03-22","description":"","custom_fields":[{"id":1,"name":"Subdivision","value":"EC"},{"id":4,"name":"Milepost","value":"23.3304"},{"id":17,"name":"Train ID","value":"125-22"},{"id":16,"name":"Locomotive ID","value":"4018"},{"id":130,"name":"Impact","value":""},{"id":150,"name":"Time of Event (Mountain Time)","value":"07:20:55"},{"id":151,"name":"Denver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18"/>
        <v>start /low /b %USERPROFILE%\Documents\GitHub\eaglep3\Utilities\DownloadLogsFromS3.py --loco 4018 --day 2017-03-22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"%USERPROFILE%\AppData\Local\Temp\OnboardLogs"\RTDC4018\*4018*20170322* | grep -SE "(Enforcement Action)|(\[TIMEOUT)|(CHR.+\|PRM\|1\|D.+(SWITCH|SIGNAL).+UNKNOWN)" - &gt;&gt; 2017-03-22-UncaughtWiMAX.txt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690</v>
      </c>
      <c r="B40" s="7">
        <v>4017</v>
      </c>
      <c r="C40" s="21" t="s">
        <v>219</v>
      </c>
      <c r="D40" s="21" t="s">
        <v>520</v>
      </c>
      <c r="E40" s="13">
        <v>42816.318344907406</v>
      </c>
      <c r="F40" s="13">
        <v>42816.320439814815</v>
      </c>
      <c r="G40" s="7">
        <v>1</v>
      </c>
      <c r="H40" s="21" t="s">
        <v>396</v>
      </c>
      <c r="I40" s="13">
        <v>42816.346504629626</v>
      </c>
      <c r="J40" s="7">
        <v>2</v>
      </c>
      <c r="K40" s="98" t="str">
        <f t="shared" si="0"/>
        <v>4017/4018</v>
      </c>
      <c r="L40" s="21" t="str">
        <f>VLOOKUP(A40,'Trips&amp;Operators'!$C$1:$G$99999,5,FALSE)</f>
        <v>SULLIVAN BRANDON</v>
      </c>
      <c r="M40" s="6">
        <f t="shared" si="1"/>
        <v>2.6064814810524695E-2</v>
      </c>
      <c r="N40" s="7">
        <f t="shared" si="22"/>
        <v>37.53333332715556</v>
      </c>
      <c r="O40" s="7"/>
      <c r="P40" s="7"/>
      <c r="Q40" s="22"/>
      <c r="R40" s="22"/>
      <c r="S40" s="31">
        <f t="shared" si="21"/>
        <v>1</v>
      </c>
      <c r="T40" s="46" t="str">
        <f t="shared" si="2"/>
        <v>Southbound</v>
      </c>
      <c r="U40" s="18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6" t="str">
        <f t="shared" si="3"/>
        <v>https://d0f6bd738d7f1b3e5a7ca70fe4ff75f0.us-east-1.aws.found.io/app/kibana#/discover/Steve-Slow-Train-Analysis-(2080s-and-2083s)?_g=(refreshInterval:(display:Off,pause:!f,section:0,value:0),time:(from:'2017-03-22T06:38:25-0600',mode:absolute,to:'2017-03-22T09:18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0" s="187" t="str">
        <f t="shared" si="4"/>
        <v>N</v>
      </c>
      <c r="X40" s="187">
        <f t="shared" si="5"/>
        <v>1</v>
      </c>
      <c r="Y40" s="62">
        <f t="shared" si="6"/>
        <v>23.299399999999999</v>
      </c>
      <c r="Z40" s="62">
        <f t="shared" si="7"/>
        <v>1.6299999999999999E-2</v>
      </c>
      <c r="AA40" s="62">
        <f t="shared" si="8"/>
        <v>23.283099999999997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9"/>
        <v>0126-22</v>
      </c>
      <c r="AE40" s="85" t="str">
        <f t="shared" si="10"/>
        <v>aws s3 cp s3://rtdc.mdm.uploadarchive.raw/RTDC4017/ "%USERPROFILE%\AppData\Local\Temp\OnboardLogs"\RTDC4017\2017-03-22 --exclude "*" --recursive --include "*20170322*" &amp; "%USERPROFILE%\Documents\GitHub\mrs-test-scripts\Headless Mode &amp; Sideloading\WalkAndUnGZ.bat" "%USERPROFILE%\AppData\Local\Temp\OnboardLogs"\RTDC4017\2017-03-22 &amp; aws s3 cp s3://rtdc.mdm.uploadarchive.raw/RTDC4017/ "%USERPROFILE%\AppData\Local\Temp\OnboardLogs"\RTDC4017\2017-03-23 --exclude "*" --recursive --include "*20170323*" &amp; "%USERPROFILE%\Documents\GitHub\mrs-test-scripts\Headless Mode &amp; Sideloading\WalkAndUnGZ.bat" "%USERPROFILE%\AppData\Local\Temp\OnboardLogs"\RTDC4017\2017-03-23</v>
      </c>
      <c r="AF40" s="82" t="str">
        <f t="shared" si="11"/>
        <v>"C:\Program Files (x86)\AstroGrep\AstroGrep.exe" /e /r /s /spath="%USERPROFILE%\AppData\Local\Temp\OnboardLogs" /stypes="app*4017*20170322*" /stext=" 14:.+((SYSTEM_STATE.+slice.+state.+changed )|(ment ac)|(multiple cpu faults)|(system.+state.+changed )|(\[timeout)|(PRM\|1\|D)|(kpr)|(kdp)|(\|lc)|(penalty))"</v>
      </c>
      <c r="AG40" s="1" t="str">
        <f t="shared" si="12"/>
        <v>EC</v>
      </c>
      <c r="AH40" s="86" t="str">
        <f t="shared" si="16"/>
        <v>"%USERPROFILE%\Documents\GitHub\eaglep3\Utilities\RefineRTDCRunTimes.py" --tripid 126-22 --locoid 4017 --swversion DE.1.0.9.0 --startMP 204:232994 --initTime 2017-03-22T07:38:25 --startdatetime 2017-03-22T07:41:26 --delay 1 --endMP 204:163 --enddatetime 2017-03-22T08:18:58 --enforcementcount 2 &gt;&gt;C:\Users\stu\Documents\GitHub\eaglep3-reporting\EC\2017-03-22-refined-times.txt</v>
      </c>
      <c r="AI40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{"issue":{"subject":"","project_id":79,"tracker_id":40,"status_id":1,"priority_id":2,"assigned_to_id":23,"start_date":"2017-03-22","description":"","custom_fields":[{"id":1,"name":"Subdivision","value":"EC"},{"id":4,"name":"Milepost","value":"0.0163"},{"id":17,"name":"Train ID","value":"126-22"},{"id":16,"name":"Locomotive ID","value":"4017"},{"id":130,"name":"Impact","value":""},{"id":150,"name":"Time of Event (Mountain Time)","value":"08:18:58"},{"id":151,"name":"Denver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18"/>
        <v>start /low /b %USERPROFILE%\Documents\GitHub\eaglep3\Utilities\DownloadLogsFromS3.py --loco 4017 --day 2017-03-22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"%USERPROFILE%\AppData\Local\Temp\OnboardLogs"\RTDC4017\*4017*20170322* | grep -SE "(Enforcement Action)|(\[TIMEOUT)|(CHR.+\|PRM\|1\|D.+(SWITCH|SIGNAL).+UNKNOWN)" - &gt;&gt; 2017-03-22-UncaughtWiMAX.txt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684</v>
      </c>
      <c r="B41" s="7">
        <v>4011</v>
      </c>
      <c r="C41" s="21" t="s">
        <v>219</v>
      </c>
      <c r="D41" s="21" t="s">
        <v>862</v>
      </c>
      <c r="E41" s="13">
        <v>42816.286851851852</v>
      </c>
      <c r="F41" s="13">
        <v>42816.291932870372</v>
      </c>
      <c r="G41" s="7">
        <v>2</v>
      </c>
      <c r="H41" s="21" t="s">
        <v>863</v>
      </c>
      <c r="I41" s="13">
        <v>42816.316365740742</v>
      </c>
      <c r="J41" s="7">
        <v>2</v>
      </c>
      <c r="K41" s="98" t="str">
        <f t="shared" si="0"/>
        <v>4011/4012</v>
      </c>
      <c r="L41" s="21" t="str">
        <f>VLOOKUP(A41,'Trips&amp;Operators'!$C$1:$G$99999,5,FALSE)</f>
        <v>COOLAHAN JOHN</v>
      </c>
      <c r="M41" s="6">
        <f t="shared" si="1"/>
        <v>2.4432870370219462E-2</v>
      </c>
      <c r="N41" s="7">
        <f t="shared" si="22"/>
        <v>35.183333333116025</v>
      </c>
      <c r="O41" s="7"/>
      <c r="P41" s="7"/>
      <c r="Q41" s="22"/>
      <c r="R41" s="22"/>
      <c r="S41" s="31">
        <f t="shared" si="21"/>
        <v>1</v>
      </c>
      <c r="T41" s="46" t="str">
        <f t="shared" si="2"/>
        <v>NorthBound</v>
      </c>
      <c r="U41" s="18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6" t="str">
        <f t="shared" si="3"/>
        <v>https://d0f6bd738d7f1b3e5a7ca70fe4ff75f0.us-east-1.aws.found.io/app/kibana#/discover/Steve-Slow-Train-Analysis-(2080s-and-2083s)?_g=(refreshInterval:(display:Off,pause:!f,section:0,value:0),time:(from:'2017-03-22T05:53:04-0600',mode:absolute,to:'2017-03-22T08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1" s="187" t="str">
        <f t="shared" si="4"/>
        <v>N</v>
      </c>
      <c r="X41" s="187">
        <f t="shared" si="5"/>
        <v>1</v>
      </c>
      <c r="Y41" s="62">
        <f t="shared" si="6"/>
        <v>4.8000000000000001E-2</v>
      </c>
      <c r="Z41" s="62">
        <f t="shared" si="7"/>
        <v>23.328800000000001</v>
      </c>
      <c r="AA41" s="62">
        <f t="shared" si="8"/>
        <v>23.280800000000003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9"/>
        <v>0127-22</v>
      </c>
      <c r="AE41" s="85" t="str">
        <f t="shared" si="10"/>
        <v>aws s3 cp s3://rtdc.mdm.uploadarchive.raw/RTDC4011/ "%USERPROFILE%\AppData\Local\Temp\OnboardLogs"\RTDC4011\2017-03-22 --exclude "*" --recursive --include "*20170322*" &amp; "%USERPROFILE%\Documents\GitHub\mrs-test-scripts\Headless Mode &amp; Sideloading\WalkAndUnGZ.bat" "%USERPROFILE%\AppData\Local\Temp\OnboardLogs"\RTDC4011\2017-03-22 &amp; aws s3 cp s3://rtdc.mdm.uploadarchive.raw/RTDC4011/ "%USERPROFILE%\AppData\Local\Temp\OnboardLogs"\RTDC4011\2017-03-23 --exclude "*" --recursive --include "*20170323*" &amp; "%USERPROFILE%\Documents\GitHub\mrs-test-scripts\Headless Mode &amp; Sideloading\WalkAndUnGZ.bat" "%USERPROFILE%\AppData\Local\Temp\OnboardLogs"\RTDC4011\2017-03-23</v>
      </c>
      <c r="AF41" s="82" t="str">
        <f t="shared" si="11"/>
        <v>"C:\Program Files (x86)\AstroGrep\AstroGrep.exe" /e /r /s /spath="%USERPROFILE%\AppData\Local\Temp\OnboardLogs" /stypes="app*4011*20170322*" /stext=" 13:.+((SYSTEM_STATE.+slice.+state.+changed )|(ment ac)|(multiple cpu faults)|(system.+state.+changed )|(\[timeout)|(PRM\|1\|D)|(kpr)|(kdp)|(\|lc)|(penalty))"</v>
      </c>
      <c r="AG41" s="1" t="str">
        <f t="shared" si="12"/>
        <v>EC</v>
      </c>
      <c r="AH41" s="86" t="str">
        <f t="shared" si="16"/>
        <v>"%USERPROFILE%\Documents\GitHub\eaglep3\Utilities\RefineRTDCRunTimes.py" --tripid 127-22 --locoid 4011 --swversion DE.1.0.9.0 --startMP 204:480 --initTime 2017-03-22T06:53:04 --startdatetime 2017-03-22T07:00:23 --delay 2 --endMP 204:233288 --enddatetime 2017-03-22T07:35:34 --enforcementcount 2 &gt;&gt;C:\Users\stu\Documents\GitHub\eaglep3-reporting\EC\2017-03-22-refined-times.txt</v>
      </c>
      <c r="AI41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{"issue":{"subject":"","project_id":79,"tracker_id":40,"status_id":1,"priority_id":2,"assigned_to_id":23,"start_date":"2017-03-22","description":"","custom_fields":[{"id":1,"name":"Subdivision","value":"EC"},{"id":4,"name":"Milepost","value":"23.3288"},{"id":17,"name":"Train ID","value":"127-22"},{"id":16,"name":"Locomotive ID","value":"4011"},{"id":130,"name":"Impact","value":""},{"id":150,"name":"Time of Event (Mountain Time)","value":"07:35:34"},{"id":151,"name":"Denver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18"/>
        <v>start /low /b %USERPROFILE%\Documents\GitHub\eaglep3\Utilities\DownloadLogsFromS3.py --loco 4011 --day 2017-03-22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"%USERPROFILE%\AppData\Local\Temp\OnboardLogs"\RTDC4011\*4011*20170322* | grep -SE "(Enforcement Action)|(\[TIMEOUT)|(CHR.+\|PRM\|1\|D.+(SWITCH|SIGNAL).+UNKNOWN)" - &gt;&gt; 2017-03-22-UncaughtWiMAX.txt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691</v>
      </c>
      <c r="B42" s="7">
        <v>4012</v>
      </c>
      <c r="C42" s="21" t="s">
        <v>219</v>
      </c>
      <c r="D42" s="21" t="s">
        <v>864</v>
      </c>
      <c r="E42" s="13">
        <v>42816.324062500003</v>
      </c>
      <c r="F42" s="13">
        <v>42816.330891203703</v>
      </c>
      <c r="G42" s="7">
        <v>1</v>
      </c>
      <c r="H42" s="21" t="s">
        <v>400</v>
      </c>
      <c r="I42" s="13">
        <v>42816.35765046296</v>
      </c>
      <c r="J42" s="7">
        <v>2</v>
      </c>
      <c r="K42" s="98" t="str">
        <f t="shared" si="0"/>
        <v>4011/4012</v>
      </c>
      <c r="L42" s="21" t="str">
        <f>VLOOKUP(A42,'Trips&amp;Operators'!$C$1:$G$99999,5,FALSE)</f>
        <v>COOLAHAN JOHN</v>
      </c>
      <c r="M42" s="6">
        <f t="shared" si="1"/>
        <v>2.675925925723277E-2</v>
      </c>
      <c r="N42" s="7">
        <f t="shared" si="22"/>
        <v>38.533333330415189</v>
      </c>
      <c r="O42" s="7"/>
      <c r="P42" s="7"/>
      <c r="Q42" s="22"/>
      <c r="R42" s="22"/>
      <c r="S42" s="31">
        <f t="shared" si="21"/>
        <v>1</v>
      </c>
      <c r="T42" s="46" t="str">
        <f t="shared" si="2"/>
        <v>Southbound</v>
      </c>
      <c r="U42" s="18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6" t="str">
        <f t="shared" si="3"/>
        <v>https://d0f6bd738d7f1b3e5a7ca70fe4ff75f0.us-east-1.aws.found.io/app/kibana#/discover/Steve-Slow-Train-Analysis-(2080s-and-2083s)?_g=(refreshInterval:(display:Off,pause:!f,section:0,value:0),time:(from:'2017-03-22T06:46:39-0600',mode:absolute,to:'2017-03-22T09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2" s="187" t="str">
        <f t="shared" si="4"/>
        <v>N</v>
      </c>
      <c r="X42" s="187">
        <f t="shared" si="5"/>
        <v>1</v>
      </c>
      <c r="Y42" s="62">
        <f t="shared" si="6"/>
        <v>23.2986</v>
      </c>
      <c r="Z42" s="62">
        <f t="shared" si="7"/>
        <v>1.43E-2</v>
      </c>
      <c r="AA42" s="62">
        <f t="shared" si="8"/>
        <v>23.284300000000002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9"/>
        <v>0128-22</v>
      </c>
      <c r="AE42" s="85" t="str">
        <f t="shared" si="10"/>
        <v>aws s3 cp s3://rtdc.mdm.uploadarchive.raw/RTDC4012/ "%USERPROFILE%\AppData\Local\Temp\OnboardLogs"\RTDC4012\2017-03-22 --exclude "*" --recursive --include "*20170322*" &amp; "%USERPROFILE%\Documents\GitHub\mrs-test-scripts\Headless Mode &amp; Sideloading\WalkAndUnGZ.bat" "%USERPROFILE%\AppData\Local\Temp\OnboardLogs"\RTDC4012\2017-03-22 &amp; aws s3 cp s3://rtdc.mdm.uploadarchive.raw/RTDC4012/ "%USERPROFILE%\AppData\Local\Temp\OnboardLogs"\RTDC4012\2017-03-23 --exclude "*" --recursive --include "*20170323*" &amp; "%USERPROFILE%\Documents\GitHub\mrs-test-scripts\Headless Mode &amp; Sideloading\WalkAndUnGZ.bat" "%USERPROFILE%\AppData\Local\Temp\OnboardLogs"\RTDC4012\2017-03-23</v>
      </c>
      <c r="AF42" s="82" t="str">
        <f t="shared" si="11"/>
        <v>"C:\Program Files (x86)\AstroGrep\AstroGrep.exe" /e /r /s /spath="%USERPROFILE%\AppData\Local\Temp\OnboardLogs" /stypes="app*4012*20170322*" /stext=" 14:.+((SYSTEM_STATE.+slice.+state.+changed )|(ment ac)|(multiple cpu faults)|(system.+state.+changed )|(\[timeout)|(PRM\|1\|D)|(kpr)|(kdp)|(\|lc)|(penalty))"</v>
      </c>
      <c r="AG42" s="1" t="str">
        <f t="shared" si="12"/>
        <v>EC</v>
      </c>
      <c r="AH42" s="86" t="str">
        <f t="shared" si="16"/>
        <v>"%USERPROFILE%\Documents\GitHub\eaglep3\Utilities\RefineRTDCRunTimes.py" --tripid 128-22 --locoid 4012 --swversion DE.1.0.9.0 --startMP 204:232986 --initTime 2017-03-22T07:46:39 --startdatetime 2017-03-22T07:56:29 --delay 1 --endMP 204:143 --enddatetime 2017-03-22T08:35:01 --enforcementcount 2 &gt;&gt;C:\Users\stu\Documents\GitHub\eaglep3-reporting\EC\2017-03-22-refined-times.txt</v>
      </c>
      <c r="AI42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{"issue":{"subject":"","project_id":79,"tracker_id":40,"status_id":1,"priority_id":2,"assigned_to_id":23,"start_date":"2017-03-22","description":"","custom_fields":[{"id":1,"name":"Subdivision","value":"EC"},{"id":4,"name":"Milepost","value":"0.0143"},{"id":17,"name":"Train ID","value":"128-22"},{"id":16,"name":"Locomotive ID","value":"4012"},{"id":130,"name":"Impact","value":""},{"id":150,"name":"Time of Event (Mountain Time)","value":"08:35:01"},{"id":151,"name":"Denver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18"/>
        <v>start /low /b %USERPROFILE%\Documents\GitHub\eaglep3\Utilities\DownloadLogsFromS3.py --loco 4012 --day 2017-03-22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"%USERPROFILE%\AppData\Local\Temp\OnboardLogs"\RTDC4012\*4012*20170322* | grep -SE "(Enforcement Action)|(\[TIMEOUT)|(CHR.+\|PRM\|1\|D.+(SWITCH|SIGNAL).+UNKNOWN)" - &gt;&gt; 2017-03-22-UncaughtWiMAX.txt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686</v>
      </c>
      <c r="B43" s="7">
        <v>4003</v>
      </c>
      <c r="C43" s="21" t="s">
        <v>219</v>
      </c>
      <c r="D43" s="21" t="s">
        <v>207</v>
      </c>
      <c r="E43" s="13">
        <v>42816.298402777778</v>
      </c>
      <c r="F43" s="13">
        <v>42816.302384259259</v>
      </c>
      <c r="G43" s="7">
        <v>1</v>
      </c>
      <c r="H43" s="21" t="s">
        <v>551</v>
      </c>
      <c r="I43" s="13">
        <v>42816.327673611115</v>
      </c>
      <c r="J43" s="7">
        <v>2</v>
      </c>
      <c r="K43" s="98" t="str">
        <f t="shared" si="0"/>
        <v>4003/4004</v>
      </c>
      <c r="L43" s="21" t="str">
        <f>VLOOKUP(A43,'Trips&amp;Operators'!$C$1:$G$99999,5,FALSE)</f>
        <v>STARKS ANGELINA</v>
      </c>
      <c r="M43" s="6">
        <f t="shared" si="1"/>
        <v>2.5289351855462883E-2</v>
      </c>
      <c r="N43" s="7">
        <f t="shared" si="22"/>
        <v>36.416666671866551</v>
      </c>
      <c r="O43" s="7"/>
      <c r="P43" s="7"/>
      <c r="Q43" s="22"/>
      <c r="R43" s="22"/>
      <c r="S43" s="31">
        <f t="shared" si="21"/>
        <v>1</v>
      </c>
      <c r="T43" s="46" t="str">
        <f t="shared" si="2"/>
        <v>NorthBound</v>
      </c>
      <c r="U43" s="18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6" t="str">
        <f t="shared" si="3"/>
        <v>https://d0f6bd738d7f1b3e5a7ca70fe4ff75f0.us-east-1.aws.found.io/app/kibana#/discover/Steve-Slow-Train-Analysis-(2080s-and-2083s)?_g=(refreshInterval:(display:Off,pause:!f,section:0,value:0),time:(from:'2017-03-22T06:09:42-0600',mode:absolute,to:'2017-03-22T08:51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3" s="187" t="str">
        <f t="shared" si="4"/>
        <v>N</v>
      </c>
      <c r="X43" s="187">
        <f t="shared" si="5"/>
        <v>1</v>
      </c>
      <c r="Y43" s="62">
        <f t="shared" si="6"/>
        <v>4.5100000000000001E-2</v>
      </c>
      <c r="Z43" s="62">
        <f t="shared" si="7"/>
        <v>23.328900000000001</v>
      </c>
      <c r="AA43" s="62">
        <f t="shared" si="8"/>
        <v>23.283799999999999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9"/>
        <v>0129-22</v>
      </c>
      <c r="AE43" s="85" t="str">
        <f t="shared" si="10"/>
        <v>aws s3 cp s3://rtdc.mdm.uploadarchive.raw/RTDC4003/ "%USERPROFILE%\AppData\Local\Temp\OnboardLogs"\RTDC4003\2017-03-22 --exclude "*" --recursive --include "*20170322*" &amp; "%USERPROFILE%\Documents\GitHub\mrs-test-scripts\Headless Mode &amp; Sideloading\WalkAndUnGZ.bat" "%USERPROFILE%\AppData\Local\Temp\OnboardLogs"\RTDC4003\2017-03-22 &amp; aws s3 cp s3://rtdc.mdm.uploadarchive.raw/RTDC4003/ "%USERPROFILE%\AppData\Local\Temp\OnboardLogs"\RTDC4003\2017-03-23 --exclude "*" --recursive --include "*20170323*" &amp; "%USERPROFILE%\Documents\GitHub\mrs-test-scripts\Headless Mode &amp; Sideloading\WalkAndUnGZ.bat" "%USERPROFILE%\AppData\Local\Temp\OnboardLogs"\RTDC4003\2017-03-23</v>
      </c>
      <c r="AF43" s="82" t="str">
        <f t="shared" si="11"/>
        <v>"C:\Program Files (x86)\AstroGrep\AstroGrep.exe" /e /r /s /spath="%USERPROFILE%\AppData\Local\Temp\OnboardLogs" /stypes="app*4003*20170322*" /stext=" 13:.+((SYSTEM_STATE.+slice.+state.+changed )|(ment ac)|(multiple cpu faults)|(system.+state.+changed )|(\[timeout)|(PRM\|1\|D)|(kpr)|(kdp)|(\|lc)|(penalty))"</v>
      </c>
      <c r="AG43" s="1" t="str">
        <f t="shared" si="12"/>
        <v>EC</v>
      </c>
      <c r="AH43" s="86" t="str">
        <f t="shared" si="16"/>
        <v>"%USERPROFILE%\Documents\GitHub\eaglep3\Utilities\RefineRTDCRunTimes.py" --tripid 129-22 --locoid 4003 --swversion DE.1.0.9.0 --startMP 204:451 --initTime 2017-03-22T07:09:42 --startdatetime 2017-03-22T07:15:26 --delay 1 --endMP 204:233289 --enddatetime 2017-03-22T07:51:51 --enforcementcount 2 &gt;&gt;C:\Users\stu\Documents\GitHub\eaglep3-reporting\EC\2017-03-22-refined-times.txt</v>
      </c>
      <c r="AI43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{"issue":{"subject":"","project_id":79,"tracker_id":40,"status_id":1,"priority_id":2,"assigned_to_id":23,"start_date":"2017-03-22","description":"","custom_fields":[{"id":1,"name":"Subdivision","value":"EC"},{"id":4,"name":"Milepost","value":"23.3289"},{"id":17,"name":"Train ID","value":"129-22"},{"id":16,"name":"Locomotive ID","value":"4003"},{"id":130,"name":"Impact","value":""},{"id":150,"name":"Time of Event (Mountain Time)","value":"07:51:51"},{"id":151,"name":"Denver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18"/>
        <v>start /low /b %USERPROFILE%\Documents\GitHub\eaglep3\Utilities\DownloadLogsFromS3.py --loco 4003 --day 2017-03-22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"%USERPROFILE%\AppData\Local\Temp\OnboardLogs"\RTDC4003\*4003*20170322* | grep -SE "(Enforcement Action)|(\[TIMEOUT)|(CHR.+\|PRM\|1\|D.+(SWITCH|SIGNAL).+UNKNOWN)" - &gt;&gt; 2017-03-22-UncaughtWiMAX.txt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606</v>
      </c>
      <c r="B44" s="7">
        <v>4004</v>
      </c>
      <c r="C44" s="21" t="s">
        <v>219</v>
      </c>
      <c r="D44" s="21" t="s">
        <v>865</v>
      </c>
      <c r="E44" s="13">
        <v>42816.338796296295</v>
      </c>
      <c r="F44" s="13">
        <v>42816.341261574074</v>
      </c>
      <c r="G44" s="7">
        <v>1</v>
      </c>
      <c r="H44" s="21" t="s">
        <v>395</v>
      </c>
      <c r="I44" s="13">
        <v>42816.36917824074</v>
      </c>
      <c r="J44" s="7">
        <v>2</v>
      </c>
      <c r="K44" s="98" t="str">
        <f t="shared" si="0"/>
        <v>4003/4004</v>
      </c>
      <c r="L44" s="21" t="str">
        <f>VLOOKUP(A44,'Trips&amp;Operators'!$C$1:$G$99999,5,FALSE)</f>
        <v>STARKS ANGELINA</v>
      </c>
      <c r="M44" s="6">
        <f t="shared" si="1"/>
        <v>2.7916666665987577E-2</v>
      </c>
      <c r="N44" s="7">
        <f t="shared" si="22"/>
        <v>40.199999999022111</v>
      </c>
      <c r="O44" s="7"/>
      <c r="P44" s="7"/>
      <c r="Q44" s="22"/>
      <c r="R44" s="22"/>
      <c r="S44" s="31">
        <f t="shared" si="21"/>
        <v>1</v>
      </c>
      <c r="T44" s="46" t="str">
        <f t="shared" si="2"/>
        <v>Southbound</v>
      </c>
      <c r="U44" s="18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6" t="str">
        <f t="shared" si="3"/>
        <v>https://d0f6bd738d7f1b3e5a7ca70fe4ff75f0.us-east-1.aws.found.io/app/kibana#/discover/Steve-Slow-Train-Analysis-(2080s-and-2083s)?_g=(refreshInterval:(display:Off,pause:!f,section:0,value:0),time:(from:'2017-03-22T07:07:52-0600',mode:absolute,to:'2017-03-22T09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4" s="187" t="str">
        <f t="shared" si="4"/>
        <v>N</v>
      </c>
      <c r="X44" s="187">
        <f t="shared" si="5"/>
        <v>1</v>
      </c>
      <c r="Y44" s="62">
        <f t="shared" si="6"/>
        <v>23.2989</v>
      </c>
      <c r="Z44" s="62">
        <f t="shared" si="7"/>
        <v>1.4500000000000001E-2</v>
      </c>
      <c r="AA44" s="62">
        <f t="shared" si="8"/>
        <v>23.284399999999998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9"/>
        <v>0130-22</v>
      </c>
      <c r="AE44" s="85" t="str">
        <f t="shared" si="10"/>
        <v>aws s3 cp s3://rtdc.mdm.uploadarchive.raw/RTDC4004/ "%USERPROFILE%\AppData\Local\Temp\OnboardLogs"\RTDC4004\2017-03-22 --exclude "*" --recursive --include "*20170322*" &amp; "%USERPROFILE%\Documents\GitHub\mrs-test-scripts\Headless Mode &amp; Sideloading\WalkAndUnGZ.bat" "%USERPROFILE%\AppData\Local\Temp\OnboardLogs"\RTDC4004\2017-03-22 &amp; aws s3 cp s3://rtdc.mdm.uploadarchive.raw/RTDC4004/ "%USERPROFILE%\AppData\Local\Temp\OnboardLogs"\RTDC4004\2017-03-23 --exclude "*" --recursive --include "*20170323*" &amp; "%USERPROFILE%\Documents\GitHub\mrs-test-scripts\Headless Mode &amp; Sideloading\WalkAndUnGZ.bat" "%USERPROFILE%\AppData\Local\Temp\OnboardLogs"\RTDC4004\2017-03-23</v>
      </c>
      <c r="AF44" s="82" t="str">
        <f t="shared" si="11"/>
        <v>"C:\Program Files (x86)\AstroGrep\AstroGrep.exe" /e /r /s /spath="%USERPROFILE%\AppData\Local\Temp\OnboardLogs" /stypes="app*4004*20170322*" /stext=" 14:.+((SYSTEM_STATE.+slice.+state.+changed )|(ment ac)|(multiple cpu faults)|(system.+state.+changed )|(\[timeout)|(PRM\|1\|D)|(kpr)|(kdp)|(\|lc)|(penalty))"</v>
      </c>
      <c r="AG44" s="1" t="str">
        <f t="shared" si="12"/>
        <v>EC</v>
      </c>
      <c r="AH44" s="86" t="str">
        <f t="shared" si="16"/>
        <v>"%USERPROFILE%\Documents\GitHub\eaglep3\Utilities\RefineRTDCRunTimes.py" --tripid 130-22 --locoid 4004 --swversion DE.1.0.9.0 --startMP 204:232989 --initTime 2017-03-22T08:07:52 --startdatetime 2017-03-22T08:11:25 --delay 1 --endMP 204:145 --enddatetime 2017-03-22T08:51:37 --enforcementcount 2 &gt;&gt;C:\Users\stu\Documents\GitHub\eaglep3-reporting\EC\2017-03-22-refined-times.txt</v>
      </c>
      <c r="AI44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{"issue":{"subject":"","project_id":79,"tracker_id":40,"status_id":1,"priority_id":2,"assigned_to_id":23,"start_date":"2017-03-22","description":"","custom_fields":[{"id":1,"name":"Subdivision","value":"EC"},{"id":4,"name":"Milepost","value":"0.0145"},{"id":17,"name":"Train ID","value":"130-22"},{"id":16,"name":"Locomotive ID","value":"4004"},{"id":130,"name":"Impact","value":""},{"id":150,"name":"Time of Event (Mountain Time)","value":"08:51:37"},{"id":151,"name":"Denver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18"/>
        <v>start /low /b %USERPROFILE%\Documents\GitHub\eaglep3\Utilities\DownloadLogsFromS3.py --loco 4004 --day 2017-03-22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"%USERPROFILE%\AppData\Local\Temp\OnboardLogs"\RTDC4004\*4004*20170322* | grep -SE "(Enforcement Action)|(\[TIMEOUT)|(CHR.+\|PRM\|1\|D.+(SWITCH|SIGNAL).+UNKNOWN)" - &gt;&gt; 2017-03-22-UncaughtWiMAX.txt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688</v>
      </c>
      <c r="B45" s="7">
        <v>4027</v>
      </c>
      <c r="C45" s="21" t="s">
        <v>219</v>
      </c>
      <c r="D45" s="21" t="s">
        <v>207</v>
      </c>
      <c r="E45" s="13">
        <v>42816.308182870373</v>
      </c>
      <c r="F45" s="13">
        <v>42816.312777777777</v>
      </c>
      <c r="G45" s="7">
        <v>1</v>
      </c>
      <c r="H45" s="21" t="s">
        <v>866</v>
      </c>
      <c r="I45" s="13">
        <v>42816.337152777778</v>
      </c>
      <c r="J45" s="7">
        <v>2</v>
      </c>
      <c r="K45" s="98" t="str">
        <f t="shared" si="0"/>
        <v>4027/4028</v>
      </c>
      <c r="L45" s="21" t="str">
        <f>VLOOKUP(A45,'Trips&amp;Operators'!$C$1:$G$99999,5,FALSE)</f>
        <v>MAELZER KURT</v>
      </c>
      <c r="M45" s="6">
        <f t="shared" si="1"/>
        <v>2.4375000000873115E-2</v>
      </c>
      <c r="N45" s="7">
        <f t="shared" si="22"/>
        <v>35.100000001257285</v>
      </c>
      <c r="O45" s="7"/>
      <c r="P45" s="7"/>
      <c r="Q45" s="22"/>
      <c r="R45" s="22"/>
      <c r="S45" s="31">
        <f t="shared" si="21"/>
        <v>1</v>
      </c>
      <c r="T45" s="46" t="str">
        <f t="shared" si="2"/>
        <v>NorthBound</v>
      </c>
      <c r="U45" s="18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6" t="str">
        <f t="shared" si="3"/>
        <v>https://d0f6bd738d7f1b3e5a7ca70fe4ff75f0.us-east-1.aws.found.io/app/kibana#/discover/Steve-Slow-Train-Analysis-(2080s-and-2083s)?_g=(refreshInterval:(display:Off,pause:!f,section:0,value:0),time:(from:'2017-03-22T06:23:47-0600',mode:absolute,to:'2017-03-22T09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5" s="187" t="str">
        <f t="shared" si="4"/>
        <v>N</v>
      </c>
      <c r="X45" s="187">
        <f t="shared" ref="X45:X76" si="23">VALUE(LEFT(AD45,4))-VALUE(LEFT(AD44,4))</f>
        <v>1</v>
      </c>
      <c r="Y45" s="62">
        <f t="shared" si="6"/>
        <v>4.5100000000000001E-2</v>
      </c>
      <c r="Z45" s="62">
        <f t="shared" si="7"/>
        <v>23.329899999999999</v>
      </c>
      <c r="AA45" s="62">
        <f t="shared" si="8"/>
        <v>23.284799999999997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9"/>
        <v>0131-22</v>
      </c>
      <c r="AE45" s="85" t="str">
        <f t="shared" si="10"/>
        <v>aws s3 cp s3://rtdc.mdm.uploadarchive.raw/RTDC4027/ "%USERPROFILE%\AppData\Local\Temp\OnboardLogs"\RTDC4027\2017-03-22 --exclude "*" --recursive --include "*20170322*" &amp; "%USERPROFILE%\Documents\GitHub\mrs-test-scripts\Headless Mode &amp; Sideloading\WalkAndUnGZ.bat" "%USERPROFILE%\AppData\Local\Temp\OnboardLogs"\RTDC4027\2017-03-22 &amp; aws s3 cp s3://rtdc.mdm.uploadarchive.raw/RTDC4027/ "%USERPROFILE%\AppData\Local\Temp\OnboardLogs"\RTDC4027\2017-03-23 --exclude "*" --recursive --include "*20170323*" &amp; "%USERPROFILE%\Documents\GitHub\mrs-test-scripts\Headless Mode &amp; Sideloading\WalkAndUnGZ.bat" "%USERPROFILE%\AppData\Local\Temp\OnboardLogs"\RTDC4027\2017-03-23</v>
      </c>
      <c r="AF45" s="82" t="str">
        <f t="shared" si="11"/>
        <v>"C:\Program Files (x86)\AstroGrep\AstroGrep.exe" /e /r /s /spath="%USERPROFILE%\AppData\Local\Temp\OnboardLogs" /stypes="app*4027*20170322*" /stext=" 14:.+((SYSTEM_STATE.+slice.+state.+changed )|(ment ac)|(multiple cpu faults)|(system.+state.+changed )|(\[timeout)|(PRM\|1\|D)|(kpr)|(kdp)|(\|lc)|(penalty))"</v>
      </c>
      <c r="AG45" s="1" t="str">
        <f t="shared" si="12"/>
        <v>EC</v>
      </c>
      <c r="AH45" s="86" t="str">
        <f t="shared" si="16"/>
        <v>"%USERPROFILE%\Documents\GitHub\eaglep3\Utilities\RefineRTDCRunTimes.py" --tripid 131-22 --locoid 4027 --swversion DE.1.0.9.0 --startMP 204:451 --initTime 2017-03-22T07:23:47 --startdatetime 2017-03-22T07:30:24 --delay 1 --endMP 204:233299 --enddatetime 2017-03-22T08:05:30 --enforcementcount 2 &gt;&gt;C:\Users\stu\Documents\GitHub\eaglep3-reporting\EC\2017-03-22-refined-times.txt</v>
      </c>
      <c r="AI45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{"issue":{"subject":"","project_id":79,"tracker_id":40,"status_id":1,"priority_id":2,"assigned_to_id":23,"start_date":"2017-03-22","description":"","custom_fields":[{"id":1,"name":"Subdivision","value":"EC"},{"id":4,"name":"Milepost","value":"23.3299"},{"id":17,"name":"Train ID","value":"131-22"},{"id":16,"name":"Locomotive ID","value":"4027"},{"id":130,"name":"Impact","value":""},{"id":150,"name":"Time of Event (Mountain Time)","value":"08:05:30"},{"id":151,"name":"Denver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18"/>
        <v>start /low /b %USERPROFILE%\Documents\GitHub\eaglep3\Utilities\DownloadLogsFromS3.py --loco 4027 --day 2017-03-22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"%USERPROFILE%\AppData\Local\Temp\OnboardLogs"\RTDC4027\*4027*20170322* | grep -SE "(Enforcement Action)|(\[TIMEOUT)|(CHR.+\|PRM\|1\|D.+(SWITCH|SIGNAL).+UNKNOWN)" - &gt;&gt; 2017-03-22-UncaughtWiMAX.txt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695</v>
      </c>
      <c r="B46" s="7">
        <v>4028</v>
      </c>
      <c r="C46" s="21" t="s">
        <v>219</v>
      </c>
      <c r="D46" s="21" t="s">
        <v>867</v>
      </c>
      <c r="E46" s="13">
        <v>42816.344687500001</v>
      </c>
      <c r="F46" s="13">
        <v>42816.351886574077</v>
      </c>
      <c r="G46" s="7">
        <v>1</v>
      </c>
      <c r="H46" s="21" t="s">
        <v>199</v>
      </c>
      <c r="I46" s="13">
        <v>42816.379074074073</v>
      </c>
      <c r="J46" s="7">
        <v>2</v>
      </c>
      <c r="K46" s="98" t="str">
        <f t="shared" si="0"/>
        <v>4027/4028</v>
      </c>
      <c r="L46" s="21" t="str">
        <f>VLOOKUP(A46,'Trips&amp;Operators'!$C$1:$G$99999,5,FALSE)</f>
        <v>MAELZER KURT</v>
      </c>
      <c r="M46" s="6">
        <f t="shared" si="1"/>
        <v>2.7187499996216502E-2</v>
      </c>
      <c r="N46" s="7">
        <f t="shared" si="22"/>
        <v>39.149999994551763</v>
      </c>
      <c r="O46" s="7"/>
      <c r="P46" s="7"/>
      <c r="Q46" s="22"/>
      <c r="R46" s="22"/>
      <c r="S46" s="31">
        <f t="shared" si="21"/>
        <v>1</v>
      </c>
      <c r="T46" s="46" t="str">
        <f t="shared" si="2"/>
        <v>Southbound</v>
      </c>
      <c r="U46" s="18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6" t="str">
        <f t="shared" si="3"/>
        <v>https://d0f6bd738d7f1b3e5a7ca70fe4ff75f0.us-east-1.aws.found.io/app/kibana#/discover/Steve-Slow-Train-Analysis-(2080s-and-2083s)?_g=(refreshInterval:(display:Off,pause:!f,section:0,value:0),time:(from:'2017-03-22T07:16:21-0600',mode:absolute,to:'2017-03-22T10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6" s="187" t="str">
        <f t="shared" si="4"/>
        <v>N</v>
      </c>
      <c r="X46" s="187">
        <f t="shared" si="23"/>
        <v>1</v>
      </c>
      <c r="Y46" s="62">
        <f t="shared" si="6"/>
        <v>23.296299999999999</v>
      </c>
      <c r="Z46" s="62">
        <f t="shared" si="7"/>
        <v>1.52E-2</v>
      </c>
      <c r="AA46" s="62">
        <f t="shared" si="8"/>
        <v>23.281099999999999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9"/>
        <v>0132-22</v>
      </c>
      <c r="AE46" s="85" t="str">
        <f t="shared" si="10"/>
        <v>aws s3 cp s3://rtdc.mdm.uploadarchive.raw/RTDC4028/ "%USERPROFILE%\AppData\Local\Temp\OnboardLogs"\RTDC4028\2017-03-22 --exclude "*" --recursive --include "*20170322*" &amp; "%USERPROFILE%\Documents\GitHub\mrs-test-scripts\Headless Mode &amp; Sideloading\WalkAndUnGZ.bat" "%USERPROFILE%\AppData\Local\Temp\OnboardLogs"\RTDC4028\2017-03-22 &amp; aws s3 cp s3://rtdc.mdm.uploadarchive.raw/RTDC4028/ "%USERPROFILE%\AppData\Local\Temp\OnboardLogs"\RTDC4028\2017-03-23 --exclude "*" --recursive --include "*20170323*" &amp; "%USERPROFILE%\Documents\GitHub\mrs-test-scripts\Headless Mode &amp; Sideloading\WalkAndUnGZ.bat" "%USERPROFILE%\AppData\Local\Temp\OnboardLogs"\RTDC4028\2017-03-23</v>
      </c>
      <c r="AF46" s="82" t="str">
        <f t="shared" si="11"/>
        <v>"C:\Program Files (x86)\AstroGrep\AstroGrep.exe" /e /r /s /spath="%USERPROFILE%\AppData\Local\Temp\OnboardLogs" /stypes="app*4028*20170322*" /stext=" 15:.+((SYSTEM_STATE.+slice.+state.+changed )|(ment ac)|(multiple cpu faults)|(system.+state.+changed )|(\[timeout)|(PRM\|1\|D)|(kpr)|(kdp)|(\|lc)|(penalty))"</v>
      </c>
      <c r="AG46" s="1" t="str">
        <f t="shared" si="12"/>
        <v>EC</v>
      </c>
      <c r="AH46" s="86" t="str">
        <f t="shared" si="16"/>
        <v>"%USERPROFILE%\Documents\GitHub\eaglep3\Utilities\RefineRTDCRunTimes.py" --tripid 132-22 --locoid 4028 --swversion DE.1.0.9.0 --startMP 204:232963 --initTime 2017-03-22T08:16:21 --startdatetime 2017-03-22T08:26:43 --delay 1 --endMP 204:152 --enddatetime 2017-03-22T09:05:52 --enforcementcount 2 &gt;&gt;C:\Users\stu\Documents\GitHub\eaglep3-reporting\EC\2017-03-22-refined-times.txt</v>
      </c>
      <c r="AI46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{"issue":{"subject":"","project_id":79,"tracker_id":40,"status_id":1,"priority_id":2,"assigned_to_id":23,"start_date":"2017-03-22","description":"","custom_fields":[{"id":1,"name":"Subdivision","value":"EC"},{"id":4,"name":"Milepost","value":"0.0152"},{"id":17,"name":"Train ID","value":"132-22"},{"id":16,"name":"Locomotive ID","value":"4028"},{"id":130,"name":"Impact","value":""},{"id":150,"name":"Time of Event (Mountain Time)","value":"09:05:52"},{"id":151,"name":"Denver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18"/>
        <v>start /low /b %USERPROFILE%\Documents\GitHub\eaglep3\Utilities\DownloadLogsFromS3.py --loco 4028 --day 2017-03-22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"%USERPROFILE%\AppData\Local\Temp\OnboardLogs"\RTDC4028\*4028*20170322* | grep -SE "(Enforcement Action)|(\[TIMEOUT)|(CHR.+\|PRM\|1\|D.+(SWITCH|SIGNAL).+UNKNOWN)" - &gt;&gt; 2017-03-22-UncaughtWiMAX.txt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605</v>
      </c>
      <c r="B47" s="7">
        <v>4040</v>
      </c>
      <c r="C47" s="21" t="s">
        <v>219</v>
      </c>
      <c r="D47" s="21" t="s">
        <v>207</v>
      </c>
      <c r="E47" s="13">
        <v>42816.319548611114</v>
      </c>
      <c r="F47" s="13">
        <v>42816.32309027778</v>
      </c>
      <c r="G47" s="7">
        <v>1</v>
      </c>
      <c r="H47" s="21" t="s">
        <v>550</v>
      </c>
      <c r="I47" s="13">
        <v>42816.348379629628</v>
      </c>
      <c r="J47" s="7">
        <v>2</v>
      </c>
      <c r="K47" s="98" t="str">
        <f t="shared" si="0"/>
        <v>4039/4040</v>
      </c>
      <c r="L47" s="21" t="str">
        <f>VLOOKUP(A47,'Trips&amp;Operators'!$C$1:$G$99999,5,FALSE)</f>
        <v>GEBRETEKLE DAGNEW</v>
      </c>
      <c r="M47" s="6">
        <f t="shared" si="1"/>
        <v>2.5289351848186925E-2</v>
      </c>
      <c r="N47" s="7">
        <f t="shared" si="22"/>
        <v>36.416666661389172</v>
      </c>
      <c r="O47" s="7"/>
      <c r="P47" s="7"/>
      <c r="Q47" s="22"/>
      <c r="R47" s="22"/>
      <c r="S47" s="31">
        <f t="shared" si="21"/>
        <v>1</v>
      </c>
      <c r="T47" s="46" t="str">
        <f t="shared" si="2"/>
        <v>NorthBound</v>
      </c>
      <c r="U47" s="18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6" t="str">
        <f t="shared" si="3"/>
        <v>https://d0f6bd738d7f1b3e5a7ca70fe4ff75f0.us-east-1.aws.found.io/app/kibana#/discover/Steve-Slow-Train-Analysis-(2080s-and-2083s)?_g=(refreshInterval:(display:Off,pause:!f,section:0,value:0),time:(from:'2017-03-22T06:40:09-0600',mode:absolute,to:'2017-03-22T09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7" s="187" t="str">
        <f t="shared" si="4"/>
        <v>N</v>
      </c>
      <c r="X47" s="187">
        <f t="shared" si="23"/>
        <v>1</v>
      </c>
      <c r="Y47" s="62">
        <f t="shared" si="6"/>
        <v>4.5100000000000001E-2</v>
      </c>
      <c r="Z47" s="62">
        <f t="shared" si="7"/>
        <v>23.3323</v>
      </c>
      <c r="AA47" s="62">
        <f t="shared" si="8"/>
        <v>23.287199999999999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9"/>
        <v>0133-22</v>
      </c>
      <c r="AE47" s="85" t="str">
        <f t="shared" si="10"/>
        <v>aws s3 cp s3://rtdc.mdm.uploadarchive.raw/RTDC4040/ "%USERPROFILE%\AppData\Local\Temp\OnboardLogs"\RTDC4040\2017-03-22 --exclude "*" --recursive --include "*20170322*" &amp; "%USERPROFILE%\Documents\GitHub\mrs-test-scripts\Headless Mode &amp; Sideloading\WalkAndUnGZ.bat" "%USERPROFILE%\AppData\Local\Temp\OnboardLogs"\RTDC4040\2017-03-22 &amp; aws s3 cp s3://rtdc.mdm.uploadarchive.raw/RTDC4040/ "%USERPROFILE%\AppData\Local\Temp\OnboardLogs"\RTDC4040\2017-03-23 --exclude "*" --recursive --include "*20170323*" &amp; "%USERPROFILE%\Documents\GitHub\mrs-test-scripts\Headless Mode &amp; Sideloading\WalkAndUnGZ.bat" "%USERPROFILE%\AppData\Local\Temp\OnboardLogs"\RTDC4040\2017-03-23</v>
      </c>
      <c r="AF47" s="82" t="str">
        <f t="shared" si="11"/>
        <v>"C:\Program Files (x86)\AstroGrep\AstroGrep.exe" /e /r /s /spath="%USERPROFILE%\AppData\Local\Temp\OnboardLogs" /stypes="app*4040*20170322*" /stext=" 14:.+((SYSTEM_STATE.+slice.+state.+changed )|(ment ac)|(multiple cpu faults)|(system.+state.+changed )|(\[timeout)|(PRM\|1\|D)|(kpr)|(kdp)|(\|lc)|(penalty))"</v>
      </c>
      <c r="AG47" s="1" t="str">
        <f t="shared" si="12"/>
        <v>EC</v>
      </c>
      <c r="AH47" s="86" t="str">
        <f t="shared" si="16"/>
        <v>"%USERPROFILE%\Documents\GitHub\eaglep3\Utilities\RefineRTDCRunTimes.py" --tripid 133-22 --locoid 4040 --swversion DE.1.0.9.0 --startMP 204:451 --initTime 2017-03-22T07:40:09 --startdatetime 2017-03-22T07:45:15 --delay 1 --endMP 204:233323 --enddatetime 2017-03-22T08:21:40 --enforcementcount 2 &gt;&gt;C:\Users\stu\Documents\GitHub\eaglep3-reporting\EC\2017-03-22-refined-times.txt</v>
      </c>
      <c r="AI47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{"issue":{"subject":"","project_id":79,"tracker_id":40,"status_id":1,"priority_id":2,"assigned_to_id":23,"start_date":"2017-03-22","description":"","custom_fields":[{"id":1,"name":"Subdivision","value":"EC"},{"id":4,"name":"Milepost","value":"23.3323"},{"id":17,"name":"Train ID","value":"133-22"},{"id":16,"name":"Locomotive ID","value":"4040"},{"id":130,"name":"Impact","value":""},{"id":150,"name":"Time of Event (Mountain Time)","value":"08:21:40"},{"id":151,"name":"Denver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18"/>
        <v>start /low /b %USERPROFILE%\Documents\GitHub\eaglep3\Utilities\DownloadLogsFromS3.py --loco 4040 --day 2017-03-22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"%USERPROFILE%\AppData\Local\Temp\OnboardLogs"\RTDC4040\*4040*20170322* | grep -SE "(Enforcement Action)|(\[TIMEOUT)|(CHR.+\|PRM\|1\|D.+(SWITCH|SIGNAL).+UNKNOWN)" - &gt;&gt; 2017-03-22-UncaughtWiMAX.txt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609</v>
      </c>
      <c r="B48" s="7">
        <v>4039</v>
      </c>
      <c r="C48" s="21" t="s">
        <v>219</v>
      </c>
      <c r="D48" s="21" t="s">
        <v>561</v>
      </c>
      <c r="E48" s="13">
        <v>42816.357835648145</v>
      </c>
      <c r="F48" s="13">
        <v>42816.359143518515</v>
      </c>
      <c r="G48" s="7">
        <v>1</v>
      </c>
      <c r="H48" s="21" t="s">
        <v>868</v>
      </c>
      <c r="I48" s="13">
        <v>42816.380208333336</v>
      </c>
      <c r="J48" s="7">
        <v>1</v>
      </c>
      <c r="K48" s="98" t="str">
        <f t="shared" si="0"/>
        <v>4039/4040</v>
      </c>
      <c r="L48" s="21" t="str">
        <f>VLOOKUP(A48,'Trips&amp;Operators'!$C$1:$G$99999,5,FALSE)</f>
        <v>GEBRETEKLE DAGNEW</v>
      </c>
      <c r="M48" s="6">
        <f t="shared" si="1"/>
        <v>2.1064814820419997E-2</v>
      </c>
      <c r="N48" s="7"/>
      <c r="O48" s="7"/>
      <c r="P48" s="7">
        <f>24*60*SUM($M48:$M49)</f>
        <v>40.133333337726071</v>
      </c>
      <c r="Q48" s="22"/>
      <c r="R48" s="22" t="s">
        <v>1046</v>
      </c>
      <c r="S48" s="31">
        <f>SUM(U48:U49)/IF(AG48="EC",12,1)</f>
        <v>0.75</v>
      </c>
      <c r="T48" s="46" t="str">
        <f t="shared" si="2"/>
        <v>Southbound</v>
      </c>
      <c r="U48" s="18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6</v>
      </c>
      <c r="V48" s="186" t="str">
        <f t="shared" si="3"/>
        <v>https://d0f6bd738d7f1b3e5a7ca70fe4ff75f0.us-east-1.aws.found.io/app/kibana#/discover/Steve-Slow-Train-Analysis-(2080s-and-2083s)?_g=(refreshInterval:(display:Off,pause:!f,section:0,value:0),time:(from:'2017-03-22T07:35:17-0600',mode:absolute,to:'2017-03-22T10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8" s="187" t="str">
        <f t="shared" si="4"/>
        <v>Y</v>
      </c>
      <c r="X48" s="187">
        <f t="shared" si="23"/>
        <v>1</v>
      </c>
      <c r="Y48" s="62">
        <f t="shared" si="6"/>
        <v>23.300799999999999</v>
      </c>
      <c r="Z48" s="62">
        <f t="shared" si="7"/>
        <v>5.5411999999999999</v>
      </c>
      <c r="AA48" s="62">
        <f t="shared" si="8"/>
        <v>17.759599999999999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9"/>
        <v>0134-22</v>
      </c>
      <c r="AE48" s="85" t="str">
        <f t="shared" si="10"/>
        <v>aws s3 cp s3://rtdc.mdm.uploadarchive.raw/RTDC4039/ "%USERPROFILE%\AppData\Local\Temp\OnboardLogs"\RTDC4039\2017-03-22 --exclude "*" --recursive --include "*20170322*" &amp; "%USERPROFILE%\Documents\GitHub\mrs-test-scripts\Headless Mode &amp; Sideloading\WalkAndUnGZ.bat" "%USERPROFILE%\AppData\Local\Temp\OnboardLogs"\RTDC4039\2017-03-22 &amp; aws s3 cp s3://rtdc.mdm.uploadarchive.raw/RTDC4039/ "%USERPROFILE%\AppData\Local\Temp\OnboardLogs"\RTDC4039\2017-03-23 --exclude "*" --recursive --include "*20170323*" &amp; "%USERPROFILE%\Documents\GitHub\mrs-test-scripts\Headless Mode &amp; Sideloading\WalkAndUnGZ.bat" "%USERPROFILE%\AppData\Local\Temp\OnboardLogs"\RTDC4039\2017-03-23</v>
      </c>
      <c r="AF48" s="82" t="str">
        <f t="shared" si="11"/>
        <v>"C:\Program Files (x86)\AstroGrep\AstroGrep.exe" /e /r /s /spath="%USERPROFILE%\AppData\Local\Temp\OnboardLogs" /stypes="app*4039*20170322*" /stext=" 15:.+((SYSTEM_STATE.+slice.+state.+changed )|(ment ac)|(multiple cpu faults)|(system.+state.+changed )|(\[timeout)|(PRM\|1\|D)|(kpr)|(kdp)|(\|lc)|(penalty))"</v>
      </c>
      <c r="AG48" s="1" t="str">
        <f t="shared" si="12"/>
        <v>EC</v>
      </c>
      <c r="AH48" s="86" t="str">
        <f t="shared" si="16"/>
        <v>"%USERPROFILE%\Documents\GitHub\eaglep3\Utilities\RefineRTDCRunTimes.py" --tripid 134-22 --locoid 4039 --swversion DE.1.0.9.0 --startMP 204:233008 --initTime 2017-03-22T08:35:17 --startdatetime 2017-03-22T08:37:10 --delay 1 --endMP 204:55412 --enddatetime 2017-03-22T09:07:30 --enforcementcount 1 &gt;&gt;C:\Users\stu\Documents\GitHub\eaglep3-reporting\EC\2017-03-22-refined-times.txt</v>
      </c>
      <c r="AI48" s="108" t="str">
        <f t="shared" si="17"/>
        <v>echo {"issue":{"subject":"Premature downgrade at Quebec 4S","project_id":79,"tracker_id":40,"status_id":1,"priority_id":2,"assigned_to_id":23,"start_date":"2017-03-22","description":"","custom_fields":[{"id":1,"name":"Subdivision","value":"EC"},{"id":4,"name":"Milepost","value":"5.5412"},{"id":17,"name":"Train ID","value":"134-22"},{"id":16,"name":"Locomotive ID","value":"4039"},{"id":130,"name":"Impact","value":"Enforcement"},{"id":150,"name":"Time of Event (Mountain Time)","value":"09:07:30"},{"id":151,"name":"Denver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48" s="48"/>
      <c r="AK48" s="48" t="s">
        <v>124</v>
      </c>
      <c r="AL48" s="48" t="s">
        <v>129</v>
      </c>
      <c r="AM48" s="154" t="str">
        <f t="shared" si="18"/>
        <v>start /low /b %USERPROFILE%\Documents\GitHub\eaglep3\Utilities\DownloadLogsFromS3.py --loco 4039 --day 2017-03-22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"%USERPROFILE%\AppData\Local\Temp\OnboardLogs"\RTDC4039\*4039*20170322* | grep -SE "(Enforcement Action)|(\[TIMEOUT)|(CHR.+\|PRM\|1\|D.+(SWITCH|SIGNAL).+UNKNOWN)" - &gt;&gt; 2017-03-22-UncaughtWiMAX.txt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609</v>
      </c>
      <c r="B49" s="7">
        <v>4039</v>
      </c>
      <c r="C49" s="21" t="s">
        <v>219</v>
      </c>
      <c r="D49" s="21" t="s">
        <v>869</v>
      </c>
      <c r="E49" s="13">
        <v>42816.382731481484</v>
      </c>
      <c r="F49" s="13">
        <v>42816.383506944447</v>
      </c>
      <c r="G49" s="7">
        <v>1</v>
      </c>
      <c r="H49" s="21" t="s">
        <v>488</v>
      </c>
      <c r="I49" s="13">
        <v>42816.3903125</v>
      </c>
      <c r="J49" s="7">
        <v>0</v>
      </c>
      <c r="K49" s="98" t="str">
        <f t="shared" si="0"/>
        <v>4039/4040</v>
      </c>
      <c r="L49" s="21" t="str">
        <f>VLOOKUP(A49,'Trips&amp;Operators'!$C$1:$G$99999,5,FALSE)</f>
        <v>GEBRETEKLE DAGNEW</v>
      </c>
      <c r="M49" s="6">
        <f t="shared" si="1"/>
        <v>6.805555553000886E-3</v>
      </c>
      <c r="N49" s="7"/>
      <c r="O49" s="7"/>
      <c r="P49" s="7"/>
      <c r="Q49" s="22"/>
      <c r="R49" s="22"/>
      <c r="S49" s="31"/>
      <c r="T49" s="46" t="str">
        <f t="shared" si="2"/>
        <v>Southbound</v>
      </c>
      <c r="U49" s="18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3</v>
      </c>
      <c r="V49" s="186" t="str">
        <f t="shared" si="3"/>
        <v>https://d0f6bd738d7f1b3e5a7ca70fe4ff75f0.us-east-1.aws.found.io/app/kibana#/discover/Steve-Slow-Train-Analysis-(2080s-and-2083s)?_g=(refreshInterval:(display:Off,pause:!f,section:0,value:0),time:(from:'2017-03-22T08:11:08-0600',mode:absolute,to:'2017-03-22T10:22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9" s="187" t="str">
        <f t="shared" si="4"/>
        <v>Y</v>
      </c>
      <c r="X49" s="187">
        <f t="shared" si="23"/>
        <v>0</v>
      </c>
      <c r="Y49" s="62">
        <f t="shared" si="6"/>
        <v>3.6781000000000001</v>
      </c>
      <c r="Z49" s="62">
        <f t="shared" si="7"/>
        <v>1.6500000000000001E-2</v>
      </c>
      <c r="AA49" s="62">
        <f t="shared" si="8"/>
        <v>3.6616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9"/>
        <v>0134-22</v>
      </c>
      <c r="AE49" s="85" t="str">
        <f t="shared" si="10"/>
        <v>aws s3 cp s3://rtdc.mdm.uploadarchive.raw/RTDC4039/ "%USERPROFILE%\AppData\Local\Temp\OnboardLogs"\RTDC4039\2017-03-22 --exclude "*" --recursive --include "*20170322*" &amp; "%USERPROFILE%\Documents\GitHub\mrs-test-scripts\Headless Mode &amp; Sideloading\WalkAndUnGZ.bat" "%USERPROFILE%\AppData\Local\Temp\OnboardLogs"\RTDC4039\2017-03-22 &amp; aws s3 cp s3://rtdc.mdm.uploadarchive.raw/RTDC4039/ "%USERPROFILE%\AppData\Local\Temp\OnboardLogs"\RTDC4039\2017-03-23 --exclude "*" --recursive --include "*20170323*" &amp; "%USERPROFILE%\Documents\GitHub\mrs-test-scripts\Headless Mode &amp; Sideloading\WalkAndUnGZ.bat" "%USERPROFILE%\AppData\Local\Temp\OnboardLogs"\RTDC4039\2017-03-23</v>
      </c>
      <c r="AF49" s="82" t="str">
        <f t="shared" si="11"/>
        <v>"C:\Program Files (x86)\AstroGrep\AstroGrep.exe" /e /r /s /spath="%USERPROFILE%\AppData\Local\Temp\OnboardLogs" /stypes="app*4039*20170322*" /stext=" 15:.+((SYSTEM_STATE.+slice.+state.+changed )|(ment ac)|(multiple cpu faults)|(system.+state.+changed )|(\[timeout)|(PRM\|1\|D)|(kpr)|(kdp)|(\|lc)|(penalty))"</v>
      </c>
      <c r="AG49" s="1" t="str">
        <f t="shared" si="12"/>
        <v>EC</v>
      </c>
      <c r="AH49" s="86" t="str">
        <f t="shared" si="16"/>
        <v>"%USERPROFILE%\Documents\GitHub\eaglep3\Utilities\RefineRTDCRunTimes.py" --tripid 134-22 --locoid 4039 --swversion DE.1.0.9.0 --startMP 204:36781 --initTime 2017-03-22T09:11:08 --startdatetime 2017-03-22T09:12:15 --delay 1 --endMP 204:165 --enddatetime 2017-03-22T09:22:03 --enforcementcount 0 &gt;&gt;C:\Users\stu\Documents\GitHub\eaglep3-reporting\EC\2017-03-22-refined-times.txt</v>
      </c>
      <c r="AI49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{"issue":{"subject":"","project_id":79,"tracker_id":40,"status_id":1,"priority_id":2,"assigned_to_id":23,"start_date":"2017-03-22","description":"","custom_fields":[{"id":1,"name":"Subdivision","value":"EC"},{"id":4,"name":"Milepost","value":"0.0165"},{"id":17,"name":"Train ID","value":"134-22"},{"id":16,"name":"Locomotive ID","value":"4039"},{"id":130,"name":"Impact","value":""},{"id":150,"name":"Time of Event (Mountain Time)","value":"09:22:03"},{"id":151,"name":"Denver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18"/>
        <v>start /low /b %USERPROFILE%\Documents\GitHub\eaglep3\Utilities\DownloadLogsFromS3.py --loco 4039 --day 2017-03-22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"%USERPROFILE%\AppData\Local\Temp\OnboardLogs"\RTDC4039\*4039*20170322* | grep -SE "(Enforcement Action)|(\[TIMEOUT)|(CHR.+\|PRM\|1\|D.+(SWITCH|SIGNAL).+UNKNOWN)" - &gt;&gt; 2017-03-22-UncaughtWiMAX.txt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692</v>
      </c>
      <c r="B50" s="7">
        <v>4020</v>
      </c>
      <c r="C50" s="21" t="s">
        <v>219</v>
      </c>
      <c r="D50" s="21" t="s">
        <v>870</v>
      </c>
      <c r="E50" s="13">
        <v>42816.328125</v>
      </c>
      <c r="F50" s="13">
        <v>42816.333506944444</v>
      </c>
      <c r="G50" s="7">
        <v>1</v>
      </c>
      <c r="H50" s="21" t="s">
        <v>220</v>
      </c>
      <c r="I50" s="13">
        <v>42816.360208333332</v>
      </c>
      <c r="J50" s="7">
        <v>2</v>
      </c>
      <c r="K50" s="98" t="str">
        <f t="shared" si="0"/>
        <v>4019/4020</v>
      </c>
      <c r="L50" s="21" t="str">
        <f>VLOOKUP(A50,'Trips&amp;Operators'!$C$1:$G$99999,5,FALSE)</f>
        <v>GUZMAN DANNY</v>
      </c>
      <c r="M50" s="6">
        <f t="shared" si="1"/>
        <v>2.6701388887886424E-2</v>
      </c>
      <c r="N50" s="7">
        <f t="shared" ref="N50:N81" si="24">24*60*SUM($M50:$M50)</f>
        <v>38.44999999855645</v>
      </c>
      <c r="O50" s="7"/>
      <c r="P50" s="7"/>
      <c r="Q50" s="22"/>
      <c r="R50" s="22"/>
      <c r="S50" s="31">
        <f t="shared" ref="S50:S81" si="25">SUM(U50:U50)/IF(AG50="EC",12,1)</f>
        <v>1</v>
      </c>
      <c r="T50" s="46" t="str">
        <f t="shared" si="2"/>
        <v>NorthBound</v>
      </c>
      <c r="U50" s="18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6" t="str">
        <f t="shared" si="3"/>
        <v>https://d0f6bd738d7f1b3e5a7ca70fe4ff75f0.us-east-1.aws.found.io/app/kibana#/discover/Steve-Slow-Train-Analysis-(2080s-and-2083s)?_g=(refreshInterval:(display:Off,pause:!f,section:0,value:0),time:(from:'2017-03-22T06:52:30-0600',mode:absolute,to:'2017-03-22T09:38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0" s="187" t="str">
        <f t="shared" si="4"/>
        <v>N</v>
      </c>
      <c r="X50" s="187">
        <f t="shared" si="23"/>
        <v>1</v>
      </c>
      <c r="Y50" s="62">
        <f t="shared" si="6"/>
        <v>4.4600000000000001E-2</v>
      </c>
      <c r="Z50" s="62">
        <f t="shared" si="7"/>
        <v>23.329699999999999</v>
      </c>
      <c r="AA50" s="62">
        <f t="shared" si="8"/>
        <v>23.2851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9"/>
        <v>0135-22</v>
      </c>
      <c r="AE50" s="85" t="str">
        <f t="shared" si="10"/>
        <v>aws s3 cp s3://rtdc.mdm.uploadarchive.raw/RTDC4020/ "%USERPROFILE%\AppData\Local\Temp\OnboardLogs"\RTDC4020\2017-03-22 --exclude "*" --recursive --include "*20170322*" &amp; "%USERPROFILE%\Documents\GitHub\mrs-test-scripts\Headless Mode &amp; Sideloading\WalkAndUnGZ.bat" "%USERPROFILE%\AppData\Local\Temp\OnboardLogs"\RTDC4020\2017-03-22 &amp; aws s3 cp s3://rtdc.mdm.uploadarchive.raw/RTDC4020/ "%USERPROFILE%\AppData\Local\Temp\OnboardLogs"\RTDC4020\2017-03-23 --exclude "*" --recursive --include "*20170323*" &amp; "%USERPROFILE%\Documents\GitHub\mrs-test-scripts\Headless Mode &amp; Sideloading\WalkAndUnGZ.bat" "%USERPROFILE%\AppData\Local\Temp\OnboardLogs"\RTDC4020\2017-03-23</v>
      </c>
      <c r="AF50" s="82" t="str">
        <f t="shared" si="11"/>
        <v>"C:\Program Files (x86)\AstroGrep\AstroGrep.exe" /e /r /s /spath="%USERPROFILE%\AppData\Local\Temp\OnboardLogs" /stypes="app*4020*20170322*" /stext=" 14:.+((SYSTEM_STATE.+slice.+state.+changed )|(ment ac)|(multiple cpu faults)|(system.+state.+changed )|(\[timeout)|(PRM\|1\|D)|(kpr)|(kdp)|(\|lc)|(penalty))"</v>
      </c>
      <c r="AG50" s="1" t="str">
        <f t="shared" si="12"/>
        <v>EC</v>
      </c>
      <c r="AH50" s="86" t="str">
        <f t="shared" si="16"/>
        <v>"%USERPROFILE%\Documents\GitHub\eaglep3\Utilities\RefineRTDCRunTimes.py" --tripid 135-22 --locoid 4020 --swversion DE.1.0.9.0 --startMP 204:446 --initTime 2017-03-22T07:52:30 --startdatetime 2017-03-22T08:00:15 --delay 1 --endMP 204:233297 --enddatetime 2017-03-22T08:38:42 --enforcementcount 2 &gt;&gt;C:\Users\stu\Documents\GitHub\eaglep3-reporting\EC\2017-03-22-refined-times.txt</v>
      </c>
      <c r="AI50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{"issue":{"subject":"","project_id":79,"tracker_id":40,"status_id":1,"priority_id":2,"assigned_to_id":23,"start_date":"2017-03-22","description":"","custom_fields":[{"id":1,"name":"Subdivision","value":"EC"},{"id":4,"name":"Milepost","value":"23.3297"},{"id":17,"name":"Train ID","value":"135-22"},{"id":16,"name":"Locomotive ID","value":"4020"},{"id":130,"name":"Impact","value":""},{"id":150,"name":"Time of Event (Mountain Time)","value":"08:38:42"},{"id":151,"name":"Denver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18"/>
        <v>start /low /b %USERPROFILE%\Documents\GitHub\eaglep3\Utilities\DownloadLogsFromS3.py --loco 4020 --day 2017-03-22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"%USERPROFILE%\AppData\Local\Temp\OnboardLogs"\RTDC4020\*4020*20170322* | grep -SE "(Enforcement Action)|(\[TIMEOUT)|(CHR.+\|PRM\|1\|D.+(SWITCH|SIGNAL).+UNKNOWN)" - &gt;&gt; 2017-03-22-UncaughtWiMAX.txt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703</v>
      </c>
      <c r="B51" s="7">
        <v>4019</v>
      </c>
      <c r="C51" s="21" t="s">
        <v>219</v>
      </c>
      <c r="D51" s="21" t="s">
        <v>490</v>
      </c>
      <c r="E51" s="13">
        <v>42816.365856481483</v>
      </c>
      <c r="F51" s="13">
        <v>42816.372418981482</v>
      </c>
      <c r="G51" s="7">
        <v>0</v>
      </c>
      <c r="H51" s="21" t="s">
        <v>417</v>
      </c>
      <c r="I51" s="13">
        <v>42816.401967592596</v>
      </c>
      <c r="J51" s="7">
        <v>2</v>
      </c>
      <c r="K51" s="98" t="str">
        <f t="shared" si="0"/>
        <v>4019/4020</v>
      </c>
      <c r="L51" s="21" t="str">
        <f>VLOOKUP(A51,'Trips&amp;Operators'!$C$1:$G$99999,5,FALSE)</f>
        <v>GUZMAN DANNY</v>
      </c>
      <c r="M51" s="6">
        <f t="shared" si="1"/>
        <v>2.9548611113568768E-2</v>
      </c>
      <c r="N51" s="7">
        <f t="shared" si="24"/>
        <v>42.550000003539026</v>
      </c>
      <c r="O51" s="7"/>
      <c r="P51" s="7"/>
      <c r="Q51" s="22"/>
      <c r="R51" s="22"/>
      <c r="S51" s="31">
        <f t="shared" si="25"/>
        <v>1</v>
      </c>
      <c r="T51" s="46" t="str">
        <f t="shared" si="2"/>
        <v>Southbound</v>
      </c>
      <c r="U51" s="18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6" t="str">
        <f t="shared" si="3"/>
        <v>https://d0f6bd738d7f1b3e5a7ca70fe4ff75f0.us-east-1.aws.found.io/app/kibana#/discover/Steve-Slow-Train-Analysis-(2080s-and-2083s)?_g=(refreshInterval:(display:Off,pause:!f,section:0,value:0),time:(from:'2017-03-22T07:46:50-0600',mode:absolute,to:'2017-03-22T10:38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1" s="187" t="str">
        <f t="shared" si="4"/>
        <v>N</v>
      </c>
      <c r="X51" s="187">
        <f t="shared" si="23"/>
        <v>1</v>
      </c>
      <c r="Y51" s="62">
        <f t="shared" si="6"/>
        <v>23.296900000000001</v>
      </c>
      <c r="Z51" s="62">
        <f t="shared" si="7"/>
        <v>1.7000000000000001E-2</v>
      </c>
      <c r="AA51" s="62">
        <f t="shared" si="8"/>
        <v>23.279900000000001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9"/>
        <v>0136-22</v>
      </c>
      <c r="AE51" s="85" t="str">
        <f t="shared" si="10"/>
        <v>aws s3 cp s3://rtdc.mdm.uploadarchive.raw/RTDC4019/ "%USERPROFILE%\AppData\Local\Temp\OnboardLogs"\RTDC4019\2017-03-22 --exclude "*" --recursive --include "*20170322*" &amp; "%USERPROFILE%\Documents\GitHub\mrs-test-scripts\Headless Mode &amp; Sideloading\WalkAndUnGZ.bat" "%USERPROFILE%\AppData\Local\Temp\OnboardLogs"\RTDC4019\2017-03-22 &amp; aws s3 cp s3://rtdc.mdm.uploadarchive.raw/RTDC4019/ "%USERPROFILE%\AppData\Local\Temp\OnboardLogs"\RTDC4019\2017-03-23 --exclude "*" --recursive --include "*20170323*" &amp; "%USERPROFILE%\Documents\GitHub\mrs-test-scripts\Headless Mode &amp; Sideloading\WalkAndUnGZ.bat" "%USERPROFILE%\AppData\Local\Temp\OnboardLogs"\RTDC4019\2017-03-23</v>
      </c>
      <c r="AF51" s="82" t="str">
        <f t="shared" si="11"/>
        <v>"C:\Program Files (x86)\AstroGrep\AstroGrep.exe" /e /r /s /spath="%USERPROFILE%\AppData\Local\Temp\OnboardLogs" /stypes="app*4019*20170322*" /stext=" 15:.+((SYSTEM_STATE.+slice.+state.+changed )|(ment ac)|(multiple cpu faults)|(system.+state.+changed )|(\[timeout)|(PRM\|1\|D)|(kpr)|(kdp)|(\|lc)|(penalty))"</v>
      </c>
      <c r="AG51" s="1" t="str">
        <f t="shared" si="12"/>
        <v>EC</v>
      </c>
      <c r="AH51" s="86" t="str">
        <f t="shared" si="16"/>
        <v>"%USERPROFILE%\Documents\GitHub\eaglep3\Utilities\RefineRTDCRunTimes.py" --tripid 136-22 --locoid 4019 --swversion DE.1.0.9.0 --startMP 204:232969 --initTime 2017-03-22T08:46:50 --startdatetime 2017-03-22T08:56:17 --delay 0 --endMP 204:170 --enddatetime 2017-03-22T09:38:50 --enforcementcount 2 &gt;&gt;C:\Users\stu\Documents\GitHub\eaglep3-reporting\EC\2017-03-22-refined-times.txt</v>
      </c>
      <c r="AI51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{"issue":{"subject":"","project_id":79,"tracker_id":40,"status_id":1,"priority_id":2,"assigned_to_id":23,"start_date":"2017-03-22","description":"","custom_fields":[{"id":1,"name":"Subdivision","value":"EC"},{"id":4,"name":"Milepost","value":"0.017"},{"id":17,"name":"Train ID","value":"136-22"},{"id":16,"name":"Locomotive ID","value":"4019"},{"id":130,"name":"Impact","value":""},{"id":150,"name":"Time of Event (Mountain Time)","value":"09:38:50"},{"id":151,"name":"Denver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18"/>
        <v>start /low /b %USERPROFILE%\Documents\GitHub\eaglep3\Utilities\DownloadLogsFromS3.py --loco 4019 --day 2017-03-22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"%USERPROFILE%\AppData\Local\Temp\OnboardLogs"\RTDC4019\*4019*20170322* | grep -SE "(Enforcement Action)|(\[TIMEOUT)|(CHR.+\|PRM\|1\|D.+(SWITCH|SIGNAL).+UNKNOWN)" - &gt;&gt; 2017-03-22-UncaughtWiMAX.txt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694</v>
      </c>
      <c r="B52" s="7">
        <v>4042</v>
      </c>
      <c r="C52" s="21" t="s">
        <v>219</v>
      </c>
      <c r="D52" s="21" t="s">
        <v>492</v>
      </c>
      <c r="E52" s="13">
        <v>42816.339120370372</v>
      </c>
      <c r="F52" s="13">
        <v>42816.344189814816</v>
      </c>
      <c r="G52" s="7">
        <v>1</v>
      </c>
      <c r="H52" s="21" t="s">
        <v>863</v>
      </c>
      <c r="I52" s="13">
        <v>42816.368935185186</v>
      </c>
      <c r="J52" s="7">
        <v>2</v>
      </c>
      <c r="K52" s="98" t="str">
        <f t="shared" si="0"/>
        <v>4041/4042</v>
      </c>
      <c r="L52" s="21" t="str">
        <f>VLOOKUP(A52,'Trips&amp;Operators'!$C$1:$G$99999,5,FALSE)</f>
        <v>SANTIZO D. EDY</v>
      </c>
      <c r="M52" s="6">
        <f t="shared" si="1"/>
        <v>2.47453703705105E-2</v>
      </c>
      <c r="N52" s="7">
        <f t="shared" si="24"/>
        <v>35.63333333353512</v>
      </c>
      <c r="O52" s="7"/>
      <c r="P52" s="7"/>
      <c r="Q52" s="22"/>
      <c r="R52" s="22"/>
      <c r="S52" s="31">
        <f t="shared" si="25"/>
        <v>1</v>
      </c>
      <c r="T52" s="46" t="str">
        <f t="shared" si="2"/>
        <v>NorthBound</v>
      </c>
      <c r="U52" s="18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6" t="str">
        <f t="shared" si="3"/>
        <v>https://d0f6bd738d7f1b3e5a7ca70fe4ff75f0.us-east-1.aws.found.io/app/kibana#/discover/Steve-Slow-Train-Analysis-(2080s-and-2083s)?_g=(refreshInterval:(display:Off,pause:!f,section:0,value:0),time:(from:'2017-03-22T07:08:20-0600',mode:absolute,to:'2017-03-22T09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2" s="187" t="str">
        <f t="shared" si="4"/>
        <v>N</v>
      </c>
      <c r="X52" s="187">
        <f t="shared" si="23"/>
        <v>1</v>
      </c>
      <c r="Y52" s="62">
        <f t="shared" si="6"/>
        <v>4.4200000000000003E-2</v>
      </c>
      <c r="Z52" s="62">
        <f t="shared" si="7"/>
        <v>23.328800000000001</v>
      </c>
      <c r="AA52" s="62">
        <f t="shared" si="8"/>
        <v>23.284600000000001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9"/>
        <v>0137-22</v>
      </c>
      <c r="AE52" s="85" t="str">
        <f t="shared" si="10"/>
        <v>aws s3 cp s3://rtdc.mdm.uploadarchive.raw/RTDC4042/ "%USERPROFILE%\AppData\Local\Temp\OnboardLogs"\RTDC4042\2017-03-22 --exclude "*" --recursive --include "*20170322*" &amp; "%USERPROFILE%\Documents\GitHub\mrs-test-scripts\Headless Mode &amp; Sideloading\WalkAndUnGZ.bat" "%USERPROFILE%\AppData\Local\Temp\OnboardLogs"\RTDC4042\2017-03-22 &amp; aws s3 cp s3://rtdc.mdm.uploadarchive.raw/RTDC4042/ "%USERPROFILE%\AppData\Local\Temp\OnboardLogs"\RTDC4042\2017-03-23 --exclude "*" --recursive --include "*20170323*" &amp; "%USERPROFILE%\Documents\GitHub\mrs-test-scripts\Headless Mode &amp; Sideloading\WalkAndUnGZ.bat" "%USERPROFILE%\AppData\Local\Temp\OnboardLogs"\RTDC4042\2017-03-23</v>
      </c>
      <c r="AF52" s="82" t="str">
        <f t="shared" si="11"/>
        <v>"C:\Program Files (x86)\AstroGrep\AstroGrep.exe" /e /r /s /spath="%USERPROFILE%\AppData\Local\Temp\OnboardLogs" /stypes="app*4042*20170322*" /stext=" 14:.+((SYSTEM_STATE.+slice.+state.+changed )|(ment ac)|(multiple cpu faults)|(system.+state.+changed )|(\[timeout)|(PRM\|1\|D)|(kpr)|(kdp)|(\|lc)|(penalty))"</v>
      </c>
      <c r="AG52" s="1" t="str">
        <f t="shared" si="12"/>
        <v>EC</v>
      </c>
      <c r="AH52" s="86" t="str">
        <f t="shared" si="16"/>
        <v>"%USERPROFILE%\Documents\GitHub\eaglep3\Utilities\RefineRTDCRunTimes.py" --tripid 137-22 --locoid 4042 --swversion DE.1.0.9.0 --startMP 204:442 --initTime 2017-03-22T08:08:20 --startdatetime 2017-03-22T08:15:38 --delay 1 --endMP 204:233288 --enddatetime 2017-03-22T08:51:16 --enforcementcount 2 &gt;&gt;C:\Users\stu\Documents\GitHub\eaglep3-reporting\EC\2017-03-22-refined-times.txt</v>
      </c>
      <c r="AI52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{"issue":{"subject":"","project_id":79,"tracker_id":40,"status_id":1,"priority_id":2,"assigned_to_id":23,"start_date":"2017-03-22","description":"","custom_fields":[{"id":1,"name":"Subdivision","value":"EC"},{"id":4,"name":"Milepost","value":"23.3288"},{"id":17,"name":"Train ID","value":"137-22"},{"id":16,"name":"Locomotive ID","value":"4042"},{"id":130,"name":"Impact","value":""},{"id":150,"name":"Time of Event (Mountain Time)","value":"08:51:16"},{"id":151,"name":"Denver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18"/>
        <v>start /low /b %USERPROFILE%\Documents\GitHub\eaglep3\Utilities\DownloadLogsFromS3.py --loco 4042 --day 2017-03-22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"%USERPROFILE%\AppData\Local\Temp\OnboardLogs"\RTDC4042\*4042*20170322* | grep -SE "(Enforcement Action)|(\[TIMEOUT)|(CHR.+\|PRM\|1\|D.+(SWITCH|SIGNAL).+UNKNOWN)" - &gt;&gt; 2017-03-22-UncaughtWiMAX.txt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704</v>
      </c>
      <c r="B53" s="7">
        <v>4041</v>
      </c>
      <c r="C53" s="21" t="s">
        <v>219</v>
      </c>
      <c r="D53" s="21" t="s">
        <v>871</v>
      </c>
      <c r="E53" s="13">
        <v>42816.371249999997</v>
      </c>
      <c r="F53" s="13">
        <v>42816.383032407408</v>
      </c>
      <c r="G53" s="7">
        <v>1</v>
      </c>
      <c r="H53" s="21" t="s">
        <v>395</v>
      </c>
      <c r="I53" s="13">
        <v>42816.410497685189</v>
      </c>
      <c r="J53" s="7">
        <v>2</v>
      </c>
      <c r="K53" s="98" t="str">
        <f t="shared" si="0"/>
        <v>4041/4042</v>
      </c>
      <c r="L53" s="21" t="str">
        <f>VLOOKUP(A53,'Trips&amp;Operators'!$C$1:$G$99999,5,FALSE)</f>
        <v>SANTIZO D. EDY</v>
      </c>
      <c r="M53" s="6">
        <f t="shared" si="1"/>
        <v>2.7465277780720498E-2</v>
      </c>
      <c r="N53" s="7">
        <f t="shared" si="24"/>
        <v>39.550000004237518</v>
      </c>
      <c r="O53" s="7"/>
      <c r="P53" s="7"/>
      <c r="Q53" s="22"/>
      <c r="R53" s="22"/>
      <c r="S53" s="31">
        <f t="shared" si="25"/>
        <v>1</v>
      </c>
      <c r="T53" s="46" t="str">
        <f t="shared" si="2"/>
        <v>Southbound</v>
      </c>
      <c r="U53" s="18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6" t="str">
        <f t="shared" si="3"/>
        <v>https://d0f6bd738d7f1b3e5a7ca70fe4ff75f0.us-east-1.aws.found.io/app/kibana#/discover/Steve-Slow-Train-Analysis-(2080s-and-2083s)?_g=(refreshInterval:(display:Off,pause:!f,section:0,value:0),time:(from:'2017-03-22T07:54:36-0600',mode:absolute,to:'2017-03-22T10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3" s="187" t="str">
        <f t="shared" si="4"/>
        <v>N</v>
      </c>
      <c r="X53" s="187">
        <f t="shared" si="23"/>
        <v>1</v>
      </c>
      <c r="Y53" s="62">
        <f t="shared" si="6"/>
        <v>23.299099999999999</v>
      </c>
      <c r="Z53" s="62">
        <f t="shared" si="7"/>
        <v>1.4500000000000001E-2</v>
      </c>
      <c r="AA53" s="62">
        <f t="shared" si="8"/>
        <v>23.284599999999998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9"/>
        <v>0138-22</v>
      </c>
      <c r="AE53" s="85" t="str">
        <f t="shared" si="10"/>
        <v>aws s3 cp s3://rtdc.mdm.uploadarchive.raw/RTDC4041/ "%USERPROFILE%\AppData\Local\Temp\OnboardLogs"\RTDC4041\2017-03-22 --exclude "*" --recursive --include "*20170322*" &amp; "%USERPROFILE%\Documents\GitHub\mrs-test-scripts\Headless Mode &amp; Sideloading\WalkAndUnGZ.bat" "%USERPROFILE%\AppData\Local\Temp\OnboardLogs"\RTDC4041\2017-03-22 &amp; aws s3 cp s3://rtdc.mdm.uploadarchive.raw/RTDC4041/ "%USERPROFILE%\AppData\Local\Temp\OnboardLogs"\RTDC4041\2017-03-23 --exclude "*" --recursive --include "*20170323*" &amp; "%USERPROFILE%\Documents\GitHub\mrs-test-scripts\Headless Mode &amp; Sideloading\WalkAndUnGZ.bat" "%USERPROFILE%\AppData\Local\Temp\OnboardLogs"\RTDC4041\2017-03-23</v>
      </c>
      <c r="AF53" s="82" t="str">
        <f t="shared" si="11"/>
        <v>"C:\Program Files (x86)\AstroGrep\AstroGrep.exe" /e /r /s /spath="%USERPROFILE%\AppData\Local\Temp\OnboardLogs" /stypes="app*4041*20170322*" /stext=" 15:.+((SYSTEM_STATE.+slice.+state.+changed )|(ment ac)|(multiple cpu faults)|(system.+state.+changed )|(\[timeout)|(PRM\|1\|D)|(kpr)|(kdp)|(\|lc)|(penalty))"</v>
      </c>
      <c r="AG53" s="1" t="str">
        <f t="shared" si="12"/>
        <v>EC</v>
      </c>
      <c r="AH53" s="86" t="str">
        <f t="shared" si="16"/>
        <v>"%USERPROFILE%\Documents\GitHub\eaglep3\Utilities\RefineRTDCRunTimes.py" --tripid 138-22 --locoid 4041 --swversion DE.1.0.9.0 --startMP 204:232991 --initTime 2017-03-22T08:54:36 --startdatetime 2017-03-22T09:11:34 --delay 1 --endMP 204:145 --enddatetime 2017-03-22T09:51:07 --enforcementcount 2 &gt;&gt;C:\Users\stu\Documents\GitHub\eaglep3-reporting\EC\2017-03-22-refined-times.txt</v>
      </c>
      <c r="AI53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{"issue":{"subject":"","project_id":79,"tracker_id":40,"status_id":1,"priority_id":2,"assigned_to_id":23,"start_date":"2017-03-22","description":"","custom_fields":[{"id":1,"name":"Subdivision","value":"EC"},{"id":4,"name":"Milepost","value":"0.0145"},{"id":17,"name":"Train ID","value":"138-22"},{"id":16,"name":"Locomotive ID","value":"4041"},{"id":130,"name":"Impact","value":""},{"id":150,"name":"Time of Event (Mountain Time)","value":"09:51:07"},{"id":151,"name":"Denver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18"/>
        <v>start /low /b %USERPROFILE%\Documents\GitHub\eaglep3\Utilities\DownloadLogsFromS3.py --loco 4041 --day 2017-03-22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"%USERPROFILE%\AppData\Local\Temp\OnboardLogs"\RTDC4041\*4041*20170322* | grep -SE "(Enforcement Action)|(\[TIMEOUT)|(CHR.+\|PRM\|1\|D.+(SWITCH|SIGNAL).+UNKNOWN)" - &gt;&gt; 2017-03-22-UncaughtWiMAX.txt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698</v>
      </c>
      <c r="B54" s="7">
        <v>4018</v>
      </c>
      <c r="C54" s="21" t="s">
        <v>219</v>
      </c>
      <c r="D54" s="21" t="s">
        <v>207</v>
      </c>
      <c r="E54" s="13">
        <v>42816.353182870371</v>
      </c>
      <c r="F54" s="13">
        <v>42816.355000000003</v>
      </c>
      <c r="G54" s="7">
        <v>1</v>
      </c>
      <c r="H54" s="21" t="s">
        <v>847</v>
      </c>
      <c r="I54" s="13">
        <v>42816.381712962961</v>
      </c>
      <c r="J54" s="7">
        <v>2</v>
      </c>
      <c r="K54" s="98" t="str">
        <f t="shared" si="0"/>
        <v>4017/4018</v>
      </c>
      <c r="L54" s="21" t="str">
        <f>VLOOKUP(A54,'Trips&amp;Operators'!$C$1:$G$99999,5,FALSE)</f>
        <v>SULLIVAN BRANDON</v>
      </c>
      <c r="M54" s="6">
        <f t="shared" si="1"/>
        <v>2.6712962957390118E-2</v>
      </c>
      <c r="N54" s="7">
        <f t="shared" si="24"/>
        <v>38.46666665864177</v>
      </c>
      <c r="O54" s="7"/>
      <c r="P54" s="7"/>
      <c r="Q54" s="22"/>
      <c r="R54" s="22"/>
      <c r="S54" s="31">
        <f t="shared" si="25"/>
        <v>1</v>
      </c>
      <c r="T54" s="46" t="str">
        <f t="shared" si="2"/>
        <v>NorthBound</v>
      </c>
      <c r="U54" s="18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6" t="str">
        <f t="shared" si="3"/>
        <v>https://d0f6bd738d7f1b3e5a7ca70fe4ff75f0.us-east-1.aws.found.io/app/kibana#/discover/Steve-Slow-Train-Analysis-(2080s-and-2083s)?_g=(refreshInterval:(display:Off,pause:!f,section:0,value:0),time:(from:'2017-03-22T07:28:35-0600',mode:absolute,to:'2017-03-22T10:09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4" s="187" t="str">
        <f t="shared" si="4"/>
        <v>N</v>
      </c>
      <c r="X54" s="187">
        <f t="shared" si="23"/>
        <v>1</v>
      </c>
      <c r="Y54" s="62">
        <f t="shared" si="6"/>
        <v>4.5100000000000001E-2</v>
      </c>
      <c r="Z54" s="62">
        <f t="shared" si="7"/>
        <v>23.331099999999999</v>
      </c>
      <c r="AA54" s="62">
        <f t="shared" si="8"/>
        <v>23.285999999999998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9"/>
        <v>0139-22</v>
      </c>
      <c r="AE54" s="85" t="str">
        <f t="shared" si="10"/>
        <v>aws s3 cp s3://rtdc.mdm.uploadarchive.raw/RTDC4018/ "%USERPROFILE%\AppData\Local\Temp\OnboardLogs"\RTDC4018\2017-03-22 --exclude "*" --recursive --include "*20170322*" &amp; "%USERPROFILE%\Documents\GitHub\mrs-test-scripts\Headless Mode &amp; Sideloading\WalkAndUnGZ.bat" "%USERPROFILE%\AppData\Local\Temp\OnboardLogs"\RTDC4018\2017-03-22 &amp; aws s3 cp s3://rtdc.mdm.uploadarchive.raw/RTDC4018/ "%USERPROFILE%\AppData\Local\Temp\OnboardLogs"\RTDC4018\2017-03-23 --exclude "*" --recursive --include "*20170323*" &amp; "%USERPROFILE%\Documents\GitHub\mrs-test-scripts\Headless Mode &amp; Sideloading\WalkAndUnGZ.bat" "%USERPROFILE%\AppData\Local\Temp\OnboardLogs"\RTDC4018\2017-03-23</v>
      </c>
      <c r="AF54" s="82" t="str">
        <f t="shared" si="11"/>
        <v>"C:\Program Files (x86)\AstroGrep\AstroGrep.exe" /e /r /s /spath="%USERPROFILE%\AppData\Local\Temp\OnboardLogs" /stypes="app*4018*20170322*" /stext=" 15:.+((SYSTEM_STATE.+slice.+state.+changed )|(ment ac)|(multiple cpu faults)|(system.+state.+changed )|(\[timeout)|(PRM\|1\|D)|(kpr)|(kdp)|(\|lc)|(penalty))"</v>
      </c>
      <c r="AG54" s="1" t="str">
        <f t="shared" si="12"/>
        <v>EC</v>
      </c>
      <c r="AH54" s="86" t="str">
        <f t="shared" si="16"/>
        <v>"%USERPROFILE%\Documents\GitHub\eaglep3\Utilities\RefineRTDCRunTimes.py" --tripid 139-22 --locoid 4018 --swversion DE.1.0.9.0 --startMP 204:451 --initTime 2017-03-22T08:28:35 --startdatetime 2017-03-22T08:31:12 --delay 1 --endMP 204:233311 --enddatetime 2017-03-22T09:09:40 --enforcementcount 2 &gt;&gt;C:\Users\stu\Documents\GitHub\eaglep3-reporting\EC\2017-03-22-refined-times.txt</v>
      </c>
      <c r="AI54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{"issue":{"subject":"","project_id":79,"tracker_id":40,"status_id":1,"priority_id":2,"assigned_to_id":23,"start_date":"2017-03-22","description":"","custom_fields":[{"id":1,"name":"Subdivision","value":"EC"},{"id":4,"name":"Milepost","value":"23.3311"},{"id":17,"name":"Train ID","value":"139-22"},{"id":16,"name":"Locomotive ID","value":"4018"},{"id":130,"name":"Impact","value":""},{"id":150,"name":"Time of Event (Mountain Time)","value":"09:09:40"},{"id":151,"name":"Denver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18"/>
        <v>start /low /b %USERPROFILE%\Documents\GitHub\eaglep3\Utilities\DownloadLogsFromS3.py --loco 4018 --day 2017-03-22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"%USERPROFILE%\AppData\Local\Temp\OnboardLogs"\RTDC4018\*4018*20170322* | grep -SE "(Enforcement Action)|(\[TIMEOUT)|(CHR.+\|PRM\|1\|D.+(SWITCH|SIGNAL).+UNKNOWN)" - &gt;&gt; 2017-03-22-UncaughtWiMAX.txt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707</v>
      </c>
      <c r="B55" s="7">
        <v>4017</v>
      </c>
      <c r="C55" s="21" t="s">
        <v>219</v>
      </c>
      <c r="D55" s="21" t="s">
        <v>464</v>
      </c>
      <c r="E55" s="13">
        <v>42816.390659722223</v>
      </c>
      <c r="F55" s="13">
        <v>42816.393333333333</v>
      </c>
      <c r="G55" s="7">
        <v>0</v>
      </c>
      <c r="H55" s="21" t="s">
        <v>483</v>
      </c>
      <c r="I55" s="13">
        <v>42816.422962962963</v>
      </c>
      <c r="J55" s="7">
        <v>2</v>
      </c>
      <c r="K55" s="98" t="str">
        <f t="shared" si="0"/>
        <v>4017/4018</v>
      </c>
      <c r="L55" s="21" t="str">
        <f>VLOOKUP(A55,'Trips&amp;Operators'!$C$1:$G$99999,5,FALSE)</f>
        <v>SULLIVAN BRANDON</v>
      </c>
      <c r="M55" s="6">
        <f t="shared" si="1"/>
        <v>2.9629629629198462E-2</v>
      </c>
      <c r="N55" s="7">
        <f t="shared" si="24"/>
        <v>42.666666666045785</v>
      </c>
      <c r="O55" s="7"/>
      <c r="P55" s="7"/>
      <c r="Q55" s="22"/>
      <c r="R55" s="22"/>
      <c r="S55" s="31">
        <f t="shared" si="25"/>
        <v>1</v>
      </c>
      <c r="T55" s="46" t="str">
        <f t="shared" si="2"/>
        <v>Southbound</v>
      </c>
      <c r="U55" s="18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6" t="str">
        <f t="shared" si="3"/>
        <v>https://d0f6bd738d7f1b3e5a7ca70fe4ff75f0.us-east-1.aws.found.io/app/kibana#/discover/Steve-Slow-Train-Analysis-(2080s-and-2083s)?_g=(refreshInterval:(display:Off,pause:!f,section:0,value:0),time:(from:'2017-03-22T08:22:33-0600',mode:absolute,to:'2017-03-22T11:09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5" s="187" t="str">
        <f t="shared" si="4"/>
        <v>N</v>
      </c>
      <c r="X55" s="187">
        <f t="shared" si="23"/>
        <v>1</v>
      </c>
      <c r="Y55" s="62">
        <f t="shared" si="6"/>
        <v>23.299600000000002</v>
      </c>
      <c r="Z55" s="62">
        <f t="shared" si="7"/>
        <v>1.61E-2</v>
      </c>
      <c r="AA55" s="62">
        <f t="shared" si="8"/>
        <v>23.2835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9"/>
        <v>0140-22</v>
      </c>
      <c r="AE55" s="85" t="str">
        <f t="shared" si="10"/>
        <v>aws s3 cp s3://rtdc.mdm.uploadarchive.raw/RTDC4017/ "%USERPROFILE%\AppData\Local\Temp\OnboardLogs"\RTDC4017\2017-03-22 --exclude "*" --recursive --include "*20170322*" &amp; "%USERPROFILE%\Documents\GitHub\mrs-test-scripts\Headless Mode &amp; Sideloading\WalkAndUnGZ.bat" "%USERPROFILE%\AppData\Local\Temp\OnboardLogs"\RTDC4017\2017-03-22 &amp; aws s3 cp s3://rtdc.mdm.uploadarchive.raw/RTDC4017/ "%USERPROFILE%\AppData\Local\Temp\OnboardLogs"\RTDC4017\2017-03-23 --exclude "*" --recursive --include "*20170323*" &amp; "%USERPROFILE%\Documents\GitHub\mrs-test-scripts\Headless Mode &amp; Sideloading\WalkAndUnGZ.bat" "%USERPROFILE%\AppData\Local\Temp\OnboardLogs"\RTDC4017\2017-03-23</v>
      </c>
      <c r="AF55" s="82" t="str">
        <f t="shared" si="11"/>
        <v>"C:\Program Files (x86)\AstroGrep\AstroGrep.exe" /e /r /s /spath="%USERPROFILE%\AppData\Local\Temp\OnboardLogs" /stypes="app*4017*20170322*" /stext=" 16:.+((SYSTEM_STATE.+slice.+state.+changed )|(ment ac)|(multiple cpu faults)|(system.+state.+changed )|(\[timeout)|(PRM\|1\|D)|(kpr)|(kdp)|(\|lc)|(penalty))"</v>
      </c>
      <c r="AG55" s="1" t="str">
        <f t="shared" si="12"/>
        <v>EC</v>
      </c>
      <c r="AH55" s="86" t="str">
        <f t="shared" si="16"/>
        <v>"%USERPROFILE%\Documents\GitHub\eaglep3\Utilities\RefineRTDCRunTimes.py" --tripid 140-22 --locoid 4017 --swversion DE.1.0.9.0 --startMP 204:232996 --initTime 2017-03-22T09:22:33 --startdatetime 2017-03-22T09:26:24 --delay 0 --endMP 204:161 --enddatetime 2017-03-22T10:09:04 --enforcementcount 2 &gt;&gt;C:\Users\stu\Documents\GitHub\eaglep3-reporting\EC\2017-03-22-refined-times.txt</v>
      </c>
      <c r="AI55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{"issue":{"subject":"","project_id":79,"tracker_id":40,"status_id":1,"priority_id":2,"assigned_to_id":23,"start_date":"2017-03-22","description":"","custom_fields":[{"id":1,"name":"Subdivision","value":"EC"},{"id":4,"name":"Milepost","value":"0.0161"},{"id":17,"name":"Train ID","value":"140-22"},{"id":16,"name":"Locomotive ID","value":"4017"},{"id":130,"name":"Impact","value":""},{"id":150,"name":"Time of Event (Mountain Time)","value":"10:09:04"},{"id":151,"name":"Denver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18"/>
        <v>start /low /b %USERPROFILE%\Documents\GitHub\eaglep3\Utilities\DownloadLogsFromS3.py --loco 4017 --day 2017-03-22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"%USERPROFILE%\AppData\Local\Temp\OnboardLogs"\RTDC4017\*4017*20170322* | grep -SE "(Enforcement Action)|(\[TIMEOUT)|(CHR.+\|PRM\|1\|D.+(SWITCH|SIGNAL).+UNKNOWN)" - &gt;&gt; 2017-03-22-UncaughtWiMAX.txt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700</v>
      </c>
      <c r="B56" s="7">
        <v>4011</v>
      </c>
      <c r="C56" s="21" t="s">
        <v>219</v>
      </c>
      <c r="D56" s="21" t="s">
        <v>493</v>
      </c>
      <c r="E56" s="13">
        <v>42816.360648148147</v>
      </c>
      <c r="F56" s="13">
        <v>42816.364745370367</v>
      </c>
      <c r="G56" s="7">
        <v>1</v>
      </c>
      <c r="H56" s="21" t="s">
        <v>872</v>
      </c>
      <c r="I56" s="13">
        <v>42816.392025462963</v>
      </c>
      <c r="J56" s="7">
        <v>2</v>
      </c>
      <c r="K56" s="98" t="str">
        <f t="shared" si="0"/>
        <v>4011/4012</v>
      </c>
      <c r="L56" s="21" t="str">
        <f>VLOOKUP(A56,'Trips&amp;Operators'!$C$1:$G$99999,5,FALSE)</f>
        <v>YOUNG ELIZABETH</v>
      </c>
      <c r="M56" s="6">
        <f t="shared" si="1"/>
        <v>2.7280092595901806E-2</v>
      </c>
      <c r="N56" s="7">
        <f t="shared" si="24"/>
        <v>39.283333338098601</v>
      </c>
      <c r="O56" s="7"/>
      <c r="P56" s="7"/>
      <c r="Q56" s="22"/>
      <c r="R56" s="22"/>
      <c r="S56" s="31">
        <f t="shared" si="25"/>
        <v>1</v>
      </c>
      <c r="T56" s="46" t="str">
        <f t="shared" si="2"/>
        <v>NorthBound</v>
      </c>
      <c r="U56" s="18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6" t="str">
        <f t="shared" si="3"/>
        <v>https://d0f6bd738d7f1b3e5a7ca70fe4ff75f0.us-east-1.aws.found.io/app/kibana#/discover/Steve-Slow-Train-Analysis-(2080s-and-2083s)?_g=(refreshInterval:(display:Off,pause:!f,section:0,value:0),time:(from:'2017-03-22T07:39:20-0600',mode:absolute,to:'2017-03-22T10:24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6" s="187" t="str">
        <f t="shared" si="4"/>
        <v>N</v>
      </c>
      <c r="X56" s="187">
        <f t="shared" si="23"/>
        <v>1</v>
      </c>
      <c r="Y56" s="62">
        <f t="shared" si="6"/>
        <v>4.3700000000000003E-2</v>
      </c>
      <c r="Z56" s="62">
        <f t="shared" si="7"/>
        <v>23.333200000000001</v>
      </c>
      <c r="AA56" s="62">
        <f t="shared" si="8"/>
        <v>23.2895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9"/>
        <v>0141-22</v>
      </c>
      <c r="AE56" s="85" t="str">
        <f t="shared" si="10"/>
        <v>aws s3 cp s3://rtdc.mdm.uploadarchive.raw/RTDC4011/ "%USERPROFILE%\AppData\Local\Temp\OnboardLogs"\RTDC4011\2017-03-22 --exclude "*" --recursive --include "*20170322*" &amp; "%USERPROFILE%\Documents\GitHub\mrs-test-scripts\Headless Mode &amp; Sideloading\WalkAndUnGZ.bat" "%USERPROFILE%\AppData\Local\Temp\OnboardLogs"\RTDC4011\2017-03-22 &amp; aws s3 cp s3://rtdc.mdm.uploadarchive.raw/RTDC4011/ "%USERPROFILE%\AppData\Local\Temp\OnboardLogs"\RTDC4011\2017-03-23 --exclude "*" --recursive --include "*20170323*" &amp; "%USERPROFILE%\Documents\GitHub\mrs-test-scripts\Headless Mode &amp; Sideloading\WalkAndUnGZ.bat" "%USERPROFILE%\AppData\Local\Temp\OnboardLogs"\RTDC4011\2017-03-23</v>
      </c>
      <c r="AF56" s="82" t="str">
        <f t="shared" si="11"/>
        <v>"C:\Program Files (x86)\AstroGrep\AstroGrep.exe" /e /r /s /spath="%USERPROFILE%\AppData\Local\Temp\OnboardLogs" /stypes="app*4011*20170322*" /stext=" 15:.+((SYSTEM_STATE.+slice.+state.+changed )|(ment ac)|(multiple cpu faults)|(system.+state.+changed )|(\[timeout)|(PRM\|1\|D)|(kpr)|(kdp)|(\|lc)|(penalty))"</v>
      </c>
      <c r="AG56" s="1" t="str">
        <f t="shared" si="12"/>
        <v>EC</v>
      </c>
      <c r="AH56" s="86" t="str">
        <f t="shared" si="16"/>
        <v>"%USERPROFILE%\Documents\GitHub\eaglep3\Utilities\RefineRTDCRunTimes.py" --tripid 141-22 --locoid 4011 --swversion DE.1.0.9.0 --startMP 204:437 --initTime 2017-03-22T08:39:20 --startdatetime 2017-03-22T08:45:14 --delay 1 --endMP 204:233332 --enddatetime 2017-03-22T09:24:31 --enforcementcount 2 &gt;&gt;C:\Users\stu\Documents\GitHub\eaglep3-reporting\EC\2017-03-22-refined-times.txt</v>
      </c>
      <c r="AI56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{"issue":{"subject":"","project_id":79,"tracker_id":40,"status_id":1,"priority_id":2,"assigned_to_id":23,"start_date":"2017-03-22","description":"","custom_fields":[{"id":1,"name":"Subdivision","value":"EC"},{"id":4,"name":"Milepost","value":"23.3332"},{"id":17,"name":"Train ID","value":"141-22"},{"id":16,"name":"Locomotive ID","value":"4011"},{"id":130,"name":"Impact","value":""},{"id":150,"name":"Time of Event (Mountain Time)","value":"09:24:31"},{"id":151,"name":"Denver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18"/>
        <v>start /low /b %USERPROFILE%\Documents\GitHub\eaglep3\Utilities\DownloadLogsFromS3.py --loco 4011 --day 2017-03-22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"%USERPROFILE%\AppData\Local\Temp\OnboardLogs"\RTDC4011\*4011*20170322* | grep -SE "(Enforcement Action)|(\[TIMEOUT)|(CHR.+\|PRM\|1\|D.+(SWITCH|SIGNAL).+UNKNOWN)" - &gt;&gt; 2017-03-22-UncaughtWiMAX.txt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709</v>
      </c>
      <c r="B57" s="7">
        <v>4012</v>
      </c>
      <c r="C57" s="21" t="s">
        <v>219</v>
      </c>
      <c r="D57" s="21" t="s">
        <v>873</v>
      </c>
      <c r="E57" s="13">
        <v>42816.395358796297</v>
      </c>
      <c r="F57" s="13">
        <v>42816.403935185182</v>
      </c>
      <c r="G57" s="7">
        <v>1</v>
      </c>
      <c r="H57" s="21" t="s">
        <v>200</v>
      </c>
      <c r="I57" s="13">
        <v>42816.432303240741</v>
      </c>
      <c r="J57" s="7">
        <v>2</v>
      </c>
      <c r="K57" s="98" t="str">
        <f t="shared" si="0"/>
        <v>4011/4012</v>
      </c>
      <c r="L57" s="21" t="str">
        <f>VLOOKUP(A57,'Trips&amp;Operators'!$C$1:$G$99999,5,FALSE)</f>
        <v>YOUNG ELIZABETH</v>
      </c>
      <c r="M57" s="6">
        <f t="shared" si="1"/>
        <v>2.8368055558530614E-2</v>
      </c>
      <c r="N57" s="7">
        <f t="shared" si="24"/>
        <v>40.850000004284084</v>
      </c>
      <c r="O57" s="7"/>
      <c r="P57" s="7"/>
      <c r="Q57" s="22"/>
      <c r="R57" s="22"/>
      <c r="S57" s="31">
        <f t="shared" si="25"/>
        <v>1</v>
      </c>
      <c r="T57" s="46" t="str">
        <f t="shared" si="2"/>
        <v>Southbound</v>
      </c>
      <c r="U57" s="18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6" t="str">
        <f t="shared" si="3"/>
        <v>https://d0f6bd738d7f1b3e5a7ca70fe4ff75f0.us-east-1.aws.found.io/app/kibana#/discover/Steve-Slow-Train-Analysis-(2080s-and-2083s)?_g=(refreshInterval:(display:Off,pause:!f,section:0,value:0),time:(from:'2017-03-22T08:29:19-0600',mode:absolute,to:'2017-03-22T11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7" s="187" t="str">
        <f t="shared" si="4"/>
        <v>N</v>
      </c>
      <c r="X57" s="187">
        <f t="shared" si="23"/>
        <v>1</v>
      </c>
      <c r="Y57" s="62">
        <f t="shared" si="6"/>
        <v>23.301100000000002</v>
      </c>
      <c r="Z57" s="62">
        <f t="shared" si="7"/>
        <v>1.5800000000000002E-2</v>
      </c>
      <c r="AA57" s="62">
        <f t="shared" si="8"/>
        <v>23.285300000000003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9"/>
        <v>0142-22</v>
      </c>
      <c r="AE57" s="85" t="str">
        <f t="shared" si="10"/>
        <v>aws s3 cp s3://rtdc.mdm.uploadarchive.raw/RTDC4012/ "%USERPROFILE%\AppData\Local\Temp\OnboardLogs"\RTDC4012\2017-03-22 --exclude "*" --recursive --include "*20170322*" &amp; "%USERPROFILE%\Documents\GitHub\mrs-test-scripts\Headless Mode &amp; Sideloading\WalkAndUnGZ.bat" "%USERPROFILE%\AppData\Local\Temp\OnboardLogs"\RTDC4012\2017-03-22 &amp; aws s3 cp s3://rtdc.mdm.uploadarchive.raw/RTDC4012/ "%USERPROFILE%\AppData\Local\Temp\OnboardLogs"\RTDC4012\2017-03-23 --exclude "*" --recursive --include "*20170323*" &amp; "%USERPROFILE%\Documents\GitHub\mrs-test-scripts\Headless Mode &amp; Sideloading\WalkAndUnGZ.bat" "%USERPROFILE%\AppData\Local\Temp\OnboardLogs"\RTDC4012\2017-03-23</v>
      </c>
      <c r="AF57" s="82" t="str">
        <f t="shared" si="11"/>
        <v>"C:\Program Files (x86)\AstroGrep\AstroGrep.exe" /e /r /s /spath="%USERPROFILE%\AppData\Local\Temp\OnboardLogs" /stypes="app*4012*20170322*" /stext=" 16:.+((SYSTEM_STATE.+slice.+state.+changed )|(ment ac)|(multiple cpu faults)|(system.+state.+changed )|(\[timeout)|(PRM\|1\|D)|(kpr)|(kdp)|(\|lc)|(penalty))"</v>
      </c>
      <c r="AG57" s="1" t="str">
        <f t="shared" si="12"/>
        <v>EC</v>
      </c>
      <c r="AH57" s="86" t="str">
        <f t="shared" si="16"/>
        <v>"%USERPROFILE%\Documents\GitHub\eaglep3\Utilities\RefineRTDCRunTimes.py" --tripid 142-22 --locoid 4012 --swversion DE.1.0.9.0 --startMP 204:233011 --initTime 2017-03-22T09:29:19 --startdatetime 2017-03-22T09:41:40 --delay 1 --endMP 204:158 --enddatetime 2017-03-22T10:22:31 --enforcementcount 2 &gt;&gt;C:\Users\stu\Documents\GitHub\eaglep3-reporting\EC\2017-03-22-refined-times.txt</v>
      </c>
      <c r="AI57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{"issue":{"subject":"","project_id":79,"tracker_id":40,"status_id":1,"priority_id":2,"assigned_to_id":23,"start_date":"2017-03-22","description":"","custom_fields":[{"id":1,"name":"Subdivision","value":"EC"},{"id":4,"name":"Milepost","value":"0.0158"},{"id":17,"name":"Train ID","value":"142-22"},{"id":16,"name":"Locomotive ID","value":"4012"},{"id":130,"name":"Impact","value":""},{"id":150,"name":"Time of Event (Mountain Time)","value":"10:22:31"},{"id":151,"name":"Denver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18"/>
        <v>start /low /b %USERPROFILE%\Documents\GitHub\eaglep3\Utilities\DownloadLogsFromS3.py --loco 4012 --day 2017-03-22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"%USERPROFILE%\AppData\Local\Temp\OnboardLogs"\RTDC4012\*4012*20170322* | grep -SE "(Enforcement Action)|(\[TIMEOUT)|(CHR.+\|PRM\|1\|D.+(SWITCH|SIGNAL).+UNKNOWN)" - &gt;&gt; 2017-03-22-UncaughtWiMAX.txt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607</v>
      </c>
      <c r="B58" s="7">
        <v>4003</v>
      </c>
      <c r="C58" s="21" t="s">
        <v>219</v>
      </c>
      <c r="D58" s="21" t="s">
        <v>212</v>
      </c>
      <c r="E58" s="13">
        <v>42816.372303240743</v>
      </c>
      <c r="F58" s="13">
        <v>42816.375509259262</v>
      </c>
      <c r="G58" s="7">
        <v>1</v>
      </c>
      <c r="H58" s="21" t="s">
        <v>360</v>
      </c>
      <c r="I58" s="13">
        <v>42816.402187500003</v>
      </c>
      <c r="J58" s="7">
        <v>2</v>
      </c>
      <c r="K58" s="98" t="str">
        <f t="shared" si="0"/>
        <v>4003/4004</v>
      </c>
      <c r="L58" s="21" t="str">
        <f>VLOOKUP(A58,'Trips&amp;Operators'!$C$1:$G$99999,5,FALSE)</f>
        <v>STARKS ANGELINA</v>
      </c>
      <c r="M58" s="6">
        <f t="shared" si="1"/>
        <v>2.6678240741603076E-2</v>
      </c>
      <c r="N58" s="7">
        <f t="shared" si="24"/>
        <v>38.41666666790843</v>
      </c>
      <c r="O58" s="7"/>
      <c r="P58" s="7"/>
      <c r="Q58" s="22"/>
      <c r="R58" s="22"/>
      <c r="S58" s="31">
        <f t="shared" si="25"/>
        <v>1</v>
      </c>
      <c r="T58" s="46" t="str">
        <f t="shared" si="2"/>
        <v>NorthBound</v>
      </c>
      <c r="U58" s="18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6" t="str">
        <f t="shared" si="3"/>
        <v>https://d0f6bd738d7f1b3e5a7ca70fe4ff75f0.us-east-1.aws.found.io/app/kibana#/discover/Steve-Slow-Train-Analysis-(2080s-and-2083s)?_g=(refreshInterval:(display:Off,pause:!f,section:0,value:0),time:(from:'2017-03-22T07:56:07-0600',mode:absolute,to:'2017-03-22T10:39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8" s="187" t="str">
        <f t="shared" si="4"/>
        <v>N</v>
      </c>
      <c r="X58" s="187">
        <f t="shared" si="23"/>
        <v>1</v>
      </c>
      <c r="Y58" s="62">
        <f t="shared" si="6"/>
        <v>4.53E-2</v>
      </c>
      <c r="Z58" s="62">
        <f t="shared" si="7"/>
        <v>23.3307</v>
      </c>
      <c r="AA58" s="62">
        <f t="shared" si="8"/>
        <v>23.285399999999999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9"/>
        <v>0143-22</v>
      </c>
      <c r="AE58" s="85" t="str">
        <f t="shared" si="10"/>
        <v>aws s3 cp s3://rtdc.mdm.uploadarchive.raw/RTDC4003/ "%USERPROFILE%\AppData\Local\Temp\OnboardLogs"\RTDC4003\2017-03-22 --exclude "*" --recursive --include "*20170322*" &amp; "%USERPROFILE%\Documents\GitHub\mrs-test-scripts\Headless Mode &amp; Sideloading\WalkAndUnGZ.bat" "%USERPROFILE%\AppData\Local\Temp\OnboardLogs"\RTDC4003\2017-03-22 &amp; aws s3 cp s3://rtdc.mdm.uploadarchive.raw/RTDC4003/ "%USERPROFILE%\AppData\Local\Temp\OnboardLogs"\RTDC4003\2017-03-23 --exclude "*" --recursive --include "*20170323*" &amp; "%USERPROFILE%\Documents\GitHub\mrs-test-scripts\Headless Mode &amp; Sideloading\WalkAndUnGZ.bat" "%USERPROFILE%\AppData\Local\Temp\OnboardLogs"\RTDC4003\2017-03-23</v>
      </c>
      <c r="AF58" s="82" t="str">
        <f t="shared" si="11"/>
        <v>"C:\Program Files (x86)\AstroGrep\AstroGrep.exe" /e /r /s /spath="%USERPROFILE%\AppData\Local\Temp\OnboardLogs" /stypes="app*4003*20170322*" /stext=" 15:.+((SYSTEM_STATE.+slice.+state.+changed )|(ment ac)|(multiple cpu faults)|(system.+state.+changed )|(\[timeout)|(PRM\|1\|D)|(kpr)|(kdp)|(\|lc)|(penalty))"</v>
      </c>
      <c r="AG58" s="1" t="str">
        <f t="shared" si="12"/>
        <v>EC</v>
      </c>
      <c r="AH58" s="86" t="str">
        <f t="shared" si="16"/>
        <v>"%USERPROFILE%\Documents\GitHub\eaglep3\Utilities\RefineRTDCRunTimes.py" --tripid 143-22 --locoid 4003 --swversion DE.1.0.9.0 --startMP 204:453 --initTime 2017-03-22T08:56:07 --startdatetime 2017-03-22T09:00:44 --delay 1 --endMP 204:233307 --enddatetime 2017-03-22T09:39:09 --enforcementcount 2 &gt;&gt;C:\Users\stu\Documents\GitHub\eaglep3-reporting\EC\2017-03-22-refined-times.txt</v>
      </c>
      <c r="AI58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{"issue":{"subject":"","project_id":79,"tracker_id":40,"status_id":1,"priority_id":2,"assigned_to_id":23,"start_date":"2017-03-22","description":"","custom_fields":[{"id":1,"name":"Subdivision","value":"EC"},{"id":4,"name":"Milepost","value":"23.3307"},{"id":17,"name":"Train ID","value":"143-22"},{"id":16,"name":"Locomotive ID","value":"4003"},{"id":130,"name":"Impact","value":""},{"id":150,"name":"Time of Event (Mountain Time)","value":"09:39:09"},{"id":151,"name":"Denver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18"/>
        <v>start /low /b %USERPROFILE%\Documents\GitHub\eaglep3\Utilities\DownloadLogsFromS3.py --loco 4003 --day 2017-03-22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"%USERPROFILE%\AppData\Local\Temp\OnboardLogs"\RTDC4003\*4003*20170322* | grep -SE "(Enforcement Action)|(\[TIMEOUT)|(CHR.+\|PRM\|1\|D.+(SWITCH|SIGNAL).+UNKNOWN)" - &gt;&gt; 2017-03-22-UncaughtWiMAX.txt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612</v>
      </c>
      <c r="B59" s="7">
        <v>4004</v>
      </c>
      <c r="C59" s="21" t="s">
        <v>219</v>
      </c>
      <c r="D59" s="21" t="s">
        <v>460</v>
      </c>
      <c r="E59" s="13">
        <v>42816.41238425926</v>
      </c>
      <c r="F59" s="13">
        <v>42816.414340277777</v>
      </c>
      <c r="G59" s="7">
        <v>1</v>
      </c>
      <c r="H59" s="21" t="s">
        <v>874</v>
      </c>
      <c r="I59" s="13">
        <v>42816.44327546296</v>
      </c>
      <c r="J59" s="7">
        <v>2</v>
      </c>
      <c r="K59" s="98" t="str">
        <f t="shared" si="0"/>
        <v>4003/4004</v>
      </c>
      <c r="L59" s="21" t="str">
        <f>VLOOKUP(A59,'Trips&amp;Operators'!$C$1:$G$99999,5,FALSE)</f>
        <v>STARKS ANGELINA</v>
      </c>
      <c r="M59" s="6">
        <f t="shared" si="1"/>
        <v>2.8935185182490386E-2</v>
      </c>
      <c r="N59" s="7">
        <f t="shared" si="24"/>
        <v>41.666666662786156</v>
      </c>
      <c r="O59" s="7"/>
      <c r="P59" s="7"/>
      <c r="Q59" s="22"/>
      <c r="R59" s="22"/>
      <c r="S59" s="31">
        <f t="shared" si="25"/>
        <v>1</v>
      </c>
      <c r="T59" s="46" t="str">
        <f t="shared" si="2"/>
        <v>Southbound</v>
      </c>
      <c r="U59" s="18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6" t="str">
        <f t="shared" si="3"/>
        <v>https://d0f6bd738d7f1b3e5a7ca70fe4ff75f0.us-east-1.aws.found.io/app/kibana#/discover/Steve-Slow-Train-Analysis-(2080s-and-2083s)?_g=(refreshInterval:(display:Off,pause:!f,section:0,value:0),time:(from:'2017-03-22T08:53:50-0600',mode:absolute,to:'2017-03-22T11:38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9" s="187" t="str">
        <f t="shared" si="4"/>
        <v>N</v>
      </c>
      <c r="X59" s="187">
        <f t="shared" si="23"/>
        <v>1</v>
      </c>
      <c r="Y59" s="62">
        <f t="shared" si="6"/>
        <v>23.2973</v>
      </c>
      <c r="Z59" s="62">
        <f t="shared" si="7"/>
        <v>2.12E-2</v>
      </c>
      <c r="AA59" s="62">
        <f t="shared" si="8"/>
        <v>23.2761</v>
      </c>
      <c r="AB59" s="59" t="str">
        <f>VLOOKUP(A59,Enforcements!$C$7:$K$13,8,0)</f>
        <v>Bulletin (2)</v>
      </c>
      <c r="AC59" s="55" t="str">
        <f>VLOOKUP(A59,Enforcements!$C$7:$E$13,3,0)</f>
        <v>GRADE CROSSING</v>
      </c>
      <c r="AD59" s="56" t="str">
        <f t="shared" si="9"/>
        <v>0144-22</v>
      </c>
      <c r="AE59" s="85" t="str">
        <f t="shared" si="10"/>
        <v>aws s3 cp s3://rtdc.mdm.uploadarchive.raw/RTDC4004/ "%USERPROFILE%\AppData\Local\Temp\OnboardLogs"\RTDC4004\2017-03-22 --exclude "*" --recursive --include "*20170322*" &amp; "%USERPROFILE%\Documents\GitHub\mrs-test-scripts\Headless Mode &amp; Sideloading\WalkAndUnGZ.bat" "%USERPROFILE%\AppData\Local\Temp\OnboardLogs"\RTDC4004\2017-03-22 &amp; aws s3 cp s3://rtdc.mdm.uploadarchive.raw/RTDC4004/ "%USERPROFILE%\AppData\Local\Temp\OnboardLogs"\RTDC4004\2017-03-23 --exclude "*" --recursive --include "*20170323*" &amp; "%USERPROFILE%\Documents\GitHub\mrs-test-scripts\Headless Mode &amp; Sideloading\WalkAndUnGZ.bat" "%USERPROFILE%\AppData\Local\Temp\OnboardLogs"\RTDC4004\2017-03-23</v>
      </c>
      <c r="AF59" s="82" t="str">
        <f t="shared" si="11"/>
        <v>"C:\Program Files (x86)\AstroGrep\AstroGrep.exe" /e /r /s /spath="%USERPROFILE%\AppData\Local\Temp\OnboardLogs" /stypes="app*4004*20170322*" /stext=" 16:.+((SYSTEM_STATE.+slice.+state.+changed )|(ment ac)|(multiple cpu faults)|(system.+state.+changed )|(\[timeout)|(PRM\|1\|D)|(kpr)|(kdp)|(\|lc)|(penalty))"</v>
      </c>
      <c r="AG59" s="1" t="str">
        <f t="shared" si="12"/>
        <v>EC</v>
      </c>
      <c r="AH59" s="86" t="str">
        <f t="shared" si="16"/>
        <v>"%USERPROFILE%\Documents\GitHub\eaglep3\Utilities\RefineRTDCRunTimes.py" --tripid 144-22 --locoid 4004 --swversion DE.1.0.9.0 --startMP 204:232973 --initTime 2017-03-22T09:53:50 --startdatetime 2017-03-22T09:56:39 --delay 1 --endMP 204:212 --enddatetime 2017-03-22T10:38:19 --enforcementcount 2 &gt;&gt;C:\Users\stu\Documents\GitHub\eaglep3-reporting\EC\2017-03-22-refined-times.txt</v>
      </c>
      <c r="AI59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{"issue":{"subject":"","project_id":79,"tracker_id":40,"status_id":1,"priority_id":2,"assigned_to_id":23,"start_date":"2017-03-22","description":"","custom_fields":[{"id":1,"name":"Subdivision","value":"EC"},{"id":4,"name":"Milepost","value":"0.0212"},{"id":17,"name":"Train ID","value":"144-22"},{"id":16,"name":"Locomotive ID","value":"4004"},{"id":130,"name":"Impact","value":""},{"id":150,"name":"Time of Event (Mountain Time)","value":"10:38:19"},{"id":151,"name":"Denver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18"/>
        <v>start /low /b %USERPROFILE%\Documents\GitHub\eaglep3\Utilities\DownloadLogsFromS3.py --loco 4004 --day 2017-03-22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"%USERPROFILE%\AppData\Local\Temp\OnboardLogs"\RTDC4004\*4004*20170322* | grep -SE "(Enforcement Action)|(\[TIMEOUT)|(CHR.+\|PRM\|1\|D.+(SWITCH|SIGNAL).+UNKNOWN)" - &gt;&gt; 2017-03-22-UncaughtWiMAX.txt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705</v>
      </c>
      <c r="B60" s="7">
        <v>4027</v>
      </c>
      <c r="C60" s="21" t="s">
        <v>219</v>
      </c>
      <c r="D60" s="21" t="s">
        <v>392</v>
      </c>
      <c r="E60" s="13">
        <v>42816.380833333336</v>
      </c>
      <c r="F60" s="13">
        <v>42816.385844907411</v>
      </c>
      <c r="G60" s="7">
        <v>1</v>
      </c>
      <c r="H60" s="21" t="s">
        <v>558</v>
      </c>
      <c r="I60" s="13">
        <v>42816.41064814815</v>
      </c>
      <c r="J60" s="7">
        <v>2</v>
      </c>
      <c r="K60" s="98" t="str">
        <f t="shared" si="0"/>
        <v>4027/4028</v>
      </c>
      <c r="L60" s="21" t="str">
        <f>VLOOKUP(A60,'Trips&amp;Operators'!$C$1:$G$99999,5,FALSE)</f>
        <v>MAELZER KURT</v>
      </c>
      <c r="M60" s="6">
        <f t="shared" si="1"/>
        <v>2.4803240739856847E-2</v>
      </c>
      <c r="N60" s="7">
        <f t="shared" si="24"/>
        <v>35.716666665393859</v>
      </c>
      <c r="O60" s="7"/>
      <c r="P60" s="7"/>
      <c r="Q60" s="22"/>
      <c r="R60" s="22"/>
      <c r="S60" s="31">
        <f t="shared" si="25"/>
        <v>1</v>
      </c>
      <c r="T60" s="46" t="str">
        <f t="shared" si="2"/>
        <v>NorthBound</v>
      </c>
      <c r="U60" s="18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6" t="str">
        <f t="shared" si="3"/>
        <v>https://d0f6bd738d7f1b3e5a7ca70fe4ff75f0.us-east-1.aws.found.io/app/kibana#/discover/Steve-Slow-Train-Analysis-(2080s-and-2083s)?_g=(refreshInterval:(display:Off,pause:!f,section:0,value:0),time:(from:'2017-03-22T08:08:24-0600',mode:absolute,to:'2017-03-22T10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0" s="187" t="str">
        <f t="shared" si="4"/>
        <v>N</v>
      </c>
      <c r="X60" s="187">
        <f t="shared" si="23"/>
        <v>1</v>
      </c>
      <c r="Y60" s="62">
        <f t="shared" si="6"/>
        <v>4.7100000000000003E-2</v>
      </c>
      <c r="Z60" s="62">
        <f t="shared" si="7"/>
        <v>23.331499999999998</v>
      </c>
      <c r="AA60" s="62">
        <f t="shared" si="8"/>
        <v>23.284399999999998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9"/>
        <v>0145-22</v>
      </c>
      <c r="AE60" s="85" t="str">
        <f t="shared" si="10"/>
        <v>aws s3 cp s3://rtdc.mdm.uploadarchive.raw/RTDC4027/ "%USERPROFILE%\AppData\Local\Temp\OnboardLogs"\RTDC4027\2017-03-22 --exclude "*" --recursive --include "*20170322*" &amp; "%USERPROFILE%\Documents\GitHub\mrs-test-scripts\Headless Mode &amp; Sideloading\WalkAndUnGZ.bat" "%USERPROFILE%\AppData\Local\Temp\OnboardLogs"\RTDC4027\2017-03-22 &amp; aws s3 cp s3://rtdc.mdm.uploadarchive.raw/RTDC4027/ "%USERPROFILE%\AppData\Local\Temp\OnboardLogs"\RTDC4027\2017-03-23 --exclude "*" --recursive --include "*20170323*" &amp; "%USERPROFILE%\Documents\GitHub\mrs-test-scripts\Headless Mode &amp; Sideloading\WalkAndUnGZ.bat" "%USERPROFILE%\AppData\Local\Temp\OnboardLogs"\RTDC4027\2017-03-23</v>
      </c>
      <c r="AF60" s="82" t="str">
        <f t="shared" si="11"/>
        <v>"C:\Program Files (x86)\AstroGrep\AstroGrep.exe" /e /r /s /spath="%USERPROFILE%\AppData\Local\Temp\OnboardLogs" /stypes="app*4027*20170322*" /stext=" 15:.+((SYSTEM_STATE.+slice.+state.+changed )|(ment ac)|(multiple cpu faults)|(system.+state.+changed )|(\[timeout)|(PRM\|1\|D)|(kpr)|(kdp)|(\|lc)|(penalty))"</v>
      </c>
      <c r="AG60" s="1" t="str">
        <f t="shared" si="12"/>
        <v>EC</v>
      </c>
      <c r="AH60" s="86" t="str">
        <f t="shared" si="16"/>
        <v>"%USERPROFILE%\Documents\GitHub\eaglep3\Utilities\RefineRTDCRunTimes.py" --tripid 145-22 --locoid 4027 --swversion DE.1.0.9.0 --startMP 204:471 --initTime 2017-03-22T09:08:24 --startdatetime 2017-03-22T09:15:37 --delay 1 --endMP 204:233315 --enddatetime 2017-03-22T09:51:20 --enforcementcount 2 &gt;&gt;C:\Users\stu\Documents\GitHub\eaglep3-reporting\EC\2017-03-22-refined-times.txt</v>
      </c>
      <c r="AI60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{"issue":{"subject":"","project_id":79,"tracker_id":40,"status_id":1,"priority_id":2,"assigned_to_id":23,"start_date":"2017-03-22","description":"","custom_fields":[{"id":1,"name":"Subdivision","value":"EC"},{"id":4,"name":"Milepost","value":"23.3315"},{"id":17,"name":"Train ID","value":"145-22"},{"id":16,"name":"Locomotive ID","value":"4027"},{"id":130,"name":"Impact","value":""},{"id":150,"name":"Time of Event (Mountain Time)","value":"09:51:20"},{"id":151,"name":"Denver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18"/>
        <v>start /low /b %USERPROFILE%\Documents\GitHub\eaglep3\Utilities\DownloadLogsFromS3.py --loco 4027 --day 2017-03-22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"%USERPROFILE%\AppData\Local\Temp\OnboardLogs"\RTDC4027\*4027*20170322* | grep -SE "(Enforcement Action)|(\[TIMEOUT)|(CHR.+\|PRM\|1\|D.+(SWITCH|SIGNAL).+UNKNOWN)" - &gt;&gt; 2017-03-22-UncaughtWiMAX.txt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713</v>
      </c>
      <c r="B61" s="7">
        <v>4028</v>
      </c>
      <c r="C61" s="21" t="s">
        <v>219</v>
      </c>
      <c r="D61" s="21" t="s">
        <v>875</v>
      </c>
      <c r="E61" s="13">
        <v>42816.41746527778</v>
      </c>
      <c r="F61" s="13">
        <v>42816.424791666665</v>
      </c>
      <c r="G61" s="7">
        <v>0</v>
      </c>
      <c r="H61" s="21" t="s">
        <v>199</v>
      </c>
      <c r="I61" s="13">
        <v>42816.451724537037</v>
      </c>
      <c r="J61" s="7">
        <v>2</v>
      </c>
      <c r="K61" s="98" t="str">
        <f t="shared" si="0"/>
        <v>4027/4028</v>
      </c>
      <c r="L61" s="21" t="str">
        <f>VLOOKUP(A61,'Trips&amp;Operators'!$C$1:$G$99999,5,FALSE)</f>
        <v>MAELZER KURT</v>
      </c>
      <c r="M61" s="6">
        <f t="shared" si="1"/>
        <v>2.6932870372547768E-2</v>
      </c>
      <c r="N61" s="7">
        <f t="shared" si="24"/>
        <v>38.783333336468786</v>
      </c>
      <c r="O61" s="7"/>
      <c r="P61" s="7"/>
      <c r="Q61" s="22"/>
      <c r="R61" s="22"/>
      <c r="S61" s="31">
        <f t="shared" si="25"/>
        <v>1</v>
      </c>
      <c r="T61" s="46" t="str">
        <f t="shared" si="2"/>
        <v>Southbound</v>
      </c>
      <c r="U61" s="18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6" t="str">
        <f t="shared" si="3"/>
        <v>https://d0f6bd738d7f1b3e5a7ca70fe4ff75f0.us-east-1.aws.found.io/app/kibana#/discover/Steve-Slow-Train-Analysis-(2080s-and-2083s)?_g=(refreshInterval:(display:Off,pause:!f,section:0,value:0),time:(from:'2017-03-22T09:01:09-0600',mode:absolute,to:'2017-03-22T11:50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1" s="187" t="str">
        <f t="shared" si="4"/>
        <v>N</v>
      </c>
      <c r="X61" s="187">
        <f t="shared" si="23"/>
        <v>1</v>
      </c>
      <c r="Y61" s="62">
        <f t="shared" si="6"/>
        <v>23.301300000000001</v>
      </c>
      <c r="Z61" s="62">
        <f t="shared" si="7"/>
        <v>1.52E-2</v>
      </c>
      <c r="AA61" s="62">
        <f t="shared" si="8"/>
        <v>23.286100000000001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9"/>
        <v>0146-22</v>
      </c>
      <c r="AE61" s="85" t="str">
        <f t="shared" si="10"/>
        <v>aws s3 cp s3://rtdc.mdm.uploadarchive.raw/RTDC4028/ "%USERPROFILE%\AppData\Local\Temp\OnboardLogs"\RTDC4028\2017-03-22 --exclude "*" --recursive --include "*20170322*" &amp; "%USERPROFILE%\Documents\GitHub\mrs-test-scripts\Headless Mode &amp; Sideloading\WalkAndUnGZ.bat" "%USERPROFILE%\AppData\Local\Temp\OnboardLogs"\RTDC4028\2017-03-22 &amp; aws s3 cp s3://rtdc.mdm.uploadarchive.raw/RTDC4028/ "%USERPROFILE%\AppData\Local\Temp\OnboardLogs"\RTDC4028\2017-03-23 --exclude "*" --recursive --include "*20170323*" &amp; "%USERPROFILE%\Documents\GitHub\mrs-test-scripts\Headless Mode &amp; Sideloading\WalkAndUnGZ.bat" "%USERPROFILE%\AppData\Local\Temp\OnboardLogs"\RTDC4028\2017-03-23</v>
      </c>
      <c r="AF61" s="82" t="str">
        <f t="shared" si="11"/>
        <v>"C:\Program Files (x86)\AstroGrep\AstroGrep.exe" /e /r /s /spath="%USERPROFILE%\AppData\Local\Temp\OnboardLogs" /stypes="app*4028*20170322*" /stext=" 16:.+((SYSTEM_STATE.+slice.+state.+changed )|(ment ac)|(multiple cpu faults)|(system.+state.+changed )|(\[timeout)|(PRM\|1\|D)|(kpr)|(kdp)|(\|lc)|(penalty))"</v>
      </c>
      <c r="AG61" s="1" t="str">
        <f t="shared" si="12"/>
        <v>EC</v>
      </c>
      <c r="AH61" s="86" t="str">
        <f t="shared" si="16"/>
        <v>"%USERPROFILE%\Documents\GitHub\eaglep3\Utilities\RefineRTDCRunTimes.py" --tripid 146-22 --locoid 4028 --swversion DE.1.0.9.0 --startMP 204:233013 --initTime 2017-03-22T10:01:09 --startdatetime 2017-03-22T10:11:42 --delay 0 --endMP 204:152 --enddatetime 2017-03-22T10:50:29 --enforcementcount 2 &gt;&gt;C:\Users\stu\Documents\GitHub\eaglep3-reporting\EC\2017-03-22-refined-times.txt</v>
      </c>
      <c r="AI61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{"issue":{"subject":"","project_id":79,"tracker_id":40,"status_id":1,"priority_id":2,"assigned_to_id":23,"start_date":"2017-03-22","description":"","custom_fields":[{"id":1,"name":"Subdivision","value":"EC"},{"id":4,"name":"Milepost","value":"0.0152"},{"id":17,"name":"Train ID","value":"146-22"},{"id":16,"name":"Locomotive ID","value":"4028"},{"id":130,"name":"Impact","value":""},{"id":150,"name":"Time of Event (Mountain Time)","value":"10:50:29"},{"id":151,"name":"Denver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18"/>
        <v>start /low /b %USERPROFILE%\Documents\GitHub\eaglep3\Utilities\DownloadLogsFromS3.py --loco 4028 --day 2017-03-22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"%USERPROFILE%\AppData\Local\Temp\OnboardLogs"\RTDC4028\*4028*20170322* | grep -SE "(Enforcement Action)|(\[TIMEOUT)|(CHR.+\|PRM\|1\|D.+(SWITCH|SIGNAL).+UNKNOWN)" - &gt;&gt; 2017-03-22-UncaughtWiMAX.txt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708</v>
      </c>
      <c r="B62" s="7">
        <v>4040</v>
      </c>
      <c r="C62" s="21" t="s">
        <v>219</v>
      </c>
      <c r="D62" s="21" t="s">
        <v>209</v>
      </c>
      <c r="E62" s="13">
        <v>42816.39230324074</v>
      </c>
      <c r="F62" s="13">
        <v>42816.396018518521</v>
      </c>
      <c r="G62" s="7">
        <v>1</v>
      </c>
      <c r="H62" s="21" t="s">
        <v>360</v>
      </c>
      <c r="I62" s="13">
        <v>42816.420393518521</v>
      </c>
      <c r="J62" s="7">
        <v>2</v>
      </c>
      <c r="K62" s="98" t="str">
        <f t="shared" si="0"/>
        <v>4039/4040</v>
      </c>
      <c r="L62" s="21" t="str">
        <f>VLOOKUP(A62,'Trips&amp;Operators'!$C$1:$G$99999,5,FALSE)</f>
        <v>GEBRETEKLE DAGNEW</v>
      </c>
      <c r="M62" s="6">
        <f t="shared" si="1"/>
        <v>2.4375000000873115E-2</v>
      </c>
      <c r="N62" s="7">
        <f t="shared" si="24"/>
        <v>35.100000001257285</v>
      </c>
      <c r="O62" s="7"/>
      <c r="P62" s="7"/>
      <c r="Q62" s="22"/>
      <c r="R62" s="22"/>
      <c r="S62" s="31">
        <f t="shared" si="25"/>
        <v>1</v>
      </c>
      <c r="T62" s="46" t="str">
        <f t="shared" si="2"/>
        <v>NorthBound</v>
      </c>
      <c r="U62" s="18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6" t="str">
        <f t="shared" si="3"/>
        <v>https://d0f6bd738d7f1b3e5a7ca70fe4ff75f0.us-east-1.aws.found.io/app/kibana#/discover/Steve-Slow-Train-Analysis-(2080s-and-2083s)?_g=(refreshInterval:(display:Off,pause:!f,section:0,value:0),time:(from:'2017-03-22T08:24:55-0600',mode:absolute,to:'2017-03-22T11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2" s="187" t="str">
        <f t="shared" si="4"/>
        <v>N</v>
      </c>
      <c r="X62" s="187">
        <f t="shared" si="23"/>
        <v>1</v>
      </c>
      <c r="Y62" s="62">
        <f t="shared" si="6"/>
        <v>4.5999999999999999E-2</v>
      </c>
      <c r="Z62" s="62">
        <f t="shared" si="7"/>
        <v>23.3307</v>
      </c>
      <c r="AA62" s="62">
        <f t="shared" si="8"/>
        <v>23.284700000000001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9"/>
        <v>0147-22</v>
      </c>
      <c r="AE62" s="85" t="str">
        <f t="shared" si="10"/>
        <v>aws s3 cp s3://rtdc.mdm.uploadarchive.raw/RTDC4040/ "%USERPROFILE%\AppData\Local\Temp\OnboardLogs"\RTDC4040\2017-03-22 --exclude "*" --recursive --include "*20170322*" &amp; "%USERPROFILE%\Documents\GitHub\mrs-test-scripts\Headless Mode &amp; Sideloading\WalkAndUnGZ.bat" "%USERPROFILE%\AppData\Local\Temp\OnboardLogs"\RTDC4040\2017-03-22 &amp; aws s3 cp s3://rtdc.mdm.uploadarchive.raw/RTDC4040/ "%USERPROFILE%\AppData\Local\Temp\OnboardLogs"\RTDC4040\2017-03-23 --exclude "*" --recursive --include "*20170323*" &amp; "%USERPROFILE%\Documents\GitHub\mrs-test-scripts\Headless Mode &amp; Sideloading\WalkAndUnGZ.bat" "%USERPROFILE%\AppData\Local\Temp\OnboardLogs"\RTDC4040\2017-03-23</v>
      </c>
      <c r="AF62" s="82" t="str">
        <f t="shared" si="11"/>
        <v>"C:\Program Files (x86)\AstroGrep\AstroGrep.exe" /e /r /s /spath="%USERPROFILE%\AppData\Local\Temp\OnboardLogs" /stypes="app*4040*20170322*" /stext=" 16:.+((SYSTEM_STATE.+slice.+state.+changed )|(ment ac)|(multiple cpu faults)|(system.+state.+changed )|(\[timeout)|(PRM\|1\|D)|(kpr)|(kdp)|(\|lc)|(penalty))"</v>
      </c>
      <c r="AG62" s="1" t="str">
        <f t="shared" si="12"/>
        <v>EC</v>
      </c>
      <c r="AH62" s="86" t="str">
        <f t="shared" si="16"/>
        <v>"%USERPROFILE%\Documents\GitHub\eaglep3\Utilities\RefineRTDCRunTimes.py" --tripid 147-22 --locoid 4040 --swversion DE.1.0.9.0 --startMP 204:460 --initTime 2017-03-22T09:24:55 --startdatetime 2017-03-22T09:30:16 --delay 1 --endMP 204:233307 --enddatetime 2017-03-22T10:05:22 --enforcementcount 2 &gt;&gt;C:\Users\stu\Documents\GitHub\eaglep3-reporting\EC\2017-03-22-refined-times.txt</v>
      </c>
      <c r="AI62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{"issue":{"subject":"","project_id":79,"tracker_id":40,"status_id":1,"priority_id":2,"assigned_to_id":23,"start_date":"2017-03-22","description":"","custom_fields":[{"id":1,"name":"Subdivision","value":"EC"},{"id":4,"name":"Milepost","value":"23.3307"},{"id":17,"name":"Train ID","value":"147-22"},{"id":16,"name":"Locomotive ID","value":"4040"},{"id":130,"name":"Impact","value":""},{"id":150,"name":"Time of Event (Mountain Time)","value":"10:05:22"},{"id":151,"name":"Denver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18"/>
        <v>start /low /b %USERPROFILE%\Documents\GitHub\eaglep3\Utilities\DownloadLogsFromS3.py --loco 4040 --day 2017-03-22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"%USERPROFILE%\AppData\Local\Temp\OnboardLogs"\RTDC4040\*4040*20170322* | grep -SE "(Enforcement Action)|(\[TIMEOUT)|(CHR.+\|PRM\|1\|D.+(SWITCH|SIGNAL).+UNKNOWN)" - &gt;&gt; 2017-03-22-UncaughtWiMAX.txt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715</v>
      </c>
      <c r="B63" s="7">
        <v>4039</v>
      </c>
      <c r="C63" s="21" t="s">
        <v>219</v>
      </c>
      <c r="D63" s="21" t="s">
        <v>520</v>
      </c>
      <c r="E63" s="13">
        <v>42816.428969907407</v>
      </c>
      <c r="F63" s="13">
        <v>42816.434884259259</v>
      </c>
      <c r="G63" s="7">
        <v>1</v>
      </c>
      <c r="H63" s="21" t="s">
        <v>573</v>
      </c>
      <c r="I63" s="13">
        <v>42816.461423611108</v>
      </c>
      <c r="J63" s="7">
        <v>2</v>
      </c>
      <c r="K63" s="98" t="str">
        <f t="shared" si="0"/>
        <v>4039/4040</v>
      </c>
      <c r="L63" s="21" t="str">
        <f>VLOOKUP(A63,'Trips&amp;Operators'!$C$1:$G$99999,5,FALSE)</f>
        <v>GEBRETEKLE DAGNEW</v>
      </c>
      <c r="M63" s="6">
        <f t="shared" si="1"/>
        <v>2.6539351849351078E-2</v>
      </c>
      <c r="N63" s="7">
        <f t="shared" si="24"/>
        <v>38.216666663065553</v>
      </c>
      <c r="O63" s="7"/>
      <c r="P63" s="7"/>
      <c r="Q63" s="22"/>
      <c r="R63" s="22"/>
      <c r="S63" s="31">
        <f t="shared" si="25"/>
        <v>1</v>
      </c>
      <c r="T63" s="46" t="str">
        <f t="shared" si="2"/>
        <v>Southbound</v>
      </c>
      <c r="U63" s="18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6" t="str">
        <f t="shared" si="3"/>
        <v>https://d0f6bd738d7f1b3e5a7ca70fe4ff75f0.us-east-1.aws.found.io/app/kibana#/discover/Steve-Slow-Train-Analysis-(2080s-and-2083s)?_g=(refreshInterval:(display:Off,pause:!f,section:0,value:0),time:(from:'2017-03-22T09:17:43-0600',mode:absolute,to:'2017-03-22T12:04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3" s="187" t="str">
        <f t="shared" si="4"/>
        <v>N</v>
      </c>
      <c r="X63" s="187">
        <f t="shared" si="23"/>
        <v>1</v>
      </c>
      <c r="Y63" s="62">
        <f t="shared" si="6"/>
        <v>23.299399999999999</v>
      </c>
      <c r="Z63" s="62">
        <f t="shared" si="7"/>
        <v>1.2999999999999999E-2</v>
      </c>
      <c r="AA63" s="62">
        <f t="shared" si="8"/>
        <v>23.286399999999997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9"/>
        <v>0148-22</v>
      </c>
      <c r="AE63" s="85" t="str">
        <f t="shared" si="10"/>
        <v>aws s3 cp s3://rtdc.mdm.uploadarchive.raw/RTDC4039/ "%USERPROFILE%\AppData\Local\Temp\OnboardLogs"\RTDC4039\2017-03-22 --exclude "*" --recursive --include "*20170322*" &amp; "%USERPROFILE%\Documents\GitHub\mrs-test-scripts\Headless Mode &amp; Sideloading\WalkAndUnGZ.bat" "%USERPROFILE%\AppData\Local\Temp\OnboardLogs"\RTDC4039\2017-03-22 &amp; aws s3 cp s3://rtdc.mdm.uploadarchive.raw/RTDC4039/ "%USERPROFILE%\AppData\Local\Temp\OnboardLogs"\RTDC4039\2017-03-23 --exclude "*" --recursive --include "*20170323*" &amp; "%USERPROFILE%\Documents\GitHub\mrs-test-scripts\Headless Mode &amp; Sideloading\WalkAndUnGZ.bat" "%USERPROFILE%\AppData\Local\Temp\OnboardLogs"\RTDC4039\2017-03-23</v>
      </c>
      <c r="AF63" s="82" t="str">
        <f t="shared" si="11"/>
        <v>"C:\Program Files (x86)\AstroGrep\AstroGrep.exe" /e /r /s /spath="%USERPROFILE%\AppData\Local\Temp\OnboardLogs" /stypes="app*4039*20170322*" /stext=" 17:.+((SYSTEM_STATE.+slice.+state.+changed )|(ment ac)|(multiple cpu faults)|(system.+state.+changed )|(\[timeout)|(PRM\|1\|D)|(kpr)|(kdp)|(\|lc)|(penalty))"</v>
      </c>
      <c r="AG63" s="1" t="str">
        <f t="shared" si="12"/>
        <v>EC</v>
      </c>
      <c r="AH63" s="86" t="str">
        <f t="shared" si="16"/>
        <v>"%USERPROFILE%\Documents\GitHub\eaglep3\Utilities\RefineRTDCRunTimes.py" --tripid 148-22 --locoid 4039 --swversion DE.1.0.9.0 --startMP 204:232994 --initTime 2017-03-22T10:17:43 --startdatetime 2017-03-22T10:26:14 --delay 1 --endMP 204:130 --enddatetime 2017-03-22T11:04:27 --enforcementcount 2 &gt;&gt;C:\Users\stu\Documents\GitHub\eaglep3-reporting\EC\2017-03-22-refined-times.txt</v>
      </c>
      <c r="AI63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{"issue":{"subject":"","project_id":79,"tracker_id":40,"status_id":1,"priority_id":2,"assigned_to_id":23,"start_date":"2017-03-22","description":"","custom_fields":[{"id":1,"name":"Subdivision","value":"EC"},{"id":4,"name":"Milepost","value":"0.013"},{"id":17,"name":"Train ID","value":"148-22"},{"id":16,"name":"Locomotive ID","value":"4039"},{"id":130,"name":"Impact","value":""},{"id":150,"name":"Time of Event (Mountain Time)","value":"11:04:27"},{"id":151,"name":"Denver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18"/>
        <v>start /low /b %USERPROFILE%\Documents\GitHub\eaglep3\Utilities\DownloadLogsFromS3.py --loco 4039 --day 2017-03-22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"%USERPROFILE%\AppData\Local\Temp\OnboardLogs"\RTDC4039\*4039*20170322* | grep -SE "(Enforcement Action)|(\[TIMEOUT)|(CHR.+\|PRM\|1\|D.+(SWITCH|SIGNAL).+UNKNOWN)" - &gt;&gt; 2017-03-22-UncaughtWiMAX.txt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611</v>
      </c>
      <c r="B64" s="7">
        <v>4020</v>
      </c>
      <c r="C64" s="21" t="s">
        <v>219</v>
      </c>
      <c r="D64" s="21" t="s">
        <v>223</v>
      </c>
      <c r="E64" s="13">
        <v>42816.403437499997</v>
      </c>
      <c r="F64" s="13">
        <v>42816.4065162037</v>
      </c>
      <c r="G64" s="7">
        <v>1</v>
      </c>
      <c r="H64" s="21" t="s">
        <v>876</v>
      </c>
      <c r="I64" s="13">
        <v>42816.432303240741</v>
      </c>
      <c r="J64" s="7">
        <v>2</v>
      </c>
      <c r="K64" s="98" t="str">
        <f t="shared" si="0"/>
        <v>4019/4020</v>
      </c>
      <c r="L64" s="21" t="str">
        <f>VLOOKUP(A64,'Trips&amp;Operators'!$C$1:$G$99999,5,FALSE)</f>
        <v>GUZMAN DANNY</v>
      </c>
      <c r="M64" s="6">
        <f t="shared" si="1"/>
        <v>2.5787037040572613E-2</v>
      </c>
      <c r="N64" s="7">
        <f t="shared" si="24"/>
        <v>37.133333338424563</v>
      </c>
      <c r="O64" s="7"/>
      <c r="P64" s="7"/>
      <c r="Q64" s="22"/>
      <c r="R64" s="22"/>
      <c r="S64" s="31">
        <f t="shared" si="25"/>
        <v>1</v>
      </c>
      <c r="T64" s="46" t="str">
        <f t="shared" si="2"/>
        <v>NorthBound</v>
      </c>
      <c r="U64" s="18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6" t="str">
        <f t="shared" si="3"/>
        <v>https://d0f6bd738d7f1b3e5a7ca70fe4ff75f0.us-east-1.aws.found.io/app/kibana#/discover/Steve-Slow-Train-Analysis-(2080s-and-2083s)?_g=(refreshInterval:(display:Off,pause:!f,section:0,value:0),time:(from:'2017-03-22T08:40:57-0600',mode:absolute,to:'2017-03-22T11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4" s="187" t="str">
        <f t="shared" si="4"/>
        <v>N</v>
      </c>
      <c r="X64" s="187">
        <f t="shared" si="23"/>
        <v>1</v>
      </c>
      <c r="Y64" s="62">
        <f t="shared" si="6"/>
        <v>4.6899999999999997E-2</v>
      </c>
      <c r="Z64" s="62">
        <f t="shared" si="7"/>
        <v>23.334199999999999</v>
      </c>
      <c r="AA64" s="62">
        <f t="shared" si="8"/>
        <v>23.287299999999998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9"/>
        <v>0149-22</v>
      </c>
      <c r="AE64" s="85" t="str">
        <f t="shared" si="10"/>
        <v>aws s3 cp s3://rtdc.mdm.uploadarchive.raw/RTDC4020/ "%USERPROFILE%\AppData\Local\Temp\OnboardLogs"\RTDC4020\2017-03-22 --exclude "*" --recursive --include "*20170322*" &amp; "%USERPROFILE%\Documents\GitHub\mrs-test-scripts\Headless Mode &amp; Sideloading\WalkAndUnGZ.bat" "%USERPROFILE%\AppData\Local\Temp\OnboardLogs"\RTDC4020\2017-03-22 &amp; aws s3 cp s3://rtdc.mdm.uploadarchive.raw/RTDC4020/ "%USERPROFILE%\AppData\Local\Temp\OnboardLogs"\RTDC4020\2017-03-23 --exclude "*" --recursive --include "*20170323*" &amp; "%USERPROFILE%\Documents\GitHub\mrs-test-scripts\Headless Mode &amp; Sideloading\WalkAndUnGZ.bat" "%USERPROFILE%\AppData\Local\Temp\OnboardLogs"\RTDC4020\2017-03-23</v>
      </c>
      <c r="AF64" s="82" t="str">
        <f t="shared" si="11"/>
        <v>"C:\Program Files (x86)\AstroGrep\AstroGrep.exe" /e /r /s /spath="%USERPROFILE%\AppData\Local\Temp\OnboardLogs" /stypes="app*4020*20170322*" /stext=" 16:.+((SYSTEM_STATE.+slice.+state.+changed )|(ment ac)|(multiple cpu faults)|(system.+state.+changed )|(\[timeout)|(PRM\|1\|D)|(kpr)|(kdp)|(\|lc)|(penalty))"</v>
      </c>
      <c r="AG64" s="1" t="str">
        <f t="shared" si="12"/>
        <v>EC</v>
      </c>
      <c r="AH64" s="86" t="str">
        <f t="shared" si="16"/>
        <v>"%USERPROFILE%\Documents\GitHub\eaglep3\Utilities\RefineRTDCRunTimes.py" --tripid 149-22 --locoid 4020 --swversion DE.1.0.9.0 --startMP 204:469 --initTime 2017-03-22T09:40:57 --startdatetime 2017-03-22T09:45:23 --delay 1 --endMP 204:233342 --enddatetime 2017-03-22T10:22:31 --enforcementcount 2 &gt;&gt;C:\Users\stu\Documents\GitHub\eaglep3-reporting\EC\2017-03-22-refined-times.txt</v>
      </c>
      <c r="AI64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{"issue":{"subject":"","project_id":79,"tracker_id":40,"status_id":1,"priority_id":2,"assigned_to_id":23,"start_date":"2017-03-22","description":"","custom_fields":[{"id":1,"name":"Subdivision","value":"EC"},{"id":4,"name":"Milepost","value":"23.3342"},{"id":17,"name":"Train ID","value":"149-22"},{"id":16,"name":"Locomotive ID","value":"4020"},{"id":130,"name":"Impact","value":""},{"id":150,"name":"Time of Event (Mountain Time)","value":"10:22:31"},{"id":151,"name":"Denver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18"/>
        <v>start /low /b %USERPROFILE%\Documents\GitHub\eaglep3\Utilities\DownloadLogsFromS3.py --loco 4020 --day 2017-03-22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"%USERPROFILE%\AppData\Local\Temp\OnboardLogs"\RTDC4020\*4020*20170322* | grep -SE "(Enforcement Action)|(\[TIMEOUT)|(CHR.+\|PRM\|1\|D.+(SWITCH|SIGNAL).+UNKNOWN)" - &gt;&gt; 2017-03-22-UncaughtWiMAX.txt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615</v>
      </c>
      <c r="B65" s="7">
        <v>4019</v>
      </c>
      <c r="C65" s="21" t="s">
        <v>219</v>
      </c>
      <c r="D65" s="21" t="s">
        <v>557</v>
      </c>
      <c r="E65" s="13">
        <v>42816.438136574077</v>
      </c>
      <c r="F65" s="13">
        <v>42816.445486111108</v>
      </c>
      <c r="G65" s="7">
        <v>1</v>
      </c>
      <c r="H65" s="21" t="s">
        <v>215</v>
      </c>
      <c r="I65" s="13">
        <v>42816.472719907404</v>
      </c>
      <c r="J65" s="7">
        <v>2</v>
      </c>
      <c r="K65" s="98" t="str">
        <f t="shared" si="0"/>
        <v>4019/4020</v>
      </c>
      <c r="L65" s="21" t="str">
        <f>VLOOKUP(A65,'Trips&amp;Operators'!$C$1:$G$99999,5,FALSE)</f>
        <v>GUZMAN DANNY</v>
      </c>
      <c r="M65" s="6">
        <f t="shared" si="1"/>
        <v>2.7233796296059154E-2</v>
      </c>
      <c r="N65" s="7">
        <f t="shared" si="24"/>
        <v>39.216666666325182</v>
      </c>
      <c r="O65" s="7"/>
      <c r="P65" s="7"/>
      <c r="Q65" s="22"/>
      <c r="R65" s="22"/>
      <c r="S65" s="31">
        <f t="shared" si="25"/>
        <v>1</v>
      </c>
      <c r="T65" s="46" t="str">
        <f t="shared" si="2"/>
        <v>Southbound</v>
      </c>
      <c r="U65" s="18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6" t="str">
        <f t="shared" si="3"/>
        <v>https://d0f6bd738d7f1b3e5a7ca70fe4ff75f0.us-east-1.aws.found.io/app/kibana#/discover/Steve-Slow-Train-Analysis-(2080s-and-2083s)?_g=(refreshInterval:(display:Off,pause:!f,section:0,value:0),time:(from:'2017-03-22T09:30:55-0600',mode:absolute,to:'2017-03-22T12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5" s="187" t="str">
        <f t="shared" si="4"/>
        <v>N</v>
      </c>
      <c r="X65" s="187">
        <f t="shared" si="23"/>
        <v>1</v>
      </c>
      <c r="Y65" s="62">
        <f t="shared" si="6"/>
        <v>23.3004</v>
      </c>
      <c r="Z65" s="62">
        <f t="shared" si="7"/>
        <v>1.47E-2</v>
      </c>
      <c r="AA65" s="62">
        <f t="shared" si="8"/>
        <v>23.285699999999999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9"/>
        <v>0150-22</v>
      </c>
      <c r="AE65" s="85" t="str">
        <f t="shared" si="10"/>
        <v>aws s3 cp s3://rtdc.mdm.uploadarchive.raw/RTDC4019/ "%USERPROFILE%\AppData\Local\Temp\OnboardLogs"\RTDC4019\2017-03-22 --exclude "*" --recursive --include "*20170322*" &amp; "%USERPROFILE%\Documents\GitHub\mrs-test-scripts\Headless Mode &amp; Sideloading\WalkAndUnGZ.bat" "%USERPROFILE%\AppData\Local\Temp\OnboardLogs"\RTDC4019\2017-03-22 &amp; aws s3 cp s3://rtdc.mdm.uploadarchive.raw/RTDC4019/ "%USERPROFILE%\AppData\Local\Temp\OnboardLogs"\RTDC4019\2017-03-23 --exclude "*" --recursive --include "*20170323*" &amp; "%USERPROFILE%\Documents\GitHub\mrs-test-scripts\Headless Mode &amp; Sideloading\WalkAndUnGZ.bat" "%USERPROFILE%\AppData\Local\Temp\OnboardLogs"\RTDC4019\2017-03-23</v>
      </c>
      <c r="AF65" s="82" t="str">
        <f t="shared" si="11"/>
        <v>"C:\Program Files (x86)\AstroGrep\AstroGrep.exe" /e /r /s /spath="%USERPROFILE%\AppData\Local\Temp\OnboardLogs" /stypes="app*4019*20170322*" /stext=" 17:.+((SYSTEM_STATE.+slice.+state.+changed )|(ment ac)|(multiple cpu faults)|(system.+state.+changed )|(\[timeout)|(PRM\|1\|D)|(kpr)|(kdp)|(\|lc)|(penalty))"</v>
      </c>
      <c r="AG65" s="1" t="str">
        <f t="shared" si="12"/>
        <v>EC</v>
      </c>
      <c r="AH65" s="86" t="str">
        <f t="shared" si="16"/>
        <v>"%USERPROFILE%\Documents\GitHub\eaglep3\Utilities\RefineRTDCRunTimes.py" --tripid 150-22 --locoid 4019 --swversion DE.1.0.9.0 --startMP 204:233004 --initTime 2017-03-22T10:30:55 --startdatetime 2017-03-22T10:41:30 --delay 1 --endMP 204:147 --enddatetime 2017-03-22T11:20:43 --enforcementcount 2 &gt;&gt;C:\Users\stu\Documents\GitHub\eaglep3-reporting\EC\2017-03-22-refined-times.txt</v>
      </c>
      <c r="AI65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{"issue":{"subject":"","project_id":79,"tracker_id":40,"status_id":1,"priority_id":2,"assigned_to_id":23,"start_date":"2017-03-22","description":"","custom_fields":[{"id":1,"name":"Subdivision","value":"EC"},{"id":4,"name":"Milepost","value":"0.0147"},{"id":17,"name":"Train ID","value":"150-22"},{"id":16,"name":"Locomotive ID","value":"4019"},{"id":130,"name":"Impact","value":""},{"id":150,"name":"Time of Event (Mountain Time)","value":"11:20:43"},{"id":151,"name":"Denver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18"/>
        <v>start /low /b %USERPROFILE%\Documents\GitHub\eaglep3\Utilities\DownloadLogsFromS3.py --loco 4019 --day 2017-03-22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"%USERPROFILE%\AppData\Local\Temp\OnboardLogs"\RTDC4019\*4019*20170322* | grep -SE "(Enforcement Action)|(\[TIMEOUT)|(CHR.+\|PRM\|1\|D.+(SWITCH|SIGNAL).+UNKNOWN)" - &gt;&gt; 2017-03-22-UncaughtWiMAX.txt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711</v>
      </c>
      <c r="B66" s="7">
        <v>4042</v>
      </c>
      <c r="C66" s="21" t="s">
        <v>219</v>
      </c>
      <c r="D66" s="21" t="s">
        <v>209</v>
      </c>
      <c r="E66" s="13">
        <v>42816.415023148147</v>
      </c>
      <c r="F66" s="13">
        <v>42816.417291666665</v>
      </c>
      <c r="G66" s="7">
        <v>1</v>
      </c>
      <c r="H66" s="21" t="s">
        <v>863</v>
      </c>
      <c r="I66" s="13">
        <v>42816.442442129628</v>
      </c>
      <c r="J66" s="7">
        <v>2</v>
      </c>
      <c r="K66" s="98" t="str">
        <f t="shared" si="0"/>
        <v>4041/4042</v>
      </c>
      <c r="L66" s="21" t="str">
        <f>VLOOKUP(A66,'Trips&amp;Operators'!$C$1:$G$99999,5,FALSE)</f>
        <v>SANTIZO D. EDY</v>
      </c>
      <c r="M66" s="6">
        <f t="shared" si="1"/>
        <v>2.5150462963210884E-2</v>
      </c>
      <c r="N66" s="7">
        <f t="shared" si="24"/>
        <v>36.216666667023674</v>
      </c>
      <c r="O66" s="7"/>
      <c r="P66" s="7"/>
      <c r="Q66" s="22"/>
      <c r="R66" s="22"/>
      <c r="S66" s="31">
        <f t="shared" si="25"/>
        <v>1</v>
      </c>
      <c r="T66" s="46" t="str">
        <f t="shared" si="2"/>
        <v>NorthBound</v>
      </c>
      <c r="U66" s="18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6" t="str">
        <f t="shared" si="3"/>
        <v>https://d0f6bd738d7f1b3e5a7ca70fe4ff75f0.us-east-1.aws.found.io/app/kibana#/discover/Steve-Slow-Train-Analysis-(2080s-and-2083s)?_g=(refreshInterval:(display:Off,pause:!f,section:0,value:0),time:(from:'2017-03-22T08:57:38-0600',mode:absolute,to:'2017-03-22T11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6" s="187" t="str">
        <f t="shared" si="4"/>
        <v>N</v>
      </c>
      <c r="X66" s="187">
        <f t="shared" si="23"/>
        <v>1</v>
      </c>
      <c r="Y66" s="62">
        <f t="shared" si="6"/>
        <v>4.5999999999999999E-2</v>
      </c>
      <c r="Z66" s="62">
        <f t="shared" si="7"/>
        <v>23.328800000000001</v>
      </c>
      <c r="AA66" s="62">
        <f t="shared" si="8"/>
        <v>23.282800000000002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9"/>
        <v>0151-22</v>
      </c>
      <c r="AE66" s="85" t="str">
        <f t="shared" si="10"/>
        <v>aws s3 cp s3://rtdc.mdm.uploadarchive.raw/RTDC4042/ "%USERPROFILE%\AppData\Local\Temp\OnboardLogs"\RTDC4042\2017-03-22 --exclude "*" --recursive --include "*20170322*" &amp; "%USERPROFILE%\Documents\GitHub\mrs-test-scripts\Headless Mode &amp; Sideloading\WalkAndUnGZ.bat" "%USERPROFILE%\AppData\Local\Temp\OnboardLogs"\RTDC4042\2017-03-22 &amp; aws s3 cp s3://rtdc.mdm.uploadarchive.raw/RTDC4042/ "%USERPROFILE%\AppData\Local\Temp\OnboardLogs"\RTDC4042\2017-03-23 --exclude "*" --recursive --include "*20170323*" &amp; "%USERPROFILE%\Documents\GitHub\mrs-test-scripts\Headless Mode &amp; Sideloading\WalkAndUnGZ.bat" "%USERPROFILE%\AppData\Local\Temp\OnboardLogs"\RTDC4042\2017-03-23</v>
      </c>
      <c r="AF66" s="82" t="str">
        <f t="shared" si="11"/>
        <v>"C:\Program Files (x86)\AstroGrep\AstroGrep.exe" /e /r /s /spath="%USERPROFILE%\AppData\Local\Temp\OnboardLogs" /stypes="app*4042*20170322*" /stext=" 16:.+((SYSTEM_STATE.+slice.+state.+changed )|(ment ac)|(multiple cpu faults)|(system.+state.+changed )|(\[timeout)|(PRM\|1\|D)|(kpr)|(kdp)|(\|lc)|(penalty))"</v>
      </c>
      <c r="AG66" s="1" t="str">
        <f t="shared" si="12"/>
        <v>EC</v>
      </c>
      <c r="AH66" s="86" t="str">
        <f t="shared" si="16"/>
        <v>"%USERPROFILE%\Documents\GitHub\eaglep3\Utilities\RefineRTDCRunTimes.py" --tripid 151-22 --locoid 4042 --swversion DE.1.0.9.0 --startMP 204:460 --initTime 2017-03-22T09:57:38 --startdatetime 2017-03-22T10:00:54 --delay 1 --endMP 204:233288 --enddatetime 2017-03-22T10:37:07 --enforcementcount 2 &gt;&gt;C:\Users\stu\Documents\GitHub\eaglep3-reporting\EC\2017-03-22-refined-times.txt</v>
      </c>
      <c r="AI66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{"issue":{"subject":"","project_id":79,"tracker_id":40,"status_id":1,"priority_id":2,"assigned_to_id":23,"start_date":"2017-03-22","description":"","custom_fields":[{"id":1,"name":"Subdivision","value":"EC"},{"id":4,"name":"Milepost","value":"23.3288"},{"id":17,"name":"Train ID","value":"151-22"},{"id":16,"name":"Locomotive ID","value":"4042"},{"id":130,"name":"Impact","value":""},{"id":150,"name":"Time of Event (Mountain Time)","value":"10:37:07"},{"id":151,"name":"Denver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18"/>
        <v>start /low /b %USERPROFILE%\Documents\GitHub\eaglep3\Utilities\DownloadLogsFromS3.py --loco 4042 --day 2017-03-22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"%USERPROFILE%\AppData\Local\Temp\OnboardLogs"\RTDC4042\*4042*20170322* | grep -SE "(Enforcement Action)|(\[TIMEOUT)|(CHR.+\|PRM\|1\|D.+(SWITCH|SIGNAL).+UNKNOWN)" - &gt;&gt; 2017-03-22-UncaughtWiMAX.txt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719</v>
      </c>
      <c r="B67" s="7">
        <v>4041</v>
      </c>
      <c r="C67" s="21" t="s">
        <v>219</v>
      </c>
      <c r="D67" s="21" t="s">
        <v>861</v>
      </c>
      <c r="E67" s="13">
        <v>42816.443749999999</v>
      </c>
      <c r="F67" s="13">
        <v>42816.455763888887</v>
      </c>
      <c r="G67" s="7">
        <v>1</v>
      </c>
      <c r="H67" s="21" t="s">
        <v>199</v>
      </c>
      <c r="I67" s="13">
        <v>42816.482129629629</v>
      </c>
      <c r="J67" s="7">
        <v>2</v>
      </c>
      <c r="K67" s="98" t="str">
        <f t="shared" si="0"/>
        <v>4041/4042</v>
      </c>
      <c r="L67" s="21" t="str">
        <f>VLOOKUP(A67,'Trips&amp;Operators'!$C$1:$G$99999,5,FALSE)</f>
        <v>SANTIZO D. EDY</v>
      </c>
      <c r="M67" s="6">
        <f t="shared" si="1"/>
        <v>2.6365740741312038E-2</v>
      </c>
      <c r="N67" s="7">
        <f t="shared" si="24"/>
        <v>37.966666667489335</v>
      </c>
      <c r="O67" s="7"/>
      <c r="P67" s="7"/>
      <c r="Q67" s="22"/>
      <c r="R67" s="22"/>
      <c r="S67" s="31">
        <f t="shared" si="25"/>
        <v>1</v>
      </c>
      <c r="T67" s="46" t="str">
        <f t="shared" si="2"/>
        <v>Southbound</v>
      </c>
      <c r="U67" s="18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6" t="str">
        <f t="shared" si="3"/>
        <v>https://d0f6bd738d7f1b3e5a7ca70fe4ff75f0.us-east-1.aws.found.io/app/kibana#/discover/Steve-Slow-Train-Analysis-(2080s-and-2083s)?_g=(refreshInterval:(display:Off,pause:!f,section:0,value:0),time:(from:'2017-03-22T09:39:00-0600',mode:absolute,to:'2017-03-22T12:34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7" s="187" t="str">
        <f t="shared" si="4"/>
        <v>N</v>
      </c>
      <c r="X67" s="187">
        <f t="shared" si="23"/>
        <v>1</v>
      </c>
      <c r="Y67" s="62">
        <f t="shared" si="6"/>
        <v>23.296700000000001</v>
      </c>
      <c r="Z67" s="62">
        <f t="shared" si="7"/>
        <v>1.52E-2</v>
      </c>
      <c r="AA67" s="62">
        <f t="shared" si="8"/>
        <v>23.281500000000001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9"/>
        <v>0152-22</v>
      </c>
      <c r="AE67" s="85" t="str">
        <f t="shared" si="10"/>
        <v>aws s3 cp s3://rtdc.mdm.uploadarchive.raw/RTDC4041/ "%USERPROFILE%\AppData\Local\Temp\OnboardLogs"\RTDC4041\2017-03-22 --exclude "*" --recursive --include "*20170322*" &amp; "%USERPROFILE%\Documents\GitHub\mrs-test-scripts\Headless Mode &amp; Sideloading\WalkAndUnGZ.bat" "%USERPROFILE%\AppData\Local\Temp\OnboardLogs"\RTDC4041\2017-03-22 &amp; aws s3 cp s3://rtdc.mdm.uploadarchive.raw/RTDC4041/ "%USERPROFILE%\AppData\Local\Temp\OnboardLogs"\RTDC4041\2017-03-23 --exclude "*" --recursive --include "*20170323*" &amp; "%USERPROFILE%\Documents\GitHub\mrs-test-scripts\Headless Mode &amp; Sideloading\WalkAndUnGZ.bat" "%USERPROFILE%\AppData\Local\Temp\OnboardLogs"\RTDC4041\2017-03-23</v>
      </c>
      <c r="AF67" s="82" t="str">
        <f t="shared" si="11"/>
        <v>"C:\Program Files (x86)\AstroGrep\AstroGrep.exe" /e /r /s /spath="%USERPROFILE%\AppData\Local\Temp\OnboardLogs" /stypes="app*4041*20170322*" /stext=" 17:.+((SYSTEM_STATE.+slice.+state.+changed )|(ment ac)|(multiple cpu faults)|(system.+state.+changed )|(\[timeout)|(PRM\|1\|D)|(kpr)|(kdp)|(\|lc)|(penalty))"</v>
      </c>
      <c r="AG67" s="1" t="str">
        <f t="shared" si="12"/>
        <v>EC</v>
      </c>
      <c r="AH67" s="86" t="str">
        <f t="shared" si="16"/>
        <v>"%USERPROFILE%\Documents\GitHub\eaglep3\Utilities\RefineRTDCRunTimes.py" --tripid 152-22 --locoid 4041 --swversion DE.1.0.9.0 --startMP 204:232967 --initTime 2017-03-22T10:39:00 --startdatetime 2017-03-22T10:56:18 --delay 1 --endMP 204:152 --enddatetime 2017-03-22T11:34:16 --enforcementcount 2 &gt;&gt;C:\Users\stu\Documents\GitHub\eaglep3-reporting\EC\2017-03-22-refined-times.txt</v>
      </c>
      <c r="AI67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{"issue":{"subject":"","project_id":79,"tracker_id":40,"status_id":1,"priority_id":2,"assigned_to_id":23,"start_date":"2017-03-22","description":"","custom_fields":[{"id":1,"name":"Subdivision","value":"EC"},{"id":4,"name":"Milepost","value":"0.0152"},{"id":17,"name":"Train ID","value":"152-22"},{"id":16,"name":"Locomotive ID","value":"4041"},{"id":130,"name":"Impact","value":""},{"id":150,"name":"Time of Event (Mountain Time)","value":"11:34:16"},{"id":151,"name":"Denver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18"/>
        <v>start /low /b %USERPROFILE%\Documents\GitHub\eaglep3\Utilities\DownloadLogsFromS3.py --loco 4041 --day 2017-03-22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"%USERPROFILE%\AppData\Local\Temp\OnboardLogs"\RTDC4041\*4041*20170322* | grep -SE "(Enforcement Action)|(\[TIMEOUT)|(CHR.+\|PRM\|1\|D.+(SWITCH|SIGNAL).+UNKNOWN)" - &gt;&gt; 2017-03-22-UncaughtWiMAX.txt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714</v>
      </c>
      <c r="B68" s="7">
        <v>4018</v>
      </c>
      <c r="C68" s="21" t="s">
        <v>219</v>
      </c>
      <c r="D68" s="21" t="s">
        <v>392</v>
      </c>
      <c r="E68" s="13">
        <v>42816.426111111112</v>
      </c>
      <c r="F68" s="13">
        <v>42816.427997685183</v>
      </c>
      <c r="G68" s="7">
        <v>1</v>
      </c>
      <c r="H68" s="21" t="s">
        <v>877</v>
      </c>
      <c r="I68" s="13">
        <v>42816.452384259261</v>
      </c>
      <c r="J68" s="7">
        <v>2</v>
      </c>
      <c r="K68" s="98" t="str">
        <f t="shared" si="0"/>
        <v>4017/4018</v>
      </c>
      <c r="L68" s="21" t="str">
        <f>VLOOKUP(A68,'Trips&amp;Operators'!$C$1:$G$99999,5,FALSE)</f>
        <v>SULLIVAN BRANDON</v>
      </c>
      <c r="M68" s="6">
        <f t="shared" si="1"/>
        <v>2.4386574077652767E-2</v>
      </c>
      <c r="N68" s="7">
        <f t="shared" si="24"/>
        <v>35.116666671819985</v>
      </c>
      <c r="O68" s="7"/>
      <c r="P68" s="7"/>
      <c r="Q68" s="22"/>
      <c r="R68" s="22"/>
      <c r="S68" s="31">
        <f t="shared" si="25"/>
        <v>1</v>
      </c>
      <c r="T68" s="46" t="str">
        <f t="shared" si="2"/>
        <v>NorthBound</v>
      </c>
      <c r="U68" s="18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6" t="str">
        <f t="shared" si="3"/>
        <v>https://d0f6bd738d7f1b3e5a7ca70fe4ff75f0.us-east-1.aws.found.io/app/kibana#/discover/Steve-Slow-Train-Analysis-(2080s-and-2083s)?_g=(refreshInterval:(display:Off,pause:!f,section:0,value:0),time:(from:'2017-03-22T09:13:36-0600',mode:absolute,to:'2017-03-22T11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8" s="187" t="str">
        <f t="shared" si="4"/>
        <v>N</v>
      </c>
      <c r="X68" s="187">
        <f t="shared" si="23"/>
        <v>1</v>
      </c>
      <c r="Y68" s="62">
        <f t="shared" si="6"/>
        <v>4.7100000000000003E-2</v>
      </c>
      <c r="Z68" s="62">
        <f t="shared" si="7"/>
        <v>23.328700000000001</v>
      </c>
      <c r="AA68" s="62">
        <f t="shared" si="8"/>
        <v>23.281600000000001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9"/>
        <v>0153-22</v>
      </c>
      <c r="AE68" s="85" t="str">
        <f t="shared" si="10"/>
        <v>aws s3 cp s3://rtdc.mdm.uploadarchive.raw/RTDC4018/ "%USERPROFILE%\AppData\Local\Temp\OnboardLogs"\RTDC4018\2017-03-22 --exclude "*" --recursive --include "*20170322*" &amp; "%USERPROFILE%\Documents\GitHub\mrs-test-scripts\Headless Mode &amp; Sideloading\WalkAndUnGZ.bat" "%USERPROFILE%\AppData\Local\Temp\OnboardLogs"\RTDC4018\2017-03-22 &amp; aws s3 cp s3://rtdc.mdm.uploadarchive.raw/RTDC4018/ "%USERPROFILE%\AppData\Local\Temp\OnboardLogs"\RTDC4018\2017-03-23 --exclude "*" --recursive --include "*20170323*" &amp; "%USERPROFILE%\Documents\GitHub\mrs-test-scripts\Headless Mode &amp; Sideloading\WalkAndUnGZ.bat" "%USERPROFILE%\AppData\Local\Temp\OnboardLogs"\RTDC4018\2017-03-23</v>
      </c>
      <c r="AF68" s="82" t="str">
        <f t="shared" si="11"/>
        <v>"C:\Program Files (x86)\AstroGrep\AstroGrep.exe" /e /r /s /spath="%USERPROFILE%\AppData\Local\Temp\OnboardLogs" /stypes="app*4018*20170322*" /stext=" 16:.+((SYSTEM_STATE.+slice.+state.+changed )|(ment ac)|(multiple cpu faults)|(system.+state.+changed )|(\[timeout)|(PRM\|1\|D)|(kpr)|(kdp)|(\|lc)|(penalty))"</v>
      </c>
      <c r="AG68" s="1" t="str">
        <f t="shared" si="12"/>
        <v>EC</v>
      </c>
      <c r="AH68" s="86" t="str">
        <f t="shared" si="16"/>
        <v>"%USERPROFILE%\Documents\GitHub\eaglep3\Utilities\RefineRTDCRunTimes.py" --tripid 153-22 --locoid 4018 --swversion DE.1.0.9.0 --startMP 204:471 --initTime 2017-03-22T10:13:36 --startdatetime 2017-03-22T10:16:19 --delay 1 --endMP 204:233287 --enddatetime 2017-03-22T10:51:26 --enforcementcount 2 &gt;&gt;C:\Users\stu\Documents\GitHub\eaglep3-reporting\EC\2017-03-22-refined-times.txt</v>
      </c>
      <c r="AI68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{"issue":{"subject":"","project_id":79,"tracker_id":40,"status_id":1,"priority_id":2,"assigned_to_id":23,"start_date":"2017-03-22","description":"","custom_fields":[{"id":1,"name":"Subdivision","value":"EC"},{"id":4,"name":"Milepost","value":"23.3287"},{"id":17,"name":"Train ID","value":"153-22"},{"id":16,"name":"Locomotive ID","value":"4018"},{"id":130,"name":"Impact","value":""},{"id":150,"name":"Time of Event (Mountain Time)","value":"10:51:26"},{"id":151,"name":"Denver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18"/>
        <v>start /low /b %USERPROFILE%\Documents\GitHub\eaglep3\Utilities\DownloadLogsFromS3.py --loco 4018 --day 2017-03-22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"%USERPROFILE%\AppData\Local\Temp\OnboardLogs"\RTDC4018\*4018*20170322* | grep -SE "(Enforcement Action)|(\[TIMEOUT)|(CHR.+\|PRM\|1\|D.+(SWITCH|SIGNAL).+UNKNOWN)" - &gt;&gt; 2017-03-22-UncaughtWiMAX.txt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617</v>
      </c>
      <c r="B69" s="7">
        <v>4017</v>
      </c>
      <c r="C69" s="21" t="s">
        <v>219</v>
      </c>
      <c r="D69" s="21" t="s">
        <v>466</v>
      </c>
      <c r="E69" s="13">
        <v>42816.46502314815</v>
      </c>
      <c r="F69" s="13">
        <v>42816.466145833336</v>
      </c>
      <c r="G69" s="7">
        <v>0</v>
      </c>
      <c r="H69" s="21" t="s">
        <v>483</v>
      </c>
      <c r="I69" s="13">
        <v>42816.49181712963</v>
      </c>
      <c r="J69" s="7">
        <v>2</v>
      </c>
      <c r="K69" s="98" t="str">
        <f t="shared" si="0"/>
        <v>4017/4018</v>
      </c>
      <c r="L69" s="21" t="str">
        <f>VLOOKUP(A69,'Trips&amp;Operators'!$C$1:$G$99999,5,FALSE)</f>
        <v>SULLIVAN BRANDON</v>
      </c>
      <c r="M69" s="6">
        <f t="shared" si="1"/>
        <v>2.5671296294603962E-2</v>
      </c>
      <c r="N69" s="7">
        <f t="shared" si="24"/>
        <v>36.966666664229706</v>
      </c>
      <c r="O69" s="7"/>
      <c r="P69" s="7"/>
      <c r="Q69" s="22"/>
      <c r="R69" s="22"/>
      <c r="S69" s="31">
        <f t="shared" si="25"/>
        <v>1</v>
      </c>
      <c r="T69" s="46" t="str">
        <f t="shared" si="2"/>
        <v>Southbound</v>
      </c>
      <c r="U69" s="18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6" t="str">
        <f t="shared" si="3"/>
        <v>https://d0f6bd738d7f1b3e5a7ca70fe4ff75f0.us-east-1.aws.found.io/app/kibana#/discover/Steve-Slow-Train-Analysis-(2080s-and-2083s)?_g=(refreshInterval:(display:Off,pause:!f,section:0,value:0),time:(from:'2017-03-22T10:09:38-0600',mode:absolute,to:'2017-03-22T12:48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9" s="187" t="str">
        <f t="shared" si="4"/>
        <v>N</v>
      </c>
      <c r="X69" s="187">
        <f t="shared" si="23"/>
        <v>1</v>
      </c>
      <c r="Y69" s="62">
        <f t="shared" si="6"/>
        <v>23.298300000000001</v>
      </c>
      <c r="Z69" s="62">
        <f t="shared" si="7"/>
        <v>1.61E-2</v>
      </c>
      <c r="AA69" s="62">
        <f t="shared" si="8"/>
        <v>23.2822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9"/>
        <v>0154-22</v>
      </c>
      <c r="AE69" s="85" t="str">
        <f t="shared" si="10"/>
        <v>aws s3 cp s3://rtdc.mdm.uploadarchive.raw/RTDC4017/ "%USERPROFILE%\AppData\Local\Temp\OnboardLogs"\RTDC4017\2017-03-22 --exclude "*" --recursive --include "*20170322*" &amp; "%USERPROFILE%\Documents\GitHub\mrs-test-scripts\Headless Mode &amp; Sideloading\WalkAndUnGZ.bat" "%USERPROFILE%\AppData\Local\Temp\OnboardLogs"\RTDC4017\2017-03-22 &amp; aws s3 cp s3://rtdc.mdm.uploadarchive.raw/RTDC4017/ "%USERPROFILE%\AppData\Local\Temp\OnboardLogs"\RTDC4017\2017-03-23 --exclude "*" --recursive --include "*20170323*" &amp; "%USERPROFILE%\Documents\GitHub\mrs-test-scripts\Headless Mode &amp; Sideloading\WalkAndUnGZ.bat" "%USERPROFILE%\AppData\Local\Temp\OnboardLogs"\RTDC4017\2017-03-23</v>
      </c>
      <c r="AF69" s="82" t="str">
        <f t="shared" si="11"/>
        <v>"C:\Program Files (x86)\AstroGrep\AstroGrep.exe" /e /r /s /spath="%USERPROFILE%\AppData\Local\Temp\OnboardLogs" /stypes="app*4017*20170322*" /stext=" 17:.+((SYSTEM_STATE.+slice.+state.+changed )|(ment ac)|(multiple cpu faults)|(system.+state.+changed )|(\[timeout)|(PRM\|1\|D)|(kpr)|(kdp)|(\|lc)|(penalty))"</v>
      </c>
      <c r="AG69" s="1" t="str">
        <f t="shared" si="12"/>
        <v>EC</v>
      </c>
      <c r="AH69" s="86" t="str">
        <f t="shared" si="16"/>
        <v>"%USERPROFILE%\Documents\GitHub\eaglep3\Utilities\RefineRTDCRunTimes.py" --tripid 154-22 --locoid 4017 --swversion DE.1.0.9.0 --startMP 204:232983 --initTime 2017-03-22T11:09:38 --startdatetime 2017-03-22T11:11:15 --delay 0 --endMP 204:161 --enddatetime 2017-03-22T11:48:13 --enforcementcount 2 &gt;&gt;C:\Users\stu\Documents\GitHub\eaglep3-reporting\EC\2017-03-22-refined-times.txt</v>
      </c>
      <c r="AI69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{"issue":{"subject":"","project_id":79,"tracker_id":40,"status_id":1,"priority_id":2,"assigned_to_id":23,"start_date":"2017-03-22","description":"","custom_fields":[{"id":1,"name":"Subdivision","value":"EC"},{"id":4,"name":"Milepost","value":"0.0161"},{"id":17,"name":"Train ID","value":"154-22"},{"id":16,"name":"Locomotive ID","value":"4017"},{"id":130,"name":"Impact","value":""},{"id":150,"name":"Time of Event (Mountain Time)","value":"11:48:13"},{"id":151,"name":"Denver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18"/>
        <v>start /low /b %USERPROFILE%\Documents\GitHub\eaglep3\Utilities\DownloadLogsFromS3.py --loco 4017 --day 2017-03-22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"%USERPROFILE%\AppData\Local\Temp\OnboardLogs"\RTDC4017\*4017*20170322* | grep -SE "(Enforcement Action)|(\[TIMEOUT)|(CHR.+\|PRM\|1\|D.+(SWITCH|SIGNAL).+UNKNOWN)" - &gt;&gt; 2017-03-22-UncaughtWiMAX.txt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718</v>
      </c>
      <c r="B70" s="7">
        <v>4011</v>
      </c>
      <c r="C70" s="21" t="s">
        <v>219</v>
      </c>
      <c r="D70" s="21" t="s">
        <v>216</v>
      </c>
      <c r="E70" s="13">
        <v>42816.434652777774</v>
      </c>
      <c r="F70" s="13">
        <v>42816.437881944446</v>
      </c>
      <c r="G70" s="7">
        <v>2</v>
      </c>
      <c r="H70" s="21" t="s">
        <v>866</v>
      </c>
      <c r="I70" s="13">
        <v>42816.461956018517</v>
      </c>
      <c r="J70" s="7">
        <v>2</v>
      </c>
      <c r="K70" s="98" t="str">
        <f t="shared" si="0"/>
        <v>4011/4012</v>
      </c>
      <c r="L70" s="21" t="str">
        <f>VLOOKUP(A70,'Trips&amp;Operators'!$C$1:$G$99999,5,FALSE)</f>
        <v>YORK EDGAR</v>
      </c>
      <c r="M70" s="6">
        <f t="shared" si="1"/>
        <v>2.4074074070085771E-2</v>
      </c>
      <c r="N70" s="7">
        <f t="shared" si="24"/>
        <v>34.666666660923511</v>
      </c>
      <c r="O70" s="7"/>
      <c r="P70" s="7"/>
      <c r="Q70" s="22"/>
      <c r="R70" s="22"/>
      <c r="S70" s="31">
        <f t="shared" si="25"/>
        <v>1</v>
      </c>
      <c r="T70" s="46" t="str">
        <f t="shared" si="2"/>
        <v>NorthBound</v>
      </c>
      <c r="U70" s="18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6" t="str">
        <f t="shared" si="3"/>
        <v>https://d0f6bd738d7f1b3e5a7ca70fe4ff75f0.us-east-1.aws.found.io/app/kibana#/discover/Steve-Slow-Train-Analysis-(2080s-and-2083s)?_g=(refreshInterval:(display:Off,pause:!f,section:0,value:0),time:(from:'2017-03-22T09:25:54-0600',mode:absolute,to:'2017-03-22T12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0" s="187" t="str">
        <f t="shared" si="4"/>
        <v>N</v>
      </c>
      <c r="X70" s="187">
        <f t="shared" si="23"/>
        <v>1</v>
      </c>
      <c r="Y70" s="62">
        <f t="shared" si="6"/>
        <v>4.6600000000000003E-2</v>
      </c>
      <c r="Z70" s="62">
        <f t="shared" si="7"/>
        <v>23.329899999999999</v>
      </c>
      <c r="AA70" s="62">
        <f t="shared" si="8"/>
        <v>23.283299999999997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9"/>
        <v>0155-22</v>
      </c>
      <c r="AE70" s="85" t="str">
        <f t="shared" si="10"/>
        <v>aws s3 cp s3://rtdc.mdm.uploadarchive.raw/RTDC4011/ "%USERPROFILE%\AppData\Local\Temp\OnboardLogs"\RTDC4011\2017-03-22 --exclude "*" --recursive --include "*20170322*" &amp; "%USERPROFILE%\Documents\GitHub\mrs-test-scripts\Headless Mode &amp; Sideloading\WalkAndUnGZ.bat" "%USERPROFILE%\AppData\Local\Temp\OnboardLogs"\RTDC4011\2017-03-22 &amp; aws s3 cp s3://rtdc.mdm.uploadarchive.raw/RTDC4011/ "%USERPROFILE%\AppData\Local\Temp\OnboardLogs"\RTDC4011\2017-03-23 --exclude "*" --recursive --include "*20170323*" &amp; "%USERPROFILE%\Documents\GitHub\mrs-test-scripts\Headless Mode &amp; Sideloading\WalkAndUnGZ.bat" "%USERPROFILE%\AppData\Local\Temp\OnboardLogs"\RTDC4011\2017-03-23</v>
      </c>
      <c r="AF70" s="82" t="str">
        <f t="shared" si="11"/>
        <v>"C:\Program Files (x86)\AstroGrep\AstroGrep.exe" /e /r /s /spath="%USERPROFILE%\AppData\Local\Temp\OnboardLogs" /stypes="app*4011*20170322*" /stext=" 17:.+((SYSTEM_STATE.+slice.+state.+changed )|(ment ac)|(multiple cpu faults)|(system.+state.+changed )|(\[timeout)|(PRM\|1\|D)|(kpr)|(kdp)|(\|lc)|(penalty))"</v>
      </c>
      <c r="AG70" s="1" t="str">
        <f t="shared" si="12"/>
        <v>EC</v>
      </c>
      <c r="AH70" s="86" t="str">
        <f t="shared" si="16"/>
        <v>"%USERPROFILE%\Documents\GitHub\eaglep3\Utilities\RefineRTDCRunTimes.py" --tripid 155-22 --locoid 4011 --swversion DE.1.0.9.0 --startMP 204:466 --initTime 2017-03-22T10:25:54 --startdatetime 2017-03-22T10:30:33 --delay 2 --endMP 204:233299 --enddatetime 2017-03-22T11:05:13 --enforcementcount 2 &gt;&gt;C:\Users\stu\Documents\GitHub\eaglep3-reporting\EC\2017-03-22-refined-times.txt</v>
      </c>
      <c r="AI70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{"issue":{"subject":"","project_id":79,"tracker_id":40,"status_id":1,"priority_id":2,"assigned_to_id":23,"start_date":"2017-03-22","description":"","custom_fields":[{"id":1,"name":"Subdivision","value":"EC"},{"id":4,"name":"Milepost","value":"23.3299"},{"id":17,"name":"Train ID","value":"155-22"},{"id":16,"name":"Locomotive ID","value":"4011"},{"id":130,"name":"Impact","value":""},{"id":150,"name":"Time of Event (Mountain Time)","value":"11:05:13"},{"id":151,"name":"Denver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18"/>
        <v>start /low /b %USERPROFILE%\Documents\GitHub\eaglep3\Utilities\DownloadLogsFromS3.py --loco 4011 --day 2017-03-22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"%USERPROFILE%\AppData\Local\Temp\OnboardLogs"\RTDC4011\*4011*20170322* | grep -SE "(Enforcement Action)|(\[TIMEOUT)|(CHR.+\|PRM\|1\|D.+(SWITCH|SIGNAL).+UNKNOWN)" - &gt;&gt; 2017-03-22-UncaughtWiMAX.txt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722</v>
      </c>
      <c r="B71" s="7">
        <v>4012</v>
      </c>
      <c r="C71" s="21" t="s">
        <v>219</v>
      </c>
      <c r="D71" s="21" t="s">
        <v>567</v>
      </c>
      <c r="E71" s="13">
        <v>42816.462696759256</v>
      </c>
      <c r="F71" s="13">
        <v>42816.476666666669</v>
      </c>
      <c r="G71" s="7">
        <v>1</v>
      </c>
      <c r="H71" s="21" t="s">
        <v>200</v>
      </c>
      <c r="I71" s="13">
        <v>42816.504166666666</v>
      </c>
      <c r="J71" s="7">
        <v>2</v>
      </c>
      <c r="K71" s="98" t="str">
        <f t="shared" si="0"/>
        <v>4011/4012</v>
      </c>
      <c r="L71" s="21" t="str">
        <f>VLOOKUP(A71,'Trips&amp;Operators'!$C$1:$G$99999,5,FALSE)</f>
        <v>YORK EDGAR</v>
      </c>
      <c r="M71" s="6">
        <f t="shared" si="1"/>
        <v>2.749999999650754E-2</v>
      </c>
      <c r="N71" s="7">
        <f t="shared" si="24"/>
        <v>39.599999994970858</v>
      </c>
      <c r="O71" s="7"/>
      <c r="P71" s="7"/>
      <c r="Q71" s="22"/>
      <c r="R71" s="22"/>
      <c r="S71" s="31">
        <f t="shared" si="25"/>
        <v>1</v>
      </c>
      <c r="T71" s="46" t="str">
        <f t="shared" si="2"/>
        <v>Southbound</v>
      </c>
      <c r="U71" s="18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6" t="str">
        <f t="shared" si="3"/>
        <v>https://d0f6bd738d7f1b3e5a7ca70fe4ff75f0.us-east-1.aws.found.io/app/kibana#/discover/Steve-Slow-Train-Analysis-(2080s-and-2083s)?_g=(refreshInterval:(display:Off,pause:!f,section:0,value:0),time:(from:'2017-03-22T10:06:17-0600',mode:absolute,to:'2017-03-22T13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1" s="187" t="str">
        <f t="shared" si="4"/>
        <v>N</v>
      </c>
      <c r="X71" s="187">
        <f t="shared" si="23"/>
        <v>1</v>
      </c>
      <c r="Y71" s="62">
        <f t="shared" si="6"/>
        <v>23.298400000000001</v>
      </c>
      <c r="Z71" s="62">
        <f t="shared" si="7"/>
        <v>1.5800000000000002E-2</v>
      </c>
      <c r="AA71" s="62">
        <f t="shared" si="8"/>
        <v>23.282600000000002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9"/>
        <v>0156-22</v>
      </c>
      <c r="AE71" s="85" t="str">
        <f t="shared" si="10"/>
        <v>aws s3 cp s3://rtdc.mdm.uploadarchive.raw/RTDC4012/ "%USERPROFILE%\AppData\Local\Temp\OnboardLogs"\RTDC4012\2017-03-22 --exclude "*" --recursive --include "*20170322*" &amp; "%USERPROFILE%\Documents\GitHub\mrs-test-scripts\Headless Mode &amp; Sideloading\WalkAndUnGZ.bat" "%USERPROFILE%\AppData\Local\Temp\OnboardLogs"\RTDC4012\2017-03-22 &amp; aws s3 cp s3://rtdc.mdm.uploadarchive.raw/RTDC4012/ "%USERPROFILE%\AppData\Local\Temp\OnboardLogs"\RTDC4012\2017-03-23 --exclude "*" --recursive --include "*20170323*" &amp; "%USERPROFILE%\Documents\GitHub\mrs-test-scripts\Headless Mode &amp; Sideloading\WalkAndUnGZ.bat" "%USERPROFILE%\AppData\Local\Temp\OnboardLogs"\RTDC4012\2017-03-23</v>
      </c>
      <c r="AF71" s="82" t="str">
        <f t="shared" si="11"/>
        <v>"C:\Program Files (x86)\AstroGrep\AstroGrep.exe" /e /r /s /spath="%USERPROFILE%\AppData\Local\Temp\OnboardLogs" /stypes="app*4012*20170322*" /stext=" 18:.+((SYSTEM_STATE.+slice.+state.+changed )|(ment ac)|(multiple cpu faults)|(system.+state.+changed )|(\[timeout)|(PRM\|1\|D)|(kpr)|(kdp)|(\|lc)|(penalty))"</v>
      </c>
      <c r="AG71" s="1" t="str">
        <f t="shared" si="12"/>
        <v>EC</v>
      </c>
      <c r="AH71" s="86" t="str">
        <f t="shared" si="16"/>
        <v>"%USERPROFILE%\Documents\GitHub\eaglep3\Utilities\RefineRTDCRunTimes.py" --tripid 156-22 --locoid 4012 --swversion DE.1.0.9.0 --startMP 204:232984 --initTime 2017-03-22T11:06:17 --startdatetime 2017-03-22T11:26:24 --delay 1 --endMP 204:158 --enddatetime 2017-03-22T12:06:00 --enforcementcount 2 &gt;&gt;C:\Users\stu\Documents\GitHub\eaglep3-reporting\EC\2017-03-22-refined-times.txt</v>
      </c>
      <c r="AI71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{"issue":{"subject":"","project_id":79,"tracker_id":40,"status_id":1,"priority_id":2,"assigned_to_id":23,"start_date":"2017-03-22","description":"","custom_fields":[{"id":1,"name":"Subdivision","value":"EC"},{"id":4,"name":"Milepost","value":"0.0158"},{"id":17,"name":"Train ID","value":"156-22"},{"id":16,"name":"Locomotive ID","value":"4012"},{"id":130,"name":"Impact","value":""},{"id":150,"name":"Time of Event (Mountain Time)","value":"12:06:00"},{"id":151,"name":"Denver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18"/>
        <v>start /low /b %USERPROFILE%\Documents\GitHub\eaglep3\Utilities\DownloadLogsFromS3.py --loco 4012 --day 2017-03-22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"%USERPROFILE%\AppData\Local\Temp\OnboardLogs"\RTDC4012\*4012*20170322* | grep -SE "(Enforcement Action)|(\[TIMEOUT)|(CHR.+\|PRM\|1\|D.+(SWITCH|SIGNAL).+UNKNOWN)" - &gt;&gt; 2017-03-22-UncaughtWiMAX.txt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720</v>
      </c>
      <c r="B72" s="7">
        <v>4003</v>
      </c>
      <c r="C72" s="21" t="s">
        <v>219</v>
      </c>
      <c r="D72" s="21" t="s">
        <v>878</v>
      </c>
      <c r="E72" s="13">
        <v>42816.445208333331</v>
      </c>
      <c r="F72" s="13">
        <v>42816.448067129626</v>
      </c>
      <c r="G72" s="7">
        <v>1</v>
      </c>
      <c r="H72" s="21" t="s">
        <v>877</v>
      </c>
      <c r="I72" s="13">
        <v>42816.473287037035</v>
      </c>
      <c r="J72" s="7">
        <v>2</v>
      </c>
      <c r="K72" s="98" t="str">
        <f t="shared" si="0"/>
        <v>4003/4004</v>
      </c>
      <c r="L72" s="21" t="str">
        <f>VLOOKUP(A72,'Trips&amp;Operators'!$C$1:$G$99999,5,FALSE)</f>
        <v>STARKS ANGELINA</v>
      </c>
      <c r="M72" s="6">
        <f t="shared" si="1"/>
        <v>2.5219907409336884E-2</v>
      </c>
      <c r="N72" s="7">
        <f t="shared" si="24"/>
        <v>36.316666669445112</v>
      </c>
      <c r="O72" s="7"/>
      <c r="P72" s="7"/>
      <c r="Q72" s="22"/>
      <c r="R72" s="22"/>
      <c r="S72" s="31">
        <f t="shared" si="25"/>
        <v>1</v>
      </c>
      <c r="T72" s="46" t="str">
        <f t="shared" si="2"/>
        <v>NorthBound</v>
      </c>
      <c r="U72" s="18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6" t="str">
        <f t="shared" si="3"/>
        <v>https://d0f6bd738d7f1b3e5a7ca70fe4ff75f0.us-east-1.aws.found.io/app/kibana#/discover/Steve-Slow-Train-Analysis-(2080s-and-2083s)?_g=(refreshInterval:(display:Off,pause:!f,section:0,value:0),time:(from:'2017-03-22T09:41:06-0600',mode:absolute,to:'2017-03-22T12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2" s="187" t="str">
        <f t="shared" si="4"/>
        <v>N</v>
      </c>
      <c r="X72" s="187">
        <f t="shared" si="23"/>
        <v>1</v>
      </c>
      <c r="Y72" s="62">
        <f t="shared" si="6"/>
        <v>5.1999999999999998E-2</v>
      </c>
      <c r="Z72" s="62">
        <f t="shared" si="7"/>
        <v>23.328700000000001</v>
      </c>
      <c r="AA72" s="62">
        <f t="shared" si="8"/>
        <v>23.276700000000002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9"/>
        <v>0157-22</v>
      </c>
      <c r="AE72" s="85" t="str">
        <f t="shared" si="10"/>
        <v>aws s3 cp s3://rtdc.mdm.uploadarchive.raw/RTDC4003/ "%USERPROFILE%\AppData\Local\Temp\OnboardLogs"\RTDC4003\2017-03-22 --exclude "*" --recursive --include "*20170322*" &amp; "%USERPROFILE%\Documents\GitHub\mrs-test-scripts\Headless Mode &amp; Sideloading\WalkAndUnGZ.bat" "%USERPROFILE%\AppData\Local\Temp\OnboardLogs"\RTDC4003\2017-03-22 &amp; aws s3 cp s3://rtdc.mdm.uploadarchive.raw/RTDC4003/ "%USERPROFILE%\AppData\Local\Temp\OnboardLogs"\RTDC4003\2017-03-23 --exclude "*" --recursive --include "*20170323*" &amp; "%USERPROFILE%\Documents\GitHub\mrs-test-scripts\Headless Mode &amp; Sideloading\WalkAndUnGZ.bat" "%USERPROFILE%\AppData\Local\Temp\OnboardLogs"\RTDC4003\2017-03-23</v>
      </c>
      <c r="AF72" s="82" t="str">
        <f t="shared" si="11"/>
        <v>"C:\Program Files (x86)\AstroGrep\AstroGrep.exe" /e /r /s /spath="%USERPROFILE%\AppData\Local\Temp\OnboardLogs" /stypes="app*4003*20170322*" /stext=" 17:.+((SYSTEM_STATE.+slice.+state.+changed )|(ment ac)|(multiple cpu faults)|(system.+state.+changed )|(\[timeout)|(PRM\|1\|D)|(kpr)|(kdp)|(\|lc)|(penalty))"</v>
      </c>
      <c r="AG72" s="1" t="str">
        <f t="shared" si="12"/>
        <v>EC</v>
      </c>
      <c r="AH72" s="86" t="str">
        <f t="shared" si="16"/>
        <v>"%USERPROFILE%\Documents\GitHub\eaglep3\Utilities\RefineRTDCRunTimes.py" --tripid 157-22 --locoid 4003 --swversion DE.1.0.9.0 --startMP 204:520 --initTime 2017-03-22T10:41:06 --startdatetime 2017-03-22T10:45:13 --delay 1 --endMP 204:233287 --enddatetime 2017-03-22T11:21:32 --enforcementcount 2 &gt;&gt;C:\Users\stu\Documents\GitHub\eaglep3-reporting\EC\2017-03-22-refined-times.txt</v>
      </c>
      <c r="AI72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{"issue":{"subject":"","project_id":79,"tracker_id":40,"status_id":1,"priority_id":2,"assigned_to_id":23,"start_date":"2017-03-22","description":"","custom_fields":[{"id":1,"name":"Subdivision","value":"EC"},{"id":4,"name":"Milepost","value":"23.3287"},{"id":17,"name":"Train ID","value":"157-22"},{"id":16,"name":"Locomotive ID","value":"4003"},{"id":130,"name":"Impact","value":""},{"id":150,"name":"Time of Event (Mountain Time)","value":"11:21:32"},{"id":151,"name":"Denver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18"/>
        <v>start /low /b %USERPROFILE%\Documents\GitHub\eaglep3\Utilities\DownloadLogsFromS3.py --loco 4003 --day 2017-03-22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"%USERPROFILE%\AppData\Local\Temp\OnboardLogs"\RTDC4003\*4003*20170322* | grep -SE "(Enforcement Action)|(\[TIMEOUT)|(CHR.+\|PRM\|1\|D.+(SWITCH|SIGNAL).+UNKNOWN)" - &gt;&gt; 2017-03-22-UncaughtWiMAX.txt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727</v>
      </c>
      <c r="B73" s="7">
        <v>4004</v>
      </c>
      <c r="C73" s="21" t="s">
        <v>219</v>
      </c>
      <c r="D73" s="21" t="s">
        <v>879</v>
      </c>
      <c r="E73" s="13">
        <v>42816.484733796293</v>
      </c>
      <c r="F73" s="13">
        <v>42816.487476851849</v>
      </c>
      <c r="G73" s="7">
        <v>1</v>
      </c>
      <c r="H73" s="21" t="s">
        <v>215</v>
      </c>
      <c r="I73" s="13">
        <v>42816.515208333331</v>
      </c>
      <c r="J73" s="7">
        <v>2</v>
      </c>
      <c r="K73" s="98" t="str">
        <f t="shared" si="0"/>
        <v>4003/4004</v>
      </c>
      <c r="L73" s="21" t="str">
        <f>VLOOKUP(A73,'Trips&amp;Operators'!$C$1:$G$99999,5,FALSE)</f>
        <v>STARKS ANGELINA</v>
      </c>
      <c r="M73" s="6">
        <f t="shared" si="1"/>
        <v>2.7731481481168885E-2</v>
      </c>
      <c r="N73" s="7">
        <f t="shared" si="24"/>
        <v>39.933333332883194</v>
      </c>
      <c r="O73" s="7"/>
      <c r="P73" s="7"/>
      <c r="Q73" s="22"/>
      <c r="R73" s="22"/>
      <c r="S73" s="31">
        <f t="shared" si="25"/>
        <v>1</v>
      </c>
      <c r="T73" s="46" t="str">
        <f t="shared" si="2"/>
        <v>Southbound</v>
      </c>
      <c r="U73" s="18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6" t="str">
        <f t="shared" si="3"/>
        <v>https://d0f6bd738d7f1b3e5a7ca70fe4ff75f0.us-east-1.aws.found.io/app/kibana#/discover/Steve-Slow-Train-Analysis-(2080s-and-2083s)?_g=(refreshInterval:(display:Off,pause:!f,section:0,value:0),time:(from:'2017-03-22T10:38:01-0600',mode:absolute,to:'2017-03-22T13:21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3" s="187" t="str">
        <f t="shared" si="4"/>
        <v>N</v>
      </c>
      <c r="X73" s="187">
        <f t="shared" si="23"/>
        <v>1</v>
      </c>
      <c r="Y73" s="62">
        <f t="shared" si="6"/>
        <v>23.298500000000001</v>
      </c>
      <c r="Z73" s="62">
        <f t="shared" si="7"/>
        <v>1.47E-2</v>
      </c>
      <c r="AA73" s="62">
        <f t="shared" si="8"/>
        <v>23.283799999999999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9"/>
        <v>0158-22</v>
      </c>
      <c r="AE73" s="85" t="str">
        <f t="shared" si="10"/>
        <v>aws s3 cp s3://rtdc.mdm.uploadarchive.raw/RTDC4004/ "%USERPROFILE%\AppData\Local\Temp\OnboardLogs"\RTDC4004\2017-03-22 --exclude "*" --recursive --include "*20170322*" &amp; "%USERPROFILE%\Documents\GitHub\mrs-test-scripts\Headless Mode &amp; Sideloading\WalkAndUnGZ.bat" "%USERPROFILE%\AppData\Local\Temp\OnboardLogs"\RTDC4004\2017-03-22 &amp; aws s3 cp s3://rtdc.mdm.uploadarchive.raw/RTDC4004/ "%USERPROFILE%\AppData\Local\Temp\OnboardLogs"\RTDC4004\2017-03-23 --exclude "*" --recursive --include "*20170323*" &amp; "%USERPROFILE%\Documents\GitHub\mrs-test-scripts\Headless Mode &amp; Sideloading\WalkAndUnGZ.bat" "%USERPROFILE%\AppData\Local\Temp\OnboardLogs"\RTDC4004\2017-03-23</v>
      </c>
      <c r="AF73" s="82" t="str">
        <f t="shared" si="11"/>
        <v>"C:\Program Files (x86)\AstroGrep\AstroGrep.exe" /e /r /s /spath="%USERPROFILE%\AppData\Local\Temp\OnboardLogs" /stypes="app*4004*20170322*" /stext=" 18:.+((SYSTEM_STATE.+slice.+state.+changed )|(ment ac)|(multiple cpu faults)|(system.+state.+changed )|(\[timeout)|(PRM\|1\|D)|(kpr)|(kdp)|(\|lc)|(penalty))"</v>
      </c>
      <c r="AG73" s="1" t="str">
        <f t="shared" si="12"/>
        <v>EC</v>
      </c>
      <c r="AH73" s="86" t="str">
        <f t="shared" si="16"/>
        <v>"%USERPROFILE%\Documents\GitHub\eaglep3\Utilities\RefineRTDCRunTimes.py" --tripid 158-22 --locoid 4004 --swversion DE.1.0.9.0 --startMP 204:232985 --initTime 2017-03-22T11:38:01 --startdatetime 2017-03-22T11:41:58 --delay 1 --endMP 204:147 --enddatetime 2017-03-22T12:21:54 --enforcementcount 2 &gt;&gt;C:\Users\stu\Documents\GitHub\eaglep3-reporting\EC\2017-03-22-refined-times.txt</v>
      </c>
      <c r="AI73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{"issue":{"subject":"","project_id":79,"tracker_id":40,"status_id":1,"priority_id":2,"assigned_to_id":23,"start_date":"2017-03-22","description":"","custom_fields":[{"id":1,"name":"Subdivision","value":"EC"},{"id":4,"name":"Milepost","value":"0.0147"},{"id":17,"name":"Train ID","value":"158-22"},{"id":16,"name":"Locomotive ID","value":"4004"},{"id":130,"name":"Impact","value":""},{"id":150,"name":"Time of Event (Mountain Time)","value":"12:21:54"},{"id":151,"name":"Denver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18"/>
        <v>start /low /b %USERPROFILE%\Documents\GitHub\eaglep3\Utilities\DownloadLogsFromS3.py --loco 4004 --day 2017-03-22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"%USERPROFILE%\AppData\Local\Temp\OnboardLogs"\RTDC4004\*4004*20170322* | grep -SE "(Enforcement Action)|(\[TIMEOUT)|(CHR.+\|PRM\|1\|D.+(SWITCH|SIGNAL).+UNKNOWN)" - &gt;&gt; 2017-03-22-UncaughtWiMAX.txt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721</v>
      </c>
      <c r="B74" s="7">
        <v>4027</v>
      </c>
      <c r="C74" s="21" t="s">
        <v>219</v>
      </c>
      <c r="D74" s="21" t="s">
        <v>880</v>
      </c>
      <c r="E74" s="13">
        <v>42816.453599537039</v>
      </c>
      <c r="F74" s="13">
        <v>42816.458495370367</v>
      </c>
      <c r="G74" s="7">
        <v>1</v>
      </c>
      <c r="H74" s="21" t="s">
        <v>559</v>
      </c>
      <c r="I74" s="13">
        <v>42816.4846875</v>
      </c>
      <c r="J74" s="7">
        <v>2</v>
      </c>
      <c r="K74" s="98" t="str">
        <f t="shared" si="0"/>
        <v>4027/4028</v>
      </c>
      <c r="L74" s="21" t="str">
        <f>VLOOKUP(A74,'Trips&amp;Operators'!$C$1:$G$99999,5,FALSE)</f>
        <v>CLARK KATHLEEN</v>
      </c>
      <c r="M74" s="6">
        <f t="shared" si="1"/>
        <v>2.6192129633272998E-2</v>
      </c>
      <c r="N74" s="7">
        <f t="shared" si="24"/>
        <v>37.716666671913117</v>
      </c>
      <c r="O74" s="7"/>
      <c r="P74" s="7"/>
      <c r="Q74" s="22"/>
      <c r="R74" s="22"/>
      <c r="S74" s="31">
        <f t="shared" si="25"/>
        <v>1</v>
      </c>
      <c r="T74" s="46" t="str">
        <f t="shared" si="2"/>
        <v>NorthBound</v>
      </c>
      <c r="U74" s="18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6" t="str">
        <f t="shared" si="3"/>
        <v>https://d0f6bd738d7f1b3e5a7ca70fe4ff75f0.us-east-1.aws.found.io/app/kibana#/discover/Steve-Slow-Train-Analysis-(2080s-and-2083s)?_g=(refreshInterval:(display:Off,pause:!f,section:0,value:0),time:(from:'2017-03-22T09:53:11-0600',mode:absolute,to:'2017-03-22T12:37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4" s="187" t="str">
        <f t="shared" si="4"/>
        <v>N</v>
      </c>
      <c r="X74" s="187">
        <f t="shared" si="23"/>
        <v>1</v>
      </c>
      <c r="Y74" s="62">
        <f t="shared" si="6"/>
        <v>4.7699999999999999E-2</v>
      </c>
      <c r="Z74" s="62">
        <f t="shared" si="7"/>
        <v>23.328399999999998</v>
      </c>
      <c r="AA74" s="62">
        <f t="shared" si="8"/>
        <v>23.2807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9"/>
        <v>0159-22</v>
      </c>
      <c r="AE74" s="85" t="str">
        <f t="shared" si="10"/>
        <v>aws s3 cp s3://rtdc.mdm.uploadarchive.raw/RTDC4027/ "%USERPROFILE%\AppData\Local\Temp\OnboardLogs"\RTDC4027\2017-03-22 --exclude "*" --recursive --include "*20170322*" &amp; "%USERPROFILE%\Documents\GitHub\mrs-test-scripts\Headless Mode &amp; Sideloading\WalkAndUnGZ.bat" "%USERPROFILE%\AppData\Local\Temp\OnboardLogs"\RTDC4027\2017-03-22 &amp; aws s3 cp s3://rtdc.mdm.uploadarchive.raw/RTDC4027/ "%USERPROFILE%\AppData\Local\Temp\OnboardLogs"\RTDC4027\2017-03-23 --exclude "*" --recursive --include "*20170323*" &amp; "%USERPROFILE%\Documents\GitHub\mrs-test-scripts\Headless Mode &amp; Sideloading\WalkAndUnGZ.bat" "%USERPROFILE%\AppData\Local\Temp\OnboardLogs"\RTDC4027\2017-03-23</v>
      </c>
      <c r="AF74" s="82" t="str">
        <f t="shared" si="11"/>
        <v>"C:\Program Files (x86)\AstroGrep\AstroGrep.exe" /e /r /s /spath="%USERPROFILE%\AppData\Local\Temp\OnboardLogs" /stypes="app*4027*20170322*" /stext=" 17:.+((SYSTEM_STATE.+slice.+state.+changed )|(ment ac)|(multiple cpu faults)|(system.+state.+changed )|(\[timeout)|(PRM\|1\|D)|(kpr)|(kdp)|(\|lc)|(penalty))"</v>
      </c>
      <c r="AG74" s="1" t="str">
        <f t="shared" si="12"/>
        <v>EC</v>
      </c>
      <c r="AH74" s="86" t="str">
        <f t="shared" si="16"/>
        <v>"%USERPROFILE%\Documents\GitHub\eaglep3\Utilities\RefineRTDCRunTimes.py" --tripid 159-22 --locoid 4027 --swversion DE.1.0.9.0 --startMP 204:477 --initTime 2017-03-22T10:53:11 --startdatetime 2017-03-22T11:00:14 --delay 1 --endMP 204:233284 --enddatetime 2017-03-22T11:37:57 --enforcementcount 2 &gt;&gt;C:\Users\stu\Documents\GitHub\eaglep3-reporting\EC\2017-03-22-refined-times.txt</v>
      </c>
      <c r="AI74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{"issue":{"subject":"","project_id":79,"tracker_id":40,"status_id":1,"priority_id":2,"assigned_to_id":23,"start_date":"2017-03-22","description":"","custom_fields":[{"id":1,"name":"Subdivision","value":"EC"},{"id":4,"name":"Milepost","value":"23.3284"},{"id":17,"name":"Train ID","value":"159-22"},{"id":16,"name":"Locomotive ID","value":"4027"},{"id":130,"name":"Impact","value":""},{"id":150,"name":"Time of Event (Mountain Time)","value":"11:37:57"},{"id":151,"name":"Denver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18"/>
        <v>start /low /b %USERPROFILE%\Documents\GitHub\eaglep3\Utilities\DownloadLogsFromS3.py --loco 4027 --day 2017-03-22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"%USERPROFILE%\AppData\Local\Temp\OnboardLogs"\RTDC4027\*4027*20170322* | grep -SE "(Enforcement Action)|(\[TIMEOUT)|(CHR.+\|PRM\|1\|D.+(SWITCH|SIGNAL).+UNKNOWN)" - &gt;&gt; 2017-03-22-UncaughtWiMAX.txt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729</v>
      </c>
      <c r="B75" s="7">
        <v>4028</v>
      </c>
      <c r="C75" s="21" t="s">
        <v>219</v>
      </c>
      <c r="D75" s="21" t="s">
        <v>490</v>
      </c>
      <c r="E75" s="13">
        <v>42816.493773148148</v>
      </c>
      <c r="F75" s="13">
        <v>42816.497384259259</v>
      </c>
      <c r="G75" s="7">
        <v>1</v>
      </c>
      <c r="H75" s="21" t="s">
        <v>881</v>
      </c>
      <c r="I75" s="13">
        <v>42816.528437499997</v>
      </c>
      <c r="J75" s="7">
        <v>2</v>
      </c>
      <c r="K75" s="98" t="str">
        <f t="shared" si="0"/>
        <v>4027/4028</v>
      </c>
      <c r="L75" s="21" t="str">
        <f>VLOOKUP(A75,'Trips&amp;Operators'!$C$1:$G$99999,5,FALSE)</f>
        <v>CLARK KATHLEEN</v>
      </c>
      <c r="M75" s="6">
        <f t="shared" si="1"/>
        <v>3.1053240738401655E-2</v>
      </c>
      <c r="N75" s="7">
        <f t="shared" si="24"/>
        <v>44.716666663298383</v>
      </c>
      <c r="O75" s="7"/>
      <c r="P75" s="7"/>
      <c r="Q75" s="22"/>
      <c r="R75" s="22"/>
      <c r="S75" s="31">
        <f t="shared" si="25"/>
        <v>1</v>
      </c>
      <c r="T75" s="46" t="str">
        <f t="shared" si="2"/>
        <v>Southbound</v>
      </c>
      <c r="U75" s="18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6" t="str">
        <f t="shared" si="3"/>
        <v>https://d0f6bd738d7f1b3e5a7ca70fe4ff75f0.us-east-1.aws.found.io/app/kibana#/discover/Steve-Slow-Train-Analysis-(2080s-and-2083s)?_g=(refreshInterval:(display:Off,pause:!f,section:0,value:0),time:(from:'2017-03-22T10:51:02-0600',mode:absolute,to:'2017-03-22T13:40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5" s="187" t="str">
        <f t="shared" si="4"/>
        <v>N</v>
      </c>
      <c r="X75" s="187">
        <f t="shared" si="23"/>
        <v>1</v>
      </c>
      <c r="Y75" s="62">
        <f t="shared" si="6"/>
        <v>23.296900000000001</v>
      </c>
      <c r="Z75" s="62">
        <f t="shared" si="7"/>
        <v>1.72E-2</v>
      </c>
      <c r="AA75" s="62">
        <f t="shared" si="8"/>
        <v>23.279700000000002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9"/>
        <v>0160-22</v>
      </c>
      <c r="AE75" s="85" t="str">
        <f t="shared" si="10"/>
        <v>aws s3 cp s3://rtdc.mdm.uploadarchive.raw/RTDC4028/ "%USERPROFILE%\AppData\Local\Temp\OnboardLogs"\RTDC4028\2017-03-22 --exclude "*" --recursive --include "*20170322*" &amp; "%USERPROFILE%\Documents\GitHub\mrs-test-scripts\Headless Mode &amp; Sideloading\WalkAndUnGZ.bat" "%USERPROFILE%\AppData\Local\Temp\OnboardLogs"\RTDC4028\2017-03-22 &amp; aws s3 cp s3://rtdc.mdm.uploadarchive.raw/RTDC4028/ "%USERPROFILE%\AppData\Local\Temp\OnboardLogs"\RTDC4028\2017-03-23 --exclude "*" --recursive --include "*20170323*" &amp; "%USERPROFILE%\Documents\GitHub\mrs-test-scripts\Headless Mode &amp; Sideloading\WalkAndUnGZ.bat" "%USERPROFILE%\AppData\Local\Temp\OnboardLogs"\RTDC4028\2017-03-23</v>
      </c>
      <c r="AF75" s="82" t="str">
        <f t="shared" si="11"/>
        <v>"C:\Program Files (x86)\AstroGrep\AstroGrep.exe" /e /r /s /spath="%USERPROFILE%\AppData\Local\Temp\OnboardLogs" /stypes="app*4028*20170322*" /stext=" 18:.+((SYSTEM_STATE.+slice.+state.+changed )|(ment ac)|(multiple cpu faults)|(system.+state.+changed )|(\[timeout)|(PRM\|1\|D)|(kpr)|(kdp)|(\|lc)|(penalty))"</v>
      </c>
      <c r="AG75" s="1" t="str">
        <f t="shared" si="12"/>
        <v>EC</v>
      </c>
      <c r="AH75" s="86" t="str">
        <f t="shared" si="16"/>
        <v>"%USERPROFILE%\Documents\GitHub\eaglep3\Utilities\RefineRTDCRunTimes.py" --tripid 160-22 --locoid 4028 --swversion DE.1.0.9.0 --startMP 204:232969 --initTime 2017-03-22T11:51:02 --startdatetime 2017-03-22T11:56:14 --delay 1 --endMP 204:172 --enddatetime 2017-03-22T12:40:57 --enforcementcount 2 &gt;&gt;C:\Users\stu\Documents\GitHub\eaglep3-reporting\EC\2017-03-22-refined-times.txt</v>
      </c>
      <c r="AI75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{"issue":{"subject":"","project_id":79,"tracker_id":40,"status_id":1,"priority_id":2,"assigned_to_id":23,"start_date":"2017-03-22","description":"","custom_fields":[{"id":1,"name":"Subdivision","value":"EC"},{"id":4,"name":"Milepost","value":"0.0172"},{"id":17,"name":"Train ID","value":"160-22"},{"id":16,"name":"Locomotive ID","value":"4028"},{"id":130,"name":"Impact","value":""},{"id":150,"name":"Time of Event (Mountain Time)","value":"12:40:57"},{"id":151,"name":"Denver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18"/>
        <v>start /low /b %USERPROFILE%\Documents\GitHub\eaglep3\Utilities\DownloadLogsFromS3.py --loco 4028 --day 2017-03-22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"%USERPROFILE%\AppData\Local\Temp\OnboardLogs"\RTDC4028\*4028*20170322* | grep -SE "(Enforcement Action)|(\[TIMEOUT)|(CHR.+\|PRM\|1\|D.+(SWITCH|SIGNAL).+UNKNOWN)" - &gt;&gt; 2017-03-22-UncaughtWiMAX.txt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723</v>
      </c>
      <c r="B76" s="7">
        <v>4040</v>
      </c>
      <c r="C76" s="21" t="s">
        <v>219</v>
      </c>
      <c r="D76" s="21" t="s">
        <v>882</v>
      </c>
      <c r="E76" s="13">
        <v>42816.464814814812</v>
      </c>
      <c r="F76" s="13">
        <v>42816.469108796293</v>
      </c>
      <c r="G76" s="7">
        <v>1</v>
      </c>
      <c r="H76" s="21" t="s">
        <v>883</v>
      </c>
      <c r="I76" s="13">
        <v>42816.495763888888</v>
      </c>
      <c r="J76" s="7">
        <v>2</v>
      </c>
      <c r="K76" s="98" t="str">
        <f t="shared" si="0"/>
        <v>4039/4040</v>
      </c>
      <c r="L76" s="21" t="str">
        <f>VLOOKUP(A76,'Trips&amp;Operators'!$C$1:$G$99999,5,FALSE)</f>
        <v>DAVIS MICHAEL</v>
      </c>
      <c r="M76" s="6">
        <f t="shared" si="1"/>
        <v>2.6655092595319729E-2</v>
      </c>
      <c r="N76" s="7">
        <f t="shared" si="24"/>
        <v>38.38333333726041</v>
      </c>
      <c r="O76" s="7"/>
      <c r="P76" s="7"/>
      <c r="Q76" s="22"/>
      <c r="R76" s="22"/>
      <c r="S76" s="31">
        <f t="shared" si="25"/>
        <v>1</v>
      </c>
      <c r="T76" s="46" t="str">
        <f t="shared" si="2"/>
        <v>NorthBound</v>
      </c>
      <c r="U76" s="18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6" t="str">
        <f t="shared" si="3"/>
        <v>https://d0f6bd738d7f1b3e5a7ca70fe4ff75f0.us-east-1.aws.found.io/app/kibana#/discover/Steve-Slow-Train-Analysis-(2080s-and-2083s)?_g=(refreshInterval:(display:Off,pause:!f,section:0,value:0),time:(from:'2017-03-22T10:09:20-0600',mode:absolute,to:'2017-03-22T12:53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6" s="187" t="str">
        <f t="shared" si="4"/>
        <v>N</v>
      </c>
      <c r="X76" s="187">
        <f t="shared" si="23"/>
        <v>1</v>
      </c>
      <c r="Y76" s="62">
        <f t="shared" si="6"/>
        <v>4.58E-2</v>
      </c>
      <c r="Z76" s="62">
        <f t="shared" si="7"/>
        <v>23.332100000000001</v>
      </c>
      <c r="AA76" s="62">
        <f t="shared" si="8"/>
        <v>23.286300000000001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9"/>
        <v>0161-22</v>
      </c>
      <c r="AE76" s="85" t="str">
        <f t="shared" si="10"/>
        <v>aws s3 cp s3://rtdc.mdm.uploadarchive.raw/RTDC4040/ "%USERPROFILE%\AppData\Local\Temp\OnboardLogs"\RTDC4040\2017-03-22 --exclude "*" --recursive --include "*20170322*" &amp; "%USERPROFILE%\Documents\GitHub\mrs-test-scripts\Headless Mode &amp; Sideloading\WalkAndUnGZ.bat" "%USERPROFILE%\AppData\Local\Temp\OnboardLogs"\RTDC4040\2017-03-22 &amp; aws s3 cp s3://rtdc.mdm.uploadarchive.raw/RTDC4040/ "%USERPROFILE%\AppData\Local\Temp\OnboardLogs"\RTDC4040\2017-03-23 --exclude "*" --recursive --include "*20170323*" &amp; "%USERPROFILE%\Documents\GitHub\mrs-test-scripts\Headless Mode &amp; Sideloading\WalkAndUnGZ.bat" "%USERPROFILE%\AppData\Local\Temp\OnboardLogs"\RTDC4040\2017-03-23</v>
      </c>
      <c r="AF76" s="82" t="str">
        <f t="shared" si="11"/>
        <v>"C:\Program Files (x86)\AstroGrep\AstroGrep.exe" /e /r /s /spath="%USERPROFILE%\AppData\Local\Temp\OnboardLogs" /stypes="app*4040*20170322*" /stext=" 17:.+((SYSTEM_STATE.+slice.+state.+changed )|(ment ac)|(multiple cpu faults)|(system.+state.+changed )|(\[timeout)|(PRM\|1\|D)|(kpr)|(kdp)|(\|lc)|(penalty))"</v>
      </c>
      <c r="AG76" s="1" t="str">
        <f t="shared" si="12"/>
        <v>EC</v>
      </c>
      <c r="AH76" s="86" t="str">
        <f t="shared" si="16"/>
        <v>"%USERPROFILE%\Documents\GitHub\eaglep3\Utilities\RefineRTDCRunTimes.py" --tripid 161-22 --locoid 4040 --swversion DE.1.0.9.0 --startMP 204:458 --initTime 2017-03-22T11:09:20 --startdatetime 2017-03-22T11:15:31 --delay 1 --endMP 204:233321 --enddatetime 2017-03-22T11:53:54 --enforcementcount 2 &gt;&gt;C:\Users\stu\Documents\GitHub\eaglep3-reporting\EC\2017-03-22-refined-times.txt</v>
      </c>
      <c r="AI76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{"issue":{"subject":"","project_id":79,"tracker_id":40,"status_id":1,"priority_id":2,"assigned_to_id":23,"start_date":"2017-03-22","description":"","custom_fields":[{"id":1,"name":"Subdivision","value":"EC"},{"id":4,"name":"Milepost","value":"23.3321"},{"id":17,"name":"Train ID","value":"161-22"},{"id":16,"name":"Locomotive ID","value":"4040"},{"id":130,"name":"Impact","value":""},{"id":150,"name":"Time of Event (Mountain Time)","value":"11:53:54"},{"id":151,"name":"Denver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18"/>
        <v>start /low /b %USERPROFILE%\Documents\GitHub\eaglep3\Utilities\DownloadLogsFromS3.py --loco 4040 --day 2017-03-22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"%USERPROFILE%\AppData\Local\Temp\OnboardLogs"\RTDC4040\*4040*20170322* | grep -SE "(Enforcement Action)|(\[TIMEOUT)|(CHR.+\|PRM\|1\|D.+(SWITCH|SIGNAL).+UNKNOWN)" - &gt;&gt; 2017-03-22-UncaughtWiMAX.txt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618</v>
      </c>
      <c r="B77" s="7">
        <v>4039</v>
      </c>
      <c r="C77" s="21" t="s">
        <v>219</v>
      </c>
      <c r="D77" s="21" t="s">
        <v>222</v>
      </c>
      <c r="E77" s="13">
        <v>42816.505740740744</v>
      </c>
      <c r="F77" s="13">
        <v>42816.508217592593</v>
      </c>
      <c r="G77" s="7">
        <v>1</v>
      </c>
      <c r="H77" s="21" t="s">
        <v>884</v>
      </c>
      <c r="I77" s="13">
        <v>42816.535925925928</v>
      </c>
      <c r="J77" s="7">
        <v>2</v>
      </c>
      <c r="K77" s="98" t="str">
        <f t="shared" ref="K77:K140" si="26">IF(ISEVEN(B77),(B77-1)&amp;"/"&amp;B77,B77&amp;"/"&amp;(B77+1))</f>
        <v>4039/4040</v>
      </c>
      <c r="L77" s="21" t="str">
        <f>VLOOKUP(A77,'Trips&amp;Operators'!$C$1:$G$99999,5,FALSE)</f>
        <v>DAVIS MICHAEL</v>
      </c>
      <c r="M77" s="6">
        <f t="shared" ref="M77:M140" si="27">I77-F77</f>
        <v>2.7708333334885538E-2</v>
      </c>
      <c r="N77" s="7">
        <f t="shared" si="24"/>
        <v>39.900000002235174</v>
      </c>
      <c r="O77" s="7"/>
      <c r="P77" s="7"/>
      <c r="Q77" s="22"/>
      <c r="R77" s="22"/>
      <c r="S77" s="31">
        <f t="shared" si="25"/>
        <v>1</v>
      </c>
      <c r="T77" s="46" t="str">
        <f t="shared" ref="T77:T140" si="28">IF(ISEVEN(LEFT(AD77,4)),"Southbound","NorthBound")</f>
        <v>Southbound</v>
      </c>
      <c r="U77" s="18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6" t="str">
        <f t="shared" ref="V77:V140" si="29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-03-22T11:08:16-0600',mode:absolute,to:'2017-03-22T13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7" s="187" t="str">
        <f t="shared" ref="W77:W140" si="30">IF(AA77&lt;IF(AG77="EC",23,5.65),"Y","N")</f>
        <v>N</v>
      </c>
      <c r="X77" s="187">
        <f t="shared" ref="X77:X108" si="31">VALUE(LEFT(AD77,4))-VALUE(LEFT(AD76,4))</f>
        <v>1</v>
      </c>
      <c r="Y77" s="62">
        <f t="shared" ref="Y77:Y140" si="32">RIGHT(D77,LEN(D77)-4)/10000</f>
        <v>23.3</v>
      </c>
      <c r="Z77" s="62">
        <f t="shared" ref="Z77:Z140" si="33">RIGHT(H77,LEN(H77)-4)/10000</f>
        <v>2.0899999999999998E-2</v>
      </c>
      <c r="AA77" s="62">
        <f t="shared" ref="AA77:AA140" si="34">ABS(Z77-Y77)</f>
        <v>23.2791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5">IF(LEN(A77)=6,"0"&amp;A77,A77)</f>
        <v>0162-22</v>
      </c>
      <c r="AE77" s="85" t="str">
        <f t="shared" ref="AE77:AE140" si="3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s3://rtdc.mdm.uploadarchive.raw/RTDC4039/ "%USERPROFILE%\AppData\Local\Temp\OnboardLogs"\RTDC4039\2017-03-22 --exclude "*" --recursive --include "*20170322*" &amp; "%USERPROFILE%\Documents\GitHub\mrs-test-scripts\Headless Mode &amp; Sideloading\WalkAndUnGZ.bat" "%USERPROFILE%\AppData\Local\Temp\OnboardLogs"\RTDC4039\2017-03-22 &amp; aws s3 cp s3://rtdc.mdm.uploadarchive.raw/RTDC4039/ "%USERPROFILE%\AppData\Local\Temp\OnboardLogs"\RTDC4039\2017-03-23 --exclude "*" --recursive --include "*20170323*" &amp; "%USERPROFILE%\Documents\GitHub\mrs-test-scripts\Headless Mode &amp; Sideloading\WalkAndUnGZ.bat" "%USERPROFILE%\AppData\Local\Temp\OnboardLogs"\RTDC4039\2017-03-23</v>
      </c>
      <c r="AF77" s="82" t="str">
        <f t="shared" ref="AF77:AF140" si="37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/stypes="app*4039*20170322*" /stext=" 18:.+((SYSTEM_STATE.+slice.+state.+changed )|(ment ac)|(multiple cpu faults)|(system.+state.+changed )|(\[timeout)|(PRM\|1\|D)|(kpr)|(kdp)|(\|lc)|(penalty))"</v>
      </c>
      <c r="AG77" s="1" t="str">
        <f t="shared" ref="AG77:AG140" si="38">IFERROR(IF(VALUE(LEFT(AD77,2))&lt;=2,"EC",IF(OR(VALUE(LEFT(AD77,2))=8,VALUE(LEFT(AD77,2))=18),"NW","Other")),"Other")</f>
        <v>EC</v>
      </c>
      <c r="AH77" s="86" t="str">
        <f t="shared" si="16"/>
        <v>"%USERPROFILE%\Documents\GitHub\eaglep3\Utilities\RefineRTDCRunTimes.py" --tripid 162-22 --locoid 4039 --swversion DE.1.0.9.0 --startMP 204:233000 --initTime 2017-03-22T12:08:16 --startdatetime 2017-03-22T12:11:50 --delay 1 --endMP 204:209 --enddatetime 2017-03-22T12:51:44 --enforcementcount 2 &gt;&gt;C:\Users\stu\Documents\GitHub\eaglep3-reporting\EC\2017-03-22-refined-times.txt</v>
      </c>
      <c r="AI77" s="108" t="str">
        <f t="shared" si="17"/>
        <v>echo {"issue":{"subject":"","project_id":79,"tracker_id":40,"status_id":1,"priority_id":2,"assigned_to_id":23,"start_date":"2017-03-22","description":"","custom_fields":[{"id":1,"name":"Subdivision","value":"EC"},{"id":4,"name":"Milepost","value":"0.0209"},{"id":17,"name":"Train ID","value":"162-22"},{"id":16,"name":"Locomotive ID","value":"4039"},{"id":130,"name":"Impact","value":""},{"id":150,"name":"Time of Event (Mountain Time)","value":"12:51:44"},{"id":151,"name":"Denver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18"/>
        <v>start /low /b %USERPROFILE%\Documents\GitHub\eaglep3\Utilities\DownloadLogsFromS3.py --loco 4039 --day 2017-03-22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"%USERPROFILE%\AppData\Local\Temp\OnboardLogs"\RTDC4039\*4039*20170322* | grep -SE "(Enforcement Action)|(\[TIMEOUT)|(CHR.+\|PRM\|1\|D.+(SWITCH|SIGNAL).+UNKNOWN)" - &gt;&gt; 2017-03-22-UncaughtWiMAX.txt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616</v>
      </c>
      <c r="B78" s="7">
        <v>4020</v>
      </c>
      <c r="C78" s="21" t="s">
        <v>219</v>
      </c>
      <c r="D78" s="21" t="s">
        <v>388</v>
      </c>
      <c r="E78" s="13">
        <v>42816.475347222222</v>
      </c>
      <c r="F78" s="13">
        <v>42816.479560185187</v>
      </c>
      <c r="G78" s="7">
        <v>2</v>
      </c>
      <c r="H78" s="21" t="s">
        <v>885</v>
      </c>
      <c r="I78" s="13">
        <v>42816.507685185185</v>
      </c>
      <c r="J78" s="7">
        <v>2</v>
      </c>
      <c r="K78" s="98" t="str">
        <f t="shared" si="26"/>
        <v>4019/4020</v>
      </c>
      <c r="L78" s="21" t="str">
        <f>VLOOKUP(A78,'Trips&amp;Operators'!$C$1:$G$99999,5,FALSE)</f>
        <v>MENGES BRAD</v>
      </c>
      <c r="M78" s="6">
        <f t="shared" si="27"/>
        <v>2.8124999997089617E-2</v>
      </c>
      <c r="N78" s="7">
        <f t="shared" si="24"/>
        <v>40.499999995809048</v>
      </c>
      <c r="O78" s="7"/>
      <c r="P78" s="7"/>
      <c r="Q78" s="22"/>
      <c r="R78" s="22"/>
      <c r="S78" s="31">
        <f t="shared" si="25"/>
        <v>1</v>
      </c>
      <c r="T78" s="46" t="str">
        <f t="shared" si="28"/>
        <v>NorthBound</v>
      </c>
      <c r="U78" s="18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6" t="str">
        <f t="shared" si="29"/>
        <v>https://d0f6bd738d7f1b3e5a7ca70fe4ff75f0.us-east-1.aws.found.io/app/kibana#/discover/Steve-Slow-Train-Analysis-(2080s-and-2083s)?_g=(refreshInterval:(display:Off,pause:!f,section:0,value:0),time:(from:'2017-03-22T10:24:30-0600',mode:absolute,to:'2017-03-22T13:11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8" s="187" t="str">
        <f t="shared" si="30"/>
        <v>N</v>
      </c>
      <c r="X78" s="187">
        <f t="shared" si="31"/>
        <v>1</v>
      </c>
      <c r="Y78" s="62">
        <f t="shared" si="32"/>
        <v>4.6199999999999998E-2</v>
      </c>
      <c r="Z78" s="62">
        <f t="shared" si="33"/>
        <v>23.331800000000001</v>
      </c>
      <c r="AA78" s="62">
        <f t="shared" si="34"/>
        <v>23.285600000000002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5"/>
        <v>0163-22</v>
      </c>
      <c r="AE78" s="85" t="str">
        <f t="shared" si="36"/>
        <v>aws s3 cp s3://rtdc.mdm.uploadarchive.raw/RTDC4020/ "%USERPROFILE%\AppData\Local\Temp\OnboardLogs"\RTDC4020\2017-03-22 --exclude "*" --recursive --include "*20170322*" &amp; "%USERPROFILE%\Documents\GitHub\mrs-test-scripts\Headless Mode &amp; Sideloading\WalkAndUnGZ.bat" "%USERPROFILE%\AppData\Local\Temp\OnboardLogs"\RTDC4020\2017-03-22 &amp; aws s3 cp s3://rtdc.mdm.uploadarchive.raw/RTDC4020/ "%USERPROFILE%\AppData\Local\Temp\OnboardLogs"\RTDC4020\2017-03-23 --exclude "*" --recursive --include "*20170323*" &amp; "%USERPROFILE%\Documents\GitHub\mrs-test-scripts\Headless Mode &amp; Sideloading\WalkAndUnGZ.bat" "%USERPROFILE%\AppData\Local\Temp\OnboardLogs"\RTDC4020\2017-03-23</v>
      </c>
      <c r="AF78" s="82" t="str">
        <f t="shared" si="37"/>
        <v>"C:\Program Files (x86)\AstroGrep\AstroGrep.exe" /e /r /s /spath="%USERPROFILE%\AppData\Local\Temp\OnboardLogs" /stypes="app*4020*20170322*" /stext=" 18:.+((SYSTEM_STATE.+slice.+state.+changed )|(ment ac)|(multiple cpu faults)|(system.+state.+changed )|(\[timeout)|(PRM\|1\|D)|(kpr)|(kdp)|(\|lc)|(penalty))"</v>
      </c>
      <c r="AG78" s="1" t="str">
        <f t="shared" si="38"/>
        <v>EC</v>
      </c>
      <c r="AH78" s="86" t="str">
        <f t="shared" ref="AH78:AH142" si="39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163-22 --locoid 4020 --swversion DE.1.0.9.0 --startMP 204:462 --initTime 2017-03-22T11:24:30 --startdatetime 2017-03-22T11:30:34 --delay 2 --endMP 204:233318 --enddatetime 2017-03-22T12:11:04 --enforcementcount 2 &gt;&gt;C:\Users\stu\Documents\GitHub\eaglep3-reporting\EC\2017-03-22-refined-times.txt</v>
      </c>
      <c r="AI78" s="108" t="str">
        <f t="shared" ref="AI78:AI142" si="40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{"issue":{"subject":"","project_id":79,"tracker_id":40,"status_id":1,"priority_id":2,"assigned_to_id":23,"start_date":"2017-03-22","description":"","custom_fields":[{"id":1,"name":"Subdivision","value":"EC"},{"id":4,"name":"Milepost","value":"23.3318"},{"id":17,"name":"Train ID","value":"163-22"},{"id":16,"name":"Locomotive ID","value":"4020"},{"id":130,"name":"Impact","value":""},{"id":150,"name":"Time of Event (Mountain Time)","value":"12:11:04"},{"id":151,"name":"Denver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ref="AM78:AM142" si="41">"start /low /b "&amp;dls3logs&amp;" --loco "&amp;B78&amp;" --day "&amp;TEXT(F78,"YYYY-MM-DD")</f>
        <v>start /low /b %USERPROFILE%\Documents\GitHub\eaglep3\Utilities\DownloadLogsFromS3.py --loco 4020 --day 2017-03-22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"%USERPROFILE%\AppData\Local\Temp\OnboardLogs"\RTDC4020\*4020*20170322* | grep -SE "(Enforcement Action)|(\[TIMEOUT)|(CHR.+\|PRM\|1\|D.+(SWITCH|SIGNAL).+UNKNOWN)" - &gt;&gt; 2017-03-22-UncaughtWiMAX.txt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3" t="s">
        <v>735</v>
      </c>
      <c r="B79" s="7">
        <v>4019</v>
      </c>
      <c r="C79" s="21" t="s">
        <v>219</v>
      </c>
      <c r="D79" s="21" t="s">
        <v>465</v>
      </c>
      <c r="E79" s="13">
        <v>42816.51185185185</v>
      </c>
      <c r="F79" s="13">
        <v>42816.518240740741</v>
      </c>
      <c r="G79" s="7">
        <v>1</v>
      </c>
      <c r="H79" s="21" t="s">
        <v>214</v>
      </c>
      <c r="I79" s="13">
        <v>42816.546898148146</v>
      </c>
      <c r="J79" s="7">
        <v>2</v>
      </c>
      <c r="K79" s="98" t="str">
        <f t="shared" si="26"/>
        <v>4019/4020</v>
      </c>
      <c r="L79" s="21" t="str">
        <f>VLOOKUP(A79,'Trips&amp;Operators'!$C$1:$G$99999,5,FALSE)</f>
        <v>MENGES BRAD</v>
      </c>
      <c r="M79" s="6">
        <f t="shared" si="27"/>
        <v>2.8657407405262347E-2</v>
      </c>
      <c r="N79" s="7">
        <f t="shared" si="24"/>
        <v>41.26666666357778</v>
      </c>
      <c r="O79" s="7"/>
      <c r="P79" s="7"/>
      <c r="Q79" s="22"/>
      <c r="R79" s="22"/>
      <c r="S79" s="31">
        <f t="shared" si="25"/>
        <v>1</v>
      </c>
      <c r="T79" s="46" t="str">
        <f t="shared" si="28"/>
        <v>Southbound</v>
      </c>
      <c r="U79" s="18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6" t="str">
        <f t="shared" si="29"/>
        <v>https://d0f6bd738d7f1b3e5a7ca70fe4ff75f0.us-east-1.aws.found.io/app/kibana#/discover/Steve-Slow-Train-Analysis-(2080s-and-2083s)?_g=(refreshInterval:(display:Off,pause:!f,section:0,value:0),time:(from:'2017-03-22T11:17:04-0600',mode:absolute,to:'2017-03-22T14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9" s="187" t="str">
        <f t="shared" si="30"/>
        <v>N</v>
      </c>
      <c r="X79" s="187">
        <f t="shared" si="31"/>
        <v>1</v>
      </c>
      <c r="Y79" s="62">
        <f t="shared" si="32"/>
        <v>23.297999999999998</v>
      </c>
      <c r="Z79" s="62">
        <f t="shared" si="33"/>
        <v>1.5599999999999999E-2</v>
      </c>
      <c r="AA79" s="62">
        <f t="shared" si="34"/>
        <v>23.282399999999999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5"/>
        <v>0164-22</v>
      </c>
      <c r="AE79" s="85" t="str">
        <f t="shared" si="36"/>
        <v>aws s3 cp s3://rtdc.mdm.uploadarchive.raw/RTDC4019/ "%USERPROFILE%\AppData\Local\Temp\OnboardLogs"\RTDC4019\2017-03-22 --exclude "*" --recursive --include "*20170322*" &amp; "%USERPROFILE%\Documents\GitHub\mrs-test-scripts\Headless Mode &amp; Sideloading\WalkAndUnGZ.bat" "%USERPROFILE%\AppData\Local\Temp\OnboardLogs"\RTDC4019\2017-03-22 &amp; aws s3 cp s3://rtdc.mdm.uploadarchive.raw/RTDC4019/ "%USERPROFILE%\AppData\Local\Temp\OnboardLogs"\RTDC4019\2017-03-23 --exclude "*" --recursive --include "*20170323*" &amp; "%USERPROFILE%\Documents\GitHub\mrs-test-scripts\Headless Mode &amp; Sideloading\WalkAndUnGZ.bat" "%USERPROFILE%\AppData\Local\Temp\OnboardLogs"\RTDC4019\2017-03-23</v>
      </c>
      <c r="AF79" s="82" t="str">
        <f t="shared" si="37"/>
        <v>"C:\Program Files (x86)\AstroGrep\AstroGrep.exe" /e /r /s /spath="%USERPROFILE%\AppData\Local\Temp\OnboardLogs" /stypes="app*4019*20170322*" /stext=" 19:.+((SYSTEM_STATE.+slice.+state.+changed )|(ment ac)|(multiple cpu faults)|(system.+state.+changed )|(\[timeout)|(PRM\|1\|D)|(kpr)|(kdp)|(\|lc)|(penalty))"</v>
      </c>
      <c r="AG79" s="1" t="str">
        <f t="shared" si="38"/>
        <v>EC</v>
      </c>
      <c r="AH79" s="86" t="str">
        <f t="shared" si="39"/>
        <v>"%USERPROFILE%\Documents\GitHub\eaglep3\Utilities\RefineRTDCRunTimes.py" --tripid 164-22 --locoid 4019 --swversion DE.1.0.9.0 --startMP 204:232980 --initTime 2017-03-22T12:17:04 --startdatetime 2017-03-22T12:26:16 --delay 1 --endMP 204:156 --enddatetime 2017-03-22T13:07:32 --enforcementcount 2 &gt;&gt;C:\Users\stu\Documents\GitHub\eaglep3-reporting\EC\2017-03-22-refined-times.txt</v>
      </c>
      <c r="AI79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{"issue":{"subject":"","project_id":79,"tracker_id":40,"status_id":1,"priority_id":2,"assigned_to_id":23,"start_date":"2017-03-22","description":"","custom_fields":[{"id":1,"name":"Subdivision","value":"EC"},{"id":4,"name":"Milepost","value":"0.0156"},{"id":17,"name":"Train ID","value":"164-22"},{"id":16,"name":"Locomotive ID","value":"4019"},{"id":130,"name":"Impact","value":""},{"id":150,"name":"Time of Event (Mountain Time)","value":"13:07:32"},{"id":151,"name":"Denver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41"/>
        <v>start /low /b %USERPROFILE%\Documents\GitHub\eaglep3\Utilities\DownloadLogsFromS3.py --loco 4019 --day 2017-03-22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"%USERPROFILE%\AppData\Local\Temp\OnboardLogs"\RTDC4019\*4019*20170322* | grep -SE "(Enforcement Action)|(\[TIMEOUT)|(CHR.+\|PRM\|1\|D.+(SWITCH|SIGNAL).+UNKNOWN)" - &gt;&gt; 2017-03-22-UncaughtWiMAX.txt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3" t="s">
        <v>728</v>
      </c>
      <c r="B80" s="7">
        <v>4042</v>
      </c>
      <c r="C80" s="21" t="s">
        <v>219</v>
      </c>
      <c r="D80" s="21" t="s">
        <v>886</v>
      </c>
      <c r="E80" s="13">
        <v>42816.484583333331</v>
      </c>
      <c r="F80" s="13">
        <v>42816.489837962959</v>
      </c>
      <c r="G80" s="7">
        <v>2</v>
      </c>
      <c r="H80" s="21" t="s">
        <v>887</v>
      </c>
      <c r="I80" s="13">
        <v>42816.515405092592</v>
      </c>
      <c r="J80" s="7">
        <v>2</v>
      </c>
      <c r="K80" s="98" t="str">
        <f t="shared" si="26"/>
        <v>4041/4042</v>
      </c>
      <c r="L80" s="21" t="str">
        <f>VLOOKUP(A80,'Trips&amp;Operators'!$C$1:$G$99999,5,FALSE)</f>
        <v>HELVIE ADAM</v>
      </c>
      <c r="M80" s="6">
        <f t="shared" si="27"/>
        <v>2.5567129632690921E-2</v>
      </c>
      <c r="N80" s="7">
        <f t="shared" si="24"/>
        <v>36.816666671074927</v>
      </c>
      <c r="O80" s="7"/>
      <c r="P80" s="7"/>
      <c r="Q80" s="22"/>
      <c r="R80" s="22"/>
      <c r="S80" s="31">
        <f t="shared" si="25"/>
        <v>1</v>
      </c>
      <c r="T80" s="46" t="str">
        <f t="shared" si="28"/>
        <v>NorthBound</v>
      </c>
      <c r="U80" s="18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6" t="str">
        <f t="shared" si="29"/>
        <v>https://d0f6bd738d7f1b3e5a7ca70fe4ff75f0.us-east-1.aws.found.io/app/kibana#/discover/Steve-Slow-Train-Analysis-(2080s-and-2083s)?_g=(refreshInterval:(display:Off,pause:!f,section:0,value:0),time:(from:'2017-03-22T10:37:48-0600',mode:absolute,to:'2017-03-22T13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0" s="187" t="str">
        <f t="shared" si="30"/>
        <v>N</v>
      </c>
      <c r="X80" s="187">
        <f t="shared" si="31"/>
        <v>1</v>
      </c>
      <c r="Y80" s="62">
        <f t="shared" si="32"/>
        <v>4.3299999999999998E-2</v>
      </c>
      <c r="Z80" s="62">
        <f t="shared" si="33"/>
        <v>23.331700000000001</v>
      </c>
      <c r="AA80" s="62">
        <f t="shared" si="34"/>
        <v>23.288400000000003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5"/>
        <v>0165-22</v>
      </c>
      <c r="AE80" s="85" t="str">
        <f t="shared" si="36"/>
        <v>aws s3 cp s3://rtdc.mdm.uploadarchive.raw/RTDC4042/ "%USERPROFILE%\AppData\Local\Temp\OnboardLogs"\RTDC4042\2017-03-22 --exclude "*" --recursive --include "*20170322*" &amp; "%USERPROFILE%\Documents\GitHub\mrs-test-scripts\Headless Mode &amp; Sideloading\WalkAndUnGZ.bat" "%USERPROFILE%\AppData\Local\Temp\OnboardLogs"\RTDC4042\2017-03-22 &amp; aws s3 cp s3://rtdc.mdm.uploadarchive.raw/RTDC4042/ "%USERPROFILE%\AppData\Local\Temp\OnboardLogs"\RTDC4042\2017-03-23 --exclude "*" --recursive --include "*20170323*" &amp; "%USERPROFILE%\Documents\GitHub\mrs-test-scripts\Headless Mode &amp; Sideloading\WalkAndUnGZ.bat" "%USERPROFILE%\AppData\Local\Temp\OnboardLogs"\RTDC4042\2017-03-23</v>
      </c>
      <c r="AF80" s="82" t="str">
        <f t="shared" si="37"/>
        <v>"C:\Program Files (x86)\AstroGrep\AstroGrep.exe" /e /r /s /spath="%USERPROFILE%\AppData\Local\Temp\OnboardLogs" /stypes="app*4042*20170322*" /stext=" 18:.+((SYSTEM_STATE.+slice.+state.+changed )|(ment ac)|(multiple cpu faults)|(system.+state.+changed )|(\[timeout)|(PRM\|1\|D)|(kpr)|(kdp)|(\|lc)|(penalty))"</v>
      </c>
      <c r="AG80" s="1" t="str">
        <f t="shared" si="38"/>
        <v>EC</v>
      </c>
      <c r="AH80" s="86" t="str">
        <f t="shared" si="39"/>
        <v>"%USERPROFILE%\Documents\GitHub\eaglep3\Utilities\RefineRTDCRunTimes.py" --tripid 165-22 --locoid 4042 --swversion DE.1.0.9.0 --startMP 204:433 --initTime 2017-03-22T11:37:48 --startdatetime 2017-03-22T11:45:22 --delay 2 --endMP 204:233317 --enddatetime 2017-03-22T12:22:11 --enforcementcount 2 &gt;&gt;C:\Users\stu\Documents\GitHub\eaglep3-reporting\EC\2017-03-22-refined-times.txt</v>
      </c>
      <c r="AI80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{"issue":{"subject":"","project_id":79,"tracker_id":40,"status_id":1,"priority_id":2,"assigned_to_id":23,"start_date":"2017-03-22","description":"","custom_fields":[{"id":1,"name":"Subdivision","value":"EC"},{"id":4,"name":"Milepost","value":"23.3317"},{"id":17,"name":"Train ID","value":"165-22"},{"id":16,"name":"Locomotive ID","value":"4042"},{"id":130,"name":"Impact","value":""},{"id":150,"name":"Time of Event (Mountain Time)","value":"12:22:11"},{"id":151,"name":"Denver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41"/>
        <v>start /low /b %USERPROFILE%\Documents\GitHub\eaglep3\Utilities\DownloadLogsFromS3.py --loco 4042 --day 2017-03-22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"%USERPROFILE%\AppData\Local\Temp\OnboardLogs"\RTDC4042\*4042*20170322* | grep -SE "(Enforcement Action)|(\[TIMEOUT)|(CHR.+\|PRM\|1\|D.+(SWITCH|SIGNAL).+UNKNOWN)" - &gt;&gt; 2017-03-22-UncaughtWiMAX.txt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3" t="s">
        <v>737</v>
      </c>
      <c r="B81" s="7">
        <v>4041</v>
      </c>
      <c r="C81" s="21" t="s">
        <v>219</v>
      </c>
      <c r="D81" s="21" t="s">
        <v>514</v>
      </c>
      <c r="E81" s="13">
        <v>42816.525972222225</v>
      </c>
      <c r="F81" s="13">
        <v>42816.528819444444</v>
      </c>
      <c r="G81" s="7">
        <v>1</v>
      </c>
      <c r="H81" s="21" t="s">
        <v>214</v>
      </c>
      <c r="I81" s="13">
        <v>42816.555451388886</v>
      </c>
      <c r="J81" s="7">
        <v>2</v>
      </c>
      <c r="K81" s="98" t="str">
        <f t="shared" si="26"/>
        <v>4041/4042</v>
      </c>
      <c r="L81" s="21" t="str">
        <f>VLOOKUP(A81,'Trips&amp;Operators'!$C$1:$G$99999,5,FALSE)</f>
        <v>HELVIE ADAM</v>
      </c>
      <c r="M81" s="6">
        <f t="shared" si="27"/>
        <v>2.6631944441760425E-2</v>
      </c>
      <c r="N81" s="7">
        <f t="shared" si="24"/>
        <v>38.349999996135011</v>
      </c>
      <c r="O81" s="7"/>
      <c r="P81" s="7"/>
      <c r="Q81" s="22"/>
      <c r="R81" s="22"/>
      <c r="S81" s="31">
        <f t="shared" si="25"/>
        <v>1</v>
      </c>
      <c r="T81" s="46" t="str">
        <f t="shared" si="28"/>
        <v>Southbound</v>
      </c>
      <c r="U81" s="18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6" t="str">
        <f t="shared" si="29"/>
        <v>https://d0f6bd738d7f1b3e5a7ca70fe4ff75f0.us-east-1.aws.found.io/app/kibana#/discover/Steve-Slow-Train-Analysis-(2080s-and-2083s)?_g=(refreshInterval:(display:Off,pause:!f,section:0,value:0),time:(from:'2017-03-22T11:37:24-0600',mode:absolute,to:'2017-03-22T14:19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1" s="187" t="str">
        <f t="shared" si="30"/>
        <v>N</v>
      </c>
      <c r="X81" s="187">
        <f t="shared" si="31"/>
        <v>1</v>
      </c>
      <c r="Y81" s="62">
        <f t="shared" si="32"/>
        <v>23.297899999999998</v>
      </c>
      <c r="Z81" s="62">
        <f t="shared" si="33"/>
        <v>1.5599999999999999E-2</v>
      </c>
      <c r="AA81" s="62">
        <f t="shared" si="34"/>
        <v>23.282299999999999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5"/>
        <v>0166-22</v>
      </c>
      <c r="AE81" s="85" t="str">
        <f t="shared" si="36"/>
        <v>aws s3 cp s3://rtdc.mdm.uploadarchive.raw/RTDC4041/ "%USERPROFILE%\AppData\Local\Temp\OnboardLogs"\RTDC4041\2017-03-22 --exclude "*" --recursive --include "*20170322*" &amp; "%USERPROFILE%\Documents\GitHub\mrs-test-scripts\Headless Mode &amp; Sideloading\WalkAndUnGZ.bat" "%USERPROFILE%\AppData\Local\Temp\OnboardLogs"\RTDC4041\2017-03-22 &amp; aws s3 cp s3://rtdc.mdm.uploadarchive.raw/RTDC4041/ "%USERPROFILE%\AppData\Local\Temp\OnboardLogs"\RTDC4041\2017-03-23 --exclude "*" --recursive --include "*20170323*" &amp; "%USERPROFILE%\Documents\GitHub\mrs-test-scripts\Headless Mode &amp; Sideloading\WalkAndUnGZ.bat" "%USERPROFILE%\AppData\Local\Temp\OnboardLogs"\RTDC4041\2017-03-23</v>
      </c>
      <c r="AF81" s="82" t="str">
        <f t="shared" si="37"/>
        <v>"C:\Program Files (x86)\AstroGrep\AstroGrep.exe" /e /r /s /spath="%USERPROFILE%\AppData\Local\Temp\OnboardLogs" /stypes="app*4041*20170322*" /stext=" 19:.+((SYSTEM_STATE.+slice.+state.+changed )|(ment ac)|(multiple cpu faults)|(system.+state.+changed )|(\[timeout)|(PRM\|1\|D)|(kpr)|(kdp)|(\|lc)|(penalty))"</v>
      </c>
      <c r="AG81" s="1" t="str">
        <f t="shared" si="38"/>
        <v>EC</v>
      </c>
      <c r="AH81" s="86" t="str">
        <f t="shared" si="39"/>
        <v>"%USERPROFILE%\Documents\GitHub\eaglep3\Utilities\RefineRTDCRunTimes.py" --tripid 166-22 --locoid 4041 --swversion DE.1.0.9.0 --startMP 204:232979 --initTime 2017-03-22T12:37:24 --startdatetime 2017-03-22T12:41:30 --delay 1 --endMP 204:156 --enddatetime 2017-03-22T13:19:51 --enforcementcount 2 &gt;&gt;C:\Users\stu\Documents\GitHub\eaglep3-reporting\EC\2017-03-22-refined-times.txt</v>
      </c>
      <c r="AI81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{"issue":{"subject":"","project_id":79,"tracker_id":40,"status_id":1,"priority_id":2,"assigned_to_id":23,"start_date":"2017-03-22","description":"","custom_fields":[{"id":1,"name":"Subdivision","value":"EC"},{"id":4,"name":"Milepost","value":"0.0156"},{"id":17,"name":"Train ID","value":"166-22"},{"id":16,"name":"Locomotive ID","value":"4041"},{"id":130,"name":"Impact","value":""},{"id":150,"name":"Time of Event (Mountain Time)","value":"13:19:51"},{"id":151,"name":"Denver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41"/>
        <v>start /low /b %USERPROFILE%\Documents\GitHub\eaglep3\Utilities\DownloadLogsFromS3.py --loco 4041 --day 2017-03-22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"%USERPROFILE%\AppData\Local\Temp\OnboardLogs"\RTDC4041\*4041*20170322* | grep -SE "(Enforcement Action)|(\[TIMEOUT)|(CHR.+\|PRM\|1\|D.+(SWITCH|SIGNAL).+UNKNOWN)" - &gt;&gt; 2017-03-22-UncaughtWiMAX.txt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3" t="s">
        <v>730</v>
      </c>
      <c r="B82" s="7">
        <v>4018</v>
      </c>
      <c r="C82" s="21" t="s">
        <v>219</v>
      </c>
      <c r="D82" s="21" t="s">
        <v>406</v>
      </c>
      <c r="E82" s="13">
        <v>42816.494131944448</v>
      </c>
      <c r="F82" s="13">
        <v>42816.500300925924</v>
      </c>
      <c r="G82" s="7">
        <v>2</v>
      </c>
      <c r="H82" s="21" t="s">
        <v>888</v>
      </c>
      <c r="I82" s="13">
        <v>42816.525266203702</v>
      </c>
      <c r="J82" s="7">
        <v>2</v>
      </c>
      <c r="K82" s="98" t="str">
        <f t="shared" si="26"/>
        <v>4017/4018</v>
      </c>
      <c r="L82" s="21" t="str">
        <f>VLOOKUP(A82,'Trips&amp;Operators'!$C$1:$G$99999,5,FALSE)</f>
        <v>LOCKLEAR TRAVIS</v>
      </c>
      <c r="M82" s="6">
        <f t="shared" si="27"/>
        <v>2.4965277778392192E-2</v>
      </c>
      <c r="N82" s="7">
        <f t="shared" ref="N82:N98" si="42">24*60*SUM($M82:$M82)</f>
        <v>35.950000000884756</v>
      </c>
      <c r="O82" s="7"/>
      <c r="P82" s="7"/>
      <c r="Q82" s="22"/>
      <c r="R82" s="22"/>
      <c r="S82" s="31">
        <f t="shared" ref="S82:S98" si="43">SUM(U82:U82)/IF(AG82="EC",12,1)</f>
        <v>1</v>
      </c>
      <c r="T82" s="46" t="str">
        <f t="shared" si="28"/>
        <v>NorthBound</v>
      </c>
      <c r="U82" s="18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6" t="str">
        <f t="shared" si="29"/>
        <v>https://d0f6bd738d7f1b3e5a7ca70fe4ff75f0.us-east-1.aws.found.io/app/kibana#/discover/Steve-Slow-Train-Analysis-(2080s-and-2083s)?_g=(refreshInterval:(display:Off,pause:!f,section:0,value:0),time:(from:'2017-03-22T10:51:33-0600',mode:absolute,to:'2017-03-22T13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2" s="187" t="str">
        <f t="shared" si="30"/>
        <v>N</v>
      </c>
      <c r="X82" s="187">
        <f t="shared" si="31"/>
        <v>1</v>
      </c>
      <c r="Y82" s="62">
        <f t="shared" si="32"/>
        <v>4.7300000000000002E-2</v>
      </c>
      <c r="Z82" s="62">
        <f t="shared" si="33"/>
        <v>23.3339</v>
      </c>
      <c r="AA82" s="62">
        <f t="shared" si="34"/>
        <v>23.2866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5"/>
        <v>0167-22</v>
      </c>
      <c r="AE82" s="85" t="str">
        <f t="shared" si="36"/>
        <v>aws s3 cp s3://rtdc.mdm.uploadarchive.raw/RTDC4018/ "%USERPROFILE%\AppData\Local\Temp\OnboardLogs"\RTDC4018\2017-03-22 --exclude "*" --recursive --include "*20170322*" &amp; "%USERPROFILE%\Documents\GitHub\mrs-test-scripts\Headless Mode &amp; Sideloading\WalkAndUnGZ.bat" "%USERPROFILE%\AppData\Local\Temp\OnboardLogs"\RTDC4018\2017-03-22 &amp; aws s3 cp s3://rtdc.mdm.uploadarchive.raw/RTDC4018/ "%USERPROFILE%\AppData\Local\Temp\OnboardLogs"\RTDC4018\2017-03-23 --exclude "*" --recursive --include "*20170323*" &amp; "%USERPROFILE%\Documents\GitHub\mrs-test-scripts\Headless Mode &amp; Sideloading\WalkAndUnGZ.bat" "%USERPROFILE%\AppData\Local\Temp\OnboardLogs"\RTDC4018\2017-03-23</v>
      </c>
      <c r="AF82" s="82" t="str">
        <f t="shared" si="37"/>
        <v>"C:\Program Files (x86)\AstroGrep\AstroGrep.exe" /e /r /s /spath="%USERPROFILE%\AppData\Local\Temp\OnboardLogs" /stypes="app*4018*20170322*" /stext=" 18:.+((SYSTEM_STATE.+slice.+state.+changed )|(ment ac)|(multiple cpu faults)|(system.+state.+changed )|(\[timeout)|(PRM\|1\|D)|(kpr)|(kdp)|(\|lc)|(penalty))"</v>
      </c>
      <c r="AG82" s="1" t="str">
        <f t="shared" si="38"/>
        <v>EC</v>
      </c>
      <c r="AH82" s="86" t="str">
        <f t="shared" si="39"/>
        <v>"%USERPROFILE%\Documents\GitHub\eaglep3\Utilities\RefineRTDCRunTimes.py" --tripid 167-22 --locoid 4018 --swversion DE.1.0.9.0 --startMP 204:473 --initTime 2017-03-22T11:51:33 --startdatetime 2017-03-22T12:00:26 --delay 2 --endMP 204:233339 --enddatetime 2017-03-22T12:36:23 --enforcementcount 2 &gt;&gt;C:\Users\stu\Documents\GitHub\eaglep3-reporting\EC\2017-03-22-refined-times.txt</v>
      </c>
      <c r="AI82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{"issue":{"subject":"","project_id":79,"tracker_id":40,"status_id":1,"priority_id":2,"assigned_to_id":23,"start_date":"2017-03-22","description":"","custom_fields":[{"id":1,"name":"Subdivision","value":"EC"},{"id":4,"name":"Milepost","value":"23.3339"},{"id":17,"name":"Train ID","value":"167-22"},{"id":16,"name":"Locomotive ID","value":"4018"},{"id":130,"name":"Impact","value":""},{"id":150,"name":"Time of Event (Mountain Time)","value":"12:36:23"},{"id":151,"name":"Denver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41"/>
        <v>start /low /b %USERPROFILE%\Documents\GitHub\eaglep3\Utilities\DownloadLogsFromS3.py --loco 4018 --day 2017-03-22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"%USERPROFILE%\AppData\Local\Temp\OnboardLogs"\RTDC4018\*4018*20170322* | grep -SE "(Enforcement Action)|(\[TIMEOUT)|(CHR.+\|PRM\|1\|D.+(SWITCH|SIGNAL).+UNKNOWN)" - &gt;&gt; 2017-03-22-UncaughtWiMAX.txt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740</v>
      </c>
      <c r="B83" s="7">
        <v>4017</v>
      </c>
      <c r="C83" s="21" t="s">
        <v>219</v>
      </c>
      <c r="D83" s="21" t="s">
        <v>889</v>
      </c>
      <c r="E83" s="13">
        <v>42816.535567129627</v>
      </c>
      <c r="F83" s="13">
        <v>42816.5391087963</v>
      </c>
      <c r="G83" s="7">
        <v>1</v>
      </c>
      <c r="H83" s="21" t="s">
        <v>200</v>
      </c>
      <c r="I83" s="13">
        <v>42816.567719907405</v>
      </c>
      <c r="J83" s="7">
        <v>2</v>
      </c>
      <c r="K83" s="98" t="str">
        <f t="shared" si="26"/>
        <v>4017/4018</v>
      </c>
      <c r="L83" s="21" t="str">
        <f>VLOOKUP(A83,'Trips&amp;Operators'!$C$1:$G$99999,5,FALSE)</f>
        <v>LOCKLEAR TRAVIS</v>
      </c>
      <c r="M83" s="6">
        <f t="shared" si="27"/>
        <v>2.8611111105419695E-2</v>
      </c>
      <c r="N83" s="7">
        <f t="shared" si="42"/>
        <v>41.199999991804361</v>
      </c>
      <c r="O83" s="7"/>
      <c r="P83" s="7"/>
      <c r="Q83" s="22"/>
      <c r="R83" s="22"/>
      <c r="S83" s="31">
        <f t="shared" si="43"/>
        <v>1</v>
      </c>
      <c r="T83" s="46" t="str">
        <f t="shared" si="28"/>
        <v>Southbound</v>
      </c>
      <c r="U83" s="18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6" t="str">
        <f t="shared" si="29"/>
        <v>https://d0f6bd738d7f1b3e5a7ca70fe4ff75f0.us-east-1.aws.found.io/app/kibana#/discover/Steve-Slow-Train-Analysis-(2080s-and-2083s)?_g=(refreshInterval:(display:Off,pause:!f,section:0,value:0),time:(from:'2017-03-22T11:51:13-0600',mode:absolute,to:'2017-03-22T14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3" s="187" t="str">
        <f t="shared" si="30"/>
        <v>N</v>
      </c>
      <c r="X83" s="187">
        <f t="shared" si="31"/>
        <v>1</v>
      </c>
      <c r="Y83" s="62">
        <f t="shared" si="32"/>
        <v>23.303000000000001</v>
      </c>
      <c r="Z83" s="62">
        <f t="shared" si="33"/>
        <v>1.5800000000000002E-2</v>
      </c>
      <c r="AA83" s="62">
        <f t="shared" si="34"/>
        <v>23.287200000000002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5"/>
        <v>0168-22</v>
      </c>
      <c r="AE83" s="85" t="str">
        <f t="shared" si="36"/>
        <v>aws s3 cp s3://rtdc.mdm.uploadarchive.raw/RTDC4017/ "%USERPROFILE%\AppData\Local\Temp\OnboardLogs"\RTDC4017\2017-03-22 --exclude "*" --recursive --include "*20170322*" &amp; "%USERPROFILE%\Documents\GitHub\mrs-test-scripts\Headless Mode &amp; Sideloading\WalkAndUnGZ.bat" "%USERPROFILE%\AppData\Local\Temp\OnboardLogs"\RTDC4017\2017-03-22 &amp; aws s3 cp s3://rtdc.mdm.uploadarchive.raw/RTDC4017/ "%USERPROFILE%\AppData\Local\Temp\OnboardLogs"\RTDC4017\2017-03-23 --exclude "*" --recursive --include "*20170323*" &amp; "%USERPROFILE%\Documents\GitHub\mrs-test-scripts\Headless Mode &amp; Sideloading\WalkAndUnGZ.bat" "%USERPROFILE%\AppData\Local\Temp\OnboardLogs"\RTDC4017\2017-03-23</v>
      </c>
      <c r="AF83" s="82" t="str">
        <f t="shared" si="37"/>
        <v>"C:\Program Files (x86)\AstroGrep\AstroGrep.exe" /e /r /s /spath="%USERPROFILE%\AppData\Local\Temp\OnboardLogs" /stypes="app*4017*20170322*" /stext=" 19:.+((SYSTEM_STATE.+slice.+state.+changed )|(ment ac)|(multiple cpu faults)|(system.+state.+changed )|(\[timeout)|(PRM\|1\|D)|(kpr)|(kdp)|(\|lc)|(penalty))"</v>
      </c>
      <c r="AG83" s="1" t="str">
        <f t="shared" si="38"/>
        <v>EC</v>
      </c>
      <c r="AH83" s="86" t="str">
        <f t="shared" si="39"/>
        <v>"%USERPROFILE%\Documents\GitHub\eaglep3\Utilities\RefineRTDCRunTimes.py" --tripid 168-22 --locoid 4017 --swversion DE.1.0.9.0 --startMP 204:233030 --initTime 2017-03-22T12:51:13 --startdatetime 2017-03-22T12:56:19 --delay 1 --endMP 204:158 --enddatetime 2017-03-22T13:37:31 --enforcementcount 2 &gt;&gt;C:\Users\stu\Documents\GitHub\eaglep3-reporting\EC\2017-03-22-refined-times.txt</v>
      </c>
      <c r="AI83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{"issue":{"subject":"","project_id":79,"tracker_id":40,"status_id":1,"priority_id":2,"assigned_to_id":23,"start_date":"2017-03-22","description":"","custom_fields":[{"id":1,"name":"Subdivision","value":"EC"},{"id":4,"name":"Milepost","value":"0.0158"},{"id":17,"name":"Train ID","value":"168-22"},{"id":16,"name":"Locomotive ID","value":"4017"},{"id":130,"name":"Impact","value":""},{"id":150,"name":"Time of Event (Mountain Time)","value":"13:37:31"},{"id":151,"name":"Denver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41"/>
        <v>start /low /b %USERPROFILE%\Documents\GitHub\eaglep3\Utilities\DownloadLogsFromS3.py --loco 4017 --day 2017-03-22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"%USERPROFILE%\AppData\Local\Temp\OnboardLogs"\RTDC4017\*4017*20170322* | grep -SE "(Enforcement Action)|(\[TIMEOUT)|(CHR.+\|PRM\|1\|D.+(SWITCH|SIGNAL).+UNKNOWN)" - &gt;&gt; 2017-03-22-UncaughtWiMAX.txt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732</v>
      </c>
      <c r="B84" s="7">
        <v>4011</v>
      </c>
      <c r="C84" s="21" t="s">
        <v>219</v>
      </c>
      <c r="D84" s="21" t="s">
        <v>890</v>
      </c>
      <c r="E84" s="13">
        <v>42816.506805555553</v>
      </c>
      <c r="F84" s="13">
        <v>42816.510625000003</v>
      </c>
      <c r="G84" s="7">
        <v>1</v>
      </c>
      <c r="H84" s="21" t="s">
        <v>517</v>
      </c>
      <c r="I84" s="13">
        <v>42816.536064814813</v>
      </c>
      <c r="J84" s="7">
        <v>2</v>
      </c>
      <c r="K84" s="98" t="str">
        <f t="shared" si="26"/>
        <v>4011/4012</v>
      </c>
      <c r="L84" s="21" t="str">
        <f>VLOOKUP(A84,'Trips&amp;Operators'!$C$1:$G$99999,5,FALSE)</f>
        <v>MOSES BRADLEY</v>
      </c>
      <c r="M84" s="6">
        <f t="shared" si="27"/>
        <v>2.5439814809942618E-2</v>
      </c>
      <c r="N84" s="7">
        <f t="shared" si="42"/>
        <v>36.63333332631737</v>
      </c>
      <c r="O84" s="7"/>
      <c r="P84" s="7"/>
      <c r="Q84" s="22"/>
      <c r="R84" s="22"/>
      <c r="S84" s="31">
        <f t="shared" si="43"/>
        <v>1</v>
      </c>
      <c r="T84" s="46" t="str">
        <f t="shared" si="28"/>
        <v>NorthBound</v>
      </c>
      <c r="U84" s="18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6" t="str">
        <f t="shared" si="29"/>
        <v>https://d0f6bd738d7f1b3e5a7ca70fe4ff75f0.us-east-1.aws.found.io/app/kibana#/discover/Steve-Slow-Train-Analysis-(2080s-and-2083s)?_g=(refreshInterval:(display:Off,pause:!f,section:0,value:0),time:(from:'2017-03-22T11:09:48-0600',mode:absolute,to:'2017-03-22T13:51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4" s="187" t="str">
        <f t="shared" si="30"/>
        <v>N</v>
      </c>
      <c r="X84" s="187">
        <f t="shared" si="31"/>
        <v>1</v>
      </c>
      <c r="Y84" s="62">
        <f t="shared" si="32"/>
        <v>4.1500000000000002E-2</v>
      </c>
      <c r="Z84" s="62">
        <f t="shared" si="33"/>
        <v>23.33</v>
      </c>
      <c r="AA84" s="62">
        <f t="shared" si="34"/>
        <v>23.288499999999999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5"/>
        <v>0169-22</v>
      </c>
      <c r="AE84" s="85" t="str">
        <f t="shared" si="36"/>
        <v>aws s3 cp s3://rtdc.mdm.uploadarchive.raw/RTDC4011/ "%USERPROFILE%\AppData\Local\Temp\OnboardLogs"\RTDC4011\2017-03-22 --exclude "*" --recursive --include "*20170322*" &amp; "%USERPROFILE%\Documents\GitHub\mrs-test-scripts\Headless Mode &amp; Sideloading\WalkAndUnGZ.bat" "%USERPROFILE%\AppData\Local\Temp\OnboardLogs"\RTDC4011\2017-03-22 &amp; aws s3 cp s3://rtdc.mdm.uploadarchive.raw/RTDC4011/ "%USERPROFILE%\AppData\Local\Temp\OnboardLogs"\RTDC4011\2017-03-23 --exclude "*" --recursive --include "*20170323*" &amp; "%USERPROFILE%\Documents\GitHub\mrs-test-scripts\Headless Mode &amp; Sideloading\WalkAndUnGZ.bat" "%USERPROFILE%\AppData\Local\Temp\OnboardLogs"\RTDC4011\2017-03-23</v>
      </c>
      <c r="AF84" s="82" t="str">
        <f t="shared" si="37"/>
        <v>"C:\Program Files (x86)\AstroGrep\AstroGrep.exe" /e /r /s /spath="%USERPROFILE%\AppData\Local\Temp\OnboardLogs" /stypes="app*4011*20170322*" /stext=" 18:.+((SYSTEM_STATE.+slice.+state.+changed )|(ment ac)|(multiple cpu faults)|(system.+state.+changed )|(\[timeout)|(PRM\|1\|D)|(kpr)|(kdp)|(\|lc)|(penalty))"</v>
      </c>
      <c r="AG84" s="1" t="str">
        <f t="shared" si="38"/>
        <v>EC</v>
      </c>
      <c r="AH84" s="86" t="str">
        <f t="shared" si="39"/>
        <v>"%USERPROFILE%\Documents\GitHub\eaglep3\Utilities\RefineRTDCRunTimes.py" --tripid 169-22 --locoid 4011 --swversion DE.1.0.9.0 --startMP 204:415 --initTime 2017-03-22T12:09:48 --startdatetime 2017-03-22T12:15:18 --delay 1 --endMP 204:233300 --enddatetime 2017-03-22T12:51:56 --enforcementcount 2 &gt;&gt;C:\Users\stu\Documents\GitHub\eaglep3-reporting\EC\2017-03-22-refined-times.txt</v>
      </c>
      <c r="AI84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{"issue":{"subject":"","project_id":79,"tracker_id":40,"status_id":1,"priority_id":2,"assigned_to_id":23,"start_date":"2017-03-22","description":"","custom_fields":[{"id":1,"name":"Subdivision","value":"EC"},{"id":4,"name":"Milepost","value":"23.33"},{"id":17,"name":"Train ID","value":"169-22"},{"id":16,"name":"Locomotive ID","value":"4011"},{"id":130,"name":"Impact","value":""},{"id":150,"name":"Time of Event (Mountain Time)","value":"12:51:56"},{"id":151,"name":"Denver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41"/>
        <v>start /low /b %USERPROFILE%\Documents\GitHub\eaglep3\Utilities\DownloadLogsFromS3.py --loco 4011 --day 2017-03-22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"%USERPROFILE%\AppData\Local\Temp\OnboardLogs"\RTDC4011\*4011*20170322* | grep -SE "(Enforcement Action)|(\[TIMEOUT)|(CHR.+\|PRM\|1\|D.+(SWITCH|SIGNAL).+UNKNOWN)" - &gt;&gt; 2017-03-22-UncaughtWiMAX.txt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3" t="s">
        <v>744</v>
      </c>
      <c r="B85" s="7">
        <v>4012</v>
      </c>
      <c r="C85" s="21" t="s">
        <v>219</v>
      </c>
      <c r="D85" s="21" t="s">
        <v>879</v>
      </c>
      <c r="E85" s="13">
        <v>42816.542430555557</v>
      </c>
      <c r="F85" s="13">
        <v>42816.549502314818</v>
      </c>
      <c r="G85" s="7">
        <v>1</v>
      </c>
      <c r="H85" s="21" t="s">
        <v>881</v>
      </c>
      <c r="I85" s="13">
        <v>42816.576886574076</v>
      </c>
      <c r="J85" s="7">
        <v>2</v>
      </c>
      <c r="K85" s="98" t="str">
        <f t="shared" si="26"/>
        <v>4011/4012</v>
      </c>
      <c r="L85" s="21" t="str">
        <f>VLOOKUP(A85,'Trips&amp;Operators'!$C$1:$G$99999,5,FALSE)</f>
        <v>MOSES BRADLEY</v>
      </c>
      <c r="M85" s="6">
        <f t="shared" si="27"/>
        <v>2.7384259257814847E-2</v>
      </c>
      <c r="N85" s="7">
        <f t="shared" si="42"/>
        <v>39.43333333125338</v>
      </c>
      <c r="O85" s="7"/>
      <c r="P85" s="7"/>
      <c r="Q85" s="22"/>
      <c r="R85" s="22"/>
      <c r="S85" s="31">
        <f t="shared" si="43"/>
        <v>1</v>
      </c>
      <c r="T85" s="46" t="str">
        <f t="shared" si="28"/>
        <v>Southbound</v>
      </c>
      <c r="U85" s="18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6" t="str">
        <f t="shared" si="29"/>
        <v>https://d0f6bd738d7f1b3e5a7ca70fe4ff75f0.us-east-1.aws.found.io/app/kibana#/discover/Steve-Slow-Train-Analysis-(2080s-and-2083s)?_g=(refreshInterval:(display:Off,pause:!f,section:0,value:0),time:(from:'2017-03-22T12:01:06-0600',mode:absolute,to:'2017-03-22T14:50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5" s="187" t="str">
        <f t="shared" si="30"/>
        <v>N</v>
      </c>
      <c r="X85" s="187">
        <f t="shared" si="31"/>
        <v>1</v>
      </c>
      <c r="Y85" s="62">
        <f t="shared" si="32"/>
        <v>23.298500000000001</v>
      </c>
      <c r="Z85" s="62">
        <f t="shared" si="33"/>
        <v>1.72E-2</v>
      </c>
      <c r="AA85" s="62">
        <f t="shared" si="34"/>
        <v>23.281300000000002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5"/>
        <v>0170-22</v>
      </c>
      <c r="AE85" s="85" t="str">
        <f t="shared" si="36"/>
        <v>aws s3 cp s3://rtdc.mdm.uploadarchive.raw/RTDC4012/ "%USERPROFILE%\AppData\Local\Temp\OnboardLogs"\RTDC4012\2017-03-22 --exclude "*" --recursive --include "*20170322*" &amp; "%USERPROFILE%\Documents\GitHub\mrs-test-scripts\Headless Mode &amp; Sideloading\WalkAndUnGZ.bat" "%USERPROFILE%\AppData\Local\Temp\OnboardLogs"\RTDC4012\2017-03-22 &amp; aws s3 cp s3://rtdc.mdm.uploadarchive.raw/RTDC4012/ "%USERPROFILE%\AppData\Local\Temp\OnboardLogs"\RTDC4012\2017-03-23 --exclude "*" --recursive --include "*20170323*" &amp; "%USERPROFILE%\Documents\GitHub\mrs-test-scripts\Headless Mode &amp; Sideloading\WalkAndUnGZ.bat" "%USERPROFILE%\AppData\Local\Temp\OnboardLogs"\RTDC4012\2017-03-23</v>
      </c>
      <c r="AF85" s="82" t="str">
        <f t="shared" si="37"/>
        <v>"C:\Program Files (x86)\AstroGrep\AstroGrep.exe" /e /r /s /spath="%USERPROFILE%\AppData\Local\Temp\OnboardLogs" /stypes="app*4012*20170322*" /stext=" 19:.+((SYSTEM_STATE.+slice.+state.+changed )|(ment ac)|(multiple cpu faults)|(system.+state.+changed )|(\[timeout)|(PRM\|1\|D)|(kpr)|(kdp)|(\|lc)|(penalty))"</v>
      </c>
      <c r="AG85" s="1" t="str">
        <f t="shared" si="38"/>
        <v>EC</v>
      </c>
      <c r="AH85" s="86" t="str">
        <f t="shared" si="39"/>
        <v>"%USERPROFILE%\Documents\GitHub\eaglep3\Utilities\RefineRTDCRunTimes.py" --tripid 170-22 --locoid 4012 --swversion DE.1.0.9.0 --startMP 204:232985 --initTime 2017-03-22T13:01:06 --startdatetime 2017-03-22T13:11:17 --delay 1 --endMP 204:172 --enddatetime 2017-03-22T13:50:43 --enforcementcount 2 &gt;&gt;C:\Users\stu\Documents\GitHub\eaglep3-reporting\EC\2017-03-22-refined-times.txt</v>
      </c>
      <c r="AI85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{"issue":{"subject":"","project_id":79,"tracker_id":40,"status_id":1,"priority_id":2,"assigned_to_id":23,"start_date":"2017-03-22","description":"","custom_fields":[{"id":1,"name":"Subdivision","value":"EC"},{"id":4,"name":"Milepost","value":"0.0172"},{"id":17,"name":"Train ID","value":"170-22"},{"id":16,"name":"Locomotive ID","value":"4012"},{"id":130,"name":"Impact","value":""},{"id":150,"name":"Time of Event (Mountain Time)","value":"13:50:43"},{"id":151,"name":"Denver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41"/>
        <v>start /low /b %USERPROFILE%\Documents\GitHub\eaglep3\Utilities\DownloadLogsFromS3.py --loco 4012 --day 2017-03-22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"%USERPROFILE%\AppData\Local\Temp\OnboardLogs"\RTDC4012\*4012*20170322* | grep -SE "(Enforcement Action)|(\[TIMEOUT)|(CHR.+\|PRM\|1\|D.+(SWITCH|SIGNAL).+UNKNOWN)" - &gt;&gt; 2017-03-22-UncaughtWiMAX.txt</v>
      </c>
    </row>
    <row r="86" spans="1:91" s="20" customFormat="1" x14ac:dyDescent="0.25">
      <c r="A86" s="33" t="s">
        <v>736</v>
      </c>
      <c r="B86" s="7">
        <v>4003</v>
      </c>
      <c r="C86" s="21" t="s">
        <v>219</v>
      </c>
      <c r="D86" s="21" t="s">
        <v>208</v>
      </c>
      <c r="E86" s="13">
        <v>42816.517777777779</v>
      </c>
      <c r="F86" s="13">
        <v>42816.521168981482</v>
      </c>
      <c r="G86" s="7">
        <v>1</v>
      </c>
      <c r="H86" s="21" t="s">
        <v>891</v>
      </c>
      <c r="I86" s="13">
        <v>42816.547465277778</v>
      </c>
      <c r="J86" s="7">
        <v>2</v>
      </c>
      <c r="K86" s="98" t="str">
        <f t="shared" si="26"/>
        <v>4003/4004</v>
      </c>
      <c r="L86" s="21" t="str">
        <f>VLOOKUP(A86,'Trips&amp;Operators'!$C$1:$G$99999,5,FALSE)</f>
        <v>STRICKLAND EVAN</v>
      </c>
      <c r="M86" s="6">
        <f t="shared" si="27"/>
        <v>2.6296296295186039E-2</v>
      </c>
      <c r="N86" s="7">
        <f t="shared" si="42"/>
        <v>37.866666665067896</v>
      </c>
      <c r="O86" s="7"/>
      <c r="P86" s="7"/>
      <c r="Q86" s="22"/>
      <c r="R86" s="22"/>
      <c r="S86" s="31">
        <f t="shared" si="43"/>
        <v>1</v>
      </c>
      <c r="T86" s="46" t="str">
        <f t="shared" si="28"/>
        <v>NorthBound</v>
      </c>
      <c r="U86" s="18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6" t="str">
        <f t="shared" si="29"/>
        <v>https://d0f6bd738d7f1b3e5a7ca70fe4ff75f0.us-east-1.aws.found.io/app/kibana#/discover/Steve-Slow-Train-Analysis-(2080s-and-2083s)?_g=(refreshInterval:(display:Off,pause:!f,section:0,value:0),time:(from:'2017-03-22T11:25:36-0600',mode:absolute,to:'2017-03-22T14:08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6" s="187" t="str">
        <f t="shared" si="30"/>
        <v>N</v>
      </c>
      <c r="X86" s="187">
        <f t="shared" si="31"/>
        <v>1</v>
      </c>
      <c r="Y86" s="62">
        <f t="shared" si="32"/>
        <v>4.5699999999999998E-2</v>
      </c>
      <c r="Z86" s="62">
        <f t="shared" si="33"/>
        <v>23.334299999999999</v>
      </c>
      <c r="AA86" s="62">
        <f t="shared" si="34"/>
        <v>23.288599999999999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5"/>
        <v>0171-22</v>
      </c>
      <c r="AE86" s="85" t="str">
        <f t="shared" si="36"/>
        <v>aws s3 cp s3://rtdc.mdm.uploadarchive.raw/RTDC4003/ "%USERPROFILE%\AppData\Local\Temp\OnboardLogs"\RTDC4003\2017-03-22 --exclude "*" --recursive --include "*20170322*" &amp; "%USERPROFILE%\Documents\GitHub\mrs-test-scripts\Headless Mode &amp; Sideloading\WalkAndUnGZ.bat" "%USERPROFILE%\AppData\Local\Temp\OnboardLogs"\RTDC4003\2017-03-22 &amp; aws s3 cp s3://rtdc.mdm.uploadarchive.raw/RTDC4003/ "%USERPROFILE%\AppData\Local\Temp\OnboardLogs"\RTDC4003\2017-03-23 --exclude "*" --recursive --include "*20170323*" &amp; "%USERPROFILE%\Documents\GitHub\mrs-test-scripts\Headless Mode &amp; Sideloading\WalkAndUnGZ.bat" "%USERPROFILE%\AppData\Local\Temp\OnboardLogs"\RTDC4003\2017-03-23</v>
      </c>
      <c r="AF86" s="82" t="str">
        <f t="shared" si="37"/>
        <v>"C:\Program Files (x86)\AstroGrep\AstroGrep.exe" /e /r /s /spath="%USERPROFILE%\AppData\Local\Temp\OnboardLogs" /stypes="app*4003*20170322*" /stext=" 19:.+((SYSTEM_STATE.+slice.+state.+changed )|(ment ac)|(multiple cpu faults)|(system.+state.+changed )|(\[timeout)|(PRM\|1\|D)|(kpr)|(kdp)|(\|lc)|(penalty))"</v>
      </c>
      <c r="AG86" s="1" t="str">
        <f t="shared" si="38"/>
        <v>EC</v>
      </c>
      <c r="AH86" s="86" t="str">
        <f t="shared" si="39"/>
        <v>"%USERPROFILE%\Documents\GitHub\eaglep3\Utilities\RefineRTDCRunTimes.py" --tripid 171-22 --locoid 4003 --swversion DE.1.0.9.0 --startMP 204:457 --initTime 2017-03-22T12:25:36 --startdatetime 2017-03-22T12:30:29 --delay 1 --endMP 204:233343 --enddatetime 2017-03-22T13:08:21 --enforcementcount 2 &gt;&gt;C:\Users\stu\Documents\GitHub\eaglep3-reporting\EC\2017-03-22-refined-times.txt</v>
      </c>
      <c r="AI86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{"issue":{"subject":"","project_id":79,"tracker_id":40,"status_id":1,"priority_id":2,"assigned_to_id":23,"start_date":"2017-03-22","description":"","custom_fields":[{"id":1,"name":"Subdivision","value":"EC"},{"id":4,"name":"Milepost","value":"23.3343"},{"id":17,"name":"Train ID","value":"171-22"},{"id":16,"name":"Locomotive ID","value":"4003"},{"id":130,"name":"Impact","value":""},{"id":150,"name":"Time of Event (Mountain Time)","value":"13:08:21"},{"id":151,"name":"Denver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41"/>
        <v>start /low /b %USERPROFILE%\Documents\GitHub\eaglep3\Utilities\DownloadLogsFromS3.py --loco 4003 --day 2017-03-22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"%USERPROFILE%\AppData\Local\Temp\OnboardLogs"\RTDC4003\*4003*20170322* | grep -SE "(Enforcement Action)|(\[TIMEOUT)|(CHR.+\|PRM\|1\|D.+(SWITCH|SIGNAL).+UNKNOWN)" - &gt;&gt; 2017-03-22-UncaughtWiMAX.txt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747</v>
      </c>
      <c r="B87" s="7">
        <v>4004</v>
      </c>
      <c r="C87" s="21" t="s">
        <v>219</v>
      </c>
      <c r="D87" s="21" t="s">
        <v>519</v>
      </c>
      <c r="E87" s="13">
        <v>42816.549143518518</v>
      </c>
      <c r="F87" s="13">
        <v>42816.56</v>
      </c>
      <c r="G87" s="7">
        <v>1</v>
      </c>
      <c r="H87" s="21" t="s">
        <v>483</v>
      </c>
      <c r="I87" s="13">
        <v>42816.588171296295</v>
      </c>
      <c r="J87" s="7">
        <v>2</v>
      </c>
      <c r="K87" s="98" t="str">
        <f t="shared" si="26"/>
        <v>4003/4004</v>
      </c>
      <c r="L87" s="21" t="str">
        <f>VLOOKUP(A87,'Trips&amp;Operators'!$C$1:$G$99999,5,FALSE)</f>
        <v>STRICKLAND EVAN</v>
      </c>
      <c r="M87" s="6">
        <f t="shared" si="27"/>
        <v>2.8171296296932269E-2</v>
      </c>
      <c r="N87" s="7">
        <f t="shared" si="42"/>
        <v>40.566666667582467</v>
      </c>
      <c r="O87" s="7"/>
      <c r="P87" s="7"/>
      <c r="Q87" s="22"/>
      <c r="R87" s="22"/>
      <c r="S87" s="31">
        <f t="shared" si="43"/>
        <v>1</v>
      </c>
      <c r="T87" s="46" t="str">
        <f t="shared" si="28"/>
        <v>Southbound</v>
      </c>
      <c r="U87" s="18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6" t="str">
        <f t="shared" si="29"/>
        <v>https://d0f6bd738d7f1b3e5a7ca70fe4ff75f0.us-east-1.aws.found.io/app/kibana#/discover/Steve-Slow-Train-Analysis-(2080s-and-2083s)?_g=(refreshInterval:(display:Off,pause:!f,section:0,value:0),time:(from:'2017-03-22T12:10:46-0600',mode:absolute,to:'2017-03-22T15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7" s="187" t="str">
        <f t="shared" si="30"/>
        <v>N</v>
      </c>
      <c r="X87" s="187">
        <f t="shared" si="31"/>
        <v>1</v>
      </c>
      <c r="Y87" s="62">
        <f t="shared" si="32"/>
        <v>23.3019</v>
      </c>
      <c r="Z87" s="62">
        <f t="shared" si="33"/>
        <v>1.61E-2</v>
      </c>
      <c r="AA87" s="62">
        <f t="shared" si="34"/>
        <v>23.285799999999998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5"/>
        <v>0172-22</v>
      </c>
      <c r="AE87" s="85" t="str">
        <f t="shared" si="36"/>
        <v>aws s3 cp s3://rtdc.mdm.uploadarchive.raw/RTDC4004/ "%USERPROFILE%\AppData\Local\Temp\OnboardLogs"\RTDC4004\2017-03-22 --exclude "*" --recursive --include "*20170322*" &amp; "%USERPROFILE%\Documents\GitHub\mrs-test-scripts\Headless Mode &amp; Sideloading\WalkAndUnGZ.bat" "%USERPROFILE%\AppData\Local\Temp\OnboardLogs"\RTDC4004\2017-03-22 &amp; aws s3 cp s3://rtdc.mdm.uploadarchive.raw/RTDC4004/ "%USERPROFILE%\AppData\Local\Temp\OnboardLogs"\RTDC4004\2017-03-23 --exclude "*" --recursive --include "*20170323*" &amp; "%USERPROFILE%\Documents\GitHub\mrs-test-scripts\Headless Mode &amp; Sideloading\WalkAndUnGZ.bat" "%USERPROFILE%\AppData\Local\Temp\OnboardLogs"\RTDC4004\2017-03-23</v>
      </c>
      <c r="AF87" s="82" t="str">
        <f t="shared" si="37"/>
        <v>"C:\Program Files (x86)\AstroGrep\AstroGrep.exe" /e /r /s /spath="%USERPROFILE%\AppData\Local\Temp\OnboardLogs" /stypes="app*4004*20170322*" /stext=" 20:.+((SYSTEM_STATE.+slice.+state.+changed )|(ment ac)|(multiple cpu faults)|(system.+state.+changed )|(\[timeout)|(PRM\|1\|D)|(kpr)|(kdp)|(\|lc)|(penalty))"</v>
      </c>
      <c r="AG87" s="1" t="str">
        <f t="shared" si="38"/>
        <v>EC</v>
      </c>
      <c r="AH87" s="86" t="str">
        <f t="shared" si="39"/>
        <v>"%USERPROFILE%\Documents\GitHub\eaglep3\Utilities\RefineRTDCRunTimes.py" --tripid 172-22 --locoid 4004 --swversion DE.1.0.9.0 --startMP 204:233019 --initTime 2017-03-22T13:10:46 --startdatetime 2017-03-22T13:26:24 --delay 1 --endMP 204:161 --enddatetime 2017-03-22T14:06:58 --enforcementcount 2 &gt;&gt;C:\Users\stu\Documents\GitHub\eaglep3-reporting\EC\2017-03-22-refined-times.txt</v>
      </c>
      <c r="AI87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{"issue":{"subject":"","project_id":79,"tracker_id":40,"status_id":1,"priority_id":2,"assigned_to_id":23,"start_date":"2017-03-22","description":"","custom_fields":[{"id":1,"name":"Subdivision","value":"EC"},{"id":4,"name":"Milepost","value":"0.0161"},{"id":17,"name":"Train ID","value":"172-22"},{"id":16,"name":"Locomotive ID","value":"4004"},{"id":130,"name":"Impact","value":""},{"id":150,"name":"Time of Event (Mountain Time)","value":"14:06:58"},{"id":151,"name":"Denver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41"/>
        <v>start /low /b %USERPROFILE%\Documents\GitHub\eaglep3\Utilities\DownloadLogsFromS3.py --loco 4004 --day 2017-03-22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"%USERPROFILE%\AppData\Local\Temp\OnboardLogs"\RTDC4004\*4004*20170322* | grep -SE "(Enforcement Action)|(\[TIMEOUT)|(CHR.+\|PRM\|1\|D.+(SWITCH|SIGNAL).+UNKNOWN)" - &gt;&gt; 2017-03-22-UncaughtWiMAX.txt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739</v>
      </c>
      <c r="B88" s="7">
        <v>4027</v>
      </c>
      <c r="C88" s="21" t="s">
        <v>219</v>
      </c>
      <c r="D88" s="21" t="s">
        <v>208</v>
      </c>
      <c r="E88" s="13">
        <v>42816.529652777775</v>
      </c>
      <c r="F88" s="13">
        <v>42816.531412037039</v>
      </c>
      <c r="G88" s="7">
        <v>1</v>
      </c>
      <c r="H88" s="21" t="s">
        <v>416</v>
      </c>
      <c r="I88" s="13">
        <v>42816.557592592595</v>
      </c>
      <c r="J88" s="7">
        <v>2</v>
      </c>
      <c r="K88" s="98" t="str">
        <f t="shared" si="26"/>
        <v>4027/4028</v>
      </c>
      <c r="L88" s="21" t="str">
        <f>VLOOKUP(A88,'Trips&amp;Operators'!$C$1:$G$99999,5,FALSE)</f>
        <v>CLARK KATHLEEN</v>
      </c>
      <c r="M88" s="6">
        <f t="shared" si="27"/>
        <v>2.6180555556493346E-2</v>
      </c>
      <c r="N88" s="7">
        <f t="shared" si="42"/>
        <v>37.700000001350418</v>
      </c>
      <c r="O88" s="7"/>
      <c r="P88" s="7"/>
      <c r="Q88" s="22"/>
      <c r="R88" s="22"/>
      <c r="S88" s="31">
        <f t="shared" si="43"/>
        <v>1</v>
      </c>
      <c r="T88" s="46" t="str">
        <f t="shared" si="28"/>
        <v>NorthBound</v>
      </c>
      <c r="U88" s="18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6" t="str">
        <f t="shared" si="29"/>
        <v>https://d0f6bd738d7f1b3e5a7ca70fe4ff75f0.us-east-1.aws.found.io/app/kibana#/discover/Steve-Slow-Train-Analysis-(2080s-and-2083s)?_g=(refreshInterval:(display:Off,pause:!f,section:0,value:0),time:(from:'2017-03-22T11:42:42-0600',mode:absolute,to:'2017-03-22T14:22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8" s="187" t="str">
        <f t="shared" si="30"/>
        <v>N</v>
      </c>
      <c r="X88" s="187">
        <f t="shared" si="31"/>
        <v>1</v>
      </c>
      <c r="Y88" s="62">
        <f t="shared" si="32"/>
        <v>4.5699999999999998E-2</v>
      </c>
      <c r="Z88" s="62">
        <f t="shared" si="33"/>
        <v>23.3278</v>
      </c>
      <c r="AA88" s="62">
        <f t="shared" si="34"/>
        <v>23.2821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5"/>
        <v>0173-22</v>
      </c>
      <c r="AE88" s="85" t="str">
        <f t="shared" si="36"/>
        <v>aws s3 cp s3://rtdc.mdm.uploadarchive.raw/RTDC4027/ "%USERPROFILE%\AppData\Local\Temp\OnboardLogs"\RTDC4027\2017-03-22 --exclude "*" --recursive --include "*20170322*" &amp; "%USERPROFILE%\Documents\GitHub\mrs-test-scripts\Headless Mode &amp; Sideloading\WalkAndUnGZ.bat" "%USERPROFILE%\AppData\Local\Temp\OnboardLogs"\RTDC4027\2017-03-22 &amp; aws s3 cp s3://rtdc.mdm.uploadarchive.raw/RTDC4027/ "%USERPROFILE%\AppData\Local\Temp\OnboardLogs"\RTDC4027\2017-03-23 --exclude "*" --recursive --include "*20170323*" &amp; "%USERPROFILE%\Documents\GitHub\mrs-test-scripts\Headless Mode &amp; Sideloading\WalkAndUnGZ.bat" "%USERPROFILE%\AppData\Local\Temp\OnboardLogs"\RTDC4027\2017-03-23</v>
      </c>
      <c r="AF88" s="82" t="str">
        <f t="shared" si="37"/>
        <v>"C:\Program Files (x86)\AstroGrep\AstroGrep.exe" /e /r /s /spath="%USERPROFILE%\AppData\Local\Temp\OnboardLogs" /stypes="app*4027*20170322*" /stext=" 19:.+((SYSTEM_STATE.+slice.+state.+changed )|(ment ac)|(multiple cpu faults)|(system.+state.+changed )|(\[timeout)|(PRM\|1\|D)|(kpr)|(kdp)|(\|lc)|(penalty))"</v>
      </c>
      <c r="AG88" s="1" t="str">
        <f t="shared" si="38"/>
        <v>EC</v>
      </c>
      <c r="AH88" s="86" t="str">
        <f t="shared" si="39"/>
        <v>"%USERPROFILE%\Documents\GitHub\eaglep3\Utilities\RefineRTDCRunTimes.py" --tripid 173-22 --locoid 4027 --swversion DE.1.0.9.0 --startMP 204:457 --initTime 2017-03-22T12:42:42 --startdatetime 2017-03-22T12:45:14 --delay 1 --endMP 204:233278 --enddatetime 2017-03-22T13:22:56 --enforcementcount 2 &gt;&gt;C:\Users\stu\Documents\GitHub\eaglep3-reporting\EC\2017-03-22-refined-times.txt</v>
      </c>
      <c r="AI88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{"issue":{"subject":"","project_id":79,"tracker_id":40,"status_id":1,"priority_id":2,"assigned_to_id":23,"start_date":"2017-03-22","description":"","custom_fields":[{"id":1,"name":"Subdivision","value":"EC"},{"id":4,"name":"Milepost","value":"23.3278"},{"id":17,"name":"Train ID","value":"173-22"},{"id":16,"name":"Locomotive ID","value":"4027"},{"id":130,"name":"Impact","value":""},{"id":150,"name":"Time of Event (Mountain Time)","value":"13:22:56"},{"id":151,"name":"Denver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41"/>
        <v>start /low /b %USERPROFILE%\Documents\GitHub\eaglep3\Utilities\DownloadLogsFromS3.py --loco 4027 --day 2017-03-22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"%USERPROFILE%\AppData\Local\Temp\OnboardLogs"\RTDC4027\*4027*20170322* | grep -SE "(Enforcement Action)|(\[TIMEOUT)|(CHR.+\|PRM\|1\|D.+(SWITCH|SIGNAL).+UNKNOWN)" - &gt;&gt; 2017-03-22-UncaughtWiMAX.txt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x14ac:dyDescent="0.25">
      <c r="A89" s="33" t="s">
        <v>620</v>
      </c>
      <c r="B89" s="7">
        <v>4028</v>
      </c>
      <c r="C89" s="21" t="s">
        <v>219</v>
      </c>
      <c r="D89" s="21" t="s">
        <v>892</v>
      </c>
      <c r="E89" s="13">
        <v>42816.566412037035</v>
      </c>
      <c r="F89" s="13">
        <v>42816.570324074077</v>
      </c>
      <c r="G89" s="7">
        <v>1</v>
      </c>
      <c r="H89" s="21" t="s">
        <v>893</v>
      </c>
      <c r="I89" s="13">
        <v>42816.59851851852</v>
      </c>
      <c r="J89" s="7">
        <v>2</v>
      </c>
      <c r="K89" s="98" t="str">
        <f t="shared" si="26"/>
        <v>4027/4028</v>
      </c>
      <c r="L89" s="21" t="str">
        <f>VLOOKUP(A89,'Trips&amp;Operators'!$C$1:$G$99999,5,FALSE)</f>
        <v>CLARK KATHLEEN</v>
      </c>
      <c r="M89" s="6">
        <f t="shared" si="27"/>
        <v>2.8194444443215616E-2</v>
      </c>
      <c r="N89" s="7">
        <f t="shared" si="42"/>
        <v>40.599999998230487</v>
      </c>
      <c r="O89" s="7"/>
      <c r="P89" s="7"/>
      <c r="Q89" s="22"/>
      <c r="R89" s="22"/>
      <c r="S89" s="31">
        <f t="shared" si="43"/>
        <v>1</v>
      </c>
      <c r="T89" s="46" t="str">
        <f t="shared" si="28"/>
        <v>Southbound</v>
      </c>
      <c r="U89" s="18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6" t="str">
        <f t="shared" si="29"/>
        <v>https://d0f6bd738d7f1b3e5a7ca70fe4ff75f0.us-east-1.aws.found.io/app/kibana#/discover/Steve-Slow-Train-Analysis-(2080s-and-2083s)?_g=(refreshInterval:(display:Off,pause:!f,section:0,value:0),time:(from:'2017-03-22T12:35:38-0600',mode:absolute,to:'2017-03-22T15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9" s="187" t="str">
        <f t="shared" si="30"/>
        <v>N</v>
      </c>
      <c r="X89" s="187">
        <f t="shared" si="31"/>
        <v>1</v>
      </c>
      <c r="Y89" s="62">
        <f t="shared" si="32"/>
        <v>23.296199999999999</v>
      </c>
      <c r="Z89" s="62">
        <f t="shared" si="33"/>
        <v>2.1100000000000001E-2</v>
      </c>
      <c r="AA89" s="62">
        <f t="shared" si="34"/>
        <v>23.275099999999998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5"/>
        <v>0174-22</v>
      </c>
      <c r="AE89" s="85" t="str">
        <f t="shared" si="36"/>
        <v>aws s3 cp s3://rtdc.mdm.uploadarchive.raw/RTDC4028/ "%USERPROFILE%\AppData\Local\Temp\OnboardLogs"\RTDC4028\2017-03-22 --exclude "*" --recursive --include "*20170322*" &amp; "%USERPROFILE%\Documents\GitHub\mrs-test-scripts\Headless Mode &amp; Sideloading\WalkAndUnGZ.bat" "%USERPROFILE%\AppData\Local\Temp\OnboardLogs"\RTDC4028\2017-03-22 &amp; aws s3 cp s3://rtdc.mdm.uploadarchive.raw/RTDC4028/ "%USERPROFILE%\AppData\Local\Temp\OnboardLogs"\RTDC4028\2017-03-23 --exclude "*" --recursive --include "*20170323*" &amp; "%USERPROFILE%\Documents\GitHub\mrs-test-scripts\Headless Mode &amp; Sideloading\WalkAndUnGZ.bat" "%USERPROFILE%\AppData\Local\Temp\OnboardLogs"\RTDC4028\2017-03-23</v>
      </c>
      <c r="AF89" s="82" t="str">
        <f t="shared" si="37"/>
        <v>"C:\Program Files (x86)\AstroGrep\AstroGrep.exe" /e /r /s /spath="%USERPROFILE%\AppData\Local\Temp\OnboardLogs" /stypes="app*4028*20170322*" /stext=" 20:.+((SYSTEM_STATE.+slice.+state.+changed )|(ment ac)|(multiple cpu faults)|(system.+state.+changed )|(\[timeout)|(PRM\|1\|D)|(kpr)|(kdp)|(\|lc)|(penalty))"</v>
      </c>
      <c r="AG89" s="1" t="str">
        <f t="shared" si="38"/>
        <v>EC</v>
      </c>
      <c r="AH89" s="86" t="str">
        <f t="shared" si="39"/>
        <v>"%USERPROFILE%\Documents\GitHub\eaglep3\Utilities\RefineRTDCRunTimes.py" --tripid 174-22 --locoid 4028 --swversion DE.1.0.9.0 --startMP 204:232962 --initTime 2017-03-22T13:35:38 --startdatetime 2017-03-22T13:41:16 --delay 1 --endMP 204:211 --enddatetime 2017-03-22T14:21:52 --enforcementcount 2 &gt;&gt;C:\Users\stu\Documents\GitHub\eaglep3-reporting\EC\2017-03-22-refined-times.txt</v>
      </c>
      <c r="AI89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{"issue":{"subject":"","project_id":79,"tracker_id":40,"status_id":1,"priority_id":2,"assigned_to_id":23,"start_date":"2017-03-22","description":"","custom_fields":[{"id":1,"name":"Subdivision","value":"EC"},{"id":4,"name":"Milepost","value":"0.0211"},{"id":17,"name":"Train ID","value":"174-22"},{"id":16,"name":"Locomotive ID","value":"4028"},{"id":130,"name":"Impact","value":""},{"id":150,"name":"Time of Event (Mountain Time)","value":"14:21:52"},{"id":151,"name":"Denver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41"/>
        <v>start /low /b %USERPROFILE%\Documents\GitHub\eaglep3\Utilities\DownloadLogsFromS3.py --loco 4028 --day 2017-03-22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"%USERPROFILE%\AppData\Local\Temp\OnboardLogs"\RTDC4028\*4028*20170322* | grep -SE "(Enforcement Action)|(\[TIMEOUT)|(CHR.+\|PRM\|1\|D.+(SWITCH|SIGNAL).+UNKNOWN)" - &gt;&gt; 2017-03-22-UncaughtWiMAX.txt</v>
      </c>
    </row>
    <row r="90" spans="1:91" s="20" customFormat="1" x14ac:dyDescent="0.25">
      <c r="A90" s="33" t="s">
        <v>741</v>
      </c>
      <c r="B90" s="7">
        <v>4040</v>
      </c>
      <c r="C90" s="21" t="s">
        <v>219</v>
      </c>
      <c r="D90" s="21" t="s">
        <v>894</v>
      </c>
      <c r="E90" s="13">
        <v>42816.53769675926</v>
      </c>
      <c r="F90" s="13">
        <v>42816.541990740741</v>
      </c>
      <c r="G90" s="7">
        <v>2</v>
      </c>
      <c r="H90" s="21" t="s">
        <v>565</v>
      </c>
      <c r="I90" s="13">
        <v>42816.56658564815</v>
      </c>
      <c r="J90" s="7">
        <v>2</v>
      </c>
      <c r="K90" s="98" t="str">
        <f t="shared" si="26"/>
        <v>4039/4040</v>
      </c>
      <c r="L90" s="21" t="str">
        <f>VLOOKUP(A90,'Trips&amp;Operators'!$C$1:$G$99999,5,FALSE)</f>
        <v>DELGADO DIANAH</v>
      </c>
      <c r="M90" s="6">
        <f t="shared" si="27"/>
        <v>2.4594907408754807E-2</v>
      </c>
      <c r="N90" s="7">
        <f t="shared" si="42"/>
        <v>35.416666668606922</v>
      </c>
      <c r="O90" s="7"/>
      <c r="P90" s="7"/>
      <c r="Q90" s="22"/>
      <c r="R90" s="22"/>
      <c r="S90" s="31">
        <f t="shared" si="43"/>
        <v>1</v>
      </c>
      <c r="T90" s="46" t="str">
        <f t="shared" si="28"/>
        <v>NorthBound</v>
      </c>
      <c r="U90" s="18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6" t="str">
        <f t="shared" si="29"/>
        <v>https://d0f6bd738d7f1b3e5a7ca70fe4ff75f0.us-east-1.aws.found.io/app/kibana#/discover/Steve-Slow-Train-Analysis-(2080s-and-2083s)?_g=(refreshInterval:(display:Off,pause:!f,section:0,value:0),time:(from:'2017-03-22T11:54:17-0600',mode:absolute,to:'2017-03-22T14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0" s="187" t="str">
        <f t="shared" si="30"/>
        <v>N</v>
      </c>
      <c r="X90" s="187">
        <f t="shared" si="31"/>
        <v>1</v>
      </c>
      <c r="Y90" s="62">
        <f t="shared" si="32"/>
        <v>5.28E-2</v>
      </c>
      <c r="Z90" s="62">
        <f t="shared" si="33"/>
        <v>23.340699999999998</v>
      </c>
      <c r="AA90" s="62">
        <f t="shared" si="34"/>
        <v>23.287899999999997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5"/>
        <v>0175-22</v>
      </c>
      <c r="AE90" s="85" t="str">
        <f t="shared" si="36"/>
        <v>aws s3 cp s3://rtdc.mdm.uploadarchive.raw/RTDC4040/ "%USERPROFILE%\AppData\Local\Temp\OnboardLogs"\RTDC4040\2017-03-22 --exclude "*" --recursive --include "*20170322*" &amp; "%USERPROFILE%\Documents\GitHub\mrs-test-scripts\Headless Mode &amp; Sideloading\WalkAndUnGZ.bat" "%USERPROFILE%\AppData\Local\Temp\OnboardLogs"\RTDC4040\2017-03-22 &amp; aws s3 cp s3://rtdc.mdm.uploadarchive.raw/RTDC4040/ "%USERPROFILE%\AppData\Local\Temp\OnboardLogs"\RTDC4040\2017-03-23 --exclude "*" --recursive --include "*20170323*" &amp; "%USERPROFILE%\Documents\GitHub\mrs-test-scripts\Headless Mode &amp; Sideloading\WalkAndUnGZ.bat" "%USERPROFILE%\AppData\Local\Temp\OnboardLogs"\RTDC4040\2017-03-23</v>
      </c>
      <c r="AF90" s="82" t="str">
        <f t="shared" si="37"/>
        <v>"C:\Program Files (x86)\AstroGrep\AstroGrep.exe" /e /r /s /spath="%USERPROFILE%\AppData\Local\Temp\OnboardLogs" /stypes="app*4040*20170322*" /stext=" 19:.+((SYSTEM_STATE.+slice.+state.+changed )|(ment ac)|(multiple cpu faults)|(system.+state.+changed )|(\[timeout)|(PRM\|1\|D)|(kpr)|(kdp)|(\|lc)|(penalty))"</v>
      </c>
      <c r="AG90" s="1" t="str">
        <f t="shared" si="38"/>
        <v>EC</v>
      </c>
      <c r="AH90" s="86" t="str">
        <f t="shared" si="39"/>
        <v>"%USERPROFILE%\Documents\GitHub\eaglep3\Utilities\RefineRTDCRunTimes.py" --tripid 175-22 --locoid 4040 --swversion DE.1.0.9.0 --startMP 204:528 --initTime 2017-03-22T12:54:17 --startdatetime 2017-03-22T13:00:28 --delay 2 --endMP 204:233407 --enddatetime 2017-03-22T13:35:53 --enforcementcount 2 &gt;&gt;C:\Users\stu\Documents\GitHub\eaglep3-reporting\EC\2017-03-22-refined-times.txt</v>
      </c>
      <c r="AI90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{"issue":{"subject":"","project_id":79,"tracker_id":40,"status_id":1,"priority_id":2,"assigned_to_id":23,"start_date":"2017-03-22","description":"","custom_fields":[{"id":1,"name":"Subdivision","value":"EC"},{"id":4,"name":"Milepost","value":"23.3407"},{"id":17,"name":"Train ID","value":"175-22"},{"id":16,"name":"Locomotive ID","value":"4040"},{"id":130,"name":"Impact","value":""},{"id":150,"name":"Time of Event (Mountain Time)","value":"13:35:53"},{"id":151,"name":"Denver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41"/>
        <v>start /low /b %USERPROFILE%\Documents\GitHub\eaglep3\Utilities\DownloadLogsFromS3.py --loco 4040 --day 2017-03-22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"%USERPROFILE%\AppData\Local\Temp\OnboardLogs"\RTDC4040\*4040*20170322* | grep -SE "(Enforcement Action)|(\[TIMEOUT)|(CHR.+\|PRM\|1\|D.+(SWITCH|SIGNAL).+UNKNOWN)" - &gt;&gt; 2017-03-22-UncaughtWiMAX.txt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621</v>
      </c>
      <c r="B91" s="7">
        <v>4039</v>
      </c>
      <c r="C91" s="21" t="s">
        <v>219</v>
      </c>
      <c r="D91" s="21" t="s">
        <v>895</v>
      </c>
      <c r="E91" s="13">
        <v>42816.580196759256</v>
      </c>
      <c r="F91" s="13">
        <v>42816.581643518519</v>
      </c>
      <c r="G91" s="7">
        <v>1</v>
      </c>
      <c r="H91" s="21" t="s">
        <v>214</v>
      </c>
      <c r="I91" s="13">
        <v>42816.607233796298</v>
      </c>
      <c r="J91" s="7">
        <v>2</v>
      </c>
      <c r="K91" s="98" t="str">
        <f t="shared" si="26"/>
        <v>4039/4040</v>
      </c>
      <c r="L91" s="21" t="str">
        <f>VLOOKUP(A91,'Trips&amp;Operators'!$C$1:$G$99999,5,FALSE)</f>
        <v>DELGADO DIANAH</v>
      </c>
      <c r="M91" s="6">
        <f t="shared" si="27"/>
        <v>2.5590277778974269E-2</v>
      </c>
      <c r="N91" s="7">
        <f t="shared" si="42"/>
        <v>36.850000001722947</v>
      </c>
      <c r="O91" s="7"/>
      <c r="P91" s="7"/>
      <c r="Q91" s="22"/>
      <c r="R91" s="22"/>
      <c r="S91" s="31">
        <f t="shared" si="43"/>
        <v>1</v>
      </c>
      <c r="T91" s="46" t="str">
        <f t="shared" si="28"/>
        <v>Southbound</v>
      </c>
      <c r="U91" s="18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6" t="str">
        <f t="shared" si="29"/>
        <v>https://d0f6bd738d7f1b3e5a7ca70fe4ff75f0.us-east-1.aws.found.io/app/kibana#/discover/Steve-Slow-Train-Analysis-(2080s-and-2083s)?_g=(refreshInterval:(display:Off,pause:!f,section:0,value:0),time:(from:'2017-03-22T12:55:29-0600',mode:absolute,to:'2017-03-22T15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1" s="187" t="str">
        <f t="shared" si="30"/>
        <v>N</v>
      </c>
      <c r="X91" s="187">
        <f t="shared" si="31"/>
        <v>1</v>
      </c>
      <c r="Y91" s="62">
        <f t="shared" si="32"/>
        <v>23.3078</v>
      </c>
      <c r="Z91" s="62">
        <f t="shared" si="33"/>
        <v>1.5599999999999999E-2</v>
      </c>
      <c r="AA91" s="62">
        <f t="shared" si="34"/>
        <v>23.292200000000001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5"/>
        <v>0176-22</v>
      </c>
      <c r="AE91" s="85" t="str">
        <f t="shared" si="36"/>
        <v>aws s3 cp s3://rtdc.mdm.uploadarchive.raw/RTDC4039/ "%USERPROFILE%\AppData\Local\Temp\OnboardLogs"\RTDC4039\2017-03-22 --exclude "*" --recursive --include "*20170322*" &amp; "%USERPROFILE%\Documents\GitHub\mrs-test-scripts\Headless Mode &amp; Sideloading\WalkAndUnGZ.bat" "%USERPROFILE%\AppData\Local\Temp\OnboardLogs"\RTDC4039\2017-03-22 &amp; aws s3 cp s3://rtdc.mdm.uploadarchive.raw/RTDC4039/ "%USERPROFILE%\AppData\Local\Temp\OnboardLogs"\RTDC4039\2017-03-23 --exclude "*" --recursive --include "*20170323*" &amp; "%USERPROFILE%\Documents\GitHub\mrs-test-scripts\Headless Mode &amp; Sideloading\WalkAndUnGZ.bat" "%USERPROFILE%\AppData\Local\Temp\OnboardLogs"\RTDC4039\2017-03-23</v>
      </c>
      <c r="AF91" s="82" t="str">
        <f t="shared" si="37"/>
        <v>"C:\Program Files (x86)\AstroGrep\AstroGrep.exe" /e /r /s /spath="%USERPROFILE%\AppData\Local\Temp\OnboardLogs" /stypes="app*4039*20170322*" /stext=" 20:.+((SYSTEM_STATE.+slice.+state.+changed )|(ment ac)|(multiple cpu faults)|(system.+state.+changed )|(\[timeout)|(PRM\|1\|D)|(kpr)|(kdp)|(\|lc)|(penalty))"</v>
      </c>
      <c r="AG91" s="1" t="str">
        <f t="shared" si="38"/>
        <v>EC</v>
      </c>
      <c r="AH91" s="86" t="str">
        <f t="shared" si="39"/>
        <v>"%USERPROFILE%\Documents\GitHub\eaglep3\Utilities\RefineRTDCRunTimes.py" --tripid 176-22 --locoid 4039 --swversion DE.1.0.9.0 --startMP 204:233078 --initTime 2017-03-22T13:55:29 --startdatetime 2017-03-22T13:57:34 --delay 1 --endMP 204:156 --enddatetime 2017-03-22T14:34:25 --enforcementcount 2 &gt;&gt;C:\Users\stu\Documents\GitHub\eaglep3-reporting\EC\2017-03-22-refined-times.txt</v>
      </c>
      <c r="AI91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{"issue":{"subject":"","project_id":79,"tracker_id":40,"status_id":1,"priority_id":2,"assigned_to_id":23,"start_date":"2017-03-22","description":"","custom_fields":[{"id":1,"name":"Subdivision","value":"EC"},{"id":4,"name":"Milepost","value":"0.0156"},{"id":17,"name":"Train ID","value":"176-22"},{"id":16,"name":"Locomotive ID","value":"4039"},{"id":130,"name":"Impact","value":""},{"id":150,"name":"Time of Event (Mountain Time)","value":"14:34:25"},{"id":151,"name":"Denver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41"/>
        <v>start /low /b %USERPROFILE%\Documents\GitHub\eaglep3\Utilities\DownloadLogsFromS3.py --loco 4039 --day 2017-03-22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"%USERPROFILE%\AppData\Local\Temp\OnboardLogs"\RTDC4039\*4039*20170322* | grep -SE "(Enforcement Action)|(\[TIMEOUT)|(CHR.+\|PRM\|1\|D.+(SWITCH|SIGNAL).+UNKNOWN)" - &gt;&gt; 2017-03-22-UncaughtWiMAX.txt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745</v>
      </c>
      <c r="B92" s="7">
        <v>4020</v>
      </c>
      <c r="C92" s="21" t="s">
        <v>219</v>
      </c>
      <c r="D92" s="21" t="s">
        <v>569</v>
      </c>
      <c r="E92" s="13">
        <v>42816.54859953704</v>
      </c>
      <c r="F92" s="13">
        <v>42816.552349537036</v>
      </c>
      <c r="G92" s="7">
        <v>1</v>
      </c>
      <c r="H92" s="21" t="s">
        <v>401</v>
      </c>
      <c r="I92" s="13">
        <v>42816.578715277778</v>
      </c>
      <c r="J92" s="7">
        <v>2</v>
      </c>
      <c r="K92" s="98" t="str">
        <f t="shared" si="26"/>
        <v>4019/4020</v>
      </c>
      <c r="L92" s="21" t="str">
        <f>VLOOKUP(A92,'Trips&amp;Operators'!$C$1:$G$99999,5,FALSE)</f>
        <v>MENGES BRAD</v>
      </c>
      <c r="M92" s="6">
        <f t="shared" si="27"/>
        <v>2.6365740741312038E-2</v>
      </c>
      <c r="N92" s="7">
        <f t="shared" si="42"/>
        <v>37.966666667489335</v>
      </c>
      <c r="O92" s="7"/>
      <c r="P92" s="7"/>
      <c r="Q92" s="22"/>
      <c r="R92" s="22"/>
      <c r="S92" s="31">
        <f t="shared" si="43"/>
        <v>1</v>
      </c>
      <c r="T92" s="46" t="str">
        <f t="shared" si="28"/>
        <v>NorthBound</v>
      </c>
      <c r="U92" s="18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6" t="str">
        <f t="shared" si="29"/>
        <v>https://d0f6bd738d7f1b3e5a7ca70fe4ff75f0.us-east-1.aws.found.io/app/kibana#/discover/Steve-Slow-Train-Analysis-(2080s-and-2083s)?_g=(refreshInterval:(display:Off,pause:!f,section:0,value:0),time:(from:'2017-03-22T12:09:59-0600',mode:absolute,to:'2017-03-22T14:53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2" s="187" t="str">
        <f t="shared" si="30"/>
        <v>N</v>
      </c>
      <c r="X92" s="187">
        <f t="shared" si="31"/>
        <v>1</v>
      </c>
      <c r="Y92" s="62">
        <f t="shared" si="32"/>
        <v>5.04E-2</v>
      </c>
      <c r="Z92" s="62">
        <f t="shared" si="33"/>
        <v>23.330400000000001</v>
      </c>
      <c r="AA92" s="62">
        <f t="shared" si="34"/>
        <v>23.28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5"/>
        <v>0177-22</v>
      </c>
      <c r="AE92" s="85" t="str">
        <f t="shared" si="36"/>
        <v>aws s3 cp s3://rtdc.mdm.uploadarchive.raw/RTDC4020/ "%USERPROFILE%\AppData\Local\Temp\OnboardLogs"\RTDC4020\2017-03-22 --exclude "*" --recursive --include "*20170322*" &amp; "%USERPROFILE%\Documents\GitHub\mrs-test-scripts\Headless Mode &amp; Sideloading\WalkAndUnGZ.bat" "%USERPROFILE%\AppData\Local\Temp\OnboardLogs"\RTDC4020\2017-03-22 &amp; aws s3 cp s3://rtdc.mdm.uploadarchive.raw/RTDC4020/ "%USERPROFILE%\AppData\Local\Temp\OnboardLogs"\RTDC4020\2017-03-23 --exclude "*" --recursive --include "*20170323*" &amp; "%USERPROFILE%\Documents\GitHub\mrs-test-scripts\Headless Mode &amp; Sideloading\WalkAndUnGZ.bat" "%USERPROFILE%\AppData\Local\Temp\OnboardLogs"\RTDC4020\2017-03-23</v>
      </c>
      <c r="AF92" s="82" t="str">
        <f t="shared" si="37"/>
        <v>"C:\Program Files (x86)\AstroGrep\AstroGrep.exe" /e /r /s /spath="%USERPROFILE%\AppData\Local\Temp\OnboardLogs" /stypes="app*4020*20170322*" /stext=" 19:.+((SYSTEM_STATE.+slice.+state.+changed )|(ment ac)|(multiple cpu faults)|(system.+state.+changed )|(\[timeout)|(PRM\|1\|D)|(kpr)|(kdp)|(\|lc)|(penalty))"</v>
      </c>
      <c r="AG92" s="1" t="str">
        <f t="shared" si="38"/>
        <v>EC</v>
      </c>
      <c r="AH92" s="86" t="str">
        <f t="shared" si="39"/>
        <v>"%USERPROFILE%\Documents\GitHub\eaglep3\Utilities\RefineRTDCRunTimes.py" --tripid 177-22 --locoid 4020 --swversion DE.1.0.9.0 --startMP 204:504 --initTime 2017-03-22T13:09:59 --startdatetime 2017-03-22T13:15:23 --delay 1 --endMP 204:233304 --enddatetime 2017-03-22T13:53:21 --enforcementcount 2 &gt;&gt;C:\Users\stu\Documents\GitHub\eaglep3-reporting\EC\2017-03-22-refined-times.txt</v>
      </c>
      <c r="AI92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{"issue":{"subject":"","project_id":79,"tracker_id":40,"status_id":1,"priority_id":2,"assigned_to_id":23,"start_date":"2017-03-22","description":"","custom_fields":[{"id":1,"name":"Subdivision","value":"EC"},{"id":4,"name":"Milepost","value":"23.3304"},{"id":17,"name":"Train ID","value":"177-22"},{"id":16,"name":"Locomotive ID","value":"4020"},{"id":130,"name":"Impact","value":""},{"id":150,"name":"Time of Event (Mountain Time)","value":"13:53:21"},{"id":151,"name":"Denver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41"/>
        <v>start /low /b %USERPROFILE%\Documents\GitHub\eaglep3\Utilities\DownloadLogsFromS3.py --loco 4020 --day 2017-03-22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"%USERPROFILE%\AppData\Local\Temp\OnboardLogs"\RTDC4020\*4020*20170322* | grep -SE "(Enforcement Action)|(\[TIMEOUT)|(CHR.+\|PRM\|1\|D.+(SWITCH|SIGNAL).+UNKNOWN)" - &gt;&gt; 2017-03-22-UncaughtWiMAX.txt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623</v>
      </c>
      <c r="B93" s="7">
        <v>4019</v>
      </c>
      <c r="C93" s="21" t="s">
        <v>219</v>
      </c>
      <c r="D93" s="21" t="s">
        <v>896</v>
      </c>
      <c r="E93" s="13">
        <v>42816.585740740738</v>
      </c>
      <c r="F93" s="13">
        <v>42816.591249999998</v>
      </c>
      <c r="G93" s="7">
        <v>1</v>
      </c>
      <c r="H93" s="21" t="s">
        <v>897</v>
      </c>
      <c r="I93" s="13">
        <v>42816.619976851849</v>
      </c>
      <c r="J93" s="7">
        <v>2</v>
      </c>
      <c r="K93" s="98" t="str">
        <f t="shared" si="26"/>
        <v>4019/4020</v>
      </c>
      <c r="L93" s="21" t="str">
        <f>VLOOKUP(A93,'Trips&amp;Operators'!$C$1:$G$99999,5,FALSE)</f>
        <v>MENGES BRAD</v>
      </c>
      <c r="M93" s="6">
        <f t="shared" si="27"/>
        <v>2.8726851851388346E-2</v>
      </c>
      <c r="N93" s="7">
        <f t="shared" si="42"/>
        <v>41.366666665999219</v>
      </c>
      <c r="O93" s="7"/>
      <c r="P93" s="7"/>
      <c r="Q93" s="22"/>
      <c r="R93" s="22"/>
      <c r="S93" s="31">
        <f t="shared" si="43"/>
        <v>1</v>
      </c>
      <c r="T93" s="46" t="str">
        <f t="shared" si="28"/>
        <v>Southbound</v>
      </c>
      <c r="U93" s="18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6" t="str">
        <f t="shared" si="29"/>
        <v>https://d0f6bd738d7f1b3e5a7ca70fe4ff75f0.us-east-1.aws.found.io/app/kibana#/discover/Steve-Slow-Train-Analysis-(2080s-and-2083s)?_g=(refreshInterval:(display:Off,pause:!f,section:0,value:0),time:(from:'2017-03-22T13:03:28-0600',mode:absolute,to:'2017-03-22T15:52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3" s="187" t="str">
        <f t="shared" si="30"/>
        <v>N</v>
      </c>
      <c r="X93" s="187">
        <f t="shared" si="31"/>
        <v>1</v>
      </c>
      <c r="Y93" s="62">
        <f t="shared" si="32"/>
        <v>23.296399999999998</v>
      </c>
      <c r="Z93" s="62">
        <f t="shared" si="33"/>
        <v>0.1181</v>
      </c>
      <c r="AA93" s="62">
        <f t="shared" si="34"/>
        <v>23.1783</v>
      </c>
      <c r="AB93" s="59" t="str">
        <f>VLOOKUP(A93,Enforcements!$C$7:$K$13,8,0)</f>
        <v>Bulletin (2)</v>
      </c>
      <c r="AC93" s="55" t="str">
        <f>VLOOKUP(A93,Enforcements!$C$7:$E$13,3,0)</f>
        <v>GRADE CROSSING</v>
      </c>
      <c r="AD93" s="56" t="str">
        <f t="shared" si="35"/>
        <v>0178-22</v>
      </c>
      <c r="AE93" s="85" t="str">
        <f t="shared" si="36"/>
        <v>aws s3 cp s3://rtdc.mdm.uploadarchive.raw/RTDC4019/ "%USERPROFILE%\AppData\Local\Temp\OnboardLogs"\RTDC4019\2017-03-22 --exclude "*" --recursive --include "*20170322*" &amp; "%USERPROFILE%\Documents\GitHub\mrs-test-scripts\Headless Mode &amp; Sideloading\WalkAndUnGZ.bat" "%USERPROFILE%\AppData\Local\Temp\OnboardLogs"\RTDC4019\2017-03-22 &amp; aws s3 cp s3://rtdc.mdm.uploadarchive.raw/RTDC4019/ "%USERPROFILE%\AppData\Local\Temp\OnboardLogs"\RTDC4019\2017-03-23 --exclude "*" --recursive --include "*20170323*" &amp; "%USERPROFILE%\Documents\GitHub\mrs-test-scripts\Headless Mode &amp; Sideloading\WalkAndUnGZ.bat" "%USERPROFILE%\AppData\Local\Temp\OnboardLogs"\RTDC4019\2017-03-23</v>
      </c>
      <c r="AF93" s="82" t="str">
        <f t="shared" si="37"/>
        <v>"C:\Program Files (x86)\AstroGrep\AstroGrep.exe" /e /r /s /spath="%USERPROFILE%\AppData\Local\Temp\OnboardLogs" /stypes="app*4019*20170322*" /stext=" 20:.+((SYSTEM_STATE.+slice.+state.+changed )|(ment ac)|(multiple cpu faults)|(system.+state.+changed )|(\[timeout)|(PRM\|1\|D)|(kpr)|(kdp)|(\|lc)|(penalty))"</v>
      </c>
      <c r="AG93" s="1" t="str">
        <f t="shared" si="38"/>
        <v>EC</v>
      </c>
      <c r="AH93" s="86" t="str">
        <f t="shared" si="39"/>
        <v>"%USERPROFILE%\Documents\GitHub\eaglep3\Utilities\RefineRTDCRunTimes.py" --tripid 178-22 --locoid 4019 --swversion DE.1.0.9.0 --startMP 204:232964 --initTime 2017-03-22T14:03:28 --startdatetime 2017-03-22T14:11:24 --delay 1 --endMP 204:1181 --enddatetime 2017-03-22T14:52:46 --enforcementcount 2 &gt;&gt;C:\Users\stu\Documents\GitHub\eaglep3-reporting\EC\2017-03-22-refined-times.txt</v>
      </c>
      <c r="AI93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{"issue":{"subject":"","project_id":79,"tracker_id":40,"status_id":1,"priority_id":2,"assigned_to_id":23,"start_date":"2017-03-22","description":"","custom_fields":[{"id":1,"name":"Subdivision","value":"EC"},{"id":4,"name":"Milepost","value":"0.1181"},{"id":17,"name":"Train ID","value":"178-22"},{"id":16,"name":"Locomotive ID","value":"4019"},{"id":130,"name":"Impact","value":""},{"id":150,"name":"Time of Event (Mountain Time)","value":"14:52:46"},{"id":151,"name":"Denver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41"/>
        <v>start /low /b %USERPROFILE%\Documents\GitHub\eaglep3\Utilities\DownloadLogsFromS3.py --loco 4019 --day 2017-03-22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"%USERPROFILE%\AppData\Local\Temp\OnboardLogs"\RTDC4019\*4019*20170322* | grep -SE "(Enforcement Action)|(\[TIMEOUT)|(CHR.+\|PRM\|1\|D.+(SWITCH|SIGNAL).+UNKNOWN)" - &gt;&gt; 2017-03-22-UncaughtWiMAX.txt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619</v>
      </c>
      <c r="B94" s="7">
        <v>4042</v>
      </c>
      <c r="C94" s="21" t="s">
        <v>219</v>
      </c>
      <c r="D94" s="21" t="s">
        <v>209</v>
      </c>
      <c r="E94" s="13">
        <v>42816.560081018521</v>
      </c>
      <c r="F94" s="13">
        <v>42816.563240740739</v>
      </c>
      <c r="G94" s="7">
        <v>1</v>
      </c>
      <c r="H94" s="21" t="s">
        <v>898</v>
      </c>
      <c r="I94" s="13">
        <v>42816.58734953704</v>
      </c>
      <c r="J94" s="7">
        <v>2</v>
      </c>
      <c r="K94" s="98" t="str">
        <f t="shared" si="26"/>
        <v>4041/4042</v>
      </c>
      <c r="L94" s="21" t="str">
        <f>VLOOKUP(A94,'Trips&amp;Operators'!$C$1:$G$99999,5,FALSE)</f>
        <v>HELVIE ADAM</v>
      </c>
      <c r="M94" s="6">
        <f t="shared" si="27"/>
        <v>2.4108796300424729E-2</v>
      </c>
      <c r="N94" s="7">
        <f t="shared" si="42"/>
        <v>34.716666672611609</v>
      </c>
      <c r="O94" s="7"/>
      <c r="P94" s="7"/>
      <c r="Q94" s="22"/>
      <c r="R94" s="22"/>
      <c r="S94" s="31">
        <f t="shared" si="43"/>
        <v>1</v>
      </c>
      <c r="T94" s="46" t="str">
        <f t="shared" si="28"/>
        <v>NorthBound</v>
      </c>
      <c r="U94" s="18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6" t="str">
        <f t="shared" si="29"/>
        <v>https://d0f6bd738d7f1b3e5a7ca70fe4ff75f0.us-east-1.aws.found.io/app/kibana#/discover/Steve-Slow-Train-Analysis-(2080s-and-2083s)?_g=(refreshInterval:(display:Off,pause:!f,section:0,value:0),time:(from:'2017-03-22T12:26:31-0600',mode:absolute,to:'2017-03-22T15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4" s="187" t="str">
        <f t="shared" si="30"/>
        <v>N</v>
      </c>
      <c r="X94" s="187">
        <f t="shared" si="31"/>
        <v>1</v>
      </c>
      <c r="Y94" s="62">
        <f t="shared" si="32"/>
        <v>4.5999999999999999E-2</v>
      </c>
      <c r="Z94" s="62">
        <f t="shared" si="33"/>
        <v>23.317599999999999</v>
      </c>
      <c r="AA94" s="62">
        <f t="shared" si="34"/>
        <v>23.271599999999999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5"/>
        <v>0179-22</v>
      </c>
      <c r="AE94" s="85" t="str">
        <f t="shared" si="36"/>
        <v>aws s3 cp s3://rtdc.mdm.uploadarchive.raw/RTDC4042/ "%USERPROFILE%\AppData\Local\Temp\OnboardLogs"\RTDC4042\2017-03-22 --exclude "*" --recursive --include "*20170322*" &amp; "%USERPROFILE%\Documents\GitHub\mrs-test-scripts\Headless Mode &amp; Sideloading\WalkAndUnGZ.bat" "%USERPROFILE%\AppData\Local\Temp\OnboardLogs"\RTDC4042\2017-03-22 &amp; aws s3 cp s3://rtdc.mdm.uploadarchive.raw/RTDC4042/ "%USERPROFILE%\AppData\Local\Temp\OnboardLogs"\RTDC4042\2017-03-23 --exclude "*" --recursive --include "*20170323*" &amp; "%USERPROFILE%\Documents\GitHub\mrs-test-scripts\Headless Mode &amp; Sideloading\WalkAndUnGZ.bat" "%USERPROFILE%\AppData\Local\Temp\OnboardLogs"\RTDC4042\2017-03-23</v>
      </c>
      <c r="AF94" s="82" t="str">
        <f t="shared" si="37"/>
        <v>"C:\Program Files (x86)\AstroGrep\AstroGrep.exe" /e /r /s /spath="%USERPROFILE%\AppData\Local\Temp\OnboardLogs" /stypes="app*4042*20170322*" /stext=" 20:.+((SYSTEM_STATE.+slice.+state.+changed )|(ment ac)|(multiple cpu faults)|(system.+state.+changed )|(\[timeout)|(PRM\|1\|D)|(kpr)|(kdp)|(\|lc)|(penalty))"</v>
      </c>
      <c r="AG94" s="1" t="str">
        <f t="shared" si="38"/>
        <v>EC</v>
      </c>
      <c r="AH94" s="86" t="str">
        <f t="shared" si="39"/>
        <v>"%USERPROFILE%\Documents\GitHub\eaglep3\Utilities\RefineRTDCRunTimes.py" --tripid 179-22 --locoid 4042 --swversion DE.1.0.9.0 --startMP 204:460 --initTime 2017-03-22T13:26:31 --startdatetime 2017-03-22T13:31:04 --delay 1 --endMP 204:233176 --enddatetime 2017-03-22T14:05:47 --enforcementcount 2 &gt;&gt;C:\Users\stu\Documents\GitHub\eaglep3-reporting\EC\2017-03-22-refined-times.txt</v>
      </c>
      <c r="AI94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{"issue":{"subject":"","project_id":79,"tracker_id":40,"status_id":1,"priority_id":2,"assigned_to_id":23,"start_date":"2017-03-22","description":"","custom_fields":[{"id":1,"name":"Subdivision","value":"EC"},{"id":4,"name":"Milepost","value":"23.3176"},{"id":17,"name":"Train ID","value":"179-22"},{"id":16,"name":"Locomotive ID","value":"4042"},{"id":130,"name":"Impact","value":""},{"id":150,"name":"Time of Event (Mountain Time)","value":"14:05:47"},{"id":151,"name":"Denver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41"/>
        <v>start /low /b %USERPROFILE%\Documents\GitHub\eaglep3\Utilities\DownloadLogsFromS3.py --loco 4042 --day 2017-03-22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"%USERPROFILE%\AppData\Local\Temp\OnboardLogs"\RTDC4042\*4042*20170322* | grep -SE "(Enforcement Action)|(\[TIMEOUT)|(CHR.+\|PRM\|1\|D.+(SWITCH|SIGNAL).+UNKNOWN)" - &gt;&gt; 2017-03-22-UncaughtWiMAX.txt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624</v>
      </c>
      <c r="B95" s="7">
        <v>4041</v>
      </c>
      <c r="C95" s="21" t="s">
        <v>219</v>
      </c>
      <c r="D95" s="21" t="s">
        <v>899</v>
      </c>
      <c r="E95" s="13">
        <v>42816.59952546296</v>
      </c>
      <c r="F95" s="13">
        <v>42816.601782407408</v>
      </c>
      <c r="G95" s="7">
        <v>1</v>
      </c>
      <c r="H95" s="21" t="s">
        <v>199</v>
      </c>
      <c r="I95" s="13">
        <v>42816.629201388889</v>
      </c>
      <c r="J95" s="7">
        <v>2</v>
      </c>
      <c r="K95" s="98" t="str">
        <f t="shared" si="26"/>
        <v>4041/4042</v>
      </c>
      <c r="L95" s="21" t="str">
        <f>VLOOKUP(A95,'Trips&amp;Operators'!$C$1:$G$99999,5,FALSE)</f>
        <v>HELVIE ADAM</v>
      </c>
      <c r="M95" s="6">
        <f t="shared" si="27"/>
        <v>2.7418981480877846E-2</v>
      </c>
      <c r="N95" s="7">
        <f t="shared" si="42"/>
        <v>39.483333332464099</v>
      </c>
      <c r="O95" s="7"/>
      <c r="P95" s="7"/>
      <c r="Q95" s="22"/>
      <c r="R95" s="22"/>
      <c r="S95" s="31">
        <f t="shared" si="43"/>
        <v>1</v>
      </c>
      <c r="T95" s="46" t="str">
        <f t="shared" si="28"/>
        <v>Southbound</v>
      </c>
      <c r="U95" s="18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6" t="str">
        <f t="shared" si="29"/>
        <v>https://d0f6bd738d7f1b3e5a7ca70fe4ff75f0.us-east-1.aws.found.io/app/kibana#/discover/Steve-Slow-Train-Analysis-(2080s-and-2083s)?_g=(refreshInterval:(display:Off,pause:!f,section:0,value:0),time:(from:'2017-03-22T13:23:19-0600',mode:absolute,to:'2017-03-22T16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5" s="187" t="str">
        <f t="shared" si="30"/>
        <v>N</v>
      </c>
      <c r="X95" s="187">
        <f t="shared" si="31"/>
        <v>1</v>
      </c>
      <c r="Y95" s="62">
        <f t="shared" si="32"/>
        <v>23.2852</v>
      </c>
      <c r="Z95" s="62">
        <f t="shared" si="33"/>
        <v>1.52E-2</v>
      </c>
      <c r="AA95" s="62">
        <f t="shared" si="34"/>
        <v>23.27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5"/>
        <v>0180-22</v>
      </c>
      <c r="AE95" s="85" t="str">
        <f t="shared" si="36"/>
        <v>aws s3 cp s3://rtdc.mdm.uploadarchive.raw/RTDC4041/ "%USERPROFILE%\AppData\Local\Temp\OnboardLogs"\RTDC4041\2017-03-22 --exclude "*" --recursive --include "*20170322*" &amp; "%USERPROFILE%\Documents\GitHub\mrs-test-scripts\Headless Mode &amp; Sideloading\WalkAndUnGZ.bat" "%USERPROFILE%\AppData\Local\Temp\OnboardLogs"\RTDC4041\2017-03-22 &amp; aws s3 cp s3://rtdc.mdm.uploadarchive.raw/RTDC4041/ "%USERPROFILE%\AppData\Local\Temp\OnboardLogs"\RTDC4041\2017-03-23 --exclude "*" --recursive --include "*20170323*" &amp; "%USERPROFILE%\Documents\GitHub\mrs-test-scripts\Headless Mode &amp; Sideloading\WalkAndUnGZ.bat" "%USERPROFILE%\AppData\Local\Temp\OnboardLogs"\RTDC4041\2017-03-23</v>
      </c>
      <c r="AF95" s="82" t="str">
        <f t="shared" si="37"/>
        <v>"C:\Program Files (x86)\AstroGrep\AstroGrep.exe" /e /r /s /spath="%USERPROFILE%\AppData\Local\Temp\OnboardLogs" /stypes="app*4041*20170322*" /stext=" 21:.+((SYSTEM_STATE.+slice.+state.+changed )|(ment ac)|(multiple cpu faults)|(system.+state.+changed )|(\[timeout)|(PRM\|1\|D)|(kpr)|(kdp)|(\|lc)|(penalty))"</v>
      </c>
      <c r="AG95" s="1" t="str">
        <f t="shared" si="38"/>
        <v>EC</v>
      </c>
      <c r="AH95" s="86" t="str">
        <f t="shared" si="39"/>
        <v>"%USERPROFILE%\Documents\GitHub\eaglep3\Utilities\RefineRTDCRunTimes.py" --tripid 180-22 --locoid 4041 --swversion DE.1.0.9.0 --startMP 204:232852 --initTime 2017-03-22T14:23:19 --startdatetime 2017-03-22T14:26:34 --delay 1 --endMP 204:152 --enddatetime 2017-03-22T15:06:03 --enforcementcount 2 &gt;&gt;C:\Users\stu\Documents\GitHub\eaglep3-reporting\EC\2017-03-22-refined-times.txt</v>
      </c>
      <c r="AI95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{"issue":{"subject":"","project_id":79,"tracker_id":40,"status_id":1,"priority_id":2,"assigned_to_id":23,"start_date":"2017-03-22","description":"","custom_fields":[{"id":1,"name":"Subdivision","value":"EC"},{"id":4,"name":"Milepost","value":"0.0152"},{"id":17,"name":"Train ID","value":"180-22"},{"id":16,"name":"Locomotive ID","value":"4041"},{"id":130,"name":"Impact","value":""},{"id":150,"name":"Time of Event (Mountain Time)","value":"15:06:03"},{"id":151,"name":"Denver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41"/>
        <v>start /low /b %USERPROFILE%\Documents\GitHub\eaglep3\Utilities\DownloadLogsFromS3.py --loco 4041 --day 2017-03-22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"%USERPROFILE%\AppData\Local\Temp\OnboardLogs"\RTDC4041\*4041*20170322* | grep -SE "(Enforcement Action)|(\[TIMEOUT)|(CHR.+\|PRM\|1\|D.+(SWITCH|SIGNAL).+UNKNOWN)" - &gt;&gt; 2017-03-22-UncaughtWiMAX.txt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749</v>
      </c>
      <c r="B96" s="7">
        <v>4018</v>
      </c>
      <c r="C96" s="21" t="s">
        <v>219</v>
      </c>
      <c r="D96" s="21" t="s">
        <v>862</v>
      </c>
      <c r="E96" s="13">
        <v>42816.570011574076</v>
      </c>
      <c r="F96" s="13">
        <v>42816.573078703703</v>
      </c>
      <c r="G96" s="7">
        <v>1</v>
      </c>
      <c r="H96" s="21" t="s">
        <v>900</v>
      </c>
      <c r="I96" s="13">
        <v>42816.599710648145</v>
      </c>
      <c r="J96" s="7">
        <v>2</v>
      </c>
      <c r="K96" s="98" t="str">
        <f t="shared" si="26"/>
        <v>4017/4018</v>
      </c>
      <c r="L96" s="21" t="str">
        <f>VLOOKUP(A96,'Trips&amp;Operators'!$C$1:$G$99999,5,FALSE)</f>
        <v>LOCKLEAR TRAVIS</v>
      </c>
      <c r="M96" s="6">
        <f t="shared" si="27"/>
        <v>2.6631944441760425E-2</v>
      </c>
      <c r="N96" s="7">
        <f t="shared" si="42"/>
        <v>38.349999996135011</v>
      </c>
      <c r="O96" s="7"/>
      <c r="P96" s="7"/>
      <c r="Q96" s="22"/>
      <c r="R96" s="22"/>
      <c r="S96" s="31">
        <f t="shared" si="43"/>
        <v>1</v>
      </c>
      <c r="T96" s="46" t="str">
        <f t="shared" si="28"/>
        <v>NorthBound</v>
      </c>
      <c r="U96" s="18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6" t="str">
        <f t="shared" si="29"/>
        <v>https://d0f6bd738d7f1b3e5a7ca70fe4ff75f0.us-east-1.aws.found.io/app/kibana#/discover/Steve-Slow-Train-Analysis-(2080s-and-2083s)?_g=(refreshInterval:(display:Off,pause:!f,section:0,value:0),time:(from:'2017-03-22T12:40:49-0600',mode:absolute,to:'2017-03-22T15:23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6" s="187" t="str">
        <f t="shared" si="30"/>
        <v>N</v>
      </c>
      <c r="X96" s="187">
        <f t="shared" si="31"/>
        <v>1</v>
      </c>
      <c r="Y96" s="62">
        <f t="shared" si="32"/>
        <v>4.8000000000000001E-2</v>
      </c>
      <c r="Z96" s="62">
        <f t="shared" si="33"/>
        <v>23.3355</v>
      </c>
      <c r="AA96" s="62">
        <f t="shared" si="34"/>
        <v>23.287500000000001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5"/>
        <v>0181-22</v>
      </c>
      <c r="AE96" s="85" t="str">
        <f t="shared" si="36"/>
        <v>aws s3 cp s3://rtdc.mdm.uploadarchive.raw/RTDC4018/ "%USERPROFILE%\AppData\Local\Temp\OnboardLogs"\RTDC4018\2017-03-22 --exclude "*" --recursive --include "*20170322*" &amp; "%USERPROFILE%\Documents\GitHub\mrs-test-scripts\Headless Mode &amp; Sideloading\WalkAndUnGZ.bat" "%USERPROFILE%\AppData\Local\Temp\OnboardLogs"\RTDC4018\2017-03-22 &amp; aws s3 cp s3://rtdc.mdm.uploadarchive.raw/RTDC4018/ "%USERPROFILE%\AppData\Local\Temp\OnboardLogs"\RTDC4018\2017-03-23 --exclude "*" --recursive --include "*20170323*" &amp; "%USERPROFILE%\Documents\GitHub\mrs-test-scripts\Headless Mode &amp; Sideloading\WalkAndUnGZ.bat" "%USERPROFILE%\AppData\Local\Temp\OnboardLogs"\RTDC4018\2017-03-23</v>
      </c>
      <c r="AF96" s="82" t="str">
        <f t="shared" si="37"/>
        <v>"C:\Program Files (x86)\AstroGrep\AstroGrep.exe" /e /r /s /spath="%USERPROFILE%\AppData\Local\Temp\OnboardLogs" /stypes="app*4018*20170322*" /stext=" 20:.+((SYSTEM_STATE.+slice.+state.+changed )|(ment ac)|(multiple cpu faults)|(system.+state.+changed )|(\[timeout)|(PRM\|1\|D)|(kpr)|(kdp)|(\|lc)|(penalty))"</v>
      </c>
      <c r="AG96" s="1" t="str">
        <f t="shared" si="38"/>
        <v>EC</v>
      </c>
      <c r="AH96" s="86" t="str">
        <f t="shared" si="39"/>
        <v>"%USERPROFILE%\Documents\GitHub\eaglep3\Utilities\RefineRTDCRunTimes.py" --tripid 181-22 --locoid 4018 --swversion DE.1.0.9.0 --startMP 204:480 --initTime 2017-03-22T13:40:49 --startdatetime 2017-03-22T13:45:14 --delay 1 --endMP 204:233355 --enddatetime 2017-03-22T14:23:35 --enforcementcount 2 &gt;&gt;C:\Users\stu\Documents\GitHub\eaglep3-reporting\EC\2017-03-22-refined-times.txt</v>
      </c>
      <c r="AI96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{"issue":{"subject":"","project_id":79,"tracker_id":40,"status_id":1,"priority_id":2,"assigned_to_id":23,"start_date":"2017-03-22","description":"","custom_fields":[{"id":1,"name":"Subdivision","value":"EC"},{"id":4,"name":"Milepost","value":"23.3355"},{"id":17,"name":"Train ID","value":"181-22"},{"id":16,"name":"Locomotive ID","value":"4018"},{"id":130,"name":"Impact","value":""},{"id":150,"name":"Time of Event (Mountain Time)","value":"14:23:35"},{"id":151,"name":"Denver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41"/>
        <v>start /low /b %USERPROFILE%\Documents\GitHub\eaglep3\Utilities\DownloadLogsFromS3.py --loco 4018 --day 2017-03-22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"%USERPROFILE%\AppData\Local\Temp\OnboardLogs"\RTDC4018\*4018*20170322* | grep -SE "(Enforcement Action)|(\[TIMEOUT)|(CHR.+\|PRM\|1\|D.+(SWITCH|SIGNAL).+UNKNOWN)" - &gt;&gt; 2017-03-22-UncaughtWiMAX.txt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3" t="s">
        <v>756</v>
      </c>
      <c r="B97" s="7">
        <v>4017</v>
      </c>
      <c r="C97" s="21" t="s">
        <v>219</v>
      </c>
      <c r="D97" s="21" t="s">
        <v>901</v>
      </c>
      <c r="E97" s="13">
        <v>42816.609826388885</v>
      </c>
      <c r="F97" s="13">
        <v>42816.611967592595</v>
      </c>
      <c r="G97" s="7">
        <v>1</v>
      </c>
      <c r="H97" s="21" t="s">
        <v>184</v>
      </c>
      <c r="I97" s="13">
        <v>42816.640266203707</v>
      </c>
      <c r="J97" s="7">
        <v>2</v>
      </c>
      <c r="K97" s="98" t="str">
        <f t="shared" si="26"/>
        <v>4017/4018</v>
      </c>
      <c r="L97" s="21" t="str">
        <f>VLOOKUP(A97,'Trips&amp;Operators'!$C$1:$G$99999,5,FALSE)</f>
        <v>LOCKLEAR TRAVIS</v>
      </c>
      <c r="M97" s="6">
        <f t="shared" si="27"/>
        <v>2.8298611112404615E-2</v>
      </c>
      <c r="N97" s="7">
        <f t="shared" si="42"/>
        <v>40.750000001862645</v>
      </c>
      <c r="O97" s="7"/>
      <c r="P97" s="7"/>
      <c r="Q97" s="22"/>
      <c r="R97" s="22"/>
      <c r="S97" s="31">
        <f t="shared" si="43"/>
        <v>1</v>
      </c>
      <c r="T97" s="46" t="str">
        <f t="shared" si="28"/>
        <v>Southbound</v>
      </c>
      <c r="U97" s="18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6" t="str">
        <f t="shared" si="29"/>
        <v>https://d0f6bd738d7f1b3e5a7ca70fe4ff75f0.us-east-1.aws.found.io/app/kibana#/discover/Steve-Slow-Train-Analysis-(2080s-and-2083s)?_g=(refreshInterval:(display:Off,pause:!f,section:0,value:0),time:(from:'2017-03-22T13:38:09-0600',mode:absolute,to:'2017-03-22T16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7" s="187" t="str">
        <f t="shared" si="30"/>
        <v>N</v>
      </c>
      <c r="X97" s="187">
        <f t="shared" si="31"/>
        <v>1</v>
      </c>
      <c r="Y97" s="62">
        <f t="shared" si="32"/>
        <v>23.302700000000002</v>
      </c>
      <c r="Z97" s="62">
        <f t="shared" si="33"/>
        <v>1.49E-2</v>
      </c>
      <c r="AA97" s="62">
        <f t="shared" si="34"/>
        <v>23.287800000000001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5"/>
        <v>0182-22</v>
      </c>
      <c r="AE97" s="85" t="str">
        <f t="shared" si="36"/>
        <v>aws s3 cp s3://rtdc.mdm.uploadarchive.raw/RTDC4017/ "%USERPROFILE%\AppData\Local\Temp\OnboardLogs"\RTDC4017\2017-03-22 --exclude "*" --recursive --include "*20170322*" &amp; "%USERPROFILE%\Documents\GitHub\mrs-test-scripts\Headless Mode &amp; Sideloading\WalkAndUnGZ.bat" "%USERPROFILE%\AppData\Local\Temp\OnboardLogs"\RTDC4017\2017-03-22 &amp; aws s3 cp s3://rtdc.mdm.uploadarchive.raw/RTDC4017/ "%USERPROFILE%\AppData\Local\Temp\OnboardLogs"\RTDC4017\2017-03-23 --exclude "*" --recursive --include "*20170323*" &amp; "%USERPROFILE%\Documents\GitHub\mrs-test-scripts\Headless Mode &amp; Sideloading\WalkAndUnGZ.bat" "%USERPROFILE%\AppData\Local\Temp\OnboardLogs"\RTDC4017\2017-03-23</v>
      </c>
      <c r="AF97" s="82" t="str">
        <f t="shared" si="37"/>
        <v>"C:\Program Files (x86)\AstroGrep\AstroGrep.exe" /e /r /s /spath="%USERPROFILE%\AppData\Local\Temp\OnboardLogs" /stypes="app*4017*20170322*" /stext=" 21:.+((SYSTEM_STATE.+slice.+state.+changed )|(ment ac)|(multiple cpu faults)|(system.+state.+changed )|(\[timeout)|(PRM\|1\|D)|(kpr)|(kdp)|(\|lc)|(penalty))"</v>
      </c>
      <c r="AG97" s="1" t="str">
        <f t="shared" si="38"/>
        <v>EC</v>
      </c>
      <c r="AH97" s="86" t="str">
        <f t="shared" si="39"/>
        <v>"%USERPROFILE%\Documents\GitHub\eaglep3\Utilities\RefineRTDCRunTimes.py" --tripid 182-22 --locoid 4017 --swversion DE.1.0.9.0 --startMP 204:233027 --initTime 2017-03-22T14:38:09 --startdatetime 2017-03-22T14:41:14 --delay 1 --endMP 204:149 --enddatetime 2017-03-22T15:21:59 --enforcementcount 2 &gt;&gt;C:\Users\stu\Documents\GitHub\eaglep3-reporting\EC\2017-03-22-refined-times.txt</v>
      </c>
      <c r="AI97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{"issue":{"subject":"","project_id":79,"tracker_id":40,"status_id":1,"priority_id":2,"assigned_to_id":23,"start_date":"2017-03-22","description":"","custom_fields":[{"id":1,"name":"Subdivision","value":"EC"},{"id":4,"name":"Milepost","value":"0.0149"},{"id":17,"name":"Train ID","value":"182-22"},{"id":16,"name":"Locomotive ID","value":"4017"},{"id":130,"name":"Impact","value":""},{"id":150,"name":"Time of Event (Mountain Time)","value":"15:21:59"},{"id":151,"name":"Denver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41"/>
        <v>start /low /b %USERPROFILE%\Documents\GitHub\eaglep3\Utilities\DownloadLogsFromS3.py --loco 4017 --day 2017-03-22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"%USERPROFILE%\AppData\Local\Temp\OnboardLogs"\RTDC4017\*4017*20170322* | grep -SE "(Enforcement Action)|(\[TIMEOUT)|(CHR.+\|PRM\|1\|D.+(SWITCH|SIGNAL).+UNKNOWN)" - &gt;&gt; 2017-03-22-UncaughtWiMAX.txt</v>
      </c>
    </row>
    <row r="98" spans="1:91" s="20" customFormat="1" x14ac:dyDescent="0.25">
      <c r="A98" s="33" t="s">
        <v>750</v>
      </c>
      <c r="B98" s="7">
        <v>4011</v>
      </c>
      <c r="C98" s="21" t="s">
        <v>219</v>
      </c>
      <c r="D98" s="21" t="s">
        <v>902</v>
      </c>
      <c r="E98" s="13">
        <v>42816.578159722223</v>
      </c>
      <c r="F98" s="13">
        <v>42816.58353009259</v>
      </c>
      <c r="G98" s="7">
        <v>2</v>
      </c>
      <c r="H98" s="21" t="s">
        <v>563</v>
      </c>
      <c r="I98" s="13">
        <v>42816.608113425929</v>
      </c>
      <c r="J98" s="7">
        <v>2</v>
      </c>
      <c r="K98" s="98" t="str">
        <f t="shared" si="26"/>
        <v>4011/4012</v>
      </c>
      <c r="L98" s="21" t="str">
        <f>VLOOKUP(A98,'Trips&amp;Operators'!$C$1:$G$99999,5,FALSE)</f>
        <v>LEVIN SCOTT</v>
      </c>
      <c r="M98" s="6">
        <f t="shared" si="27"/>
        <v>2.4583333339251112E-2</v>
      </c>
      <c r="N98" s="7">
        <f t="shared" si="42"/>
        <v>35.400000008521602</v>
      </c>
      <c r="O98" s="7"/>
      <c r="P98" s="7"/>
      <c r="Q98" s="22"/>
      <c r="R98" s="22"/>
      <c r="S98" s="31">
        <f t="shared" si="43"/>
        <v>1</v>
      </c>
      <c r="T98" s="46" t="str">
        <f t="shared" si="28"/>
        <v>NorthBound</v>
      </c>
      <c r="U98" s="18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6" t="str">
        <f t="shared" si="29"/>
        <v>https://d0f6bd738d7f1b3e5a7ca70fe4ff75f0.us-east-1.aws.found.io/app/kibana#/discover/Steve-Slow-Train-Analysis-(2080s-and-2083s)?_g=(refreshInterval:(display:Off,pause:!f,section:0,value:0),time:(from:'2017-03-22T12:52:33-0600',mode:absolute,to:'2017-03-22T15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8" s="187" t="str">
        <f t="shared" si="30"/>
        <v>N</v>
      </c>
      <c r="X98" s="187">
        <f t="shared" si="31"/>
        <v>1</v>
      </c>
      <c r="Y98" s="62">
        <f t="shared" si="32"/>
        <v>5.11E-2</v>
      </c>
      <c r="Z98" s="62">
        <f t="shared" si="33"/>
        <v>23.336400000000001</v>
      </c>
      <c r="AA98" s="62">
        <f t="shared" si="34"/>
        <v>23.285299999999999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5"/>
        <v>0183-22</v>
      </c>
      <c r="AE98" s="85" t="str">
        <f t="shared" si="36"/>
        <v>aws s3 cp s3://rtdc.mdm.uploadarchive.raw/RTDC4011/ "%USERPROFILE%\AppData\Local\Temp\OnboardLogs"\RTDC4011\2017-03-22 --exclude "*" --recursive --include "*20170322*" &amp; "%USERPROFILE%\Documents\GitHub\mrs-test-scripts\Headless Mode &amp; Sideloading\WalkAndUnGZ.bat" "%USERPROFILE%\AppData\Local\Temp\OnboardLogs"\RTDC4011\2017-03-22 &amp; aws s3 cp s3://rtdc.mdm.uploadarchive.raw/RTDC4011/ "%USERPROFILE%\AppData\Local\Temp\OnboardLogs"\RTDC4011\2017-03-23 --exclude "*" --recursive --include "*20170323*" &amp; "%USERPROFILE%\Documents\GitHub\mrs-test-scripts\Headless Mode &amp; Sideloading\WalkAndUnGZ.bat" "%USERPROFILE%\AppData\Local\Temp\OnboardLogs"\RTDC4011\2017-03-23</v>
      </c>
      <c r="AF98" s="82" t="str">
        <f t="shared" si="37"/>
        <v>"C:\Program Files (x86)\AstroGrep\AstroGrep.exe" /e /r /s /spath="%USERPROFILE%\AppData\Local\Temp\OnboardLogs" /stypes="app*4011*20170322*" /stext=" 20:.+((SYSTEM_STATE.+slice.+state.+changed )|(ment ac)|(multiple cpu faults)|(system.+state.+changed )|(\[timeout)|(PRM\|1\|D)|(kpr)|(kdp)|(\|lc)|(penalty))"</v>
      </c>
      <c r="AG98" s="1" t="str">
        <f t="shared" si="38"/>
        <v>EC</v>
      </c>
      <c r="AH98" s="86" t="str">
        <f t="shared" si="39"/>
        <v>"%USERPROFILE%\Documents\GitHub\eaglep3\Utilities\RefineRTDCRunTimes.py" --tripid 183-22 --locoid 4011 --swversion DE.1.0.9.0 --startMP 204:511 --initTime 2017-03-22T13:52:33 --startdatetime 2017-03-22T14:00:17 --delay 2 --endMP 204:233364 --enddatetime 2017-03-22T14:35:41 --enforcementcount 2 &gt;&gt;C:\Users\stu\Documents\GitHub\eaglep3-reporting\EC\2017-03-22-refined-times.txt</v>
      </c>
      <c r="AI98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{"issue":{"subject":"","project_id":79,"tracker_id":40,"status_id":1,"priority_id":2,"assigned_to_id":23,"start_date":"2017-03-22","description":"","custom_fields":[{"id":1,"name":"Subdivision","value":"EC"},{"id":4,"name":"Milepost","value":"23.3364"},{"id":17,"name":"Train ID","value":"183-22"},{"id":16,"name":"Locomotive ID","value":"4011"},{"id":130,"name":"Impact","value":""},{"id":150,"name":"Time of Event (Mountain Time)","value":"14:35:41"},{"id":151,"name":"Denver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41"/>
        <v>start /low /b %USERPROFILE%\Documents\GitHub\eaglep3\Utilities\DownloadLogsFromS3.py --loco 4011 --day 2017-03-22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"%USERPROFILE%\AppData\Local\Temp\OnboardLogs"\RTDC4011\*4011*20170322* | grep -SE "(Enforcement Action)|(\[TIMEOUT)|(CHR.+\|PRM\|1\|D.+(SWITCH|SIGNAL).+UNKNOWN)" - &gt;&gt; 2017-03-22-UncaughtWiMAX.txt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758</v>
      </c>
      <c r="B99" s="7">
        <v>4012</v>
      </c>
      <c r="C99" s="21" t="s">
        <v>219</v>
      </c>
      <c r="D99" s="21" t="s">
        <v>903</v>
      </c>
      <c r="E99" s="13">
        <v>42816.616377314815</v>
      </c>
      <c r="F99" s="13">
        <v>42816.644768518519</v>
      </c>
      <c r="G99" s="7">
        <v>1</v>
      </c>
      <c r="H99" s="21" t="s">
        <v>904</v>
      </c>
      <c r="I99" s="13">
        <v>42816.651608796295</v>
      </c>
      <c r="J99" s="7">
        <v>2</v>
      </c>
      <c r="K99" s="98" t="str">
        <f t="shared" si="26"/>
        <v>4011/4012</v>
      </c>
      <c r="L99" s="21" t="str">
        <f>VLOOKUP(A99,'Trips&amp;Operators'!$C$1:$G$99999,5,FALSE)</f>
        <v>LEVIN SCOTT</v>
      </c>
      <c r="M99" s="6">
        <f t="shared" si="27"/>
        <v>6.8402777760638855E-3</v>
      </c>
      <c r="N99" s="7"/>
      <c r="O99" s="7"/>
      <c r="P99" s="7">
        <f>24*60*SUM($M99:$M99)</f>
        <v>9.8499999975319952</v>
      </c>
      <c r="Q99" s="22"/>
      <c r="R99" s="22" t="s">
        <v>495</v>
      </c>
      <c r="S99" s="31">
        <f>SUM(U99:U100)/IF(AG99="EC",12,1)</f>
        <v>0.5</v>
      </c>
      <c r="T99" s="46" t="str">
        <f t="shared" si="28"/>
        <v>Southbound</v>
      </c>
      <c r="U99" s="18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3</v>
      </c>
      <c r="V99" s="186" t="str">
        <f t="shared" si="29"/>
        <v>https://d0f6bd738d7f1b3e5a7ca70fe4ff75f0.us-east-1.aws.found.io/app/kibana#/discover/Steve-Slow-Train-Analysis-(2080s-and-2083s)?_g=(refreshInterval:(display:Off,pause:!f,section:0,value:0),time:(from:'2017-03-22T13:47:35-0600',mode:absolute,to:'2017-03-22T16:38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9" s="187" t="str">
        <f t="shared" si="30"/>
        <v>Y</v>
      </c>
      <c r="X99" s="187">
        <f t="shared" si="31"/>
        <v>1</v>
      </c>
      <c r="Y99" s="62">
        <f t="shared" si="32"/>
        <v>23.305700000000002</v>
      </c>
      <c r="Z99" s="62">
        <f t="shared" si="33"/>
        <v>6.3376999999999999</v>
      </c>
      <c r="AA99" s="62">
        <f t="shared" si="34"/>
        <v>16.968000000000004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5"/>
        <v>0184-22</v>
      </c>
      <c r="AE99" s="85" t="str">
        <f t="shared" si="36"/>
        <v>aws s3 cp s3://rtdc.mdm.uploadarchive.raw/RTDC4012/ "%USERPROFILE%\AppData\Local\Temp\OnboardLogs"\RTDC4012\2017-03-22 --exclude "*" --recursive --include "*20170322*" &amp; "%USERPROFILE%\Documents\GitHub\mrs-test-scripts\Headless Mode &amp; Sideloading\WalkAndUnGZ.bat" "%USERPROFILE%\AppData\Local\Temp\OnboardLogs"\RTDC4012\2017-03-22 &amp; aws s3 cp s3://rtdc.mdm.uploadarchive.raw/RTDC4012/ "%USERPROFILE%\AppData\Local\Temp\OnboardLogs"\RTDC4012\2017-03-23 --exclude "*" --recursive --include "*20170323*" &amp; "%USERPROFILE%\Documents\GitHub\mrs-test-scripts\Headless Mode &amp; Sideloading\WalkAndUnGZ.bat" "%USERPROFILE%\AppData\Local\Temp\OnboardLogs"\RTDC4012\2017-03-23</v>
      </c>
      <c r="AF99" s="82" t="str">
        <f t="shared" si="37"/>
        <v>"C:\Program Files (x86)\AstroGrep\AstroGrep.exe" /e /r /s /spath="%USERPROFILE%\AppData\Local\Temp\OnboardLogs" /stypes="app*4012*20170322*" /stext=" 21:.+((SYSTEM_STATE.+slice.+state.+changed )|(ment ac)|(multiple cpu faults)|(system.+state.+changed )|(\[timeout)|(PRM\|1\|D)|(kpr)|(kdp)|(\|lc)|(penalty))"</v>
      </c>
      <c r="AG99" s="1" t="str">
        <f t="shared" si="38"/>
        <v>EC</v>
      </c>
      <c r="AH99" s="86" t="str">
        <f t="shared" si="39"/>
        <v>"%USERPROFILE%\Documents\GitHub\eaglep3\Utilities\RefineRTDCRunTimes.py" --tripid 184-22 --locoid 4012 --swversion DE.1.0.9.0 --startMP 204:233057 --initTime 2017-03-22T14:47:35 --startdatetime 2017-03-22T15:28:28 --delay 1 --endMP 204:63377 --enddatetime 2017-03-22T15:38:19 --enforcementcount 2 &gt;&gt;C:\Users\stu\Documents\GitHub\eaglep3-reporting\EC\2017-03-22-refined-times.txt</v>
      </c>
      <c r="AI99" s="108" t="str">
        <f t="shared" si="40"/>
        <v>echo {"issue":{"subject":"Onboard in-route failure","project_id":79,"tracker_id":40,"status_id":1,"priority_id":2,"assigned_to_id":23,"start_date":"2017-03-22","description":"","custom_fields":[{"id":1,"name":"Subdivision","value":"EC"},{"id":4,"name":"Milepost","value":"6.3377"},{"id":17,"name":"Train ID","value":"184-22"},{"id":16,"name":"Locomotive ID","value":"4012"},{"id":130,"name":"Impact","value":""},{"id":150,"name":"Time of Event (Mountain Time)","value":"15:38:19"},{"id":151,"name":"Denver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41"/>
        <v>start /low /b %USERPROFILE%\Documents\GitHub\eaglep3\Utilities\DownloadLogsFromS3.py --loco 4012 --day 2017-03-22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"%USERPROFILE%\AppData\Local\Temp\OnboardLogs"\RTDC4012\*4012*20170322* | grep -SE "(Enforcement Action)|(\[TIMEOUT)|(CHR.+\|PRM\|1\|D.+(SWITCH|SIGNAL).+UNKNOWN)" - &gt;&gt; 2017-03-22-UncaughtWiMAX.txt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758</v>
      </c>
      <c r="B100" s="7">
        <v>4012</v>
      </c>
      <c r="C100" s="21" t="s">
        <v>219</v>
      </c>
      <c r="D100" s="21" t="s">
        <v>905</v>
      </c>
      <c r="E100" s="13">
        <v>42816.643993055557</v>
      </c>
      <c r="F100" s="13">
        <v>42816.644768518519</v>
      </c>
      <c r="G100" s="7">
        <v>0</v>
      </c>
      <c r="H100" s="21" t="s">
        <v>859</v>
      </c>
      <c r="I100" s="13">
        <v>42816.651608796295</v>
      </c>
      <c r="J100" s="7">
        <v>2</v>
      </c>
      <c r="K100" s="98" t="str">
        <f t="shared" si="26"/>
        <v>4011/4012</v>
      </c>
      <c r="L100" s="21" t="str">
        <f>VLOOKUP(A100,'Trips&amp;Operators'!$C$1:$G$99999,5,FALSE)</f>
        <v>LEVIN SCOTT</v>
      </c>
      <c r="M100" s="6">
        <f t="shared" si="27"/>
        <v>6.8402777760638855E-3</v>
      </c>
      <c r="N100" s="7"/>
      <c r="O100" s="7"/>
      <c r="P100" s="7"/>
      <c r="Q100" s="22"/>
      <c r="R100" s="22"/>
      <c r="S100" s="31"/>
      <c r="T100" s="46" t="str">
        <f t="shared" si="28"/>
        <v>Southbound</v>
      </c>
      <c r="U100" s="18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3</v>
      </c>
      <c r="V100" s="186" t="str">
        <f t="shared" si="29"/>
        <v>https://d0f6bd738d7f1b3e5a7ca70fe4ff75f0.us-east-1.aws.found.io/app/kibana#/discover/Steve-Slow-Train-Analysis-(2080s-and-2083s)?_g=(refreshInterval:(display:Off,pause:!f,section:0,value:0),time:(from:'2017-03-22T14:27:21-0600',mode:absolute,to:'2017-03-22T16:38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0" s="187" t="str">
        <f t="shared" si="30"/>
        <v>Y</v>
      </c>
      <c r="X100" s="187">
        <f t="shared" si="31"/>
        <v>0</v>
      </c>
      <c r="Y100" s="62">
        <f t="shared" si="32"/>
        <v>3.6434000000000002</v>
      </c>
      <c r="Z100" s="62">
        <f t="shared" si="33"/>
        <v>1.3899999999999999E-2</v>
      </c>
      <c r="AA100" s="62">
        <f t="shared" si="34"/>
        <v>3.6295000000000002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5"/>
        <v>0184-22</v>
      </c>
      <c r="AE100" s="85" t="str">
        <f t="shared" si="36"/>
        <v>aws s3 cp s3://rtdc.mdm.uploadarchive.raw/RTDC4012/ "%USERPROFILE%\AppData\Local\Temp\OnboardLogs"\RTDC4012\2017-03-22 --exclude "*" --recursive --include "*20170322*" &amp; "%USERPROFILE%\Documents\GitHub\mrs-test-scripts\Headless Mode &amp; Sideloading\WalkAndUnGZ.bat" "%USERPROFILE%\AppData\Local\Temp\OnboardLogs"\RTDC4012\2017-03-22 &amp; aws s3 cp s3://rtdc.mdm.uploadarchive.raw/RTDC4012/ "%USERPROFILE%\AppData\Local\Temp\OnboardLogs"\RTDC4012\2017-03-23 --exclude "*" --recursive --include "*20170323*" &amp; "%USERPROFILE%\Documents\GitHub\mrs-test-scripts\Headless Mode &amp; Sideloading\WalkAndUnGZ.bat" "%USERPROFILE%\AppData\Local\Temp\OnboardLogs"\RTDC4012\2017-03-23</v>
      </c>
      <c r="AF100" s="82" t="str">
        <f t="shared" si="37"/>
        <v>"C:\Program Files (x86)\AstroGrep\AstroGrep.exe" /e /r /s /spath="%USERPROFILE%\AppData\Local\Temp\OnboardLogs" /stypes="app*4012*20170322*" /stext=" 21:.+((SYSTEM_STATE.+slice.+state.+changed )|(ment ac)|(multiple cpu faults)|(system.+state.+changed )|(\[timeout)|(PRM\|1\|D)|(kpr)|(kdp)|(\|lc)|(penalty))"</v>
      </c>
      <c r="AG100" s="1" t="str">
        <f t="shared" si="38"/>
        <v>EC</v>
      </c>
      <c r="AH100" s="86" t="str">
        <f t="shared" si="39"/>
        <v>"%USERPROFILE%\Documents\GitHub\eaglep3\Utilities\RefineRTDCRunTimes.py" --tripid 184-22 --locoid 4012 --swversion DE.1.0.9.0 --startMP 204:36434 --initTime 2017-03-22T15:27:21 --startdatetime 2017-03-22T15:28:28 --delay 0 --endMP 204:139 --enddatetime 2017-03-22T15:38:19 --enforcementcount 2 &gt;&gt;C:\Users\stu\Documents\GitHub\eaglep3-reporting\EC\2017-03-22-refined-times.txt</v>
      </c>
      <c r="AI100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{"issue":{"subject":"","project_id":79,"tracker_id":40,"status_id":1,"priority_id":2,"assigned_to_id":23,"start_date":"2017-03-22","description":"","custom_fields":[{"id":1,"name":"Subdivision","value":"EC"},{"id":4,"name":"Milepost","value":"0.0139"},{"id":17,"name":"Train ID","value":"184-22"},{"id":16,"name":"Locomotive ID","value":"4012"},{"id":130,"name":"Impact","value":""},{"id":150,"name":"Time of Event (Mountain Time)","value":"15:38:19"},{"id":151,"name":"Denver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41"/>
        <v>start /low /b %USERPROFILE%\Documents\GitHub\eaglep3\Utilities\DownloadLogsFromS3.py --loco 4012 --day 2017-03-22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"%USERPROFILE%\AppData\Local\Temp\OnboardLogs"\RTDC4012\*4012*20170322* | grep -SE "(Enforcement Action)|(\[TIMEOUT)|(CHR.+\|PRM\|1\|D.+(SWITCH|SIGNAL).+UNKNOWN)" - &gt;&gt; 2017-03-22-UncaughtWiMAX.txt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753</v>
      </c>
      <c r="B101" s="7">
        <v>4003</v>
      </c>
      <c r="C101" s="21" t="s">
        <v>219</v>
      </c>
      <c r="D101" s="21" t="s">
        <v>880</v>
      </c>
      <c r="E101" s="13">
        <v>42816.589930555558</v>
      </c>
      <c r="F101" s="13">
        <v>42816.593981481485</v>
      </c>
      <c r="G101" s="7">
        <v>1</v>
      </c>
      <c r="H101" s="21" t="s">
        <v>568</v>
      </c>
      <c r="I101" s="13">
        <v>42816.620995370373</v>
      </c>
      <c r="J101" s="7">
        <v>2</v>
      </c>
      <c r="K101" s="98" t="str">
        <f t="shared" si="26"/>
        <v>4003/4004</v>
      </c>
      <c r="L101" s="21" t="str">
        <f>VLOOKUP(A101,'Trips&amp;Operators'!$C$1:$G$99999,5,FALSE)</f>
        <v>STRICKLAND EVAN</v>
      </c>
      <c r="M101" s="6">
        <f t="shared" si="27"/>
        <v>2.7013888888177462E-2</v>
      </c>
      <c r="N101" s="7">
        <f t="shared" ref="N101:N111" si="44">24*60*SUM($M101:$M101)</f>
        <v>38.899999998975545</v>
      </c>
      <c r="O101" s="7"/>
      <c r="P101" s="7"/>
      <c r="Q101" s="22"/>
      <c r="R101" s="22"/>
      <c r="S101" s="31">
        <f t="shared" ref="S101:S112" si="45">SUM(U101:U101)/IF(AG101="EC",12,1)</f>
        <v>1</v>
      </c>
      <c r="T101" s="46" t="str">
        <f t="shared" si="28"/>
        <v>NorthBound</v>
      </c>
      <c r="U101" s="18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6" t="str">
        <f t="shared" si="29"/>
        <v>https://d0f6bd738d7f1b3e5a7ca70fe4ff75f0.us-east-1.aws.found.io/app/kibana#/discover/Steve-Slow-Train-Analysis-(2080s-and-2083s)?_g=(refreshInterval:(display:Off,pause:!f,section:0,value:0),time:(from:'2017-03-22T13:09:30-0600',mode:absolute,to:'2017-03-22T15:54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1" s="187" t="str">
        <f t="shared" si="30"/>
        <v>N</v>
      </c>
      <c r="X101" s="187">
        <f t="shared" si="31"/>
        <v>1</v>
      </c>
      <c r="Y101" s="62">
        <f t="shared" si="32"/>
        <v>4.7699999999999999E-2</v>
      </c>
      <c r="Z101" s="62">
        <f t="shared" si="33"/>
        <v>23.334700000000002</v>
      </c>
      <c r="AA101" s="62">
        <f t="shared" si="34"/>
        <v>23.287000000000003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5"/>
        <v>0185-22</v>
      </c>
      <c r="AE101" s="85" t="str">
        <f t="shared" si="36"/>
        <v>aws s3 cp s3://rtdc.mdm.uploadarchive.raw/RTDC4003/ "%USERPROFILE%\AppData\Local\Temp\OnboardLogs"\RTDC4003\2017-03-22 --exclude "*" --recursive --include "*20170322*" &amp; "%USERPROFILE%\Documents\GitHub\mrs-test-scripts\Headless Mode &amp; Sideloading\WalkAndUnGZ.bat" "%USERPROFILE%\AppData\Local\Temp\OnboardLogs"\RTDC4003\2017-03-22 &amp; aws s3 cp s3://rtdc.mdm.uploadarchive.raw/RTDC4003/ "%USERPROFILE%\AppData\Local\Temp\OnboardLogs"\RTDC4003\2017-03-23 --exclude "*" --recursive --include "*20170323*" &amp; "%USERPROFILE%\Documents\GitHub\mrs-test-scripts\Headless Mode &amp; Sideloading\WalkAndUnGZ.bat" "%USERPROFILE%\AppData\Local\Temp\OnboardLogs"\RTDC4003\2017-03-23</v>
      </c>
      <c r="AF101" s="82" t="str">
        <f t="shared" si="37"/>
        <v>"C:\Program Files (x86)\AstroGrep\AstroGrep.exe" /e /r /s /spath="%USERPROFILE%\AppData\Local\Temp\OnboardLogs" /stypes="app*4003*20170322*" /stext=" 20:.+((SYSTEM_STATE.+slice.+state.+changed )|(ment ac)|(multiple cpu faults)|(system.+state.+changed )|(\[timeout)|(PRM\|1\|D)|(kpr)|(kdp)|(\|lc)|(penalty))"</v>
      </c>
      <c r="AG101" s="1" t="str">
        <f t="shared" si="38"/>
        <v>EC</v>
      </c>
      <c r="AH101" s="86" t="str">
        <f t="shared" si="39"/>
        <v>"%USERPROFILE%\Documents\GitHub\eaglep3\Utilities\RefineRTDCRunTimes.py" --tripid 185-22 --locoid 4003 --swversion DE.1.0.9.0 --startMP 204:477 --initTime 2017-03-22T14:09:30 --startdatetime 2017-03-22T14:15:20 --delay 1 --endMP 204:233347 --enddatetime 2017-03-22T14:54:14 --enforcementcount 2 &gt;&gt;C:\Users\stu\Documents\GitHub\eaglep3-reporting\EC\2017-03-22-refined-times.txt</v>
      </c>
      <c r="AI101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{"issue":{"subject":"","project_id":79,"tracker_id":40,"status_id":1,"priority_id":2,"assigned_to_id":23,"start_date":"2017-03-22","description":"","custom_fields":[{"id":1,"name":"Subdivision","value":"EC"},{"id":4,"name":"Milepost","value":"23.3347"},{"id":17,"name":"Train ID","value":"185-22"},{"id":16,"name":"Locomotive ID","value":"4003"},{"id":130,"name":"Impact","value":""},{"id":150,"name":"Time of Event (Mountain Time)","value":"14:54:14"},{"id":151,"name":"Denver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41"/>
        <v>start /low /b %USERPROFILE%\Documents\GitHub\eaglep3\Utilities\DownloadLogsFromS3.py --loco 4003 --day 2017-03-22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"%USERPROFILE%\AppData\Local\Temp\OnboardLogs"\RTDC4003\*4003*20170322* | grep -SE "(Enforcement Action)|(\[TIMEOUT)|(CHR.+\|PRM\|1\|D.+(SWITCH|SIGNAL).+UNKNOWN)" - &gt;&gt; 2017-03-22-UncaughtWiMAX.txt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760</v>
      </c>
      <c r="B102" s="7">
        <v>4004</v>
      </c>
      <c r="C102" s="21" t="s">
        <v>219</v>
      </c>
      <c r="D102" s="21" t="s">
        <v>519</v>
      </c>
      <c r="E102" s="13">
        <v>42816.62363425926</v>
      </c>
      <c r="F102" s="13">
        <v>42816.632870370369</v>
      </c>
      <c r="G102" s="7">
        <v>1</v>
      </c>
      <c r="H102" s="21" t="s">
        <v>200</v>
      </c>
      <c r="I102" s="13">
        <v>42816.662349537037</v>
      </c>
      <c r="J102" s="7">
        <v>2</v>
      </c>
      <c r="K102" s="98" t="str">
        <f t="shared" si="26"/>
        <v>4003/4004</v>
      </c>
      <c r="L102" s="21" t="str">
        <f>VLOOKUP(A102,'Trips&amp;Operators'!$C$1:$G$99999,5,FALSE)</f>
        <v>STRICKLAND EVAN</v>
      </c>
      <c r="M102" s="6">
        <f t="shared" si="27"/>
        <v>2.9479166667442769E-2</v>
      </c>
      <c r="N102" s="7">
        <f t="shared" si="44"/>
        <v>42.450000001117587</v>
      </c>
      <c r="O102" s="7"/>
      <c r="P102" s="7"/>
      <c r="Q102" s="22"/>
      <c r="R102" s="22" t="s">
        <v>1059</v>
      </c>
      <c r="S102" s="31">
        <f t="shared" si="45"/>
        <v>1</v>
      </c>
      <c r="T102" s="46" t="str">
        <f t="shared" si="28"/>
        <v>Southbound</v>
      </c>
      <c r="U102" s="18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6" t="str">
        <f t="shared" si="29"/>
        <v>https://d0f6bd738d7f1b3e5a7ca70fe4ff75f0.us-east-1.aws.found.io/app/kibana#/discover/Steve-Slow-Train-Analysis-(2080s-and-2083s)?_g=(refreshInterval:(display:Off,pause:!f,section:0,value:0),time:(from:'2017-03-22T13:58:02-0600',mode:absolute,to:'2017-03-22T16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2" s="187" t="str">
        <f t="shared" si="30"/>
        <v>N</v>
      </c>
      <c r="X102" s="187">
        <f t="shared" si="31"/>
        <v>1</v>
      </c>
      <c r="Y102" s="62">
        <f t="shared" si="32"/>
        <v>23.3019</v>
      </c>
      <c r="Z102" s="62">
        <f t="shared" si="33"/>
        <v>1.5800000000000002E-2</v>
      </c>
      <c r="AA102" s="62">
        <f t="shared" si="34"/>
        <v>23.286100000000001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5"/>
        <v>0186-22</v>
      </c>
      <c r="AE102" s="85" t="str">
        <f t="shared" si="36"/>
        <v>aws s3 cp s3://rtdc.mdm.uploadarchive.raw/RTDC4004/ "%USERPROFILE%\AppData\Local\Temp\OnboardLogs"\RTDC4004\2017-03-22 --exclude "*" --recursive --include "*20170322*" &amp; "%USERPROFILE%\Documents\GitHub\mrs-test-scripts\Headless Mode &amp; Sideloading\WalkAndUnGZ.bat" "%USERPROFILE%\AppData\Local\Temp\OnboardLogs"\RTDC4004\2017-03-22 &amp; aws s3 cp s3://rtdc.mdm.uploadarchive.raw/RTDC4004/ "%USERPROFILE%\AppData\Local\Temp\OnboardLogs"\RTDC4004\2017-03-23 --exclude "*" --recursive --include "*20170323*" &amp; "%USERPROFILE%\Documents\GitHub\mrs-test-scripts\Headless Mode &amp; Sideloading\WalkAndUnGZ.bat" "%USERPROFILE%\AppData\Local\Temp\OnboardLogs"\RTDC4004\2017-03-23</v>
      </c>
      <c r="AF102" s="82" t="str">
        <f t="shared" si="37"/>
        <v>"C:\Program Files (x86)\AstroGrep\AstroGrep.exe" /e /r /s /spath="%USERPROFILE%\AppData\Local\Temp\OnboardLogs" /stypes="app*4004*20170322*" /stext=" 21:.+((SYSTEM_STATE.+slice.+state.+changed )|(ment ac)|(multiple cpu faults)|(system.+state.+changed )|(\[timeout)|(PRM\|1\|D)|(kpr)|(kdp)|(\|lc)|(penalty))"</v>
      </c>
      <c r="AG102" s="1" t="str">
        <f t="shared" si="38"/>
        <v>EC</v>
      </c>
      <c r="AH102" s="86" t="str">
        <f t="shared" si="39"/>
        <v>"%USERPROFILE%\Documents\GitHub\eaglep3\Utilities\RefineRTDCRunTimes.py" --tripid 186-22 --locoid 4004 --swversion DE.1.0.9.0 --startMP 204:233019 --initTime 2017-03-22T14:58:02 --startdatetime 2017-03-22T15:11:20 --delay 1 --endMP 204:158 --enddatetime 2017-03-22T15:53:47 --enforcementcount 2 &gt;&gt;C:\Users\stu\Documents\GitHub\eaglep3-reporting\EC\2017-03-22-refined-times.txt</v>
      </c>
      <c r="AI102" s="108" t="str">
        <f t="shared" si="40"/>
        <v>echo {"issue":{"subject":"Unhealthy @ Chambers due to train stop","project_id":79,"tracker_id":40,"status_id":1,"priority_id":2,"assigned_to_id":23,"start_date":"2017-03-22","description":"","custom_fields":[{"id":1,"name":"Subdivision","value":"EC"},{"id":4,"name":"Milepost","value":"0.0158"},{"id":17,"name":"Train ID","value":"186-22"},{"id":16,"name":"Locomotive ID","value":"4004"},{"id":130,"name":"Impact","value":""},{"id":150,"name":"Time of Event (Mountain Time)","value":"15:53:47"},{"id":151,"name":"Denver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41"/>
        <v>start /low /b %USERPROFILE%\Documents\GitHub\eaglep3\Utilities\DownloadLogsFromS3.py --loco 4004 --day 2017-03-22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"%USERPROFILE%\AppData\Local\Temp\OnboardLogs"\RTDC4004\*4004*20170322* | grep -SE "(Enforcement Action)|(\[TIMEOUT)|(CHR.+\|PRM\|1\|D.+(SWITCH|SIGNAL).+UNKNOWN)" - &gt;&gt; 2017-03-22-UncaughtWiMAX.txt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754</v>
      </c>
      <c r="B103" s="7">
        <v>4027</v>
      </c>
      <c r="C103" s="21" t="s">
        <v>219</v>
      </c>
      <c r="D103" s="21" t="s">
        <v>906</v>
      </c>
      <c r="E103" s="13">
        <v>42816.601145833331</v>
      </c>
      <c r="F103" s="13">
        <v>42816.60434027778</v>
      </c>
      <c r="G103" s="7">
        <v>0</v>
      </c>
      <c r="H103" s="21" t="s">
        <v>551</v>
      </c>
      <c r="I103" s="13">
        <v>42816.630891203706</v>
      </c>
      <c r="J103" s="7">
        <v>2</v>
      </c>
      <c r="K103" s="98" t="str">
        <f t="shared" si="26"/>
        <v>4027/4028</v>
      </c>
      <c r="L103" s="21" t="str">
        <f>VLOOKUP(A103,'Trips&amp;Operators'!$C$1:$G$99999,5,FALSE)</f>
        <v>CLARK KATHLEEN</v>
      </c>
      <c r="M103" s="6">
        <f t="shared" si="27"/>
        <v>2.6550925926130731E-2</v>
      </c>
      <c r="N103" s="7">
        <f t="shared" si="44"/>
        <v>38.233333333628252</v>
      </c>
      <c r="O103" s="7"/>
      <c r="P103" s="7"/>
      <c r="Q103" s="22"/>
      <c r="R103" s="22"/>
      <c r="S103" s="31">
        <f t="shared" si="45"/>
        <v>1</v>
      </c>
      <c r="T103" s="46" t="str">
        <f t="shared" si="28"/>
        <v>NorthBound</v>
      </c>
      <c r="U103" s="18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6" t="str">
        <f t="shared" si="29"/>
        <v>https://d0f6bd738d7f1b3e5a7ca70fe4ff75f0.us-east-1.aws.found.io/app/kibana#/discover/Steve-Slow-Train-Analysis-(2080s-and-2083s)?_g=(refreshInterval:(display:Off,pause:!f,section:0,value:0),time:(from:'2017-03-22T13:25:39-0600',mode:absolute,to:'2017-03-22T16:08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3" s="187" t="str">
        <f t="shared" si="30"/>
        <v>N</v>
      </c>
      <c r="X103" s="187">
        <f t="shared" si="31"/>
        <v>1</v>
      </c>
      <c r="Y103" s="62">
        <f t="shared" si="32"/>
        <v>4.9500000000000002E-2</v>
      </c>
      <c r="Z103" s="62">
        <f t="shared" si="33"/>
        <v>23.328900000000001</v>
      </c>
      <c r="AA103" s="62">
        <f t="shared" si="34"/>
        <v>23.279400000000003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5"/>
        <v>0187-22</v>
      </c>
      <c r="AE103" s="85" t="str">
        <f t="shared" si="36"/>
        <v>aws s3 cp s3://rtdc.mdm.uploadarchive.raw/RTDC4027/ "%USERPROFILE%\AppData\Local\Temp\OnboardLogs"\RTDC4027\2017-03-22 --exclude "*" --recursive --include "*20170322*" &amp; "%USERPROFILE%\Documents\GitHub\mrs-test-scripts\Headless Mode &amp; Sideloading\WalkAndUnGZ.bat" "%USERPROFILE%\AppData\Local\Temp\OnboardLogs"\RTDC4027\2017-03-22 &amp; aws s3 cp s3://rtdc.mdm.uploadarchive.raw/RTDC4027/ "%USERPROFILE%\AppData\Local\Temp\OnboardLogs"\RTDC4027\2017-03-23 --exclude "*" --recursive --include "*20170323*" &amp; "%USERPROFILE%\Documents\GitHub\mrs-test-scripts\Headless Mode &amp; Sideloading\WalkAndUnGZ.bat" "%USERPROFILE%\AppData\Local\Temp\OnboardLogs"\RTDC4027\2017-03-23</v>
      </c>
      <c r="AF103" s="82" t="str">
        <f t="shared" si="37"/>
        <v>"C:\Program Files (x86)\AstroGrep\AstroGrep.exe" /e /r /s /spath="%USERPROFILE%\AppData\Local\Temp\OnboardLogs" /stypes="app*4027*20170322*" /stext=" 21:.+((SYSTEM_STATE.+slice.+state.+changed )|(ment ac)|(multiple cpu faults)|(system.+state.+changed )|(\[timeout)|(PRM\|1\|D)|(kpr)|(kdp)|(\|lc)|(penalty))"</v>
      </c>
      <c r="AG103" s="1" t="str">
        <f t="shared" si="38"/>
        <v>EC</v>
      </c>
      <c r="AH103" s="86" t="str">
        <f t="shared" si="39"/>
        <v>"%USERPROFILE%\Documents\GitHub\eaglep3\Utilities\RefineRTDCRunTimes.py" --tripid 187-22 --locoid 4027 --swversion DE.1.0.9.0 --startMP 204:495 --initTime 2017-03-22T14:25:39 --startdatetime 2017-03-22T14:30:15 --delay 0 --endMP 204:233289 --enddatetime 2017-03-22T15:08:29 --enforcementcount 2 &gt;&gt;C:\Users\stu\Documents\GitHub\eaglep3-reporting\EC\2017-03-22-refined-times.txt</v>
      </c>
      <c r="AI103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{"issue":{"subject":"","project_id":79,"tracker_id":40,"status_id":1,"priority_id":2,"assigned_to_id":23,"start_date":"2017-03-22","description":"","custom_fields":[{"id":1,"name":"Subdivision","value":"EC"},{"id":4,"name":"Milepost","value":"23.3289"},{"id":17,"name":"Train ID","value":"187-22"},{"id":16,"name":"Locomotive ID","value":"4027"},{"id":130,"name":"Impact","value":""},{"id":150,"name":"Time of Event (Mountain Time)","value":"15:08:29"},{"id":151,"name":"Denver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41"/>
        <v>start /low /b %USERPROFILE%\Documents\GitHub\eaglep3\Utilities\DownloadLogsFromS3.py --loco 4027 --day 2017-03-22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"%USERPROFILE%\AppData\Local\Temp\OnboardLogs"\RTDC4027\*4027*20170322* | grep -SE "(Enforcement Action)|(\[TIMEOUT)|(CHR.+\|PRM\|1\|D.+(SWITCH|SIGNAL).+UNKNOWN)" - &gt;&gt; 2017-03-22-UncaughtWiMAX.txt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763</v>
      </c>
      <c r="B104" s="7">
        <v>4028</v>
      </c>
      <c r="C104" s="21" t="s">
        <v>219</v>
      </c>
      <c r="D104" s="21" t="s">
        <v>518</v>
      </c>
      <c r="E104" s="13">
        <v>42816.638819444444</v>
      </c>
      <c r="F104" s="13">
        <v>42816.643252314818</v>
      </c>
      <c r="G104" s="7">
        <v>0</v>
      </c>
      <c r="H104" s="21" t="s">
        <v>907</v>
      </c>
      <c r="I104" s="13">
        <v>42816.671631944446</v>
      </c>
      <c r="J104" s="7">
        <v>2</v>
      </c>
      <c r="K104" s="98" t="str">
        <f t="shared" si="26"/>
        <v>4027/4028</v>
      </c>
      <c r="L104" s="21" t="str">
        <f>VLOOKUP(A104,'Trips&amp;Operators'!$C$1:$G$99999,5,FALSE)</f>
        <v>CLARK KATHLEEN</v>
      </c>
      <c r="M104" s="6">
        <f t="shared" si="27"/>
        <v>2.8379629628034309E-2</v>
      </c>
      <c r="N104" s="7">
        <f t="shared" si="44"/>
        <v>40.866666664369404</v>
      </c>
      <c r="O104" s="7"/>
      <c r="P104" s="7"/>
      <c r="Q104" s="22"/>
      <c r="R104" s="22"/>
      <c r="S104" s="31">
        <f t="shared" si="45"/>
        <v>1</v>
      </c>
      <c r="T104" s="46" t="str">
        <f t="shared" si="28"/>
        <v>Southbound</v>
      </c>
      <c r="U104" s="18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6" t="str">
        <f t="shared" si="29"/>
        <v>https://d0f6bd738d7f1b3e5a7ca70fe4ff75f0.us-east-1.aws.found.io/app/kibana#/discover/Steve-Slow-Train-Analysis-(2080s-and-2083s)?_g=(refreshInterval:(display:Off,pause:!f,section:0,value:0),time:(from:'2017-03-22T14:19:54-0600',mode:absolute,to:'2017-03-22T17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4" s="187" t="str">
        <f t="shared" si="30"/>
        <v>N</v>
      </c>
      <c r="X104" s="187">
        <f t="shared" si="31"/>
        <v>1</v>
      </c>
      <c r="Y104" s="62">
        <f t="shared" si="32"/>
        <v>23.296500000000002</v>
      </c>
      <c r="Z104" s="62">
        <f t="shared" si="33"/>
        <v>2.23E-2</v>
      </c>
      <c r="AA104" s="62">
        <f t="shared" si="34"/>
        <v>23.2742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5"/>
        <v>0188-22</v>
      </c>
      <c r="AE104" s="85" t="str">
        <f t="shared" si="36"/>
        <v>aws s3 cp s3://rtdc.mdm.uploadarchive.raw/RTDC4028/ "%USERPROFILE%\AppData\Local\Temp\OnboardLogs"\RTDC4028\2017-03-22 --exclude "*" --recursive --include "*20170322*" &amp; "%USERPROFILE%\Documents\GitHub\mrs-test-scripts\Headless Mode &amp; Sideloading\WalkAndUnGZ.bat" "%USERPROFILE%\AppData\Local\Temp\OnboardLogs"\RTDC4028\2017-03-22 &amp; aws s3 cp s3://rtdc.mdm.uploadarchive.raw/RTDC4028/ "%USERPROFILE%\AppData\Local\Temp\OnboardLogs"\RTDC4028\2017-03-23 --exclude "*" --recursive --include "*20170323*" &amp; "%USERPROFILE%\Documents\GitHub\mrs-test-scripts\Headless Mode &amp; Sideloading\WalkAndUnGZ.bat" "%USERPROFILE%\AppData\Local\Temp\OnboardLogs"\RTDC4028\2017-03-23</v>
      </c>
      <c r="AF104" s="82" t="str">
        <f t="shared" si="37"/>
        <v>"C:\Program Files (x86)\AstroGrep\AstroGrep.exe" /e /r /s /spath="%USERPROFILE%\AppData\Local\Temp\OnboardLogs" /stypes="app*4028*20170322*" /stext=" 22:.+((SYSTEM_STATE.+slice.+state.+changed )|(ment ac)|(multiple cpu faults)|(system.+state.+changed )|(\[timeout)|(PRM\|1\|D)|(kpr)|(kdp)|(\|lc)|(penalty))"</v>
      </c>
      <c r="AG104" s="1" t="str">
        <f t="shared" si="38"/>
        <v>EC</v>
      </c>
      <c r="AH104" s="86" t="str">
        <f t="shared" si="39"/>
        <v>"%USERPROFILE%\Documents\GitHub\eaglep3\Utilities\RefineRTDCRunTimes.py" --tripid 188-22 --locoid 4028 --swversion DE.1.0.9.0 --startMP 204:232965 --initTime 2017-03-22T15:19:54 --startdatetime 2017-03-22T15:26:17 --delay 0 --endMP 204:223 --enddatetime 2017-03-22T16:07:09 --enforcementcount 2 &gt;&gt;C:\Users\stu\Documents\GitHub\eaglep3-reporting\EC\2017-03-22-refined-times.txt</v>
      </c>
      <c r="AI104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{"issue":{"subject":"","project_id":79,"tracker_id":40,"status_id":1,"priority_id":2,"assigned_to_id":23,"start_date":"2017-03-22","description":"","custom_fields":[{"id":1,"name":"Subdivision","value":"EC"},{"id":4,"name":"Milepost","value":"0.0223"},{"id":17,"name":"Train ID","value":"188-22"},{"id":16,"name":"Locomotive ID","value":"4028"},{"id":130,"name":"Impact","value":""},{"id":150,"name":"Time of Event (Mountain Time)","value":"16:07:09"},{"id":151,"name":"Denver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41"/>
        <v>start /low /b %USERPROFILE%\Documents\GitHub\eaglep3\Utilities\DownloadLogsFromS3.py --loco 4028 --day 2017-03-22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"%USERPROFILE%\AppData\Local\Temp\OnboardLogs"\RTDC4028\*4028*20170322* | grep -SE "(Enforcement Action)|(\[TIMEOUT)|(CHR.+\|PRM\|1\|D.+(SWITCH|SIGNAL).+UNKNOWN)" - &gt;&gt; 2017-03-22-UncaughtWiMAX.txt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757</v>
      </c>
      <c r="B105" s="7">
        <v>4040</v>
      </c>
      <c r="C105" s="21" t="s">
        <v>219</v>
      </c>
      <c r="D105" s="21" t="s">
        <v>212</v>
      </c>
      <c r="E105" s="13">
        <v>42816.610578703701</v>
      </c>
      <c r="F105" s="13">
        <v>42816.614849537036</v>
      </c>
      <c r="G105" s="7">
        <v>1</v>
      </c>
      <c r="H105" s="21" t="s">
        <v>560</v>
      </c>
      <c r="I105" s="13">
        <v>42816.639664351853</v>
      </c>
      <c r="J105" s="7">
        <v>2</v>
      </c>
      <c r="K105" s="98" t="str">
        <f t="shared" si="26"/>
        <v>4039/4040</v>
      </c>
      <c r="L105" s="21" t="str">
        <f>VLOOKUP(A105,'Trips&amp;Operators'!$C$1:$G$99999,5,FALSE)</f>
        <v>DELGADO DIANAH</v>
      </c>
      <c r="M105" s="6">
        <f t="shared" si="27"/>
        <v>2.4814814816636499E-2</v>
      </c>
      <c r="N105" s="7">
        <f t="shared" si="44"/>
        <v>35.733333335956559</v>
      </c>
      <c r="O105" s="7"/>
      <c r="P105" s="7"/>
      <c r="Q105" s="22"/>
      <c r="R105" s="22"/>
      <c r="S105" s="31">
        <f t="shared" si="45"/>
        <v>1</v>
      </c>
      <c r="T105" s="46" t="str">
        <f t="shared" si="28"/>
        <v>NorthBound</v>
      </c>
      <c r="U105" s="18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6" t="str">
        <f t="shared" si="29"/>
        <v>https://d0f6bd738d7f1b3e5a7ca70fe4ff75f0.us-east-1.aws.found.io/app/kibana#/discover/Steve-Slow-Train-Analysis-(2080s-and-2083s)?_g=(refreshInterval:(display:Off,pause:!f,section:0,value:0),time:(from:'2017-03-22T13:39:14-0600',mode:absolute,to:'2017-03-22T16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5" s="187" t="str">
        <f t="shared" si="30"/>
        <v>N</v>
      </c>
      <c r="X105" s="187">
        <f t="shared" si="31"/>
        <v>1</v>
      </c>
      <c r="Y105" s="62">
        <f t="shared" si="32"/>
        <v>4.53E-2</v>
      </c>
      <c r="Z105" s="62">
        <f t="shared" si="33"/>
        <v>23.3325</v>
      </c>
      <c r="AA105" s="62">
        <f t="shared" si="34"/>
        <v>23.287199999999999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5"/>
        <v>0189-22</v>
      </c>
      <c r="AE105" s="85" t="str">
        <f t="shared" si="36"/>
        <v>aws s3 cp s3://rtdc.mdm.uploadarchive.raw/RTDC4040/ "%USERPROFILE%\AppData\Local\Temp\OnboardLogs"\RTDC4040\2017-03-22 --exclude "*" --recursive --include "*20170322*" &amp; "%USERPROFILE%\Documents\GitHub\mrs-test-scripts\Headless Mode &amp; Sideloading\WalkAndUnGZ.bat" "%USERPROFILE%\AppData\Local\Temp\OnboardLogs"\RTDC4040\2017-03-22 &amp; aws s3 cp s3://rtdc.mdm.uploadarchive.raw/RTDC4040/ "%USERPROFILE%\AppData\Local\Temp\OnboardLogs"\RTDC4040\2017-03-23 --exclude "*" --recursive --include "*20170323*" &amp; "%USERPROFILE%\Documents\GitHub\mrs-test-scripts\Headless Mode &amp; Sideloading\WalkAndUnGZ.bat" "%USERPROFILE%\AppData\Local\Temp\OnboardLogs"\RTDC4040\2017-03-23</v>
      </c>
      <c r="AF105" s="82" t="str">
        <f t="shared" si="37"/>
        <v>"C:\Program Files (x86)\AstroGrep\AstroGrep.exe" /e /r /s /spath="%USERPROFILE%\AppData\Local\Temp\OnboardLogs" /stypes="app*4040*20170322*" /stext=" 21:.+((SYSTEM_STATE.+slice.+state.+changed )|(ment ac)|(multiple cpu faults)|(system.+state.+changed )|(\[timeout)|(PRM\|1\|D)|(kpr)|(kdp)|(\|lc)|(penalty))"</v>
      </c>
      <c r="AG105" s="1" t="str">
        <f t="shared" si="38"/>
        <v>EC</v>
      </c>
      <c r="AH105" s="86" t="str">
        <f t="shared" si="39"/>
        <v>"%USERPROFILE%\Documents\GitHub\eaglep3\Utilities\RefineRTDCRunTimes.py" --tripid 189-22 --locoid 4040 --swversion DE.1.0.9.0 --startMP 204:453 --initTime 2017-03-22T14:39:14 --startdatetime 2017-03-22T14:45:23 --delay 1 --endMP 204:233325 --enddatetime 2017-03-22T15:21:07 --enforcementcount 2 &gt;&gt;C:\Users\stu\Documents\GitHub\eaglep3-reporting\EC\2017-03-22-refined-times.txt</v>
      </c>
      <c r="AI105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{"issue":{"subject":"","project_id":79,"tracker_id":40,"status_id":1,"priority_id":2,"assigned_to_id":23,"start_date":"2017-03-22","description":"","custom_fields":[{"id":1,"name":"Subdivision","value":"EC"},{"id":4,"name":"Milepost","value":"23.3325"},{"id":17,"name":"Train ID","value":"189-22"},{"id":16,"name":"Locomotive ID","value":"4040"},{"id":130,"name":"Impact","value":""},{"id":150,"name":"Time of Event (Mountain Time)","value":"15:21:07"},{"id":151,"name":"Denver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41"/>
        <v>start /low /b %USERPROFILE%\Documents\GitHub\eaglep3\Utilities\DownloadLogsFromS3.py --loco 4040 --day 2017-03-22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"%USERPROFILE%\AppData\Local\Temp\OnboardLogs"\RTDC4040\*4040*20170322* | grep -SE "(Enforcement Action)|(\[TIMEOUT)|(CHR.+\|PRM\|1\|D.+(SWITCH|SIGNAL).+UNKNOWN)" - &gt;&gt; 2017-03-22-UncaughtWiMAX.txt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765</v>
      </c>
      <c r="B106" s="7">
        <v>4039</v>
      </c>
      <c r="C106" s="21" t="s">
        <v>219</v>
      </c>
      <c r="D106" s="21" t="s">
        <v>554</v>
      </c>
      <c r="E106" s="13">
        <v>42816.642789351848</v>
      </c>
      <c r="F106" s="13">
        <v>42816.653738425928</v>
      </c>
      <c r="G106" s="7">
        <v>1</v>
      </c>
      <c r="H106" s="21" t="s">
        <v>215</v>
      </c>
      <c r="I106" s="13">
        <v>42816.68037037037</v>
      </c>
      <c r="J106" s="7">
        <v>2</v>
      </c>
      <c r="K106" s="98" t="str">
        <f t="shared" si="26"/>
        <v>4039/4040</v>
      </c>
      <c r="L106" s="21" t="str">
        <f>VLOOKUP(A106,'Trips&amp;Operators'!$C$1:$G$99999,5,FALSE)</f>
        <v>DELGADO DIANAH</v>
      </c>
      <c r="M106" s="6">
        <f t="shared" si="27"/>
        <v>2.6631944441760425E-2</v>
      </c>
      <c r="N106" s="7">
        <f t="shared" si="44"/>
        <v>38.349999996135011</v>
      </c>
      <c r="O106" s="7"/>
      <c r="P106" s="7"/>
      <c r="Q106" s="22"/>
      <c r="R106" s="22"/>
      <c r="S106" s="31">
        <f t="shared" si="45"/>
        <v>1</v>
      </c>
      <c r="T106" s="46" t="str">
        <f t="shared" si="28"/>
        <v>Southbound</v>
      </c>
      <c r="U106" s="18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6" t="str">
        <f t="shared" si="29"/>
        <v>https://d0f6bd738d7f1b3e5a7ca70fe4ff75f0.us-east-1.aws.found.io/app/kibana#/discover/Steve-Slow-Train-Analysis-(2080s-and-2083s)?_g=(refreshInterval:(display:Off,pause:!f,section:0,value:0),time:(from:'2017-03-22T14:25:37-0600',mode:absolute,to:'2017-03-22T17:19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6" s="187" t="str">
        <f t="shared" si="30"/>
        <v>N</v>
      </c>
      <c r="X106" s="187">
        <f t="shared" si="31"/>
        <v>1</v>
      </c>
      <c r="Y106" s="62">
        <f t="shared" si="32"/>
        <v>23.3017</v>
      </c>
      <c r="Z106" s="62">
        <f t="shared" si="33"/>
        <v>1.47E-2</v>
      </c>
      <c r="AA106" s="62">
        <f t="shared" si="34"/>
        <v>23.286999999999999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5"/>
        <v>0190-22</v>
      </c>
      <c r="AE106" s="85" t="str">
        <f t="shared" si="36"/>
        <v>aws s3 cp s3://rtdc.mdm.uploadarchive.raw/RTDC4039/ "%USERPROFILE%\AppData\Local\Temp\OnboardLogs"\RTDC4039\2017-03-22 --exclude "*" --recursive --include "*20170322*" &amp; "%USERPROFILE%\Documents\GitHub\mrs-test-scripts\Headless Mode &amp; Sideloading\WalkAndUnGZ.bat" "%USERPROFILE%\AppData\Local\Temp\OnboardLogs"\RTDC4039\2017-03-22 &amp; aws s3 cp s3://rtdc.mdm.uploadarchive.raw/RTDC4039/ "%USERPROFILE%\AppData\Local\Temp\OnboardLogs"\RTDC4039\2017-03-23 --exclude "*" --recursive --include "*20170323*" &amp; "%USERPROFILE%\Documents\GitHub\mrs-test-scripts\Headless Mode &amp; Sideloading\WalkAndUnGZ.bat" "%USERPROFILE%\AppData\Local\Temp\OnboardLogs"\RTDC4039\2017-03-23</v>
      </c>
      <c r="AF106" s="82" t="str">
        <f t="shared" si="37"/>
        <v>"C:\Program Files (x86)\AstroGrep\AstroGrep.exe" /e /r /s /spath="%USERPROFILE%\AppData\Local\Temp\OnboardLogs" /stypes="app*4039*20170322*" /stext=" 22:.+((SYSTEM_STATE.+slice.+state.+changed )|(ment ac)|(multiple cpu faults)|(system.+state.+changed )|(\[timeout)|(PRM\|1\|D)|(kpr)|(kdp)|(\|lc)|(penalty))"</v>
      </c>
      <c r="AG106" s="1" t="str">
        <f t="shared" si="38"/>
        <v>EC</v>
      </c>
      <c r="AH106" s="86" t="str">
        <f t="shared" si="39"/>
        <v>"%USERPROFILE%\Documents\GitHub\eaglep3\Utilities\RefineRTDCRunTimes.py" --tripid 190-22 --locoid 4039 --swversion DE.1.0.9.0 --startMP 204:233017 --initTime 2017-03-22T15:25:37 --startdatetime 2017-03-22T15:41:23 --delay 1 --endMP 204:147 --enddatetime 2017-03-22T16:19:44 --enforcementcount 2 &gt;&gt;C:\Users\stu\Documents\GitHub\eaglep3-reporting\EC\2017-03-22-refined-times.txt</v>
      </c>
      <c r="AI106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{"issue":{"subject":"","project_id":79,"tracker_id":40,"status_id":1,"priority_id":2,"assigned_to_id":23,"start_date":"2017-03-22","description":"","custom_fields":[{"id":1,"name":"Subdivision","value":"EC"},{"id":4,"name":"Milepost","value":"0.0147"},{"id":17,"name":"Train ID","value":"190-22"},{"id":16,"name":"Locomotive ID","value":"4039"},{"id":130,"name":"Impact","value":""},{"id":150,"name":"Time of Event (Mountain Time)","value":"16:19:44"},{"id":151,"name":"Denver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41"/>
        <v>start /low /b %USERPROFILE%\Documents\GitHub\eaglep3\Utilities\DownloadLogsFromS3.py --loco 4039 --day 2017-03-22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"%USERPROFILE%\AppData\Local\Temp\OnboardLogs"\RTDC4039\*4039*20170322* | grep -SE "(Enforcement Action)|(\[TIMEOUT)|(CHR.+\|PRM\|1\|D.+(SWITCH|SIGNAL).+UNKNOWN)" - &gt;&gt; 2017-03-22-UncaughtWiMAX.txt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759</v>
      </c>
      <c r="B107" s="7">
        <v>4046</v>
      </c>
      <c r="C107" s="21" t="s">
        <v>219</v>
      </c>
      <c r="D107" s="21" t="s">
        <v>556</v>
      </c>
      <c r="E107" s="13">
        <v>42816.620625000003</v>
      </c>
      <c r="F107" s="13">
        <v>42816.625393518516</v>
      </c>
      <c r="G107" s="7">
        <v>3</v>
      </c>
      <c r="H107" s="21" t="s">
        <v>564</v>
      </c>
      <c r="I107" s="13">
        <v>42816.65179398148</v>
      </c>
      <c r="J107" s="7">
        <v>2</v>
      </c>
      <c r="K107" s="98" t="str">
        <f t="shared" si="26"/>
        <v>4045/4046</v>
      </c>
      <c r="L107" s="21" t="str">
        <f>VLOOKUP(A107,'Trips&amp;Operators'!$C$1:$G$99999,5,FALSE)</f>
        <v>MENGES BRAD</v>
      </c>
      <c r="M107" s="6">
        <f t="shared" si="27"/>
        <v>2.6400462964375038E-2</v>
      </c>
      <c r="N107" s="7">
        <f t="shared" si="44"/>
        <v>38.016666668700054</v>
      </c>
      <c r="O107" s="7"/>
      <c r="P107" s="7"/>
      <c r="Q107" s="22"/>
      <c r="R107" s="22"/>
      <c r="S107" s="31">
        <f t="shared" si="45"/>
        <v>1</v>
      </c>
      <c r="T107" s="46" t="str">
        <f t="shared" si="28"/>
        <v>NorthBound</v>
      </c>
      <c r="U107" s="18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6" t="str">
        <f t="shared" si="29"/>
        <v>https://d0f6bd738d7f1b3e5a7ca70fe4ff75f0.us-east-1.aws.found.io/app/kibana#/discover/Steve-Slow-Train-Analysis-(2080s-and-2083s)?_g=(refreshInterval:(display:Off,pause:!f,section:0,value:0),time:(from:'2017-03-22T13:53:42-0600',mode:absolute,to:'2017-03-22T16:38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7" s="187" t="str">
        <f t="shared" si="30"/>
        <v>N</v>
      </c>
      <c r="X107" s="187">
        <f t="shared" si="31"/>
        <v>1</v>
      </c>
      <c r="Y107" s="62">
        <f t="shared" si="32"/>
        <v>4.3799999999999999E-2</v>
      </c>
      <c r="Z107" s="62">
        <f t="shared" si="33"/>
        <v>23.330100000000002</v>
      </c>
      <c r="AA107" s="62">
        <f t="shared" si="34"/>
        <v>23.286300000000001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5"/>
        <v>0191-22</v>
      </c>
      <c r="AE107" s="85" t="str">
        <f t="shared" si="36"/>
        <v>aws s3 cp s3://rtdc.mdm.uploadarchive.raw/RTDC4046/ "%USERPROFILE%\AppData\Local\Temp\OnboardLogs"\RTDC4046\2017-03-22 --exclude "*" --recursive --include "*20170322*" &amp; "%USERPROFILE%\Documents\GitHub\mrs-test-scripts\Headless Mode &amp; Sideloading\WalkAndUnGZ.bat" "%USERPROFILE%\AppData\Local\Temp\OnboardLogs"\RTDC4046\2017-03-22 &amp; aws s3 cp s3://rtdc.mdm.uploadarchive.raw/RTDC4046/ "%USERPROFILE%\AppData\Local\Temp\OnboardLogs"\RTDC4046\2017-03-23 --exclude "*" --recursive --include "*20170323*" &amp; "%USERPROFILE%\Documents\GitHub\mrs-test-scripts\Headless Mode &amp; Sideloading\WalkAndUnGZ.bat" "%USERPROFILE%\AppData\Local\Temp\OnboardLogs"\RTDC4046\2017-03-23</v>
      </c>
      <c r="AF107" s="82" t="str">
        <f t="shared" si="37"/>
        <v>"C:\Program Files (x86)\AstroGrep\AstroGrep.exe" /e /r /s /spath="%USERPROFILE%\AppData\Local\Temp\OnboardLogs" /stypes="app*4046*20170322*" /stext=" 21:.+((SYSTEM_STATE.+slice.+state.+changed )|(ment ac)|(multiple cpu faults)|(system.+state.+changed )|(\[timeout)|(PRM\|1\|D)|(kpr)|(kdp)|(\|lc)|(penalty))"</v>
      </c>
      <c r="AG107" s="1" t="str">
        <f t="shared" si="38"/>
        <v>EC</v>
      </c>
      <c r="AH107" s="86" t="str">
        <f t="shared" si="39"/>
        <v>"%USERPROFILE%\Documents\GitHub\eaglep3\Utilities\RefineRTDCRunTimes.py" --tripid 191-22 --locoid 4046 --swversion DE.1.0.9.0 --startMP 204:438 --initTime 2017-03-22T14:53:42 --startdatetime 2017-03-22T15:00:34 --delay 3 --endMP 204:233301 --enddatetime 2017-03-22T15:38:35 --enforcementcount 2 &gt;&gt;C:\Users\stu\Documents\GitHub\eaglep3-reporting\EC\2017-03-22-refined-times.txt</v>
      </c>
      <c r="AI107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{"issue":{"subject":"","project_id":79,"tracker_id":40,"status_id":1,"priority_id":2,"assigned_to_id":23,"start_date":"2017-03-22","description":"","custom_fields":[{"id":1,"name":"Subdivision","value":"EC"},{"id":4,"name":"Milepost","value":"23.3301"},{"id":17,"name":"Train ID","value":"191-22"},{"id":16,"name":"Locomotive ID","value":"4046"},{"id":130,"name":"Impact","value":""},{"id":150,"name":"Time of Event (Mountain Time)","value":"15:38:35"},{"id":151,"name":"Denver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41"/>
        <v>start /low /b %USERPROFILE%\Documents\GitHub\eaglep3\Utilities\DownloadLogsFromS3.py --loco 4046 --day 2017-03-22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"%USERPROFILE%\AppData\Local\Temp\OnboardLogs"\RTDC4046\*4046*20170322* | grep -SE "(Enforcement Action)|(\[TIMEOUT)|(CHR.+\|PRM\|1\|D.+(SWITCH|SIGNAL).+UNKNOWN)" - &gt;&gt; 2017-03-22-UncaughtWiMAX.txt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768</v>
      </c>
      <c r="B108" s="7">
        <v>4045</v>
      </c>
      <c r="C108" s="21" t="s">
        <v>219</v>
      </c>
      <c r="D108" s="21" t="s">
        <v>515</v>
      </c>
      <c r="E108" s="13">
        <v>42816.657997685186</v>
      </c>
      <c r="F108" s="13">
        <v>42816.6643287037</v>
      </c>
      <c r="G108" s="7">
        <v>1</v>
      </c>
      <c r="H108" s="21" t="s">
        <v>191</v>
      </c>
      <c r="I108" s="13">
        <v>42816.691631944443</v>
      </c>
      <c r="J108" s="7">
        <v>2</v>
      </c>
      <c r="K108" s="98" t="str">
        <f t="shared" si="26"/>
        <v>4045/4046</v>
      </c>
      <c r="L108" s="21" t="str">
        <f>VLOOKUP(A108,'Trips&amp;Operators'!$C$1:$G$99999,5,FALSE)</f>
        <v>MENGES BRAD</v>
      </c>
      <c r="M108" s="6">
        <f t="shared" si="27"/>
        <v>2.7303240742185153E-2</v>
      </c>
      <c r="N108" s="7">
        <f t="shared" si="44"/>
        <v>39.31666666874662</v>
      </c>
      <c r="O108" s="7"/>
      <c r="P108" s="7"/>
      <c r="Q108" s="22"/>
      <c r="R108" s="22"/>
      <c r="S108" s="31">
        <f t="shared" si="45"/>
        <v>1</v>
      </c>
      <c r="T108" s="46" t="str">
        <f t="shared" si="28"/>
        <v>Southbound</v>
      </c>
      <c r="U108" s="18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6" t="str">
        <f t="shared" si="29"/>
        <v>https://d0f6bd738d7f1b3e5a7ca70fe4ff75f0.us-east-1.aws.found.io/app/kibana#/discover/Steve-Slow-Train-Analysis-(2080s-and-2083s)?_g=(refreshInterval:(display:Off,pause:!f,section:0,value:0),time:(from:'2017-03-22T14:47:31-0600',mode:absolute,to:'2017-03-22T17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8" s="187" t="str">
        <f t="shared" si="30"/>
        <v>N</v>
      </c>
      <c r="X108" s="187">
        <f t="shared" si="31"/>
        <v>1</v>
      </c>
      <c r="Y108" s="62">
        <f t="shared" si="32"/>
        <v>23.297699999999999</v>
      </c>
      <c r="Z108" s="62">
        <f t="shared" si="33"/>
        <v>1.4999999999999999E-2</v>
      </c>
      <c r="AA108" s="62">
        <f t="shared" si="34"/>
        <v>23.282699999999998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5"/>
        <v>0192-22</v>
      </c>
      <c r="AE108" s="85" t="str">
        <f t="shared" si="36"/>
        <v>aws s3 cp s3://rtdc.mdm.uploadarchive.raw/RTDC4045/ "%USERPROFILE%\AppData\Local\Temp\OnboardLogs"\RTDC4045\2017-03-22 --exclude "*" --recursive --include "*20170322*" &amp; "%USERPROFILE%\Documents\GitHub\mrs-test-scripts\Headless Mode &amp; Sideloading\WalkAndUnGZ.bat" "%USERPROFILE%\AppData\Local\Temp\OnboardLogs"\RTDC4045\2017-03-22 &amp; aws s3 cp s3://rtdc.mdm.uploadarchive.raw/RTDC4045/ "%USERPROFILE%\AppData\Local\Temp\OnboardLogs"\RTDC4045\2017-03-23 --exclude "*" --recursive --include "*20170323*" &amp; "%USERPROFILE%\Documents\GitHub\mrs-test-scripts\Headless Mode &amp; Sideloading\WalkAndUnGZ.bat" "%USERPROFILE%\AppData\Local\Temp\OnboardLogs"\RTDC4045\2017-03-23</v>
      </c>
      <c r="AF108" s="82" t="str">
        <f t="shared" si="37"/>
        <v>"C:\Program Files (x86)\AstroGrep\AstroGrep.exe" /e /r /s /spath="%USERPROFILE%\AppData\Local\Temp\OnboardLogs" /stypes="app*4045*20170322*" /stext=" 22:.+((SYSTEM_STATE.+slice.+state.+changed )|(ment ac)|(multiple cpu faults)|(system.+state.+changed )|(\[timeout)|(PRM\|1\|D)|(kpr)|(kdp)|(\|lc)|(penalty))"</v>
      </c>
      <c r="AG108" s="1" t="str">
        <f t="shared" si="38"/>
        <v>EC</v>
      </c>
      <c r="AH108" s="86" t="str">
        <f t="shared" si="39"/>
        <v>"%USERPROFILE%\Documents\GitHub\eaglep3\Utilities\RefineRTDCRunTimes.py" --tripid 192-22 --locoid 4045 --swversion DE.1.0.9.0 --startMP 204:232977 --initTime 2017-03-22T15:47:31 --startdatetime 2017-03-22T15:56:38 --delay 1 --endMP 204:150 --enddatetime 2017-03-22T16:35:57 --enforcementcount 2 &gt;&gt;C:\Users\stu\Documents\GitHub\eaglep3-reporting\EC\2017-03-22-refined-times.txt</v>
      </c>
      <c r="AI108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{"issue":{"subject":"","project_id":79,"tracker_id":40,"status_id":1,"priority_id":2,"assigned_to_id":23,"start_date":"2017-03-22","description":"","custom_fields":[{"id":1,"name":"Subdivision","value":"EC"},{"id":4,"name":"Milepost","value":"0.015"},{"id":17,"name":"Train ID","value":"192-22"},{"id":16,"name":"Locomotive ID","value":"4045"},{"id":130,"name":"Impact","value":""},{"id":150,"name":"Time of Event (Mountain Time)","value":"16:35:57"},{"id":151,"name":"Denver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41"/>
        <v>start /low /b %USERPROFILE%\Documents\GitHub\eaglep3\Utilities\DownloadLogsFromS3.py --loco 4045 --day 2017-03-22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"%USERPROFILE%\AppData\Local\Temp\OnboardLogs"\RTDC4045\*4045*20170322* | grep -SE "(Enforcement Action)|(\[TIMEOUT)|(CHR.+\|PRM\|1\|D.+(SWITCH|SIGNAL).+UNKNOWN)" - &gt;&gt; 2017-03-22-UncaughtWiMAX.txt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761</v>
      </c>
      <c r="B109" s="7">
        <v>4042</v>
      </c>
      <c r="C109" s="21" t="s">
        <v>219</v>
      </c>
      <c r="D109" s="21" t="s">
        <v>207</v>
      </c>
      <c r="E109" s="13">
        <v>42816.632407407407</v>
      </c>
      <c r="F109" s="13">
        <v>42816.635949074072</v>
      </c>
      <c r="G109" s="7">
        <v>0</v>
      </c>
      <c r="H109" s="21" t="s">
        <v>401</v>
      </c>
      <c r="I109" s="13">
        <v>42816.661273148151</v>
      </c>
      <c r="J109" s="7">
        <v>2</v>
      </c>
      <c r="K109" s="98" t="str">
        <f t="shared" si="26"/>
        <v>4041/4042</v>
      </c>
      <c r="L109" s="21" t="str">
        <f>VLOOKUP(A109,'Trips&amp;Operators'!$C$1:$G$99999,5,FALSE)</f>
        <v>HELVIE ADAM</v>
      </c>
      <c r="M109" s="6">
        <f t="shared" si="27"/>
        <v>2.5324074078525882E-2</v>
      </c>
      <c r="N109" s="7">
        <f t="shared" si="44"/>
        <v>36.46666667307727</v>
      </c>
      <c r="O109" s="7"/>
      <c r="P109" s="7"/>
      <c r="Q109" s="22"/>
      <c r="R109" s="22"/>
      <c r="S109" s="31">
        <f t="shared" si="45"/>
        <v>1</v>
      </c>
      <c r="T109" s="46" t="str">
        <f t="shared" si="28"/>
        <v>NorthBound</v>
      </c>
      <c r="U109" s="18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6" t="str">
        <f t="shared" si="29"/>
        <v>https://d0f6bd738d7f1b3e5a7ca70fe4ff75f0.us-east-1.aws.found.io/app/kibana#/discover/Steve-Slow-Train-Analysis-(2080s-and-2083s)?_g=(refreshInterval:(display:Off,pause:!f,section:0,value:0),time:(from:'2017-03-22T14:10:40-0600',mode:absolute,to:'2017-03-22T16:52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9" s="187" t="str">
        <f t="shared" si="30"/>
        <v>N</v>
      </c>
      <c r="X109" s="187">
        <f t="shared" ref="X109:X127" si="46">VALUE(LEFT(AD109,4))-VALUE(LEFT(AD108,4))</f>
        <v>1</v>
      </c>
      <c r="Y109" s="62">
        <f t="shared" si="32"/>
        <v>4.5100000000000001E-2</v>
      </c>
      <c r="Z109" s="62">
        <f t="shared" si="33"/>
        <v>23.330400000000001</v>
      </c>
      <c r="AA109" s="62">
        <f t="shared" si="34"/>
        <v>23.285299999999999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5"/>
        <v>0193-22</v>
      </c>
      <c r="AE109" s="85" t="str">
        <f t="shared" si="36"/>
        <v>aws s3 cp s3://rtdc.mdm.uploadarchive.raw/RTDC4042/ "%USERPROFILE%\AppData\Local\Temp\OnboardLogs"\RTDC4042\2017-03-22 --exclude "*" --recursive --include "*20170322*" &amp; "%USERPROFILE%\Documents\GitHub\mrs-test-scripts\Headless Mode &amp; Sideloading\WalkAndUnGZ.bat" "%USERPROFILE%\AppData\Local\Temp\OnboardLogs"\RTDC4042\2017-03-22 &amp; aws s3 cp s3://rtdc.mdm.uploadarchive.raw/RTDC4042/ "%USERPROFILE%\AppData\Local\Temp\OnboardLogs"\RTDC4042\2017-03-23 --exclude "*" --recursive --include "*20170323*" &amp; "%USERPROFILE%\Documents\GitHub\mrs-test-scripts\Headless Mode &amp; Sideloading\WalkAndUnGZ.bat" "%USERPROFILE%\AppData\Local\Temp\OnboardLogs"\RTDC4042\2017-03-23</v>
      </c>
      <c r="AF109" s="82" t="str">
        <f t="shared" si="37"/>
        <v>"C:\Program Files (x86)\AstroGrep\AstroGrep.exe" /e /r /s /spath="%USERPROFILE%\AppData\Local\Temp\OnboardLogs" /stypes="app*4042*20170322*" /stext=" 21:.+((SYSTEM_STATE.+slice.+state.+changed )|(ment ac)|(multiple cpu faults)|(system.+state.+changed )|(\[timeout)|(PRM\|1\|D)|(kpr)|(kdp)|(\|lc)|(penalty))"</v>
      </c>
      <c r="AG109" s="1" t="str">
        <f t="shared" si="38"/>
        <v>EC</v>
      </c>
      <c r="AH109" s="86" t="str">
        <f t="shared" si="39"/>
        <v>"%USERPROFILE%\Documents\GitHub\eaglep3\Utilities\RefineRTDCRunTimes.py" --tripid 193-22 --locoid 4042 --swversion DE.1.0.9.0 --startMP 204:451 --initTime 2017-03-22T15:10:40 --startdatetime 2017-03-22T15:15:46 --delay 0 --endMP 204:233304 --enddatetime 2017-03-22T15:52:14 --enforcementcount 2 &gt;&gt;C:\Users\stu\Documents\GitHub\eaglep3-reporting\EC\2017-03-22-refined-times.txt</v>
      </c>
      <c r="AI109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{"issue":{"subject":"","project_id":79,"tracker_id":40,"status_id":1,"priority_id":2,"assigned_to_id":23,"start_date":"2017-03-22","description":"","custom_fields":[{"id":1,"name":"Subdivision","value":"EC"},{"id":4,"name":"Milepost","value":"23.3304"},{"id":17,"name":"Train ID","value":"193-22"},{"id":16,"name":"Locomotive ID","value":"4042"},{"id":130,"name":"Impact","value":""},{"id":150,"name":"Time of Event (Mountain Time)","value":"15:52:14"},{"id":151,"name":"Denver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41"/>
        <v>start /low /b %USERPROFILE%\Documents\GitHub\eaglep3\Utilities\DownloadLogsFromS3.py --loco 4042 --day 2017-03-22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"%USERPROFILE%\AppData\Local\Temp\OnboardLogs"\RTDC4042\*4042*20170322* | grep -SE "(Enforcement Action)|(\[TIMEOUT)|(CHR.+\|PRM\|1\|D.+(SWITCH|SIGNAL).+UNKNOWN)" - &gt;&gt; 2017-03-22-UncaughtWiMAX.txt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771</v>
      </c>
      <c r="B110" s="7">
        <v>4041</v>
      </c>
      <c r="C110" s="21" t="s">
        <v>219</v>
      </c>
      <c r="D110" s="21" t="s">
        <v>908</v>
      </c>
      <c r="E110" s="13">
        <v>42816.671331018515</v>
      </c>
      <c r="F110" s="13">
        <v>42816.674907407411</v>
      </c>
      <c r="G110" s="7">
        <v>2</v>
      </c>
      <c r="H110" s="21" t="s">
        <v>184</v>
      </c>
      <c r="I110" s="13">
        <v>42816.701423611114</v>
      </c>
      <c r="J110" s="7">
        <v>2</v>
      </c>
      <c r="K110" s="98" t="str">
        <f t="shared" si="26"/>
        <v>4041/4042</v>
      </c>
      <c r="L110" s="21" t="str">
        <f>VLOOKUP(A110,'Trips&amp;Operators'!$C$1:$G$99999,5,FALSE)</f>
        <v>HELVIE ADAM</v>
      </c>
      <c r="M110" s="6">
        <f t="shared" si="27"/>
        <v>2.6516203703067731E-2</v>
      </c>
      <c r="N110" s="7">
        <f t="shared" si="44"/>
        <v>38.183333332417533</v>
      </c>
      <c r="O110" s="7"/>
      <c r="P110" s="7"/>
      <c r="Q110" s="22"/>
      <c r="R110" s="22"/>
      <c r="S110" s="31">
        <f t="shared" si="45"/>
        <v>1</v>
      </c>
      <c r="T110" s="46" t="str">
        <f t="shared" si="28"/>
        <v>Southbound</v>
      </c>
      <c r="U110" s="18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6" t="str">
        <f t="shared" si="29"/>
        <v>https://d0f6bd738d7f1b3e5a7ca70fe4ff75f0.us-east-1.aws.found.io/app/kibana#/discover/Steve-Slow-Train-Analysis-(2080s-and-2083s)?_g=(refreshInterval:(display:Off,pause:!f,section:0,value:0),time:(from:'2017-03-22T15:06:43-0600',mode:absolute,to:'2017-03-22T17:50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0" s="187" t="str">
        <f t="shared" si="30"/>
        <v>N</v>
      </c>
      <c r="X110" s="187">
        <f t="shared" si="46"/>
        <v>1</v>
      </c>
      <c r="Y110" s="62">
        <f t="shared" si="32"/>
        <v>23.3002</v>
      </c>
      <c r="Z110" s="62">
        <f t="shared" si="33"/>
        <v>1.49E-2</v>
      </c>
      <c r="AA110" s="62">
        <f t="shared" si="34"/>
        <v>23.285299999999999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5"/>
        <v>0194-22</v>
      </c>
      <c r="AE110" s="85" t="str">
        <f t="shared" si="36"/>
        <v>aws s3 cp s3://rtdc.mdm.uploadarchive.raw/RTDC4041/ "%USERPROFILE%\AppData\Local\Temp\OnboardLogs"\RTDC4041\2017-03-22 --exclude "*" --recursive --include "*20170322*" &amp; "%USERPROFILE%\Documents\GitHub\mrs-test-scripts\Headless Mode &amp; Sideloading\WalkAndUnGZ.bat" "%USERPROFILE%\AppData\Local\Temp\OnboardLogs"\RTDC4041\2017-03-22 &amp; aws s3 cp s3://rtdc.mdm.uploadarchive.raw/RTDC4041/ "%USERPROFILE%\AppData\Local\Temp\OnboardLogs"\RTDC4041\2017-03-23 --exclude "*" --recursive --include "*20170323*" &amp; "%USERPROFILE%\Documents\GitHub\mrs-test-scripts\Headless Mode &amp; Sideloading\WalkAndUnGZ.bat" "%USERPROFILE%\AppData\Local\Temp\OnboardLogs"\RTDC4041\2017-03-23</v>
      </c>
      <c r="AF110" s="82" t="str">
        <f t="shared" si="37"/>
        <v>"C:\Program Files (x86)\AstroGrep\AstroGrep.exe" /e /r /s /spath="%USERPROFILE%\AppData\Local\Temp\OnboardLogs" /stypes="app*4041*20170322*" /stext=" 22:.+((SYSTEM_STATE.+slice.+state.+changed )|(ment ac)|(multiple cpu faults)|(system.+state.+changed )|(\[timeout)|(PRM\|1\|D)|(kpr)|(kdp)|(\|lc)|(penalty))"</v>
      </c>
      <c r="AG110" s="1" t="str">
        <f t="shared" si="38"/>
        <v>EC</v>
      </c>
      <c r="AH110" s="86" t="str">
        <f t="shared" si="39"/>
        <v>"%USERPROFILE%\Documents\GitHub\eaglep3\Utilities\RefineRTDCRunTimes.py" --tripid 194-22 --locoid 4041 --swversion DE.1.0.9.0 --startMP 204:233002 --initTime 2017-03-22T16:06:43 --startdatetime 2017-03-22T16:11:52 --delay 2 --endMP 204:149 --enddatetime 2017-03-22T16:50:03 --enforcementcount 2 &gt;&gt;C:\Users\stu\Documents\GitHub\eaglep3-reporting\EC\2017-03-22-refined-times.txt</v>
      </c>
      <c r="AI110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{"issue":{"subject":"","project_id":79,"tracker_id":40,"status_id":1,"priority_id":2,"assigned_to_id":23,"start_date":"2017-03-22","description":"","custom_fields":[{"id":1,"name":"Subdivision","value":"EC"},{"id":4,"name":"Milepost","value":"0.0149"},{"id":17,"name":"Train ID","value":"194-22"},{"id":16,"name":"Locomotive ID","value":"4041"},{"id":130,"name":"Impact","value":""},{"id":150,"name":"Time of Event (Mountain Time)","value":"16:50:03"},{"id":151,"name":"Denver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41"/>
        <v>start /low /b %USERPROFILE%\Documents\GitHub\eaglep3\Utilities\DownloadLogsFromS3.py --loco 4041 --day 2017-03-22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"%USERPROFILE%\AppData\Local\Temp\OnboardLogs"\RTDC4041\*4041*20170322* | grep -SE "(Enforcement Action)|(\[TIMEOUT)|(CHR.+\|PRM\|1\|D.+(SWITCH|SIGNAL).+UNKNOWN)" - &gt;&gt; 2017-03-22-UncaughtWiMAX.txt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764</v>
      </c>
      <c r="B111" s="7">
        <v>4018</v>
      </c>
      <c r="C111" s="21" t="s">
        <v>219</v>
      </c>
      <c r="D111" s="21" t="s">
        <v>212</v>
      </c>
      <c r="E111" s="13">
        <v>42816.641909722224</v>
      </c>
      <c r="F111" s="13">
        <v>42816.64603009259</v>
      </c>
      <c r="G111" s="7">
        <v>1</v>
      </c>
      <c r="H111" s="21" t="s">
        <v>360</v>
      </c>
      <c r="I111" s="13">
        <v>42816.672083333331</v>
      </c>
      <c r="J111" s="7">
        <v>2</v>
      </c>
      <c r="K111" s="98" t="str">
        <f t="shared" si="26"/>
        <v>4017/4018</v>
      </c>
      <c r="L111" s="21" t="str">
        <f>VLOOKUP(A111,'Trips&amp;Operators'!$C$1:$G$99999,5,FALSE)</f>
        <v>LOCKLEAR TRAVIS</v>
      </c>
      <c r="M111" s="6">
        <f t="shared" si="27"/>
        <v>2.6053240741021E-2</v>
      </c>
      <c r="N111" s="7">
        <f t="shared" si="44"/>
        <v>37.51666666707024</v>
      </c>
      <c r="O111" s="7"/>
      <c r="P111" s="7"/>
      <c r="Q111" s="22"/>
      <c r="R111" s="22"/>
      <c r="S111" s="31">
        <f t="shared" si="45"/>
        <v>1</v>
      </c>
      <c r="T111" s="46" t="str">
        <f t="shared" si="28"/>
        <v>NorthBound</v>
      </c>
      <c r="U111" s="18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6" t="str">
        <f t="shared" si="29"/>
        <v>https://d0f6bd738d7f1b3e5a7ca70fe4ff75f0.us-east-1.aws.found.io/app/kibana#/discover/Steve-Slow-Train-Analysis-(2080s-and-2083s)?_g=(refreshInterval:(display:Off,pause:!f,section:0,value:0),time:(from:'2017-03-22T14:24:21-0600',mode:absolute,to:'2017-03-22T17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1" s="187" t="str">
        <f t="shared" si="30"/>
        <v>N</v>
      </c>
      <c r="X111" s="187">
        <f t="shared" si="46"/>
        <v>1</v>
      </c>
      <c r="Y111" s="62">
        <f t="shared" si="32"/>
        <v>4.53E-2</v>
      </c>
      <c r="Z111" s="62">
        <f t="shared" si="33"/>
        <v>23.3307</v>
      </c>
      <c r="AA111" s="62">
        <f t="shared" si="34"/>
        <v>23.285399999999999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5"/>
        <v>0195-22</v>
      </c>
      <c r="AE111" s="85" t="str">
        <f t="shared" si="36"/>
        <v>aws s3 cp s3://rtdc.mdm.uploadarchive.raw/RTDC4018/ "%USERPROFILE%\AppData\Local\Temp\OnboardLogs"\RTDC4018\2017-03-22 --exclude "*" --recursive --include "*20170322*" &amp; "%USERPROFILE%\Documents\GitHub\mrs-test-scripts\Headless Mode &amp; Sideloading\WalkAndUnGZ.bat" "%USERPROFILE%\AppData\Local\Temp\OnboardLogs"\RTDC4018\2017-03-22 &amp; aws s3 cp s3://rtdc.mdm.uploadarchive.raw/RTDC4018/ "%USERPROFILE%\AppData\Local\Temp\OnboardLogs"\RTDC4018\2017-03-23 --exclude "*" --recursive --include "*20170323*" &amp; "%USERPROFILE%\Documents\GitHub\mrs-test-scripts\Headless Mode &amp; Sideloading\WalkAndUnGZ.bat" "%USERPROFILE%\AppData\Local\Temp\OnboardLogs"\RTDC4018\2017-03-23</v>
      </c>
      <c r="AF111" s="82" t="str">
        <f t="shared" si="37"/>
        <v>"C:\Program Files (x86)\AstroGrep\AstroGrep.exe" /e /r /s /spath="%USERPROFILE%\AppData\Local\Temp\OnboardLogs" /stypes="app*4018*20170322*" /stext=" 22:.+((SYSTEM_STATE.+slice.+state.+changed )|(ment ac)|(multiple cpu faults)|(system.+state.+changed )|(\[timeout)|(PRM\|1\|D)|(kpr)|(kdp)|(\|lc)|(penalty))"</v>
      </c>
      <c r="AG111" s="1" t="str">
        <f t="shared" si="38"/>
        <v>EC</v>
      </c>
      <c r="AH111" s="86" t="str">
        <f t="shared" si="39"/>
        <v>"%USERPROFILE%\Documents\GitHub\eaglep3\Utilities\RefineRTDCRunTimes.py" --tripid 195-22 --locoid 4018 --swversion DE.1.0.9.0 --startMP 204:453 --initTime 2017-03-22T15:24:21 --startdatetime 2017-03-22T15:30:17 --delay 1 --endMP 204:233307 --enddatetime 2017-03-22T16:07:48 --enforcementcount 2 &gt;&gt;C:\Users\stu\Documents\GitHub\eaglep3-reporting\EC\2017-03-22-refined-times.txt</v>
      </c>
      <c r="AI111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{"issue":{"subject":"","project_id":79,"tracker_id":40,"status_id":1,"priority_id":2,"assigned_to_id":23,"start_date":"2017-03-22","description":"","custom_fields":[{"id":1,"name":"Subdivision","value":"EC"},{"id":4,"name":"Milepost","value":"23.3307"},{"id":17,"name":"Train ID","value":"195-22"},{"id":16,"name":"Locomotive ID","value":"4018"},{"id":130,"name":"Impact","value":""},{"id":150,"name":"Time of Event (Mountain Time)","value":"16:07:48"},{"id":151,"name":"Denver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41"/>
        <v>start /low /b %USERPROFILE%\Documents\GitHub\eaglep3\Utilities\DownloadLogsFromS3.py --loco 4018 --day 2017-03-22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"%USERPROFILE%\AppData\Local\Temp\OnboardLogs"\RTDC4018\*4018*20170322* | grep -SE "(Enforcement Action)|(\[TIMEOUT)|(CHR.+\|PRM\|1\|D.+(SWITCH|SIGNAL).+UNKNOWN)" - &gt;&gt; 2017-03-22-UncaughtWiMAX.txt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774</v>
      </c>
      <c r="B112" s="7">
        <v>4017</v>
      </c>
      <c r="C112" s="21" t="s">
        <v>219</v>
      </c>
      <c r="D112" s="21" t="s">
        <v>909</v>
      </c>
      <c r="E112" s="13">
        <v>42816.694907407407</v>
      </c>
      <c r="F112" s="13">
        <v>42816.697430555556</v>
      </c>
      <c r="G112" s="7">
        <v>1</v>
      </c>
      <c r="H112" s="21" t="s">
        <v>400</v>
      </c>
      <c r="I112" s="13">
        <v>42816.716921296298</v>
      </c>
      <c r="J112" s="7">
        <v>2</v>
      </c>
      <c r="K112" s="98" t="str">
        <f t="shared" si="26"/>
        <v>4017/4018</v>
      </c>
      <c r="L112" s="21" t="str">
        <f>VLOOKUP(A112,'Trips&amp;Operators'!$C$1:$G$99999,5,FALSE)</f>
        <v>LOCKLEAR TRAVIS</v>
      </c>
      <c r="M112" s="6">
        <f t="shared" si="27"/>
        <v>1.9490740742185153E-2</v>
      </c>
      <c r="N112" s="7"/>
      <c r="O112" s="7"/>
      <c r="P112" s="7">
        <f>24*60*SUM($M112:$M112)</f>
        <v>28.06666666874662</v>
      </c>
      <c r="Q112" s="22"/>
      <c r="R112" s="22" t="s">
        <v>495</v>
      </c>
      <c r="S112" s="31">
        <f t="shared" si="45"/>
        <v>1</v>
      </c>
      <c r="T112" s="46" t="str">
        <f t="shared" si="28"/>
        <v>Southbound</v>
      </c>
      <c r="U112" s="18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6" t="str">
        <f t="shared" si="29"/>
        <v>https://d0f6bd738d7f1b3e5a7ca70fe4ff75f0.us-east-1.aws.found.io/app/kibana#/discover/Steve-Slow-Train-Analysis-(2080s-and-2083s)?_g=(refreshInterval:(display:Off,pause:!f,section:0,value:0),time:(from:'2017-03-22T15:40:40-0600',mode:absolute,to:'2017-03-22T18:12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2" s="187" t="str">
        <f t="shared" si="30"/>
        <v>Y</v>
      </c>
      <c r="X112" s="187">
        <f t="shared" si="46"/>
        <v>1</v>
      </c>
      <c r="Y112" s="62">
        <f t="shared" si="32"/>
        <v>12.787800000000001</v>
      </c>
      <c r="Z112" s="62">
        <f t="shared" si="33"/>
        <v>1.43E-2</v>
      </c>
      <c r="AA112" s="62">
        <f t="shared" si="34"/>
        <v>12.7735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5"/>
        <v>0196-22</v>
      </c>
      <c r="AE112" s="85" t="str">
        <f t="shared" si="36"/>
        <v>aws s3 cp s3://rtdc.mdm.uploadarchive.raw/RTDC4017/ "%USERPROFILE%\AppData\Local\Temp\OnboardLogs"\RTDC4017\2017-03-22 --exclude "*" --recursive --include "*20170322*" &amp; "%USERPROFILE%\Documents\GitHub\mrs-test-scripts\Headless Mode &amp; Sideloading\WalkAndUnGZ.bat" "%USERPROFILE%\AppData\Local\Temp\OnboardLogs"\RTDC4017\2017-03-22 &amp; aws s3 cp s3://rtdc.mdm.uploadarchive.raw/RTDC4017/ "%USERPROFILE%\AppData\Local\Temp\OnboardLogs"\RTDC4017\2017-03-23 --exclude "*" --recursive --include "*20170323*" &amp; "%USERPROFILE%\Documents\GitHub\mrs-test-scripts\Headless Mode &amp; Sideloading\WalkAndUnGZ.bat" "%USERPROFILE%\AppData\Local\Temp\OnboardLogs"\RTDC4017\2017-03-23</v>
      </c>
      <c r="AF112" s="82" t="str">
        <f t="shared" si="37"/>
        <v>"C:\Program Files (x86)\AstroGrep\AstroGrep.exe" /e /r /s /spath="%USERPROFILE%\AppData\Local\Temp\OnboardLogs" /stypes="app*4017*20170322*" /stext=" 23:.+((SYSTEM_STATE.+slice.+state.+changed )|(ment ac)|(multiple cpu faults)|(system.+state.+changed )|(\[timeout)|(PRM\|1\|D)|(kpr)|(kdp)|(\|lc)|(penalty))"</v>
      </c>
      <c r="AG112" s="1" t="str">
        <f t="shared" si="38"/>
        <v>EC</v>
      </c>
      <c r="AH112" s="86" t="str">
        <f t="shared" si="39"/>
        <v>"%USERPROFILE%\Documents\GitHub\eaglep3\Utilities\RefineRTDCRunTimes.py" --tripid 196-22 --locoid 4017 --swversion DE.1.0.9.0 --startMP 204:127878 --initTime 2017-03-22T16:40:40 --startdatetime 2017-03-22T16:44:18 --delay 1 --endMP 204:143 --enddatetime 2017-03-22T17:12:22 --enforcementcount 2 &gt;&gt;C:\Users\stu\Documents\GitHub\eaglep3-reporting\EC\2017-03-22-refined-times.txt</v>
      </c>
      <c r="AI112" s="108" t="str">
        <f t="shared" si="40"/>
        <v>echo {"issue":{"subject":"Onboard in-route failure","project_id":79,"tracker_id":40,"status_id":1,"priority_id":2,"assigned_to_id":23,"start_date":"2017-03-22","description":"","custom_fields":[{"id":1,"name":"Subdivision","value":"EC"},{"id":4,"name":"Milepost","value":"0.0143"},{"id":17,"name":"Train ID","value":"196-22"},{"id":16,"name":"Locomotive ID","value":"4017"},{"id":130,"name":"Impact","value":""},{"id":150,"name":"Time of Event (Mountain Time)","value":"17:12:22"},{"id":151,"name":"Denver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41"/>
        <v>start /low /b %USERPROFILE%\Documents\GitHub\eaglep3\Utilities\DownloadLogsFromS3.py --loco 4017 --day 2017-03-22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"%USERPROFILE%\AppData\Local\Temp\OnboardLogs"\RTDC4017\*4017*20170322* | grep -SE "(Enforcement Action)|(\[TIMEOUT)|(CHR.+\|PRM\|1\|D.+(SWITCH|SIGNAL).+UNKNOWN)" - &gt;&gt; 2017-03-22-UncaughtWiMAX.txt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774</v>
      </c>
      <c r="B113" s="7">
        <v>4017</v>
      </c>
      <c r="C113" s="21" t="s">
        <v>219</v>
      </c>
      <c r="D113" s="21" t="s">
        <v>515</v>
      </c>
      <c r="E113" s="13">
        <v>42816.681319444448</v>
      </c>
      <c r="F113" s="13">
        <v>42816.697430555556</v>
      </c>
      <c r="G113" s="7">
        <v>1</v>
      </c>
      <c r="H113" s="21" t="s">
        <v>400</v>
      </c>
      <c r="I113" s="13">
        <v>42816.716921296298</v>
      </c>
      <c r="J113" s="7">
        <v>2</v>
      </c>
      <c r="K113" s="98" t="str">
        <f t="shared" si="26"/>
        <v>4017/4018</v>
      </c>
      <c r="L113" s="21" t="str">
        <f>VLOOKUP(A113,'Trips&amp;Operators'!$C$1:$G$99999,5,FALSE)</f>
        <v>LOCKLEAR TRAVIS</v>
      </c>
      <c r="M113" s="6">
        <f t="shared" si="27"/>
        <v>1.9490740742185153E-2</v>
      </c>
      <c r="N113" s="7"/>
      <c r="O113" s="7"/>
      <c r="P113" s="7"/>
      <c r="Q113" s="22"/>
      <c r="R113" s="22"/>
      <c r="S113" s="31"/>
      <c r="T113" s="46" t="str">
        <f t="shared" si="28"/>
        <v>Southbound</v>
      </c>
      <c r="U113" s="18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6" t="str">
        <f t="shared" si="29"/>
        <v>https://d0f6bd738d7f1b3e5a7ca70fe4ff75f0.us-east-1.aws.found.io/app/kibana#/discover/Steve-Slow-Train-Analysis-(2080s-and-2083s)?_g=(refreshInterval:(display:Off,pause:!f,section:0,value:0),time:(from:'2017-03-22T15:21:06-0600',mode:absolute,to:'2017-03-22T18:12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3" s="187" t="str">
        <f t="shared" si="30"/>
        <v>N</v>
      </c>
      <c r="X113" s="187">
        <f t="shared" si="46"/>
        <v>0</v>
      </c>
      <c r="Y113" s="62">
        <f t="shared" si="32"/>
        <v>23.297699999999999</v>
      </c>
      <c r="Z113" s="62">
        <f t="shared" si="33"/>
        <v>1.43E-2</v>
      </c>
      <c r="AA113" s="62">
        <f t="shared" si="34"/>
        <v>23.2834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5"/>
        <v>0196-22</v>
      </c>
      <c r="AE113" s="85" t="str">
        <f t="shared" si="36"/>
        <v>aws s3 cp s3://rtdc.mdm.uploadarchive.raw/RTDC4017/ "%USERPROFILE%\AppData\Local\Temp\OnboardLogs"\RTDC4017\2017-03-22 --exclude "*" --recursive --include "*20170322*" &amp; "%USERPROFILE%\Documents\GitHub\mrs-test-scripts\Headless Mode &amp; Sideloading\WalkAndUnGZ.bat" "%USERPROFILE%\AppData\Local\Temp\OnboardLogs"\RTDC4017\2017-03-22 &amp; aws s3 cp s3://rtdc.mdm.uploadarchive.raw/RTDC4017/ "%USERPROFILE%\AppData\Local\Temp\OnboardLogs"\RTDC4017\2017-03-23 --exclude "*" --recursive --include "*20170323*" &amp; "%USERPROFILE%\Documents\GitHub\mrs-test-scripts\Headless Mode &amp; Sideloading\WalkAndUnGZ.bat" "%USERPROFILE%\AppData\Local\Temp\OnboardLogs"\RTDC4017\2017-03-23</v>
      </c>
      <c r="AF113" s="82" t="str">
        <f t="shared" si="37"/>
        <v>"C:\Program Files (x86)\AstroGrep\AstroGrep.exe" /e /r /s /spath="%USERPROFILE%\AppData\Local\Temp\OnboardLogs" /stypes="app*4017*20170322*" /stext=" 23:.+((SYSTEM_STATE.+slice.+state.+changed )|(ment ac)|(multiple cpu faults)|(system.+state.+changed )|(\[timeout)|(PRM\|1\|D)|(kpr)|(kdp)|(\|lc)|(penalty))"</v>
      </c>
      <c r="AG113" s="1" t="str">
        <f t="shared" si="38"/>
        <v>EC</v>
      </c>
      <c r="AH113" s="86" t="str">
        <f t="shared" si="39"/>
        <v>"%USERPROFILE%\Documents\GitHub\eaglep3\Utilities\RefineRTDCRunTimes.py" --tripid 196-22 --locoid 4017 --swversion DE.1.0.9.0 --startMP 204:232977 --initTime 2017-03-22T16:21:06 --startdatetime 2017-03-22T16:44:18 --delay 1 --endMP 204:143 --enddatetime 2017-03-22T17:12:22 --enforcementcount 2 &gt;&gt;C:\Users\stu\Documents\GitHub\eaglep3-reporting\EC\2017-03-22-refined-times.txt</v>
      </c>
      <c r="AI113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{"issue":{"subject":"","project_id":79,"tracker_id":40,"status_id":1,"priority_id":2,"assigned_to_id":23,"start_date":"2017-03-22","description":"","custom_fields":[{"id":1,"name":"Subdivision","value":"EC"},{"id":4,"name":"Milepost","value":"0.0143"},{"id":17,"name":"Train ID","value":"196-22"},{"id":16,"name":"Locomotive ID","value":"4017"},{"id":130,"name":"Impact","value":""},{"id":150,"name":"Time of Event (Mountain Time)","value":"17:12:22"},{"id":151,"name":"Denver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41"/>
        <v>start /low /b %USERPROFILE%\Documents\GitHub\eaglep3\Utilities\DownloadLogsFromS3.py --loco 4017 --day 2017-03-22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"%USERPROFILE%\AppData\Local\Temp\OnboardLogs"\RTDC4017\*4017*20170322* | grep -SE "(Enforcement Action)|(\[TIMEOUT)|(CHR.+\|PRM\|1\|D.+(SWITCH|SIGNAL).+UNKNOWN)" - &gt;&gt; 2017-03-22-UncaughtWiMAX.txt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x14ac:dyDescent="0.25">
      <c r="A114" s="33" t="s">
        <v>767</v>
      </c>
      <c r="B114" s="7">
        <v>4011</v>
      </c>
      <c r="C114" s="21" t="s">
        <v>219</v>
      </c>
      <c r="D114" s="21" t="s">
        <v>456</v>
      </c>
      <c r="E114" s="13">
        <v>42816.653761574074</v>
      </c>
      <c r="F114" s="13">
        <v>42816.6565625</v>
      </c>
      <c r="G114" s="7">
        <v>1</v>
      </c>
      <c r="H114" s="21" t="s">
        <v>553</v>
      </c>
      <c r="I114" s="13">
        <v>42816.681168981479</v>
      </c>
      <c r="J114" s="7">
        <v>2</v>
      </c>
      <c r="K114" s="98" t="str">
        <f t="shared" si="26"/>
        <v>4011/4012</v>
      </c>
      <c r="L114" s="21" t="str">
        <f>VLOOKUP(A114,'Trips&amp;Operators'!$C$1:$G$99999,5,FALSE)</f>
        <v>LEVIN SCOTT</v>
      </c>
      <c r="M114" s="6">
        <f t="shared" si="27"/>
        <v>2.4606481478258502E-2</v>
      </c>
      <c r="N114" s="7">
        <f t="shared" ref="N114:N128" si="47">24*60*SUM($M114:$M114)</f>
        <v>35.433333328692243</v>
      </c>
      <c r="O114" s="7"/>
      <c r="P114" s="7"/>
      <c r="Q114" s="22"/>
      <c r="R114" s="22"/>
      <c r="S114" s="31">
        <f t="shared" ref="S114:S156" si="48">SUM(U114:U114)/IF(AG114="EC",12,1)</f>
        <v>1</v>
      </c>
      <c r="T114" s="46" t="str">
        <f t="shared" si="28"/>
        <v>NorthBound</v>
      </c>
      <c r="U114" s="18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6" t="str">
        <f t="shared" si="29"/>
        <v>https://d0f6bd738d7f1b3e5a7ca70fe4ff75f0.us-east-1.aws.found.io/app/kibana#/discover/Steve-Slow-Train-Analysis-(2080s-and-2083s)?_g=(refreshInterval:(display:Off,pause:!f,section:0,value:0),time:(from:'2017-03-22T14:41:25-0600',mode:absolute,to:'2017-03-22T17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4" s="187" t="str">
        <f t="shared" si="30"/>
        <v>N</v>
      </c>
      <c r="X114" s="187">
        <f t="shared" si="46"/>
        <v>1</v>
      </c>
      <c r="Y114" s="62">
        <f t="shared" si="32"/>
        <v>4.4900000000000002E-2</v>
      </c>
      <c r="Z114" s="62">
        <f t="shared" si="33"/>
        <v>23.339300000000001</v>
      </c>
      <c r="AA114" s="62">
        <f t="shared" si="34"/>
        <v>23.294400000000003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5"/>
        <v>0197-22</v>
      </c>
      <c r="AE114" s="85" t="str">
        <f t="shared" si="36"/>
        <v>aws s3 cp s3://rtdc.mdm.uploadarchive.raw/RTDC4011/ "%USERPROFILE%\AppData\Local\Temp\OnboardLogs"\RTDC4011\2017-03-22 --exclude "*" --recursive --include "*20170322*" &amp; "%USERPROFILE%\Documents\GitHub\mrs-test-scripts\Headless Mode &amp; Sideloading\WalkAndUnGZ.bat" "%USERPROFILE%\AppData\Local\Temp\OnboardLogs"\RTDC4011\2017-03-22 &amp; aws s3 cp s3://rtdc.mdm.uploadarchive.raw/RTDC4011/ "%USERPROFILE%\AppData\Local\Temp\OnboardLogs"\RTDC4011\2017-03-23 --exclude "*" --recursive --include "*20170323*" &amp; "%USERPROFILE%\Documents\GitHub\mrs-test-scripts\Headless Mode &amp; Sideloading\WalkAndUnGZ.bat" "%USERPROFILE%\AppData\Local\Temp\OnboardLogs"\RTDC4011\2017-03-23</v>
      </c>
      <c r="AF114" s="82" t="str">
        <f t="shared" si="37"/>
        <v>"C:\Program Files (x86)\AstroGrep\AstroGrep.exe" /e /r /s /spath="%USERPROFILE%\AppData\Local\Temp\OnboardLogs" /stypes="app*4011*20170322*" /stext=" 22:.+((SYSTEM_STATE.+slice.+state.+changed )|(ment ac)|(multiple cpu faults)|(system.+state.+changed )|(\[timeout)|(PRM\|1\|D)|(kpr)|(kdp)|(\|lc)|(penalty))"</v>
      </c>
      <c r="AG114" s="1" t="str">
        <f t="shared" si="38"/>
        <v>EC</v>
      </c>
      <c r="AH114" s="86" t="str">
        <f t="shared" si="39"/>
        <v>"%USERPROFILE%\Documents\GitHub\eaglep3\Utilities\RefineRTDCRunTimes.py" --tripid 197-22 --locoid 4011 --swversion DE.1.0.9.0 --startMP 204:449 --initTime 2017-03-22T15:41:25 --startdatetime 2017-03-22T15:45:27 --delay 1 --endMP 204:233393 --enddatetime 2017-03-22T16:20:53 --enforcementcount 2 &gt;&gt;C:\Users\stu\Documents\GitHub\eaglep3-reporting\EC\2017-03-22-refined-times.txt</v>
      </c>
      <c r="AI114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{"issue":{"subject":"","project_id":79,"tracker_id":40,"status_id":1,"priority_id":2,"assigned_to_id":23,"start_date":"2017-03-22","description":"","custom_fields":[{"id":1,"name":"Subdivision","value":"EC"},{"id":4,"name":"Milepost","value":"23.3393"},{"id":17,"name":"Train ID","value":"197-22"},{"id":16,"name":"Locomotive ID","value":"4011"},{"id":130,"name":"Impact","value":""},{"id":150,"name":"Time of Event (Mountain Time)","value":"16:20:53"},{"id":151,"name":"Denver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41"/>
        <v>start /low /b %USERPROFILE%\Documents\GitHub\eaglep3\Utilities\DownloadLogsFromS3.py --loco 4011 --day 2017-03-22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"%USERPROFILE%\AppData\Local\Temp\OnboardLogs"\RTDC4011\*4011*20170322* | grep -SE "(Enforcement Action)|(\[TIMEOUT)|(CHR.+\|PRM\|1\|D.+(SWITCH|SIGNAL).+UNKNOWN)" - &gt;&gt; 2017-03-22-UncaughtWiMAX.txt</v>
      </c>
    </row>
    <row r="115" spans="1:91" s="20" customFormat="1" x14ac:dyDescent="0.25">
      <c r="A115" s="33" t="s">
        <v>631</v>
      </c>
      <c r="B115" s="7">
        <v>4012</v>
      </c>
      <c r="C115" s="21" t="s">
        <v>219</v>
      </c>
      <c r="D115" s="21" t="s">
        <v>910</v>
      </c>
      <c r="E115" s="13">
        <v>42816.690949074073</v>
      </c>
      <c r="F115" s="13">
        <v>42816.695625</v>
      </c>
      <c r="G115" s="7">
        <v>1</v>
      </c>
      <c r="H115" s="21" t="s">
        <v>200</v>
      </c>
      <c r="I115" s="13">
        <v>42816.722627314812</v>
      </c>
      <c r="J115" s="7">
        <v>2</v>
      </c>
      <c r="K115" s="98" t="str">
        <f t="shared" si="26"/>
        <v>4011/4012</v>
      </c>
      <c r="L115" s="21" t="str">
        <f>VLOOKUP(A115,'Trips&amp;Operators'!$C$1:$G$99999,5,FALSE)</f>
        <v>LEVIN SCOTT</v>
      </c>
      <c r="M115" s="6">
        <f t="shared" si="27"/>
        <v>2.700231481139781E-2</v>
      </c>
      <c r="N115" s="7">
        <f t="shared" si="47"/>
        <v>38.883333328412846</v>
      </c>
      <c r="O115" s="7"/>
      <c r="P115" s="7"/>
      <c r="Q115" s="22"/>
      <c r="R115" s="22"/>
      <c r="S115" s="31">
        <f t="shared" si="48"/>
        <v>1</v>
      </c>
      <c r="T115" s="46" t="str">
        <f t="shared" si="28"/>
        <v>Southbound</v>
      </c>
      <c r="U115" s="18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6" t="str">
        <f t="shared" si="29"/>
        <v>https://d0f6bd738d7f1b3e5a7ca70fe4ff75f0.us-east-1.aws.found.io/app/kibana#/discover/Steve-Slow-Train-Analysis-(2080s-and-2083s)?_g=(refreshInterval:(display:Off,pause:!f,section:0,value:0),time:(from:'2017-03-22T15:34:58-0600',mode:absolute,to:'2017-03-22T18:20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5" s="187" t="str">
        <f t="shared" si="30"/>
        <v>N</v>
      </c>
      <c r="X115" s="187">
        <f t="shared" si="46"/>
        <v>1</v>
      </c>
      <c r="Y115" s="62">
        <f t="shared" si="32"/>
        <v>23.307400000000001</v>
      </c>
      <c r="Z115" s="62">
        <f t="shared" si="33"/>
        <v>1.5800000000000002E-2</v>
      </c>
      <c r="AA115" s="62">
        <f t="shared" si="34"/>
        <v>23.291600000000003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5"/>
        <v>0198-22</v>
      </c>
      <c r="AE115" s="85" t="str">
        <f t="shared" si="36"/>
        <v>aws s3 cp s3://rtdc.mdm.uploadarchive.raw/RTDC4012/ "%USERPROFILE%\AppData\Local\Temp\OnboardLogs"\RTDC4012\2017-03-22 --exclude "*" --recursive --include "*20170322*" &amp; "%USERPROFILE%\Documents\GitHub\mrs-test-scripts\Headless Mode &amp; Sideloading\WalkAndUnGZ.bat" "%USERPROFILE%\AppData\Local\Temp\OnboardLogs"\RTDC4012\2017-03-22 &amp; aws s3 cp s3://rtdc.mdm.uploadarchive.raw/RTDC4012/ "%USERPROFILE%\AppData\Local\Temp\OnboardLogs"\RTDC4012\2017-03-23 --exclude "*" --recursive --include "*20170323*" &amp; "%USERPROFILE%\Documents\GitHub\mrs-test-scripts\Headless Mode &amp; Sideloading\WalkAndUnGZ.bat" "%USERPROFILE%\AppData\Local\Temp\OnboardLogs"\RTDC4012\2017-03-23</v>
      </c>
      <c r="AF115" s="82" t="str">
        <f t="shared" si="37"/>
        <v>"C:\Program Files (x86)\AstroGrep\AstroGrep.exe" /e /r /s /spath="%USERPROFILE%\AppData\Local\Temp\OnboardLogs" /stypes="app*4012*20170322*" /stext=" 23:.+((SYSTEM_STATE.+slice.+state.+changed )|(ment ac)|(multiple cpu faults)|(system.+state.+changed )|(\[timeout)|(PRM\|1\|D)|(kpr)|(kdp)|(\|lc)|(penalty))"</v>
      </c>
      <c r="AG115" s="1" t="str">
        <f t="shared" si="38"/>
        <v>EC</v>
      </c>
      <c r="AH115" s="86" t="str">
        <f t="shared" si="39"/>
        <v>"%USERPROFILE%\Documents\GitHub\eaglep3\Utilities\RefineRTDCRunTimes.py" --tripid 198-22 --locoid 4012 --swversion DE.1.0.9.0 --startMP 204:233074 --initTime 2017-03-22T16:34:58 --startdatetime 2017-03-22T16:41:42 --delay 1 --endMP 204:158 --enddatetime 2017-03-22T17:20:35 --enforcementcount 2 &gt;&gt;C:\Users\stu\Documents\GitHub\eaglep3-reporting\EC\2017-03-22-refined-times.txt</v>
      </c>
      <c r="AI115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{"issue":{"subject":"","project_id":79,"tracker_id":40,"status_id":1,"priority_id":2,"assigned_to_id":23,"start_date":"2017-03-22","description":"","custom_fields":[{"id":1,"name":"Subdivision","value":"EC"},{"id":4,"name":"Milepost","value":"0.0158"},{"id":17,"name":"Train ID","value":"198-22"},{"id":16,"name":"Locomotive ID","value":"4012"},{"id":130,"name":"Impact","value":""},{"id":150,"name":"Time of Event (Mountain Time)","value":"17:20:35"},{"id":151,"name":"Denver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41"/>
        <v>start /low /b %USERPROFILE%\Documents\GitHub\eaglep3\Utilities\DownloadLogsFromS3.py --loco 4012 --day 2017-03-22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"%USERPROFILE%\AppData\Local\Temp\OnboardLogs"\RTDC4012\*4012*20170322* | grep -SE "(Enforcement Action)|(\[TIMEOUT)|(CHR.+\|PRM\|1\|D.+(SWITCH|SIGNAL).+UNKNOWN)" - &gt;&gt; 2017-03-22-UncaughtWiMAX.txt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x14ac:dyDescent="0.25">
      <c r="A116" s="33" t="s">
        <v>769</v>
      </c>
      <c r="B116" s="7">
        <v>4003</v>
      </c>
      <c r="C116" s="21" t="s">
        <v>219</v>
      </c>
      <c r="D116" s="21" t="s">
        <v>221</v>
      </c>
      <c r="E116" s="13">
        <v>42816.66375</v>
      </c>
      <c r="F116" s="13">
        <v>42816.666921296295</v>
      </c>
      <c r="G116" s="7">
        <v>1</v>
      </c>
      <c r="H116" s="21" t="s">
        <v>911</v>
      </c>
      <c r="I116" s="13">
        <v>42816.693460648145</v>
      </c>
      <c r="J116" s="7">
        <v>2</v>
      </c>
      <c r="K116" s="98" t="str">
        <f t="shared" si="26"/>
        <v>4003/4004</v>
      </c>
      <c r="L116" s="21" t="str">
        <f>VLOOKUP(A116,'Trips&amp;Operators'!$C$1:$G$99999,5,FALSE)</f>
        <v>STRICKLAND EVAN</v>
      </c>
      <c r="M116" s="6">
        <f t="shared" si="27"/>
        <v>2.6539351849351078E-2</v>
      </c>
      <c r="N116" s="7">
        <f t="shared" si="47"/>
        <v>38.216666663065553</v>
      </c>
      <c r="O116" s="7"/>
      <c r="P116" s="7"/>
      <c r="Q116" s="22"/>
      <c r="R116" s="22"/>
      <c r="S116" s="31">
        <f t="shared" si="48"/>
        <v>1</v>
      </c>
      <c r="T116" s="46" t="str">
        <f t="shared" si="28"/>
        <v>NorthBound</v>
      </c>
      <c r="U116" s="18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6" t="str">
        <f t="shared" si="29"/>
        <v>https://d0f6bd738d7f1b3e5a7ca70fe4ff75f0.us-east-1.aws.found.io/app/kibana#/discover/Steve-Slow-Train-Analysis-(2080s-and-2083s)?_g=(refreshInterval:(display:Off,pause:!f,section:0,value:0),time:(from:'2017-03-22T14:55:48-0600',mode:absolute,to:'2017-03-22T17:38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6" s="187" t="str">
        <f t="shared" si="30"/>
        <v>N</v>
      </c>
      <c r="X116" s="187">
        <f t="shared" si="46"/>
        <v>1</v>
      </c>
      <c r="Y116" s="62">
        <f t="shared" si="32"/>
        <v>4.6699999999999998E-2</v>
      </c>
      <c r="Z116" s="62">
        <f t="shared" si="33"/>
        <v>23.339700000000001</v>
      </c>
      <c r="AA116" s="62">
        <f t="shared" si="34"/>
        <v>23.292999999999999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5"/>
        <v>0199-22</v>
      </c>
      <c r="AE116" s="85" t="str">
        <f t="shared" si="36"/>
        <v>aws s3 cp s3://rtdc.mdm.uploadarchive.raw/RTDC4003/ "%USERPROFILE%\AppData\Local\Temp\OnboardLogs"\RTDC4003\2017-03-22 --exclude "*" --recursive --include "*20170322*" &amp; "%USERPROFILE%\Documents\GitHub\mrs-test-scripts\Headless Mode &amp; Sideloading\WalkAndUnGZ.bat" "%USERPROFILE%\AppData\Local\Temp\OnboardLogs"\RTDC4003\2017-03-22 &amp; aws s3 cp s3://rtdc.mdm.uploadarchive.raw/RTDC4003/ "%USERPROFILE%\AppData\Local\Temp\OnboardLogs"\RTDC4003\2017-03-23 --exclude "*" --recursive --include "*20170323*" &amp; "%USERPROFILE%\Documents\GitHub\mrs-test-scripts\Headless Mode &amp; Sideloading\WalkAndUnGZ.bat" "%USERPROFILE%\AppData\Local\Temp\OnboardLogs"\RTDC4003\2017-03-23</v>
      </c>
      <c r="AF116" s="82" t="str">
        <f t="shared" si="37"/>
        <v>"C:\Program Files (x86)\AstroGrep\AstroGrep.exe" /e /r /s /spath="%USERPROFILE%\AppData\Local\Temp\OnboardLogs" /stypes="app*4003*20170322*" /stext=" 22:.+((SYSTEM_STATE.+slice.+state.+changed )|(ment ac)|(multiple cpu faults)|(system.+state.+changed )|(\[timeout)|(PRM\|1\|D)|(kpr)|(kdp)|(\|lc)|(penalty))"</v>
      </c>
      <c r="AG116" s="1" t="str">
        <f t="shared" si="38"/>
        <v>EC</v>
      </c>
      <c r="AH116" s="86" t="str">
        <f t="shared" si="39"/>
        <v>"%USERPROFILE%\Documents\GitHub\eaglep3\Utilities\RefineRTDCRunTimes.py" --tripid 199-22 --locoid 4003 --swversion DE.1.0.9.0 --startMP 204:467 --initTime 2017-03-22T15:55:48 --startdatetime 2017-03-22T16:00:22 --delay 1 --endMP 204:233397 --enddatetime 2017-03-22T16:38:35 --enforcementcount 2 &gt;&gt;C:\Users\stu\Documents\GitHub\eaglep3-reporting\EC\2017-03-22-refined-times.txt</v>
      </c>
      <c r="AI116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{"issue":{"subject":"","project_id":79,"tracker_id":40,"status_id":1,"priority_id":2,"assigned_to_id":23,"start_date":"2017-03-22","description":"","custom_fields":[{"id":1,"name":"Subdivision","value":"EC"},{"id":4,"name":"Milepost","value":"23.3397"},{"id":17,"name":"Train ID","value":"199-22"},{"id":16,"name":"Locomotive ID","value":"4003"},{"id":130,"name":"Impact","value":""},{"id":150,"name":"Time of Event (Mountain Time)","value":"16:38:35"},{"id":151,"name":"Denver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41"/>
        <v>start /low /b %USERPROFILE%\Documents\GitHub\eaglep3\Utilities\DownloadLogsFromS3.py --loco 4003 --day 2017-03-22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"%USERPROFILE%\AppData\Local\Temp\OnboardLogs"\RTDC4003\*4003*20170322* | grep -SE "(Enforcement Action)|(\[TIMEOUT)|(CHR.+\|PRM\|1\|D.+(SWITCH|SIGNAL).+UNKNOWN)" - &gt;&gt; 2017-03-22-UncaughtWiMAX.txt</v>
      </c>
    </row>
    <row r="117" spans="1:91" s="20" customFormat="1" x14ac:dyDescent="0.25">
      <c r="A117" s="33" t="s">
        <v>633</v>
      </c>
      <c r="B117" s="7">
        <v>4004</v>
      </c>
      <c r="C117" s="21" t="s">
        <v>219</v>
      </c>
      <c r="D117" s="21" t="s">
        <v>912</v>
      </c>
      <c r="E117" s="13">
        <v>42816.696134259262</v>
      </c>
      <c r="F117" s="13">
        <v>42816.705914351849</v>
      </c>
      <c r="G117" s="7">
        <v>3</v>
      </c>
      <c r="H117" s="21" t="s">
        <v>205</v>
      </c>
      <c r="I117" s="13">
        <v>42816.734490740739</v>
      </c>
      <c r="J117" s="7">
        <v>2</v>
      </c>
      <c r="K117" s="98" t="str">
        <f t="shared" si="26"/>
        <v>4003/4004</v>
      </c>
      <c r="L117" s="21" t="str">
        <f>VLOOKUP(A117,'Trips&amp;Operators'!$C$1:$G$99999,5,FALSE)</f>
        <v>STRICKLAND EVAN</v>
      </c>
      <c r="M117" s="6">
        <f t="shared" si="27"/>
        <v>2.8576388889632653E-2</v>
      </c>
      <c r="N117" s="7">
        <f t="shared" si="47"/>
        <v>41.150000001071021</v>
      </c>
      <c r="O117" s="7"/>
      <c r="P117" s="7"/>
      <c r="Q117" s="22"/>
      <c r="R117" s="22"/>
      <c r="S117" s="31">
        <f t="shared" si="48"/>
        <v>1</v>
      </c>
      <c r="T117" s="46" t="str">
        <f t="shared" si="28"/>
        <v>Southbound</v>
      </c>
      <c r="U117" s="18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6" t="str">
        <f t="shared" si="29"/>
        <v>https://d0f6bd738d7f1b3e5a7ca70fe4ff75f0.us-east-1.aws.found.io/app/kibana#/discover/Steve-Slow-Train-Analysis-(2080s-and-2083s)?_g=(refreshInterval:(display:Off,pause:!f,section:0,value:0),time:(from:'2017-03-22T15:42:26-0600',mode:absolute,to:'2017-03-22T18:37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7" s="187" t="str">
        <f t="shared" si="30"/>
        <v>N</v>
      </c>
      <c r="X117" s="187">
        <f t="shared" si="46"/>
        <v>1</v>
      </c>
      <c r="Y117" s="62">
        <f t="shared" si="32"/>
        <v>23.309000000000001</v>
      </c>
      <c r="Z117" s="62">
        <f t="shared" si="33"/>
        <v>1.54E-2</v>
      </c>
      <c r="AA117" s="62">
        <f t="shared" si="34"/>
        <v>23.293600000000001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5"/>
        <v>0200-22</v>
      </c>
      <c r="AE117" s="85" t="str">
        <f t="shared" si="36"/>
        <v>aws s3 cp s3://rtdc.mdm.uploadarchive.raw/RTDC4004/ "%USERPROFILE%\AppData\Local\Temp\OnboardLogs"\RTDC4004\2017-03-22 --exclude "*" --recursive --include "*20170322*" &amp; "%USERPROFILE%\Documents\GitHub\mrs-test-scripts\Headless Mode &amp; Sideloading\WalkAndUnGZ.bat" "%USERPROFILE%\AppData\Local\Temp\OnboardLogs"\RTDC4004\2017-03-22 &amp; aws s3 cp s3://rtdc.mdm.uploadarchive.raw/RTDC4004/ "%USERPROFILE%\AppData\Local\Temp\OnboardLogs"\RTDC4004\2017-03-23 --exclude "*" --recursive --include "*20170323*" &amp; "%USERPROFILE%\Documents\GitHub\mrs-test-scripts\Headless Mode &amp; Sideloading\WalkAndUnGZ.bat" "%USERPROFILE%\AppData\Local\Temp\OnboardLogs"\RTDC4004\2017-03-23</v>
      </c>
      <c r="AF117" s="82" t="str">
        <f t="shared" si="37"/>
        <v>"C:\Program Files (x86)\AstroGrep\AstroGrep.exe" /e /r /s /spath="%USERPROFILE%\AppData\Local\Temp\OnboardLogs" /stypes="app*4004*20170322*" /stext=" 23:.+((SYSTEM_STATE.+slice.+state.+changed )|(ment ac)|(multiple cpu faults)|(system.+state.+changed )|(\[timeout)|(PRM\|1\|D)|(kpr)|(kdp)|(\|lc)|(penalty))"</v>
      </c>
      <c r="AG117" s="1" t="str">
        <f t="shared" si="38"/>
        <v>EC</v>
      </c>
      <c r="AH117" s="86" t="str">
        <f t="shared" si="39"/>
        <v>"%USERPROFILE%\Documents\GitHub\eaglep3\Utilities\RefineRTDCRunTimes.py" --tripid 200-22 --locoid 4004 --swversion DE.1.0.9.0 --startMP 204:233090 --initTime 2017-03-22T16:42:26 --startdatetime 2017-03-22T16:56:31 --delay 3 --endMP 204:154 --enddatetime 2017-03-22T17:37:40 --enforcementcount 2 &gt;&gt;C:\Users\stu\Documents\GitHub\eaglep3-reporting\EC\2017-03-22-refined-times.txt</v>
      </c>
      <c r="AI117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{"issue":{"subject":"","project_id":79,"tracker_id":40,"status_id":1,"priority_id":2,"assigned_to_id":23,"start_date":"2017-03-22","description":"","custom_fields":[{"id":1,"name":"Subdivision","value":"EC"},{"id":4,"name":"Milepost","value":"0.0154"},{"id":17,"name":"Train ID","value":"200-22"},{"id":16,"name":"Locomotive ID","value":"4004"},{"id":130,"name":"Impact","value":""},{"id":150,"name":"Time of Event (Mountain Time)","value":"17:37:40"},{"id":151,"name":"Denver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41"/>
        <v>start /low /b %USERPROFILE%\Documents\GitHub\eaglep3\Utilities\DownloadLogsFromS3.py --loco 4004 --day 2017-03-22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"%USERPROFILE%\AppData\Local\Temp\OnboardLogs"\RTDC4004\*4004*20170322* | grep -SE "(Enforcement Action)|(\[TIMEOUT)|(CHR.+\|PRM\|1\|D.+(SWITCH|SIGNAL).+UNKNOWN)" - &gt;&gt; 2017-03-22-UncaughtWiMAX.txt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772</v>
      </c>
      <c r="B118" s="7">
        <v>4027</v>
      </c>
      <c r="C118" s="21" t="s">
        <v>219</v>
      </c>
      <c r="D118" s="21" t="s">
        <v>878</v>
      </c>
      <c r="E118" s="13">
        <v>42816.673194444447</v>
      </c>
      <c r="F118" s="13">
        <v>42816.677245370367</v>
      </c>
      <c r="G118" s="7">
        <v>1</v>
      </c>
      <c r="H118" s="21" t="s">
        <v>856</v>
      </c>
      <c r="I118" s="13">
        <v>42816.703553240739</v>
      </c>
      <c r="J118" s="7">
        <v>2</v>
      </c>
      <c r="K118" s="98" t="str">
        <f t="shared" si="26"/>
        <v>4027/4028</v>
      </c>
      <c r="L118" s="21" t="str">
        <f>VLOOKUP(A118,'Trips&amp;Operators'!$C$1:$G$99999,5,FALSE)</f>
        <v>CLARK KATHLEEN</v>
      </c>
      <c r="M118" s="6">
        <f t="shared" si="27"/>
        <v>2.6307870371965691E-2</v>
      </c>
      <c r="N118" s="7">
        <f t="shared" si="47"/>
        <v>37.883333335630596</v>
      </c>
      <c r="O118" s="7"/>
      <c r="P118" s="7"/>
      <c r="Q118" s="22"/>
      <c r="R118" s="22"/>
      <c r="S118" s="31">
        <f t="shared" si="48"/>
        <v>1</v>
      </c>
      <c r="T118" s="46" t="str">
        <f t="shared" si="28"/>
        <v>NorthBound</v>
      </c>
      <c r="U118" s="18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6" t="str">
        <f t="shared" si="29"/>
        <v>https://d0f6bd738d7f1b3e5a7ca70fe4ff75f0.us-east-1.aws.found.io/app/kibana#/discover/Steve-Slow-Train-Analysis-(2080s-and-2083s)?_g=(refreshInterval:(display:Off,pause:!f,section:0,value:0),time:(from:'2017-03-22T15:09:24-0600',mode:absolute,to:'2017-03-22T17:53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8" s="187" t="str">
        <f t="shared" si="30"/>
        <v>N</v>
      </c>
      <c r="X118" s="187">
        <f t="shared" si="46"/>
        <v>1</v>
      </c>
      <c r="Y118" s="62">
        <f t="shared" si="32"/>
        <v>5.1999999999999998E-2</v>
      </c>
      <c r="Z118" s="62">
        <f t="shared" si="33"/>
        <v>23.329499999999999</v>
      </c>
      <c r="AA118" s="62">
        <f t="shared" si="34"/>
        <v>23.2775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5"/>
        <v>0201-22</v>
      </c>
      <c r="AE118" s="85" t="str">
        <f t="shared" si="36"/>
        <v>aws s3 cp s3://rtdc.mdm.uploadarchive.raw/RTDC4027/ "%USERPROFILE%\AppData\Local\Temp\OnboardLogs"\RTDC4027\2017-03-22 --exclude "*" --recursive --include "*20170322*" &amp; "%USERPROFILE%\Documents\GitHub\mrs-test-scripts\Headless Mode &amp; Sideloading\WalkAndUnGZ.bat" "%USERPROFILE%\AppData\Local\Temp\OnboardLogs"\RTDC4027\2017-03-22 &amp; aws s3 cp s3://rtdc.mdm.uploadarchive.raw/RTDC4027/ "%USERPROFILE%\AppData\Local\Temp\OnboardLogs"\RTDC4027\2017-03-23 --exclude "*" --recursive --include "*20170323*" &amp; "%USERPROFILE%\Documents\GitHub\mrs-test-scripts\Headless Mode &amp; Sideloading\WalkAndUnGZ.bat" "%USERPROFILE%\AppData\Local\Temp\OnboardLogs"\RTDC4027\2017-03-23</v>
      </c>
      <c r="AF118" s="82" t="str">
        <f t="shared" si="37"/>
        <v>"C:\Program Files (x86)\AstroGrep\AstroGrep.exe" /e /r /s /spath="%USERPROFILE%\AppData\Local\Temp\OnboardLogs" /stypes="app*4027*20170322*" /stext=" 22:.+((SYSTEM_STATE.+slice.+state.+changed )|(ment ac)|(multiple cpu faults)|(system.+state.+changed )|(\[timeout)|(PRM\|1\|D)|(kpr)|(kdp)|(\|lc)|(penalty))"</v>
      </c>
      <c r="AG118" s="1" t="str">
        <f t="shared" si="38"/>
        <v>EC</v>
      </c>
      <c r="AH118" s="86" t="str">
        <f t="shared" si="39"/>
        <v>"%USERPROFILE%\Documents\GitHub\eaglep3\Utilities\RefineRTDCRunTimes.py" --tripid 201-22 --locoid 4027 --swversion DE.1.0.9.0 --startMP 204:520 --initTime 2017-03-22T16:09:24 --startdatetime 2017-03-22T16:15:14 --delay 1 --endMP 204:233295 --enddatetime 2017-03-22T16:53:07 --enforcementcount 2 &gt;&gt;C:\Users\stu\Documents\GitHub\eaglep3-reporting\EC\2017-03-22-refined-times.txt</v>
      </c>
      <c r="AI118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{"issue":{"subject":"","project_id":79,"tracker_id":40,"status_id":1,"priority_id":2,"assigned_to_id":23,"start_date":"2017-03-22","description":"","custom_fields":[{"id":1,"name":"Subdivision","value":"EC"},{"id":4,"name":"Milepost","value":"23.3295"},{"id":17,"name":"Train ID","value":"201-22"},{"id":16,"name":"Locomotive ID","value":"4027"},{"id":130,"name":"Impact","value":""},{"id":150,"name":"Time of Event (Mountain Time)","value":"16:53:07"},{"id":151,"name":"Denver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41"/>
        <v>start /low /b %USERPROFILE%\Documents\GitHub\eaglep3\Utilities\DownloadLogsFromS3.py --loco 4027 --day 2017-03-22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"%USERPROFILE%\AppData\Local\Temp\OnboardLogs"\RTDC4027\*4027*20170322* | grep -SE "(Enforcement Action)|(\[TIMEOUT)|(CHR.+\|PRM\|1\|D.+(SWITCH|SIGNAL).+UNKNOWN)" - &gt;&gt; 2017-03-22-UncaughtWiMAX.txt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778</v>
      </c>
      <c r="B119" s="7">
        <v>4028</v>
      </c>
      <c r="C119" s="21" t="s">
        <v>219</v>
      </c>
      <c r="D119" s="21" t="s">
        <v>913</v>
      </c>
      <c r="E119" s="13">
        <v>42816.711875000001</v>
      </c>
      <c r="F119" s="13">
        <v>42816.716145833336</v>
      </c>
      <c r="G119" s="7">
        <v>1</v>
      </c>
      <c r="H119" s="21" t="s">
        <v>214</v>
      </c>
      <c r="I119" s="13">
        <v>42816.745555555557</v>
      </c>
      <c r="J119" s="7">
        <v>2</v>
      </c>
      <c r="K119" s="98" t="str">
        <f t="shared" si="26"/>
        <v>4027/4028</v>
      </c>
      <c r="L119" s="21" t="str">
        <f>VLOOKUP(A119,'Trips&amp;Operators'!$C$1:$G$99999,5,FALSE)</f>
        <v>CLARK KATHLEEN</v>
      </c>
      <c r="M119" s="6">
        <f t="shared" si="27"/>
        <v>2.940972222131677E-2</v>
      </c>
      <c r="N119" s="7">
        <f t="shared" si="47"/>
        <v>42.349999998696148</v>
      </c>
      <c r="O119" s="7"/>
      <c r="P119" s="7"/>
      <c r="Q119" s="22"/>
      <c r="R119" s="22"/>
      <c r="S119" s="31">
        <f t="shared" si="48"/>
        <v>1</v>
      </c>
      <c r="T119" s="46" t="str">
        <f t="shared" si="28"/>
        <v>Southbound</v>
      </c>
      <c r="U119" s="18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6" t="str">
        <f t="shared" si="29"/>
        <v>https://d0f6bd738d7f1b3e5a7ca70fe4ff75f0.us-east-1.aws.found.io/app/kibana#/discover/Steve-Slow-Train-Analysis-(2080s-and-2083s)?_g=(refreshInterval:(display:Off,pause:!f,section:0,value:0),time:(from:'2017-03-22T16:05:06-0600',mode:absolute,to:'2017-03-22T18:53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9" s="187" t="str">
        <f t="shared" si="30"/>
        <v>N</v>
      </c>
      <c r="X119" s="187">
        <f t="shared" si="46"/>
        <v>1</v>
      </c>
      <c r="Y119" s="62">
        <f t="shared" si="32"/>
        <v>23.2987</v>
      </c>
      <c r="Z119" s="62">
        <f t="shared" si="33"/>
        <v>1.5599999999999999E-2</v>
      </c>
      <c r="AA119" s="62">
        <f t="shared" si="34"/>
        <v>23.283100000000001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5"/>
        <v>0202-22</v>
      </c>
      <c r="AE119" s="85" t="str">
        <f t="shared" si="36"/>
        <v>aws s3 cp s3://rtdc.mdm.uploadarchive.raw/RTDC4028/ "%USERPROFILE%\AppData\Local\Temp\OnboardLogs"\RTDC4028\2017-03-22 --exclude "*" --recursive --include "*20170322*" &amp; "%USERPROFILE%\Documents\GitHub\mrs-test-scripts\Headless Mode &amp; Sideloading\WalkAndUnGZ.bat" "%USERPROFILE%\AppData\Local\Temp\OnboardLogs"\RTDC4028\2017-03-22 &amp; aws s3 cp s3://rtdc.mdm.uploadarchive.raw/RTDC4028/ "%USERPROFILE%\AppData\Local\Temp\OnboardLogs"\RTDC4028\2017-03-23 --exclude "*" --recursive --include "*20170323*" &amp; "%USERPROFILE%\Documents\GitHub\mrs-test-scripts\Headless Mode &amp; Sideloading\WalkAndUnGZ.bat" "%USERPROFILE%\AppData\Local\Temp\OnboardLogs"\RTDC4028\2017-03-23</v>
      </c>
      <c r="AF119" s="82" t="str">
        <f t="shared" si="37"/>
        <v>"C:\Program Files (x86)\AstroGrep\AstroGrep.exe" /e /r /s /spath="%USERPROFILE%\AppData\Local\Temp\OnboardLogs" /stypes="app*4028*20170322*" /stext=" 23:.+((SYSTEM_STATE.+slice.+state.+changed )|(ment ac)|(multiple cpu faults)|(system.+state.+changed )|(\[timeout)|(PRM\|1\|D)|(kpr)|(kdp)|(\|lc)|(penalty))"</v>
      </c>
      <c r="AG119" s="1" t="str">
        <f t="shared" si="38"/>
        <v>EC</v>
      </c>
      <c r="AH119" s="86" t="str">
        <f t="shared" si="39"/>
        <v>"%USERPROFILE%\Documents\GitHub\eaglep3\Utilities\RefineRTDCRunTimes.py" --tripid 202-22 --locoid 4028 --swversion DE.1.0.9.0 --startMP 204:232987 --initTime 2017-03-22T17:05:06 --startdatetime 2017-03-22T17:11:15 --delay 1 --endMP 204:156 --enddatetime 2017-03-22T17:53:36 --enforcementcount 2 &gt;&gt;C:\Users\stu\Documents\GitHub\eaglep3-reporting\EC\2017-03-22-refined-times.txt</v>
      </c>
      <c r="AI119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{"issue":{"subject":"","project_id":79,"tracker_id":40,"status_id":1,"priority_id":2,"assigned_to_id":23,"start_date":"2017-03-22","description":"","custom_fields":[{"id":1,"name":"Subdivision","value":"EC"},{"id":4,"name":"Milepost","value":"0.0156"},{"id":17,"name":"Train ID","value":"202-22"},{"id":16,"name":"Locomotive ID","value":"4028"},{"id":130,"name":"Impact","value":""},{"id":150,"name":"Time of Event (Mountain Time)","value":"17:53:36"},{"id":151,"name":"Denver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41"/>
        <v>start /low /b %USERPROFILE%\Documents\GitHub\eaglep3\Utilities\DownloadLogsFromS3.py --loco 4028 --day 2017-03-22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"%USERPROFILE%\AppData\Local\Temp\OnboardLogs"\RTDC4028\*4028*20170322* | grep -SE "(Enforcement Action)|(\[TIMEOUT)|(CHR.+\|PRM\|1\|D.+(SWITCH|SIGNAL).+UNKNOWN)" - &gt;&gt; 2017-03-22-UncaughtWiMAX.txt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629</v>
      </c>
      <c r="B120" s="7">
        <v>4040</v>
      </c>
      <c r="C120" s="21" t="s">
        <v>219</v>
      </c>
      <c r="D120" s="21" t="s">
        <v>886</v>
      </c>
      <c r="E120" s="13">
        <v>42816.683182870373</v>
      </c>
      <c r="F120" s="13">
        <v>42816.687719907408</v>
      </c>
      <c r="G120" s="7">
        <v>2</v>
      </c>
      <c r="H120" s="21" t="s">
        <v>572</v>
      </c>
      <c r="I120" s="13">
        <v>42816.714768518519</v>
      </c>
      <c r="J120" s="7">
        <v>2</v>
      </c>
      <c r="K120" s="98" t="str">
        <f t="shared" si="26"/>
        <v>4039/4040</v>
      </c>
      <c r="L120" s="21" t="str">
        <f>VLOOKUP(A120,'Trips&amp;Operators'!$C$1:$G$99999,5,FALSE)</f>
        <v>DAVIS MICHAEL</v>
      </c>
      <c r="M120" s="6">
        <f t="shared" si="27"/>
        <v>2.7048611111240461E-2</v>
      </c>
      <c r="N120" s="7">
        <f t="shared" si="47"/>
        <v>38.950000000186265</v>
      </c>
      <c r="O120" s="7"/>
      <c r="P120" s="7"/>
      <c r="Q120" s="22"/>
      <c r="R120" s="22"/>
      <c r="S120" s="31">
        <f t="shared" si="48"/>
        <v>1</v>
      </c>
      <c r="T120" s="46" t="str">
        <f t="shared" si="28"/>
        <v>NorthBound</v>
      </c>
      <c r="U120" s="18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6" t="str">
        <f t="shared" si="29"/>
        <v>https://d0f6bd738d7f1b3e5a7ca70fe4ff75f0.us-east-1.aws.found.io/app/kibana#/discover/Steve-Slow-Train-Analysis-(2080s-and-2083s)?_g=(refreshInterval:(display:Off,pause:!f,section:0,value:0),time:(from:'2017-03-22T15:23:47-0600',mode:absolute,to:'2017-03-22T18:09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0" s="187" t="str">
        <f t="shared" si="30"/>
        <v>N</v>
      </c>
      <c r="X120" s="187">
        <f t="shared" si="46"/>
        <v>1</v>
      </c>
      <c r="Y120" s="62">
        <f t="shared" si="32"/>
        <v>4.3299999999999998E-2</v>
      </c>
      <c r="Z120" s="62">
        <f t="shared" si="33"/>
        <v>23.326599999999999</v>
      </c>
      <c r="AA120" s="62">
        <f t="shared" si="34"/>
        <v>23.283300000000001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5"/>
        <v>0203-22</v>
      </c>
      <c r="AE120" s="85" t="str">
        <f t="shared" si="36"/>
        <v>aws s3 cp s3://rtdc.mdm.uploadarchive.raw/RTDC4040/ "%USERPROFILE%\AppData\Local\Temp\OnboardLogs"\RTDC4040\2017-03-22 --exclude "*" --recursive --include "*20170322*" &amp; "%USERPROFILE%\Documents\GitHub\mrs-test-scripts\Headless Mode &amp; Sideloading\WalkAndUnGZ.bat" "%USERPROFILE%\AppData\Local\Temp\OnboardLogs"\RTDC4040\2017-03-22 &amp; aws s3 cp s3://rtdc.mdm.uploadarchive.raw/RTDC4040/ "%USERPROFILE%\AppData\Local\Temp\OnboardLogs"\RTDC4040\2017-03-23 --exclude "*" --recursive --include "*20170323*" &amp; "%USERPROFILE%\Documents\GitHub\mrs-test-scripts\Headless Mode &amp; Sideloading\WalkAndUnGZ.bat" "%USERPROFILE%\AppData\Local\Temp\OnboardLogs"\RTDC4040\2017-03-23</v>
      </c>
      <c r="AF120" s="82" t="str">
        <f t="shared" si="37"/>
        <v>"C:\Program Files (x86)\AstroGrep\AstroGrep.exe" /e /r /s /spath="%USERPROFILE%\AppData\Local\Temp\OnboardLogs" /stypes="app*4040*20170322*" /stext=" 23:.+((SYSTEM_STATE.+slice.+state.+changed )|(ment ac)|(multiple cpu faults)|(system.+state.+changed )|(\[timeout)|(PRM\|1\|D)|(kpr)|(kdp)|(\|lc)|(penalty))"</v>
      </c>
      <c r="AG120" s="1" t="str">
        <f t="shared" si="38"/>
        <v>EC</v>
      </c>
      <c r="AH120" s="86" t="str">
        <f t="shared" si="39"/>
        <v>"%USERPROFILE%\Documents\GitHub\eaglep3\Utilities\RefineRTDCRunTimes.py" --tripid 203-22 --locoid 4040 --swversion DE.1.0.9.0 --startMP 204:433 --initTime 2017-03-22T16:23:47 --startdatetime 2017-03-22T16:30:19 --delay 2 --endMP 204:233266 --enddatetime 2017-03-22T17:09:16 --enforcementcount 2 &gt;&gt;C:\Users\stu\Documents\GitHub\eaglep3-reporting\EC\2017-03-22-refined-times.txt</v>
      </c>
      <c r="AI120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{"issue":{"subject":"","project_id":79,"tracker_id":40,"status_id":1,"priority_id":2,"assigned_to_id":23,"start_date":"2017-03-22","description":"","custom_fields":[{"id":1,"name":"Subdivision","value":"EC"},{"id":4,"name":"Milepost","value":"23.3266"},{"id":17,"name":"Train ID","value":"203-22"},{"id":16,"name":"Locomotive ID","value":"4040"},{"id":130,"name":"Impact","value":""},{"id":150,"name":"Time of Event (Mountain Time)","value":"17:09:16"},{"id":151,"name":"Denver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41"/>
        <v>start /low /b %USERPROFILE%\Documents\GitHub\eaglep3\Utilities\DownloadLogsFromS3.py --loco 4040 --day 2017-03-22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"%USERPROFILE%\AppData\Local\Temp\OnboardLogs"\RTDC4040\*4040*20170322* | grep -SE "(Enforcement Action)|(\[TIMEOUT)|(CHR.+\|PRM\|1\|D.+(SWITCH|SIGNAL).+UNKNOWN)" - &gt;&gt; 2017-03-22-UncaughtWiMAX.txt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782</v>
      </c>
      <c r="B121" s="7">
        <v>4039</v>
      </c>
      <c r="C121" s="21" t="s">
        <v>219</v>
      </c>
      <c r="D121" s="21" t="s">
        <v>914</v>
      </c>
      <c r="E121" s="13">
        <v>42816.725740740738</v>
      </c>
      <c r="F121" s="13">
        <v>42816.728321759256</v>
      </c>
      <c r="G121" s="7">
        <v>1</v>
      </c>
      <c r="H121" s="21" t="s">
        <v>191</v>
      </c>
      <c r="I121" s="13">
        <v>42816.756099537037</v>
      </c>
      <c r="J121" s="7">
        <v>2</v>
      </c>
      <c r="K121" s="98" t="str">
        <f t="shared" si="26"/>
        <v>4039/4040</v>
      </c>
      <c r="L121" s="21" t="str">
        <f>VLOOKUP(A121,'Trips&amp;Operators'!$C$1:$G$99999,5,FALSE)</f>
        <v>DAVIS MICHAEL</v>
      </c>
      <c r="M121" s="6">
        <f t="shared" si="27"/>
        <v>2.7777777781011537E-2</v>
      </c>
      <c r="N121" s="7">
        <f t="shared" si="47"/>
        <v>40.000000004656613</v>
      </c>
      <c r="O121" s="7"/>
      <c r="P121" s="7"/>
      <c r="Q121" s="22"/>
      <c r="R121" s="22"/>
      <c r="S121" s="31">
        <f t="shared" si="48"/>
        <v>1</v>
      </c>
      <c r="T121" s="46" t="str">
        <f t="shared" si="28"/>
        <v>Southbound</v>
      </c>
      <c r="U121" s="18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6" t="str">
        <f t="shared" si="29"/>
        <v>https://d0f6bd738d7f1b3e5a7ca70fe4ff75f0.us-east-1.aws.found.io/app/kibana#/discover/Steve-Slow-Train-Analysis-(2080s-and-2083s)?_g=(refreshInterval:(display:Off,pause:!f,section:0,value:0),time:(from:'2017-03-22T16:25:04-0600',mode:absolute,to:'2017-03-22T19:08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1" s="187" t="str">
        <f t="shared" si="30"/>
        <v>N</v>
      </c>
      <c r="X121" s="187">
        <f t="shared" si="46"/>
        <v>1</v>
      </c>
      <c r="Y121" s="62">
        <f t="shared" si="32"/>
        <v>23.3001</v>
      </c>
      <c r="Z121" s="62">
        <f t="shared" si="33"/>
        <v>1.4999999999999999E-2</v>
      </c>
      <c r="AA121" s="62">
        <f t="shared" si="34"/>
        <v>23.2851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5"/>
        <v>0204-22</v>
      </c>
      <c r="AE121" s="85" t="str">
        <f t="shared" si="36"/>
        <v>aws s3 cp s3://rtdc.mdm.uploadarchive.raw/RTDC4039/ "%USERPROFILE%\AppData\Local\Temp\OnboardLogs"\RTDC4039\2017-03-22 --exclude "*" --recursive --include "*20170322*" &amp; "%USERPROFILE%\Documents\GitHub\mrs-test-scripts\Headless Mode &amp; Sideloading\WalkAndUnGZ.bat" "%USERPROFILE%\AppData\Local\Temp\OnboardLogs"\RTDC4039\2017-03-22 &amp; aws s3 cp s3://rtdc.mdm.uploadarchive.raw/RTDC4039/ "%USERPROFILE%\AppData\Local\Temp\OnboardLogs"\RTDC4039\2017-03-23 --exclude "*" --recursive --include "*20170323*" &amp; "%USERPROFILE%\Documents\GitHub\mrs-test-scripts\Headless Mode &amp; Sideloading\WalkAndUnGZ.bat" "%USERPROFILE%\AppData\Local\Temp\OnboardLogs"\RTDC4039\2017-03-23</v>
      </c>
      <c r="AF121" s="82" t="str">
        <f t="shared" si="37"/>
        <v>"C:\Program Files (x86)\AstroGrep\AstroGrep.exe" /e /r /s /spath="%USERPROFILE%\AppData\Local\Temp\OnboardLogs" /stypes="app*4039*20170323*" /stext=" 00:.+((SYSTEM_STATE.+slice.+state.+changed )|(ment ac)|(multiple cpu faults)|(system.+state.+changed )|(\[timeout)|(PRM\|1\|D)|(kpr)|(kdp)|(\|lc)|(penalty))"</v>
      </c>
      <c r="AG121" s="1" t="str">
        <f t="shared" si="38"/>
        <v>EC</v>
      </c>
      <c r="AH121" s="86" t="str">
        <f t="shared" si="39"/>
        <v>"%USERPROFILE%\Documents\GitHub\eaglep3\Utilities\RefineRTDCRunTimes.py" --tripid 204-22 --locoid 4039 --swversion DE.1.0.9.0 --startMP 204:233001 --initTime 2017-03-22T17:25:04 --startdatetime 2017-03-22T17:28:47 --delay 1 --endMP 204:150 --enddatetime 2017-03-22T18:08:47 --enforcementcount 2 &gt;&gt;C:\Users\stu\Documents\GitHub\eaglep3-reporting\EC\2017-03-22-refined-times.txt</v>
      </c>
      <c r="AI121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{"issue":{"subject":"","project_id":79,"tracker_id":40,"status_id":1,"priority_id":2,"assigned_to_id":23,"start_date":"2017-03-22","description":"","custom_fields":[{"id":1,"name":"Subdivision","value":"EC"},{"id":4,"name":"Milepost","value":"0.015"},{"id":17,"name":"Train ID","value":"204-22"},{"id":16,"name":"Locomotive ID","value":"4039"},{"id":130,"name":"Impact","value":""},{"id":150,"name":"Time of Event (Mountain Time)","value":"18:08:47"},{"id":151,"name":"Denver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41"/>
        <v>start /low /b %USERPROFILE%\Documents\GitHub\eaglep3\Utilities\DownloadLogsFromS3.py --loco 4039 --day 2017-03-22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"%USERPROFILE%\AppData\Local\Temp\OnboardLogs"\RTDC4039\*4039*20170322* | grep -SE "(Enforcement Action)|(\[TIMEOUT)|(CHR.+\|PRM\|1\|D.+(SWITCH|SIGNAL).+UNKNOWN)" - &gt;&gt; 2017-03-22-UncaughtWiMAX.txt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775</v>
      </c>
      <c r="B122" s="7">
        <v>4046</v>
      </c>
      <c r="C122" s="21" t="s">
        <v>219</v>
      </c>
      <c r="D122" s="21" t="s">
        <v>213</v>
      </c>
      <c r="E122" s="13">
        <v>42816.693506944444</v>
      </c>
      <c r="F122" s="13">
        <v>42816.698263888888</v>
      </c>
      <c r="G122" s="7">
        <v>1</v>
      </c>
      <c r="H122" s="21" t="s">
        <v>562</v>
      </c>
      <c r="I122" s="13">
        <v>42816.725289351853</v>
      </c>
      <c r="J122" s="7">
        <v>2</v>
      </c>
      <c r="K122" s="98" t="str">
        <f t="shared" si="26"/>
        <v>4045/4046</v>
      </c>
      <c r="L122" s="21" t="str">
        <f>VLOOKUP(A122,'Trips&amp;Operators'!$C$1:$G$99999,5,FALSE)</f>
        <v>MENGES BRAD</v>
      </c>
      <c r="M122" s="6">
        <f t="shared" si="27"/>
        <v>2.7025462964957114E-2</v>
      </c>
      <c r="N122" s="7">
        <f t="shared" si="47"/>
        <v>38.916666669538245</v>
      </c>
      <c r="O122" s="7"/>
      <c r="P122" s="7"/>
      <c r="Q122" s="22"/>
      <c r="R122" s="22"/>
      <c r="S122" s="31">
        <f t="shared" si="48"/>
        <v>1</v>
      </c>
      <c r="T122" s="46" t="str">
        <f t="shared" si="28"/>
        <v>NorthBound</v>
      </c>
      <c r="U122" s="18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6" t="str">
        <f t="shared" si="29"/>
        <v>https://d0f6bd738d7f1b3e5a7ca70fe4ff75f0.us-east-1.aws.found.io/app/kibana#/discover/Steve-Slow-Train-Analysis-(2080s-and-2083s)?_g=(refreshInterval:(display:Off,pause:!f,section:0,value:0),time:(from:'2017-03-22T15:38:39-0600',mode:absolute,to:'2017-03-22T18:24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2" s="187" t="str">
        <f t="shared" si="30"/>
        <v>N</v>
      </c>
      <c r="X122" s="187">
        <f t="shared" si="46"/>
        <v>1</v>
      </c>
      <c r="Y122" s="62">
        <f t="shared" si="32"/>
        <v>4.5499999999999999E-2</v>
      </c>
      <c r="Z122" s="62">
        <f t="shared" si="33"/>
        <v>23.329799999999999</v>
      </c>
      <c r="AA122" s="62">
        <f t="shared" si="34"/>
        <v>23.284299999999998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5"/>
        <v>0205-22</v>
      </c>
      <c r="AE122" s="85" t="str">
        <f t="shared" si="36"/>
        <v>aws s3 cp s3://rtdc.mdm.uploadarchive.raw/RTDC4046/ "%USERPROFILE%\AppData\Local\Temp\OnboardLogs"\RTDC4046\2017-03-22 --exclude "*" --recursive --include "*20170322*" &amp; "%USERPROFILE%\Documents\GitHub\mrs-test-scripts\Headless Mode &amp; Sideloading\WalkAndUnGZ.bat" "%USERPROFILE%\AppData\Local\Temp\OnboardLogs"\RTDC4046\2017-03-22 &amp; aws s3 cp s3://rtdc.mdm.uploadarchive.raw/RTDC4046/ "%USERPROFILE%\AppData\Local\Temp\OnboardLogs"\RTDC4046\2017-03-23 --exclude "*" --recursive --include "*20170323*" &amp; "%USERPROFILE%\Documents\GitHub\mrs-test-scripts\Headless Mode &amp; Sideloading\WalkAndUnGZ.bat" "%USERPROFILE%\AppData\Local\Temp\OnboardLogs"\RTDC4046\2017-03-23</v>
      </c>
      <c r="AF122" s="82" t="str">
        <f t="shared" si="37"/>
        <v>"C:\Program Files (x86)\AstroGrep\AstroGrep.exe" /e /r /s /spath="%USERPROFILE%\AppData\Local\Temp\OnboardLogs" /stypes="app*4046*20170322*" /stext=" 23:.+((SYSTEM_STATE.+slice.+state.+changed )|(ment ac)|(multiple cpu faults)|(system.+state.+changed )|(\[timeout)|(PRM\|1\|D)|(kpr)|(kdp)|(\|lc)|(penalty))"</v>
      </c>
      <c r="AG122" s="1" t="str">
        <f t="shared" si="38"/>
        <v>EC</v>
      </c>
      <c r="AH122" s="86" t="str">
        <f t="shared" si="39"/>
        <v>"%USERPROFILE%\Documents\GitHub\eaglep3\Utilities\RefineRTDCRunTimes.py" --tripid 205-22 --locoid 4046 --swversion DE.1.0.9.0 --startMP 204:455 --initTime 2017-03-22T16:38:39 --startdatetime 2017-03-22T16:45:30 --delay 1 --endMP 204:233298 --enddatetime 2017-03-22T17:24:25 --enforcementcount 2 &gt;&gt;C:\Users\stu\Documents\GitHub\eaglep3-reporting\EC\2017-03-22-refined-times.txt</v>
      </c>
      <c r="AI122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{"issue":{"subject":"","project_id":79,"tracker_id":40,"status_id":1,"priority_id":2,"assigned_to_id":23,"start_date":"2017-03-22","description":"","custom_fields":[{"id":1,"name":"Subdivision","value":"EC"},{"id":4,"name":"Milepost","value":"23.3298"},{"id":17,"name":"Train ID","value":"205-22"},{"id":16,"name":"Locomotive ID","value":"4046"},{"id":130,"name":"Impact","value":""},{"id":150,"name":"Time of Event (Mountain Time)","value":"17:24:25"},{"id":151,"name":"Denver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41"/>
        <v>start /low /b %USERPROFILE%\Documents\GitHub\eaglep3\Utilities\DownloadLogsFromS3.py --loco 4046 --day 2017-03-22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"%USERPROFILE%\AppData\Local\Temp\OnboardLogs"\RTDC4046\*4046*20170322* | grep -SE "(Enforcement Action)|(\[TIMEOUT)|(CHR.+\|PRM\|1\|D.+(SWITCH|SIGNAL).+UNKNOWN)" - &gt;&gt; 2017-03-22-UncaughtWiMAX.txt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784</v>
      </c>
      <c r="B123" s="7">
        <v>4045</v>
      </c>
      <c r="C123" s="21" t="s">
        <v>219</v>
      </c>
      <c r="D123" s="21" t="s">
        <v>915</v>
      </c>
      <c r="E123" s="13">
        <v>42816.730451388888</v>
      </c>
      <c r="F123" s="13">
        <v>42816.737210648149</v>
      </c>
      <c r="G123" s="7">
        <v>1</v>
      </c>
      <c r="H123" s="21" t="s">
        <v>200</v>
      </c>
      <c r="I123" s="13">
        <v>42816.767083333332</v>
      </c>
      <c r="J123" s="7">
        <v>2</v>
      </c>
      <c r="K123" s="98" t="str">
        <f t="shared" si="26"/>
        <v>4045/4046</v>
      </c>
      <c r="L123" s="21" t="str">
        <f>VLOOKUP(A123,'Trips&amp;Operators'!$C$1:$G$99999,5,FALSE)</f>
        <v>MENGES BRAD</v>
      </c>
      <c r="M123" s="6">
        <f t="shared" si="27"/>
        <v>2.9872685183363501E-2</v>
      </c>
      <c r="N123" s="7">
        <f t="shared" si="47"/>
        <v>43.016666664043441</v>
      </c>
      <c r="O123" s="7"/>
      <c r="P123" s="7"/>
      <c r="Q123" s="22"/>
      <c r="R123" s="22"/>
      <c r="S123" s="31">
        <f t="shared" si="48"/>
        <v>1</v>
      </c>
      <c r="T123" s="46" t="str">
        <f t="shared" si="28"/>
        <v>Southbound</v>
      </c>
      <c r="U123" s="18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6" t="str">
        <f t="shared" si="29"/>
        <v>https://d0f6bd738d7f1b3e5a7ca70fe4ff75f0.us-east-1.aws.found.io/app/kibana#/discover/Steve-Slow-Train-Analysis-(2080s-and-2083s)?_g=(refreshInterval:(display:Off,pause:!f,section:0,value:0),time:(from:'2017-03-22T16:31:51-0600',mode:absolute,to:'2017-03-22T19:24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3" s="187" t="str">
        <f t="shared" si="30"/>
        <v>N</v>
      </c>
      <c r="X123" s="187">
        <f t="shared" si="46"/>
        <v>1</v>
      </c>
      <c r="Y123" s="62">
        <f t="shared" si="32"/>
        <v>23.2972</v>
      </c>
      <c r="Z123" s="62">
        <f t="shared" si="33"/>
        <v>1.5800000000000002E-2</v>
      </c>
      <c r="AA123" s="62">
        <f t="shared" si="34"/>
        <v>23.281400000000001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5"/>
        <v>0206-22</v>
      </c>
      <c r="AE123" s="85" t="str">
        <f t="shared" si="36"/>
        <v>aws s3 cp s3://rtdc.mdm.uploadarchive.raw/RTDC4045/ "%USERPROFILE%\AppData\Local\Temp\OnboardLogs"\RTDC4045\2017-03-22 --exclude "*" --recursive --include "*20170322*" &amp; "%USERPROFILE%\Documents\GitHub\mrs-test-scripts\Headless Mode &amp; Sideloading\WalkAndUnGZ.bat" "%USERPROFILE%\AppData\Local\Temp\OnboardLogs"\RTDC4045\2017-03-22 &amp; aws s3 cp s3://rtdc.mdm.uploadarchive.raw/RTDC4045/ "%USERPROFILE%\AppData\Local\Temp\OnboardLogs"\RTDC4045\2017-03-23 --exclude "*" --recursive --include "*20170323*" &amp; "%USERPROFILE%\Documents\GitHub\mrs-test-scripts\Headless Mode &amp; Sideloading\WalkAndUnGZ.bat" "%USERPROFILE%\AppData\Local\Temp\OnboardLogs"\RTDC4045\2017-03-23</v>
      </c>
      <c r="AF123" s="82" t="str">
        <f t="shared" si="37"/>
        <v>"C:\Program Files (x86)\AstroGrep\AstroGrep.exe" /e /r /s /spath="%USERPROFILE%\AppData\Local\Temp\OnboardLogs" /stypes="app*4045*20170323*" /stext=" 00:.+((SYSTEM_STATE.+slice.+state.+changed )|(ment ac)|(multiple cpu faults)|(system.+state.+changed )|(\[timeout)|(PRM\|1\|D)|(kpr)|(kdp)|(\|lc)|(penalty))"</v>
      </c>
      <c r="AG123" s="1" t="str">
        <f t="shared" si="38"/>
        <v>EC</v>
      </c>
      <c r="AH123" s="86" t="str">
        <f t="shared" si="39"/>
        <v>"%USERPROFILE%\Documents\GitHub\eaglep3\Utilities\RefineRTDCRunTimes.py" --tripid 206-22 --locoid 4045 --swversion DE.1.0.9.0 --startMP 204:232972 --initTime 2017-03-22T17:31:51 --startdatetime 2017-03-22T17:41:35 --delay 1 --endMP 204:158 --enddatetime 2017-03-22T18:24:36 --enforcementcount 2 &gt;&gt;C:\Users\stu\Documents\GitHub\eaglep3-reporting\EC\2017-03-22-refined-times.txt</v>
      </c>
      <c r="AI123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{"issue":{"subject":"","project_id":79,"tracker_id":40,"status_id":1,"priority_id":2,"assigned_to_id":23,"start_date":"2017-03-22","description":"","custom_fields":[{"id":1,"name":"Subdivision","value":"EC"},{"id":4,"name":"Milepost","value":"0.0158"},{"id":17,"name":"Train ID","value":"206-22"},{"id":16,"name":"Locomotive ID","value":"4045"},{"id":130,"name":"Impact","value":""},{"id":150,"name":"Time of Event (Mountain Time)","value":"18:24:36"},{"id":151,"name":"Denver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41"/>
        <v>start /low /b %USERPROFILE%\Documents\GitHub\eaglep3\Utilities\DownloadLogsFromS3.py --loco 4045 --day 2017-03-22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"%USERPROFILE%\AppData\Local\Temp\OnboardLogs"\RTDC4045\*4045*20170323* | grep -SE "(Enforcement Action)|(\[TIMEOUT)|(CHR.+\|PRM\|1\|D.+(SWITCH|SIGNAL).+UNKNOWN)" - &gt;&gt; 2017-03-22-UncaughtWiMAX.txt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776</v>
      </c>
      <c r="B124" s="7">
        <v>4042</v>
      </c>
      <c r="C124" s="21" t="s">
        <v>219</v>
      </c>
      <c r="D124" s="21" t="s">
        <v>209</v>
      </c>
      <c r="E124" s="13">
        <v>42816.704756944448</v>
      </c>
      <c r="F124" s="13">
        <v>42816.708692129629</v>
      </c>
      <c r="G124" s="7">
        <v>1</v>
      </c>
      <c r="H124" s="21" t="s">
        <v>551</v>
      </c>
      <c r="I124" s="13">
        <v>42816.734571759262</v>
      </c>
      <c r="J124" s="7">
        <v>2</v>
      </c>
      <c r="K124" s="98" t="str">
        <f t="shared" si="26"/>
        <v>4041/4042</v>
      </c>
      <c r="L124" s="21" t="str">
        <f>VLOOKUP(A124,'Trips&amp;Operators'!$C$1:$G$99999,5,FALSE)</f>
        <v>HELVIE ADAM</v>
      </c>
      <c r="M124" s="6">
        <f t="shared" si="27"/>
        <v>2.587962963298196E-2</v>
      </c>
      <c r="N124" s="7">
        <f t="shared" si="47"/>
        <v>37.266666671494022</v>
      </c>
      <c r="O124" s="7"/>
      <c r="P124" s="7"/>
      <c r="Q124" s="22"/>
      <c r="R124" s="22"/>
      <c r="S124" s="31">
        <f t="shared" si="48"/>
        <v>1</v>
      </c>
      <c r="T124" s="46" t="str">
        <f t="shared" si="28"/>
        <v>NorthBound</v>
      </c>
      <c r="U124" s="18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6" t="str">
        <f t="shared" si="29"/>
        <v>https://d0f6bd738d7f1b3e5a7ca70fe4ff75f0.us-east-1.aws.found.io/app/kibana#/discover/Steve-Slow-Train-Analysis-(2080s-and-2083s)?_g=(refreshInterval:(display:Off,pause:!f,section:0,value:0),time:(from:'2017-03-22T15:54:51-0600',mode:absolute,to:'2017-03-22T18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4" s="187" t="str">
        <f t="shared" si="30"/>
        <v>N</v>
      </c>
      <c r="X124" s="187">
        <f t="shared" si="46"/>
        <v>1</v>
      </c>
      <c r="Y124" s="62">
        <f t="shared" si="32"/>
        <v>4.5999999999999999E-2</v>
      </c>
      <c r="Z124" s="62">
        <f t="shared" si="33"/>
        <v>23.328900000000001</v>
      </c>
      <c r="AA124" s="62">
        <f t="shared" si="34"/>
        <v>23.282900000000001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5"/>
        <v>0207-22</v>
      </c>
      <c r="AE124" s="85" t="str">
        <f t="shared" si="36"/>
        <v>aws s3 cp s3://rtdc.mdm.uploadarchive.raw/RTDC4042/ "%USERPROFILE%\AppData\Local\Temp\OnboardLogs"\RTDC4042\2017-03-22 --exclude "*" --recursive --include "*20170322*" &amp; "%USERPROFILE%\Documents\GitHub\mrs-test-scripts\Headless Mode &amp; Sideloading\WalkAndUnGZ.bat" "%USERPROFILE%\AppData\Local\Temp\OnboardLogs"\RTDC4042\2017-03-22 &amp; aws s3 cp s3://rtdc.mdm.uploadarchive.raw/RTDC4042/ "%USERPROFILE%\AppData\Local\Temp\OnboardLogs"\RTDC4042\2017-03-23 --exclude "*" --recursive --include "*20170323*" &amp; "%USERPROFILE%\Documents\GitHub\mrs-test-scripts\Headless Mode &amp; Sideloading\WalkAndUnGZ.bat" "%USERPROFILE%\AppData\Local\Temp\OnboardLogs"\RTDC4042\2017-03-23</v>
      </c>
      <c r="AF124" s="82" t="str">
        <f t="shared" si="37"/>
        <v>"C:\Program Files (x86)\AstroGrep\AstroGrep.exe" /e /r /s /spath="%USERPROFILE%\AppData\Local\Temp\OnboardLogs" /stypes="app*4042*20170322*" /stext=" 23:.+((SYSTEM_STATE.+slice.+state.+changed )|(ment ac)|(multiple cpu faults)|(system.+state.+changed )|(\[timeout)|(PRM\|1\|D)|(kpr)|(kdp)|(\|lc)|(penalty))"</v>
      </c>
      <c r="AG124" s="1" t="str">
        <f t="shared" si="38"/>
        <v>EC</v>
      </c>
      <c r="AH124" s="86" t="str">
        <f t="shared" si="39"/>
        <v>"%USERPROFILE%\Documents\GitHub\eaglep3\Utilities\RefineRTDCRunTimes.py" --tripid 207-22 --locoid 4042 --swversion DE.1.0.9.0 --startMP 204:460 --initTime 2017-03-22T16:54:51 --startdatetime 2017-03-22T17:00:31 --delay 1 --endMP 204:233289 --enddatetime 2017-03-22T17:37:47 --enforcementcount 2 &gt;&gt;C:\Users\stu\Documents\GitHub\eaglep3-reporting\EC\2017-03-22-refined-times.txt</v>
      </c>
      <c r="AI124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{"issue":{"subject":"","project_id":79,"tracker_id":40,"status_id":1,"priority_id":2,"assigned_to_id":23,"start_date":"2017-03-22","description":"","custom_fields":[{"id":1,"name":"Subdivision","value":"EC"},{"id":4,"name":"Milepost","value":"23.3289"},{"id":17,"name":"Train ID","value":"207-22"},{"id":16,"name":"Locomotive ID","value":"4042"},{"id":130,"name":"Impact","value":""},{"id":150,"name":"Time of Event (Mountain Time)","value":"17:37:47"},{"id":151,"name":"Denver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41"/>
        <v>start /low /b %USERPROFILE%\Documents\GitHub\eaglep3\Utilities\DownloadLogsFromS3.py --loco 4042 --day 2017-03-22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"%USERPROFILE%\AppData\Local\Temp\OnboardLogs"\RTDC4042\*4042*20170322* | grep -SE "(Enforcement Action)|(\[TIMEOUT)|(CHR.+\|PRM\|1\|D.+(SWITCH|SIGNAL).+UNKNOWN)" - &gt;&gt; 2017-03-22-UncaughtWiMAX.txt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637</v>
      </c>
      <c r="B125" s="7">
        <v>4041</v>
      </c>
      <c r="C125" s="21" t="s">
        <v>219</v>
      </c>
      <c r="D125" s="21" t="s">
        <v>861</v>
      </c>
      <c r="E125" s="13">
        <v>42816.744837962964</v>
      </c>
      <c r="F125" s="13">
        <v>42816.747395833336</v>
      </c>
      <c r="G125" s="7">
        <v>1</v>
      </c>
      <c r="H125" s="21" t="s">
        <v>205</v>
      </c>
      <c r="I125" s="13">
        <v>42816.773692129631</v>
      </c>
      <c r="J125" s="7">
        <v>2</v>
      </c>
      <c r="K125" s="98" t="str">
        <f t="shared" si="26"/>
        <v>4041/4042</v>
      </c>
      <c r="L125" s="21" t="str">
        <f>VLOOKUP(A125,'Trips&amp;Operators'!$C$1:$G$99999,5,FALSE)</f>
        <v>HELVIE ADAM</v>
      </c>
      <c r="M125" s="6">
        <f t="shared" si="27"/>
        <v>2.6296296295186039E-2</v>
      </c>
      <c r="N125" s="7">
        <f t="shared" si="47"/>
        <v>37.866666665067896</v>
      </c>
      <c r="O125" s="7"/>
      <c r="P125" s="7"/>
      <c r="Q125" s="22"/>
      <c r="R125" s="22"/>
      <c r="S125" s="31">
        <f t="shared" si="48"/>
        <v>1</v>
      </c>
      <c r="T125" s="46" t="str">
        <f t="shared" si="28"/>
        <v>Southbound</v>
      </c>
      <c r="U125" s="18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6" t="str">
        <f t="shared" si="29"/>
        <v>https://d0f6bd738d7f1b3e5a7ca70fe4ff75f0.us-east-1.aws.found.io/app/kibana#/discover/Steve-Slow-Train-Analysis-(2080s-and-2083s)?_g=(refreshInterval:(display:Off,pause:!f,section:0,value:0),time:(from:'2017-03-22T16:52:34-0600',mode:absolute,to:'2017-03-22T19:34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5" s="187" t="str">
        <f t="shared" si="30"/>
        <v>N</v>
      </c>
      <c r="X125" s="187">
        <f t="shared" si="46"/>
        <v>1</v>
      </c>
      <c r="Y125" s="62">
        <f t="shared" si="32"/>
        <v>23.296700000000001</v>
      </c>
      <c r="Z125" s="62">
        <f t="shared" si="33"/>
        <v>1.54E-2</v>
      </c>
      <c r="AA125" s="62">
        <f t="shared" si="34"/>
        <v>23.281300000000002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5"/>
        <v>0208-22</v>
      </c>
      <c r="AE125" s="85" t="str">
        <f t="shared" si="36"/>
        <v>aws s3 cp s3://rtdc.mdm.uploadarchive.raw/RTDC4041/ "%USERPROFILE%\AppData\Local\Temp\OnboardLogs"\RTDC4041\2017-03-22 --exclude "*" --recursive --include "*20170322*" &amp; "%USERPROFILE%\Documents\GitHub\mrs-test-scripts\Headless Mode &amp; Sideloading\WalkAndUnGZ.bat" "%USERPROFILE%\AppData\Local\Temp\OnboardLogs"\RTDC4041\2017-03-22 &amp; aws s3 cp s3://rtdc.mdm.uploadarchive.raw/RTDC4041/ "%USERPROFILE%\AppData\Local\Temp\OnboardLogs"\RTDC4041\2017-03-23 --exclude "*" --recursive --include "*20170323*" &amp; "%USERPROFILE%\Documents\GitHub\mrs-test-scripts\Headless Mode &amp; Sideloading\WalkAndUnGZ.bat" "%USERPROFILE%\AppData\Local\Temp\OnboardLogs"\RTDC4041\2017-03-23</v>
      </c>
      <c r="AF125" s="82" t="str">
        <f t="shared" si="37"/>
        <v>"C:\Program Files (x86)\AstroGrep\AstroGrep.exe" /e /r /s /spath="%USERPROFILE%\AppData\Local\Temp\OnboardLogs" /stypes="app*4041*20170323*" /stext=" 00:.+((SYSTEM_STATE.+slice.+state.+changed )|(ment ac)|(multiple cpu faults)|(system.+state.+changed )|(\[timeout)|(PRM\|1\|D)|(kpr)|(kdp)|(\|lc)|(penalty))"</v>
      </c>
      <c r="AG125" s="1" t="str">
        <f t="shared" si="38"/>
        <v>EC</v>
      </c>
      <c r="AH125" s="86" t="str">
        <f t="shared" si="39"/>
        <v>"%USERPROFILE%\Documents\GitHub\eaglep3\Utilities\RefineRTDCRunTimes.py" --tripid 208-22 --locoid 4041 --swversion DE.1.0.9.0 --startMP 204:232967 --initTime 2017-03-22T17:52:34 --startdatetime 2017-03-22T17:56:15 --delay 1 --endMP 204:154 --enddatetime 2017-03-22T18:34:07 --enforcementcount 2 &gt;&gt;C:\Users\stu\Documents\GitHub\eaglep3-reporting\EC\2017-03-22-refined-times.txt</v>
      </c>
      <c r="AI125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{"issue":{"subject":"","project_id":79,"tracker_id":40,"status_id":1,"priority_id":2,"assigned_to_id":23,"start_date":"2017-03-22","description":"","custom_fields":[{"id":1,"name":"Subdivision","value":"EC"},{"id":4,"name":"Milepost","value":"0.0154"},{"id":17,"name":"Train ID","value":"208-22"},{"id":16,"name":"Locomotive ID","value":"4041"},{"id":130,"name":"Impact","value":""},{"id":150,"name":"Time of Event (Mountain Time)","value":"18:34:07"},{"id":151,"name":"Denver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41"/>
        <v>start /low /b %USERPROFILE%\Documents\GitHub\eaglep3\Utilities\DownloadLogsFromS3.py --loco 4041 --day 2017-03-22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"%USERPROFILE%\AppData\Local\Temp\OnboardLogs"\RTDC4041\*4041*20170323* | grep -SE "(Enforcement Action)|(\[TIMEOUT)|(CHR.+\|PRM\|1\|D.+(SWITCH|SIGNAL).+UNKNOWN)" - &gt;&gt; 2017-03-22-UncaughtWiMAX.txt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779</v>
      </c>
      <c r="B126" s="7">
        <v>4018</v>
      </c>
      <c r="C126" s="21" t="s">
        <v>219</v>
      </c>
      <c r="D126" s="21" t="s">
        <v>882</v>
      </c>
      <c r="E126" s="13">
        <v>42816.718865740739</v>
      </c>
      <c r="F126" s="13">
        <v>42816.720555555556</v>
      </c>
      <c r="G126" s="7">
        <v>1</v>
      </c>
      <c r="H126" s="21" t="s">
        <v>555</v>
      </c>
      <c r="I126" s="13">
        <v>42816.746747685182</v>
      </c>
      <c r="J126" s="7">
        <v>2</v>
      </c>
      <c r="K126" s="98" t="str">
        <f t="shared" si="26"/>
        <v>4017/4018</v>
      </c>
      <c r="L126" s="21" t="str">
        <f>VLOOKUP(A126,'Trips&amp;Operators'!$C$1:$G$99999,5,FALSE)</f>
        <v>SWANSON BRYCE</v>
      </c>
      <c r="M126" s="6">
        <f t="shared" si="27"/>
        <v>2.619212962599704E-2</v>
      </c>
      <c r="N126" s="7">
        <f t="shared" si="47"/>
        <v>37.716666661435738</v>
      </c>
      <c r="O126" s="7"/>
      <c r="P126" s="7"/>
      <c r="Q126" s="22"/>
      <c r="R126" s="22"/>
      <c r="S126" s="31">
        <f t="shared" si="48"/>
        <v>1</v>
      </c>
      <c r="T126" s="46" t="str">
        <f t="shared" si="28"/>
        <v>NorthBound</v>
      </c>
      <c r="U126" s="18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6" t="str">
        <f t="shared" si="29"/>
        <v>https://d0f6bd738d7f1b3e5a7ca70fe4ff75f0.us-east-1.aws.found.io/app/kibana#/discover/Steve-Slow-Train-Analysis-(2080s-and-2083s)?_g=(refreshInterval:(display:Off,pause:!f,section:0,value:0),time:(from:'2017-03-22T16:15:10-0600',mode:absolute,to:'2017-03-22T18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6" s="187" t="str">
        <f t="shared" si="30"/>
        <v>N</v>
      </c>
      <c r="X126" s="187">
        <f t="shared" si="46"/>
        <v>1</v>
      </c>
      <c r="Y126" s="62">
        <f t="shared" si="32"/>
        <v>4.58E-2</v>
      </c>
      <c r="Z126" s="62">
        <f t="shared" si="33"/>
        <v>23.3291</v>
      </c>
      <c r="AA126" s="62">
        <f t="shared" si="34"/>
        <v>23.283300000000001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5"/>
        <v>0209-22</v>
      </c>
      <c r="AE126" s="85" t="str">
        <f t="shared" si="36"/>
        <v>aws s3 cp s3://rtdc.mdm.uploadarchive.raw/RTDC4018/ "%USERPROFILE%\AppData\Local\Temp\OnboardLogs"\RTDC4018\2017-03-22 --exclude "*" --recursive --include "*20170322*" &amp; "%USERPROFILE%\Documents\GitHub\mrs-test-scripts\Headless Mode &amp; Sideloading\WalkAndUnGZ.bat" "%USERPROFILE%\AppData\Local\Temp\OnboardLogs"\RTDC4018\2017-03-22 &amp; aws s3 cp s3://rtdc.mdm.uploadarchive.raw/RTDC4018/ "%USERPROFILE%\AppData\Local\Temp\OnboardLogs"\RTDC4018\2017-03-23 --exclude "*" --recursive --include "*20170323*" &amp; "%USERPROFILE%\Documents\GitHub\mrs-test-scripts\Headless Mode &amp; Sideloading\WalkAndUnGZ.bat" "%USERPROFILE%\AppData\Local\Temp\OnboardLogs"\RTDC4018\2017-03-23</v>
      </c>
      <c r="AF126" s="82" t="str">
        <f t="shared" si="37"/>
        <v>"C:\Program Files (x86)\AstroGrep\AstroGrep.exe" /e /r /s /spath="%USERPROFILE%\AppData\Local\Temp\OnboardLogs" /stypes="app*4018*20170322*" /stext=" 23:.+((SYSTEM_STATE.+slice.+state.+changed )|(ment ac)|(multiple cpu faults)|(system.+state.+changed )|(\[timeout)|(PRM\|1\|D)|(kpr)|(kdp)|(\|lc)|(penalty))"</v>
      </c>
      <c r="AG126" s="1" t="str">
        <f t="shared" si="38"/>
        <v>EC</v>
      </c>
      <c r="AH126" s="86" t="str">
        <f t="shared" si="39"/>
        <v>"%USERPROFILE%\Documents\GitHub\eaglep3\Utilities\RefineRTDCRunTimes.py" --tripid 209-22 --locoid 4018 --swversion DE.1.0.9.0 --startMP 204:458 --initTime 2017-03-22T17:15:10 --startdatetime 2017-03-22T17:17:36 --delay 1 --endMP 204:233291 --enddatetime 2017-03-22T17:55:19 --enforcementcount 2 &gt;&gt;C:\Users\stu\Documents\GitHub\eaglep3-reporting\EC\2017-03-22-refined-times.txt</v>
      </c>
      <c r="AI126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{"issue":{"subject":"","project_id":79,"tracker_id":40,"status_id":1,"priority_id":2,"assigned_to_id":23,"start_date":"2017-03-22","description":"","custom_fields":[{"id":1,"name":"Subdivision","value":"EC"},{"id":4,"name":"Milepost","value":"23.3291"},{"id":17,"name":"Train ID","value":"209-22"},{"id":16,"name":"Locomotive ID","value":"4018"},{"id":130,"name":"Impact","value":""},{"id":150,"name":"Time of Event (Mountain Time)","value":"17:55:19"},{"id":151,"name":"Denver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41"/>
        <v>start /low /b %USERPROFILE%\Documents\GitHub\eaglep3\Utilities\DownloadLogsFromS3.py --loco 4018 --day 2017-03-22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"%USERPROFILE%\AppData\Local\Temp\OnboardLogs"\RTDC4018\*4018*20170322* | grep -SE "(Enforcement Action)|(\[TIMEOUT)|(CHR.+\|PRM\|1\|D.+(SWITCH|SIGNAL).+UNKNOWN)" - &gt;&gt; 2017-03-22-UncaughtWiMAX.txt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788</v>
      </c>
      <c r="B127" s="7">
        <v>4017</v>
      </c>
      <c r="C127" s="21" t="s">
        <v>219</v>
      </c>
      <c r="D127" s="21" t="s">
        <v>916</v>
      </c>
      <c r="E127" s="13">
        <v>42816.749444444446</v>
      </c>
      <c r="F127" s="13">
        <v>42816.7580787037</v>
      </c>
      <c r="G127" s="7">
        <v>1</v>
      </c>
      <c r="H127" s="21" t="s">
        <v>214</v>
      </c>
      <c r="I127" s="13">
        <v>42816.786111111112</v>
      </c>
      <c r="J127" s="7">
        <v>2</v>
      </c>
      <c r="K127" s="98" t="str">
        <f t="shared" si="26"/>
        <v>4017/4018</v>
      </c>
      <c r="L127" s="21" t="str">
        <f>VLOOKUP(A127,'Trips&amp;Operators'!$C$1:$G$99999,5,FALSE)</f>
        <v>SWANSON BRYCE</v>
      </c>
      <c r="M127" s="6">
        <f t="shared" si="27"/>
        <v>2.8032407411956228E-2</v>
      </c>
      <c r="N127" s="7">
        <f t="shared" si="47"/>
        <v>40.366666673216969</v>
      </c>
      <c r="O127" s="7"/>
      <c r="P127" s="7"/>
      <c r="Q127" s="22"/>
      <c r="R127" s="22"/>
      <c r="S127" s="31">
        <f t="shared" si="48"/>
        <v>1</v>
      </c>
      <c r="T127" s="46" t="str">
        <f t="shared" si="28"/>
        <v>Southbound</v>
      </c>
      <c r="U127" s="18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6" t="str">
        <f t="shared" si="29"/>
        <v>https://d0f6bd738d7f1b3e5a7ca70fe4ff75f0.us-east-1.aws.found.io/app/kibana#/discover/Steve-Slow-Train-Analysis-(2080s-and-2083s)?_g=(refreshInterval:(display:Off,pause:!f,section:0,value:0),time:(from:'2017-03-22T16:59:12-0600',mode:absolute,to:'2017-03-22T19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7" s="187" t="str">
        <f t="shared" si="30"/>
        <v>N</v>
      </c>
      <c r="X127" s="187">
        <f t="shared" si="46"/>
        <v>1</v>
      </c>
      <c r="Y127" s="62">
        <f t="shared" si="32"/>
        <v>23.296800000000001</v>
      </c>
      <c r="Z127" s="62">
        <f t="shared" si="33"/>
        <v>1.5599999999999999E-2</v>
      </c>
      <c r="AA127" s="62">
        <f t="shared" si="34"/>
        <v>23.281200000000002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5"/>
        <v>0210-22</v>
      </c>
      <c r="AE127" s="85" t="str">
        <f t="shared" si="36"/>
        <v>aws s3 cp s3://rtdc.mdm.uploadarchive.raw/RTDC4017/ "%USERPROFILE%\AppData\Local\Temp\OnboardLogs"\RTDC4017\2017-03-22 --exclude "*" --recursive --include "*20170322*" &amp; "%USERPROFILE%\Documents\GitHub\mrs-test-scripts\Headless Mode &amp; Sideloading\WalkAndUnGZ.bat" "%USERPROFILE%\AppData\Local\Temp\OnboardLogs"\RTDC4017\2017-03-22 &amp; aws s3 cp s3://rtdc.mdm.uploadarchive.raw/RTDC4017/ "%USERPROFILE%\AppData\Local\Temp\OnboardLogs"\RTDC4017\2017-03-23 --exclude "*" --recursive --include "*20170323*" &amp; "%USERPROFILE%\Documents\GitHub\mrs-test-scripts\Headless Mode &amp; Sideloading\WalkAndUnGZ.bat" "%USERPROFILE%\AppData\Local\Temp\OnboardLogs"\RTDC4017\2017-03-23</v>
      </c>
      <c r="AF127" s="82" t="str">
        <f t="shared" si="37"/>
        <v>"C:\Program Files (x86)\AstroGrep\AstroGrep.exe" /e /r /s /spath="%USERPROFILE%\AppData\Local\Temp\OnboardLogs" /stypes="app*4017*20170323*" /stext=" 00:.+((SYSTEM_STATE.+slice.+state.+changed )|(ment ac)|(multiple cpu faults)|(system.+state.+changed )|(\[timeout)|(PRM\|1\|D)|(kpr)|(kdp)|(\|lc)|(penalty))"</v>
      </c>
      <c r="AG127" s="1" t="str">
        <f t="shared" si="38"/>
        <v>EC</v>
      </c>
      <c r="AH127" s="86" t="str">
        <f t="shared" si="39"/>
        <v>"%USERPROFILE%\Documents\GitHub\eaglep3\Utilities\RefineRTDCRunTimes.py" --tripid 210-22 --locoid 4017 --swversion DE.1.0.9.0 --startMP 204:232968 --initTime 2017-03-22T17:59:12 --startdatetime 2017-03-22T18:11:38 --delay 1 --endMP 204:156 --enddatetime 2017-03-22T18:52:00 --enforcementcount 2 &gt;&gt;C:\Users\stu\Documents\GitHub\eaglep3-reporting\EC\2017-03-22-refined-times.txt</v>
      </c>
      <c r="AI127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{"issue":{"subject":"","project_id":79,"tracker_id":40,"status_id":1,"priority_id":2,"assigned_to_id":23,"start_date":"2017-03-22","description":"","custom_fields":[{"id":1,"name":"Subdivision","value":"EC"},{"id":4,"name":"Milepost","value":"0.0156"},{"id":17,"name":"Train ID","value":"210-22"},{"id":16,"name":"Locomotive ID","value":"4017"},{"id":130,"name":"Impact","value":""},{"id":150,"name":"Time of Event (Mountain Time)","value":"18:52:00"},{"id":151,"name":"Denver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41"/>
        <v>start /low /b %USERPROFILE%\Documents\GitHub\eaglep3\Utilities\DownloadLogsFromS3.py --loco 4017 --day 2017-03-22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"%USERPROFILE%\AppData\Local\Temp\OnboardLogs"\RTDC4017\*4017*20170323* | grep -SE "(Enforcement Action)|(\[TIMEOUT)|(CHR.+\|PRM\|1\|D.+(SWITCH|SIGNAL).+UNKNOWN)" - &gt;&gt; 2017-03-22-UncaughtWiMAX.txt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781</v>
      </c>
      <c r="B128" s="7">
        <v>4011</v>
      </c>
      <c r="C128" s="21" t="s">
        <v>219</v>
      </c>
      <c r="D128" s="21" t="s">
        <v>209</v>
      </c>
      <c r="E128" s="13">
        <v>42816.723599537036</v>
      </c>
      <c r="F128" s="13">
        <v>42816.729317129626</v>
      </c>
      <c r="G128" s="7">
        <v>1</v>
      </c>
      <c r="H128" s="21" t="s">
        <v>917</v>
      </c>
      <c r="I128" s="13">
        <v>42816.755011574074</v>
      </c>
      <c r="J128" s="7">
        <v>2</v>
      </c>
      <c r="K128" s="98" t="str">
        <f t="shared" si="26"/>
        <v>4011/4012</v>
      </c>
      <c r="L128" s="21" t="str">
        <f>VLOOKUP(A128,'Trips&amp;Operators'!$C$1:$G$99999,5,FALSE)</f>
        <v>LOCKLEAR TRAVIS</v>
      </c>
      <c r="M128" s="6">
        <f t="shared" si="27"/>
        <v>2.5694444448163267E-2</v>
      </c>
      <c r="N128" s="7">
        <f t="shared" si="47"/>
        <v>37.000000005355105</v>
      </c>
      <c r="O128" s="7"/>
      <c r="P128" s="7"/>
      <c r="Q128" s="22"/>
      <c r="R128" s="22"/>
      <c r="S128" s="31">
        <f t="shared" si="48"/>
        <v>1</v>
      </c>
      <c r="T128" s="46" t="str">
        <f t="shared" si="28"/>
        <v>NorthBound</v>
      </c>
      <c r="U128" s="18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6" t="str">
        <f t="shared" si="29"/>
        <v>https://d0f6bd738d7f1b3e5a7ca70fe4ff75f0.us-east-1.aws.found.io/app/kibana#/discover/Steve-Slow-Train-Analysis-(2080s-and-2083s)?_g=(refreshInterval:(display:Off,pause:!f,section:0,value:0),time:(from:'2017-03-22T16:21:59-0600',mode:absolute,to:'2017-03-22T19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8" s="187" t="str">
        <f t="shared" si="30"/>
        <v>N</v>
      </c>
      <c r="X128" s="187">
        <f t="shared" ref="X128:X133" si="49">VALUE(LEFT(AD128,4))-VALUE(LEFT(AD127,4))</f>
        <v>1</v>
      </c>
      <c r="Y128" s="62">
        <f t="shared" si="32"/>
        <v>4.5999999999999999E-2</v>
      </c>
      <c r="Z128" s="62">
        <f t="shared" si="33"/>
        <v>23.332599999999999</v>
      </c>
      <c r="AA128" s="62">
        <f t="shared" si="34"/>
        <v>23.2866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5"/>
        <v>0211-22</v>
      </c>
      <c r="AE128" s="85" t="str">
        <f t="shared" si="36"/>
        <v>aws s3 cp s3://rtdc.mdm.uploadarchive.raw/RTDC4011/ "%USERPROFILE%\AppData\Local\Temp\OnboardLogs"\RTDC4011\2017-03-22 --exclude "*" --recursive --include "*20170322*" &amp; "%USERPROFILE%\Documents\GitHub\mrs-test-scripts\Headless Mode &amp; Sideloading\WalkAndUnGZ.bat" "%USERPROFILE%\AppData\Local\Temp\OnboardLogs"\RTDC4011\2017-03-22 &amp; aws s3 cp s3://rtdc.mdm.uploadarchive.raw/RTDC4011/ "%USERPROFILE%\AppData\Local\Temp\OnboardLogs"\RTDC4011\2017-03-23 --exclude "*" --recursive --include "*20170323*" &amp; "%USERPROFILE%\Documents\GitHub\mrs-test-scripts\Headless Mode &amp; Sideloading\WalkAndUnGZ.bat" "%USERPROFILE%\AppData\Local\Temp\OnboardLogs"\RTDC4011\2017-03-23</v>
      </c>
      <c r="AF128" s="82" t="str">
        <f t="shared" si="37"/>
        <v>"C:\Program Files (x86)\AstroGrep\AstroGrep.exe" /e /r /s /spath="%USERPROFILE%\AppData\Local\Temp\OnboardLogs" /stypes="app*4011*20170323*" /stext=" 00:.+((SYSTEM_STATE.+slice.+state.+changed )|(ment ac)|(multiple cpu faults)|(system.+state.+changed )|(\[timeout)|(PRM\|1\|D)|(kpr)|(kdp)|(\|lc)|(penalty))"</v>
      </c>
      <c r="AG128" s="1" t="str">
        <f t="shared" si="38"/>
        <v>EC</v>
      </c>
      <c r="AH128" s="86" t="str">
        <f t="shared" si="39"/>
        <v>"%USERPROFILE%\Documents\GitHub\eaglep3\Utilities\RefineRTDCRunTimes.py" --tripid 211-22 --locoid 4011 --swversion DE.1.0.9.0 --startMP 204:460 --initTime 2017-03-22T17:21:59 --startdatetime 2017-03-22T17:30:13 --delay 1 --endMP 204:233326 --enddatetime 2017-03-22T18:07:13 --enforcementcount 2 &gt;&gt;C:\Users\stu\Documents\GitHub\eaglep3-reporting\EC\2017-03-22-refined-times.txt</v>
      </c>
      <c r="AI128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{"issue":{"subject":"","project_id":79,"tracker_id":40,"status_id":1,"priority_id":2,"assigned_to_id":23,"start_date":"2017-03-22","description":"","custom_fields":[{"id":1,"name":"Subdivision","value":"EC"},{"id":4,"name":"Milepost","value":"23.3326"},{"id":17,"name":"Train ID","value":"211-22"},{"id":16,"name":"Locomotive ID","value":"4011"},{"id":130,"name":"Impact","value":""},{"id":150,"name":"Time of Event (Mountain Time)","value":"18:07:13"},{"id":151,"name":"Denver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41"/>
        <v>start /low /b %USERPROFILE%\Documents\GitHub\eaglep3\Utilities\DownloadLogsFromS3.py --loco 4011 --day 2017-03-22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"%USERPROFILE%\AppData\Local\Temp\OnboardLogs"\RTDC4011\*4011*20170322* | grep -SE "(Enforcement Action)|(\[TIMEOUT)|(CHR.+\|PRM\|1\|D.+(SWITCH|SIGNAL).+UNKNOWN)" - &gt;&gt; 2017-03-22-UncaughtWiMAX.txt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794</v>
      </c>
      <c r="B129" s="7">
        <v>4012</v>
      </c>
      <c r="C129" s="21" t="s">
        <v>219</v>
      </c>
      <c r="D129" s="21" t="s">
        <v>209</v>
      </c>
      <c r="E129" s="13">
        <v>42816.723599537036</v>
      </c>
      <c r="F129" s="13">
        <v>42816.764409722222</v>
      </c>
      <c r="G129" s="7">
        <v>1</v>
      </c>
      <c r="H129" s="21" t="s">
        <v>917</v>
      </c>
      <c r="I129" s="13">
        <v>42816.765023148146</v>
      </c>
      <c r="J129" s="7">
        <v>2</v>
      </c>
      <c r="K129" s="98" t="str">
        <f t="shared" si="26"/>
        <v>4011/4012</v>
      </c>
      <c r="L129" s="21" t="str">
        <f>VLOOKUP(A129,'Trips&amp;Operators'!$C$1:$G$99999,5,FALSE)</f>
        <v>LOCKLEAR TRAVIS</v>
      </c>
      <c r="M129" s="6">
        <f t="shared" si="27"/>
        <v>6.1342592380242422E-4</v>
      </c>
      <c r="N129" s="7"/>
      <c r="O129" s="7"/>
      <c r="P129" s="7">
        <f>24*60*SUM($M129:$M129)</f>
        <v>0.88333333027549088</v>
      </c>
      <c r="Q129" s="22"/>
      <c r="R129" s="22" t="s">
        <v>495</v>
      </c>
      <c r="S129" s="31">
        <f t="shared" si="48"/>
        <v>0</v>
      </c>
      <c r="T129" s="46" t="str">
        <f t="shared" si="28"/>
        <v>Southbound</v>
      </c>
      <c r="U129" s="18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0</v>
      </c>
      <c r="V129" s="186" t="str">
        <f t="shared" si="29"/>
        <v>https://d0f6bd738d7f1b3e5a7ca70fe4ff75f0.us-east-1.aws.found.io/app/kibana#/discover/Steve-Slow-Train-Analysis-(2080s-and-2083s)?_g=(refreshInterval:(display:Off,pause:!f,section:0,value:0),time:(from:'2017-03-22T16:21:59-0600',mode:absolute,to:'2017-03-22T19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9" s="187" t="str">
        <f t="shared" si="30"/>
        <v>N</v>
      </c>
      <c r="X129" s="187">
        <f t="shared" si="49"/>
        <v>1</v>
      </c>
      <c r="Y129" s="62">
        <f t="shared" si="32"/>
        <v>4.5999999999999999E-2</v>
      </c>
      <c r="Z129" s="62">
        <f t="shared" si="33"/>
        <v>23.332599999999999</v>
      </c>
      <c r="AA129" s="62">
        <f t="shared" si="34"/>
        <v>23.2866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5"/>
        <v>0212-22</v>
      </c>
      <c r="AE129" s="85" t="str">
        <f t="shared" si="36"/>
        <v>aws s3 cp s3://rtdc.mdm.uploadarchive.raw/RTDC4012/ "%USERPROFILE%\AppData\Local\Temp\OnboardLogs"\RTDC4012\2017-03-22 --exclude "*" --recursive --include "*20170322*" &amp; "%USERPROFILE%\Documents\GitHub\mrs-test-scripts\Headless Mode &amp; Sideloading\WalkAndUnGZ.bat" "%USERPROFILE%\AppData\Local\Temp\OnboardLogs"\RTDC4012\2017-03-22 &amp; aws s3 cp s3://rtdc.mdm.uploadarchive.raw/RTDC4012/ "%USERPROFILE%\AppData\Local\Temp\OnboardLogs"\RTDC4012\2017-03-23 --exclude "*" --recursive --include "*20170323*" &amp; "%USERPROFILE%\Documents\GitHub\mrs-test-scripts\Headless Mode &amp; Sideloading\WalkAndUnGZ.bat" "%USERPROFILE%\AppData\Local\Temp\OnboardLogs"\RTDC4012\2017-03-23</v>
      </c>
      <c r="AF129" s="82" t="str">
        <f t="shared" si="37"/>
        <v>"C:\Program Files (x86)\AstroGrep\AstroGrep.exe" /e /r /s /spath="%USERPROFILE%\AppData\Local\Temp\OnboardLogs" /stypes="app*4012*20170323*" /stext=" 00:.+((SYSTEM_STATE.+slice.+state.+changed )|(ment ac)|(multiple cpu faults)|(system.+state.+changed )|(\[timeout)|(PRM\|1\|D)|(kpr)|(kdp)|(\|lc)|(penalty))"</v>
      </c>
      <c r="AG129" s="1" t="str">
        <f t="shared" si="38"/>
        <v>EC</v>
      </c>
      <c r="AH129" s="86" t="str">
        <f t="shared" ref="AH129" si="50">refinertdcruntimes&amp;" --tripid "&amp;A129&amp;" --locoid "&amp;B129&amp;" --swversion "&amp;C129&amp;" --startMP "&amp;D129&amp;" --initTime "&amp;TEXT(E129,"yyyy-mm-ddTHH:MM:SS")&amp;" --startdatetime "&amp;TEXT(F129,"yyyy-mm-ddTHH:MM:SS")&amp;" --delay "&amp;G129&amp;" --endMP "&amp;H129&amp;" --enddatetime "&amp;TEXT(I129,"yyyy-mm-ddTHH:MM:SS")&amp;" --enforcementcount "&amp;J129&amp;IF(outputrefinedruntimes," &gt;&gt;"&amp;RefinedRTDCRunTimesOutputFile,"")</f>
        <v>"%USERPROFILE%\Documents\GitHub\eaglep3\Utilities\RefineRTDCRunTimes.py" --tripid 212-22 --locoid 4012 --swversion DE.1.0.9.0 --startMP 204:460 --initTime 2017-03-22T17:21:59 --startdatetime 2017-03-22T18:20:45 --delay 1 --endMP 204:233326 --enddatetime 2017-03-22T18:21:38 --enforcementcount 2 &gt;&gt;C:\Users\stu\Documents\GitHub\eaglep3-reporting\EC\2017-03-22-refined-times.txt</v>
      </c>
      <c r="AI129" s="108" t="str">
        <f t="shared" ref="AI129" si="51">"echo {""issue"":{""subject"":"""&amp;R129&amp;""",""project_id"":79,""tracker_id"":40,""status_id"":"&amp;redmine_status&amp;",""priority_id"":"&amp;redmine_priority&amp;",""assigned_to_id"":"&amp;redmine_assignee&amp;",""start_date"":"""&amp;TEXT(I129,"YYYY-mm-dd")&amp;""",""description"":"""&amp;AJ129&amp;""",""custom_fields"":[{""id"":1,""name"":""Subdivision"",""value"":"""&amp;AG129&amp;"""},{""id"":4,""name"":""Milepost"",""value"":"""&amp;Z129&amp;"""},{""id"":17,""name"":""Train ID"",""value"":"""&amp;A129&amp;"""},{""id"":16,""name"":""Locomotive ID"",""value"":"""&amp;B129&amp;"""},{""id"":130,""name"":""Impact"",""value"":"""&amp;AK129&amp;"""},{""id"":150,""name"":""Time of Event (Mountain Time)"",""value"":"""&amp;TEXT(I129,"hh:mm:ss")&amp;"""},{""id"":151,""name"":""Denver Issue ID"",""value"":"""&amp;"""},{""id"":178,""name"":""Operational Impact"",""value"":"""&amp;redmine_op_impact&amp;"""},{""id"":179,""name"":""Denver Segment Assigned"",""value"":"""&amp;AL129&amp;"""}]}}"&amp;"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failure","project_id":79,"tracker_id":40,"status_id":1,"priority_id":2,"assigned_to_id":23,"start_date":"2017-03-22","description":"","custom_fields":[{"id":1,"name":"Subdivision","value":"EC"},{"id":4,"name":"Milepost","value":"23.3326"},{"id":17,"name":"Train ID","value":"212-22"},{"id":16,"name":"Locomotive ID","value":"4012"},{"id":130,"name":"Impact","value":""},{"id":150,"name":"Time of Event (Mountain Time)","value":"18:21:38"},{"id":151,"name":"Denver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ref="AM129" si="52">"start /low /b "&amp;dls3logs&amp;" --loco "&amp;B129&amp;" --day "&amp;TEXT(F129,"YYYY-MM-DD")</f>
        <v>start /low /b %USERPROFILE%\Documents\GitHub\eaglep3\Utilities\DownloadLogsFromS3.py --loco 4012 --day 2017-03-22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"%USERPROFILE%\AppData\Local\Temp\OnboardLogs"\RTDC4012\*4012*20170323* | grep -SE "(Enforcement Action)|(\[TIMEOUT)|(CHR.+\|PRM\|1\|D.+(SWITCH|SIGNAL).+UNKNOWN)" - &gt;&gt; 2017-03-22-UncaughtWiMAX.txt</v>
      </c>
    </row>
    <row r="130" spans="1:91" s="20" customFormat="1" x14ac:dyDescent="0.25">
      <c r="A130" s="33" t="s">
        <v>785</v>
      </c>
      <c r="B130" s="7">
        <v>4003</v>
      </c>
      <c r="C130" s="21" t="s">
        <v>219</v>
      </c>
      <c r="D130" s="21" t="s">
        <v>918</v>
      </c>
      <c r="E130" s="13">
        <v>42816.737835648149</v>
      </c>
      <c r="F130" s="13">
        <v>42816.739884259259</v>
      </c>
      <c r="G130" s="7">
        <v>3</v>
      </c>
      <c r="H130" s="21" t="s">
        <v>570</v>
      </c>
      <c r="I130" s="13">
        <v>42816.764537037037</v>
      </c>
      <c r="J130" s="7">
        <v>2</v>
      </c>
      <c r="K130" s="98" t="str">
        <f t="shared" si="26"/>
        <v>4003/4004</v>
      </c>
      <c r="L130" s="21" t="str">
        <f>VLOOKUP(A130,'Trips&amp;Operators'!$C$1:$G$99999,5,FALSE)</f>
        <v>LALONDE GREGORY</v>
      </c>
      <c r="M130" s="6">
        <f t="shared" si="27"/>
        <v>2.4652777778101154E-2</v>
      </c>
      <c r="N130" s="7">
        <f t="shared" ref="N130:N156" si="53">24*60*SUM($M130:$M130)</f>
        <v>35.500000000465661</v>
      </c>
      <c r="O130" s="7"/>
      <c r="P130" s="7"/>
      <c r="Q130" s="22"/>
      <c r="R130" s="22"/>
      <c r="S130" s="31">
        <f t="shared" si="48"/>
        <v>1</v>
      </c>
      <c r="T130" s="46" t="str">
        <f t="shared" si="28"/>
        <v>NorthBound</v>
      </c>
      <c r="U130" s="18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6" t="str">
        <f t="shared" si="29"/>
        <v>https://d0f6bd738d7f1b3e5a7ca70fe4ff75f0.us-east-1.aws.found.io/app/kibana#/discover/Steve-Slow-Train-Analysis-(2080s-and-2083s)?_g=(refreshInterval:(display:Off,pause:!f,section:0,value:0),time:(from:'2017-03-22T16:42:29-0600',mode:absolute,to:'2017-03-22T19:20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0" s="187" t="str">
        <f t="shared" si="30"/>
        <v>N</v>
      </c>
      <c r="X130" s="187">
        <f t="shared" si="49"/>
        <v>1</v>
      </c>
      <c r="Y130" s="62">
        <f t="shared" si="32"/>
        <v>0.112</v>
      </c>
      <c r="Z130" s="62">
        <f t="shared" si="33"/>
        <v>23.3353</v>
      </c>
      <c r="AA130" s="62">
        <f t="shared" si="34"/>
        <v>23.223300000000002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5"/>
        <v>0213-22</v>
      </c>
      <c r="AE130" s="85" t="str">
        <f t="shared" si="36"/>
        <v>aws s3 cp s3://rtdc.mdm.uploadarchive.raw/RTDC4003/ "%USERPROFILE%\AppData\Local\Temp\OnboardLogs"\RTDC4003\2017-03-22 --exclude "*" --recursive --include "*20170322*" &amp; "%USERPROFILE%\Documents\GitHub\mrs-test-scripts\Headless Mode &amp; Sideloading\WalkAndUnGZ.bat" "%USERPROFILE%\AppData\Local\Temp\OnboardLogs"\RTDC4003\2017-03-22 &amp; aws s3 cp s3://rtdc.mdm.uploadarchive.raw/RTDC4003/ "%USERPROFILE%\AppData\Local\Temp\OnboardLogs"\RTDC4003\2017-03-23 --exclude "*" --recursive --include "*20170323*" &amp; "%USERPROFILE%\Documents\GitHub\mrs-test-scripts\Headless Mode &amp; Sideloading\WalkAndUnGZ.bat" "%USERPROFILE%\AppData\Local\Temp\OnboardLogs"\RTDC4003\2017-03-23</v>
      </c>
      <c r="AF130" s="82" t="str">
        <f t="shared" si="37"/>
        <v>"C:\Program Files (x86)\AstroGrep\AstroGrep.exe" /e /r /s /spath="%USERPROFILE%\AppData\Local\Temp\OnboardLogs" /stypes="app*4003*20170323*" /stext=" 00:.+((SYSTEM_STATE.+slice.+state.+changed )|(ment ac)|(multiple cpu faults)|(system.+state.+changed )|(\[timeout)|(PRM\|1\|D)|(kpr)|(kdp)|(\|lc)|(penalty))"</v>
      </c>
      <c r="AG130" s="1" t="str">
        <f t="shared" si="38"/>
        <v>EC</v>
      </c>
      <c r="AH130" s="86" t="str">
        <f t="shared" si="39"/>
        <v>"%USERPROFILE%\Documents\GitHub\eaglep3\Utilities\RefineRTDCRunTimes.py" --tripid 213-22 --locoid 4003 --swversion DE.1.0.9.0 --startMP 204:1120 --initTime 2017-03-22T17:42:29 --startdatetime 2017-03-22T17:45:26 --delay 3 --endMP 204:233353 --enddatetime 2017-03-22T18:20:56 --enforcementcount 2 &gt;&gt;C:\Users\stu\Documents\GitHub\eaglep3-reporting\EC\2017-03-22-refined-times.txt</v>
      </c>
      <c r="AI130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{"issue":{"subject":"","project_id":79,"tracker_id":40,"status_id":1,"priority_id":2,"assigned_to_id":23,"start_date":"2017-03-22","description":"","custom_fields":[{"id":1,"name":"Subdivision","value":"EC"},{"id":4,"name":"Milepost","value":"23.3353"},{"id":17,"name":"Train ID","value":"213-22"},{"id":16,"name":"Locomotive ID","value":"4003"},{"id":130,"name":"Impact","value":""},{"id":150,"name":"Time of Event (Mountain Time)","value":"18:20:56"},{"id":151,"name":"Denver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41"/>
        <v>start /low /b %USERPROFILE%\Documents\GitHub\eaglep3\Utilities\DownloadLogsFromS3.py --loco 4003 --day 2017-03-22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"%USERPROFILE%\AppData\Local\Temp\OnboardLogs"\RTDC4003\*4003*20170323* | grep -SE "(Enforcement Action)|(\[TIMEOUT)|(CHR.+\|PRM\|1\|D.+(SWITCH|SIGNAL).+UNKNOWN)" - &gt;&gt; 2017-03-22-UncaughtWiMAX.txt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796</v>
      </c>
      <c r="B131" s="7">
        <v>4004</v>
      </c>
      <c r="C131" s="21" t="s">
        <v>219</v>
      </c>
      <c r="D131" s="21" t="s">
        <v>919</v>
      </c>
      <c r="E131" s="13">
        <v>42816.774224537039</v>
      </c>
      <c r="F131" s="13">
        <v>42816.778645833336</v>
      </c>
      <c r="G131" s="7">
        <v>2</v>
      </c>
      <c r="H131" s="21" t="s">
        <v>395</v>
      </c>
      <c r="I131" s="13">
        <v>42816.804861111108</v>
      </c>
      <c r="J131" s="7">
        <v>2</v>
      </c>
      <c r="K131" s="98" t="str">
        <f t="shared" si="26"/>
        <v>4003/4004</v>
      </c>
      <c r="L131" s="21" t="str">
        <f>VLOOKUP(A131,'Trips&amp;Operators'!$C$1:$G$99999,5,FALSE)</f>
        <v>LALONDE GREGORY</v>
      </c>
      <c r="M131" s="6">
        <f t="shared" si="27"/>
        <v>2.6215277772280388E-2</v>
      </c>
      <c r="N131" s="7">
        <f t="shared" si="53"/>
        <v>37.749999992083758</v>
      </c>
      <c r="O131" s="7"/>
      <c r="P131" s="7"/>
      <c r="Q131" s="22"/>
      <c r="R131" s="22"/>
      <c r="S131" s="31">
        <f t="shared" si="48"/>
        <v>1</v>
      </c>
      <c r="T131" s="46" t="str">
        <f t="shared" si="28"/>
        <v>Southbound</v>
      </c>
      <c r="U131" s="18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6" t="str">
        <f t="shared" si="29"/>
        <v>https://d0f6bd738d7f1b3e5a7ca70fe4ff75f0.us-east-1.aws.found.io/app/kibana#/discover/Steve-Slow-Train-Analysis-(2080s-and-2083s)?_g=(refreshInterval:(display:Off,pause:!f,section:0,value:0),time:(from:'2017-03-22T17:34:53-0600',mode:absolute,to:'2017-03-22T20:19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1" s="187" t="str">
        <f t="shared" si="30"/>
        <v>N</v>
      </c>
      <c r="X131" s="187">
        <f t="shared" si="49"/>
        <v>1</v>
      </c>
      <c r="Y131" s="62">
        <f t="shared" si="32"/>
        <v>23.3032</v>
      </c>
      <c r="Z131" s="62">
        <f t="shared" si="33"/>
        <v>1.4500000000000001E-2</v>
      </c>
      <c r="AA131" s="62">
        <f t="shared" si="34"/>
        <v>23.288699999999999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5"/>
        <v>0214-22</v>
      </c>
      <c r="AE131" s="85" t="str">
        <f t="shared" si="36"/>
        <v>aws s3 cp s3://rtdc.mdm.uploadarchive.raw/RTDC4004/ "%USERPROFILE%\AppData\Local\Temp\OnboardLogs"\RTDC4004\2017-03-22 --exclude "*" --recursive --include "*20170322*" &amp; "%USERPROFILE%\Documents\GitHub\mrs-test-scripts\Headless Mode &amp; Sideloading\WalkAndUnGZ.bat" "%USERPROFILE%\AppData\Local\Temp\OnboardLogs"\RTDC4004\2017-03-22 &amp; aws s3 cp s3://rtdc.mdm.uploadarchive.raw/RTDC4004/ "%USERPROFILE%\AppData\Local\Temp\OnboardLogs"\RTDC4004\2017-03-23 --exclude "*" --recursive --include "*20170323*" &amp; "%USERPROFILE%\Documents\GitHub\mrs-test-scripts\Headless Mode &amp; Sideloading\WalkAndUnGZ.bat" "%USERPROFILE%\AppData\Local\Temp\OnboardLogs"\RTDC4004\2017-03-23</v>
      </c>
      <c r="AF131" s="82" t="str">
        <f t="shared" si="37"/>
        <v>"C:\Program Files (x86)\AstroGrep\AstroGrep.exe" /e /r /s /spath="%USERPROFILE%\AppData\Local\Temp\OnboardLogs" /stypes="app*4004*20170323*" /stext=" 01:.+((SYSTEM_STATE.+slice.+state.+changed )|(ment ac)|(multiple cpu faults)|(system.+state.+changed )|(\[timeout)|(PRM\|1\|D)|(kpr)|(kdp)|(\|lc)|(penalty))"</v>
      </c>
      <c r="AG131" s="1" t="str">
        <f t="shared" si="38"/>
        <v>EC</v>
      </c>
      <c r="AH131" s="86" t="str">
        <f t="shared" si="39"/>
        <v>"%USERPROFILE%\Documents\GitHub\eaglep3\Utilities\RefineRTDCRunTimes.py" --tripid 214-22 --locoid 4004 --swversion DE.1.0.9.0 --startMP 204:233032 --initTime 2017-03-22T18:34:53 --startdatetime 2017-03-22T18:41:15 --delay 2 --endMP 204:145 --enddatetime 2017-03-22T19:19:00 --enforcementcount 2 &gt;&gt;C:\Users\stu\Documents\GitHub\eaglep3-reporting\EC\2017-03-22-refined-times.txt</v>
      </c>
      <c r="AI131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{"issue":{"subject":"","project_id":79,"tracker_id":40,"status_id":1,"priority_id":2,"assigned_to_id":23,"start_date":"2017-03-22","description":"","custom_fields":[{"id":1,"name":"Subdivision","value":"EC"},{"id":4,"name":"Milepost","value":"0.0145"},{"id":17,"name":"Train ID","value":"214-22"},{"id":16,"name":"Locomotive ID","value":"4004"},{"id":130,"name":"Impact","value":""},{"id":150,"name":"Time of Event (Mountain Time)","value":"19:19:00"},{"id":151,"name":"Denver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41"/>
        <v>start /low /b %USERPROFILE%\Documents\GitHub\eaglep3\Utilities\DownloadLogsFromS3.py --loco 4004 --day 2017-03-22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"%USERPROFILE%\AppData\Local\Temp\OnboardLogs"\RTDC4004\*4004*20170323* | grep -SE "(Enforcement Action)|(\[TIMEOUT)|(CHR.+\|PRM\|1\|D.+(SWITCH|SIGNAL).+UNKNOWN)" - &gt;&gt; 2017-03-22-UncaughtWiMAX.txt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787</v>
      </c>
      <c r="B132" s="7">
        <v>4027</v>
      </c>
      <c r="C132" s="21" t="s">
        <v>219</v>
      </c>
      <c r="D132" s="21" t="s">
        <v>388</v>
      </c>
      <c r="E132" s="13">
        <v>42816.747164351851</v>
      </c>
      <c r="F132" s="13">
        <v>42816.750254629631</v>
      </c>
      <c r="G132" s="7">
        <v>1</v>
      </c>
      <c r="H132" s="21" t="s">
        <v>920</v>
      </c>
      <c r="I132" s="13">
        <v>42816.776284722226</v>
      </c>
      <c r="J132" s="7">
        <v>2</v>
      </c>
      <c r="K132" s="98" t="str">
        <f t="shared" si="26"/>
        <v>4027/4028</v>
      </c>
      <c r="L132" s="21" t="str">
        <f>VLOOKUP(A132,'Trips&amp;Operators'!$C$1:$G$99999,5,FALSE)</f>
        <v>STRICKLAND EVAN</v>
      </c>
      <c r="M132" s="6">
        <f t="shared" si="27"/>
        <v>2.6030092594737653E-2</v>
      </c>
      <c r="N132" s="7">
        <f t="shared" si="53"/>
        <v>37.48333333642222</v>
      </c>
      <c r="O132" s="7"/>
      <c r="P132" s="7"/>
      <c r="Q132" s="22"/>
      <c r="R132" s="22"/>
      <c r="S132" s="31">
        <f t="shared" si="48"/>
        <v>1</v>
      </c>
      <c r="T132" s="46" t="str">
        <f t="shared" si="28"/>
        <v>NorthBound</v>
      </c>
      <c r="U132" s="18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6" t="str">
        <f t="shared" si="29"/>
        <v>https://d0f6bd738d7f1b3e5a7ca70fe4ff75f0.us-east-1.aws.found.io/app/kibana#/discover/Steve-Slow-Train-Analysis-(2080s-and-2083s)?_g=(refreshInterval:(display:Off,pause:!f,section:0,value:0),time:(from:'2017-03-22T16:55:55-0600',mode:absolute,to:'2017-03-22T19:37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2" s="187" t="str">
        <f t="shared" si="30"/>
        <v>N</v>
      </c>
      <c r="X132" s="187">
        <f t="shared" si="49"/>
        <v>1</v>
      </c>
      <c r="Y132" s="62">
        <f t="shared" si="32"/>
        <v>4.6199999999999998E-2</v>
      </c>
      <c r="Z132" s="62">
        <f t="shared" si="33"/>
        <v>23.334499999999998</v>
      </c>
      <c r="AA132" s="62">
        <f t="shared" si="34"/>
        <v>23.2883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5"/>
        <v>0215-22</v>
      </c>
      <c r="AE132" s="85" t="str">
        <f t="shared" si="36"/>
        <v>aws s3 cp s3://rtdc.mdm.uploadarchive.raw/RTDC4027/ "%USERPROFILE%\AppData\Local\Temp\OnboardLogs"\RTDC4027\2017-03-22 --exclude "*" --recursive --include "*20170322*" &amp; "%USERPROFILE%\Documents\GitHub\mrs-test-scripts\Headless Mode &amp; Sideloading\WalkAndUnGZ.bat" "%USERPROFILE%\AppData\Local\Temp\OnboardLogs"\RTDC4027\2017-03-22 &amp; aws s3 cp s3://rtdc.mdm.uploadarchive.raw/RTDC4027/ "%USERPROFILE%\AppData\Local\Temp\OnboardLogs"\RTDC4027\2017-03-23 --exclude "*" --recursive --include "*20170323*" &amp; "%USERPROFILE%\Documents\GitHub\mrs-test-scripts\Headless Mode &amp; Sideloading\WalkAndUnGZ.bat" "%USERPROFILE%\AppData\Local\Temp\OnboardLogs"\RTDC4027\2017-03-23</v>
      </c>
      <c r="AF132" s="82" t="str">
        <f t="shared" si="37"/>
        <v>"C:\Program Files (x86)\AstroGrep\AstroGrep.exe" /e /r /s /spath="%USERPROFILE%\AppData\Local\Temp\OnboardLogs" /stypes="app*4027*20170323*" /stext=" 00:.+((SYSTEM_STATE.+slice.+state.+changed )|(ment ac)|(multiple cpu faults)|(system.+state.+changed )|(\[timeout)|(PRM\|1\|D)|(kpr)|(kdp)|(\|lc)|(penalty))"</v>
      </c>
      <c r="AG132" s="1" t="str">
        <f t="shared" si="38"/>
        <v>EC</v>
      </c>
      <c r="AH132" s="86" t="str">
        <f t="shared" si="39"/>
        <v>"%USERPROFILE%\Documents\GitHub\eaglep3\Utilities\RefineRTDCRunTimes.py" --tripid 215-22 --locoid 4027 --swversion DE.1.0.9.0 --startMP 204:462 --initTime 2017-03-22T17:55:55 --startdatetime 2017-03-22T18:00:22 --delay 1 --endMP 204:233345 --enddatetime 2017-03-22T18:37:51 --enforcementcount 2 &gt;&gt;C:\Users\stu\Documents\GitHub\eaglep3-reporting\EC\2017-03-22-refined-times.txt</v>
      </c>
      <c r="AI132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{"issue":{"subject":"","project_id":79,"tracker_id":40,"status_id":1,"priority_id":2,"assigned_to_id":23,"start_date":"2017-03-22","description":"","custom_fields":[{"id":1,"name":"Subdivision","value":"EC"},{"id":4,"name":"Milepost","value":"23.3345"},{"id":17,"name":"Train ID","value":"215-22"},{"id":16,"name":"Locomotive ID","value":"4027"},{"id":130,"name":"Impact","value":""},{"id":150,"name":"Time of Event (Mountain Time)","value":"18:37:51"},{"id":151,"name":"Denver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41"/>
        <v>start /low /b %USERPROFILE%\Documents\GitHub\eaglep3\Utilities\DownloadLogsFromS3.py --loco 4027 --day 2017-03-22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"%USERPROFILE%\AppData\Local\Temp\OnboardLogs"\RTDC4027\*4027*20170323* | grep -SE "(Enforcement Action)|(\[TIMEOUT)|(CHR.+\|PRM\|1\|D.+(SWITCH|SIGNAL).+UNKNOWN)" - &gt;&gt; 2017-03-22-UncaughtWiMAX.txt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638</v>
      </c>
      <c r="B133" s="7">
        <v>4028</v>
      </c>
      <c r="C133" s="21" t="s">
        <v>219</v>
      </c>
      <c r="D133" s="21" t="s">
        <v>554</v>
      </c>
      <c r="E133" s="13">
        <v>42816.780300925922</v>
      </c>
      <c r="F133" s="13">
        <v>42816.789074074077</v>
      </c>
      <c r="G133" s="7">
        <v>3</v>
      </c>
      <c r="H133" s="21" t="s">
        <v>199</v>
      </c>
      <c r="I133" s="13">
        <v>42816.817430555559</v>
      </c>
      <c r="J133" s="7">
        <v>2</v>
      </c>
      <c r="K133" s="98" t="str">
        <f t="shared" si="26"/>
        <v>4027/4028</v>
      </c>
      <c r="L133" s="21" t="str">
        <f>VLOOKUP(A133,'Trips&amp;Operators'!$C$1:$G$99999,5,FALSE)</f>
        <v>STRICKLAND EVAN</v>
      </c>
      <c r="M133" s="6">
        <f t="shared" si="27"/>
        <v>2.8356481481750961E-2</v>
      </c>
      <c r="N133" s="7">
        <f t="shared" si="53"/>
        <v>40.833333333721384</v>
      </c>
      <c r="O133" s="7"/>
      <c r="P133" s="7"/>
      <c r="Q133" s="22"/>
      <c r="R133" s="22"/>
      <c r="S133" s="31">
        <f t="shared" si="48"/>
        <v>1</v>
      </c>
      <c r="T133" s="46" t="str">
        <f t="shared" si="28"/>
        <v>Southbound</v>
      </c>
      <c r="U133" s="18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6" t="str">
        <f t="shared" si="29"/>
        <v>https://d0f6bd738d7f1b3e5a7ca70fe4ff75f0.us-east-1.aws.found.io/app/kibana#/discover/Steve-Slow-Train-Analysis-(2080s-and-2083s)?_g=(refreshInterval:(display:Off,pause:!f,section:0,value:0),time:(from:'2017-03-22T17:43:38-0600',mode:absolute,to:'2017-03-22T20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3" s="187" t="str">
        <f t="shared" si="30"/>
        <v>N</v>
      </c>
      <c r="X133" s="187">
        <f t="shared" si="49"/>
        <v>1</v>
      </c>
      <c r="Y133" s="62">
        <f t="shared" si="32"/>
        <v>23.3017</v>
      </c>
      <c r="Z133" s="62">
        <f t="shared" si="33"/>
        <v>1.52E-2</v>
      </c>
      <c r="AA133" s="62">
        <f t="shared" si="34"/>
        <v>23.2865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5"/>
        <v>0216-22</v>
      </c>
      <c r="AE133" s="85" t="str">
        <f t="shared" si="36"/>
        <v>aws s3 cp s3://rtdc.mdm.uploadarchive.raw/RTDC4028/ "%USERPROFILE%\AppData\Local\Temp\OnboardLogs"\RTDC4028\2017-03-22 --exclude "*" --recursive --include "*20170322*" &amp; "%USERPROFILE%\Documents\GitHub\mrs-test-scripts\Headless Mode &amp; Sideloading\WalkAndUnGZ.bat" "%USERPROFILE%\AppData\Local\Temp\OnboardLogs"\RTDC4028\2017-03-22 &amp; aws s3 cp s3://rtdc.mdm.uploadarchive.raw/RTDC4028/ "%USERPROFILE%\AppData\Local\Temp\OnboardLogs"\RTDC4028\2017-03-23 --exclude "*" --recursive --include "*20170323*" &amp; "%USERPROFILE%\Documents\GitHub\mrs-test-scripts\Headless Mode &amp; Sideloading\WalkAndUnGZ.bat" "%USERPROFILE%\AppData\Local\Temp\OnboardLogs"\RTDC4028\2017-03-23</v>
      </c>
      <c r="AF133" s="82" t="str">
        <f t="shared" si="37"/>
        <v>"C:\Program Files (x86)\AstroGrep\AstroGrep.exe" /e /r /s /spath="%USERPROFILE%\AppData\Local\Temp\OnboardLogs" /stypes="app*4028*20170323*" /stext=" 01:.+((SYSTEM_STATE.+slice.+state.+changed )|(ment ac)|(multiple cpu faults)|(system.+state.+changed )|(\[timeout)|(PRM\|1\|D)|(kpr)|(kdp)|(\|lc)|(penalty))"</v>
      </c>
      <c r="AG133" s="1" t="str">
        <f t="shared" si="38"/>
        <v>EC</v>
      </c>
      <c r="AH133" s="86" t="str">
        <f t="shared" si="39"/>
        <v>"%USERPROFILE%\Documents\GitHub\eaglep3\Utilities\RefineRTDCRunTimes.py" --tripid 216-22 --locoid 4028 --swversion DE.1.0.9.0 --startMP 204:233017 --initTime 2017-03-22T18:43:38 --startdatetime 2017-03-22T18:56:16 --delay 3 --endMP 204:152 --enddatetime 2017-03-22T19:37:06 --enforcementcount 2 &gt;&gt;C:\Users\stu\Documents\GitHub\eaglep3-reporting\EC\2017-03-22-refined-times.txt</v>
      </c>
      <c r="AI133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{"issue":{"subject":"","project_id":79,"tracker_id":40,"status_id":1,"priority_id":2,"assigned_to_id":23,"start_date":"2017-03-22","description":"","custom_fields":[{"id":1,"name":"Subdivision","value":"EC"},{"id":4,"name":"Milepost","value":"0.0152"},{"id":17,"name":"Train ID","value":"216-22"},{"id":16,"name":"Locomotive ID","value":"4028"},{"id":130,"name":"Impact","value":""},{"id":150,"name":"Time of Event (Mountain Time)","value":"19:37:06"},{"id":151,"name":"Denver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41"/>
        <v>start /low /b %USERPROFILE%\Documents\GitHub\eaglep3\Utilities\DownloadLogsFromS3.py --loco 4028 --day 2017-03-22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"%USERPROFILE%\AppData\Local\Temp\OnboardLogs"\RTDC4028\*4028*20170323* | grep -SE "(Enforcement Action)|(\[TIMEOUT)|(CHR.+\|PRM\|1\|D.+(SWITCH|SIGNAL).+UNKNOWN)" - &gt;&gt; 2017-03-22-UncaughtWiMAX.txt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635</v>
      </c>
      <c r="B134" s="7">
        <v>4040</v>
      </c>
      <c r="C134" s="21" t="s">
        <v>219</v>
      </c>
      <c r="D134" s="21" t="s">
        <v>207</v>
      </c>
      <c r="E134" s="13">
        <v>42816.758460648147</v>
      </c>
      <c r="F134" s="13">
        <v>42816.760625000003</v>
      </c>
      <c r="G134" s="7">
        <v>1</v>
      </c>
      <c r="H134" s="21" t="s">
        <v>921</v>
      </c>
      <c r="I134" s="13">
        <v>42816.786122685182</v>
      </c>
      <c r="J134" s="7">
        <v>2</v>
      </c>
      <c r="K134" s="98" t="str">
        <f t="shared" si="26"/>
        <v>4039/4040</v>
      </c>
      <c r="L134" s="21" t="str">
        <f>VLOOKUP(A134,'Trips&amp;Operators'!$C$1:$G$99999,5,FALSE)</f>
        <v>BROWN JACOB</v>
      </c>
      <c r="M134" s="6">
        <f t="shared" si="27"/>
        <v>2.5497685179288965E-2</v>
      </c>
      <c r="N134" s="7">
        <f t="shared" si="53"/>
        <v>36.716666658176109</v>
      </c>
      <c r="O134" s="7"/>
      <c r="P134" s="7"/>
      <c r="Q134" s="22"/>
      <c r="R134" s="22"/>
      <c r="S134" s="31">
        <f t="shared" si="48"/>
        <v>1</v>
      </c>
      <c r="T134" s="46" t="str">
        <f t="shared" si="28"/>
        <v>NorthBound</v>
      </c>
      <c r="U134" s="18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6" t="str">
        <f t="shared" si="29"/>
        <v>https://d0f6bd738d7f1b3e5a7ca70fe4ff75f0.us-east-1.aws.found.io/app/kibana#/discover/Steve-Slow-Train-Analysis-(2080s-and-2083s)?_g=(refreshInterval:(display:Off,pause:!f,section:0,value:0),time:(from:'2017-03-22T17:12:11-0600',mode:absolute,to:'2017-03-22T19:52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4" s="187" t="str">
        <f t="shared" si="30"/>
        <v>N</v>
      </c>
      <c r="X134" s="187">
        <f t="shared" ref="X134:X165" si="54">VALUE(LEFT(AD134,4))-VALUE(LEFT(AD133,4))</f>
        <v>1</v>
      </c>
      <c r="Y134" s="62">
        <f t="shared" si="32"/>
        <v>4.5100000000000001E-2</v>
      </c>
      <c r="Z134" s="62">
        <f t="shared" si="33"/>
        <v>23.3338</v>
      </c>
      <c r="AA134" s="62">
        <f t="shared" si="34"/>
        <v>23.288699999999999</v>
      </c>
      <c r="AB134" s="59" t="str">
        <f>VLOOKUP(A134,Enforcements!$C$7:$K$13,8,0)</f>
        <v>Bulletin (2)</v>
      </c>
      <c r="AC134" s="55" t="str">
        <f>VLOOKUP(A134,Enforcements!$C$7:$E$13,3,0)</f>
        <v>GRADE CROSSING</v>
      </c>
      <c r="AD134" s="56" t="str">
        <f t="shared" si="35"/>
        <v>0217-22</v>
      </c>
      <c r="AE134" s="85" t="str">
        <f t="shared" si="36"/>
        <v>aws s3 cp s3://rtdc.mdm.uploadarchive.raw/RTDC4040/ "%USERPROFILE%\AppData\Local\Temp\OnboardLogs"\RTDC4040\2017-03-22 --exclude "*" --recursive --include "*20170322*" &amp; "%USERPROFILE%\Documents\GitHub\mrs-test-scripts\Headless Mode &amp; Sideloading\WalkAndUnGZ.bat" "%USERPROFILE%\AppData\Local\Temp\OnboardLogs"\RTDC4040\2017-03-22 &amp; aws s3 cp s3://rtdc.mdm.uploadarchive.raw/RTDC4040/ "%USERPROFILE%\AppData\Local\Temp\OnboardLogs"\RTDC4040\2017-03-23 --exclude "*" --recursive --include "*20170323*" &amp; "%USERPROFILE%\Documents\GitHub\mrs-test-scripts\Headless Mode &amp; Sideloading\WalkAndUnGZ.bat" "%USERPROFILE%\AppData\Local\Temp\OnboardLogs"\RTDC4040\2017-03-23</v>
      </c>
      <c r="AF134" s="82" t="str">
        <f t="shared" si="37"/>
        <v>"C:\Program Files (x86)\AstroGrep\AstroGrep.exe" /e /r /s /spath="%USERPROFILE%\AppData\Local\Temp\OnboardLogs" /stypes="app*4040*20170323*" /stext=" 00:.+((SYSTEM_STATE.+slice.+state.+changed )|(ment ac)|(multiple cpu faults)|(system.+state.+changed )|(\[timeout)|(PRM\|1\|D)|(kpr)|(kdp)|(\|lc)|(penalty))"</v>
      </c>
      <c r="AG134" s="1" t="str">
        <f t="shared" si="38"/>
        <v>EC</v>
      </c>
      <c r="AH134" s="86" t="str">
        <f t="shared" si="39"/>
        <v>"%USERPROFILE%\Documents\GitHub\eaglep3\Utilities\RefineRTDCRunTimes.py" --tripid 217-22 --locoid 4040 --swversion DE.1.0.9.0 --startMP 204:451 --initTime 2017-03-22T18:12:11 --startdatetime 2017-03-22T18:15:18 --delay 1 --endMP 204:233338 --enddatetime 2017-03-22T18:52:01 --enforcementcount 2 &gt;&gt;C:\Users\stu\Documents\GitHub\eaglep3-reporting\EC\2017-03-22-refined-times.txt</v>
      </c>
      <c r="AI134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{"issue":{"subject":"","project_id":79,"tracker_id":40,"status_id":1,"priority_id":2,"assigned_to_id":23,"start_date":"2017-03-22","description":"","custom_fields":[{"id":1,"name":"Subdivision","value":"EC"},{"id":4,"name":"Milepost","value":"23.3338"},{"id":17,"name":"Train ID","value":"217-22"},{"id":16,"name":"Locomotive ID","value":"4040"},{"id":130,"name":"Impact","value":""},{"id":150,"name":"Time of Event (Mountain Time)","value":"18:52:01"},{"id":151,"name":"Denver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41"/>
        <v>start /low /b %USERPROFILE%\Documents\GitHub\eaglep3\Utilities\DownloadLogsFromS3.py --loco 4040 --day 2017-03-22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"%USERPROFILE%\AppData\Local\Temp\OnboardLogs"\RTDC4040\*4040*20170323* | grep -SE "(Enforcement Action)|(\[TIMEOUT)|(CHR.+\|PRM\|1\|D.+(SWITCH|SIGNAL).+UNKNOWN)" - &gt;&gt; 2017-03-22-UncaughtWiMAX.txt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802</v>
      </c>
      <c r="B135" s="7">
        <v>4039</v>
      </c>
      <c r="C135" s="21" t="s">
        <v>219</v>
      </c>
      <c r="D135" s="21" t="s">
        <v>901</v>
      </c>
      <c r="E135" s="13">
        <v>42816.796747685185</v>
      </c>
      <c r="F135" s="13">
        <v>42816.799699074072</v>
      </c>
      <c r="G135" s="7">
        <v>1</v>
      </c>
      <c r="H135" s="21" t="s">
        <v>400</v>
      </c>
      <c r="I135" s="13">
        <v>42816.826909722222</v>
      </c>
      <c r="J135" s="7">
        <v>2</v>
      </c>
      <c r="K135" s="98" t="str">
        <f t="shared" si="26"/>
        <v>4039/4040</v>
      </c>
      <c r="L135" s="21" t="str">
        <f>VLOOKUP(A135,'Trips&amp;Operators'!$C$1:$G$99999,5,FALSE)</f>
        <v>BROWN JACOB</v>
      </c>
      <c r="M135" s="6">
        <f t="shared" si="27"/>
        <v>2.7210648149775807E-2</v>
      </c>
      <c r="N135" s="7">
        <f t="shared" si="53"/>
        <v>39.183333335677162</v>
      </c>
      <c r="O135" s="7"/>
      <c r="P135" s="7"/>
      <c r="Q135" s="22"/>
      <c r="R135" s="22"/>
      <c r="S135" s="31">
        <f t="shared" si="48"/>
        <v>1</v>
      </c>
      <c r="T135" s="46" t="str">
        <f t="shared" si="28"/>
        <v>Southbound</v>
      </c>
      <c r="U135" s="18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6" t="str">
        <f t="shared" si="29"/>
        <v>https://d0f6bd738d7f1b3e5a7ca70fe4ff75f0.us-east-1.aws.found.io/app/kibana#/discover/Steve-Slow-Train-Analysis-(2080s-and-2083s)?_g=(refreshInterval:(display:Off,pause:!f,section:0,value:0),time:(from:'2017-03-22T18:07:19-0600',mode:absolute,to:'2017-03-22T20:50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5" s="187" t="str">
        <f t="shared" si="30"/>
        <v>N</v>
      </c>
      <c r="X135" s="187">
        <f t="shared" si="54"/>
        <v>1</v>
      </c>
      <c r="Y135" s="62">
        <f t="shared" si="32"/>
        <v>23.302700000000002</v>
      </c>
      <c r="Z135" s="62">
        <f t="shared" si="33"/>
        <v>1.43E-2</v>
      </c>
      <c r="AA135" s="62">
        <f t="shared" si="34"/>
        <v>23.288400000000003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5"/>
        <v>0218-22</v>
      </c>
      <c r="AE135" s="85" t="str">
        <f t="shared" si="36"/>
        <v>aws s3 cp s3://rtdc.mdm.uploadarchive.raw/RTDC4039/ "%USERPROFILE%\AppData\Local\Temp\OnboardLogs"\RTDC4039\2017-03-22 --exclude "*" --recursive --include "*20170322*" &amp; "%USERPROFILE%\Documents\GitHub\mrs-test-scripts\Headless Mode &amp; Sideloading\WalkAndUnGZ.bat" "%USERPROFILE%\AppData\Local\Temp\OnboardLogs"\RTDC4039\2017-03-22 &amp; aws s3 cp s3://rtdc.mdm.uploadarchive.raw/RTDC4039/ "%USERPROFILE%\AppData\Local\Temp\OnboardLogs"\RTDC4039\2017-03-23 --exclude "*" --recursive --include "*20170323*" &amp; "%USERPROFILE%\Documents\GitHub\mrs-test-scripts\Headless Mode &amp; Sideloading\WalkAndUnGZ.bat" "%USERPROFILE%\AppData\Local\Temp\OnboardLogs"\RTDC4039\2017-03-23</v>
      </c>
      <c r="AF135" s="82" t="str">
        <f t="shared" si="37"/>
        <v>"C:\Program Files (x86)\AstroGrep\AstroGrep.exe" /e /r /s /spath="%USERPROFILE%\AppData\Local\Temp\OnboardLogs" /stypes="app*4039*20170323*" /stext=" 01:.+((SYSTEM_STATE.+slice.+state.+changed )|(ment ac)|(multiple cpu faults)|(system.+state.+changed )|(\[timeout)|(PRM\|1\|D)|(kpr)|(kdp)|(\|lc)|(penalty))"</v>
      </c>
      <c r="AG135" s="1" t="str">
        <f t="shared" si="38"/>
        <v>EC</v>
      </c>
      <c r="AH135" s="86" t="str">
        <f t="shared" si="39"/>
        <v>"%USERPROFILE%\Documents\GitHub\eaglep3\Utilities\RefineRTDCRunTimes.py" --tripid 218-22 --locoid 4039 --swversion DE.1.0.9.0 --startMP 204:233027 --initTime 2017-03-22T19:07:19 --startdatetime 2017-03-22T19:11:34 --delay 1 --endMP 204:143 --enddatetime 2017-03-22T19:50:45 --enforcementcount 2 &gt;&gt;C:\Users\stu\Documents\GitHub\eaglep3-reporting\EC\2017-03-22-refined-times.txt</v>
      </c>
      <c r="AI135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{"issue":{"subject":"","project_id":79,"tracker_id":40,"status_id":1,"priority_id":2,"assigned_to_id":23,"start_date":"2017-03-22","description":"","custom_fields":[{"id":1,"name":"Subdivision","value":"EC"},{"id":4,"name":"Milepost","value":"0.0143"},{"id":17,"name":"Train ID","value":"218-22"},{"id":16,"name":"Locomotive ID","value":"4039"},{"id":130,"name":"Impact","value":""},{"id":150,"name":"Time of Event (Mountain Time)","value":"19:50:45"},{"id":151,"name":"Denver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41"/>
        <v>start /low /b %USERPROFILE%\Documents\GitHub\eaglep3\Utilities\DownloadLogsFromS3.py --loco 4039 --day 2017-03-22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"%USERPROFILE%\AppData\Local\Temp\OnboardLogs"\RTDC4039\*4039*20170323* | grep -SE "(Enforcement Action)|(\[TIMEOUT)|(CHR.+\|PRM\|1\|D.+(SWITCH|SIGNAL).+UNKNOWN)" - &gt;&gt; 2017-03-22-UncaughtWiMAX.txt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795</v>
      </c>
      <c r="B136" s="7">
        <v>4046</v>
      </c>
      <c r="C136" s="21" t="s">
        <v>219</v>
      </c>
      <c r="D136" s="21" t="s">
        <v>208</v>
      </c>
      <c r="E136" s="13">
        <v>42816.769328703704</v>
      </c>
      <c r="F136" s="13">
        <v>42816.770983796298</v>
      </c>
      <c r="G136" s="7">
        <v>1</v>
      </c>
      <c r="H136" s="21" t="s">
        <v>516</v>
      </c>
      <c r="I136" s="13">
        <v>42816.795868055553</v>
      </c>
      <c r="J136" s="7">
        <v>2</v>
      </c>
      <c r="K136" s="98" t="str">
        <f t="shared" si="26"/>
        <v>4045/4046</v>
      </c>
      <c r="L136" s="21" t="str">
        <f>VLOOKUP(A136,'Trips&amp;Operators'!$C$1:$G$99999,5,FALSE)</f>
        <v>NEWELL JAMES</v>
      </c>
      <c r="M136" s="6">
        <f t="shared" si="27"/>
        <v>2.488425925548654E-2</v>
      </c>
      <c r="N136" s="7">
        <f t="shared" si="53"/>
        <v>35.833333327900618</v>
      </c>
      <c r="O136" s="7"/>
      <c r="P136" s="7"/>
      <c r="Q136" s="22"/>
      <c r="R136" s="22"/>
      <c r="S136" s="31">
        <f t="shared" si="48"/>
        <v>1</v>
      </c>
      <c r="T136" s="46" t="str">
        <f t="shared" si="28"/>
        <v>NorthBound</v>
      </c>
      <c r="U136" s="18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6" t="str">
        <f t="shared" si="29"/>
        <v>https://d0f6bd738d7f1b3e5a7ca70fe4ff75f0.us-east-1.aws.found.io/app/kibana#/discover/Steve-Slow-Train-Analysis-(2080s-and-2083s)?_g=(refreshInterval:(display:Off,pause:!f,section:0,value:0),time:(from:'2017-03-22T17:27:50-0600',mode:absolute,to:'2017-03-22T20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6" s="187" t="str">
        <f t="shared" si="30"/>
        <v>N</v>
      </c>
      <c r="X136" s="187">
        <f t="shared" si="54"/>
        <v>1</v>
      </c>
      <c r="Y136" s="62">
        <f t="shared" si="32"/>
        <v>4.5699999999999998E-2</v>
      </c>
      <c r="Z136" s="62">
        <f t="shared" si="33"/>
        <v>23.327400000000001</v>
      </c>
      <c r="AA136" s="62">
        <f t="shared" si="34"/>
        <v>23.281700000000001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5"/>
        <v>0219-22</v>
      </c>
      <c r="AE136" s="85" t="str">
        <f t="shared" si="36"/>
        <v>aws s3 cp s3://rtdc.mdm.uploadarchive.raw/RTDC4046/ "%USERPROFILE%\AppData\Local\Temp\OnboardLogs"\RTDC4046\2017-03-22 --exclude "*" --recursive --include "*20170322*" &amp; "%USERPROFILE%\Documents\GitHub\mrs-test-scripts\Headless Mode &amp; Sideloading\WalkAndUnGZ.bat" "%USERPROFILE%\AppData\Local\Temp\OnboardLogs"\RTDC4046\2017-03-22 &amp; aws s3 cp s3://rtdc.mdm.uploadarchive.raw/RTDC4046/ "%USERPROFILE%\AppData\Local\Temp\OnboardLogs"\RTDC4046\2017-03-23 --exclude "*" --recursive --include "*20170323*" &amp; "%USERPROFILE%\Documents\GitHub\mrs-test-scripts\Headless Mode &amp; Sideloading\WalkAndUnGZ.bat" "%USERPROFILE%\AppData\Local\Temp\OnboardLogs"\RTDC4046\2017-03-23</v>
      </c>
      <c r="AF136" s="82" t="str">
        <f t="shared" si="37"/>
        <v>"C:\Program Files (x86)\AstroGrep\AstroGrep.exe" /e /r /s /spath="%USERPROFILE%\AppData\Local\Temp\OnboardLogs" /stypes="app*4046*20170323*" /stext=" 01:.+((SYSTEM_STATE.+slice.+state.+changed )|(ment ac)|(multiple cpu faults)|(system.+state.+changed )|(\[timeout)|(PRM\|1\|D)|(kpr)|(kdp)|(\|lc)|(penalty))"</v>
      </c>
      <c r="AG136" s="1" t="str">
        <f t="shared" si="38"/>
        <v>EC</v>
      </c>
      <c r="AH136" s="86" t="str">
        <f t="shared" si="39"/>
        <v>"%USERPROFILE%\Documents\GitHub\eaglep3\Utilities\RefineRTDCRunTimes.py" --tripid 219-22 --locoid 4046 --swversion DE.1.0.9.0 --startMP 204:457 --initTime 2017-03-22T18:27:50 --startdatetime 2017-03-22T18:30:13 --delay 1 --endMP 204:233274 --enddatetime 2017-03-22T19:06:03 --enforcementcount 2 &gt;&gt;C:\Users\stu\Documents\GitHub\eaglep3-reporting\EC\2017-03-22-refined-times.txt</v>
      </c>
      <c r="AI136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{"issue":{"subject":"","project_id":79,"tracker_id":40,"status_id":1,"priority_id":2,"assigned_to_id":23,"start_date":"2017-03-22","description":"","custom_fields":[{"id":1,"name":"Subdivision","value":"EC"},{"id":4,"name":"Milepost","value":"23.3274"},{"id":17,"name":"Train ID","value":"219-22"},{"id":16,"name":"Locomotive ID","value":"4046"},{"id":130,"name":"Impact","value":""},{"id":150,"name":"Time of Event (Mountain Time)","value":"19:06:03"},{"id":151,"name":"Denver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41"/>
        <v>start /low /b %USERPROFILE%\Documents\GitHub\eaglep3\Utilities\DownloadLogsFromS3.py --loco 4046 --day 2017-03-22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"%USERPROFILE%\AppData\Local\Temp\OnboardLogs"\RTDC4046\*4046*20170323* | grep -SE "(Enforcement Action)|(\[TIMEOUT)|(CHR.+\|PRM\|1\|D.+(SWITCH|SIGNAL).+UNKNOWN)" - &gt;&gt; 2017-03-22-UncaughtWiMAX.txt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804</v>
      </c>
      <c r="B137" s="7">
        <v>4045</v>
      </c>
      <c r="C137" s="21" t="s">
        <v>219</v>
      </c>
      <c r="D137" s="21" t="s">
        <v>465</v>
      </c>
      <c r="E137" s="13">
        <v>42816.800856481481</v>
      </c>
      <c r="F137" s="13">
        <v>42816.809872685182</v>
      </c>
      <c r="G137" s="7">
        <v>1</v>
      </c>
      <c r="H137" s="21" t="s">
        <v>881</v>
      </c>
      <c r="I137" s="13">
        <v>42816.838240740741</v>
      </c>
      <c r="J137" s="7">
        <v>2</v>
      </c>
      <c r="K137" s="98" t="str">
        <f t="shared" si="26"/>
        <v>4045/4046</v>
      </c>
      <c r="L137" s="21" t="str">
        <f>VLOOKUP(A137,'Trips&amp;Operators'!$C$1:$G$99999,5,FALSE)</f>
        <v>NEWELL JAMES</v>
      </c>
      <c r="M137" s="6">
        <f t="shared" si="27"/>
        <v>2.8368055558530614E-2</v>
      </c>
      <c r="N137" s="7">
        <f t="shared" si="53"/>
        <v>40.850000004284084</v>
      </c>
      <c r="O137" s="7"/>
      <c r="P137" s="7"/>
      <c r="Q137" s="22"/>
      <c r="R137" s="22"/>
      <c r="S137" s="31">
        <f t="shared" si="48"/>
        <v>1</v>
      </c>
      <c r="T137" s="46" t="str">
        <f t="shared" si="28"/>
        <v>Southbound</v>
      </c>
      <c r="U137" s="18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6" t="str">
        <f t="shared" si="29"/>
        <v>https://d0f6bd738d7f1b3e5a7ca70fe4ff75f0.us-east-1.aws.found.io/app/kibana#/discover/Steve-Slow-Train-Analysis-(2080s-and-2083s)?_g=(refreshInterval:(display:Off,pause:!f,section:0,value:0),time:(from:'2017-03-22T18:13:14-0600',mode:absolute,to:'2017-03-22T21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7" s="187" t="str">
        <f t="shared" si="30"/>
        <v>N</v>
      </c>
      <c r="X137" s="187">
        <f t="shared" si="54"/>
        <v>1</v>
      </c>
      <c r="Y137" s="62">
        <f t="shared" si="32"/>
        <v>23.297999999999998</v>
      </c>
      <c r="Z137" s="62">
        <f t="shared" si="33"/>
        <v>1.72E-2</v>
      </c>
      <c r="AA137" s="62">
        <f t="shared" si="34"/>
        <v>23.280799999999999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5"/>
        <v>0220-22</v>
      </c>
      <c r="AE137" s="85" t="str">
        <f t="shared" si="36"/>
        <v>aws s3 cp s3://rtdc.mdm.uploadarchive.raw/RTDC4045/ "%USERPROFILE%\AppData\Local\Temp\OnboardLogs"\RTDC4045\2017-03-22 --exclude "*" --recursive --include "*20170322*" &amp; "%USERPROFILE%\Documents\GitHub\mrs-test-scripts\Headless Mode &amp; Sideloading\WalkAndUnGZ.bat" "%USERPROFILE%\AppData\Local\Temp\OnboardLogs"\RTDC4045\2017-03-22 &amp; aws s3 cp s3://rtdc.mdm.uploadarchive.raw/RTDC4045/ "%USERPROFILE%\AppData\Local\Temp\OnboardLogs"\RTDC4045\2017-03-23 --exclude "*" --recursive --include "*20170323*" &amp; "%USERPROFILE%\Documents\GitHub\mrs-test-scripts\Headless Mode &amp; Sideloading\WalkAndUnGZ.bat" "%USERPROFILE%\AppData\Local\Temp\OnboardLogs"\RTDC4045\2017-03-23</v>
      </c>
      <c r="AF137" s="82" t="str">
        <f t="shared" si="37"/>
        <v>"C:\Program Files (x86)\AstroGrep\AstroGrep.exe" /e /r /s /spath="%USERPROFILE%\AppData\Local\Temp\OnboardLogs" /stypes="app*4045*20170323*" /stext=" 02:.+((SYSTEM_STATE.+slice.+state.+changed )|(ment ac)|(multiple cpu faults)|(system.+state.+changed )|(\[timeout)|(PRM\|1\|D)|(kpr)|(kdp)|(\|lc)|(penalty))"</v>
      </c>
      <c r="AG137" s="1" t="str">
        <f t="shared" si="38"/>
        <v>EC</v>
      </c>
      <c r="AH137" s="86" t="str">
        <f t="shared" si="39"/>
        <v>"%USERPROFILE%\Documents\GitHub\eaglep3\Utilities\RefineRTDCRunTimes.py" --tripid 220-22 --locoid 4045 --swversion DE.1.0.9.0 --startMP 204:232980 --initTime 2017-03-22T19:13:14 --startdatetime 2017-03-22T19:26:13 --delay 1 --endMP 204:172 --enddatetime 2017-03-22T20:07:04 --enforcementcount 2 &gt;&gt;C:\Users\stu\Documents\GitHub\eaglep3-reporting\EC\2017-03-22-refined-times.txt</v>
      </c>
      <c r="AI137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{"issue":{"subject":"","project_id":79,"tracker_id":40,"status_id":1,"priority_id":2,"assigned_to_id":23,"start_date":"2017-03-22","description":"","custom_fields":[{"id":1,"name":"Subdivision","value":"EC"},{"id":4,"name":"Milepost","value":"0.0172"},{"id":17,"name":"Train ID","value":"220-22"},{"id":16,"name":"Locomotive ID","value":"4045"},{"id":130,"name":"Impact","value":""},{"id":150,"name":"Time of Event (Mountain Time)","value":"20:07:04"},{"id":151,"name":"Denver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41"/>
        <v>start /low /b %USERPROFILE%\Documents\GitHub\eaglep3\Utilities\DownloadLogsFromS3.py --loco 4045 --day 2017-03-22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"%USERPROFILE%\AppData\Local\Temp\OnboardLogs"\RTDC4045\*4045*20170323* | grep -SE "(Enforcement Action)|(\[TIMEOUT)|(CHR.+\|PRM\|1\|D.+(SWITCH|SIGNAL).+UNKNOWN)" - &gt;&gt; 2017-03-22-UncaughtWiMAX.txt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639</v>
      </c>
      <c r="B138" s="7">
        <v>4018</v>
      </c>
      <c r="C138" s="21" t="s">
        <v>219</v>
      </c>
      <c r="D138" s="21" t="s">
        <v>216</v>
      </c>
      <c r="E138" s="13">
        <v>42816.787453703706</v>
      </c>
      <c r="F138" s="13">
        <v>42816.792025462964</v>
      </c>
      <c r="G138" s="7">
        <v>1</v>
      </c>
      <c r="H138" s="21" t="s">
        <v>551</v>
      </c>
      <c r="I138" s="13">
        <v>42816.819675925923</v>
      </c>
      <c r="J138" s="7">
        <v>2</v>
      </c>
      <c r="K138" s="98" t="str">
        <f t="shared" si="26"/>
        <v>4017/4018</v>
      </c>
      <c r="L138" s="21" t="str">
        <f>VLOOKUP(A138,'Trips&amp;Operators'!$C$1:$G$99999,5,FALSE)</f>
        <v>SWANSON BRYCE</v>
      </c>
      <c r="M138" s="6">
        <f t="shared" si="27"/>
        <v>2.7650462958263233E-2</v>
      </c>
      <c r="N138" s="7">
        <f t="shared" si="53"/>
        <v>39.816666659899056</v>
      </c>
      <c r="O138" s="7"/>
      <c r="P138" s="7"/>
      <c r="Q138" s="22"/>
      <c r="R138" s="22"/>
      <c r="S138" s="31">
        <f t="shared" si="48"/>
        <v>1</v>
      </c>
      <c r="T138" s="46" t="str">
        <f t="shared" si="28"/>
        <v>NorthBound</v>
      </c>
      <c r="U138" s="18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6" t="str">
        <f t="shared" si="29"/>
        <v>https://d0f6bd738d7f1b3e5a7ca70fe4ff75f0.us-east-1.aws.found.io/app/kibana#/discover/Steve-Slow-Train-Analysis-(2080s-and-2083s)?_g=(refreshInterval:(display:Off,pause:!f,section:0,value:0),time:(from:'2017-03-22T17:53:56-0600',mode:absolute,to:'2017-03-22T20:40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8" s="187" t="str">
        <f t="shared" si="30"/>
        <v>N</v>
      </c>
      <c r="X138" s="187">
        <f t="shared" si="54"/>
        <v>1</v>
      </c>
      <c r="Y138" s="62">
        <f t="shared" si="32"/>
        <v>4.6600000000000003E-2</v>
      </c>
      <c r="Z138" s="62">
        <f t="shared" si="33"/>
        <v>23.328900000000001</v>
      </c>
      <c r="AA138" s="62">
        <f t="shared" si="34"/>
        <v>23.282299999999999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5"/>
        <v>0221-22</v>
      </c>
      <c r="AE138" s="85" t="str">
        <f t="shared" si="36"/>
        <v>aws s3 cp s3://rtdc.mdm.uploadarchive.raw/RTDC4018/ "%USERPROFILE%\AppData\Local\Temp\OnboardLogs"\RTDC4018\2017-03-22 --exclude "*" --recursive --include "*20170322*" &amp; "%USERPROFILE%\Documents\GitHub\mrs-test-scripts\Headless Mode &amp; Sideloading\WalkAndUnGZ.bat" "%USERPROFILE%\AppData\Local\Temp\OnboardLogs"\RTDC4018\2017-03-22 &amp; aws s3 cp s3://rtdc.mdm.uploadarchive.raw/RTDC4018/ "%USERPROFILE%\AppData\Local\Temp\OnboardLogs"\RTDC4018\2017-03-23 --exclude "*" --recursive --include "*20170323*" &amp; "%USERPROFILE%\Documents\GitHub\mrs-test-scripts\Headless Mode &amp; Sideloading\WalkAndUnGZ.bat" "%USERPROFILE%\AppData\Local\Temp\OnboardLogs"\RTDC4018\2017-03-23</v>
      </c>
      <c r="AF138" s="82" t="str">
        <f t="shared" si="37"/>
        <v>"C:\Program Files (x86)\AstroGrep\AstroGrep.exe" /e /r /s /spath="%USERPROFILE%\AppData\Local\Temp\OnboardLogs" /stypes="app*4018*20170323*" /stext=" 01:.+((SYSTEM_STATE.+slice.+state.+changed )|(ment ac)|(multiple cpu faults)|(system.+state.+changed )|(\[timeout)|(PRM\|1\|D)|(kpr)|(kdp)|(\|lc)|(penalty))"</v>
      </c>
      <c r="AG138" s="1" t="str">
        <f t="shared" si="38"/>
        <v>EC</v>
      </c>
      <c r="AH138" s="86" t="str">
        <f t="shared" si="39"/>
        <v>"%USERPROFILE%\Documents\GitHub\eaglep3\Utilities\RefineRTDCRunTimes.py" --tripid 221-22 --locoid 4018 --swversion DE.1.0.9.0 --startMP 204:466 --initTime 2017-03-22T18:53:56 --startdatetime 2017-03-22T19:00:31 --delay 1 --endMP 204:233289 --enddatetime 2017-03-22T19:40:20 --enforcementcount 2 &gt;&gt;C:\Users\stu\Documents\GitHub\eaglep3-reporting\EC\2017-03-22-refined-times.txt</v>
      </c>
      <c r="AI138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{"issue":{"subject":"","project_id":79,"tracker_id":40,"status_id":1,"priority_id":2,"assigned_to_id":23,"start_date":"2017-03-22","description":"","custom_fields":[{"id":1,"name":"Subdivision","value":"EC"},{"id":4,"name":"Milepost","value":"23.3289"},{"id":17,"name":"Train ID","value":"221-22"},{"id":16,"name":"Locomotive ID","value":"4018"},{"id":130,"name":"Impact","value":""},{"id":150,"name":"Time of Event (Mountain Time)","value":"19:40:20"},{"id":151,"name":"Denver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41"/>
        <v>start /low /b %USERPROFILE%\Documents\GitHub\eaglep3\Utilities\DownloadLogsFromS3.py --loco 4018 --day 2017-03-22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"%USERPROFILE%\AppData\Local\Temp\OnboardLogs"\RTDC4018\*4018*20170323* | grep -SE "(Enforcement Action)|(\[TIMEOUT)|(CHR.+\|PRM\|1\|D.+(SWITCH|SIGNAL).+UNKNOWN)" - &gt;&gt; 2017-03-22-UncaughtWiMAX.txt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807</v>
      </c>
      <c r="B139" s="7">
        <v>4017</v>
      </c>
      <c r="C139" s="21" t="s">
        <v>219</v>
      </c>
      <c r="D139" s="21" t="s">
        <v>892</v>
      </c>
      <c r="E139" s="13">
        <v>42816.821099537039</v>
      </c>
      <c r="F139" s="13">
        <v>42816.830729166664</v>
      </c>
      <c r="G139" s="7">
        <v>1</v>
      </c>
      <c r="H139" s="21" t="s">
        <v>418</v>
      </c>
      <c r="I139" s="13">
        <v>42816.859432870369</v>
      </c>
      <c r="J139" s="7">
        <v>2</v>
      </c>
      <c r="K139" s="98" t="str">
        <f t="shared" si="26"/>
        <v>4017/4018</v>
      </c>
      <c r="L139" s="21" t="str">
        <f>VLOOKUP(A139,'Trips&amp;Operators'!$C$1:$G$99999,5,FALSE)</f>
        <v>SWANSON BRYCE</v>
      </c>
      <c r="M139" s="6">
        <f t="shared" si="27"/>
        <v>2.8703703705104999E-2</v>
      </c>
      <c r="N139" s="7">
        <f t="shared" si="53"/>
        <v>41.333333335351199</v>
      </c>
      <c r="O139" s="7"/>
      <c r="P139" s="7"/>
      <c r="Q139" s="22"/>
      <c r="R139" s="22"/>
      <c r="S139" s="31">
        <f t="shared" si="48"/>
        <v>1</v>
      </c>
      <c r="T139" s="46" t="str">
        <f t="shared" si="28"/>
        <v>Southbound</v>
      </c>
      <c r="U139" s="18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6" t="str">
        <f t="shared" si="29"/>
        <v>https://d0f6bd738d7f1b3e5a7ca70fe4ff75f0.us-east-1.aws.found.io/app/kibana#/discover/Steve-Slow-Train-Analysis-(2080s-and-2083s)?_g=(refreshInterval:(display:Off,pause:!f,section:0,value:0),time:(from:'2017-03-22T18:42:23-0600',mode:absolute,to:'2017-03-22T21:37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9" s="187" t="str">
        <f t="shared" si="30"/>
        <v>N</v>
      </c>
      <c r="X139" s="187">
        <f t="shared" si="54"/>
        <v>1</v>
      </c>
      <c r="Y139" s="62">
        <f t="shared" si="32"/>
        <v>23.296199999999999</v>
      </c>
      <c r="Z139" s="62">
        <f t="shared" si="33"/>
        <v>1.6E-2</v>
      </c>
      <c r="AA139" s="62">
        <f t="shared" si="34"/>
        <v>23.280200000000001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5"/>
        <v>0222-22</v>
      </c>
      <c r="AE139" s="85" t="str">
        <f t="shared" si="36"/>
        <v>aws s3 cp s3://rtdc.mdm.uploadarchive.raw/RTDC4017/ "%USERPROFILE%\AppData\Local\Temp\OnboardLogs"\RTDC4017\2017-03-22 --exclude "*" --recursive --include "*20170322*" &amp; "%USERPROFILE%\Documents\GitHub\mrs-test-scripts\Headless Mode &amp; Sideloading\WalkAndUnGZ.bat" "%USERPROFILE%\AppData\Local\Temp\OnboardLogs"\RTDC4017\2017-03-22 &amp; aws s3 cp s3://rtdc.mdm.uploadarchive.raw/RTDC4017/ "%USERPROFILE%\AppData\Local\Temp\OnboardLogs"\RTDC4017\2017-03-23 --exclude "*" --recursive --include "*20170323*" &amp; "%USERPROFILE%\Documents\GitHub\mrs-test-scripts\Headless Mode &amp; Sideloading\WalkAndUnGZ.bat" "%USERPROFILE%\AppData\Local\Temp\OnboardLogs"\RTDC4017\2017-03-23</v>
      </c>
      <c r="AF139" s="82" t="str">
        <f t="shared" si="37"/>
        <v>"C:\Program Files (x86)\AstroGrep\AstroGrep.exe" /e /r /s /spath="%USERPROFILE%\AppData\Local\Temp\OnboardLogs" /stypes="app*4017*20170323*" /stext=" 02:.+((SYSTEM_STATE.+slice.+state.+changed )|(ment ac)|(multiple cpu faults)|(system.+state.+changed )|(\[timeout)|(PRM\|1\|D)|(kpr)|(kdp)|(\|lc)|(penalty))"</v>
      </c>
      <c r="AG139" s="1" t="str">
        <f t="shared" si="38"/>
        <v>EC</v>
      </c>
      <c r="AH139" s="86" t="str">
        <f t="shared" si="39"/>
        <v>"%USERPROFILE%\Documents\GitHub\eaglep3\Utilities\RefineRTDCRunTimes.py" --tripid 222-22 --locoid 4017 --swversion DE.1.0.9.0 --startMP 204:232962 --initTime 2017-03-22T19:42:23 --startdatetime 2017-03-22T19:56:15 --delay 1 --endMP 204:160 --enddatetime 2017-03-22T20:37:35 --enforcementcount 2 &gt;&gt;C:\Users\stu\Documents\GitHub\eaglep3-reporting\EC\2017-03-22-refined-times.txt</v>
      </c>
      <c r="AI139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{"issue":{"subject":"","project_id":79,"tracker_id":40,"status_id":1,"priority_id":2,"assigned_to_id":23,"start_date":"2017-03-22","description":"","custom_fields":[{"id":1,"name":"Subdivision","value":"EC"},{"id":4,"name":"Milepost","value":"0.016"},{"id":17,"name":"Train ID","value":"222-22"},{"id":16,"name":"Locomotive ID","value":"4017"},{"id":130,"name":"Impact","value":""},{"id":150,"name":"Time of Event (Mountain Time)","value":"20:37:35"},{"id":151,"name":"Denver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41"/>
        <v>start /low /b %USERPROFILE%\Documents\GitHub\eaglep3\Utilities\DownloadLogsFromS3.py --loco 4017 --day 2017-03-22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"%USERPROFILE%\AppData\Local\Temp\OnboardLogs"\RTDC4017\*4017*20170323* | grep -SE "(Enforcement Action)|(\[TIMEOUT)|(CHR.+\|PRM\|1\|D.+(SWITCH|SIGNAL).+UNKNOWN)" - &gt;&gt; 2017-03-22-UncaughtWiMAX.txt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805</v>
      </c>
      <c r="B140" s="7">
        <v>4003</v>
      </c>
      <c r="C140" s="21" t="s">
        <v>219</v>
      </c>
      <c r="D140" s="21" t="s">
        <v>922</v>
      </c>
      <c r="E140" s="13">
        <v>42816.807060185187</v>
      </c>
      <c r="F140" s="13">
        <v>42816.812719907408</v>
      </c>
      <c r="G140" s="7">
        <v>1</v>
      </c>
      <c r="H140" s="21" t="s">
        <v>550</v>
      </c>
      <c r="I140" s="13">
        <v>42816.837268518517</v>
      </c>
      <c r="J140" s="7">
        <v>2</v>
      </c>
      <c r="K140" s="98" t="str">
        <f t="shared" si="26"/>
        <v>4003/4004</v>
      </c>
      <c r="L140" s="21" t="str">
        <f>VLOOKUP(A140,'Trips&amp;Operators'!$C$1:$G$99999,5,FALSE)</f>
        <v>LALONDE GREGORY</v>
      </c>
      <c r="M140" s="6">
        <f t="shared" si="27"/>
        <v>2.4548611108912155E-2</v>
      </c>
      <c r="N140" s="7">
        <f t="shared" si="53"/>
        <v>35.349999996833503</v>
      </c>
      <c r="O140" s="7"/>
      <c r="P140" s="7"/>
      <c r="Q140" s="22"/>
      <c r="R140" s="22"/>
      <c r="S140" s="31">
        <f t="shared" si="48"/>
        <v>1</v>
      </c>
      <c r="T140" s="46" t="str">
        <f t="shared" si="28"/>
        <v>NorthBound</v>
      </c>
      <c r="U140" s="18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6" t="str">
        <f t="shared" si="29"/>
        <v>https://d0f6bd738d7f1b3e5a7ca70fe4ff75f0.us-east-1.aws.found.io/app/kibana#/discover/Steve-Slow-Train-Analysis-(2080s-and-2083s)?_g=(refreshInterval:(display:Off,pause:!f,section:0,value:0),time:(from:'2017-03-22T18:22:10-0600',mode:absolute,to:'2017-03-22T21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0" s="187" t="str">
        <f t="shared" si="30"/>
        <v>N</v>
      </c>
      <c r="X140" s="187">
        <f t="shared" si="54"/>
        <v>1</v>
      </c>
      <c r="Y140" s="62">
        <f t="shared" si="32"/>
        <v>4.2900000000000001E-2</v>
      </c>
      <c r="Z140" s="62">
        <f t="shared" si="33"/>
        <v>23.3323</v>
      </c>
      <c r="AA140" s="62">
        <f t="shared" si="34"/>
        <v>23.289400000000001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5"/>
        <v>0223-22</v>
      </c>
      <c r="AE140" s="85" t="str">
        <f t="shared" si="36"/>
        <v>aws s3 cp s3://rtdc.mdm.uploadarchive.raw/RTDC4003/ "%USERPROFILE%\AppData\Local\Temp\OnboardLogs"\RTDC4003\2017-03-22 --exclude "*" --recursive --include "*20170322*" &amp; "%USERPROFILE%\Documents\GitHub\mrs-test-scripts\Headless Mode &amp; Sideloading\WalkAndUnGZ.bat" "%USERPROFILE%\AppData\Local\Temp\OnboardLogs"\RTDC4003\2017-03-22 &amp; aws s3 cp s3://rtdc.mdm.uploadarchive.raw/RTDC4003/ "%USERPROFILE%\AppData\Local\Temp\OnboardLogs"\RTDC4003\2017-03-23 --exclude "*" --recursive --include "*20170323*" &amp; "%USERPROFILE%\Documents\GitHub\mrs-test-scripts\Headless Mode &amp; Sideloading\WalkAndUnGZ.bat" "%USERPROFILE%\AppData\Local\Temp\OnboardLogs"\RTDC4003\2017-03-23</v>
      </c>
      <c r="AF140" s="82" t="str">
        <f t="shared" si="37"/>
        <v>"C:\Program Files (x86)\AstroGrep\AstroGrep.exe" /e /r /s /spath="%USERPROFILE%\AppData\Local\Temp\OnboardLogs" /stypes="app*4003*20170323*" /stext=" 02:.+((SYSTEM_STATE.+slice.+state.+changed )|(ment ac)|(multiple cpu faults)|(system.+state.+changed )|(\[timeout)|(PRM\|1\|D)|(kpr)|(kdp)|(\|lc)|(penalty))"</v>
      </c>
      <c r="AG140" s="1" t="str">
        <f t="shared" si="38"/>
        <v>EC</v>
      </c>
      <c r="AH140" s="86" t="str">
        <f t="shared" si="39"/>
        <v>"%USERPROFILE%\Documents\GitHub\eaglep3\Utilities\RefineRTDCRunTimes.py" --tripid 223-22 --locoid 4003 --swversion DE.1.0.9.0 --startMP 204:429 --initTime 2017-03-22T19:22:10 --startdatetime 2017-03-22T19:30:19 --delay 1 --endMP 204:233323 --enddatetime 2017-03-22T20:05:40 --enforcementcount 2 &gt;&gt;C:\Users\stu\Documents\GitHub\eaglep3-reporting\EC\2017-03-22-refined-times.txt</v>
      </c>
      <c r="AI140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{"issue":{"subject":"","project_id":79,"tracker_id":40,"status_id":1,"priority_id":2,"assigned_to_id":23,"start_date":"2017-03-22","description":"","custom_fields":[{"id":1,"name":"Subdivision","value":"EC"},{"id":4,"name":"Milepost","value":"23.3323"},{"id":17,"name":"Train ID","value":"223-22"},{"id":16,"name":"Locomotive ID","value":"4003"},{"id":130,"name":"Impact","value":""},{"id":150,"name":"Time of Event (Mountain Time)","value":"20:05:40"},{"id":151,"name":"Denver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41"/>
        <v>start /low /b %USERPROFILE%\Documents\GitHub\eaglep3\Utilities\DownloadLogsFromS3.py --loco 4003 --day 2017-03-22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"%USERPROFILE%\AppData\Local\Temp\OnboardLogs"\RTDC4003\*4003*20170323* | grep -SE "(Enforcement Action)|(\[TIMEOUT)|(CHR.+\|PRM\|1\|D.+(SWITCH|SIGNAL).+UNKNOWN)" - &gt;&gt; 2017-03-22-UncaughtWiMAX.txt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809</v>
      </c>
      <c r="B141" s="7">
        <v>4004</v>
      </c>
      <c r="C141" s="21" t="s">
        <v>219</v>
      </c>
      <c r="D141" s="21" t="s">
        <v>461</v>
      </c>
      <c r="E141" s="13">
        <v>42816.83965277778</v>
      </c>
      <c r="F141" s="13">
        <v>42816.851539351854</v>
      </c>
      <c r="G141" s="7">
        <v>1</v>
      </c>
      <c r="H141" s="21" t="s">
        <v>859</v>
      </c>
      <c r="I141" s="13">
        <v>42816.877685185187</v>
      </c>
      <c r="J141" s="7">
        <v>2</v>
      </c>
      <c r="K141" s="98" t="str">
        <f t="shared" ref="K141:K204" si="55">IF(ISEVEN(B141),(B141-1)&amp;"/"&amp;B141,B141&amp;"/"&amp;(B141+1))</f>
        <v>4003/4004</v>
      </c>
      <c r="L141" s="21" t="str">
        <f>VLOOKUP(A141,'Trips&amp;Operators'!$C$1:$G$99999,5,FALSE)</f>
        <v>LALONDE GREGORY</v>
      </c>
      <c r="M141" s="6">
        <f t="shared" ref="M141:M204" si="56">I141-F141</f>
        <v>2.6145833333430346E-2</v>
      </c>
      <c r="N141" s="7">
        <f t="shared" si="53"/>
        <v>37.650000000139698</v>
      </c>
      <c r="O141" s="7"/>
      <c r="P141" s="7"/>
      <c r="Q141" s="22"/>
      <c r="R141" s="22"/>
      <c r="S141" s="31">
        <f t="shared" si="48"/>
        <v>1</v>
      </c>
      <c r="T141" s="46" t="str">
        <f t="shared" ref="T141:T204" si="57">IF(ISEVEN(LEFT(AD141,4)),"Southbound","NorthBound")</f>
        <v>Southbound</v>
      </c>
      <c r="U141" s="18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6" t="str">
        <f t="shared" ref="V141:V204" si="58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-03-22T19:09:06-0600',mode:absolute,to:'2017-03-22T22:03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1" s="187" t="str">
        <f t="shared" ref="W141:W204" si="59">IF(AA141&lt;IF(AG141="EC",23,5.65),"Y","N")</f>
        <v>N</v>
      </c>
      <c r="X141" s="187">
        <f t="shared" si="54"/>
        <v>1</v>
      </c>
      <c r="Y141" s="62">
        <f t="shared" ref="Y141:Y204" si="60">RIGHT(D141,LEN(D141)-4)/10000</f>
        <v>23.302099999999999</v>
      </c>
      <c r="Z141" s="62">
        <f t="shared" ref="Z141:Z204" si="61">RIGHT(H141,LEN(H141)-4)/10000</f>
        <v>1.3899999999999999E-2</v>
      </c>
      <c r="AA141" s="62">
        <f t="shared" ref="AA141:AA204" si="62">ABS(Z141-Y141)</f>
        <v>23.2882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63">IF(LEN(A141)=6,"0"&amp;A141,A141)</f>
        <v>0224-22</v>
      </c>
      <c r="AE141" s="85" t="str">
        <f t="shared" ref="AE141:AE204" si="64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s3://rtdc.mdm.uploadarchive.raw/RTDC4004/ "%USERPROFILE%\AppData\Local\Temp\OnboardLogs"\RTDC4004\2017-03-22 --exclude "*" --recursive --include "*20170322*" &amp; "%USERPROFILE%\Documents\GitHub\mrs-test-scripts\Headless Mode &amp; Sideloading\WalkAndUnGZ.bat" "%USERPROFILE%\AppData\Local\Temp\OnboardLogs"\RTDC4004\2017-03-22 &amp; aws s3 cp s3://rtdc.mdm.uploadarchive.raw/RTDC4004/ "%USERPROFILE%\AppData\Local\Temp\OnboardLogs"\RTDC4004\2017-03-23 --exclude "*" --recursive --include "*20170323*" &amp; "%USERPROFILE%\Documents\GitHub\mrs-test-scripts\Headless Mode &amp; Sideloading\WalkAndUnGZ.bat" "%USERPROFILE%\AppData\Local\Temp\OnboardLogs"\RTDC4004\2017-03-23</v>
      </c>
      <c r="AF141" s="82" t="str">
        <f t="shared" ref="AF141:AF204" si="65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/stypes="app*4004*20170323*" /stext=" 03:.+((SYSTEM_STATE.+slice.+state.+changed )|(ment ac)|(multiple cpu faults)|(system.+state.+changed )|(\[timeout)|(PRM\|1\|D)|(kpr)|(kdp)|(\|lc)|(penalty))"</v>
      </c>
      <c r="AG141" s="1" t="str">
        <f t="shared" ref="AG141:AG204" si="66">IFERROR(IF(VALUE(LEFT(AD141,2))&lt;=2,"EC",IF(OR(VALUE(LEFT(AD141,2))=8,VALUE(LEFT(AD141,2))=18),"NW","Other")),"Other")</f>
        <v>EC</v>
      </c>
      <c r="AH141" s="86" t="str">
        <f t="shared" si="39"/>
        <v>"%USERPROFILE%\Documents\GitHub\eaglep3\Utilities\RefineRTDCRunTimes.py" --tripid 224-22 --locoid 4004 --swversion DE.1.0.9.0 --startMP 204:233021 --initTime 2017-03-22T20:09:06 --startdatetime 2017-03-22T20:26:13 --delay 1 --endMP 204:139 --enddatetime 2017-03-22T21:03:52 --enforcementcount 2 &gt;&gt;C:\Users\stu\Documents\GitHub\eaglep3-reporting\EC\2017-03-22-refined-times.txt</v>
      </c>
      <c r="AI141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{"issue":{"subject":"","project_id":79,"tracker_id":40,"status_id":1,"priority_id":2,"assigned_to_id":23,"start_date":"2017-03-22","description":"","custom_fields":[{"id":1,"name":"Subdivision","value":"EC"},{"id":4,"name":"Milepost","value":"0.0139"},{"id":17,"name":"Train ID","value":"224-22"},{"id":16,"name":"Locomotive ID","value":"4004"},{"id":130,"name":"Impact","value":""},{"id":150,"name":"Time of Event (Mountain Time)","value":"21:03:52"},{"id":151,"name":"Denver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si="41"/>
        <v>start /low /b %USERPROFILE%\Documents\GitHub\eaglep3\Utilities\DownloadLogsFromS3.py --loco 4004 --day 2017-03-22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"%USERPROFILE%\AppData\Local\Temp\OnboardLogs"\RTDC4004\*4004*20170323* | grep -SE "(Enforcement Action)|(\[TIMEOUT)|(CHR.+\|PRM\|1\|D.+(SWITCH|SIGNAL).+UNKNOWN)" - &gt;&gt; 2017-03-22-UncaughtWiMAX.txt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641</v>
      </c>
      <c r="B142" s="7">
        <v>4040</v>
      </c>
      <c r="C142" s="21" t="s">
        <v>219</v>
      </c>
      <c r="D142" s="21" t="s">
        <v>212</v>
      </c>
      <c r="E142" s="13">
        <v>42816.829872685186</v>
      </c>
      <c r="F142" s="13">
        <v>42816.833553240744</v>
      </c>
      <c r="G142" s="7">
        <v>1</v>
      </c>
      <c r="H142" s="21" t="s">
        <v>923</v>
      </c>
      <c r="I142" s="13">
        <v>42816.859085648146</v>
      </c>
      <c r="J142" s="7">
        <v>2</v>
      </c>
      <c r="K142" s="98" t="str">
        <f t="shared" si="55"/>
        <v>4039/4040</v>
      </c>
      <c r="L142" s="21" t="str">
        <f>VLOOKUP(A142,'Trips&amp;Operators'!$C$1:$G$99999,5,FALSE)</f>
        <v>BROWN JACOB</v>
      </c>
      <c r="M142" s="6">
        <f t="shared" si="56"/>
        <v>2.5532407402351964E-2</v>
      </c>
      <c r="N142" s="7">
        <f t="shared" si="53"/>
        <v>36.766666659386829</v>
      </c>
      <c r="O142" s="7"/>
      <c r="P142" s="7"/>
      <c r="Q142" s="22"/>
      <c r="R142" s="22"/>
      <c r="S142" s="31">
        <f t="shared" si="48"/>
        <v>1</v>
      </c>
      <c r="T142" s="46" t="str">
        <f t="shared" si="57"/>
        <v>NorthBound</v>
      </c>
      <c r="U142" s="18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6" t="str">
        <f t="shared" si="58"/>
        <v>https://d0f6bd738d7f1b3e5a7ca70fe4ff75f0.us-east-1.aws.found.io/app/kibana#/discover/Steve-Slow-Train-Analysis-(2080s-and-2083s)?_g=(refreshInterval:(display:Off,pause:!f,section:0,value:0),time:(from:'2017-03-22T18:55:01-0600',mode:absolute,to:'2017-03-22T21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2" s="187" t="str">
        <f t="shared" si="59"/>
        <v>N</v>
      </c>
      <c r="X142" s="187">
        <f t="shared" si="54"/>
        <v>1</v>
      </c>
      <c r="Y142" s="62">
        <f t="shared" si="60"/>
        <v>4.53E-2</v>
      </c>
      <c r="Z142" s="62">
        <f t="shared" si="61"/>
        <v>23.335899999999999</v>
      </c>
      <c r="AA142" s="62">
        <f t="shared" si="62"/>
        <v>23.290599999999998</v>
      </c>
      <c r="AB142" s="59" t="str">
        <f>VLOOKUP(A142,Enforcements!$C$7:$K$13,8,0)</f>
        <v>Bulletin (2)</v>
      </c>
      <c r="AC142" s="55" t="str">
        <f>VLOOKUP(A142,Enforcements!$C$7:$E$13,3,0)</f>
        <v>GRADE CROSSING</v>
      </c>
      <c r="AD142" s="56" t="str">
        <f t="shared" si="63"/>
        <v>0225-22</v>
      </c>
      <c r="AE142" s="85" t="str">
        <f t="shared" si="64"/>
        <v>aws s3 cp s3://rtdc.mdm.uploadarchive.raw/RTDC4040/ "%USERPROFILE%\AppData\Local\Temp\OnboardLogs"\RTDC4040\2017-03-22 --exclude "*" --recursive --include "*20170322*" &amp; "%USERPROFILE%\Documents\GitHub\mrs-test-scripts\Headless Mode &amp; Sideloading\WalkAndUnGZ.bat" "%USERPROFILE%\AppData\Local\Temp\OnboardLogs"\RTDC4040\2017-03-22 &amp; aws s3 cp s3://rtdc.mdm.uploadarchive.raw/RTDC4040/ "%USERPROFILE%\AppData\Local\Temp\OnboardLogs"\RTDC4040\2017-03-23 --exclude "*" --recursive --include "*20170323*" &amp; "%USERPROFILE%\Documents\GitHub\mrs-test-scripts\Headless Mode &amp; Sideloading\WalkAndUnGZ.bat" "%USERPROFILE%\AppData\Local\Temp\OnboardLogs"\RTDC4040\2017-03-23</v>
      </c>
      <c r="AF142" s="82" t="str">
        <f t="shared" si="65"/>
        <v>"C:\Program Files (x86)\AstroGrep\AstroGrep.exe" /e /r /s /spath="%USERPROFILE%\AppData\Local\Temp\OnboardLogs" /stypes="app*4040*20170323*" /stext=" 02:.+((SYSTEM_STATE.+slice.+state.+changed )|(ment ac)|(multiple cpu faults)|(system.+state.+changed )|(\[timeout)|(PRM\|1\|D)|(kpr)|(kdp)|(\|lc)|(penalty))"</v>
      </c>
      <c r="AG142" s="1" t="str">
        <f t="shared" si="66"/>
        <v>EC</v>
      </c>
      <c r="AH142" s="86" t="str">
        <f t="shared" si="39"/>
        <v>"%USERPROFILE%\Documents\GitHub\eaglep3\Utilities\RefineRTDCRunTimes.py" --tripid 225-22 --locoid 4040 --swversion DE.1.0.9.0 --startMP 204:453 --initTime 2017-03-22T19:55:01 --startdatetime 2017-03-22T20:00:19 --delay 1 --endMP 204:233359 --enddatetime 2017-03-22T20:37:05 --enforcementcount 2 &gt;&gt;C:\Users\stu\Documents\GitHub\eaglep3-reporting\EC\2017-03-22-refined-times.txt</v>
      </c>
      <c r="AI142" s="108" t="str">
        <f t="shared" si="40"/>
        <v>echo {"issue":{"subject":"","project_id":79,"tracker_id":40,"status_id":1,"priority_id":2,"assigned_to_id":23,"start_date":"2017-03-22","description":"","custom_fields":[{"id":1,"name":"Subdivision","value":"EC"},{"id":4,"name":"Milepost","value":"23.3359"},{"id":17,"name":"Train ID","value":"225-22"},{"id":16,"name":"Locomotive ID","value":"4040"},{"id":130,"name":"Impact","value":""},{"id":150,"name":"Time of Event (Mountain Time)","value":"20:37:05"},{"id":151,"name":"Denver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si="41"/>
        <v>start /low /b %USERPROFILE%\Documents\GitHub\eaglep3\Utilities\DownloadLogsFromS3.py --loco 4040 --day 2017-03-22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"%USERPROFILE%\AppData\Local\Temp\OnboardLogs"\RTDC4040\*4040*20170323* | grep -SE "(Enforcement Action)|(\[TIMEOUT)|(CHR.+\|PRM\|1\|D.+(SWITCH|SIGNAL).+UNKNOWN)" - &gt;&gt; 2017-03-22-UncaughtWiMAX.txt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813</v>
      </c>
      <c r="B143" s="7">
        <v>4039</v>
      </c>
      <c r="C143" s="21" t="s">
        <v>219</v>
      </c>
      <c r="D143" s="21" t="s">
        <v>924</v>
      </c>
      <c r="E143" s="13">
        <v>42816.869895833333</v>
      </c>
      <c r="F143" s="13">
        <v>42816.872407407405</v>
      </c>
      <c r="G143" s="7">
        <v>1</v>
      </c>
      <c r="H143" s="21" t="s">
        <v>395</v>
      </c>
      <c r="I143" s="13">
        <v>42816.900034722225</v>
      </c>
      <c r="J143" s="7">
        <v>2</v>
      </c>
      <c r="K143" s="98" t="str">
        <f t="shared" si="55"/>
        <v>4039/4040</v>
      </c>
      <c r="L143" s="21" t="str">
        <f>VLOOKUP(A143,'Trips&amp;Operators'!$C$1:$G$99999,5,FALSE)</f>
        <v>BROWN JACOB</v>
      </c>
      <c r="M143" s="6">
        <f t="shared" si="56"/>
        <v>2.7627314819255844E-2</v>
      </c>
      <c r="N143" s="7">
        <f t="shared" si="53"/>
        <v>39.783333339728415</v>
      </c>
      <c r="O143" s="7"/>
      <c r="P143" s="7"/>
      <c r="Q143" s="22"/>
      <c r="R143" s="22"/>
      <c r="S143" s="31">
        <f t="shared" si="48"/>
        <v>1</v>
      </c>
      <c r="T143" s="46" t="str">
        <f t="shared" si="57"/>
        <v>Southbound</v>
      </c>
      <c r="U143" s="18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6" t="str">
        <f t="shared" si="58"/>
        <v>https://d0f6bd738d7f1b3e5a7ca70fe4ff75f0.us-east-1.aws.found.io/app/kibana#/discover/Steve-Slow-Train-Analysis-(2080s-and-2083s)?_g=(refreshInterval:(display:Off,pause:!f,section:0,value:0),time:(from:'2017-03-22T19:52:39-0600',mode:absolute,to:'2017-03-22T22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3" s="187" t="str">
        <f t="shared" si="59"/>
        <v>N</v>
      </c>
      <c r="X143" s="187">
        <f t="shared" si="54"/>
        <v>1</v>
      </c>
      <c r="Y143" s="62">
        <f t="shared" si="60"/>
        <v>23.3047</v>
      </c>
      <c r="Z143" s="62">
        <f t="shared" si="61"/>
        <v>1.4500000000000001E-2</v>
      </c>
      <c r="AA143" s="62">
        <f t="shared" si="62"/>
        <v>23.290199999999999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63"/>
        <v>0226-22</v>
      </c>
      <c r="AE143" s="85" t="str">
        <f t="shared" si="64"/>
        <v>aws s3 cp s3://rtdc.mdm.uploadarchive.raw/RTDC4039/ "%USERPROFILE%\AppData\Local\Temp\OnboardLogs"\RTDC4039\2017-03-22 --exclude "*" --recursive --include "*20170322*" &amp; "%USERPROFILE%\Documents\GitHub\mrs-test-scripts\Headless Mode &amp; Sideloading\WalkAndUnGZ.bat" "%USERPROFILE%\AppData\Local\Temp\OnboardLogs"\RTDC4039\2017-03-22 &amp; aws s3 cp s3://rtdc.mdm.uploadarchive.raw/RTDC4039/ "%USERPROFILE%\AppData\Local\Temp\OnboardLogs"\RTDC4039\2017-03-23 --exclude "*" --recursive --include "*20170323*" &amp; "%USERPROFILE%\Documents\GitHub\mrs-test-scripts\Headless Mode &amp; Sideloading\WalkAndUnGZ.bat" "%USERPROFILE%\AppData\Local\Temp\OnboardLogs"\RTDC4039\2017-03-23</v>
      </c>
      <c r="AF143" s="82" t="str">
        <f t="shared" si="65"/>
        <v>"C:\Program Files (x86)\AstroGrep\AstroGrep.exe" /e /r /s /spath="%USERPROFILE%\AppData\Local\Temp\OnboardLogs" /stypes="app*4039*20170323*" /stext=" 03:.+((SYSTEM_STATE.+slice.+state.+changed )|(ment ac)|(multiple cpu faults)|(system.+state.+changed )|(\[timeout)|(PRM\|1\|D)|(kpr)|(kdp)|(\|lc)|(penalty))"</v>
      </c>
      <c r="AG143" s="1" t="str">
        <f t="shared" si="66"/>
        <v>EC</v>
      </c>
      <c r="AH143" s="86" t="str">
        <f t="shared" ref="AH143:AH208" si="67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226-22 --locoid 4039 --swversion DE.1.0.9.0 --startMP 204:233047 --initTime 2017-03-22T20:52:39 --startdatetime 2017-03-22T20:56:16 --delay 1 --endMP 204:145 --enddatetime 2017-03-22T21:36:03 --enforcementcount 2 &gt;&gt;C:\Users\stu\Documents\GitHub\eaglep3-reporting\EC\2017-03-22-refined-times.txt</v>
      </c>
      <c r="AI143" s="108" t="str">
        <f t="shared" ref="AI143:AI208" si="68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{"issue":{"subject":"","project_id":79,"tracker_id":40,"status_id":1,"priority_id":2,"assigned_to_id":23,"start_date":"2017-03-22","description":"","custom_fields":[{"id":1,"name":"Subdivision","value":"EC"},{"id":4,"name":"Milepost","value":"0.0145"},{"id":17,"name":"Train ID","value":"226-22"},{"id":16,"name":"Locomotive ID","value":"4039"},{"id":130,"name":"Impact","value":""},{"id":150,"name":"Time of Event (Mountain Time)","value":"21:36:03"},{"id":151,"name":"Denver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ref="AM143:AM208" si="69">"start /low /b "&amp;dls3logs&amp;" --loco "&amp;B143&amp;" --day "&amp;TEXT(F143,"YYYY-MM-DD")</f>
        <v>start /low /b %USERPROFILE%\Documents\GitHub\eaglep3\Utilities\DownloadLogsFromS3.py --loco 4039 --day 2017-03-22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"%USERPROFILE%\AppData\Local\Temp\OnboardLogs"\RTDC4039\*4039*20170323* | grep -SE "(Enforcement Action)|(\[TIMEOUT)|(CHR.+\|PRM\|1\|D.+(SWITCH|SIGNAL).+UNKNOWN)" - &gt;&gt; 2017-03-22-UncaughtWiMAX.txt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810</v>
      </c>
      <c r="B144" s="7">
        <v>4046</v>
      </c>
      <c r="C144" s="21" t="s">
        <v>219</v>
      </c>
      <c r="D144" s="21" t="s">
        <v>456</v>
      </c>
      <c r="E144" s="13">
        <v>42816.840046296296</v>
      </c>
      <c r="F144" s="13">
        <v>42816.854317129626</v>
      </c>
      <c r="G144" s="7">
        <v>1</v>
      </c>
      <c r="H144" s="21" t="s">
        <v>925</v>
      </c>
      <c r="I144" s="13">
        <v>42816.879884259259</v>
      </c>
      <c r="J144" s="7">
        <v>2</v>
      </c>
      <c r="K144" s="98" t="str">
        <f t="shared" si="55"/>
        <v>4045/4046</v>
      </c>
      <c r="L144" s="21" t="str">
        <f>VLOOKUP(A144,'Trips&amp;Operators'!$C$1:$G$99999,5,FALSE)</f>
        <v>NEWELL JAMES</v>
      </c>
      <c r="M144" s="6">
        <f t="shared" si="56"/>
        <v>2.5567129632690921E-2</v>
      </c>
      <c r="N144" s="7">
        <f t="shared" si="53"/>
        <v>36.816666671074927</v>
      </c>
      <c r="O144" s="7"/>
      <c r="P144" s="7"/>
      <c r="Q144" s="22"/>
      <c r="R144" s="22"/>
      <c r="S144" s="31">
        <f t="shared" si="48"/>
        <v>1</v>
      </c>
      <c r="T144" s="46" t="str">
        <f t="shared" si="57"/>
        <v>NorthBound</v>
      </c>
      <c r="U144" s="18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6" t="str">
        <f t="shared" si="58"/>
        <v>https://d0f6bd738d7f1b3e5a7ca70fe4ff75f0.us-east-1.aws.found.io/app/kibana#/discover/Steve-Slow-Train-Analysis-(2080s-and-2083s)?_g=(refreshInterval:(display:Off,pause:!f,section:0,value:0),time:(from:'2017-03-22T19:09:40-0600',mode:absolute,to:'2017-03-22T22:07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4" s="187" t="str">
        <f t="shared" si="59"/>
        <v>N</v>
      </c>
      <c r="X144" s="187">
        <f t="shared" si="54"/>
        <v>1</v>
      </c>
      <c r="Y144" s="62">
        <f t="shared" si="60"/>
        <v>4.4900000000000002E-2</v>
      </c>
      <c r="Z144" s="62">
        <f t="shared" si="61"/>
        <v>23.331900000000001</v>
      </c>
      <c r="AA144" s="62">
        <f t="shared" si="62"/>
        <v>23.287000000000003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63"/>
        <v>0227-22</v>
      </c>
      <c r="AE144" s="85" t="str">
        <f t="shared" si="64"/>
        <v>aws s3 cp s3://rtdc.mdm.uploadarchive.raw/RTDC4046/ "%USERPROFILE%\AppData\Local\Temp\OnboardLogs"\RTDC4046\2017-03-22 --exclude "*" --recursive --include "*20170322*" &amp; "%USERPROFILE%\Documents\GitHub\mrs-test-scripts\Headless Mode &amp; Sideloading\WalkAndUnGZ.bat" "%USERPROFILE%\AppData\Local\Temp\OnboardLogs"\RTDC4046\2017-03-22 &amp; aws s3 cp s3://rtdc.mdm.uploadarchive.raw/RTDC4046/ "%USERPROFILE%\AppData\Local\Temp\OnboardLogs"\RTDC4046\2017-03-23 --exclude "*" --recursive --include "*20170323*" &amp; "%USERPROFILE%\Documents\GitHub\mrs-test-scripts\Headless Mode &amp; Sideloading\WalkAndUnGZ.bat" "%USERPROFILE%\AppData\Local\Temp\OnboardLogs"\RTDC4046\2017-03-23</v>
      </c>
      <c r="AF144" s="82" t="str">
        <f t="shared" si="65"/>
        <v>"C:\Program Files (x86)\AstroGrep\AstroGrep.exe" /e /r /s /spath="%USERPROFILE%\AppData\Local\Temp\OnboardLogs" /stypes="app*4046*20170323*" /stext=" 03:.+((SYSTEM_STATE.+slice.+state.+changed )|(ment ac)|(multiple cpu faults)|(system.+state.+changed )|(\[timeout)|(PRM\|1\|D)|(kpr)|(kdp)|(\|lc)|(penalty))"</v>
      </c>
      <c r="AG144" s="1" t="str">
        <f t="shared" si="66"/>
        <v>EC</v>
      </c>
      <c r="AH144" s="86" t="str">
        <f t="shared" si="67"/>
        <v>"%USERPROFILE%\Documents\GitHub\eaglep3\Utilities\RefineRTDCRunTimes.py" --tripid 227-22 --locoid 4046 --swversion DE.1.0.9.0 --startMP 204:449 --initTime 2017-03-22T20:09:40 --startdatetime 2017-03-22T20:30:13 --delay 1 --endMP 204:233319 --enddatetime 2017-03-22T21:07:02 --enforcementcount 2 &gt;&gt;C:\Users\stu\Documents\GitHub\eaglep3-reporting\EC\2017-03-22-refined-times.txt</v>
      </c>
      <c r="AI144" s="108" t="str">
        <f t="shared" si="68"/>
        <v>echo {"issue":{"subject":"","project_id":79,"tracker_id":40,"status_id":1,"priority_id":2,"assigned_to_id":23,"start_date":"2017-03-22","description":"","custom_fields":[{"id":1,"name":"Subdivision","value":"EC"},{"id":4,"name":"Milepost","value":"23.3319"},{"id":17,"name":"Train ID","value":"227-22"},{"id":16,"name":"Locomotive ID","value":"4046"},{"id":130,"name":"Impact","value":""},{"id":150,"name":"Time of Event (Mountain Time)","value":"21:07:02"},{"id":151,"name":"Denver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69"/>
        <v>start /low /b %USERPROFILE%\Documents\GitHub\eaglep3\Utilities\DownloadLogsFromS3.py --loco 4046 --day 2017-03-22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"%USERPROFILE%\AppData\Local\Temp\OnboardLogs"\RTDC4046\*4046*20170323* | grep -SE "(Enforcement Action)|(\[TIMEOUT)|(CHR.+\|PRM\|1\|D.+(SWITCH|SIGNAL).+UNKNOWN)" - &gt;&gt; 2017-03-22-UncaughtWiMAX.txt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644</v>
      </c>
      <c r="B145" s="7">
        <v>4045</v>
      </c>
      <c r="C145" s="21" t="s">
        <v>219</v>
      </c>
      <c r="D145" s="21" t="s">
        <v>908</v>
      </c>
      <c r="E145" s="13">
        <v>42816.881631944445</v>
      </c>
      <c r="F145" s="13">
        <v>42816.893182870372</v>
      </c>
      <c r="G145" s="7">
        <v>1</v>
      </c>
      <c r="H145" s="21" t="s">
        <v>215</v>
      </c>
      <c r="I145" s="13">
        <v>42816.921076388891</v>
      </c>
      <c r="J145" s="7">
        <v>2</v>
      </c>
      <c r="K145" s="98" t="str">
        <f t="shared" si="55"/>
        <v>4045/4046</v>
      </c>
      <c r="L145" s="21" t="str">
        <f>VLOOKUP(A145,'Trips&amp;Operators'!$C$1:$G$99999,5,FALSE)</f>
        <v>NEWELL JAMES</v>
      </c>
      <c r="M145" s="6">
        <f t="shared" si="56"/>
        <v>2.789351851970423E-2</v>
      </c>
      <c r="N145" s="7">
        <f t="shared" si="53"/>
        <v>40.166666668374091</v>
      </c>
      <c r="O145" s="7"/>
      <c r="P145" s="7"/>
      <c r="Q145" s="22"/>
      <c r="R145" s="22"/>
      <c r="S145" s="31">
        <f t="shared" si="48"/>
        <v>1</v>
      </c>
      <c r="T145" s="46" t="str">
        <f t="shared" si="57"/>
        <v>Southbound</v>
      </c>
      <c r="U145" s="18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6" t="str">
        <f t="shared" si="58"/>
        <v>https://d0f6bd738d7f1b3e5a7ca70fe4ff75f0.us-east-1.aws.found.io/app/kibana#/discover/Steve-Slow-Train-Analysis-(2080s-and-2083s)?_g=(refreshInterval:(display:Off,pause:!f,section:0,value:0),time:(from:'2017-03-22T20:09:33-0600',mode:absolute,to:'2017-03-22T23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5" s="187" t="str">
        <f t="shared" si="59"/>
        <v>N</v>
      </c>
      <c r="X145" s="187">
        <f t="shared" si="54"/>
        <v>1</v>
      </c>
      <c r="Y145" s="62">
        <f t="shared" si="60"/>
        <v>23.3002</v>
      </c>
      <c r="Z145" s="62">
        <f t="shared" si="61"/>
        <v>1.47E-2</v>
      </c>
      <c r="AA145" s="62">
        <f t="shared" si="62"/>
        <v>23.285499999999999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63"/>
        <v>0228-22</v>
      </c>
      <c r="AE145" s="85" t="str">
        <f t="shared" si="64"/>
        <v>aws s3 cp s3://rtdc.mdm.uploadarchive.raw/RTDC4045/ "%USERPROFILE%\AppData\Local\Temp\OnboardLogs"\RTDC4045\2017-03-22 --exclude "*" --recursive --include "*20170322*" &amp; "%USERPROFILE%\Documents\GitHub\mrs-test-scripts\Headless Mode &amp; Sideloading\WalkAndUnGZ.bat" "%USERPROFILE%\AppData\Local\Temp\OnboardLogs"\RTDC4045\2017-03-22 &amp; aws s3 cp s3://rtdc.mdm.uploadarchive.raw/RTDC4045/ "%USERPROFILE%\AppData\Local\Temp\OnboardLogs"\RTDC4045\2017-03-23 --exclude "*" --recursive --include "*20170323*" &amp; "%USERPROFILE%\Documents\GitHub\mrs-test-scripts\Headless Mode &amp; Sideloading\WalkAndUnGZ.bat" "%USERPROFILE%\AppData\Local\Temp\OnboardLogs"\RTDC4045\2017-03-23</v>
      </c>
      <c r="AF145" s="82" t="str">
        <f t="shared" si="65"/>
        <v>"C:\Program Files (x86)\AstroGrep\AstroGrep.exe" /e /r /s /spath="%USERPROFILE%\AppData\Local\Temp\OnboardLogs" /stypes="app*4045*20170323*" /stext=" 04:.+((SYSTEM_STATE.+slice.+state.+changed )|(ment ac)|(multiple cpu faults)|(system.+state.+changed )|(\[timeout)|(PRM\|1\|D)|(kpr)|(kdp)|(\|lc)|(penalty))"</v>
      </c>
      <c r="AG145" s="1" t="str">
        <f t="shared" si="66"/>
        <v>EC</v>
      </c>
      <c r="AH145" s="86" t="str">
        <f t="shared" si="67"/>
        <v>"%USERPROFILE%\Documents\GitHub\eaglep3\Utilities\RefineRTDCRunTimes.py" --tripid 228-22 --locoid 4045 --swversion DE.1.0.9.0 --startMP 204:233002 --initTime 2017-03-22T21:09:33 --startdatetime 2017-03-22T21:26:11 --delay 1 --endMP 204:147 --enddatetime 2017-03-22T22:06:21 --enforcementcount 2 &gt;&gt;C:\Users\stu\Documents\GitHub\eaglep3-reporting\EC\2017-03-22-refined-times.txt</v>
      </c>
      <c r="AI145" s="108" t="str">
        <f t="shared" si="68"/>
        <v>echo {"issue":{"subject":"","project_id":79,"tracker_id":40,"status_id":1,"priority_id":2,"assigned_to_id":23,"start_date":"2017-03-22","description":"","custom_fields":[{"id":1,"name":"Subdivision","value":"EC"},{"id":4,"name":"Milepost","value":"0.0147"},{"id":17,"name":"Train ID","value":"228-22"},{"id":16,"name":"Locomotive ID","value":"4045"},{"id":130,"name":"Impact","value":""},{"id":150,"name":"Time of Event (Mountain Time)","value":"22:06:21"},{"id":151,"name":"Denver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69"/>
        <v>start /low /b %USERPROFILE%\Documents\GitHub\eaglep3\Utilities\DownloadLogsFromS3.py --loco 4045 --day 2017-03-22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"%USERPROFILE%\AppData\Local\Temp\OnboardLogs"\RTDC4045\*4045*20170323* | grep -SE "(Enforcement Action)|(\[TIMEOUT)|(CHR.+\|PRM\|1\|D.+(SWITCH|SIGNAL).+UNKNOWN)" - &gt;&gt; 2017-03-22-UncaughtWiMAX.txt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812</v>
      </c>
      <c r="B146" s="7">
        <v>4018</v>
      </c>
      <c r="C146" s="21" t="s">
        <v>219</v>
      </c>
      <c r="D146" s="21" t="s">
        <v>491</v>
      </c>
      <c r="E146" s="13">
        <v>42816.860636574071</v>
      </c>
      <c r="F146" s="13">
        <v>42816.875254629631</v>
      </c>
      <c r="G146" s="7">
        <v>1</v>
      </c>
      <c r="H146" s="21" t="s">
        <v>220</v>
      </c>
      <c r="I146" s="13">
        <v>42816.901574074072</v>
      </c>
      <c r="J146" s="7">
        <v>2</v>
      </c>
      <c r="K146" s="98" t="str">
        <f t="shared" si="55"/>
        <v>4017/4018</v>
      </c>
      <c r="L146" s="21" t="str">
        <f>VLOOKUP(A146,'Trips&amp;Operators'!$C$1:$G$99999,5,FALSE)</f>
        <v>SWANSON BRYCE</v>
      </c>
      <c r="M146" s="6">
        <f t="shared" si="56"/>
        <v>2.6319444441469386E-2</v>
      </c>
      <c r="N146" s="7">
        <f t="shared" si="53"/>
        <v>37.899999995715916</v>
      </c>
      <c r="O146" s="7"/>
      <c r="P146" s="7"/>
      <c r="Q146" s="22"/>
      <c r="R146" s="22"/>
      <c r="S146" s="31">
        <f t="shared" si="48"/>
        <v>1</v>
      </c>
      <c r="T146" s="46" t="str">
        <f t="shared" si="57"/>
        <v>NorthBound</v>
      </c>
      <c r="U146" s="18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6" t="str">
        <f t="shared" si="58"/>
        <v>https://d0f6bd738d7f1b3e5a7ca70fe4ff75f0.us-east-1.aws.found.io/app/kibana#/discover/Steve-Slow-Train-Analysis-(2080s-and-2083s)?_g=(refreshInterval:(display:Off,pause:!f,section:0,value:0),time:(from:'2017-03-22T19:39:19-0600',mode:absolute,to:'2017-03-22T22:38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6" s="187" t="str">
        <f t="shared" si="59"/>
        <v>N</v>
      </c>
      <c r="X146" s="187">
        <f t="shared" si="54"/>
        <v>1</v>
      </c>
      <c r="Y146" s="62">
        <f t="shared" si="60"/>
        <v>4.6399999999999997E-2</v>
      </c>
      <c r="Z146" s="62">
        <f t="shared" si="61"/>
        <v>23.329699999999999</v>
      </c>
      <c r="AA146" s="62">
        <f t="shared" si="62"/>
        <v>23.283300000000001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63"/>
        <v>0229-22</v>
      </c>
      <c r="AE146" s="85" t="str">
        <f t="shared" si="64"/>
        <v>aws s3 cp s3://rtdc.mdm.uploadarchive.raw/RTDC4018/ "%USERPROFILE%\AppData\Local\Temp\OnboardLogs"\RTDC4018\2017-03-22 --exclude "*" --recursive --include "*20170322*" &amp; "%USERPROFILE%\Documents\GitHub\mrs-test-scripts\Headless Mode &amp; Sideloading\WalkAndUnGZ.bat" "%USERPROFILE%\AppData\Local\Temp\OnboardLogs"\RTDC4018\2017-03-22 &amp; aws s3 cp s3://rtdc.mdm.uploadarchive.raw/RTDC4018/ "%USERPROFILE%\AppData\Local\Temp\OnboardLogs"\RTDC4018\2017-03-23 --exclude "*" --recursive --include "*20170323*" &amp; "%USERPROFILE%\Documents\GitHub\mrs-test-scripts\Headless Mode &amp; Sideloading\WalkAndUnGZ.bat" "%USERPROFILE%\AppData\Local\Temp\OnboardLogs"\RTDC4018\2017-03-23</v>
      </c>
      <c r="AF146" s="82" t="str">
        <f t="shared" si="65"/>
        <v>"C:\Program Files (x86)\AstroGrep\AstroGrep.exe" /e /r /s /spath="%USERPROFILE%\AppData\Local\Temp\OnboardLogs" /stypes="app*4018*20170323*" /stext=" 03:.+((SYSTEM_STATE.+slice.+state.+changed )|(ment ac)|(multiple cpu faults)|(system.+state.+changed )|(\[timeout)|(PRM\|1\|D)|(kpr)|(kdp)|(\|lc)|(penalty))"</v>
      </c>
      <c r="AG146" s="1" t="str">
        <f t="shared" si="66"/>
        <v>EC</v>
      </c>
      <c r="AH146" s="86" t="str">
        <f t="shared" si="67"/>
        <v>"%USERPROFILE%\Documents\GitHub\eaglep3\Utilities\RefineRTDCRunTimes.py" --tripid 229-22 --locoid 4018 --swversion DE.1.0.9.0 --startMP 204:464 --initTime 2017-03-22T20:39:19 --startdatetime 2017-03-22T21:00:22 --delay 1 --endMP 204:233297 --enddatetime 2017-03-22T21:38:16 --enforcementcount 2 &gt;&gt;C:\Users\stu\Documents\GitHub\eaglep3-reporting\EC\2017-03-22-refined-times.txt</v>
      </c>
      <c r="AI146" s="108" t="str">
        <f t="shared" si="68"/>
        <v>echo {"issue":{"subject":"","project_id":79,"tracker_id":40,"status_id":1,"priority_id":2,"assigned_to_id":23,"start_date":"2017-03-22","description":"","custom_fields":[{"id":1,"name":"Subdivision","value":"EC"},{"id":4,"name":"Milepost","value":"23.3297"},{"id":17,"name":"Train ID","value":"229-22"},{"id":16,"name":"Locomotive ID","value":"4018"},{"id":130,"name":"Impact","value":""},{"id":150,"name":"Time of Event (Mountain Time)","value":"21:38:16"},{"id":151,"name":"Denver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69"/>
        <v>start /low /b %USERPROFILE%\Documents\GitHub\eaglep3\Utilities\DownloadLogsFromS3.py --loco 4018 --day 2017-03-22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"%USERPROFILE%\AppData\Local\Temp\OnboardLogs"\RTDC4018\*4018*20170323* | grep -SE "(Enforcement Action)|(\[TIMEOUT)|(CHR.+\|PRM\|1\|D.+(SWITCH|SIGNAL).+UNKNOWN)" - &gt;&gt; 2017-03-22-UncaughtWiMAX.txt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818</v>
      </c>
      <c r="B147" s="7">
        <v>4017</v>
      </c>
      <c r="C147" s="21" t="s">
        <v>219</v>
      </c>
      <c r="D147" s="21" t="s">
        <v>574</v>
      </c>
      <c r="E147" s="13">
        <v>42816.905243055553</v>
      </c>
      <c r="F147" s="13">
        <v>42816.914085648146</v>
      </c>
      <c r="G147" s="7">
        <v>1</v>
      </c>
      <c r="H147" s="21" t="s">
        <v>199</v>
      </c>
      <c r="I147" s="13">
        <v>42816.94326388889</v>
      </c>
      <c r="J147" s="7">
        <v>2</v>
      </c>
      <c r="K147" s="98" t="str">
        <f t="shared" si="55"/>
        <v>4017/4018</v>
      </c>
      <c r="L147" s="21" t="str">
        <f>VLOOKUP(A147,'Trips&amp;Operators'!$C$1:$G$99999,5,FALSE)</f>
        <v>SWANSON BRYCE</v>
      </c>
      <c r="M147" s="6">
        <f t="shared" si="56"/>
        <v>2.9178240743931383E-2</v>
      </c>
      <c r="N147" s="7">
        <f t="shared" si="53"/>
        <v>42.016666671261191</v>
      </c>
      <c r="O147" s="7"/>
      <c r="P147" s="7"/>
      <c r="Q147" s="22"/>
      <c r="R147" s="22"/>
      <c r="S147" s="31">
        <f t="shared" si="48"/>
        <v>1</v>
      </c>
      <c r="T147" s="46" t="str">
        <f t="shared" si="57"/>
        <v>Southbound</v>
      </c>
      <c r="U147" s="18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6" t="str">
        <f t="shared" si="58"/>
        <v>https://d0f6bd738d7f1b3e5a7ca70fe4ff75f0.us-east-1.aws.found.io/app/kibana#/discover/Steve-Slow-Train-Analysis-(2080s-and-2083s)?_g=(refreshInterval:(display:Off,pause:!f,section:0,value:0),time:(from:'2017-03-22T20:43:33-0600',mode:absolute,to:'2017-03-22T23:38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7" s="187" t="str">
        <f t="shared" si="59"/>
        <v>N</v>
      </c>
      <c r="X147" s="187">
        <f t="shared" si="54"/>
        <v>1</v>
      </c>
      <c r="Y147" s="62">
        <f t="shared" si="60"/>
        <v>23.2974</v>
      </c>
      <c r="Z147" s="62">
        <f t="shared" si="61"/>
        <v>1.52E-2</v>
      </c>
      <c r="AA147" s="62">
        <f t="shared" si="62"/>
        <v>23.2822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63"/>
        <v>0230-22</v>
      </c>
      <c r="AE147" s="85" t="str">
        <f t="shared" si="64"/>
        <v>aws s3 cp s3://rtdc.mdm.uploadarchive.raw/RTDC4017/ "%USERPROFILE%\AppData\Local\Temp\OnboardLogs"\RTDC4017\2017-03-22 --exclude "*" --recursive --include "*20170322*" &amp; "%USERPROFILE%\Documents\GitHub\mrs-test-scripts\Headless Mode &amp; Sideloading\WalkAndUnGZ.bat" "%USERPROFILE%\AppData\Local\Temp\OnboardLogs"\RTDC4017\2017-03-22 &amp; aws s3 cp s3://rtdc.mdm.uploadarchive.raw/RTDC4017/ "%USERPROFILE%\AppData\Local\Temp\OnboardLogs"\RTDC4017\2017-03-23 --exclude "*" --recursive --include "*20170323*" &amp; "%USERPROFILE%\Documents\GitHub\mrs-test-scripts\Headless Mode &amp; Sideloading\WalkAndUnGZ.bat" "%USERPROFILE%\AppData\Local\Temp\OnboardLogs"\RTDC4017\2017-03-23</v>
      </c>
      <c r="AF147" s="82" t="str">
        <f t="shared" si="65"/>
        <v>"C:\Program Files (x86)\AstroGrep\AstroGrep.exe" /e /r /s /spath="%USERPROFILE%\AppData\Local\Temp\OnboardLogs" /stypes="app*4017*20170323*" /stext=" 04:.+((SYSTEM_STATE.+slice.+state.+changed )|(ment ac)|(multiple cpu faults)|(system.+state.+changed )|(\[timeout)|(PRM\|1\|D)|(kpr)|(kdp)|(\|lc)|(penalty))"</v>
      </c>
      <c r="AG147" s="1" t="str">
        <f t="shared" si="66"/>
        <v>EC</v>
      </c>
      <c r="AH147" s="86" t="str">
        <f t="shared" si="67"/>
        <v>"%USERPROFILE%\Documents\GitHub\eaglep3\Utilities\RefineRTDCRunTimes.py" --tripid 230-22 --locoid 4017 --swversion DE.1.0.9.0 --startMP 204:232974 --initTime 2017-03-22T21:43:33 --startdatetime 2017-03-22T21:56:17 --delay 1 --endMP 204:152 --enddatetime 2017-03-22T22:38:18 --enforcementcount 2 &gt;&gt;C:\Users\stu\Documents\GitHub\eaglep3-reporting\EC\2017-03-22-refined-times.txt</v>
      </c>
      <c r="AI147" s="108" t="str">
        <f t="shared" si="68"/>
        <v>echo {"issue":{"subject":"","project_id":79,"tracker_id":40,"status_id":1,"priority_id":2,"assigned_to_id":23,"start_date":"2017-03-22","description":"","custom_fields":[{"id":1,"name":"Subdivision","value":"EC"},{"id":4,"name":"Milepost","value":"0.0152"},{"id":17,"name":"Train ID","value":"230-22"},{"id":16,"name":"Locomotive ID","value":"4017"},{"id":130,"name":"Impact","value":""},{"id":150,"name":"Time of Event (Mountain Time)","value":"22:38:18"},{"id":151,"name":"Denver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69"/>
        <v>start /low /b %USERPROFILE%\Documents\GitHub\eaglep3\Utilities\DownloadLogsFromS3.py --loco 4017 --day 2017-03-22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"%USERPROFILE%\AppData\Local\Temp\OnboardLogs"\RTDC4017\*4017*20170323* | grep -SE "(Enforcement Action)|(\[TIMEOUT)|(CHR.+\|PRM\|1\|D.+(SWITCH|SIGNAL).+UNKNOWN)" - &gt;&gt; 2017-03-22-UncaughtWiMAX.txt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814</v>
      </c>
      <c r="B148" s="7">
        <v>4003</v>
      </c>
      <c r="C148" s="21" t="s">
        <v>219</v>
      </c>
      <c r="D148" s="21" t="s">
        <v>216</v>
      </c>
      <c r="E148" s="13">
        <v>42816.880543981482</v>
      </c>
      <c r="F148" s="13">
        <v>42816.896168981482</v>
      </c>
      <c r="G148" s="7">
        <v>1</v>
      </c>
      <c r="H148" s="21" t="s">
        <v>552</v>
      </c>
      <c r="I148" s="13">
        <v>42816.921307870369</v>
      </c>
      <c r="J148" s="7">
        <v>2</v>
      </c>
      <c r="K148" s="98" t="str">
        <f t="shared" si="55"/>
        <v>4003/4004</v>
      </c>
      <c r="L148" s="21" t="str">
        <f>VLOOKUP(A148,'Trips&amp;Operators'!$C$1:$G$99999,5,FALSE)</f>
        <v>LALONDE GREGORY</v>
      </c>
      <c r="M148" s="6">
        <f t="shared" si="56"/>
        <v>2.5138888886431232E-2</v>
      </c>
      <c r="N148" s="7">
        <f t="shared" si="53"/>
        <v>36.199999996460974</v>
      </c>
      <c r="O148" s="7"/>
      <c r="P148" s="7"/>
      <c r="Q148" s="22"/>
      <c r="R148" s="22"/>
      <c r="S148" s="31">
        <f t="shared" si="48"/>
        <v>1</v>
      </c>
      <c r="T148" s="46" t="str">
        <f t="shared" si="57"/>
        <v>NorthBound</v>
      </c>
      <c r="U148" s="18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6" t="str">
        <f t="shared" si="58"/>
        <v>https://d0f6bd738d7f1b3e5a7ca70fe4ff75f0.us-east-1.aws.found.io/app/kibana#/discover/Steve-Slow-Train-Analysis-(2080s-and-2083s)?_g=(refreshInterval:(display:Off,pause:!f,section:0,value:0),time:(from:'2017-03-22T20:07:59-0600',mode:absolute,to:'2017-03-22T23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8" s="187" t="str">
        <f t="shared" si="59"/>
        <v>N</v>
      </c>
      <c r="X148" s="187">
        <f t="shared" si="54"/>
        <v>1</v>
      </c>
      <c r="Y148" s="62">
        <f t="shared" si="60"/>
        <v>4.6600000000000003E-2</v>
      </c>
      <c r="Z148" s="62">
        <f t="shared" si="61"/>
        <v>23.337</v>
      </c>
      <c r="AA148" s="62">
        <f t="shared" si="62"/>
        <v>23.290399999999998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63"/>
        <v>0231-22</v>
      </c>
      <c r="AE148" s="85" t="str">
        <f t="shared" si="64"/>
        <v>aws s3 cp s3://rtdc.mdm.uploadarchive.raw/RTDC4003/ "%USERPROFILE%\AppData\Local\Temp\OnboardLogs"\RTDC4003\2017-03-22 --exclude "*" --recursive --include "*20170322*" &amp; "%USERPROFILE%\Documents\GitHub\mrs-test-scripts\Headless Mode &amp; Sideloading\WalkAndUnGZ.bat" "%USERPROFILE%\AppData\Local\Temp\OnboardLogs"\RTDC4003\2017-03-22 &amp; aws s3 cp s3://rtdc.mdm.uploadarchive.raw/RTDC4003/ "%USERPROFILE%\AppData\Local\Temp\OnboardLogs"\RTDC4003\2017-03-23 --exclude "*" --recursive --include "*20170323*" &amp; "%USERPROFILE%\Documents\GitHub\mrs-test-scripts\Headless Mode &amp; Sideloading\WalkAndUnGZ.bat" "%USERPROFILE%\AppData\Local\Temp\OnboardLogs"\RTDC4003\2017-03-23</v>
      </c>
      <c r="AF148" s="82" t="str">
        <f t="shared" si="65"/>
        <v>"C:\Program Files (x86)\AstroGrep\AstroGrep.exe" /e /r /s /spath="%USERPROFILE%\AppData\Local\Temp\OnboardLogs" /stypes="app*4003*20170323*" /stext=" 04:.+((SYSTEM_STATE.+slice.+state.+changed )|(ment ac)|(multiple cpu faults)|(system.+state.+changed )|(\[timeout)|(PRM\|1\|D)|(kpr)|(kdp)|(\|lc)|(penalty))"</v>
      </c>
      <c r="AG148" s="1" t="str">
        <f t="shared" si="66"/>
        <v>EC</v>
      </c>
      <c r="AH148" s="86" t="str">
        <f t="shared" si="67"/>
        <v>"%USERPROFILE%\Documents\GitHub\eaglep3\Utilities\RefineRTDCRunTimes.py" --tripid 231-22 --locoid 4003 --swversion DE.1.0.9.0 --startMP 204:466 --initTime 2017-03-22T21:07:59 --startdatetime 2017-03-22T21:30:29 --delay 1 --endMP 204:233370 --enddatetime 2017-03-22T22:06:41 --enforcementcount 2 &gt;&gt;C:\Users\stu\Documents\GitHub\eaglep3-reporting\EC\2017-03-22-refined-times.txt</v>
      </c>
      <c r="AI148" s="108" t="str">
        <f t="shared" si="68"/>
        <v>echo {"issue":{"subject":"","project_id":79,"tracker_id":40,"status_id":1,"priority_id":2,"assigned_to_id":23,"start_date":"2017-03-22","description":"","custom_fields":[{"id":1,"name":"Subdivision","value":"EC"},{"id":4,"name":"Milepost","value":"23.337"},{"id":17,"name":"Train ID","value":"231-22"},{"id":16,"name":"Locomotive ID","value":"4003"},{"id":130,"name":"Impact","value":""},{"id":150,"name":"Time of Event (Mountain Time)","value":"22:06:41"},{"id":151,"name":"Denver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69"/>
        <v>start /low /b %USERPROFILE%\Documents\GitHub\eaglep3\Utilities\DownloadLogsFromS3.py --loco 4003 --day 2017-03-22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"%USERPROFILE%\AppData\Local\Temp\OnboardLogs"\RTDC4003\*4003*20170323* | grep -SE "(Enforcement Action)|(\[TIMEOUT)|(CHR.+\|PRM\|1\|D.+(SWITCH|SIGNAL).+UNKNOWN)" - &gt;&gt; 2017-03-22-UncaughtWiMAX.txt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821</v>
      </c>
      <c r="B149" s="7">
        <v>4004</v>
      </c>
      <c r="C149" s="21" t="s">
        <v>219</v>
      </c>
      <c r="D149" s="21" t="s">
        <v>926</v>
      </c>
      <c r="E149" s="13">
        <v>42816.924189814818</v>
      </c>
      <c r="F149" s="13">
        <v>42816.934872685182</v>
      </c>
      <c r="G149" s="7">
        <v>1</v>
      </c>
      <c r="H149" s="21" t="s">
        <v>191</v>
      </c>
      <c r="I149" s="13">
        <v>42816.961516203701</v>
      </c>
      <c r="J149" s="7">
        <v>2</v>
      </c>
      <c r="K149" s="98" t="str">
        <f t="shared" si="55"/>
        <v>4003/4004</v>
      </c>
      <c r="L149" s="21" t="str">
        <f>VLOOKUP(A149,'Trips&amp;Operators'!$C$1:$G$99999,5,FALSE)</f>
        <v>LALONDE GREGORY</v>
      </c>
      <c r="M149" s="6">
        <f t="shared" si="56"/>
        <v>2.6643518518540077E-2</v>
      </c>
      <c r="N149" s="7">
        <f t="shared" si="53"/>
        <v>38.366666666697711</v>
      </c>
      <c r="O149" s="7"/>
      <c r="P149" s="7"/>
      <c r="Q149" s="22"/>
      <c r="R149" s="22"/>
      <c r="S149" s="31">
        <f t="shared" si="48"/>
        <v>1</v>
      </c>
      <c r="T149" s="46" t="str">
        <f t="shared" si="57"/>
        <v>Southbound</v>
      </c>
      <c r="U149" s="18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6" t="str">
        <f t="shared" si="58"/>
        <v>https://d0f6bd738d7f1b3e5a7ca70fe4ff75f0.us-east-1.aws.found.io/app/kibana#/discover/Steve-Slow-Train-Analysis-(2080s-and-2083s)?_g=(refreshInterval:(display:Off,pause:!f,section:0,value:0),time:(from:'2017-03-22T21:10:50-0600',mode:absolute,to:'2017-03-23T00:04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9" s="187" t="str">
        <f t="shared" si="59"/>
        <v>N</v>
      </c>
      <c r="X149" s="187">
        <f t="shared" si="54"/>
        <v>1</v>
      </c>
      <c r="Y149" s="62">
        <f t="shared" si="60"/>
        <v>23.306000000000001</v>
      </c>
      <c r="Z149" s="62">
        <f t="shared" si="61"/>
        <v>1.4999999999999999E-2</v>
      </c>
      <c r="AA149" s="62">
        <f t="shared" si="62"/>
        <v>23.291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63"/>
        <v>0232-22</v>
      </c>
      <c r="AE149" s="85" t="str">
        <f t="shared" si="64"/>
        <v>aws s3 cp s3://rtdc.mdm.uploadarchive.raw/RTDC4004/ "%USERPROFILE%\AppData\Local\Temp\OnboardLogs"\RTDC4004\2017-03-22 --exclude "*" --recursive --include "*20170322*" &amp; "%USERPROFILE%\Documents\GitHub\mrs-test-scripts\Headless Mode &amp; Sideloading\WalkAndUnGZ.bat" "%USERPROFILE%\AppData\Local\Temp\OnboardLogs"\RTDC4004\2017-03-22 &amp; aws s3 cp s3://rtdc.mdm.uploadarchive.raw/RTDC4004/ "%USERPROFILE%\AppData\Local\Temp\OnboardLogs"\RTDC4004\2017-03-23 --exclude "*" --recursive --include "*20170323*" &amp; "%USERPROFILE%\Documents\GitHub\mrs-test-scripts\Headless Mode &amp; Sideloading\WalkAndUnGZ.bat" "%USERPROFILE%\AppData\Local\Temp\OnboardLogs"\RTDC4004\2017-03-23</v>
      </c>
      <c r="AF149" s="82" t="str">
        <f t="shared" si="65"/>
        <v>"C:\Program Files (x86)\AstroGrep\AstroGrep.exe" /e /r /s /spath="%USERPROFILE%\AppData\Local\Temp\OnboardLogs" /stypes="app*4004*20170323*" /stext=" 05:.+((SYSTEM_STATE.+slice.+state.+changed )|(ment ac)|(multiple cpu faults)|(system.+state.+changed )|(\[timeout)|(PRM\|1\|D)|(kpr)|(kdp)|(\|lc)|(penalty))"</v>
      </c>
      <c r="AG149" s="1" t="str">
        <f t="shared" si="66"/>
        <v>EC</v>
      </c>
      <c r="AH149" s="86" t="str">
        <f t="shared" si="67"/>
        <v>"%USERPROFILE%\Documents\GitHub\eaglep3\Utilities\RefineRTDCRunTimes.py" --tripid 232-22 --locoid 4004 --swversion DE.1.0.9.0 --startMP 204:233060 --initTime 2017-03-22T22:10:50 --startdatetime 2017-03-22T22:26:13 --delay 1 --endMP 204:150 --enddatetime 2017-03-22T23:04:35 --enforcementcount 2 &gt;&gt;C:\Users\stu\Documents\GitHub\eaglep3-reporting\EC\2017-03-22-refined-times.txt</v>
      </c>
      <c r="AI149" s="108" t="str">
        <f t="shared" si="68"/>
        <v>echo {"issue":{"subject":"","project_id":79,"tracker_id":40,"status_id":1,"priority_id":2,"assigned_to_id":23,"start_date":"2017-03-22","description":"","custom_fields":[{"id":1,"name":"Subdivision","value":"EC"},{"id":4,"name":"Milepost","value":"0.015"},{"id":17,"name":"Train ID","value":"232-22"},{"id":16,"name":"Locomotive ID","value":"4004"},{"id":130,"name":"Impact","value":""},{"id":150,"name":"Time of Event (Mountain Time)","value":"23:04:35"},{"id":151,"name":"Denver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69"/>
        <v>start /low /b %USERPROFILE%\Documents\GitHub\eaglep3\Utilities\DownloadLogsFromS3.py --loco 4004 --day 2017-03-22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"%USERPROFILE%\AppData\Local\Temp\OnboardLogs"\RTDC4004\*4004*20170323* | grep -SE "(Enforcement Action)|(\[TIMEOUT)|(CHR.+\|PRM\|1\|D.+(SWITCH|SIGNAL).+UNKNOWN)" - &gt;&gt; 2017-03-22-UncaughtWiMAX.txt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3" t="s">
        <v>819</v>
      </c>
      <c r="B150" s="7">
        <v>4040</v>
      </c>
      <c r="C150" s="21" t="s">
        <v>219</v>
      </c>
      <c r="D150" s="21" t="s">
        <v>491</v>
      </c>
      <c r="E150" s="13">
        <v>42816.908055555556</v>
      </c>
      <c r="F150" s="13">
        <v>42816.91684027778</v>
      </c>
      <c r="G150" s="7">
        <v>1</v>
      </c>
      <c r="H150" s="21" t="s">
        <v>876</v>
      </c>
      <c r="I150" s="13">
        <v>42816.942476851851</v>
      </c>
      <c r="J150" s="7">
        <v>2</v>
      </c>
      <c r="K150" s="98" t="str">
        <f t="shared" si="55"/>
        <v>4039/4040</v>
      </c>
      <c r="L150" s="21" t="str">
        <f>VLOOKUP(A150,'Trips&amp;Operators'!$C$1:$G$99999,5,FALSE)</f>
        <v>BROWN JACOB</v>
      </c>
      <c r="M150" s="6">
        <f t="shared" si="56"/>
        <v>2.5636574071540963E-2</v>
      </c>
      <c r="N150" s="7">
        <f t="shared" si="53"/>
        <v>36.916666663018987</v>
      </c>
      <c r="O150" s="7"/>
      <c r="P150" s="7"/>
      <c r="Q150" s="22"/>
      <c r="R150" s="22"/>
      <c r="S150" s="31">
        <f t="shared" si="48"/>
        <v>1</v>
      </c>
      <c r="T150" s="46" t="str">
        <f t="shared" si="57"/>
        <v>NorthBound</v>
      </c>
      <c r="U150" s="18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6" t="str">
        <f t="shared" si="58"/>
        <v>https://d0f6bd738d7f1b3e5a7ca70fe4ff75f0.us-east-1.aws.found.io/app/kibana#/discover/Steve-Slow-Train-Analysis-(2080s-and-2083s)?_g=(refreshInterval:(display:Off,pause:!f,section:0,value:0),time:(from:'2017-03-22T20:47:36-0600',mode:absolute,to:'2017-03-22T23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0" s="187" t="str">
        <f t="shared" si="59"/>
        <v>N</v>
      </c>
      <c r="X150" s="187">
        <f t="shared" si="54"/>
        <v>1</v>
      </c>
      <c r="Y150" s="62">
        <f t="shared" si="60"/>
        <v>4.6399999999999997E-2</v>
      </c>
      <c r="Z150" s="62">
        <f t="shared" si="61"/>
        <v>23.334199999999999</v>
      </c>
      <c r="AA150" s="62">
        <f t="shared" si="62"/>
        <v>23.287800000000001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63"/>
        <v>0233-22</v>
      </c>
      <c r="AE150" s="85" t="str">
        <f t="shared" si="64"/>
        <v>aws s3 cp s3://rtdc.mdm.uploadarchive.raw/RTDC4040/ "%USERPROFILE%\AppData\Local\Temp\OnboardLogs"\RTDC4040\2017-03-22 --exclude "*" --recursive --include "*20170322*" &amp; "%USERPROFILE%\Documents\GitHub\mrs-test-scripts\Headless Mode &amp; Sideloading\WalkAndUnGZ.bat" "%USERPROFILE%\AppData\Local\Temp\OnboardLogs"\RTDC4040\2017-03-22 &amp; aws s3 cp s3://rtdc.mdm.uploadarchive.raw/RTDC4040/ "%USERPROFILE%\AppData\Local\Temp\OnboardLogs"\RTDC4040\2017-03-23 --exclude "*" --recursive --include "*20170323*" &amp; "%USERPROFILE%\Documents\GitHub\mrs-test-scripts\Headless Mode &amp; Sideloading\WalkAndUnGZ.bat" "%USERPROFILE%\AppData\Local\Temp\OnboardLogs"\RTDC4040\2017-03-23</v>
      </c>
      <c r="AF150" s="82" t="str">
        <f t="shared" si="65"/>
        <v>"C:\Program Files (x86)\AstroGrep\AstroGrep.exe" /e /r /s /spath="%USERPROFILE%\AppData\Local\Temp\OnboardLogs" /stypes="app*4040*20170323*" /stext=" 04:.+((SYSTEM_STATE.+slice.+state.+changed )|(ment ac)|(multiple cpu faults)|(system.+state.+changed )|(\[timeout)|(PRM\|1\|D)|(kpr)|(kdp)|(\|lc)|(penalty))"</v>
      </c>
      <c r="AG150" s="1" t="str">
        <f t="shared" si="66"/>
        <v>EC</v>
      </c>
      <c r="AH150" s="86" t="str">
        <f t="shared" si="67"/>
        <v>"%USERPROFILE%\Documents\GitHub\eaglep3\Utilities\RefineRTDCRunTimes.py" --tripid 233-22 --locoid 4040 --swversion DE.1.0.9.0 --startMP 204:464 --initTime 2017-03-22T21:47:36 --startdatetime 2017-03-22T22:00:15 --delay 1 --endMP 204:233342 --enddatetime 2017-03-22T22:37:10 --enforcementcount 2 &gt;&gt;C:\Users\stu\Documents\GitHub\eaglep3-reporting\EC\2017-03-22-refined-times.txt</v>
      </c>
      <c r="AI150" s="108" t="str">
        <f t="shared" si="68"/>
        <v>echo {"issue":{"subject":"","project_id":79,"tracker_id":40,"status_id":1,"priority_id":2,"assigned_to_id":23,"start_date":"2017-03-22","description":"","custom_fields":[{"id":1,"name":"Subdivision","value":"EC"},{"id":4,"name":"Milepost","value":"23.3342"},{"id":17,"name":"Train ID","value":"233-22"},{"id":16,"name":"Locomotive ID","value":"4040"},{"id":130,"name":"Impact","value":""},{"id":150,"name":"Time of Event (Mountain Time)","value":"22:37:10"},{"id":151,"name":"Denver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69"/>
        <v>start /low /b %USERPROFILE%\Documents\GitHub\eaglep3\Utilities\DownloadLogsFromS3.py --loco 4040 --day 2017-03-22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"%USERPROFILE%\AppData\Local\Temp\OnboardLogs"\RTDC4040\*4040*20170323* | grep -SE "(Enforcement Action)|(\[TIMEOUT)|(CHR.+\|PRM\|1\|D.+(SWITCH|SIGNAL).+UNKNOWN)" - &gt;&gt; 2017-03-22-UncaughtWiMAX.txt</v>
      </c>
    </row>
    <row r="151" spans="1:91" s="20" customFormat="1" x14ac:dyDescent="0.25">
      <c r="A151" s="33" t="s">
        <v>825</v>
      </c>
      <c r="B151" s="7">
        <v>4039</v>
      </c>
      <c r="C151" s="21" t="s">
        <v>219</v>
      </c>
      <c r="D151" s="21" t="s">
        <v>519</v>
      </c>
      <c r="E151" s="13">
        <v>42816.952430555553</v>
      </c>
      <c r="F151" s="13">
        <v>42816.955729166664</v>
      </c>
      <c r="G151" s="7">
        <v>1</v>
      </c>
      <c r="H151" s="21" t="s">
        <v>184</v>
      </c>
      <c r="I151" s="13">
        <v>42816.983923611115</v>
      </c>
      <c r="J151" s="7">
        <v>2</v>
      </c>
      <c r="K151" s="98" t="str">
        <f t="shared" si="55"/>
        <v>4039/4040</v>
      </c>
      <c r="L151" s="21" t="str">
        <f>VLOOKUP(A151,'Trips&amp;Operators'!$C$1:$G$99999,5,FALSE)</f>
        <v>BROWN JACOB</v>
      </c>
      <c r="M151" s="6">
        <f t="shared" si="56"/>
        <v>2.8194444450491574E-2</v>
      </c>
      <c r="N151" s="7">
        <f t="shared" si="53"/>
        <v>40.600000008707866</v>
      </c>
      <c r="O151" s="7"/>
      <c r="P151" s="7"/>
      <c r="Q151" s="22"/>
      <c r="R151" s="22"/>
      <c r="S151" s="31">
        <f t="shared" si="48"/>
        <v>1</v>
      </c>
      <c r="T151" s="46" t="str">
        <f t="shared" si="57"/>
        <v>Southbound</v>
      </c>
      <c r="U151" s="18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6" t="str">
        <f t="shared" si="58"/>
        <v>https://d0f6bd738d7f1b3e5a7ca70fe4ff75f0.us-east-1.aws.found.io/app/kibana#/discover/Steve-Slow-Train-Analysis-(2080s-and-2083s)?_g=(refreshInterval:(display:Off,pause:!f,section:0,value:0),time:(from:'2017-03-22T21:51:30-0600',mode:absolute,to:'2017-03-23T00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1" s="187" t="str">
        <f t="shared" si="59"/>
        <v>N</v>
      </c>
      <c r="X151" s="187">
        <f t="shared" si="54"/>
        <v>1</v>
      </c>
      <c r="Y151" s="62">
        <f t="shared" si="60"/>
        <v>23.3019</v>
      </c>
      <c r="Z151" s="62">
        <f t="shared" si="61"/>
        <v>1.49E-2</v>
      </c>
      <c r="AA151" s="62">
        <f t="shared" si="62"/>
        <v>23.286999999999999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63"/>
        <v>0234-22</v>
      </c>
      <c r="AE151" s="85" t="str">
        <f t="shared" si="64"/>
        <v>aws s3 cp s3://rtdc.mdm.uploadarchive.raw/RTDC4039/ "%USERPROFILE%\AppData\Local\Temp\OnboardLogs"\RTDC4039\2017-03-22 --exclude "*" --recursive --include "*20170322*" &amp; "%USERPROFILE%\Documents\GitHub\mrs-test-scripts\Headless Mode &amp; Sideloading\WalkAndUnGZ.bat" "%USERPROFILE%\AppData\Local\Temp\OnboardLogs"\RTDC4039\2017-03-22 &amp; aws s3 cp s3://rtdc.mdm.uploadarchive.raw/RTDC4039/ "%USERPROFILE%\AppData\Local\Temp\OnboardLogs"\RTDC4039\2017-03-23 --exclude "*" --recursive --include "*20170323*" &amp; "%USERPROFILE%\Documents\GitHub\mrs-test-scripts\Headless Mode &amp; Sideloading\WalkAndUnGZ.bat" "%USERPROFILE%\AppData\Local\Temp\OnboardLogs"\RTDC4039\2017-03-23</v>
      </c>
      <c r="AF151" s="82" t="str">
        <f t="shared" si="65"/>
        <v>"C:\Program Files (x86)\AstroGrep\AstroGrep.exe" /e /r /s /spath="%USERPROFILE%\AppData\Local\Temp\OnboardLogs" /stypes="app*4039*20170323*" /stext=" 05:.+((SYSTEM_STATE.+slice.+state.+changed )|(ment ac)|(multiple cpu faults)|(system.+state.+changed )|(\[timeout)|(PRM\|1\|D)|(kpr)|(kdp)|(\|lc)|(penalty))"</v>
      </c>
      <c r="AG151" s="1" t="str">
        <f t="shared" si="66"/>
        <v>EC</v>
      </c>
      <c r="AH151" s="86" t="str">
        <f t="shared" si="67"/>
        <v>"%USERPROFILE%\Documents\GitHub\eaglep3\Utilities\RefineRTDCRunTimes.py" --tripid 234-22 --locoid 4039 --swversion DE.1.0.9.0 --startMP 204:233019 --initTime 2017-03-22T22:51:30 --startdatetime 2017-03-22T22:56:15 --delay 1 --endMP 204:149 --enddatetime 2017-03-22T23:36:51 --enforcementcount 2 &gt;&gt;C:\Users\stu\Documents\GitHub\eaglep3-reporting\EC\2017-03-22-refined-times.txt</v>
      </c>
      <c r="AI151" s="108" t="str">
        <f t="shared" si="68"/>
        <v>echo {"issue":{"subject":"","project_id":79,"tracker_id":40,"status_id":1,"priority_id":2,"assigned_to_id":23,"start_date":"2017-03-22","description":"","custom_fields":[{"id":1,"name":"Subdivision","value":"EC"},{"id":4,"name":"Milepost","value":"0.0149"},{"id":17,"name":"Train ID","value":"234-22"},{"id":16,"name":"Locomotive ID","value":"4039"},{"id":130,"name":"Impact","value":""},{"id":150,"name":"Time of Event (Mountain Time)","value":"23:36:51"},{"id":151,"name":"Denver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69"/>
        <v>start /low /b %USERPROFILE%\Documents\GitHub\eaglep3\Utilities\DownloadLogsFromS3.py --loco 4039 --day 2017-03-22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"%USERPROFILE%\AppData\Local\Temp\OnboardLogs"\RTDC4039\*4039*20170323* | grep -SE "(Enforcement Action)|(\[TIMEOUT)|(CHR.+\|PRM\|1\|D.+(SWITCH|SIGNAL).+UNKNOWN)" - &gt;&gt; 2017-03-22-UncaughtWiMAX.txt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820</v>
      </c>
      <c r="B152" s="7">
        <v>4046</v>
      </c>
      <c r="C152" s="21" t="s">
        <v>219</v>
      </c>
      <c r="D152" s="21" t="s">
        <v>223</v>
      </c>
      <c r="E152" s="13">
        <v>42816.923159722224</v>
      </c>
      <c r="F152" s="13">
        <v>42816.937650462962</v>
      </c>
      <c r="G152" s="7">
        <v>1</v>
      </c>
      <c r="H152" s="21" t="s">
        <v>517</v>
      </c>
      <c r="I152" s="13">
        <v>42816.962291666663</v>
      </c>
      <c r="J152" s="7">
        <v>2</v>
      </c>
      <c r="K152" s="98" t="str">
        <f t="shared" si="55"/>
        <v>4045/4046</v>
      </c>
      <c r="L152" s="21" t="str">
        <f>VLOOKUP(A152,'Trips&amp;Operators'!$C$1:$G$99999,5,FALSE)</f>
        <v>NEWELL JAMES</v>
      </c>
      <c r="M152" s="6">
        <f t="shared" si="56"/>
        <v>2.4641203701321501E-2</v>
      </c>
      <c r="N152" s="7">
        <f t="shared" si="53"/>
        <v>35.483333329902962</v>
      </c>
      <c r="O152" s="7"/>
      <c r="P152" s="7"/>
      <c r="Q152" s="22"/>
      <c r="R152" s="22"/>
      <c r="S152" s="31">
        <f t="shared" si="48"/>
        <v>1</v>
      </c>
      <c r="T152" s="46" t="str">
        <f t="shared" si="57"/>
        <v>NorthBound</v>
      </c>
      <c r="U152" s="18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6" t="str">
        <f t="shared" si="58"/>
        <v>https://d0f6bd738d7f1b3e5a7ca70fe4ff75f0.us-east-1.aws.found.io/app/kibana#/discover/Steve-Slow-Train-Analysis-(2080s-and-2083s)?_g=(refreshInterval:(display:Off,pause:!f,section:0,value:0),time:(from:'2017-03-22T21:09:21-0600',mode:absolute,to:'2017-03-23T00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2" s="187" t="str">
        <f t="shared" si="59"/>
        <v>N</v>
      </c>
      <c r="X152" s="187">
        <f t="shared" si="54"/>
        <v>1</v>
      </c>
      <c r="Y152" s="62">
        <f t="shared" si="60"/>
        <v>4.6899999999999997E-2</v>
      </c>
      <c r="Z152" s="62">
        <f t="shared" si="61"/>
        <v>23.33</v>
      </c>
      <c r="AA152" s="62">
        <f t="shared" si="62"/>
        <v>23.283099999999997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63"/>
        <v>0235-22</v>
      </c>
      <c r="AE152" s="85" t="str">
        <f t="shared" si="64"/>
        <v>aws s3 cp s3://rtdc.mdm.uploadarchive.raw/RTDC4046/ "%USERPROFILE%\AppData\Local\Temp\OnboardLogs"\RTDC4046\2017-03-22 --exclude "*" --recursive --include "*20170322*" &amp; "%USERPROFILE%\Documents\GitHub\mrs-test-scripts\Headless Mode &amp; Sideloading\WalkAndUnGZ.bat" "%USERPROFILE%\AppData\Local\Temp\OnboardLogs"\RTDC4046\2017-03-22 &amp; aws s3 cp s3://rtdc.mdm.uploadarchive.raw/RTDC4046/ "%USERPROFILE%\AppData\Local\Temp\OnboardLogs"\RTDC4046\2017-03-23 --exclude "*" --recursive --include "*20170323*" &amp; "%USERPROFILE%\Documents\GitHub\mrs-test-scripts\Headless Mode &amp; Sideloading\WalkAndUnGZ.bat" "%USERPROFILE%\AppData\Local\Temp\OnboardLogs"\RTDC4046\2017-03-23</v>
      </c>
      <c r="AF152" s="82" t="str">
        <f t="shared" si="65"/>
        <v>"C:\Program Files (x86)\AstroGrep\AstroGrep.exe" /e /r /s /spath="%USERPROFILE%\AppData\Local\Temp\OnboardLogs" /stypes="app*4046*20170323*" /stext=" 05:.+((SYSTEM_STATE.+slice.+state.+changed )|(ment ac)|(multiple cpu faults)|(system.+state.+changed )|(\[timeout)|(PRM\|1\|D)|(kpr)|(kdp)|(\|lc)|(penalty))"</v>
      </c>
      <c r="AG152" s="1" t="str">
        <f t="shared" si="66"/>
        <v>EC</v>
      </c>
      <c r="AH152" s="86" t="str">
        <f t="shared" si="67"/>
        <v>"%USERPROFILE%\Documents\GitHub\eaglep3\Utilities\RefineRTDCRunTimes.py" --tripid 235-22 --locoid 4046 --swversion DE.1.0.9.0 --startMP 204:469 --initTime 2017-03-22T22:09:21 --startdatetime 2017-03-22T22:30:13 --delay 1 --endMP 204:233300 --enddatetime 2017-03-22T23:05:42 --enforcementcount 2 &gt;&gt;C:\Users\stu\Documents\GitHub\eaglep3-reporting\EC\2017-03-22-refined-times.txt</v>
      </c>
      <c r="AI152" s="108" t="str">
        <f t="shared" si="68"/>
        <v>echo {"issue":{"subject":"","project_id":79,"tracker_id":40,"status_id":1,"priority_id":2,"assigned_to_id":23,"start_date":"2017-03-22","description":"","custom_fields":[{"id":1,"name":"Subdivision","value":"EC"},{"id":4,"name":"Milepost","value":"23.33"},{"id":17,"name":"Train ID","value":"235-22"},{"id":16,"name":"Locomotive ID","value":"4046"},{"id":130,"name":"Impact","value":""},{"id":150,"name":"Time of Event (Mountain Time)","value":"23:05:42"},{"id":151,"name":"Denver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69"/>
        <v>start /low /b %USERPROFILE%\Documents\GitHub\eaglep3\Utilities\DownloadLogsFromS3.py --loco 4046 --day 2017-03-22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"%USERPROFILE%\AppData\Local\Temp\OnboardLogs"\RTDC4046\*4046*20170323* | grep -SE "(Enforcement Action)|(\[TIMEOUT)|(CHR.+\|PRM\|1\|D.+(SWITCH|SIGNAL).+UNKNOWN)" - &gt;&gt; 2017-03-22-UncaughtWiMAX.txt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827</v>
      </c>
      <c r="B153" s="7">
        <v>4045</v>
      </c>
      <c r="C153" s="21" t="s">
        <v>219</v>
      </c>
      <c r="D153" s="21" t="s">
        <v>462</v>
      </c>
      <c r="E153" s="13">
        <v>42816.974085648151</v>
      </c>
      <c r="F153" s="13">
        <v>42816.976539351854</v>
      </c>
      <c r="G153" s="7">
        <v>1</v>
      </c>
      <c r="H153" s="21" t="s">
        <v>191</v>
      </c>
      <c r="I153" s="13">
        <v>42817.003391203703</v>
      </c>
      <c r="J153" s="7">
        <v>2</v>
      </c>
      <c r="K153" s="98" t="str">
        <f t="shared" si="55"/>
        <v>4045/4046</v>
      </c>
      <c r="L153" s="21" t="str">
        <f>VLOOKUP(A153,'Trips&amp;Operators'!$C$1:$G$99999,5,FALSE)</f>
        <v>NEWELL JAMES</v>
      </c>
      <c r="M153" s="6">
        <f t="shared" si="56"/>
        <v>2.6851851849642117E-2</v>
      </c>
      <c r="N153" s="7">
        <f t="shared" si="53"/>
        <v>38.666666663484648</v>
      </c>
      <c r="O153" s="7"/>
      <c r="P153" s="7"/>
      <c r="Q153" s="22"/>
      <c r="R153" s="22"/>
      <c r="S153" s="31">
        <f t="shared" si="48"/>
        <v>1</v>
      </c>
      <c r="T153" s="46" t="str">
        <f t="shared" si="57"/>
        <v>Southbound</v>
      </c>
      <c r="U153" s="18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6" t="str">
        <f t="shared" si="58"/>
        <v>https://d0f6bd738d7f1b3e5a7ca70fe4ff75f0.us-east-1.aws.found.io/app/kibana#/discover/Steve-Slow-Train-Analysis-(2080s-and-2083s)?_g=(refreshInterval:(display:Off,pause:!f,section:0,value:0),time:(from:'2017-03-22T22:22:41-0600',mode:absolute,to:'2017-03-23T01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3" s="187" t="str">
        <f t="shared" si="59"/>
        <v>N</v>
      </c>
      <c r="X153" s="187">
        <f t="shared" si="54"/>
        <v>1</v>
      </c>
      <c r="Y153" s="62">
        <f t="shared" si="60"/>
        <v>23.299299999999999</v>
      </c>
      <c r="Z153" s="62">
        <f t="shared" si="61"/>
        <v>1.4999999999999999E-2</v>
      </c>
      <c r="AA153" s="62">
        <f t="shared" si="62"/>
        <v>23.284299999999998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63"/>
        <v>0236-22</v>
      </c>
      <c r="AE153" s="85" t="str">
        <f t="shared" si="64"/>
        <v>aws s3 cp s3://rtdc.mdm.uploadarchive.raw/RTDC4045/ "%USERPROFILE%\AppData\Local\Temp\OnboardLogs"\RTDC4045\2017-03-22 --exclude "*" --recursive --include "*20170322*" &amp; "%USERPROFILE%\Documents\GitHub\mrs-test-scripts\Headless Mode &amp; Sideloading\WalkAndUnGZ.bat" "%USERPROFILE%\AppData\Local\Temp\OnboardLogs"\RTDC4045\2017-03-22 &amp; aws s3 cp s3://rtdc.mdm.uploadarchive.raw/RTDC4045/ "%USERPROFILE%\AppData\Local\Temp\OnboardLogs"\RTDC4045\2017-03-23 --exclude "*" --recursive --include "*20170323*" &amp; "%USERPROFILE%\Documents\GitHub\mrs-test-scripts\Headless Mode &amp; Sideloading\WalkAndUnGZ.bat" "%USERPROFILE%\AppData\Local\Temp\OnboardLogs"\RTDC4045\2017-03-23</v>
      </c>
      <c r="AF153" s="82" t="str">
        <f t="shared" si="65"/>
        <v>"C:\Program Files (x86)\AstroGrep\AstroGrep.exe" /e /r /s /spath="%USERPROFILE%\AppData\Local\Temp\OnboardLogs" /stypes="app*4045*20170323*" /stext=" 06:.+((SYSTEM_STATE.+slice.+state.+changed )|(ment ac)|(multiple cpu faults)|(system.+state.+changed )|(\[timeout)|(PRM\|1\|D)|(kpr)|(kdp)|(\|lc)|(penalty))"</v>
      </c>
      <c r="AG153" s="1" t="str">
        <f t="shared" si="66"/>
        <v>EC</v>
      </c>
      <c r="AH153" s="86" t="str">
        <f t="shared" si="67"/>
        <v>"%USERPROFILE%\Documents\GitHub\eaglep3\Utilities\RefineRTDCRunTimes.py" --tripid 236-22 --locoid 4045 --swversion DE.1.0.9.0 --startMP 204:232993 --initTime 2017-03-22T23:22:41 --startdatetime 2017-03-22T23:26:13 --delay 1 --endMP 204:150 --enddatetime 2017-03-23T00:04:53 --enforcementcount 2 &gt;&gt;C:\Users\stu\Documents\GitHub\eaglep3-reporting\EC\2017-03-22-refined-times.txt</v>
      </c>
      <c r="AI153" s="108" t="str">
        <f t="shared" si="68"/>
        <v>echo {"issue":{"subject":"","project_id":79,"tracker_id":40,"status_id":1,"priority_id":2,"assigned_to_id":23,"start_date":"2017-03-23","description":"","custom_fields":[{"id":1,"name":"Subdivision","value":"EC"},{"id":4,"name":"Milepost","value":"0.015"},{"id":17,"name":"Train ID","value":"236-22"},{"id":16,"name":"Locomotive ID","value":"4045"},{"id":130,"name":"Impact","value":""},{"id":150,"name":"Time of Event (Mountain Time)","value":"00:04:53"},{"id":151,"name":"Denver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69"/>
        <v>start /low /b %USERPROFILE%\Documents\GitHub\eaglep3\Utilities\DownloadLogsFromS3.py --loco 4045 --day 2017-03-22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"%USERPROFILE%\AppData\Local\Temp\OnboardLogs"\RTDC4045\*4045*20170323* | grep -SE "(Enforcement Action)|(\[TIMEOUT)|(CHR.+\|PRM\|1\|D.+(SWITCH|SIGNAL).+UNKNOWN)" - &gt;&gt; 2017-03-22-UncaughtWiMAX.txt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824</v>
      </c>
      <c r="B154" s="7">
        <v>4018</v>
      </c>
      <c r="C154" s="21" t="s">
        <v>219</v>
      </c>
      <c r="D154" s="21" t="s">
        <v>487</v>
      </c>
      <c r="E154" s="13">
        <v>42816.945034722223</v>
      </c>
      <c r="F154" s="13">
        <v>42816.958611111113</v>
      </c>
      <c r="G154" s="7">
        <v>1</v>
      </c>
      <c r="H154" s="21" t="s">
        <v>387</v>
      </c>
      <c r="I154" s="13">
        <v>42816.98505787037</v>
      </c>
      <c r="J154" s="7">
        <v>2</v>
      </c>
      <c r="K154" s="98" t="str">
        <f t="shared" si="55"/>
        <v>4017/4018</v>
      </c>
      <c r="L154" s="21" t="str">
        <f>VLOOKUP(A154,'Trips&amp;Operators'!$C$1:$G$99999,5,FALSE)</f>
        <v>SWANSON BRYCE</v>
      </c>
      <c r="M154" s="6">
        <f t="shared" si="56"/>
        <v>2.6446759256941732E-2</v>
      </c>
      <c r="N154" s="7">
        <f t="shared" si="53"/>
        <v>38.083333329996094</v>
      </c>
      <c r="O154" s="7"/>
      <c r="P154" s="7"/>
      <c r="Q154" s="22"/>
      <c r="R154" s="22"/>
      <c r="S154" s="31">
        <f t="shared" si="48"/>
        <v>1</v>
      </c>
      <c r="T154" s="46" t="str">
        <f t="shared" si="57"/>
        <v>NorthBound</v>
      </c>
      <c r="U154" s="18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6" t="str">
        <f t="shared" si="58"/>
        <v>https://d0f6bd738d7f1b3e5a7ca70fe4ff75f0.us-east-1.aws.found.io/app/kibana#/discover/Steve-Slow-Train-Analysis-(2080s-and-2083s)?_g=(refreshInterval:(display:Off,pause:!f,section:0,value:0),time:(from:'2017-03-22T21:40:51-0600',mode:absolute,to:'2017-03-23T00:38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4" s="187" t="str">
        <f t="shared" si="59"/>
        <v>N</v>
      </c>
      <c r="X154" s="187">
        <f t="shared" si="54"/>
        <v>1</v>
      </c>
      <c r="Y154" s="62">
        <f t="shared" si="60"/>
        <v>4.7500000000000001E-2</v>
      </c>
      <c r="Z154" s="62">
        <f t="shared" si="61"/>
        <v>23.3293</v>
      </c>
      <c r="AA154" s="62">
        <f t="shared" si="62"/>
        <v>23.2818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63"/>
        <v>0237-22</v>
      </c>
      <c r="AE154" s="85" t="str">
        <f t="shared" si="64"/>
        <v>aws s3 cp s3://rtdc.mdm.uploadarchive.raw/RTDC4018/ "%USERPROFILE%\AppData\Local\Temp\OnboardLogs"\RTDC4018\2017-03-22 --exclude "*" --recursive --include "*20170322*" &amp; "%USERPROFILE%\Documents\GitHub\mrs-test-scripts\Headless Mode &amp; Sideloading\WalkAndUnGZ.bat" "%USERPROFILE%\AppData\Local\Temp\OnboardLogs"\RTDC4018\2017-03-22 &amp; aws s3 cp s3://rtdc.mdm.uploadarchive.raw/RTDC4018/ "%USERPROFILE%\AppData\Local\Temp\OnboardLogs"\RTDC4018\2017-03-23 --exclude "*" --recursive --include "*20170323*" &amp; "%USERPROFILE%\Documents\GitHub\mrs-test-scripts\Headless Mode &amp; Sideloading\WalkAndUnGZ.bat" "%USERPROFILE%\AppData\Local\Temp\OnboardLogs"\RTDC4018\2017-03-23</v>
      </c>
      <c r="AF154" s="82" t="str">
        <f t="shared" si="65"/>
        <v>"C:\Program Files (x86)\AstroGrep\AstroGrep.exe" /e /r /s /spath="%USERPROFILE%\AppData\Local\Temp\OnboardLogs" /stypes="app*4018*20170323*" /stext=" 05:.+((SYSTEM_STATE.+slice.+state.+changed )|(ment ac)|(multiple cpu faults)|(system.+state.+changed )|(\[timeout)|(PRM\|1\|D)|(kpr)|(kdp)|(\|lc)|(penalty))"</v>
      </c>
      <c r="AG154" s="1" t="str">
        <f t="shared" si="66"/>
        <v>EC</v>
      </c>
      <c r="AH154" s="86" t="str">
        <f t="shared" si="67"/>
        <v>"%USERPROFILE%\Documents\GitHub\eaglep3\Utilities\RefineRTDCRunTimes.py" --tripid 237-22 --locoid 4018 --swversion DE.1.0.9.0 --startMP 204:475 --initTime 2017-03-22T22:40:51 --startdatetime 2017-03-22T23:00:24 --delay 1 --endMP 204:233293 --enddatetime 2017-03-22T23:38:29 --enforcementcount 2 &gt;&gt;C:\Users\stu\Documents\GitHub\eaglep3-reporting\EC\2017-03-22-refined-times.txt</v>
      </c>
      <c r="AI154" s="108" t="str">
        <f t="shared" si="68"/>
        <v>echo {"issue":{"subject":"","project_id":79,"tracker_id":40,"status_id":1,"priority_id":2,"assigned_to_id":23,"start_date":"2017-03-22","description":"","custom_fields":[{"id":1,"name":"Subdivision","value":"EC"},{"id":4,"name":"Milepost","value":"23.3293"},{"id":17,"name":"Train ID","value":"237-22"},{"id":16,"name":"Locomotive ID","value":"4018"},{"id":130,"name":"Impact","value":""},{"id":150,"name":"Time of Event (Mountain Time)","value":"23:38:29"},{"id":151,"name":"Denver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69"/>
        <v>start /low /b %USERPROFILE%\Documents\GitHub\eaglep3\Utilities\DownloadLogsFromS3.py --loco 4018 --day 2017-03-22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"%USERPROFILE%\AppData\Local\Temp\OnboardLogs"\RTDC4018\*4018*20170323* | grep -SE "(Enforcement Action)|(\[TIMEOUT)|(CHR.+\|PRM\|1\|D.+(SWITCH|SIGNAL).+UNKNOWN)" - &gt;&gt; 2017-03-22-UncaughtWiMAX.txt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3" t="s">
        <v>828</v>
      </c>
      <c r="B155" s="7">
        <v>4017</v>
      </c>
      <c r="C155" s="21" t="s">
        <v>219</v>
      </c>
      <c r="D155" s="21" t="s">
        <v>913</v>
      </c>
      <c r="E155" s="13">
        <v>42816.990312499998</v>
      </c>
      <c r="F155" s="13">
        <v>42816.997476851851</v>
      </c>
      <c r="G155" s="7">
        <v>1</v>
      </c>
      <c r="H155" s="21" t="s">
        <v>418</v>
      </c>
      <c r="I155" s="13">
        <v>42817.025925925926</v>
      </c>
      <c r="J155" s="7">
        <v>2</v>
      </c>
      <c r="K155" s="98" t="str">
        <f t="shared" si="55"/>
        <v>4017/4018</v>
      </c>
      <c r="L155" s="21" t="str">
        <f>VLOOKUP(A155,'Trips&amp;Operators'!$C$1:$G$99999,5,FALSE)</f>
        <v>SWANSON BRYCE</v>
      </c>
      <c r="M155" s="6">
        <f t="shared" si="56"/>
        <v>2.8449074074160308E-2</v>
      </c>
      <c r="N155" s="7">
        <f t="shared" si="53"/>
        <v>40.966666666790843</v>
      </c>
      <c r="O155" s="7"/>
      <c r="P155" s="7"/>
      <c r="Q155" s="22"/>
      <c r="R155" s="22"/>
      <c r="S155" s="31">
        <f t="shared" si="48"/>
        <v>1</v>
      </c>
      <c r="T155" s="46" t="str">
        <f t="shared" si="57"/>
        <v>Southbound</v>
      </c>
      <c r="U155" s="18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6" t="str">
        <f t="shared" si="58"/>
        <v>https://d0f6bd738d7f1b3e5a7ca70fe4ff75f0.us-east-1.aws.found.io/app/kibana#/discover/Steve-Slow-Train-Analysis-(2080s-and-2083s)?_g=(refreshInterval:(display:Off,pause:!f,section:0,value:0),time:(from:'2017-03-22T22:46:03-0600',mode:absolute,to:'2017-03-23T01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5" s="187" t="str">
        <f t="shared" si="59"/>
        <v>N</v>
      </c>
      <c r="X155" s="187">
        <f t="shared" si="54"/>
        <v>1</v>
      </c>
      <c r="Y155" s="62">
        <f t="shared" si="60"/>
        <v>23.2987</v>
      </c>
      <c r="Z155" s="62">
        <f t="shared" si="61"/>
        <v>1.6E-2</v>
      </c>
      <c r="AA155" s="62">
        <f t="shared" si="62"/>
        <v>23.282700000000002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63"/>
        <v>0238-22</v>
      </c>
      <c r="AE155" s="85" t="str">
        <f t="shared" si="64"/>
        <v>aws s3 cp s3://rtdc.mdm.uploadarchive.raw/RTDC4017/ "%USERPROFILE%\AppData\Local\Temp\OnboardLogs"\RTDC4017\2017-03-22 --exclude "*" --recursive --include "*20170322*" &amp; "%USERPROFILE%\Documents\GitHub\mrs-test-scripts\Headless Mode &amp; Sideloading\WalkAndUnGZ.bat" "%USERPROFILE%\AppData\Local\Temp\OnboardLogs"\RTDC4017\2017-03-22 &amp; aws s3 cp s3://rtdc.mdm.uploadarchive.raw/RTDC4017/ "%USERPROFILE%\AppData\Local\Temp\OnboardLogs"\RTDC4017\2017-03-23 --exclude "*" --recursive --include "*20170323*" &amp; "%USERPROFILE%\Documents\GitHub\mrs-test-scripts\Headless Mode &amp; Sideloading\WalkAndUnGZ.bat" "%USERPROFILE%\AppData\Local\Temp\OnboardLogs"\RTDC4017\2017-03-23</v>
      </c>
      <c r="AF155" s="82" t="str">
        <f t="shared" si="65"/>
        <v>"C:\Program Files (x86)\AstroGrep\AstroGrep.exe" /e /r /s /spath="%USERPROFILE%\AppData\Local\Temp\OnboardLogs" /stypes="app*4017*20170323*" /stext=" 06:.+((SYSTEM_STATE.+slice.+state.+changed )|(ment ac)|(multiple cpu faults)|(system.+state.+changed )|(\[timeout)|(PRM\|1\|D)|(kpr)|(kdp)|(\|lc)|(penalty))"</v>
      </c>
      <c r="AG155" s="1" t="str">
        <f t="shared" si="66"/>
        <v>EC</v>
      </c>
      <c r="AH155" s="86" t="str">
        <f t="shared" si="67"/>
        <v>"%USERPROFILE%\Documents\GitHub\eaglep3\Utilities\RefineRTDCRunTimes.py" --tripid 238-22 --locoid 4017 --swversion DE.1.0.9.0 --startMP 204:232987 --initTime 2017-03-22T23:46:03 --startdatetime 2017-03-22T23:56:22 --delay 1 --endMP 204:160 --enddatetime 2017-03-23T00:37:20 --enforcementcount 2 &gt;&gt;C:\Users\stu\Documents\GitHub\eaglep3-reporting\EC\2017-03-22-refined-times.txt</v>
      </c>
      <c r="AI155" s="108" t="str">
        <f t="shared" si="68"/>
        <v>echo {"issue":{"subject":"","project_id":79,"tracker_id":40,"status_id":1,"priority_id":2,"assigned_to_id":23,"start_date":"2017-03-23","description":"","custom_fields":[{"id":1,"name":"Subdivision","value":"EC"},{"id":4,"name":"Milepost","value":"0.016"},{"id":17,"name":"Train ID","value":"238-22"},{"id":16,"name":"Locomotive ID","value":"4017"},{"id":130,"name":"Impact","value":""},{"id":150,"name":"Time of Event (Mountain Time)","value":"00:37:20"},{"id":151,"name":"Denver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69"/>
        <v>start /low /b %USERPROFILE%\Documents\GitHub\eaglep3\Utilities\DownloadLogsFromS3.py --loco 4017 --day 2017-03-22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"%USERPROFILE%\AppData\Local\Temp\OnboardLogs"\RTDC4017\*4017*20170323* | grep -SE "(Enforcement Action)|(\[TIMEOUT)|(CHR.+\|PRM\|1\|D.+(SWITCH|SIGNAL).+UNKNOWN)" - &gt;&gt; 2017-03-22-UncaughtWiMAX.txt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3" t="s">
        <v>826</v>
      </c>
      <c r="B156" s="7">
        <v>4003</v>
      </c>
      <c r="C156" s="21" t="s">
        <v>219</v>
      </c>
      <c r="D156" s="21" t="s">
        <v>209</v>
      </c>
      <c r="E156" s="13">
        <v>42816.963773148149</v>
      </c>
      <c r="F156" s="13">
        <v>42816.979351851849</v>
      </c>
      <c r="G156" s="7">
        <v>1</v>
      </c>
      <c r="H156" s="21" t="s">
        <v>900</v>
      </c>
      <c r="I156" s="13">
        <v>42817.004224537035</v>
      </c>
      <c r="J156" s="7">
        <v>2</v>
      </c>
      <c r="K156" s="98" t="str">
        <f t="shared" si="55"/>
        <v>4003/4004</v>
      </c>
      <c r="L156" s="21" t="str">
        <f>VLOOKUP(A156,'Trips&amp;Operators'!$C$1:$G$99999,5,FALSE)</f>
        <v>LALONDE GREGORY</v>
      </c>
      <c r="M156" s="6">
        <f t="shared" si="56"/>
        <v>2.4872685185982846E-2</v>
      </c>
      <c r="N156" s="7">
        <f t="shared" si="53"/>
        <v>35.816666667815298</v>
      </c>
      <c r="O156" s="7"/>
      <c r="P156" s="7"/>
      <c r="Q156" s="22"/>
      <c r="R156" s="22"/>
      <c r="S156" s="31">
        <f t="shared" si="48"/>
        <v>1</v>
      </c>
      <c r="T156" s="46" t="str">
        <f t="shared" si="57"/>
        <v>NorthBound</v>
      </c>
      <c r="U156" s="18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6" t="str">
        <f t="shared" si="58"/>
        <v>https://d0f6bd738d7f1b3e5a7ca70fe4ff75f0.us-east-1.aws.found.io/app/kibana#/discover/Steve-Slow-Train-Analysis-(2080s-and-2083s)?_g=(refreshInterval:(display:Off,pause:!f,section:0,value:0),time:(from:'2017-03-22T22:07:50-0600',mode:absolute,to:'2017-03-23T01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6" s="187" t="str">
        <f t="shared" si="59"/>
        <v>N</v>
      </c>
      <c r="X156" s="187">
        <f t="shared" si="54"/>
        <v>1</v>
      </c>
      <c r="Y156" s="62">
        <f t="shared" si="60"/>
        <v>4.5999999999999999E-2</v>
      </c>
      <c r="Z156" s="62">
        <f t="shared" si="61"/>
        <v>23.3355</v>
      </c>
      <c r="AA156" s="62">
        <f t="shared" si="62"/>
        <v>23.2895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63"/>
        <v>0239-22</v>
      </c>
      <c r="AE156" s="85" t="str">
        <f t="shared" si="64"/>
        <v>aws s3 cp s3://rtdc.mdm.uploadarchive.raw/RTDC4003/ "%USERPROFILE%\AppData\Local\Temp\OnboardLogs"\RTDC4003\2017-03-22 --exclude "*" --recursive --include "*20170322*" &amp; "%USERPROFILE%\Documents\GitHub\mrs-test-scripts\Headless Mode &amp; Sideloading\WalkAndUnGZ.bat" "%USERPROFILE%\AppData\Local\Temp\OnboardLogs"\RTDC4003\2017-03-22 &amp; aws s3 cp s3://rtdc.mdm.uploadarchive.raw/RTDC4003/ "%USERPROFILE%\AppData\Local\Temp\OnboardLogs"\RTDC4003\2017-03-23 --exclude "*" --recursive --include "*20170323*" &amp; "%USERPROFILE%\Documents\GitHub\mrs-test-scripts\Headless Mode &amp; Sideloading\WalkAndUnGZ.bat" "%USERPROFILE%\AppData\Local\Temp\OnboardLogs"\RTDC4003\2017-03-23</v>
      </c>
      <c r="AF156" s="82" t="str">
        <f t="shared" si="65"/>
        <v>"C:\Program Files (x86)\AstroGrep\AstroGrep.exe" /e /r /s /spath="%USERPROFILE%\AppData\Local\Temp\OnboardLogs" /stypes="app*4003*20170323*" /stext=" 06:.+((SYSTEM_STATE.+slice.+state.+changed )|(ment ac)|(multiple cpu faults)|(system.+state.+changed )|(\[timeout)|(PRM\|1\|D)|(kpr)|(kdp)|(\|lc)|(penalty))"</v>
      </c>
      <c r="AG156" s="1" t="str">
        <f t="shared" si="66"/>
        <v>EC</v>
      </c>
      <c r="AH156" s="86" t="str">
        <f t="shared" si="67"/>
        <v>"%USERPROFILE%\Documents\GitHub\eaglep3\Utilities\RefineRTDCRunTimes.py" --tripid 239-22 --locoid 4003 --swversion DE.1.0.9.0 --startMP 204:460 --initTime 2017-03-22T23:07:50 --startdatetime 2017-03-22T23:30:16 --delay 1 --endMP 204:233355 --enddatetime 2017-03-23T00:06:05 --enforcementcount 2 &gt;&gt;C:\Users\stu\Documents\GitHub\eaglep3-reporting\EC\2017-03-22-refined-times.txt</v>
      </c>
      <c r="AI156" s="108" t="str">
        <f t="shared" si="68"/>
        <v>echo {"issue":{"subject":"","project_id":79,"tracker_id":40,"status_id":1,"priority_id":2,"assigned_to_id":23,"start_date":"2017-03-23","description":"","custom_fields":[{"id":1,"name":"Subdivision","value":"EC"},{"id":4,"name":"Milepost","value":"23.3355"},{"id":17,"name":"Train ID","value":"239-22"},{"id":16,"name":"Locomotive ID","value":"4003"},{"id":130,"name":"Impact","value":""},{"id":150,"name":"Time of Event (Mountain Time)","value":"00:06:05"},{"id":151,"name":"Denver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69"/>
        <v>start /low /b %USERPROFILE%\Documents\GitHub\eaglep3\Utilities\DownloadLogsFromS3.py --loco 4003 --day 2017-03-22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"%USERPROFILE%\AppData\Local\Temp\OnboardLogs"\RTDC4003\*4003*20170323* | grep -SE "(Enforcement Action)|(\[TIMEOUT)|(CHR.+\|PRM\|1\|D.+(SWITCH|SIGNAL).+UNKNOWN)" - &gt;&gt; 2017-03-22-UncaughtWiMAX.txt</v>
      </c>
    </row>
    <row r="157" spans="1:91" s="20" customFormat="1" x14ac:dyDescent="0.25">
      <c r="A157" s="33" t="s">
        <v>830</v>
      </c>
      <c r="B157" s="7">
        <v>4004</v>
      </c>
      <c r="C157" s="21" t="s">
        <v>219</v>
      </c>
      <c r="D157" s="21" t="s">
        <v>927</v>
      </c>
      <c r="E157" s="13">
        <v>42817.006273148145</v>
      </c>
      <c r="F157" s="13">
        <v>42817.006956018522</v>
      </c>
      <c r="G157" s="7">
        <v>0</v>
      </c>
      <c r="H157" s="21" t="s">
        <v>928</v>
      </c>
      <c r="I157" s="13">
        <v>42817.035590277781</v>
      </c>
      <c r="J157" s="7">
        <v>0</v>
      </c>
      <c r="K157" s="98" t="str">
        <f t="shared" si="55"/>
        <v>4003/4004</v>
      </c>
      <c r="L157" s="21" t="str">
        <f>VLOOKUP(A157,'Trips&amp;Operators'!$C$1:$G$99999,5,FALSE)</f>
        <v>LALONDE GREGORY</v>
      </c>
      <c r="M157" s="6">
        <f t="shared" si="56"/>
        <v>2.8634259258979E-2</v>
      </c>
      <c r="N157" s="7"/>
      <c r="O157" s="7"/>
      <c r="P157" s="7">
        <f>24*60*SUM($M157:$M158)</f>
        <v>51.58333333209157</v>
      </c>
      <c r="Q157" s="22"/>
      <c r="R157" s="22" t="s">
        <v>495</v>
      </c>
      <c r="S157" s="31">
        <f>SUM(U157:U158)/IF(AG157="EC",12,1)</f>
        <v>0.58333333333333337</v>
      </c>
      <c r="T157" s="46" t="str">
        <f t="shared" si="57"/>
        <v>Southbound</v>
      </c>
      <c r="U157" s="18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4</v>
      </c>
      <c r="V157" s="186" t="str">
        <f t="shared" si="58"/>
        <v>https://d0f6bd738d7f1b3e5a7ca70fe4ff75f0.us-east-1.aws.found.io/app/kibana#/discover/Steve-Slow-Train-Analysis-(2080s-and-2083s)?_g=(refreshInterval:(display:Off,pause:!f,section:0,value:0),time:(from:'2017-03-22T23:09:02-0600',mode:absolute,to:'2017-03-23T01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7" s="187" t="str">
        <f t="shared" si="59"/>
        <v>Y</v>
      </c>
      <c r="X157" s="187">
        <f t="shared" si="54"/>
        <v>1</v>
      </c>
      <c r="Y157" s="62">
        <f t="shared" si="60"/>
        <v>23.3062</v>
      </c>
      <c r="Z157" s="62">
        <f t="shared" si="61"/>
        <v>6.0773999999999999</v>
      </c>
      <c r="AA157" s="62">
        <f t="shared" si="62"/>
        <v>17.2288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63"/>
        <v>0240-22</v>
      </c>
      <c r="AE157" s="85" t="str">
        <f t="shared" si="64"/>
        <v>aws s3 cp s3://rtdc.mdm.uploadarchive.raw/RTDC4004/ "%USERPROFILE%\AppData\Local\Temp\OnboardLogs"\RTDC4004\2017-03-23 --exclude "*" --recursive --include "*20170323*" &amp; "%USERPROFILE%\Documents\GitHub\mrs-test-scripts\Headless Mode &amp; Sideloading\WalkAndUnGZ.bat" "%USERPROFILE%\AppData\Local\Temp\OnboardLogs"\RTDC4004\2017-03-23 &amp; aws s3 cp s3://rtdc.mdm.uploadarchive.raw/RTDC4004/ "%USERPROFILE%\AppData\Local\Temp\OnboardLogs"\RTDC4004\2017-03-24 --exclude "*" --recursive --include "*20170324*" &amp; "%USERPROFILE%\Documents\GitHub\mrs-test-scripts\Headless Mode &amp; Sideloading\WalkAndUnGZ.bat" "%USERPROFILE%\AppData\Local\Temp\OnboardLogs"\RTDC4004\2017-03-24</v>
      </c>
      <c r="AF157" s="82" t="str">
        <f t="shared" si="65"/>
        <v>"C:\Program Files (x86)\AstroGrep\AstroGrep.exe" /e /r /s /spath="%USERPROFILE%\AppData\Local\Temp\OnboardLogs" /stypes="app*4004*20170323*" /stext=" 06:.+((SYSTEM_STATE.+slice.+state.+changed )|(ment ac)|(multiple cpu faults)|(system.+state.+changed )|(\[timeout)|(PRM\|1\|D)|(kpr)|(kdp)|(\|lc)|(penalty))"</v>
      </c>
      <c r="AG157" s="1" t="str">
        <f t="shared" si="66"/>
        <v>EC</v>
      </c>
      <c r="AH157" s="86" t="str">
        <f t="shared" si="67"/>
        <v>"%USERPROFILE%\Documents\GitHub\eaglep3\Utilities\RefineRTDCRunTimes.py" --tripid 240-22 --locoid 4004 --swversion DE.1.0.9.0 --startMP 204:233062 --initTime 2017-03-23T00:09:02 --startdatetime 2017-03-23T00:10:01 --delay 0 --endMP 204:60774 --enddatetime 2017-03-23T00:51:15 --enforcementcount 0 &gt;&gt;C:\Users\stu\Documents\GitHub\eaglep3-reporting\EC\2017-03-22-refined-times.txt</v>
      </c>
      <c r="AI157" s="108" t="str">
        <f t="shared" si="68"/>
        <v>echo {"issue":{"subject":"Onboard in-route failure","project_id":79,"tracker_id":40,"status_id":1,"priority_id":2,"assigned_to_id":23,"start_date":"2017-03-23","description":"","custom_fields":[{"id":1,"name":"Subdivision","value":"EC"},{"id":4,"name":"Milepost","value":"6.0774"},{"id":17,"name":"Train ID","value":"240-22"},{"id":16,"name":"Locomotive ID","value":"4004"},{"id":130,"name":"Impact","value":""},{"id":150,"name":"Time of Event (Mountain Time)","value":"00:51:15"},{"id":151,"name":"Denver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69"/>
        <v>start /low /b %USERPROFILE%\Documents\GitHub\eaglep3\Utilities\DownloadLogsFromS3.py --loco 4004 --day 2017-03-23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"%USERPROFILE%\AppData\Local\Temp\OnboardLogs"\RTDC4004\*4004*20170323* | grep -SE "(Enforcement Action)|(\[TIMEOUT)|(CHR.+\|PRM\|1\|D.+(SWITCH|SIGNAL).+UNKNOWN)" - &gt;&gt; 2017-03-22-UncaughtWiMAX.txt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3" t="s">
        <v>830</v>
      </c>
      <c r="B158" s="7">
        <v>4004</v>
      </c>
      <c r="C158" s="21" t="s">
        <v>219</v>
      </c>
      <c r="D158" s="21" t="s">
        <v>929</v>
      </c>
      <c r="E158" s="13">
        <v>42817.0393287037</v>
      </c>
      <c r="F158" s="13">
        <v>42817.040081018517</v>
      </c>
      <c r="G158" s="7">
        <v>1</v>
      </c>
      <c r="H158" s="21" t="s">
        <v>400</v>
      </c>
      <c r="I158" s="13">
        <v>42817.047268518516</v>
      </c>
      <c r="J158" s="7">
        <v>0</v>
      </c>
      <c r="K158" s="98" t="str">
        <f t="shared" si="55"/>
        <v>4003/4004</v>
      </c>
      <c r="L158" s="21" t="str">
        <f>VLOOKUP(A158,'Trips&amp;Operators'!$C$1:$G$99999,5,FALSE)</f>
        <v>LALONDE GREGORY</v>
      </c>
      <c r="M158" s="6">
        <f t="shared" si="56"/>
        <v>7.1874999994179234E-3</v>
      </c>
      <c r="N158" s="7"/>
      <c r="O158" s="7"/>
      <c r="P158" s="7"/>
      <c r="Q158" s="22"/>
      <c r="R158" s="22"/>
      <c r="S158" s="31"/>
      <c r="T158" s="46" t="str">
        <f t="shared" si="57"/>
        <v>Southbound</v>
      </c>
      <c r="U158" s="18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3</v>
      </c>
      <c r="V158" s="186" t="str">
        <f t="shared" si="58"/>
        <v>https://d0f6bd738d7f1b3e5a7ca70fe4ff75f0.us-east-1.aws.found.io/app/kibana#/discover/Steve-Slow-Train-Analysis-(2080s-and-2083s)?_g=(refreshInterval:(display:Off,pause:!f,section:0,value:0),time:(from:'2017-03-22T23:56:38-0600',mode:absolute,to:'2017-03-23T02:08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8" s="187" t="str">
        <f t="shared" si="59"/>
        <v>Y</v>
      </c>
      <c r="X158" s="187">
        <f t="shared" si="54"/>
        <v>0</v>
      </c>
      <c r="Y158" s="62">
        <f t="shared" si="60"/>
        <v>3.6779000000000002</v>
      </c>
      <c r="Z158" s="62">
        <f t="shared" si="61"/>
        <v>1.43E-2</v>
      </c>
      <c r="AA158" s="62">
        <f t="shared" si="62"/>
        <v>3.6636000000000002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63"/>
        <v>0240-22</v>
      </c>
      <c r="AE158" s="85" t="str">
        <f t="shared" si="64"/>
        <v>aws s3 cp s3://rtdc.mdm.uploadarchive.raw/RTDC4004/ "%USERPROFILE%\AppData\Local\Temp\OnboardLogs"\RTDC4004\2017-03-23 --exclude "*" --recursive --include "*20170323*" &amp; "%USERPROFILE%\Documents\GitHub\mrs-test-scripts\Headless Mode &amp; Sideloading\WalkAndUnGZ.bat" "%USERPROFILE%\AppData\Local\Temp\OnboardLogs"\RTDC4004\2017-03-23 &amp; aws s3 cp s3://rtdc.mdm.uploadarchive.raw/RTDC4004/ "%USERPROFILE%\AppData\Local\Temp\OnboardLogs"\RTDC4004\2017-03-24 --exclude "*" --recursive --include "*20170324*" &amp; "%USERPROFILE%\Documents\GitHub\mrs-test-scripts\Headless Mode &amp; Sideloading\WalkAndUnGZ.bat" "%USERPROFILE%\AppData\Local\Temp\OnboardLogs"\RTDC4004\2017-03-24</v>
      </c>
      <c r="AF158" s="82" t="str">
        <f t="shared" si="65"/>
        <v>"C:\Program Files (x86)\AstroGrep\AstroGrep.exe" /e /r /s /spath="%USERPROFILE%\AppData\Local\Temp\OnboardLogs" /stypes="app*4004*20170323*" /stext=" 07:.+((SYSTEM_STATE.+slice.+state.+changed )|(ment ac)|(multiple cpu faults)|(system.+state.+changed )|(\[timeout)|(PRM\|1\|D)|(kpr)|(kdp)|(\|lc)|(penalty))"</v>
      </c>
      <c r="AG158" s="1" t="str">
        <f t="shared" si="66"/>
        <v>EC</v>
      </c>
      <c r="AH158" s="86" t="str">
        <f t="shared" si="67"/>
        <v>"%USERPROFILE%\Documents\GitHub\eaglep3\Utilities\RefineRTDCRunTimes.py" --tripid 240-22 --locoid 4004 --swversion DE.1.0.9.0 --startMP 204:36779 --initTime 2017-03-23T00:56:38 --startdatetime 2017-03-23T00:57:43 --delay 1 --endMP 204:143 --enddatetime 2017-03-23T01:08:04 --enforcementcount 0 &gt;&gt;C:\Users\stu\Documents\GitHub\eaglep3-reporting\EC\2017-03-22-refined-times.txt</v>
      </c>
      <c r="AI158" s="108" t="str">
        <f t="shared" si="68"/>
        <v>echo {"issue":{"subject":"","project_id":79,"tracker_id":40,"status_id":1,"priority_id":2,"assigned_to_id":23,"start_date":"2017-03-23","description":"","custom_fields":[{"id":1,"name":"Subdivision","value":"EC"},{"id":4,"name":"Milepost","value":"0.0143"},{"id":17,"name":"Train ID","value":"240-22"},{"id":16,"name":"Locomotive ID","value":"4004"},{"id":130,"name":"Impact","value":""},{"id":150,"name":"Time of Event (Mountain Time)","value":"01:08:04"},{"id":151,"name":"Denver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69"/>
        <v>start /low /b %USERPROFILE%\Documents\GitHub\eaglep3\Utilities\DownloadLogsFromS3.py --loco 4004 --day 2017-03-23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"%USERPROFILE%\AppData\Local\Temp\OnboardLogs"\RTDC4004\*4004*20170323* | grep -SE "(Enforcement Action)|(\[TIMEOUT)|(CHR.+\|PRM\|1\|D.+(SWITCH|SIGNAL).+UNKNOWN)" - &gt;&gt; 2017-03-22-UncaughtWiMAX.txt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3" t="s">
        <v>829</v>
      </c>
      <c r="B159" s="7">
        <v>4040</v>
      </c>
      <c r="C159" s="21" t="s">
        <v>219</v>
      </c>
      <c r="D159" s="21" t="s">
        <v>209</v>
      </c>
      <c r="E159" s="13">
        <v>42816.992569444446</v>
      </c>
      <c r="F159" s="13">
        <v>42817.000138888892</v>
      </c>
      <c r="G159" s="7">
        <v>2</v>
      </c>
      <c r="H159" s="21" t="s">
        <v>560</v>
      </c>
      <c r="I159" s="13">
        <v>42817.025787037041</v>
      </c>
      <c r="J159" s="7">
        <v>2</v>
      </c>
      <c r="K159" s="98" t="str">
        <f t="shared" si="55"/>
        <v>4039/4040</v>
      </c>
      <c r="L159" s="21" t="str">
        <f>VLOOKUP(A159,'Trips&amp;Operators'!$C$1:$G$99999,5,FALSE)</f>
        <v>BROWN JACOB</v>
      </c>
      <c r="M159" s="6">
        <f t="shared" si="56"/>
        <v>2.5648148148320615E-2</v>
      </c>
      <c r="N159" s="7">
        <f t="shared" ref="N159:N169" si="70">24*60*SUM($M159:$M159)</f>
        <v>36.933333333581686</v>
      </c>
      <c r="O159" s="7"/>
      <c r="P159" s="7"/>
      <c r="Q159" s="22"/>
      <c r="R159" s="22"/>
      <c r="S159" s="31">
        <f t="shared" ref="S159:S189" si="71">SUM(U159:U159)/IF(AG159="EC",12,1)</f>
        <v>1</v>
      </c>
      <c r="T159" s="46" t="str">
        <f t="shared" si="57"/>
        <v>NorthBound</v>
      </c>
      <c r="U159" s="18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86" t="str">
        <f t="shared" si="58"/>
        <v>https://d0f6bd738d7f1b3e5a7ca70fe4ff75f0.us-east-1.aws.found.io/app/kibana#/discover/Steve-Slow-Train-Analysis-(2080s-and-2083s)?_g=(refreshInterval:(display:Off,pause:!f,section:0,value:0),time:(from:'2017-03-22T22:49:18-0600',mode:absolute,to:'2017-03-23T01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9" s="187" t="str">
        <f t="shared" si="59"/>
        <v>N</v>
      </c>
      <c r="X159" s="187">
        <f t="shared" si="54"/>
        <v>1</v>
      </c>
      <c r="Y159" s="62">
        <f t="shared" si="60"/>
        <v>4.5999999999999999E-2</v>
      </c>
      <c r="Z159" s="62">
        <f t="shared" si="61"/>
        <v>23.3325</v>
      </c>
      <c r="AA159" s="62">
        <f t="shared" si="62"/>
        <v>23.2865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63"/>
        <v>0241-22</v>
      </c>
      <c r="AE159" s="85" t="str">
        <f t="shared" si="64"/>
        <v>aws s3 cp s3://rtdc.mdm.uploadarchive.raw/RTDC4040/ "%USERPROFILE%\AppData\Local\Temp\OnboardLogs"\RTDC4040\2017-03-23 --exclude "*" --recursive --include "*20170323*" &amp; "%USERPROFILE%\Documents\GitHub\mrs-test-scripts\Headless Mode &amp; Sideloading\WalkAndUnGZ.bat" "%USERPROFILE%\AppData\Local\Temp\OnboardLogs"\RTDC4040\2017-03-23 &amp; aws s3 cp s3://rtdc.mdm.uploadarchive.raw/RTDC4040/ "%USERPROFILE%\AppData\Local\Temp\OnboardLogs"\RTDC4040\2017-03-24 --exclude "*" --recursive --include "*20170324*" &amp; "%USERPROFILE%\Documents\GitHub\mrs-test-scripts\Headless Mode &amp; Sideloading\WalkAndUnGZ.bat" "%USERPROFILE%\AppData\Local\Temp\OnboardLogs"\RTDC4040\2017-03-24</v>
      </c>
      <c r="AF159" s="82" t="str">
        <f t="shared" si="65"/>
        <v>"C:\Program Files (x86)\AstroGrep\AstroGrep.exe" /e /r /s /spath="%USERPROFILE%\AppData\Local\Temp\OnboardLogs" /stypes="app*4040*20170323*" /stext=" 06:.+((SYSTEM_STATE.+slice.+state.+changed )|(ment ac)|(multiple cpu faults)|(system.+state.+changed )|(\[timeout)|(PRM\|1\|D)|(kpr)|(kdp)|(\|lc)|(penalty))"</v>
      </c>
      <c r="AG159" s="1" t="str">
        <f t="shared" si="66"/>
        <v>EC</v>
      </c>
      <c r="AH159" s="86" t="str">
        <f t="shared" si="67"/>
        <v>"%USERPROFILE%\Documents\GitHub\eaglep3\Utilities\RefineRTDCRunTimes.py" --tripid 241-22 --locoid 4040 --swversion DE.1.0.9.0 --startMP 204:460 --initTime 2017-03-22T23:49:18 --startdatetime 2017-03-23T00:00:12 --delay 2 --endMP 204:233325 --enddatetime 2017-03-23T00:37:08 --enforcementcount 2 &gt;&gt;C:\Users\stu\Documents\GitHub\eaglep3-reporting\EC\2017-03-22-refined-times.txt</v>
      </c>
      <c r="AI159" s="108" t="str">
        <f t="shared" si="68"/>
        <v>echo {"issue":{"subject":"","project_id":79,"tracker_id":40,"status_id":1,"priority_id":2,"assigned_to_id":23,"start_date":"2017-03-23","description":"","custom_fields":[{"id":1,"name":"Subdivision","value":"EC"},{"id":4,"name":"Milepost","value":"23.3325"},{"id":17,"name":"Train ID","value":"241-22"},{"id":16,"name":"Locomotive ID","value":"4040"},{"id":130,"name":"Impact","value":""},{"id":150,"name":"Time of Event (Mountain Time)","value":"00:37:08"},{"id":151,"name":"Denver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69"/>
        <v>start /low /b %USERPROFILE%\Documents\GitHub\eaglep3\Utilities\DownloadLogsFromS3.py --loco 4040 --day 2017-03-23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"%USERPROFILE%\AppData\Local\Temp\OnboardLogs"\RTDC4040\*4040*20170323* | grep -SE "(Enforcement Action)|(\[TIMEOUT)|(CHR.+\|PRM\|1\|D.+(SWITCH|SIGNAL).+UNKNOWN)" - &gt;&gt; 2017-03-22-UncaughtWiMAX.txt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3" t="s">
        <v>833</v>
      </c>
      <c r="B160" s="7">
        <v>4039</v>
      </c>
      <c r="C160" s="21" t="s">
        <v>219</v>
      </c>
      <c r="D160" s="21" t="s">
        <v>561</v>
      </c>
      <c r="E160" s="13">
        <v>42817.02915509259</v>
      </c>
      <c r="F160" s="13">
        <v>42817.039120370369</v>
      </c>
      <c r="G160" s="7">
        <v>1</v>
      </c>
      <c r="H160" s="21" t="s">
        <v>930</v>
      </c>
      <c r="I160" s="13">
        <v>42817.065925925926</v>
      </c>
      <c r="J160" s="7">
        <v>2</v>
      </c>
      <c r="K160" s="98" t="str">
        <f t="shared" si="55"/>
        <v>4039/4040</v>
      </c>
      <c r="L160" s="21" t="str">
        <f>VLOOKUP(A160,'Trips&amp;Operators'!$C$1:$G$99999,5,FALSE)</f>
        <v>BROWN JACOB</v>
      </c>
      <c r="M160" s="6">
        <f t="shared" si="56"/>
        <v>2.6805555557075422E-2</v>
      </c>
      <c r="N160" s="7">
        <f t="shared" si="70"/>
        <v>38.600000002188608</v>
      </c>
      <c r="O160" s="7"/>
      <c r="P160" s="7"/>
      <c r="Q160" s="22"/>
      <c r="R160" s="22"/>
      <c r="S160" s="31">
        <f t="shared" si="71"/>
        <v>1</v>
      </c>
      <c r="T160" s="46" t="str">
        <f t="shared" si="57"/>
        <v>Southbound</v>
      </c>
      <c r="U160" s="18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86" t="str">
        <f t="shared" si="58"/>
        <v>https://d0f6bd738d7f1b3e5a7ca70fe4ff75f0.us-east-1.aws.found.io/app/kibana#/discover/Steve-Slow-Train-Analysis-(2080s-and-2083s)?_g=(refreshInterval:(display:Off,pause:!f,section:0,value:0),time:(from:'2017-03-22T23:41:59-0600',mode:absolute,to:'2017-03-23T02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0" s="187" t="str">
        <f t="shared" si="59"/>
        <v>N</v>
      </c>
      <c r="X160" s="187">
        <f t="shared" si="54"/>
        <v>1</v>
      </c>
      <c r="Y160" s="62">
        <f t="shared" si="60"/>
        <v>23.300799999999999</v>
      </c>
      <c r="Z160" s="62">
        <f t="shared" si="61"/>
        <v>1.89E-2</v>
      </c>
      <c r="AA160" s="62">
        <f t="shared" si="62"/>
        <v>23.2819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63"/>
        <v>0242-22</v>
      </c>
      <c r="AE160" s="85" t="str">
        <f t="shared" si="64"/>
        <v>aws s3 cp s3://rtdc.mdm.uploadarchive.raw/RTDC4039/ "%USERPROFILE%\AppData\Local\Temp\OnboardLogs"\RTDC4039\2017-03-23 --exclude "*" --recursive --include "*20170323*" &amp; "%USERPROFILE%\Documents\GitHub\mrs-test-scripts\Headless Mode &amp; Sideloading\WalkAndUnGZ.bat" "%USERPROFILE%\AppData\Local\Temp\OnboardLogs"\RTDC4039\2017-03-23 &amp; aws s3 cp s3://rtdc.mdm.uploadarchive.raw/RTDC4039/ "%USERPROFILE%\AppData\Local\Temp\OnboardLogs"\RTDC4039\2017-03-24 --exclude "*" --recursive --include "*20170324*" &amp; "%USERPROFILE%\Documents\GitHub\mrs-test-scripts\Headless Mode &amp; Sideloading\WalkAndUnGZ.bat" "%USERPROFILE%\AppData\Local\Temp\OnboardLogs"\RTDC4039\2017-03-24</v>
      </c>
      <c r="AF160" s="82" t="str">
        <f t="shared" si="65"/>
        <v>"C:\Program Files (x86)\AstroGrep\AstroGrep.exe" /e /r /s /spath="%USERPROFILE%\AppData\Local\Temp\OnboardLogs" /stypes="app*4039*20170323*" /stext=" 07:.+((SYSTEM_STATE.+slice.+state.+changed )|(ment ac)|(multiple cpu faults)|(system.+state.+changed )|(\[timeout)|(PRM\|1\|D)|(kpr)|(kdp)|(\|lc)|(penalty))"</v>
      </c>
      <c r="AG160" s="1" t="str">
        <f t="shared" si="66"/>
        <v>EC</v>
      </c>
      <c r="AH160" s="86" t="str">
        <f t="shared" si="67"/>
        <v>"%USERPROFILE%\Documents\GitHub\eaglep3\Utilities\RefineRTDCRunTimes.py" --tripid 242-22 --locoid 4039 --swversion DE.1.0.9.0 --startMP 204:233008 --initTime 2017-03-23T00:41:59 --startdatetime 2017-03-23T00:56:20 --delay 1 --endMP 204:189 --enddatetime 2017-03-23T01:34:56 --enforcementcount 2 &gt;&gt;C:\Users\stu\Documents\GitHub\eaglep3-reporting\EC\2017-03-22-refined-times.txt</v>
      </c>
      <c r="AI160" s="108" t="str">
        <f t="shared" si="68"/>
        <v>echo {"issue":{"subject":"","project_id":79,"tracker_id":40,"status_id":1,"priority_id":2,"assigned_to_id":23,"start_date":"2017-03-23","description":"","custom_fields":[{"id":1,"name":"Subdivision","value":"EC"},{"id":4,"name":"Milepost","value":"0.0189"},{"id":17,"name":"Train ID","value":"242-22"},{"id":16,"name":"Locomotive ID","value":"4039"},{"id":130,"name":"Impact","value":""},{"id":150,"name":"Time of Event (Mountain Time)","value":"01:34:56"},{"id":151,"name":"Denver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69"/>
        <v>start /low /b %USERPROFILE%\Documents\GitHub\eaglep3\Utilities\DownloadLogsFromS3.py --loco 4039 --day 2017-03-23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"%USERPROFILE%\AppData\Local\Temp\OnboardLogs"\RTDC4039\*4039*20170323* | grep -SE "(Enforcement Action)|(\[TIMEOUT)|(CHR.+\|PRM\|1\|D.+(SWITCH|SIGNAL).+UNKNOWN)" - &gt;&gt; 2017-03-22-UncaughtWiMAX.txt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3" t="s">
        <v>831</v>
      </c>
      <c r="B161" s="7">
        <v>4046</v>
      </c>
      <c r="C161" s="21" t="s">
        <v>219</v>
      </c>
      <c r="D161" s="21" t="s">
        <v>209</v>
      </c>
      <c r="E161" s="13">
        <v>42817.014675925922</v>
      </c>
      <c r="F161" s="13">
        <v>42817.02103009259</v>
      </c>
      <c r="G161" s="7">
        <v>1</v>
      </c>
      <c r="H161" s="21" t="s">
        <v>564</v>
      </c>
      <c r="I161" s="13">
        <v>42817.04519675926</v>
      </c>
      <c r="J161" s="7">
        <v>2</v>
      </c>
      <c r="K161" s="98" t="str">
        <f t="shared" si="55"/>
        <v>4045/4046</v>
      </c>
      <c r="L161" s="21" t="str">
        <f>VLOOKUP(A161,'Trips&amp;Operators'!$C$1:$G$99999,5,FALSE)</f>
        <v>NEWELL JAMES</v>
      </c>
      <c r="M161" s="6">
        <f t="shared" si="56"/>
        <v>2.4166666669771075E-2</v>
      </c>
      <c r="N161" s="7">
        <f t="shared" si="70"/>
        <v>34.800000004470348</v>
      </c>
      <c r="O161" s="7"/>
      <c r="P161" s="7"/>
      <c r="Q161" s="22"/>
      <c r="R161" s="22"/>
      <c r="S161" s="31">
        <f t="shared" si="71"/>
        <v>1</v>
      </c>
      <c r="T161" s="46" t="str">
        <f t="shared" si="57"/>
        <v>NorthBound</v>
      </c>
      <c r="U161" s="18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86" t="str">
        <f t="shared" si="58"/>
        <v>https://d0f6bd738d7f1b3e5a7ca70fe4ff75f0.us-east-1.aws.found.io/app/kibana#/discover/Steve-Slow-Train-Analysis-(2080s-and-2083s)?_g=(refreshInterval:(display:Off,pause:!f,section:0,value:0),time:(from:'2017-03-22T23:21:08-0600',mode:absolute,to:'2017-03-23T02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1" s="187" t="str">
        <f t="shared" si="59"/>
        <v>N</v>
      </c>
      <c r="X161" s="187">
        <f t="shared" si="54"/>
        <v>1</v>
      </c>
      <c r="Y161" s="62">
        <f t="shared" si="60"/>
        <v>4.5999999999999999E-2</v>
      </c>
      <c r="Z161" s="62">
        <f t="shared" si="61"/>
        <v>23.330100000000002</v>
      </c>
      <c r="AA161" s="62">
        <f t="shared" si="62"/>
        <v>23.284100000000002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63"/>
        <v>0243-22</v>
      </c>
      <c r="AE161" s="85" t="str">
        <f t="shared" si="64"/>
        <v>aws s3 cp s3://rtdc.mdm.uploadarchive.raw/RTDC4046/ "%USERPROFILE%\AppData\Local\Temp\OnboardLogs"\RTDC4046\2017-03-23 --exclude "*" --recursive --include "*20170323*" &amp; "%USERPROFILE%\Documents\GitHub\mrs-test-scripts\Headless Mode &amp; Sideloading\WalkAndUnGZ.bat" "%USERPROFILE%\AppData\Local\Temp\OnboardLogs"\RTDC4046\2017-03-23 &amp; aws s3 cp s3://rtdc.mdm.uploadarchive.raw/RTDC4046/ "%USERPROFILE%\AppData\Local\Temp\OnboardLogs"\RTDC4046\2017-03-24 --exclude "*" --recursive --include "*20170324*" &amp; "%USERPROFILE%\Documents\GitHub\mrs-test-scripts\Headless Mode &amp; Sideloading\WalkAndUnGZ.bat" "%USERPROFILE%\AppData\Local\Temp\OnboardLogs"\RTDC4046\2017-03-24</v>
      </c>
      <c r="AF161" s="82" t="str">
        <f t="shared" si="65"/>
        <v>"C:\Program Files (x86)\AstroGrep\AstroGrep.exe" /e /r /s /spath="%USERPROFILE%\AppData\Local\Temp\OnboardLogs" /stypes="app*4046*20170323*" /stext=" 07:.+((SYSTEM_STATE.+slice.+state.+changed )|(ment ac)|(multiple cpu faults)|(system.+state.+changed )|(\[timeout)|(PRM\|1\|D)|(kpr)|(kdp)|(\|lc)|(penalty))"</v>
      </c>
      <c r="AG161" s="1" t="str">
        <f t="shared" si="66"/>
        <v>EC</v>
      </c>
      <c r="AH161" s="86" t="str">
        <f t="shared" si="67"/>
        <v>"%USERPROFILE%\Documents\GitHub\eaglep3\Utilities\RefineRTDCRunTimes.py" --tripid 243-22 --locoid 4046 --swversion DE.1.0.9.0 --startMP 204:460 --initTime 2017-03-23T00:21:08 --startdatetime 2017-03-23T00:30:17 --delay 1 --endMP 204:233301 --enddatetime 2017-03-23T01:05:05 --enforcementcount 2 &gt;&gt;C:\Users\stu\Documents\GitHub\eaglep3-reporting\EC\2017-03-22-refined-times.txt</v>
      </c>
      <c r="AI161" s="108" t="str">
        <f t="shared" si="68"/>
        <v>echo {"issue":{"subject":"","project_id":79,"tracker_id":40,"status_id":1,"priority_id":2,"assigned_to_id":23,"start_date":"2017-03-23","description":"","custom_fields":[{"id":1,"name":"Subdivision","value":"EC"},{"id":4,"name":"Milepost","value":"23.3301"},{"id":17,"name":"Train ID","value":"243-22"},{"id":16,"name":"Locomotive ID","value":"4046"},{"id":130,"name":"Impact","value":""},{"id":150,"name":"Time of Event (Mountain Time)","value":"01:05:05"},{"id":151,"name":"Denver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69"/>
        <v>start /low /b %USERPROFILE%\Documents\GitHub\eaglep3\Utilities\DownloadLogsFromS3.py --loco 4046 --day 2017-03-23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"%USERPROFILE%\AppData\Local\Temp\OnboardLogs"\RTDC4046\*4046*20170323* | grep -SE "(Enforcement Action)|(\[TIMEOUT)|(CHR.+\|PRM\|1\|D.+(SWITCH|SIGNAL).+UNKNOWN)" - &gt;&gt; 2017-03-22-UncaughtWiMAX.txt</v>
      </c>
    </row>
    <row r="162" spans="1:91" s="20" customFormat="1" x14ac:dyDescent="0.25">
      <c r="A162" s="33" t="s">
        <v>835</v>
      </c>
      <c r="B162" s="7">
        <v>4045</v>
      </c>
      <c r="C162" s="21" t="s">
        <v>219</v>
      </c>
      <c r="D162" s="21" t="s">
        <v>571</v>
      </c>
      <c r="E162" s="13">
        <v>42817.057291666664</v>
      </c>
      <c r="F162" s="13">
        <v>42817.059884259259</v>
      </c>
      <c r="G162" s="7">
        <v>0</v>
      </c>
      <c r="H162" s="21" t="s">
        <v>184</v>
      </c>
      <c r="I162" s="13">
        <v>42817.086238425924</v>
      </c>
      <c r="J162" s="7">
        <v>2</v>
      </c>
      <c r="K162" s="98" t="str">
        <f t="shared" si="55"/>
        <v>4045/4046</v>
      </c>
      <c r="L162" s="21" t="str">
        <f>VLOOKUP(A162,'Trips&amp;Operators'!$C$1:$G$99999,5,FALSE)</f>
        <v>NEWELL JAMES</v>
      </c>
      <c r="M162" s="6">
        <f t="shared" si="56"/>
        <v>2.6354166664532386E-2</v>
      </c>
      <c r="N162" s="7">
        <f t="shared" si="70"/>
        <v>37.949999996926636</v>
      </c>
      <c r="O162" s="7"/>
      <c r="P162" s="7"/>
      <c r="Q162" s="22"/>
      <c r="R162" s="22"/>
      <c r="S162" s="31">
        <f t="shared" si="71"/>
        <v>1</v>
      </c>
      <c r="T162" s="46" t="str">
        <f t="shared" si="57"/>
        <v>Southbound</v>
      </c>
      <c r="U162" s="18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186" t="str">
        <f t="shared" si="58"/>
        <v>https://d0f6bd738d7f1b3e5a7ca70fe4ff75f0.us-east-1.aws.found.io/app/kibana#/discover/Steve-Slow-Train-Analysis-(2080s-and-2083s)?_g=(refreshInterval:(display:Off,pause:!f,section:0,value:0),time:(from:'2017-03-23T00:22:30-0600',mode:absolute,to:'2017-03-23T03:04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2" s="187" t="str">
        <f t="shared" si="59"/>
        <v>N</v>
      </c>
      <c r="X162" s="187">
        <f t="shared" si="54"/>
        <v>1</v>
      </c>
      <c r="Y162" s="62">
        <f t="shared" si="60"/>
        <v>23.299199999999999</v>
      </c>
      <c r="Z162" s="62">
        <f t="shared" si="61"/>
        <v>1.49E-2</v>
      </c>
      <c r="AA162" s="62">
        <f t="shared" si="62"/>
        <v>23.284299999999998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63"/>
        <v>0244-22</v>
      </c>
      <c r="AE162" s="85" t="str">
        <f t="shared" si="64"/>
        <v>aws s3 cp s3://rtdc.mdm.uploadarchive.raw/RTDC4045/ "%USERPROFILE%\AppData\Local\Temp\OnboardLogs"\RTDC4045\2017-03-23 --exclude "*" --recursive --include "*20170323*" &amp; "%USERPROFILE%\Documents\GitHub\mrs-test-scripts\Headless Mode &amp; Sideloading\WalkAndUnGZ.bat" "%USERPROFILE%\AppData\Local\Temp\OnboardLogs"\RTDC4045\2017-03-23 &amp; aws s3 cp s3://rtdc.mdm.uploadarchive.raw/RTDC4045/ "%USERPROFILE%\AppData\Local\Temp\OnboardLogs"\RTDC4045\2017-03-24 --exclude "*" --recursive --include "*20170324*" &amp; "%USERPROFILE%\Documents\GitHub\mrs-test-scripts\Headless Mode &amp; Sideloading\WalkAndUnGZ.bat" "%USERPROFILE%\AppData\Local\Temp\OnboardLogs"\RTDC4045\2017-03-24</v>
      </c>
      <c r="AF162" s="82" t="str">
        <f t="shared" si="65"/>
        <v>"C:\Program Files (x86)\AstroGrep\AstroGrep.exe" /e /r /s /spath="%USERPROFILE%\AppData\Local\Temp\OnboardLogs" /stypes="app*4045*20170323*" /stext=" 08:.+((SYSTEM_STATE.+slice.+state.+changed )|(ment ac)|(multiple cpu faults)|(system.+state.+changed )|(\[timeout)|(PRM\|1\|D)|(kpr)|(kdp)|(\|lc)|(penalty))"</v>
      </c>
      <c r="AG162" s="1" t="str">
        <f t="shared" si="66"/>
        <v>EC</v>
      </c>
      <c r="AH162" s="86" t="str">
        <f t="shared" si="67"/>
        <v>"%USERPROFILE%\Documents\GitHub\eaglep3\Utilities\RefineRTDCRunTimes.py" --tripid 244-22 --locoid 4045 --swversion DE.1.0.9.0 --startMP 204:232992 --initTime 2017-03-23T01:22:30 --startdatetime 2017-03-23T01:26:14 --delay 0 --endMP 204:149 --enddatetime 2017-03-23T02:04:11 --enforcementcount 2 &gt;&gt;C:\Users\stu\Documents\GitHub\eaglep3-reporting\EC\2017-03-22-refined-times.txt</v>
      </c>
      <c r="AI162" s="108" t="str">
        <f t="shared" si="68"/>
        <v>echo {"issue":{"subject":"","project_id":79,"tracker_id":40,"status_id":1,"priority_id":2,"assigned_to_id":23,"start_date":"2017-03-23","description":"","custom_fields":[{"id":1,"name":"Subdivision","value":"EC"},{"id":4,"name":"Milepost","value":"0.0149"},{"id":17,"name":"Train ID","value":"244-22"},{"id":16,"name":"Locomotive ID","value":"4045"},{"id":130,"name":"Impact","value":""},{"id":150,"name":"Time of Event (Mountain Time)","value":"02:04:11"},{"id":151,"name":"Denver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69"/>
        <v>start /low /b %USERPROFILE%\Documents\GitHub\eaglep3\Utilities\DownloadLogsFromS3.py --loco 4045 --day 2017-03-23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"%USERPROFILE%\AppData\Local\Temp\OnboardLogs"\RTDC4045\*4045*20170323* | grep -SE "(Enforcement Action)|(\[TIMEOUT)|(CHR.+\|PRM\|1\|D.+(SWITCH|SIGNAL).+UNKNOWN)" - &gt;&gt; 2017-03-22-UncaughtWiMAX.txt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3" t="s">
        <v>664</v>
      </c>
      <c r="B163" s="7">
        <v>4021</v>
      </c>
      <c r="C163" s="21" t="s">
        <v>219</v>
      </c>
      <c r="D163" s="21" t="s">
        <v>588</v>
      </c>
      <c r="E163" s="13">
        <v>42816.211793981478</v>
      </c>
      <c r="F163" s="13">
        <v>42816.216087962966</v>
      </c>
      <c r="G163" s="7">
        <v>1</v>
      </c>
      <c r="H163" s="21" t="s">
        <v>581</v>
      </c>
      <c r="I163" s="13">
        <v>42816.229687500003</v>
      </c>
      <c r="J163" s="7">
        <v>2</v>
      </c>
      <c r="K163" s="98" t="str">
        <f t="shared" si="55"/>
        <v>4021/4022</v>
      </c>
      <c r="L163" s="21" t="str">
        <f>VLOOKUP(A163,'Trips&amp;Operators'!$C$1:$G$99999,5,FALSE)</f>
        <v>YORK EDGAR</v>
      </c>
      <c r="M163" s="6">
        <f t="shared" si="56"/>
        <v>1.3599537036498077E-2</v>
      </c>
      <c r="N163" s="7">
        <f t="shared" si="70"/>
        <v>19.583333332557231</v>
      </c>
      <c r="O163" s="7"/>
      <c r="P163" s="7"/>
      <c r="Q163" s="22"/>
      <c r="R163" s="22"/>
      <c r="S163" s="31">
        <f t="shared" si="71"/>
        <v>1</v>
      </c>
      <c r="T163" s="46" t="str">
        <f t="shared" si="57"/>
        <v>Southbound</v>
      </c>
      <c r="U163" s="18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6" t="str">
        <f t="shared" si="58"/>
        <v>https://d0f6bd738d7f1b3e5a7ca70fe4ff75f0.us-east-1.aws.found.io/app/kibana#/discover/Steve-Slow-Train-Analysis-(2080s-and-2083s)?_g=(refreshInterval:(display:Off,pause:!f,section:0,value:0),time:(from:'2017-03-22T04:04:59-0600',mode:absolute,to:'2017-03-22T06:30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3" s="187" t="str">
        <f t="shared" si="59"/>
        <v>N</v>
      </c>
      <c r="X163" s="187">
        <f t="shared" si="54"/>
        <v>556</v>
      </c>
      <c r="Y163" s="62">
        <f t="shared" si="60"/>
        <v>5.8619000000000003</v>
      </c>
      <c r="Z163" s="62">
        <f t="shared" si="61"/>
        <v>7.3800000000000004E-2</v>
      </c>
      <c r="AA163" s="62">
        <f t="shared" si="62"/>
        <v>5.7881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63"/>
        <v>0800-22</v>
      </c>
      <c r="AE163" s="85" t="str">
        <f t="shared" si="64"/>
        <v>aws s3 cp s3://rtdc.mdm.uploadarchive.raw/RTDC4021/ "%USERPROFILE%\AppData\Local\Temp\OnboardLogs"\RTDC4021\2017-03-22 --exclude "*" --recursive --include "*20170322*" &amp; "%USERPROFILE%\Documents\GitHub\mrs-test-scripts\Headless Mode &amp; Sideloading\WalkAndUnGZ.bat" "%USERPROFILE%\AppData\Local\Temp\OnboardLogs"\RTDC4021\2017-03-22 &amp; aws s3 cp s3://rtdc.mdm.uploadarchive.raw/RTDC4021/ "%USERPROFILE%\AppData\Local\Temp\OnboardLogs"\RTDC4021\2017-03-23 --exclude "*" --recursive --include "*20170323*" &amp; "%USERPROFILE%\Documents\GitHub\mrs-test-scripts\Headless Mode &amp; Sideloading\WalkAndUnGZ.bat" "%USERPROFILE%\AppData\Local\Temp\OnboardLogs"\RTDC4021\2017-03-23</v>
      </c>
      <c r="AF163" s="82" t="str">
        <f t="shared" si="65"/>
        <v>"C:\Program Files (x86)\AstroGrep\AstroGrep.exe" /e /r /s /spath="%USERPROFILE%\AppData\Local\Temp\OnboardLogs" /stypes="app*4021*20170322*" /stext=" 11:.+((SYSTEM_STATE.+slice.+state.+changed )|(ment ac)|(multiple cpu faults)|(system.+state.+changed )|(\[timeout)|(PRM\|1\|D)|(kpr)|(kdp)|(\|lc)|(penalty))"</v>
      </c>
      <c r="AG163" s="1" t="str">
        <f t="shared" si="66"/>
        <v>NW</v>
      </c>
      <c r="AH163" s="86" t="str">
        <f t="shared" si="67"/>
        <v>"%USERPROFILE%\Documents\GitHub\eaglep3\Utilities\RefineRTDCRunTimes.py" --tripid 800-22 --locoid 4021 --swversion DE.1.0.9.0 --startMP 300:58619 --initTime 2017-03-22T05:04:59 --startdatetime 2017-03-22T05:11:10 --delay 1 --endMP 204:738 --enddatetime 2017-03-22T05:30:45 --enforcementcount 2 &gt;&gt;C:\Users\stu\Documents\GitHub\eaglep3-reporting\EC\2017-03-22-refined-times.txt</v>
      </c>
      <c r="AI163" s="108" t="str">
        <f t="shared" si="68"/>
        <v>echo {"issue":{"subject":"","project_id":79,"tracker_id":40,"status_id":1,"priority_id":2,"assigned_to_id":23,"start_date":"2017-03-22","description":"","custom_fields":[{"id":1,"name":"Subdivision","value":"NW"},{"id":4,"name":"Milepost","value":"0.0738"},{"id":17,"name":"Train ID","value":"800-22"},{"id":16,"name":"Locomotive ID","value":"4021"},{"id":130,"name":"Impact","value":""},{"id":150,"name":"Time of Event (Mountain Time)","value":"05:30:45"},{"id":151,"name":"Denver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69"/>
        <v>start /low /b %USERPROFILE%\Documents\GitHub\eaglep3\Utilities\DownloadLogsFromS3.py --loco 4021 --day 2017-03-22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"%USERPROFILE%\AppData\Local\Temp\OnboardLogs"\RTDC4021\*4021*20170322* | grep -SE "(Enforcement Action)|(\[TIMEOUT)|(CHR.+\|PRM\|1\|D.+(SWITCH|SIGNAL).+UNKNOWN)" - &gt;&gt; 2017-03-22-UncaughtWiMAX.txt</v>
      </c>
    </row>
    <row r="164" spans="1:91" x14ac:dyDescent="0.25">
      <c r="A164" s="33" t="s">
        <v>668</v>
      </c>
      <c r="B164" s="7">
        <v>4022</v>
      </c>
      <c r="C164" s="21" t="s">
        <v>219</v>
      </c>
      <c r="D164" s="21" t="s">
        <v>959</v>
      </c>
      <c r="E164" s="13">
        <v>42816.230567129627</v>
      </c>
      <c r="F164" s="13">
        <v>42816.243981481479</v>
      </c>
      <c r="G164" s="7">
        <v>0</v>
      </c>
      <c r="H164" s="21" t="s">
        <v>960</v>
      </c>
      <c r="I164" s="13">
        <v>42816.252800925926</v>
      </c>
      <c r="J164" s="7">
        <v>2</v>
      </c>
      <c r="K164" s="98" t="str">
        <f t="shared" si="55"/>
        <v>4021/4022</v>
      </c>
      <c r="L164" s="21" t="str">
        <f>VLOOKUP(A164,'Trips&amp;Operators'!$C$1:$G$99999,5,FALSE)</f>
        <v>YORK EDGAR</v>
      </c>
      <c r="M164" s="6">
        <f t="shared" si="56"/>
        <v>8.819444446999114E-3</v>
      </c>
      <c r="N164" s="7">
        <f t="shared" si="70"/>
        <v>12.700000003678724</v>
      </c>
      <c r="O164" s="7"/>
      <c r="P164" s="7"/>
      <c r="Q164" s="22"/>
      <c r="R164" s="22"/>
      <c r="S164" s="31">
        <f t="shared" si="71"/>
        <v>1</v>
      </c>
      <c r="T164" s="46" t="str">
        <f t="shared" si="57"/>
        <v>NorthBound</v>
      </c>
      <c r="U164" s="18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6" t="str">
        <f t="shared" si="58"/>
        <v>https://d0f6bd738d7f1b3e5a7ca70fe4ff75f0.us-east-1.aws.found.io/app/kibana#/discover/Steve-Slow-Train-Analysis-(2080s-and-2083s)?_g=(refreshInterval:(display:Off,pause:!f,section:0,value:0),time:(from:'2017-03-22T04:32:01-0600',mode:absolute,to:'2017-03-22T07:04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4" s="187" t="str">
        <f t="shared" si="59"/>
        <v>N</v>
      </c>
      <c r="X164" s="187">
        <f t="shared" si="54"/>
        <v>1</v>
      </c>
      <c r="Y164" s="62">
        <f t="shared" si="60"/>
        <v>0.10440000000000001</v>
      </c>
      <c r="Z164" s="62">
        <f t="shared" si="61"/>
        <v>5.8933</v>
      </c>
      <c r="AA164" s="62">
        <f t="shared" si="62"/>
        <v>5.7888999999999999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63"/>
        <v>0801-22</v>
      </c>
      <c r="AE164" s="85" t="str">
        <f t="shared" si="64"/>
        <v>aws s3 cp s3://rtdc.mdm.uploadarchive.raw/RTDC4022/ "%USERPROFILE%\AppData\Local\Temp\OnboardLogs"\RTDC4022\2017-03-22 --exclude "*" --recursive --include "*20170322*" &amp; "%USERPROFILE%\Documents\GitHub\mrs-test-scripts\Headless Mode &amp; Sideloading\WalkAndUnGZ.bat" "%USERPROFILE%\AppData\Local\Temp\OnboardLogs"\RTDC4022\2017-03-22 &amp; aws s3 cp s3://rtdc.mdm.uploadarchive.raw/RTDC4022/ "%USERPROFILE%\AppData\Local\Temp\OnboardLogs"\RTDC4022\2017-03-23 --exclude "*" --recursive --include "*20170323*" &amp; "%USERPROFILE%\Documents\GitHub\mrs-test-scripts\Headless Mode &amp; Sideloading\WalkAndUnGZ.bat" "%USERPROFILE%\AppData\Local\Temp\OnboardLogs"\RTDC4022\2017-03-23</v>
      </c>
      <c r="AF164" s="82" t="str">
        <f t="shared" si="65"/>
        <v>"C:\Program Files (x86)\AstroGrep\AstroGrep.exe" /e /r /s /spath="%USERPROFILE%\AppData\Local\Temp\OnboardLogs" /stypes="app*4022*20170322*" /stext=" 12:.+((SYSTEM_STATE.+slice.+state.+changed )|(ment ac)|(multiple cpu faults)|(system.+state.+changed )|(\[timeout)|(PRM\|1\|D)|(kpr)|(kdp)|(\|lc)|(penalty))"</v>
      </c>
      <c r="AG164" s="1" t="str">
        <f t="shared" si="66"/>
        <v>NW</v>
      </c>
      <c r="AH164" s="86" t="str">
        <f t="shared" si="67"/>
        <v>"%USERPROFILE%\Documents\GitHub\eaglep3\Utilities\RefineRTDCRunTimes.py" --tripid 801-22 --locoid 4022 --swversion DE.1.0.9.0 --startMP 204:1044 --initTime 2017-03-22T05:32:01 --startdatetime 2017-03-22T05:51:20 --delay 0 --endMP 300:58933 --enddatetime 2017-03-22T06:04:02 --enforcementcount 2 &gt;&gt;C:\Users\stu\Documents\GitHub\eaglep3-reporting\EC\2017-03-22-refined-times.txt</v>
      </c>
      <c r="AI164" s="108" t="str">
        <f t="shared" si="68"/>
        <v>echo {"issue":{"subject":"","project_id":79,"tracker_id":40,"status_id":1,"priority_id":2,"assigned_to_id":23,"start_date":"2017-03-22","description":"","custom_fields":[{"id":1,"name":"Subdivision","value":"NW"},{"id":4,"name":"Milepost","value":"5.8933"},{"id":17,"name":"Train ID","value":"801-22"},{"id":16,"name":"Locomotive ID","value":"4022"},{"id":130,"name":"Impact","value":""},{"id":150,"name":"Time of Event (Mountain Time)","value":"06:04:02"},{"id":151,"name":"Denver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69"/>
        <v>start /low /b %USERPROFILE%\Documents\GitHub\eaglep3\Utilities\DownloadLogsFromS3.py --loco 4022 --day 2017-03-22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"%USERPROFILE%\AppData\Local\Temp\OnboardLogs"\RTDC4022\*4022*20170322* | grep -SE "(Enforcement Action)|(\[TIMEOUT)|(CHR.+\|PRM\|1\|D.+(SWITCH|SIGNAL).+UNKNOWN)" - &gt;&gt; 2017-03-22-UncaughtWiMAX.txt</v>
      </c>
    </row>
    <row r="165" spans="1:91" x14ac:dyDescent="0.25">
      <c r="A165" s="33" t="s">
        <v>597</v>
      </c>
      <c r="B165" s="7">
        <v>4021</v>
      </c>
      <c r="C165" s="21" t="s">
        <v>219</v>
      </c>
      <c r="D165" s="21" t="s">
        <v>590</v>
      </c>
      <c r="E165" s="13">
        <v>42816.255844907406</v>
      </c>
      <c r="F165" s="13">
        <v>42816.257222222222</v>
      </c>
      <c r="G165" s="7">
        <v>1</v>
      </c>
      <c r="H165" s="21" t="s">
        <v>961</v>
      </c>
      <c r="I165" s="13">
        <v>42816.268125000002</v>
      </c>
      <c r="J165" s="7">
        <v>2</v>
      </c>
      <c r="K165" s="98" t="str">
        <f t="shared" si="55"/>
        <v>4021/4022</v>
      </c>
      <c r="L165" s="21" t="str">
        <f>VLOOKUP(A165,'Trips&amp;Operators'!$C$1:$G$99999,5,FALSE)</f>
        <v>YORK EDGAR</v>
      </c>
      <c r="M165" s="6">
        <f t="shared" si="56"/>
        <v>1.0902777779847383E-2</v>
      </c>
      <c r="N165" s="7">
        <f t="shared" si="70"/>
        <v>15.700000002980232</v>
      </c>
      <c r="O165" s="7"/>
      <c r="P165" s="7"/>
      <c r="Q165" s="22"/>
      <c r="R165" s="22"/>
      <c r="S165" s="31">
        <f t="shared" si="71"/>
        <v>1</v>
      </c>
      <c r="T165" s="46" t="str">
        <f t="shared" si="57"/>
        <v>Southbound</v>
      </c>
      <c r="U165" s="18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6" t="str">
        <f t="shared" si="58"/>
        <v>https://d0f6bd738d7f1b3e5a7ca70fe4ff75f0.us-east-1.aws.found.io/app/kibana#/discover/Steve-Slow-Train-Analysis-(2080s-and-2083s)?_g=(refreshInterval:(display:Off,pause:!f,section:0,value:0),time:(from:'2017-03-22T05:08:25-0600',mode:absolute,to:'2017-03-22T07:26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5" s="187" t="str">
        <f t="shared" si="59"/>
        <v>N</v>
      </c>
      <c r="X165" s="187">
        <f t="shared" si="54"/>
        <v>1</v>
      </c>
      <c r="Y165" s="62">
        <f t="shared" si="60"/>
        <v>5.8625999999999996</v>
      </c>
      <c r="Z165" s="62">
        <f t="shared" si="61"/>
        <v>7.6100000000000001E-2</v>
      </c>
      <c r="AA165" s="62">
        <f t="shared" si="62"/>
        <v>5.7864999999999993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63"/>
        <v>0802-22</v>
      </c>
      <c r="AE165" s="85" t="str">
        <f t="shared" si="64"/>
        <v>aws s3 cp s3://rtdc.mdm.uploadarchive.raw/RTDC4021/ "%USERPROFILE%\AppData\Local\Temp\OnboardLogs"\RTDC4021\2017-03-22 --exclude "*" --recursive --include "*20170322*" &amp; "%USERPROFILE%\Documents\GitHub\mrs-test-scripts\Headless Mode &amp; Sideloading\WalkAndUnGZ.bat" "%USERPROFILE%\AppData\Local\Temp\OnboardLogs"\RTDC4021\2017-03-22 &amp; aws s3 cp s3://rtdc.mdm.uploadarchive.raw/RTDC4021/ "%USERPROFILE%\AppData\Local\Temp\OnboardLogs"\RTDC4021\2017-03-23 --exclude "*" --recursive --include "*20170323*" &amp; "%USERPROFILE%\Documents\GitHub\mrs-test-scripts\Headless Mode &amp; Sideloading\WalkAndUnGZ.bat" "%USERPROFILE%\AppData\Local\Temp\OnboardLogs"\RTDC4021\2017-03-23</v>
      </c>
      <c r="AF165" s="82" t="str">
        <f t="shared" si="65"/>
        <v>"C:\Program Files (x86)\AstroGrep\AstroGrep.exe" /e /r /s /spath="%USERPROFILE%\AppData\Local\Temp\OnboardLogs" /stypes="app*4021*20170322*" /stext=" 12:.+((SYSTEM_STATE.+slice.+state.+changed )|(ment ac)|(multiple cpu faults)|(system.+state.+changed )|(\[timeout)|(PRM\|1\|D)|(kpr)|(kdp)|(\|lc)|(penalty))"</v>
      </c>
      <c r="AG165" s="1" t="str">
        <f t="shared" si="66"/>
        <v>NW</v>
      </c>
      <c r="AH165" s="86" t="str">
        <f t="shared" si="67"/>
        <v>"%USERPROFILE%\Documents\GitHub\eaglep3\Utilities\RefineRTDCRunTimes.py" --tripid 802-22 --locoid 4021 --swversion DE.1.0.9.0 --startMP 300:58626 --initTime 2017-03-22T06:08:25 --startdatetime 2017-03-22T06:10:24 --delay 1 --endMP 204:761 --enddatetime 2017-03-22T06:26:06 --enforcementcount 2 &gt;&gt;C:\Users\stu\Documents\GitHub\eaglep3-reporting\EC\2017-03-22-refined-times.txt</v>
      </c>
      <c r="AI165" s="108" t="str">
        <f t="shared" si="68"/>
        <v>echo {"issue":{"subject":"","project_id":79,"tracker_id":40,"status_id":1,"priority_id":2,"assigned_to_id":23,"start_date":"2017-03-22","description":"","custom_fields":[{"id":1,"name":"Subdivision","value":"NW"},{"id":4,"name":"Milepost","value":"0.0761"},{"id":17,"name":"Train ID","value":"802-22"},{"id":16,"name":"Locomotive ID","value":"4021"},{"id":130,"name":"Impact","value":""},{"id":150,"name":"Time of Event (Mountain Time)","value":"06:26:06"},{"id":151,"name":"Denver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69"/>
        <v>start /low /b %USERPROFILE%\Documents\GitHub\eaglep3\Utilities\DownloadLogsFromS3.py --loco 4021 --day 2017-03-22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"%USERPROFILE%\AppData\Local\Temp\OnboardLogs"\RTDC4021\*4021*20170322* | grep -SE "(Enforcement Action)|(\[TIMEOUT)|(CHR.+\|PRM\|1\|D.+(SWITCH|SIGNAL).+UNKNOWN)" - &gt;&gt; 2017-03-22-UncaughtWiMAX.txt</v>
      </c>
    </row>
    <row r="166" spans="1:91" x14ac:dyDescent="0.25">
      <c r="A166" s="33" t="s">
        <v>678</v>
      </c>
      <c r="B166" s="7">
        <v>4007</v>
      </c>
      <c r="C166" s="21" t="s">
        <v>219</v>
      </c>
      <c r="D166" s="21" t="s">
        <v>962</v>
      </c>
      <c r="E166" s="13">
        <v>42816.264166666668</v>
      </c>
      <c r="F166" s="13">
        <v>42816.265694444446</v>
      </c>
      <c r="G166" s="7">
        <v>1</v>
      </c>
      <c r="H166" s="21" t="s">
        <v>582</v>
      </c>
      <c r="I166" s="13">
        <v>42816.274641203701</v>
      </c>
      <c r="J166" s="7">
        <v>2</v>
      </c>
      <c r="K166" s="98" t="str">
        <f t="shared" si="55"/>
        <v>4007/4008</v>
      </c>
      <c r="L166" s="21" t="str">
        <f>VLOOKUP(A166,'Trips&amp;Operators'!$C$1:$G$99999,5,FALSE)</f>
        <v>LOZA FIDEL</v>
      </c>
      <c r="M166" s="6">
        <f t="shared" si="56"/>
        <v>8.9467592551955022E-3</v>
      </c>
      <c r="N166" s="7">
        <f t="shared" si="70"/>
        <v>12.883333327481523</v>
      </c>
      <c r="O166" s="7"/>
      <c r="P166" s="7"/>
      <c r="Q166" s="22"/>
      <c r="R166" s="22"/>
      <c r="S166" s="31">
        <f t="shared" si="71"/>
        <v>1</v>
      </c>
      <c r="T166" s="46" t="str">
        <f t="shared" si="57"/>
        <v>NorthBound</v>
      </c>
      <c r="U166" s="18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6" t="str">
        <f t="shared" si="58"/>
        <v>https://d0f6bd738d7f1b3e5a7ca70fe4ff75f0.us-east-1.aws.found.io/app/kibana#/discover/Steve-Slow-Train-Analysis-(2080s-and-2083s)?_g=(refreshInterval:(display:Off,pause:!f,section:0,value:0),time:(from:'2017-03-22T05:20:24-0600',mode:absolute,to:'2017-03-22T07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6" s="187" t="str">
        <f t="shared" si="59"/>
        <v>N</v>
      </c>
      <c r="X166" s="187">
        <f t="shared" ref="X166:X188" si="72">VALUE(LEFT(AD166,4))-VALUE(LEFT(AD165,4))</f>
        <v>1</v>
      </c>
      <c r="Y166" s="62">
        <f t="shared" si="60"/>
        <v>9.7900000000000001E-2</v>
      </c>
      <c r="Z166" s="62">
        <f t="shared" si="61"/>
        <v>5.8952</v>
      </c>
      <c r="AA166" s="62">
        <f t="shared" si="62"/>
        <v>5.7972999999999999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63"/>
        <v>0803-22</v>
      </c>
      <c r="AE166" s="85" t="str">
        <f t="shared" si="64"/>
        <v>aws s3 cp s3://rtdc.mdm.uploadarchive.raw/RTDC4007/ "%USERPROFILE%\AppData\Local\Temp\OnboardLogs"\RTDC4007\2017-03-22 --exclude "*" --recursive --include "*20170322*" &amp; "%USERPROFILE%\Documents\GitHub\mrs-test-scripts\Headless Mode &amp; Sideloading\WalkAndUnGZ.bat" "%USERPROFILE%\AppData\Local\Temp\OnboardLogs"\RTDC4007\2017-03-22 &amp; aws s3 cp s3://rtdc.mdm.uploadarchive.raw/RTDC4007/ "%USERPROFILE%\AppData\Local\Temp\OnboardLogs"\RTDC4007\2017-03-23 --exclude "*" --recursive --include "*20170323*" &amp; "%USERPROFILE%\Documents\GitHub\mrs-test-scripts\Headless Mode &amp; Sideloading\WalkAndUnGZ.bat" "%USERPROFILE%\AppData\Local\Temp\OnboardLogs"\RTDC4007\2017-03-23</v>
      </c>
      <c r="AF166" s="82" t="str">
        <f t="shared" si="65"/>
        <v>"C:\Program Files (x86)\AstroGrep\AstroGrep.exe" /e /r /s /spath="%USERPROFILE%\AppData\Local\Temp\OnboardLogs" /stypes="app*4007*20170322*" /stext=" 12:.+((SYSTEM_STATE.+slice.+state.+changed )|(ment ac)|(multiple cpu faults)|(system.+state.+changed )|(\[timeout)|(PRM\|1\|D)|(kpr)|(kdp)|(\|lc)|(penalty))"</v>
      </c>
      <c r="AG166" s="1" t="str">
        <f t="shared" si="66"/>
        <v>NW</v>
      </c>
      <c r="AH166" s="86" t="str">
        <f t="shared" si="67"/>
        <v>"%USERPROFILE%\Documents\GitHub\eaglep3\Utilities\RefineRTDCRunTimes.py" --tripid 803-22 --locoid 4007 --swversion DE.1.0.9.0 --startMP 204:979 --initTime 2017-03-22T06:20:24 --startdatetime 2017-03-22T06:22:36 --delay 1 --endMP 300:58952 --enddatetime 2017-03-22T06:35:29 --enforcementcount 2 &gt;&gt;C:\Users\stu\Documents\GitHub\eaglep3-reporting\EC\2017-03-22-refined-times.txt</v>
      </c>
      <c r="AI166" s="108" t="str">
        <f t="shared" si="68"/>
        <v>echo {"issue":{"subject":"","project_id":79,"tracker_id":40,"status_id":1,"priority_id":2,"assigned_to_id":23,"start_date":"2017-03-22","description":"","custom_fields":[{"id":1,"name":"Subdivision","value":"NW"},{"id":4,"name":"Milepost","value":"5.8952"},{"id":17,"name":"Train ID","value":"803-22"},{"id":16,"name":"Locomotive ID","value":"4007"},{"id":130,"name":"Impact","value":""},{"id":150,"name":"Time of Event (Mountain Time)","value":"06:35:29"},{"id":151,"name":"Denver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69"/>
        <v>start /low /b %USERPROFILE%\Documents\GitHub\eaglep3\Utilities\DownloadLogsFromS3.py --loco 4007 --day 2017-03-22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"%USERPROFILE%\AppData\Local\Temp\OnboardLogs"\RTDC4007\*4007*20170322* | grep -SE "(Enforcement Action)|(\[TIMEOUT)|(CHR.+\|PRM\|1\|D.+(SWITCH|SIGNAL).+UNKNOWN)" - &gt;&gt; 2017-03-22-UncaughtWiMAX.txt</v>
      </c>
    </row>
    <row r="167" spans="1:91" x14ac:dyDescent="0.25">
      <c r="A167" s="33" t="s">
        <v>681</v>
      </c>
      <c r="B167" s="7">
        <v>4008</v>
      </c>
      <c r="C167" s="21" t="s">
        <v>219</v>
      </c>
      <c r="D167" s="21" t="s">
        <v>524</v>
      </c>
      <c r="E167" s="13">
        <v>42816.275625000002</v>
      </c>
      <c r="F167" s="13">
        <v>42816.277060185188</v>
      </c>
      <c r="G167" s="7">
        <v>1</v>
      </c>
      <c r="H167" s="21" t="s">
        <v>521</v>
      </c>
      <c r="I167" s="13">
        <v>42816.288495370369</v>
      </c>
      <c r="J167" s="7">
        <v>2</v>
      </c>
      <c r="K167" s="98" t="str">
        <f t="shared" si="55"/>
        <v>4007/4008</v>
      </c>
      <c r="L167" s="21" t="str">
        <f>VLOOKUP(A167,'Trips&amp;Operators'!$C$1:$G$99999,5,FALSE)</f>
        <v>LOZA FIDEL</v>
      </c>
      <c r="M167" s="6">
        <f t="shared" si="56"/>
        <v>1.1435185180744156E-2</v>
      </c>
      <c r="N167" s="7">
        <f t="shared" si="70"/>
        <v>16.466666660271585</v>
      </c>
      <c r="O167" s="7"/>
      <c r="P167" s="7"/>
      <c r="Q167" s="22"/>
      <c r="R167" s="22"/>
      <c r="S167" s="31">
        <f t="shared" si="71"/>
        <v>1</v>
      </c>
      <c r="T167" s="46" t="str">
        <f t="shared" si="57"/>
        <v>Southbound</v>
      </c>
      <c r="U167" s="18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6" t="str">
        <f t="shared" si="58"/>
        <v>https://d0f6bd738d7f1b3e5a7ca70fe4ff75f0.us-east-1.aws.found.io/app/kibana#/discover/Steve-Slow-Train-Analysis-(2080s-and-2083s)?_g=(refreshInterval:(display:Off,pause:!f,section:0,value:0),time:(from:'2017-03-22T05:36:54-0600',mode:absolute,to:'2017-03-22T07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7" s="187" t="str">
        <f t="shared" si="59"/>
        <v>N</v>
      </c>
      <c r="X167" s="187">
        <f t="shared" si="72"/>
        <v>1</v>
      </c>
      <c r="Y167" s="62">
        <f t="shared" si="60"/>
        <v>5.8638000000000003</v>
      </c>
      <c r="Z167" s="62">
        <f t="shared" si="61"/>
        <v>6.7299999999999999E-2</v>
      </c>
      <c r="AA167" s="62">
        <f t="shared" si="62"/>
        <v>5.7965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63"/>
        <v>0804-22</v>
      </c>
      <c r="AE167" s="85" t="str">
        <f t="shared" si="64"/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AF167" s="82" t="str">
        <f t="shared" si="65"/>
        <v>"C:\Program Files (x86)\AstroGrep\AstroGrep.exe" /e /r /s /spath="%USERPROFILE%\AppData\Local\Temp\OnboardLogs" /stypes="app*4008*20170322*" /stext=" 12:.+((SYSTEM_STATE.+slice.+state.+changed )|(ment ac)|(multiple cpu faults)|(system.+state.+changed )|(\[timeout)|(PRM\|1\|D)|(kpr)|(kdp)|(\|lc)|(penalty))"</v>
      </c>
      <c r="AG167" s="1" t="str">
        <f t="shared" si="66"/>
        <v>NW</v>
      </c>
      <c r="AH167" s="86" t="str">
        <f t="shared" si="67"/>
        <v>"%USERPROFILE%\Documents\GitHub\eaglep3\Utilities\RefineRTDCRunTimes.py" --tripid 804-22 --locoid 4008 --swversion DE.1.0.9.0 --startMP 300:58638 --initTime 2017-03-22T06:36:54 --startdatetime 2017-03-22T06:38:58 --delay 1 --endMP 204:673 --enddatetime 2017-03-22T06:55:26 --enforcementcount 2 &gt;&gt;C:\Users\stu\Documents\GitHub\eaglep3-reporting\EC\2017-03-22-refined-times.txt</v>
      </c>
      <c r="AI167" s="108" t="str">
        <f t="shared" si="68"/>
        <v>echo {"issue":{"subject":"","project_id":79,"tracker_id":40,"status_id":1,"priority_id":2,"assigned_to_id":23,"start_date":"2017-03-22","description":"","custom_fields":[{"id":1,"name":"Subdivision","value":"NW"},{"id":4,"name":"Milepost","value":"0.0673"},{"id":17,"name":"Train ID","value":"804-22"},{"id":16,"name":"Locomotive ID","value":"4008"},{"id":130,"name":"Impact","value":""},{"id":150,"name":"Time of Event (Mountain Time)","value":"06:55:26"},{"id":151,"name":"Denver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69"/>
        <v>start /low /b %USERPROFILE%\Documents\GitHub\eaglep3\Utilities\DownloadLogsFromS3.py --loco 4008 --day 2017-03-22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"%USERPROFILE%\AppData\Local\Temp\OnboardLogs"\RTDC4008\*4008*20170322* | grep -SE "(Enforcement Action)|(\[TIMEOUT)|(CHR.+\|PRM\|1\|D.+(SWITCH|SIGNAL).+UNKNOWN)" - &gt;&gt; 2017-03-22-UncaughtWiMAX.txt</v>
      </c>
    </row>
    <row r="168" spans="1:91" x14ac:dyDescent="0.25">
      <c r="A168" s="33" t="s">
        <v>679</v>
      </c>
      <c r="B168" s="7">
        <v>4022</v>
      </c>
      <c r="C168" s="21" t="s">
        <v>219</v>
      </c>
      <c r="D168" s="21" t="s">
        <v>963</v>
      </c>
      <c r="E168" s="13">
        <v>42816.269143518519</v>
      </c>
      <c r="F168" s="13">
        <v>42816.285590277781</v>
      </c>
      <c r="G168" s="7">
        <v>0</v>
      </c>
      <c r="H168" s="21" t="s">
        <v>463</v>
      </c>
      <c r="I168" s="13">
        <v>42816.293969907405</v>
      </c>
      <c r="J168" s="7">
        <v>2</v>
      </c>
      <c r="K168" s="98" t="str">
        <f t="shared" si="55"/>
        <v>4021/4022</v>
      </c>
      <c r="L168" s="21" t="str">
        <f>VLOOKUP(A168,'Trips&amp;Operators'!$C$1:$G$99999,5,FALSE)</f>
        <v>YORK EDGAR</v>
      </c>
      <c r="M168" s="6">
        <f t="shared" si="56"/>
        <v>8.3796296239597723E-3</v>
      </c>
      <c r="N168" s="7">
        <f t="shared" si="70"/>
        <v>12.066666658502072</v>
      </c>
      <c r="O168" s="7"/>
      <c r="P168" s="7"/>
      <c r="Q168" s="22"/>
      <c r="R168" s="22"/>
      <c r="S168" s="31">
        <f t="shared" si="71"/>
        <v>1</v>
      </c>
      <c r="T168" s="46" t="str">
        <f t="shared" si="57"/>
        <v>NorthBound</v>
      </c>
      <c r="U168" s="18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6" t="str">
        <f t="shared" si="58"/>
        <v>https://d0f6bd738d7f1b3e5a7ca70fe4ff75f0.us-east-1.aws.found.io/app/kibana#/discover/Steve-Slow-Train-Analysis-(2080s-and-2083s)?_g=(refreshInterval:(display:Off,pause:!f,section:0,value:0),time:(from:'2017-03-22T05:27:34-0600',mode:absolute,to:'2017-03-22T08:03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8" s="187" t="str">
        <f t="shared" si="59"/>
        <v>N</v>
      </c>
      <c r="X168" s="187">
        <f t="shared" si="72"/>
        <v>1</v>
      </c>
      <c r="Y168" s="62">
        <f t="shared" si="60"/>
        <v>0.10349999999999999</v>
      </c>
      <c r="Z168" s="62">
        <f t="shared" si="61"/>
        <v>5.8929</v>
      </c>
      <c r="AA168" s="62">
        <f t="shared" si="62"/>
        <v>5.7893999999999997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63"/>
        <v>0805-22</v>
      </c>
      <c r="AE168" s="85" t="str">
        <f t="shared" si="64"/>
        <v>aws s3 cp s3://rtdc.mdm.uploadarchive.raw/RTDC4022/ "%USERPROFILE%\AppData\Local\Temp\OnboardLogs"\RTDC4022\2017-03-22 --exclude "*" --recursive --include "*20170322*" &amp; "%USERPROFILE%\Documents\GitHub\mrs-test-scripts\Headless Mode &amp; Sideloading\WalkAndUnGZ.bat" "%USERPROFILE%\AppData\Local\Temp\OnboardLogs"\RTDC4022\2017-03-22 &amp; aws s3 cp s3://rtdc.mdm.uploadarchive.raw/RTDC4022/ "%USERPROFILE%\AppData\Local\Temp\OnboardLogs"\RTDC4022\2017-03-23 --exclude "*" --recursive --include "*20170323*" &amp; "%USERPROFILE%\Documents\GitHub\mrs-test-scripts\Headless Mode &amp; Sideloading\WalkAndUnGZ.bat" "%USERPROFILE%\AppData\Local\Temp\OnboardLogs"\RTDC4022\2017-03-23</v>
      </c>
      <c r="AF168" s="82" t="str">
        <f t="shared" si="65"/>
        <v>"C:\Program Files (x86)\AstroGrep\AstroGrep.exe" /e /r /s /spath="%USERPROFILE%\AppData\Local\Temp\OnboardLogs" /stypes="app*4022*20170322*" /stext=" 13:.+((SYSTEM_STATE.+slice.+state.+changed )|(ment ac)|(multiple cpu faults)|(system.+state.+changed )|(\[timeout)|(PRM\|1\|D)|(kpr)|(kdp)|(\|lc)|(penalty))"</v>
      </c>
      <c r="AG168" s="1" t="str">
        <f t="shared" si="66"/>
        <v>NW</v>
      </c>
      <c r="AH168" s="86" t="str">
        <f t="shared" si="67"/>
        <v>"%USERPROFILE%\Documents\GitHub\eaglep3\Utilities\RefineRTDCRunTimes.py" --tripid 805-22 --locoid 4022 --swversion DE.1.0.9.0 --startMP 204:1035 --initTime 2017-03-22T06:27:34 --startdatetime 2017-03-22T06:51:15 --delay 0 --endMP 300:58929 --enddatetime 2017-03-22T07:03:19 --enforcementcount 2 &gt;&gt;C:\Users\stu\Documents\GitHub\eaglep3-reporting\EC\2017-03-22-refined-times.txt</v>
      </c>
      <c r="AI168" s="108" t="str">
        <f t="shared" si="68"/>
        <v>echo {"issue":{"subject":"","project_id":79,"tracker_id":40,"status_id":1,"priority_id":2,"assigned_to_id":23,"start_date":"2017-03-22","description":"","custom_fields":[{"id":1,"name":"Subdivision","value":"NW"},{"id":4,"name":"Milepost","value":"5.8929"},{"id":17,"name":"Train ID","value":"805-22"},{"id":16,"name":"Locomotive ID","value":"4022"},{"id":130,"name":"Impact","value":""},{"id":150,"name":"Time of Event (Mountain Time)","value":"07:03:19"},{"id":151,"name":"Denver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69"/>
        <v>start /low /b %USERPROFILE%\Documents\GitHub\eaglep3\Utilities\DownloadLogsFromS3.py --loco 4022 --day 2017-03-22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"%USERPROFILE%\AppData\Local\Temp\OnboardLogs"\RTDC4022\*4022*20170322* | grep -SE "(Enforcement Action)|(\[TIMEOUT)|(CHR.+\|PRM\|1\|D.+(SWITCH|SIGNAL).+UNKNOWN)" - &gt;&gt; 2017-03-22-UncaughtWiMAX.txt</v>
      </c>
    </row>
    <row r="169" spans="1:91" x14ac:dyDescent="0.25">
      <c r="A169" s="33" t="s">
        <v>685</v>
      </c>
      <c r="B169" s="7">
        <v>4021</v>
      </c>
      <c r="C169" s="21" t="s">
        <v>219</v>
      </c>
      <c r="D169" s="21" t="s">
        <v>420</v>
      </c>
      <c r="E169" s="13">
        <v>42816.295740740738</v>
      </c>
      <c r="F169" s="13">
        <v>42816.298993055556</v>
      </c>
      <c r="G169" s="7">
        <v>1</v>
      </c>
      <c r="H169" s="21" t="s">
        <v>592</v>
      </c>
      <c r="I169" s="13">
        <v>42816.309571759259</v>
      </c>
      <c r="J169" s="7">
        <v>2</v>
      </c>
      <c r="K169" s="98" t="str">
        <f t="shared" si="55"/>
        <v>4021/4022</v>
      </c>
      <c r="L169" s="21" t="str">
        <f>VLOOKUP(A169,'Trips&amp;Operators'!$C$1:$G$99999,5,FALSE)</f>
        <v>YORK EDGAR</v>
      </c>
      <c r="M169" s="6">
        <f t="shared" si="56"/>
        <v>1.0578703702776693E-2</v>
      </c>
      <c r="N169" s="7">
        <f t="shared" si="70"/>
        <v>15.233333331998438</v>
      </c>
      <c r="O169" s="7"/>
      <c r="P169" s="7"/>
      <c r="Q169" s="22"/>
      <c r="R169" s="22"/>
      <c r="S169" s="31">
        <f t="shared" si="71"/>
        <v>1</v>
      </c>
      <c r="T169" s="46" t="str">
        <f t="shared" si="57"/>
        <v>Southbound</v>
      </c>
      <c r="U169" s="18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6" t="str">
        <f t="shared" si="58"/>
        <v>https://d0f6bd738d7f1b3e5a7ca70fe4ff75f0.us-east-1.aws.found.io/app/kibana#/discover/Steve-Slow-Train-Analysis-(2080s-and-2083s)?_g=(refreshInterval:(display:Off,pause:!f,section:0,value:0),time:(from:'2017-03-22T06:05:52-0600',mode:absolute,to:'2017-03-22T08:25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9" s="187" t="str">
        <f t="shared" si="59"/>
        <v>N</v>
      </c>
      <c r="X169" s="187">
        <f t="shared" si="72"/>
        <v>1</v>
      </c>
      <c r="Y169" s="62">
        <f t="shared" si="60"/>
        <v>5.8613</v>
      </c>
      <c r="Z169" s="62">
        <f t="shared" si="61"/>
        <v>7.4499999999999997E-2</v>
      </c>
      <c r="AA169" s="62">
        <f t="shared" si="62"/>
        <v>5.7868000000000004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63"/>
        <v>0806-22</v>
      </c>
      <c r="AE169" s="85" t="str">
        <f t="shared" si="64"/>
        <v>aws s3 cp s3://rtdc.mdm.uploadarchive.raw/RTDC4021/ "%USERPROFILE%\AppData\Local\Temp\OnboardLogs"\RTDC4021\2017-03-22 --exclude "*" --recursive --include "*20170322*" &amp; "%USERPROFILE%\Documents\GitHub\mrs-test-scripts\Headless Mode &amp; Sideloading\WalkAndUnGZ.bat" "%USERPROFILE%\AppData\Local\Temp\OnboardLogs"\RTDC4021\2017-03-22 &amp; aws s3 cp s3://rtdc.mdm.uploadarchive.raw/RTDC4021/ "%USERPROFILE%\AppData\Local\Temp\OnboardLogs"\RTDC4021\2017-03-23 --exclude "*" --recursive --include "*20170323*" &amp; "%USERPROFILE%\Documents\GitHub\mrs-test-scripts\Headless Mode &amp; Sideloading\WalkAndUnGZ.bat" "%USERPROFILE%\AppData\Local\Temp\OnboardLogs"\RTDC4021\2017-03-23</v>
      </c>
      <c r="AF169" s="82" t="str">
        <f t="shared" si="65"/>
        <v>"C:\Program Files (x86)\AstroGrep\AstroGrep.exe" /e /r /s /spath="%USERPROFILE%\AppData\Local\Temp\OnboardLogs" /stypes="app*4021*20170322*" /stext=" 13:.+((SYSTEM_STATE.+slice.+state.+changed )|(ment ac)|(multiple cpu faults)|(system.+state.+changed )|(\[timeout)|(PRM\|1\|D)|(kpr)|(kdp)|(\|lc)|(penalty))"</v>
      </c>
      <c r="AG169" s="1" t="str">
        <f t="shared" si="66"/>
        <v>NW</v>
      </c>
      <c r="AH169" s="86" t="str">
        <f t="shared" si="67"/>
        <v>"%USERPROFILE%\Documents\GitHub\eaglep3\Utilities\RefineRTDCRunTimes.py" --tripid 806-22 --locoid 4021 --swversion DE.1.0.9.0 --startMP 300:58613 --initTime 2017-03-22T07:05:52 --startdatetime 2017-03-22T07:10:33 --delay 1 --endMP 204:745 --enddatetime 2017-03-22T07:25:47 --enforcementcount 2 &gt;&gt;C:\Users\stu\Documents\GitHub\eaglep3-reporting\EC\2017-03-22-refined-times.txt</v>
      </c>
      <c r="AI169" s="108" t="str">
        <f t="shared" si="68"/>
        <v>echo {"issue":{"subject":"","project_id":79,"tracker_id":40,"status_id":1,"priority_id":2,"assigned_to_id":23,"start_date":"2017-03-22","description":"","custom_fields":[{"id":1,"name":"Subdivision","value":"NW"},{"id":4,"name":"Milepost","value":"0.0745"},{"id":17,"name":"Train ID","value":"806-22"},{"id":16,"name":"Locomotive ID","value":"4021"},{"id":130,"name":"Impact","value":""},{"id":150,"name":"Time of Event (Mountain Time)","value":"07:25:47"},{"id":151,"name":"Denver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69"/>
        <v>start /low /b %USERPROFILE%\Documents\GitHub\eaglep3\Utilities\DownloadLogsFromS3.py --loco 4021 --day 2017-03-22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"%USERPROFILE%\AppData\Local\Temp\OnboardLogs"\RTDC4021\*4021*20170322* | grep -SE "(Enforcement Action)|(\[TIMEOUT)|(CHR.+\|PRM\|1\|D.+(SWITCH|SIGNAL).+UNKNOWN)" - &gt;&gt; 2017-03-22-UncaughtWiMAX.txt</v>
      </c>
    </row>
    <row r="170" spans="1:91" s="20" customFormat="1" x14ac:dyDescent="0.25">
      <c r="A170" s="33" t="s">
        <v>600</v>
      </c>
      <c r="B170" s="7">
        <v>4007</v>
      </c>
      <c r="C170" s="21" t="s">
        <v>219</v>
      </c>
      <c r="D170" s="21" t="s">
        <v>964</v>
      </c>
      <c r="E170" s="13">
        <v>42816.304363425923</v>
      </c>
      <c r="F170" s="13">
        <v>42816.307152777779</v>
      </c>
      <c r="G170" s="7">
        <v>2</v>
      </c>
      <c r="H170" s="21" t="s">
        <v>965</v>
      </c>
      <c r="I170" s="13">
        <v>42816.313252314816</v>
      </c>
      <c r="J170" s="7">
        <v>2</v>
      </c>
      <c r="K170" s="98" t="str">
        <f t="shared" si="55"/>
        <v>4007/4008</v>
      </c>
      <c r="L170" s="21" t="str">
        <f>VLOOKUP(A170,'Trips&amp;Operators'!$C$1:$G$99999,5,FALSE)</f>
        <v>WILLIAMS DONTE</v>
      </c>
      <c r="M170" s="6">
        <f t="shared" si="56"/>
        <v>6.0995370367891155E-3</v>
      </c>
      <c r="N170" s="7"/>
      <c r="O170" s="7"/>
      <c r="P170" s="7">
        <f>24*60*SUM($M170:$M170)</f>
        <v>8.7833333329763263</v>
      </c>
      <c r="Q170" s="22"/>
      <c r="R170" s="22" t="s">
        <v>494</v>
      </c>
      <c r="S170" s="31">
        <f t="shared" si="71"/>
        <v>1</v>
      </c>
      <c r="T170" s="46" t="str">
        <f t="shared" si="57"/>
        <v>NorthBound</v>
      </c>
      <c r="U170" s="18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6" t="str">
        <f t="shared" si="58"/>
        <v>https://d0f6bd738d7f1b3e5a7ca70fe4ff75f0.us-east-1.aws.found.io/app/kibana#/discover/Steve-Slow-Train-Analysis-(2080s-and-2083s)?_g=(refreshInterval:(display:Off,pause:!f,section:0,value:0),time:(from:'2017-03-22T06:18:17-0600',mode:absolute,to:'2017-03-22T08:31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0" s="187" t="str">
        <f t="shared" si="59"/>
        <v>Y</v>
      </c>
      <c r="X170" s="187">
        <f t="shared" si="72"/>
        <v>1</v>
      </c>
      <c r="Y170" s="62">
        <f t="shared" si="60"/>
        <v>9.5699999999999993E-2</v>
      </c>
      <c r="Z170" s="62">
        <f t="shared" si="61"/>
        <v>3.5741999999999998</v>
      </c>
      <c r="AA170" s="62">
        <f t="shared" si="62"/>
        <v>3.4784999999999999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63"/>
        <v>0807-22</v>
      </c>
      <c r="AE170" s="85" t="str">
        <f t="shared" si="64"/>
        <v>aws s3 cp s3://rtdc.mdm.uploadarchive.raw/RTDC4007/ "%USERPROFILE%\AppData\Local\Temp\OnboardLogs"\RTDC4007\2017-03-22 --exclude "*" --recursive --include "*20170322*" &amp; "%USERPROFILE%\Documents\GitHub\mrs-test-scripts\Headless Mode &amp; Sideloading\WalkAndUnGZ.bat" "%USERPROFILE%\AppData\Local\Temp\OnboardLogs"\RTDC4007\2017-03-22 &amp; aws s3 cp s3://rtdc.mdm.uploadarchive.raw/RTDC4007/ "%USERPROFILE%\AppData\Local\Temp\OnboardLogs"\RTDC4007\2017-03-23 --exclude "*" --recursive --include "*20170323*" &amp; "%USERPROFILE%\Documents\GitHub\mrs-test-scripts\Headless Mode &amp; Sideloading\WalkAndUnGZ.bat" "%USERPROFILE%\AppData\Local\Temp\OnboardLogs"\RTDC4007\2017-03-23</v>
      </c>
      <c r="AF170" s="82" t="str">
        <f t="shared" si="65"/>
        <v>"C:\Program Files (x86)\AstroGrep\AstroGrep.exe" /e /r /s /spath="%USERPROFILE%\AppData\Local\Temp\OnboardLogs" /stypes="app*4007*20170322*" /stext=" 13:.+((SYSTEM_STATE.+slice.+state.+changed )|(ment ac)|(multiple cpu faults)|(system.+state.+changed )|(\[timeout)|(PRM\|1\|D)|(kpr)|(kdp)|(\|lc)|(penalty))"</v>
      </c>
      <c r="AG170" s="1" t="str">
        <f t="shared" si="66"/>
        <v>NW</v>
      </c>
      <c r="AH170" s="86" t="str">
        <f t="shared" si="67"/>
        <v>"%USERPROFILE%\Documents\GitHub\eaglep3\Utilities\RefineRTDCRunTimes.py" --tripid 807-22 --locoid 4007 --swversion DE.1.0.9.0 --startMP 204:957 --initTime 2017-03-22T07:18:17 --startdatetime 2017-03-22T07:22:18 --delay 2 --endMP 300:35742 --enddatetime 2017-03-22T07:31:05 --enforcementcount 2 &gt;&gt;C:\Users\stu\Documents\GitHub\eaglep3-reporting\EC\2017-03-22-refined-times.txt</v>
      </c>
      <c r="AI170" s="108" t="str">
        <f t="shared" si="68"/>
        <v>echo {"issue":{"subject":"Wi-MAX data drop","project_id":79,"tracker_id":40,"status_id":1,"priority_id":2,"assigned_to_id":23,"start_date":"2017-03-22","description":"","custom_fields":[{"id":1,"name":"Subdivision","value":"NW"},{"id":4,"name":"Milepost","value":"3.5742"},{"id":17,"name":"Train ID","value":"807-22"},{"id":16,"name":"Locomotive ID","value":"4007"},{"id":130,"name":"Impact","value":""},{"id":150,"name":"Time of Event (Mountain Time)","value":"07:31:05"},{"id":151,"name":"Denver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69"/>
        <v>start /low /b %USERPROFILE%\Documents\GitHub\eaglep3\Utilities\DownloadLogsFromS3.py --loco 4007 --day 2017-03-22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"%USERPROFILE%\AppData\Local\Temp\OnboardLogs"\RTDC4007\*4007*20170322* | grep -SE "(Enforcement Action)|(\[TIMEOUT)|(CHR.+\|PRM\|1\|D.+(SWITCH|SIGNAL).+UNKNOWN)" - &gt;&gt; 2017-03-22-UncaughtWiMAX.txt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3" t="s">
        <v>601</v>
      </c>
      <c r="B171" s="7">
        <v>4008</v>
      </c>
      <c r="C171" s="21" t="s">
        <v>219</v>
      </c>
      <c r="D171" s="21" t="s">
        <v>486</v>
      </c>
      <c r="E171" s="13">
        <v>42816.318969907406</v>
      </c>
      <c r="F171" s="13">
        <v>42816.320856481485</v>
      </c>
      <c r="G171" s="7">
        <v>1</v>
      </c>
      <c r="H171" s="21" t="s">
        <v>966</v>
      </c>
      <c r="I171" s="13">
        <v>42816.331064814818</v>
      </c>
      <c r="J171" s="7">
        <v>2</v>
      </c>
      <c r="K171" s="98" t="str">
        <f t="shared" si="55"/>
        <v>4007/4008</v>
      </c>
      <c r="L171" s="21" t="str">
        <f>VLOOKUP(A171,'Trips&amp;Operators'!$C$1:$G$99999,5,FALSE)</f>
        <v>WILLIAMS DONTE</v>
      </c>
      <c r="M171" s="6">
        <f t="shared" si="56"/>
        <v>1.0208333333139308E-2</v>
      </c>
      <c r="N171" s="7">
        <f t="shared" ref="N171:N188" si="73">24*60*SUM($M171:$M171)</f>
        <v>14.699999999720603</v>
      </c>
      <c r="O171" s="7"/>
      <c r="P171" s="7"/>
      <c r="Q171" s="22"/>
      <c r="R171" s="22"/>
      <c r="S171" s="31">
        <f t="shared" si="71"/>
        <v>1</v>
      </c>
      <c r="T171" s="46" t="str">
        <f t="shared" si="57"/>
        <v>Southbound</v>
      </c>
      <c r="U171" s="18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6" t="str">
        <f t="shared" si="58"/>
        <v>https://d0f6bd738d7f1b3e5a7ca70fe4ff75f0.us-east-1.aws.found.io/app/kibana#/discover/Steve-Slow-Train-Analysis-(2080s-and-2083s)?_g=(refreshInterval:(display:Off,pause:!f,section:0,value:0),time:(from:'2017-03-22T06:39:19-0600',mode:absolute,to:'2017-03-22T08:56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1" s="187" t="str">
        <f t="shared" si="59"/>
        <v>N</v>
      </c>
      <c r="X171" s="187">
        <f t="shared" si="72"/>
        <v>1</v>
      </c>
      <c r="Y171" s="62">
        <f t="shared" si="60"/>
        <v>5.8611000000000004</v>
      </c>
      <c r="Z171" s="62">
        <f t="shared" si="61"/>
        <v>7.6899999999999996E-2</v>
      </c>
      <c r="AA171" s="62">
        <f t="shared" si="62"/>
        <v>5.7842000000000002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63"/>
        <v>0808-22</v>
      </c>
      <c r="AE171" s="85" t="str">
        <f t="shared" si="64"/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AF171" s="82" t="str">
        <f t="shared" si="65"/>
        <v>"C:\Program Files (x86)\AstroGrep\AstroGrep.exe" /e /r /s /spath="%USERPROFILE%\AppData\Local\Temp\OnboardLogs" /stypes="app*4008*20170322*" /stext=" 13:.+((SYSTEM_STATE.+slice.+state.+changed )|(ment ac)|(multiple cpu faults)|(system.+state.+changed )|(\[timeout)|(PRM\|1\|D)|(kpr)|(kdp)|(\|lc)|(penalty))"</v>
      </c>
      <c r="AG171" s="1" t="str">
        <f t="shared" si="66"/>
        <v>NW</v>
      </c>
      <c r="AH171" s="86" t="str">
        <f t="shared" si="67"/>
        <v>"%USERPROFILE%\Documents\GitHub\eaglep3\Utilities\RefineRTDCRunTimes.py" --tripid 808-22 --locoid 4008 --swversion DE.1.0.9.0 --startMP 300:58611 --initTime 2017-03-22T07:39:19 --startdatetime 2017-03-22T07:42:02 --delay 1 --endMP 204:769 --enddatetime 2017-03-22T07:56:44 --enforcementcount 2 &gt;&gt;C:\Users\stu\Documents\GitHub\eaglep3-reporting\EC\2017-03-22-refined-times.txt</v>
      </c>
      <c r="AI171" s="108" t="str">
        <f t="shared" si="68"/>
        <v>echo {"issue":{"subject":"","project_id":79,"tracker_id":40,"status_id":1,"priority_id":2,"assigned_to_id":23,"start_date":"2017-03-22","description":"","custom_fields":[{"id":1,"name":"Subdivision","value":"NW"},{"id":4,"name":"Milepost","value":"0.0769"},{"id":17,"name":"Train ID","value":"808-22"},{"id":16,"name":"Locomotive ID","value":"4008"},{"id":130,"name":"Impact","value":""},{"id":150,"name":"Time of Event (Mountain Time)","value":"07:56:44"},{"id":151,"name":"Denver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69"/>
        <v>start /low /b %USERPROFILE%\Documents\GitHub\eaglep3\Utilities\DownloadLogsFromS3.py --loco 4008 --day 2017-03-22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"%USERPROFILE%\AppData\Local\Temp\OnboardLogs"\RTDC4008\*4008*20170322* | grep -SE "(Enforcement Action)|(\[TIMEOUT)|(CHR.+\|PRM\|1\|D.+(SWITCH|SIGNAL).+UNKNOWN)" - &gt;&gt; 2017-03-22-UncaughtWiMAX.txt</v>
      </c>
    </row>
    <row r="172" spans="1:91" x14ac:dyDescent="0.25">
      <c r="A172" s="33" t="s">
        <v>689</v>
      </c>
      <c r="B172" s="7">
        <v>4022</v>
      </c>
      <c r="C172" s="21" t="s">
        <v>219</v>
      </c>
      <c r="D172" s="21" t="s">
        <v>959</v>
      </c>
      <c r="E172" s="13">
        <v>42816.31050925926</v>
      </c>
      <c r="F172" s="13">
        <v>42816.327407407407</v>
      </c>
      <c r="G172" s="7">
        <v>0</v>
      </c>
      <c r="H172" s="21" t="s">
        <v>583</v>
      </c>
      <c r="I172" s="13">
        <v>42816.335925925923</v>
      </c>
      <c r="J172" s="7">
        <v>2</v>
      </c>
      <c r="K172" s="98" t="str">
        <f t="shared" si="55"/>
        <v>4021/4022</v>
      </c>
      <c r="L172" s="21" t="str">
        <f>VLOOKUP(A172,'Trips&amp;Operators'!$C$1:$G$99999,5,FALSE)</f>
        <v>YORK EDGAR</v>
      </c>
      <c r="M172" s="6">
        <f t="shared" si="56"/>
        <v>8.5185185162117705E-3</v>
      </c>
      <c r="N172" s="7">
        <f t="shared" si="73"/>
        <v>12.266666663344949</v>
      </c>
      <c r="O172" s="7"/>
      <c r="P172" s="7"/>
      <c r="Q172" s="22"/>
      <c r="R172" s="22"/>
      <c r="S172" s="31">
        <f t="shared" si="71"/>
        <v>1</v>
      </c>
      <c r="T172" s="46" t="str">
        <f t="shared" si="57"/>
        <v>NorthBound</v>
      </c>
      <c r="U172" s="18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6" t="str">
        <f t="shared" si="58"/>
        <v>https://d0f6bd738d7f1b3e5a7ca70fe4ff75f0.us-east-1.aws.found.io/app/kibana#/discover/Steve-Slow-Train-Analysis-(2080s-and-2083s)?_g=(refreshInterval:(display:Off,pause:!f,section:0,value:0),time:(from:'2017-03-22T06:27:08-0600',mode:absolute,to:'2017-03-22T09:03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2" s="187" t="str">
        <f t="shared" si="59"/>
        <v>N</v>
      </c>
      <c r="X172" s="187">
        <f t="shared" si="72"/>
        <v>1</v>
      </c>
      <c r="Y172" s="62">
        <f t="shared" si="60"/>
        <v>0.10440000000000001</v>
      </c>
      <c r="Z172" s="62">
        <f t="shared" si="61"/>
        <v>5.8924000000000003</v>
      </c>
      <c r="AA172" s="62">
        <f t="shared" si="62"/>
        <v>5.7880000000000003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63"/>
        <v>0809-22</v>
      </c>
      <c r="AE172" s="85" t="str">
        <f t="shared" si="64"/>
        <v>aws s3 cp s3://rtdc.mdm.uploadarchive.raw/RTDC4022/ "%USERPROFILE%\AppData\Local\Temp\OnboardLogs"\RTDC4022\2017-03-22 --exclude "*" --recursive --include "*20170322*" &amp; "%USERPROFILE%\Documents\GitHub\mrs-test-scripts\Headless Mode &amp; Sideloading\WalkAndUnGZ.bat" "%USERPROFILE%\AppData\Local\Temp\OnboardLogs"\RTDC4022\2017-03-22 &amp; aws s3 cp s3://rtdc.mdm.uploadarchive.raw/RTDC4022/ "%USERPROFILE%\AppData\Local\Temp\OnboardLogs"\RTDC4022\2017-03-23 --exclude "*" --recursive --include "*20170323*" &amp; "%USERPROFILE%\Documents\GitHub\mrs-test-scripts\Headless Mode &amp; Sideloading\WalkAndUnGZ.bat" "%USERPROFILE%\AppData\Local\Temp\OnboardLogs"\RTDC4022\2017-03-23</v>
      </c>
      <c r="AF172" s="82" t="str">
        <f t="shared" si="65"/>
        <v>"C:\Program Files (x86)\AstroGrep\AstroGrep.exe" /e /r /s /spath="%USERPROFILE%\AppData\Local\Temp\OnboardLogs" /stypes="app*4022*20170322*" /stext=" 14:.+((SYSTEM_STATE.+slice.+state.+changed )|(ment ac)|(multiple cpu faults)|(system.+state.+changed )|(\[timeout)|(PRM\|1\|D)|(kpr)|(kdp)|(\|lc)|(penalty))"</v>
      </c>
      <c r="AG172" s="1" t="str">
        <f t="shared" si="66"/>
        <v>NW</v>
      </c>
      <c r="AH172" s="86" t="str">
        <f t="shared" si="67"/>
        <v>"%USERPROFILE%\Documents\GitHub\eaglep3\Utilities\RefineRTDCRunTimes.py" --tripid 809-22 --locoid 4022 --swversion DE.1.0.9.0 --startMP 204:1044 --initTime 2017-03-22T07:27:08 --startdatetime 2017-03-22T07:51:28 --delay 0 --endMP 300:58924 --enddatetime 2017-03-22T08:03:44 --enforcementcount 2 &gt;&gt;C:\Users\stu\Documents\GitHub\eaglep3-reporting\EC\2017-03-22-refined-times.txt</v>
      </c>
      <c r="AI172" s="108" t="str">
        <f t="shared" si="68"/>
        <v>echo {"issue":{"subject":"","project_id":79,"tracker_id":40,"status_id":1,"priority_id":2,"assigned_to_id":23,"start_date":"2017-03-22","description":"","custom_fields":[{"id":1,"name":"Subdivision","value":"NW"},{"id":4,"name":"Milepost","value":"5.8924"},{"id":17,"name":"Train ID","value":"809-22"},{"id":16,"name":"Locomotive ID","value":"4022"},{"id":130,"name":"Impact","value":""},{"id":150,"name":"Time of Event (Mountain Time)","value":"08:03:44"},{"id":151,"name":"Denver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69"/>
        <v>start /low /b %USERPROFILE%\Documents\GitHub\eaglep3\Utilities\DownloadLogsFromS3.py --loco 4022 --day 2017-03-22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"%USERPROFILE%\AppData\Local\Temp\OnboardLogs"\RTDC4022\*4022*20170322* | grep -SE "(Enforcement Action)|(\[TIMEOUT)|(CHR.+\|PRM\|1\|D.+(SWITCH|SIGNAL).+UNKNOWN)" - &gt;&gt; 2017-03-22-UncaughtWiMAX.txt</v>
      </c>
    </row>
    <row r="173" spans="1:91" x14ac:dyDescent="0.25">
      <c r="A173" s="33" t="s">
        <v>693</v>
      </c>
      <c r="B173" s="7">
        <v>4021</v>
      </c>
      <c r="C173" s="21" t="s">
        <v>219</v>
      </c>
      <c r="D173" s="21" t="s">
        <v>486</v>
      </c>
      <c r="E173" s="13">
        <v>42816.337465277778</v>
      </c>
      <c r="F173" s="13">
        <v>42816.34103009259</v>
      </c>
      <c r="G173" s="7">
        <v>1</v>
      </c>
      <c r="H173" s="21" t="s">
        <v>967</v>
      </c>
      <c r="I173" s="13">
        <v>42816.350428240738</v>
      </c>
      <c r="J173" s="7">
        <v>2</v>
      </c>
      <c r="K173" s="98" t="str">
        <f t="shared" si="55"/>
        <v>4021/4022</v>
      </c>
      <c r="L173" s="21" t="str">
        <f>VLOOKUP(A173,'Trips&amp;Operators'!$C$1:$G$99999,5,FALSE)</f>
        <v>YORK EDGAR</v>
      </c>
      <c r="M173" s="6">
        <f t="shared" si="56"/>
        <v>9.3981481477385387E-3</v>
      </c>
      <c r="N173" s="7">
        <f t="shared" si="73"/>
        <v>13.533333332743496</v>
      </c>
      <c r="O173" s="7"/>
      <c r="P173" s="7"/>
      <c r="Q173" s="22"/>
      <c r="R173" s="22"/>
      <c r="S173" s="31">
        <f t="shared" si="71"/>
        <v>1</v>
      </c>
      <c r="T173" s="46" t="str">
        <f t="shared" si="57"/>
        <v>Southbound</v>
      </c>
      <c r="U173" s="18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6" t="str">
        <f t="shared" si="58"/>
        <v>https://d0f6bd738d7f1b3e5a7ca70fe4ff75f0.us-east-1.aws.found.io/app/kibana#/discover/Steve-Slow-Train-Analysis-(2080s-and-2083s)?_g=(refreshInterval:(display:Off,pause:!f,section:0,value:0),time:(from:'2017-03-22T07:05:57-0600',mode:absolute,to:'2017-03-22T09:24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3" s="187" t="str">
        <f t="shared" si="59"/>
        <v>N</v>
      </c>
      <c r="X173" s="187">
        <f t="shared" si="72"/>
        <v>1</v>
      </c>
      <c r="Y173" s="62">
        <f t="shared" si="60"/>
        <v>5.8611000000000004</v>
      </c>
      <c r="Z173" s="62">
        <f t="shared" si="61"/>
        <v>8.7300000000000003E-2</v>
      </c>
      <c r="AA173" s="62">
        <f t="shared" si="62"/>
        <v>5.7738000000000005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63"/>
        <v>0810-22</v>
      </c>
      <c r="AE173" s="85" t="str">
        <f t="shared" si="64"/>
        <v>aws s3 cp s3://rtdc.mdm.uploadarchive.raw/RTDC4021/ "%USERPROFILE%\AppData\Local\Temp\OnboardLogs"\RTDC4021\2017-03-22 --exclude "*" --recursive --include "*20170322*" &amp; "%USERPROFILE%\Documents\GitHub\mrs-test-scripts\Headless Mode &amp; Sideloading\WalkAndUnGZ.bat" "%USERPROFILE%\AppData\Local\Temp\OnboardLogs"\RTDC4021\2017-03-22 &amp; aws s3 cp s3://rtdc.mdm.uploadarchive.raw/RTDC4021/ "%USERPROFILE%\AppData\Local\Temp\OnboardLogs"\RTDC4021\2017-03-23 --exclude "*" --recursive --include "*20170323*" &amp; "%USERPROFILE%\Documents\GitHub\mrs-test-scripts\Headless Mode &amp; Sideloading\WalkAndUnGZ.bat" "%USERPROFILE%\AppData\Local\Temp\OnboardLogs"\RTDC4021\2017-03-23</v>
      </c>
      <c r="AF173" s="82" t="str">
        <f t="shared" si="65"/>
        <v>"C:\Program Files (x86)\AstroGrep\AstroGrep.exe" /e /r /s /spath="%USERPROFILE%\AppData\Local\Temp\OnboardLogs" /stypes="app*4021*20170322*" /stext=" 14:.+((SYSTEM_STATE.+slice.+state.+changed )|(ment ac)|(multiple cpu faults)|(system.+state.+changed )|(\[timeout)|(PRM\|1\|D)|(kpr)|(kdp)|(\|lc)|(penalty))"</v>
      </c>
      <c r="AG173" s="1" t="str">
        <f t="shared" si="66"/>
        <v>NW</v>
      </c>
      <c r="AH173" s="86" t="str">
        <f t="shared" si="67"/>
        <v>"%USERPROFILE%\Documents\GitHub\eaglep3\Utilities\RefineRTDCRunTimes.py" --tripid 810-22 --locoid 4021 --swversion DE.1.0.9.0 --startMP 300:58611 --initTime 2017-03-22T08:05:57 --startdatetime 2017-03-22T08:11:05 --delay 1 --endMP 204:873 --enddatetime 2017-03-22T08:24:37 --enforcementcount 2 &gt;&gt;C:\Users\stu\Documents\GitHub\eaglep3-reporting\EC\2017-03-22-refined-times.txt</v>
      </c>
      <c r="AI173" s="108" t="str">
        <f t="shared" si="68"/>
        <v>echo {"issue":{"subject":"","project_id":79,"tracker_id":40,"status_id":1,"priority_id":2,"assigned_to_id":23,"start_date":"2017-03-22","description":"","custom_fields":[{"id":1,"name":"Subdivision","value":"NW"},{"id":4,"name":"Milepost","value":"0.0873"},{"id":17,"name":"Train ID","value":"810-22"},{"id":16,"name":"Locomotive ID","value":"4021"},{"id":130,"name":"Impact","value":""},{"id":150,"name":"Time of Event (Mountain Time)","value":"08:24:37"},{"id":151,"name":"Denver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69"/>
        <v>start /low /b %USERPROFILE%\Documents\GitHub\eaglep3\Utilities\DownloadLogsFromS3.py --loco 4021 --day 2017-03-22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"%USERPROFILE%\AppData\Local\Temp\OnboardLogs"\RTDC4021\*4021*20170322* | grep -SE "(Enforcement Action)|(\[TIMEOUT)|(CHR.+\|PRM\|1\|D.+(SWITCH|SIGNAL).+UNKNOWN)" - &gt;&gt; 2017-03-22-UncaughtWiMAX.txt</v>
      </c>
    </row>
    <row r="174" spans="1:91" s="20" customFormat="1" x14ac:dyDescent="0.25">
      <c r="A174" s="33" t="s">
        <v>696</v>
      </c>
      <c r="B174" s="7">
        <v>4007</v>
      </c>
      <c r="C174" s="21" t="s">
        <v>219</v>
      </c>
      <c r="D174" s="21" t="s">
        <v>968</v>
      </c>
      <c r="E174" s="13">
        <v>42816.344837962963</v>
      </c>
      <c r="F174" s="13">
        <v>42816.348171296297</v>
      </c>
      <c r="G174" s="7">
        <v>2</v>
      </c>
      <c r="H174" s="21" t="s">
        <v>580</v>
      </c>
      <c r="I174" s="13">
        <v>42816.356851851851</v>
      </c>
      <c r="J174" s="7">
        <v>2</v>
      </c>
      <c r="K174" s="98" t="str">
        <f t="shared" si="55"/>
        <v>4007/4008</v>
      </c>
      <c r="L174" s="21" t="str">
        <f>VLOOKUP(A174,'Trips&amp;Operators'!$C$1:$G$99999,5,FALSE)</f>
        <v>LOZA FIDEL</v>
      </c>
      <c r="M174" s="6">
        <f t="shared" si="56"/>
        <v>8.6805555547471158E-3</v>
      </c>
      <c r="N174" s="7">
        <f t="shared" si="73"/>
        <v>12.499999998835847</v>
      </c>
      <c r="O174" s="7"/>
      <c r="P174" s="7"/>
      <c r="Q174" s="22"/>
      <c r="R174" s="22"/>
      <c r="S174" s="31">
        <f t="shared" si="71"/>
        <v>1</v>
      </c>
      <c r="T174" s="46" t="str">
        <f t="shared" si="57"/>
        <v>NorthBound</v>
      </c>
      <c r="U174" s="18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6" t="str">
        <f t="shared" si="58"/>
        <v>https://d0f6bd738d7f1b3e5a7ca70fe4ff75f0.us-east-1.aws.found.io/app/kibana#/discover/Steve-Slow-Train-Analysis-(2080s-and-2083s)?_g=(refreshInterval:(display:Off,pause:!f,section:0,value:0),time:(from:'2017-03-22T07:16:34-0600',mode:absolute,to:'2017-03-22T09:33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4" s="187" t="str">
        <f t="shared" si="59"/>
        <v>N</v>
      </c>
      <c r="X174" s="187">
        <f t="shared" si="72"/>
        <v>1</v>
      </c>
      <c r="Y174" s="62">
        <f t="shared" si="60"/>
        <v>0.10489999999999999</v>
      </c>
      <c r="Z174" s="62">
        <f t="shared" si="61"/>
        <v>5.8958000000000004</v>
      </c>
      <c r="AA174" s="62">
        <f t="shared" si="62"/>
        <v>5.7909000000000006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63"/>
        <v>0811-22</v>
      </c>
      <c r="AE174" s="85" t="str">
        <f t="shared" si="64"/>
        <v>aws s3 cp s3://rtdc.mdm.uploadarchive.raw/RTDC4007/ "%USERPROFILE%\AppData\Local\Temp\OnboardLogs"\RTDC4007\2017-03-22 --exclude "*" --recursive --include "*20170322*" &amp; "%USERPROFILE%\Documents\GitHub\mrs-test-scripts\Headless Mode &amp; Sideloading\WalkAndUnGZ.bat" "%USERPROFILE%\AppData\Local\Temp\OnboardLogs"\RTDC4007\2017-03-22 &amp; aws s3 cp s3://rtdc.mdm.uploadarchive.raw/RTDC4007/ "%USERPROFILE%\AppData\Local\Temp\OnboardLogs"\RTDC4007\2017-03-23 --exclude "*" --recursive --include "*20170323*" &amp; "%USERPROFILE%\Documents\GitHub\mrs-test-scripts\Headless Mode &amp; Sideloading\WalkAndUnGZ.bat" "%USERPROFILE%\AppData\Local\Temp\OnboardLogs"\RTDC4007\2017-03-23</v>
      </c>
      <c r="AF174" s="82" t="str">
        <f t="shared" si="65"/>
        <v>"C:\Program Files (x86)\AstroGrep\AstroGrep.exe" /e /r /s /spath="%USERPROFILE%\AppData\Local\Temp\OnboardLogs" /stypes="app*4007*20170322*" /stext=" 14:.+((SYSTEM_STATE.+slice.+state.+changed )|(ment ac)|(multiple cpu faults)|(system.+state.+changed )|(\[timeout)|(PRM\|1\|D)|(kpr)|(kdp)|(\|lc)|(penalty))"</v>
      </c>
      <c r="AG174" s="1" t="str">
        <f t="shared" si="66"/>
        <v>NW</v>
      </c>
      <c r="AH174" s="86" t="str">
        <f t="shared" si="67"/>
        <v>"%USERPROFILE%\Documents\GitHub\eaglep3\Utilities\RefineRTDCRunTimes.py" --tripid 811-22 --locoid 4007 --swversion DE.1.0.9.0 --startMP 204:1049 --initTime 2017-03-22T08:16:34 --startdatetime 2017-03-22T08:21:22 --delay 2 --endMP 300:58958 --enddatetime 2017-03-22T08:33:52 --enforcementcount 2 &gt;&gt;C:\Users\stu\Documents\GitHub\eaglep3-reporting\EC\2017-03-22-refined-times.txt</v>
      </c>
      <c r="AI174" s="108" t="str">
        <f t="shared" si="68"/>
        <v>echo {"issue":{"subject":"","project_id":79,"tracker_id":40,"status_id":1,"priority_id":2,"assigned_to_id":23,"start_date":"2017-03-22","description":"","custom_fields":[{"id":1,"name":"Subdivision","value":"NW"},{"id":4,"name":"Milepost","value":"5.8958"},{"id":17,"name":"Train ID","value":"811-22"},{"id":16,"name":"Locomotive ID","value":"4007"},{"id":130,"name":"Impact","value":""},{"id":150,"name":"Time of Event (Mountain Time)","value":"08:33:52"},{"id":151,"name":"Denver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69"/>
        <v>start /low /b %USERPROFILE%\Documents\GitHub\eaglep3\Utilities\DownloadLogsFromS3.py --loco 4007 --day 2017-03-22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"%USERPROFILE%\AppData\Local\Temp\OnboardLogs"\RTDC4007\*4007*20170322* | grep -SE "(Enforcement Action)|(\[TIMEOUT)|(CHR.+\|PRM\|1\|D.+(SWITCH|SIGNAL).+UNKNOWN)" - &gt;&gt; 2017-03-22-UncaughtWiMAX.txt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3" t="s">
        <v>699</v>
      </c>
      <c r="B175" s="7">
        <v>4008</v>
      </c>
      <c r="C175" s="21" t="s">
        <v>219</v>
      </c>
      <c r="D175" s="21" t="s">
        <v>969</v>
      </c>
      <c r="E175" s="13">
        <v>42816.357881944445</v>
      </c>
      <c r="F175" s="13">
        <v>42816.359699074077</v>
      </c>
      <c r="G175" s="7">
        <v>1</v>
      </c>
      <c r="H175" s="21" t="s">
        <v>521</v>
      </c>
      <c r="I175" s="13">
        <v>42816.371215277781</v>
      </c>
      <c r="J175" s="7">
        <v>2</v>
      </c>
      <c r="K175" s="98" t="str">
        <f t="shared" si="55"/>
        <v>4007/4008</v>
      </c>
      <c r="L175" s="21" t="str">
        <f>VLOOKUP(A175,'Trips&amp;Operators'!$C$1:$G$99999,5,FALSE)</f>
        <v>LOZA FIDEL</v>
      </c>
      <c r="M175" s="6">
        <f t="shared" si="56"/>
        <v>1.1516203703649808E-2</v>
      </c>
      <c r="N175" s="7">
        <f t="shared" si="73"/>
        <v>16.583333333255723</v>
      </c>
      <c r="O175" s="7"/>
      <c r="P175" s="7"/>
      <c r="Q175" s="22"/>
      <c r="R175" s="22"/>
      <c r="S175" s="31">
        <f t="shared" si="71"/>
        <v>1</v>
      </c>
      <c r="T175" s="46" t="str">
        <f t="shared" si="57"/>
        <v>Southbound</v>
      </c>
      <c r="U175" s="18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6" t="str">
        <f t="shared" si="58"/>
        <v>https://d0f6bd738d7f1b3e5a7ca70fe4ff75f0.us-east-1.aws.found.io/app/kibana#/discover/Steve-Slow-Train-Analysis-(2080s-and-2083s)?_g=(refreshInterval:(display:Off,pause:!f,section:0,value:0),time:(from:'2017-03-22T07:35:21-0600',mode:absolute,to:'2017-03-22T09:54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5" s="187" t="str">
        <f t="shared" si="59"/>
        <v>N</v>
      </c>
      <c r="X175" s="187">
        <f t="shared" si="72"/>
        <v>1</v>
      </c>
      <c r="Y175" s="62">
        <f t="shared" si="60"/>
        <v>5.8640999999999996</v>
      </c>
      <c r="Z175" s="62">
        <f t="shared" si="61"/>
        <v>6.7299999999999999E-2</v>
      </c>
      <c r="AA175" s="62">
        <f t="shared" si="62"/>
        <v>5.7967999999999993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63"/>
        <v>0812-22</v>
      </c>
      <c r="AE175" s="85" t="str">
        <f t="shared" si="64"/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AF175" s="82" t="str">
        <f t="shared" si="65"/>
        <v>"C:\Program Files (x86)\AstroGrep\AstroGrep.exe" /e /r /s /spath="%USERPROFILE%\AppData\Local\Temp\OnboardLogs" /stypes="app*4008*20170322*" /stext=" 14:.+((SYSTEM_STATE.+slice.+state.+changed )|(ment ac)|(multiple cpu faults)|(system.+state.+changed )|(\[timeout)|(PRM\|1\|D)|(kpr)|(kdp)|(\|lc)|(penalty))"</v>
      </c>
      <c r="AG175" s="1" t="str">
        <f t="shared" si="66"/>
        <v>NW</v>
      </c>
      <c r="AH175" s="86" t="str">
        <f t="shared" si="67"/>
        <v>"%USERPROFILE%\Documents\GitHub\eaglep3\Utilities\RefineRTDCRunTimes.py" --tripid 812-22 --locoid 4008 --swversion DE.1.0.9.0 --startMP 300:58641 --initTime 2017-03-22T08:35:21 --startdatetime 2017-03-22T08:37:58 --delay 1 --endMP 204:673 --enddatetime 2017-03-22T08:54:33 --enforcementcount 2 &gt;&gt;C:\Users\stu\Documents\GitHub\eaglep3-reporting\EC\2017-03-22-refined-times.txt</v>
      </c>
      <c r="AI175" s="108" t="str">
        <f t="shared" si="68"/>
        <v>echo {"issue":{"subject":"","project_id":79,"tracker_id":40,"status_id":1,"priority_id":2,"assigned_to_id":23,"start_date":"2017-03-22","description":"","custom_fields":[{"id":1,"name":"Subdivision","value":"NW"},{"id":4,"name":"Milepost","value":"0.0673"},{"id":17,"name":"Train ID","value":"812-22"},{"id":16,"name":"Locomotive ID","value":"4008"},{"id":130,"name":"Impact","value":""},{"id":150,"name":"Time of Event (Mountain Time)","value":"08:54:33"},{"id":151,"name":"Denver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69"/>
        <v>start /low /b %USERPROFILE%\Documents\GitHub\eaglep3\Utilities\DownloadLogsFromS3.py --loco 4008 --day 2017-03-22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"%USERPROFILE%\AppData\Local\Temp\OnboardLogs"\RTDC4008\*4008*20170322* | grep -SE "(Enforcement Action)|(\[TIMEOUT)|(CHR.+\|PRM\|1\|D.+(SWITCH|SIGNAL).+UNKNOWN)" - &gt;&gt; 2017-03-22-UncaughtWiMAX.txt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3" t="s">
        <v>706</v>
      </c>
      <c r="B176" s="7">
        <v>4007</v>
      </c>
      <c r="C176" s="21" t="s">
        <v>219</v>
      </c>
      <c r="D176" s="21" t="s">
        <v>585</v>
      </c>
      <c r="E176" s="13">
        <v>42816.383900462963</v>
      </c>
      <c r="F176" s="13">
        <v>42816.38989583333</v>
      </c>
      <c r="G176" s="7">
        <v>1</v>
      </c>
      <c r="H176" s="21" t="s">
        <v>463</v>
      </c>
      <c r="I176" s="13">
        <v>42816.399537037039</v>
      </c>
      <c r="J176" s="7">
        <v>2</v>
      </c>
      <c r="K176" s="98" t="str">
        <f t="shared" si="55"/>
        <v>4007/4008</v>
      </c>
      <c r="L176" s="21" t="str">
        <f>VLOOKUP(A176,'Trips&amp;Operators'!$C$1:$G$99999,5,FALSE)</f>
        <v>WILLIAMS DONTE</v>
      </c>
      <c r="M176" s="6">
        <f t="shared" si="56"/>
        <v>9.6412037091795355E-3</v>
      </c>
      <c r="N176" s="7">
        <f t="shared" si="73"/>
        <v>13.883333341218531</v>
      </c>
      <c r="O176" s="7"/>
      <c r="P176" s="7"/>
      <c r="Q176" s="22"/>
      <c r="R176" s="22"/>
      <c r="S176" s="31">
        <f t="shared" si="71"/>
        <v>1</v>
      </c>
      <c r="T176" s="46" t="str">
        <f t="shared" si="57"/>
        <v>NorthBound</v>
      </c>
      <c r="U176" s="18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6" t="str">
        <f t="shared" si="58"/>
        <v>https://d0f6bd738d7f1b3e5a7ca70fe4ff75f0.us-east-1.aws.found.io/app/kibana#/discover/Steve-Slow-Train-Analysis-(2080s-and-2083s)?_g=(refreshInterval:(display:Off,pause:!f,section:0,value:0),time:(from:'2017-03-22T08:12:49-0600',mode:absolute,to:'2017-03-22T10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6" s="187" t="str">
        <f t="shared" si="59"/>
        <v>N</v>
      </c>
      <c r="X176" s="187">
        <f t="shared" si="72"/>
        <v>1</v>
      </c>
      <c r="Y176" s="62">
        <f t="shared" si="60"/>
        <v>9.6699999999999994E-2</v>
      </c>
      <c r="Z176" s="62">
        <f t="shared" si="61"/>
        <v>5.8929</v>
      </c>
      <c r="AA176" s="62">
        <f t="shared" si="62"/>
        <v>5.7961999999999998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63"/>
        <v>0813-22</v>
      </c>
      <c r="AE176" s="85" t="str">
        <f t="shared" si="64"/>
        <v>aws s3 cp s3://rtdc.mdm.uploadarchive.raw/RTDC4007/ "%USERPROFILE%\AppData\Local\Temp\OnboardLogs"\RTDC4007\2017-03-22 --exclude "*" --recursive --include "*20170322*" &amp; "%USERPROFILE%\Documents\GitHub\mrs-test-scripts\Headless Mode &amp; Sideloading\WalkAndUnGZ.bat" "%USERPROFILE%\AppData\Local\Temp\OnboardLogs"\RTDC4007\2017-03-22 &amp; aws s3 cp s3://rtdc.mdm.uploadarchive.raw/RTDC4007/ "%USERPROFILE%\AppData\Local\Temp\OnboardLogs"\RTDC4007\2017-03-23 --exclude "*" --recursive --include "*20170323*" &amp; "%USERPROFILE%\Documents\GitHub\mrs-test-scripts\Headless Mode &amp; Sideloading\WalkAndUnGZ.bat" "%USERPROFILE%\AppData\Local\Temp\OnboardLogs"\RTDC4007\2017-03-23</v>
      </c>
      <c r="AF176" s="82" t="str">
        <f t="shared" si="65"/>
        <v>"C:\Program Files (x86)\AstroGrep\AstroGrep.exe" /e /r /s /spath="%USERPROFILE%\AppData\Local\Temp\OnboardLogs" /stypes="app*4007*20170322*" /stext=" 15:.+((SYSTEM_STATE.+slice.+state.+changed )|(ment ac)|(multiple cpu faults)|(system.+state.+changed )|(\[timeout)|(PRM\|1\|D)|(kpr)|(kdp)|(\|lc)|(penalty))"</v>
      </c>
      <c r="AG176" s="1" t="str">
        <f t="shared" si="66"/>
        <v>NW</v>
      </c>
      <c r="AH176" s="86" t="str">
        <f t="shared" si="67"/>
        <v>"%USERPROFILE%\Documents\GitHub\eaglep3\Utilities\RefineRTDCRunTimes.py" --tripid 813-22 --locoid 4007 --swversion DE.1.0.9.0 --startMP 204:967 --initTime 2017-03-22T09:12:49 --startdatetime 2017-03-22T09:21:27 --delay 1 --endMP 300:58929 --enddatetime 2017-03-22T09:35:20 --enforcementcount 2 &gt;&gt;C:\Users\stu\Documents\GitHub\eaglep3-reporting\EC\2017-03-22-refined-times.txt</v>
      </c>
      <c r="AI176" s="108" t="str">
        <f t="shared" si="68"/>
        <v>echo {"issue":{"subject":"","project_id":79,"tracker_id":40,"status_id":1,"priority_id":2,"assigned_to_id":23,"start_date":"2017-03-22","description":"","custom_fields":[{"id":1,"name":"Subdivision","value":"NW"},{"id":4,"name":"Milepost","value":"5.8929"},{"id":17,"name":"Train ID","value":"813-22"},{"id":16,"name":"Locomotive ID","value":"4007"},{"id":130,"name":"Impact","value":""},{"id":150,"name":"Time of Event (Mountain Time)","value":"09:35:20"},{"id":151,"name":"Denver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69"/>
        <v>start /low /b %USERPROFILE%\Documents\GitHub\eaglep3\Utilities\DownloadLogsFromS3.py --loco 4007 --day 2017-03-22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"%USERPROFILE%\AppData\Local\Temp\OnboardLogs"\RTDC4007\*4007*20170322* | grep -SE "(Enforcement Action)|(\[TIMEOUT)|(CHR.+\|PRM\|1\|D.+(SWITCH|SIGNAL).+UNKNOWN)" - &gt;&gt; 2017-03-22-UncaughtWiMAX.txt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3" t="s">
        <v>710</v>
      </c>
      <c r="B177" s="7">
        <v>4008</v>
      </c>
      <c r="C177" s="21" t="s">
        <v>219</v>
      </c>
      <c r="D177" s="21" t="s">
        <v>522</v>
      </c>
      <c r="E177" s="13">
        <v>42816.40079861111</v>
      </c>
      <c r="F177" s="13">
        <v>42816.402731481481</v>
      </c>
      <c r="G177" s="7">
        <v>1</v>
      </c>
      <c r="H177" s="21" t="s">
        <v>484</v>
      </c>
      <c r="I177" s="13">
        <v>42816.413530092592</v>
      </c>
      <c r="J177" s="7">
        <v>2</v>
      </c>
      <c r="K177" s="98" t="str">
        <f t="shared" si="55"/>
        <v>4007/4008</v>
      </c>
      <c r="L177" s="21" t="str">
        <f>VLOOKUP(A177,'Trips&amp;Operators'!$C$1:$G$99999,5,FALSE)</f>
        <v>WILLIAMS DONTE</v>
      </c>
      <c r="M177" s="6">
        <f t="shared" si="56"/>
        <v>1.0798611110658385E-2</v>
      </c>
      <c r="N177" s="7">
        <f t="shared" si="73"/>
        <v>15.549999999348074</v>
      </c>
      <c r="O177" s="7"/>
      <c r="P177" s="7"/>
      <c r="Q177" s="22"/>
      <c r="R177" s="22"/>
      <c r="S177" s="31">
        <f t="shared" si="71"/>
        <v>1</v>
      </c>
      <c r="T177" s="46" t="str">
        <f t="shared" si="57"/>
        <v>Southbound</v>
      </c>
      <c r="U177" s="18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6" t="str">
        <f t="shared" si="58"/>
        <v>https://d0f6bd738d7f1b3e5a7ca70fe4ff75f0.us-east-1.aws.found.io/app/kibana#/discover/Steve-Slow-Train-Analysis-(2080s-and-2083s)?_g=(refreshInterval:(display:Off,pause:!f,section:0,value:0),time:(from:'2017-03-22T08:37:09-0600',mode:absolute,to:'2017-03-22T10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7" s="187" t="str">
        <f t="shared" si="59"/>
        <v>N</v>
      </c>
      <c r="X177" s="187">
        <f t="shared" si="72"/>
        <v>1</v>
      </c>
      <c r="Y177" s="62">
        <f t="shared" si="60"/>
        <v>5.8608000000000002</v>
      </c>
      <c r="Z177" s="62">
        <f t="shared" si="61"/>
        <v>6.8400000000000002E-2</v>
      </c>
      <c r="AA177" s="62">
        <f t="shared" si="62"/>
        <v>5.7924000000000007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63"/>
        <v>0814-22</v>
      </c>
      <c r="AE177" s="85" t="str">
        <f t="shared" si="64"/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AF177" s="82" t="str">
        <f t="shared" si="65"/>
        <v>"C:\Program Files (x86)\AstroGrep\AstroGrep.exe" /e /r /s /spath="%USERPROFILE%\AppData\Local\Temp\OnboardLogs" /stypes="app*4008*20170322*" /stext=" 15:.+((SYSTEM_STATE.+slice.+state.+changed )|(ment ac)|(multiple cpu faults)|(system.+state.+changed )|(\[timeout)|(PRM\|1\|D)|(kpr)|(kdp)|(\|lc)|(penalty))"</v>
      </c>
      <c r="AG177" s="1" t="str">
        <f t="shared" si="66"/>
        <v>NW</v>
      </c>
      <c r="AH177" s="86" t="str">
        <f t="shared" si="67"/>
        <v>"%USERPROFILE%\Documents\GitHub\eaglep3\Utilities\RefineRTDCRunTimes.py" --tripid 814-22 --locoid 4008 --swversion DE.1.0.9.0 --startMP 300:58608 --initTime 2017-03-22T09:37:09 --startdatetime 2017-03-22T09:39:56 --delay 1 --endMP 204:684 --enddatetime 2017-03-22T09:55:29 --enforcementcount 2 &gt;&gt;C:\Users\stu\Documents\GitHub\eaglep3-reporting\EC\2017-03-22-refined-times.txt</v>
      </c>
      <c r="AI177" s="108" t="str">
        <f t="shared" si="68"/>
        <v>echo {"issue":{"subject":"","project_id":79,"tracker_id":40,"status_id":1,"priority_id":2,"assigned_to_id":23,"start_date":"2017-03-22","description":"","custom_fields":[{"id":1,"name":"Subdivision","value":"NW"},{"id":4,"name":"Milepost","value":"0.0684"},{"id":17,"name":"Train ID","value":"814-22"},{"id":16,"name":"Locomotive ID","value":"4008"},{"id":130,"name":"Impact","value":""},{"id":150,"name":"Time of Event (Mountain Time)","value":"09:55:29"},{"id":151,"name":"Denver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69"/>
        <v>start /low /b %USERPROFILE%\Documents\GitHub\eaglep3\Utilities\DownloadLogsFromS3.py --loco 4008 --day 2017-03-22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"%USERPROFILE%\AppData\Local\Temp\OnboardLogs"\RTDC4008\*4008*20170322* | grep -SE "(Enforcement Action)|(\[TIMEOUT)|(CHR.+\|PRM\|1\|D.+(SWITCH|SIGNAL).+UNKNOWN)" - &gt;&gt; 2017-03-22-UncaughtWiMAX.txt</v>
      </c>
    </row>
    <row r="178" spans="1:91" s="20" customFormat="1" x14ac:dyDescent="0.25">
      <c r="A178" s="33" t="s">
        <v>712</v>
      </c>
      <c r="B178" s="7">
        <v>4007</v>
      </c>
      <c r="C178" s="21" t="s">
        <v>219</v>
      </c>
      <c r="D178" s="21" t="s">
        <v>970</v>
      </c>
      <c r="E178" s="13">
        <v>42816.415891203702</v>
      </c>
      <c r="F178" s="13">
        <v>42816.431574074071</v>
      </c>
      <c r="G178" s="7">
        <v>1</v>
      </c>
      <c r="H178" s="21" t="s">
        <v>586</v>
      </c>
      <c r="I178" s="13">
        <v>42816.44085648148</v>
      </c>
      <c r="J178" s="7">
        <v>2</v>
      </c>
      <c r="K178" s="98" t="str">
        <f t="shared" si="55"/>
        <v>4007/4008</v>
      </c>
      <c r="L178" s="21" t="str">
        <f>VLOOKUP(A178,'Trips&amp;Operators'!$C$1:$G$99999,5,FALSE)</f>
        <v>WILLIAMS DONTE</v>
      </c>
      <c r="M178" s="6">
        <f t="shared" si="56"/>
        <v>9.2824074090458453E-3</v>
      </c>
      <c r="N178" s="7">
        <f t="shared" si="73"/>
        <v>13.366666669026017</v>
      </c>
      <c r="O178" s="7"/>
      <c r="P178" s="7"/>
      <c r="Q178" s="22"/>
      <c r="R178" s="22"/>
      <c r="S178" s="31">
        <f t="shared" si="71"/>
        <v>1</v>
      </c>
      <c r="T178" s="46" t="str">
        <f t="shared" si="57"/>
        <v>NorthBound</v>
      </c>
      <c r="U178" s="18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6" t="str">
        <f t="shared" si="58"/>
        <v>https://d0f6bd738d7f1b3e5a7ca70fe4ff75f0.us-east-1.aws.found.io/app/kibana#/discover/Steve-Slow-Train-Analysis-(2080s-and-2083s)?_g=(refreshInterval:(display:Off,pause:!f,section:0,value:0),time:(from:'2017-03-22T08:58:53-0600',mode:absolute,to:'2017-03-22T11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8" s="187" t="str">
        <f t="shared" si="59"/>
        <v>N</v>
      </c>
      <c r="X178" s="187">
        <f t="shared" si="72"/>
        <v>1</v>
      </c>
      <c r="Y178" s="62">
        <f t="shared" si="60"/>
        <v>9.7199999999999995E-2</v>
      </c>
      <c r="Z178" s="62">
        <f t="shared" si="61"/>
        <v>5.8939000000000004</v>
      </c>
      <c r="AA178" s="62">
        <f t="shared" si="62"/>
        <v>5.7967000000000004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63"/>
        <v>0815-22</v>
      </c>
      <c r="AE178" s="85" t="str">
        <f t="shared" si="64"/>
        <v>aws s3 cp s3://rtdc.mdm.uploadarchive.raw/RTDC4007/ "%USERPROFILE%\AppData\Local\Temp\OnboardLogs"\RTDC4007\2017-03-22 --exclude "*" --recursive --include "*20170322*" &amp; "%USERPROFILE%\Documents\GitHub\mrs-test-scripts\Headless Mode &amp; Sideloading\WalkAndUnGZ.bat" "%USERPROFILE%\AppData\Local\Temp\OnboardLogs"\RTDC4007\2017-03-22 &amp; aws s3 cp s3://rtdc.mdm.uploadarchive.raw/RTDC4007/ "%USERPROFILE%\AppData\Local\Temp\OnboardLogs"\RTDC4007\2017-03-23 --exclude "*" --recursive --include "*20170323*" &amp; "%USERPROFILE%\Documents\GitHub\mrs-test-scripts\Headless Mode &amp; Sideloading\WalkAndUnGZ.bat" "%USERPROFILE%\AppData\Local\Temp\OnboardLogs"\RTDC4007\2017-03-23</v>
      </c>
      <c r="AF178" s="82" t="str">
        <f t="shared" si="65"/>
        <v>"C:\Program Files (x86)\AstroGrep\AstroGrep.exe" /e /r /s /spath="%USERPROFILE%\AppData\Local\Temp\OnboardLogs" /stypes="app*4007*20170322*" /stext=" 16:.+((SYSTEM_STATE.+slice.+state.+changed )|(ment ac)|(multiple cpu faults)|(system.+state.+changed )|(\[timeout)|(PRM\|1\|D)|(kpr)|(kdp)|(\|lc)|(penalty))"</v>
      </c>
      <c r="AG178" s="1" t="str">
        <f t="shared" si="66"/>
        <v>NW</v>
      </c>
      <c r="AH178" s="86" t="str">
        <f t="shared" si="67"/>
        <v>"%USERPROFILE%\Documents\GitHub\eaglep3\Utilities\RefineRTDCRunTimes.py" --tripid 815-22 --locoid 4007 --swversion DE.1.0.9.0 --startMP 204:972 --initTime 2017-03-22T09:58:53 --startdatetime 2017-03-22T10:21:28 --delay 1 --endMP 300:58939 --enddatetime 2017-03-22T10:34:50 --enforcementcount 2 &gt;&gt;C:\Users\stu\Documents\GitHub\eaglep3-reporting\EC\2017-03-22-refined-times.txt</v>
      </c>
      <c r="AI178" s="108" t="str">
        <f t="shared" si="68"/>
        <v>echo {"issue":{"subject":"","project_id":79,"tracker_id":40,"status_id":1,"priority_id":2,"assigned_to_id":23,"start_date":"2017-03-22","description":"","custom_fields":[{"id":1,"name":"Subdivision","value":"NW"},{"id":4,"name":"Milepost","value":"5.8939"},{"id":17,"name":"Train ID","value":"815-22"},{"id":16,"name":"Locomotive ID","value":"4007"},{"id":130,"name":"Impact","value":""},{"id":150,"name":"Time of Event (Mountain Time)","value":"10:34:50"},{"id":151,"name":"Denver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69"/>
        <v>start /low /b %USERPROFILE%\Documents\GitHub\eaglep3\Utilities\DownloadLogsFromS3.py --loco 4007 --day 2017-03-22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"%USERPROFILE%\AppData\Local\Temp\OnboardLogs"\RTDC4007\*4007*20170322* | grep -SE "(Enforcement Action)|(\[TIMEOUT)|(CHR.+\|PRM\|1\|D.+(SWITCH|SIGNAL).+UNKNOWN)" - &gt;&gt; 2017-03-22-UncaughtWiMAX.txt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3" t="s">
        <v>614</v>
      </c>
      <c r="B179" s="7">
        <v>4008</v>
      </c>
      <c r="C179" s="21" t="s">
        <v>219</v>
      </c>
      <c r="D179" s="21" t="s">
        <v>419</v>
      </c>
      <c r="E179" s="13">
        <v>42816.442337962966</v>
      </c>
      <c r="F179" s="13">
        <v>42816.444282407407</v>
      </c>
      <c r="G179" s="7">
        <v>1</v>
      </c>
      <c r="H179" s="21" t="s">
        <v>521</v>
      </c>
      <c r="I179" s="13">
        <v>42816.455636574072</v>
      </c>
      <c r="J179" s="7">
        <v>2</v>
      </c>
      <c r="K179" s="98" t="str">
        <f t="shared" si="55"/>
        <v>4007/4008</v>
      </c>
      <c r="L179" s="21" t="str">
        <f>VLOOKUP(A179,'Trips&amp;Operators'!$C$1:$G$99999,5,FALSE)</f>
        <v>WILLIAMS DONTE</v>
      </c>
      <c r="M179" s="6">
        <f t="shared" si="56"/>
        <v>1.1354166665114462E-2</v>
      </c>
      <c r="N179" s="7">
        <f t="shared" si="73"/>
        <v>16.349999997764826</v>
      </c>
      <c r="O179" s="7"/>
      <c r="P179" s="7"/>
      <c r="Q179" s="22"/>
      <c r="R179" s="22"/>
      <c r="S179" s="31">
        <f t="shared" si="71"/>
        <v>1</v>
      </c>
      <c r="T179" s="46" t="str">
        <f t="shared" si="57"/>
        <v>Southbound</v>
      </c>
      <c r="U179" s="18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6" t="str">
        <f t="shared" si="58"/>
        <v>https://d0f6bd738d7f1b3e5a7ca70fe4ff75f0.us-east-1.aws.found.io/app/kibana#/discover/Steve-Slow-Train-Analysis-(2080s-and-2083s)?_g=(refreshInterval:(display:Off,pause:!f,section:0,value:0),time:(from:'2017-03-22T09:36:58-0600',mode:absolute,to:'2017-03-22T11:56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9" s="187" t="str">
        <f t="shared" si="59"/>
        <v>N</v>
      </c>
      <c r="X179" s="187">
        <f t="shared" si="72"/>
        <v>1</v>
      </c>
      <c r="Y179" s="62">
        <f t="shared" si="60"/>
        <v>5.8615000000000004</v>
      </c>
      <c r="Z179" s="62">
        <f t="shared" si="61"/>
        <v>6.7299999999999999E-2</v>
      </c>
      <c r="AA179" s="62">
        <f t="shared" si="62"/>
        <v>5.7942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63"/>
        <v>0816-22</v>
      </c>
      <c r="AE179" s="85" t="str">
        <f t="shared" si="64"/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AF179" s="82" t="str">
        <f t="shared" si="65"/>
        <v>"C:\Program Files (x86)\AstroGrep\AstroGrep.exe" /e /r /s /spath="%USERPROFILE%\AppData\Local\Temp\OnboardLogs" /stypes="app*4008*20170322*" /stext=" 16:.+((SYSTEM_STATE.+slice.+state.+changed )|(ment ac)|(multiple cpu faults)|(system.+state.+changed )|(\[timeout)|(PRM\|1\|D)|(kpr)|(kdp)|(\|lc)|(penalty))"</v>
      </c>
      <c r="AG179" s="1" t="str">
        <f t="shared" si="66"/>
        <v>NW</v>
      </c>
      <c r="AH179" s="86" t="str">
        <f t="shared" si="67"/>
        <v>"%USERPROFILE%\Documents\GitHub\eaglep3\Utilities\RefineRTDCRunTimes.py" --tripid 816-22 --locoid 4008 --swversion DE.1.0.9.0 --startMP 300:58615 --initTime 2017-03-22T10:36:58 --startdatetime 2017-03-22T10:39:46 --delay 1 --endMP 204:673 --enddatetime 2017-03-22T10:56:07 --enforcementcount 2 &gt;&gt;C:\Users\stu\Documents\GitHub\eaglep3-reporting\EC\2017-03-22-refined-times.txt</v>
      </c>
      <c r="AI179" s="108" t="str">
        <f t="shared" si="68"/>
        <v>echo {"issue":{"subject":"","project_id":79,"tracker_id":40,"status_id":1,"priority_id":2,"assigned_to_id":23,"start_date":"2017-03-22","description":"","custom_fields":[{"id":1,"name":"Subdivision","value":"NW"},{"id":4,"name":"Milepost","value":"0.0673"},{"id":17,"name":"Train ID","value":"816-22"},{"id":16,"name":"Locomotive ID","value":"4008"},{"id":130,"name":"Impact","value":""},{"id":150,"name":"Time of Event (Mountain Time)","value":"10:56:07"},{"id":151,"name":"Denver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69"/>
        <v>start /low /b %USERPROFILE%\Documents\GitHub\eaglep3\Utilities\DownloadLogsFromS3.py --loco 4008 --day 2017-03-22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"%USERPROFILE%\AppData\Local\Temp\OnboardLogs"\RTDC4008\*4008*20170322* | grep -SE "(Enforcement Action)|(\[TIMEOUT)|(CHR.+\|PRM\|1\|D.+(SWITCH|SIGNAL).+UNKNOWN)" - &gt;&gt; 2017-03-22-UncaughtWiMAX.txt</v>
      </c>
    </row>
    <row r="180" spans="1:91" s="20" customFormat="1" x14ac:dyDescent="0.25">
      <c r="A180" s="33" t="s">
        <v>725</v>
      </c>
      <c r="B180" s="7">
        <v>4007</v>
      </c>
      <c r="C180" s="21" t="s">
        <v>219</v>
      </c>
      <c r="D180" s="21" t="s">
        <v>525</v>
      </c>
      <c r="E180" s="13">
        <v>42816.467986111114</v>
      </c>
      <c r="F180" s="13">
        <v>42816.47320601852</v>
      </c>
      <c r="G180" s="7">
        <v>3</v>
      </c>
      <c r="H180" s="21" t="s">
        <v>971</v>
      </c>
      <c r="I180" s="13">
        <v>42816.481979166667</v>
      </c>
      <c r="J180" s="7">
        <v>2</v>
      </c>
      <c r="K180" s="98" t="str">
        <f t="shared" si="55"/>
        <v>4007/4008</v>
      </c>
      <c r="L180" s="21" t="str">
        <f>VLOOKUP(A180,'Trips&amp;Operators'!$C$1:$G$99999,5,FALSE)</f>
        <v>LOZA FIDEL</v>
      </c>
      <c r="M180" s="6">
        <f t="shared" si="56"/>
        <v>8.7731481471564621E-3</v>
      </c>
      <c r="N180" s="7">
        <f t="shared" si="73"/>
        <v>12.633333331905305</v>
      </c>
      <c r="O180" s="7"/>
      <c r="P180" s="7"/>
      <c r="Q180" s="22"/>
      <c r="R180" s="22"/>
      <c r="S180" s="31">
        <f t="shared" si="71"/>
        <v>1</v>
      </c>
      <c r="T180" s="46" t="str">
        <f t="shared" si="57"/>
        <v>NorthBound</v>
      </c>
      <c r="U180" s="18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6" t="str">
        <f t="shared" si="58"/>
        <v>https://d0f6bd738d7f1b3e5a7ca70fe4ff75f0.us-east-1.aws.found.io/app/kibana#/discover/Steve-Slow-Train-Analysis-(2080s-and-2083s)?_g=(refreshInterval:(display:Off,pause:!f,section:0,value:0),time:(from:'2017-03-22T10:13:54-0600',mode:absolute,to:'2017-03-22T12:34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0" s="187" t="str">
        <f t="shared" si="59"/>
        <v>N</v>
      </c>
      <c r="X180" s="187">
        <f t="shared" si="72"/>
        <v>1</v>
      </c>
      <c r="Y180" s="62">
        <f t="shared" si="60"/>
        <v>9.64E-2</v>
      </c>
      <c r="Z180" s="62">
        <f t="shared" si="61"/>
        <v>5.8975</v>
      </c>
      <c r="AA180" s="62">
        <f t="shared" si="62"/>
        <v>5.8010999999999999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63"/>
        <v>0817-22</v>
      </c>
      <c r="AE180" s="85" t="str">
        <f t="shared" si="64"/>
        <v>aws s3 cp s3://rtdc.mdm.uploadarchive.raw/RTDC4007/ "%USERPROFILE%\AppData\Local\Temp\OnboardLogs"\RTDC4007\2017-03-22 --exclude "*" --recursive --include "*20170322*" &amp; "%USERPROFILE%\Documents\GitHub\mrs-test-scripts\Headless Mode &amp; Sideloading\WalkAndUnGZ.bat" "%USERPROFILE%\AppData\Local\Temp\OnboardLogs"\RTDC4007\2017-03-22 &amp; aws s3 cp s3://rtdc.mdm.uploadarchive.raw/RTDC4007/ "%USERPROFILE%\AppData\Local\Temp\OnboardLogs"\RTDC4007\2017-03-23 --exclude "*" --recursive --include "*20170323*" &amp; "%USERPROFILE%\Documents\GitHub\mrs-test-scripts\Headless Mode &amp; Sideloading\WalkAndUnGZ.bat" "%USERPROFILE%\AppData\Local\Temp\OnboardLogs"\RTDC4007\2017-03-23</v>
      </c>
      <c r="AF180" s="82" t="str">
        <f t="shared" si="65"/>
        <v>"C:\Program Files (x86)\AstroGrep\AstroGrep.exe" /e /r /s /spath="%USERPROFILE%\AppData\Local\Temp\OnboardLogs" /stypes="app*4007*20170322*" /stext=" 17:.+((SYSTEM_STATE.+slice.+state.+changed )|(ment ac)|(multiple cpu faults)|(system.+state.+changed )|(\[timeout)|(PRM\|1\|D)|(kpr)|(kdp)|(\|lc)|(penalty))"</v>
      </c>
      <c r="AG180" s="1" t="str">
        <f t="shared" si="66"/>
        <v>NW</v>
      </c>
      <c r="AH180" s="86" t="str">
        <f t="shared" si="67"/>
        <v>"%USERPROFILE%\Documents\GitHub\eaglep3\Utilities\RefineRTDCRunTimes.py" --tripid 817-22 --locoid 4007 --swversion DE.1.0.9.0 --startMP 204:964 --initTime 2017-03-22T11:13:54 --startdatetime 2017-03-22T11:21:25 --delay 3 --endMP 300:58975 --enddatetime 2017-03-22T11:34:03 --enforcementcount 2 &gt;&gt;C:\Users\stu\Documents\GitHub\eaglep3-reporting\EC\2017-03-22-refined-times.txt</v>
      </c>
      <c r="AI180" s="108" t="str">
        <f t="shared" si="68"/>
        <v>echo {"issue":{"subject":"","project_id":79,"tracker_id":40,"status_id":1,"priority_id":2,"assigned_to_id":23,"start_date":"2017-03-22","description":"","custom_fields":[{"id":1,"name":"Subdivision","value":"NW"},{"id":4,"name":"Milepost","value":"5.8975"},{"id":17,"name":"Train ID","value":"817-22"},{"id":16,"name":"Locomotive ID","value":"4007"},{"id":130,"name":"Impact","value":""},{"id":150,"name":"Time of Event (Mountain Time)","value":"11:34:03"},{"id":151,"name":"Denver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69"/>
        <v>start /low /b %USERPROFILE%\Documents\GitHub\eaglep3\Utilities\DownloadLogsFromS3.py --loco 4007 --day 2017-03-22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"%USERPROFILE%\AppData\Local\Temp\OnboardLogs"\RTDC4007\*4007*20170322* | grep -SE "(Enforcement Action)|(\[TIMEOUT)|(CHR.+\|PRM\|1\|D.+(SWITCH|SIGNAL).+UNKNOWN)" - &gt;&gt; 2017-03-22-UncaughtWiMAX.txt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3" t="s">
        <v>726</v>
      </c>
      <c r="B181" s="7">
        <v>4008</v>
      </c>
      <c r="C181" s="21" t="s">
        <v>219</v>
      </c>
      <c r="D181" s="21" t="s">
        <v>972</v>
      </c>
      <c r="E181" s="13">
        <v>42816.482974537037</v>
      </c>
      <c r="F181" s="13">
        <v>42816.484594907408</v>
      </c>
      <c r="G181" s="7">
        <v>1</v>
      </c>
      <c r="H181" s="21" t="s">
        <v>973</v>
      </c>
      <c r="I181" s="13">
        <v>42816.496331018519</v>
      </c>
      <c r="J181" s="7">
        <v>2</v>
      </c>
      <c r="K181" s="98" t="str">
        <f t="shared" si="55"/>
        <v>4007/4008</v>
      </c>
      <c r="L181" s="21" t="str">
        <f>VLOOKUP(A181,'Trips&amp;Operators'!$C$1:$G$99999,5,FALSE)</f>
        <v>LOZA FIDEL</v>
      </c>
      <c r="M181" s="6">
        <f t="shared" si="56"/>
        <v>1.17361111115315E-2</v>
      </c>
      <c r="N181" s="7">
        <f t="shared" si="73"/>
        <v>16.90000000060536</v>
      </c>
      <c r="O181" s="7"/>
      <c r="P181" s="7"/>
      <c r="Q181" s="22"/>
      <c r="R181" s="22"/>
      <c r="S181" s="31">
        <f t="shared" si="71"/>
        <v>1</v>
      </c>
      <c r="T181" s="46" t="str">
        <f t="shared" si="57"/>
        <v>Southbound</v>
      </c>
      <c r="U181" s="18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6" t="str">
        <f t="shared" si="58"/>
        <v>https://d0f6bd738d7f1b3e5a7ca70fe4ff75f0.us-east-1.aws.found.io/app/kibana#/discover/Steve-Slow-Train-Analysis-(2080s-and-2083s)?_g=(refreshInterval:(display:Off,pause:!f,section:0,value:0),time:(from:'2017-03-22T10:35:29-0600',mode:absolute,to:'2017-03-22T12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1" s="187" t="str">
        <f t="shared" si="59"/>
        <v>N</v>
      </c>
      <c r="X181" s="187">
        <f t="shared" si="72"/>
        <v>1</v>
      </c>
      <c r="Y181" s="62">
        <f t="shared" si="60"/>
        <v>5.8655999999999997</v>
      </c>
      <c r="Z181" s="62">
        <f t="shared" si="61"/>
        <v>6.6100000000000006E-2</v>
      </c>
      <c r="AA181" s="62">
        <f t="shared" si="62"/>
        <v>5.7995000000000001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63"/>
        <v>0818-22</v>
      </c>
      <c r="AE181" s="85" t="str">
        <f t="shared" si="64"/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AF181" s="82" t="str">
        <f t="shared" si="65"/>
        <v>"C:\Program Files (x86)\AstroGrep\AstroGrep.exe" /e /r /s /spath="%USERPROFILE%\AppData\Local\Temp\OnboardLogs" /stypes="app*4008*20170322*" /stext=" 17:.+((SYSTEM_STATE.+slice.+state.+changed )|(ment ac)|(multiple cpu faults)|(system.+state.+changed )|(\[timeout)|(PRM\|1\|D)|(kpr)|(kdp)|(\|lc)|(penalty))"</v>
      </c>
      <c r="AG181" s="1" t="str">
        <f t="shared" si="66"/>
        <v>NW</v>
      </c>
      <c r="AH181" s="86" t="str">
        <f t="shared" si="67"/>
        <v>"%USERPROFILE%\Documents\GitHub\eaglep3\Utilities\RefineRTDCRunTimes.py" --tripid 818-22 --locoid 4008 --swversion DE.1.0.9.0 --startMP 300:58656 --initTime 2017-03-22T11:35:29 --startdatetime 2017-03-22T11:37:49 --delay 1 --endMP 204:661 --enddatetime 2017-03-22T11:54:43 --enforcementcount 2 &gt;&gt;C:\Users\stu\Documents\GitHub\eaglep3-reporting\EC\2017-03-22-refined-times.txt</v>
      </c>
      <c r="AI181" s="108" t="str">
        <f t="shared" si="68"/>
        <v>echo {"issue":{"subject":"","project_id":79,"tracker_id":40,"status_id":1,"priority_id":2,"assigned_to_id":23,"start_date":"2017-03-22","description":"","custom_fields":[{"id":1,"name":"Subdivision","value":"NW"},{"id":4,"name":"Milepost","value":"0.0661"},{"id":17,"name":"Train ID","value":"818-22"},{"id":16,"name":"Locomotive ID","value":"4008"},{"id":130,"name":"Impact","value":""},{"id":150,"name":"Time of Event (Mountain Time)","value":"11:54:43"},{"id":151,"name":"Denver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69"/>
        <v>start /low /b %USERPROFILE%\Documents\GitHub\eaglep3\Utilities\DownloadLogsFromS3.py --loco 4008 --day 2017-03-22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"%USERPROFILE%\AppData\Local\Temp\OnboardLogs"\RTDC4008\*4008*20170322* | grep -SE "(Enforcement Action)|(\[TIMEOUT)|(CHR.+\|PRM\|1\|D.+(SWITCH|SIGNAL).+UNKNOWN)" - &gt;&gt; 2017-03-22-UncaughtWiMAX.txt</v>
      </c>
    </row>
    <row r="182" spans="1:91" s="20" customFormat="1" x14ac:dyDescent="0.25">
      <c r="A182" s="33" t="s">
        <v>731</v>
      </c>
      <c r="B182" s="7">
        <v>4007</v>
      </c>
      <c r="C182" s="21" t="s">
        <v>219</v>
      </c>
      <c r="D182" s="21" t="s">
        <v>974</v>
      </c>
      <c r="E182" s="13">
        <v>42816.49895833333</v>
      </c>
      <c r="F182" s="13">
        <v>42816.514826388891</v>
      </c>
      <c r="G182" s="7">
        <v>2</v>
      </c>
      <c r="H182" s="21" t="s">
        <v>975</v>
      </c>
      <c r="I182" s="13">
        <v>42816.524375000001</v>
      </c>
      <c r="J182" s="7">
        <v>2</v>
      </c>
      <c r="K182" s="98" t="str">
        <f t="shared" si="55"/>
        <v>4007/4008</v>
      </c>
      <c r="L182" s="21" t="str">
        <f>VLOOKUP(A182,'Trips&amp;Operators'!$C$1:$G$99999,5,FALSE)</f>
        <v>WILLIAMS DONTE</v>
      </c>
      <c r="M182" s="6">
        <f t="shared" si="56"/>
        <v>9.5486111094942316E-3</v>
      </c>
      <c r="N182" s="7">
        <f t="shared" si="73"/>
        <v>13.749999997671694</v>
      </c>
      <c r="O182" s="7"/>
      <c r="P182" s="7"/>
      <c r="Q182" s="22"/>
      <c r="R182" s="22"/>
      <c r="S182" s="31">
        <f t="shared" si="71"/>
        <v>1</v>
      </c>
      <c r="T182" s="46" t="str">
        <f t="shared" si="57"/>
        <v>NorthBound</v>
      </c>
      <c r="U182" s="18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6" t="str">
        <f t="shared" si="58"/>
        <v>https://d0f6bd738d7f1b3e5a7ca70fe4ff75f0.us-east-1.aws.found.io/app/kibana#/discover/Steve-Slow-Train-Analysis-(2080s-and-2083s)?_g=(refreshInterval:(display:Off,pause:!f,section:0,value:0),time:(from:'2017-03-22T10:58:30-0600',mode:absolute,to:'2017-03-22T13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2" s="187" t="str">
        <f t="shared" si="59"/>
        <v>N</v>
      </c>
      <c r="X182" s="187">
        <f t="shared" si="72"/>
        <v>1</v>
      </c>
      <c r="Y182" s="62">
        <f t="shared" si="60"/>
        <v>9.7100000000000006E-2</v>
      </c>
      <c r="Z182" s="62">
        <f t="shared" si="61"/>
        <v>5.8940999999999999</v>
      </c>
      <c r="AA182" s="62">
        <f t="shared" si="62"/>
        <v>5.7969999999999997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63"/>
        <v>0819-22</v>
      </c>
      <c r="AE182" s="85" t="str">
        <f t="shared" si="64"/>
        <v>aws s3 cp s3://rtdc.mdm.uploadarchive.raw/RTDC4007/ "%USERPROFILE%\AppData\Local\Temp\OnboardLogs"\RTDC4007\2017-03-22 --exclude "*" --recursive --include "*20170322*" &amp; "%USERPROFILE%\Documents\GitHub\mrs-test-scripts\Headless Mode &amp; Sideloading\WalkAndUnGZ.bat" "%USERPROFILE%\AppData\Local\Temp\OnboardLogs"\RTDC4007\2017-03-22 &amp; aws s3 cp s3://rtdc.mdm.uploadarchive.raw/RTDC4007/ "%USERPROFILE%\AppData\Local\Temp\OnboardLogs"\RTDC4007\2017-03-23 --exclude "*" --recursive --include "*20170323*" &amp; "%USERPROFILE%\Documents\GitHub\mrs-test-scripts\Headless Mode &amp; Sideloading\WalkAndUnGZ.bat" "%USERPROFILE%\AppData\Local\Temp\OnboardLogs"\RTDC4007\2017-03-23</v>
      </c>
      <c r="AF182" s="82" t="str">
        <f t="shared" si="65"/>
        <v>"C:\Program Files (x86)\AstroGrep\AstroGrep.exe" /e /r /s /spath="%USERPROFILE%\AppData\Local\Temp\OnboardLogs" /stypes="app*4007*20170322*" /stext=" 18:.+((SYSTEM_STATE.+slice.+state.+changed )|(ment ac)|(multiple cpu faults)|(system.+state.+changed )|(\[timeout)|(PRM\|1\|D)|(kpr)|(kdp)|(\|lc)|(penalty))"</v>
      </c>
      <c r="AG182" s="1" t="str">
        <f t="shared" si="66"/>
        <v>NW</v>
      </c>
      <c r="AH182" s="86" t="str">
        <f t="shared" si="67"/>
        <v>"%USERPROFILE%\Documents\GitHub\eaglep3\Utilities\RefineRTDCRunTimes.py" --tripid 819-22 --locoid 4007 --swversion DE.1.0.9.0 --startMP 204:971 --initTime 2017-03-22T11:58:30 --startdatetime 2017-03-22T12:21:21 --delay 2 --endMP 300:58941 --enddatetime 2017-03-22T12:35:06 --enforcementcount 2 &gt;&gt;C:\Users\stu\Documents\GitHub\eaglep3-reporting\EC\2017-03-22-refined-times.txt</v>
      </c>
      <c r="AI182" s="108" t="str">
        <f t="shared" si="68"/>
        <v>echo {"issue":{"subject":"","project_id":79,"tracker_id":40,"status_id":1,"priority_id":2,"assigned_to_id":23,"start_date":"2017-03-22","description":"","custom_fields":[{"id":1,"name":"Subdivision","value":"NW"},{"id":4,"name":"Milepost","value":"5.8941"},{"id":17,"name":"Train ID","value":"819-22"},{"id":16,"name":"Locomotive ID","value":"4007"},{"id":130,"name":"Impact","value":""},{"id":150,"name":"Time of Event (Mountain Time)","value":"12:35:06"},{"id":151,"name":"Denver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69"/>
        <v>start /low /b %USERPROFILE%\Documents\GitHub\eaglep3\Utilities\DownloadLogsFromS3.py --loco 4007 --day 2017-03-22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"%USERPROFILE%\AppData\Local\Temp\OnboardLogs"\RTDC4007\*4007*20170322* | grep -SE "(Enforcement Action)|(\[TIMEOUT)|(CHR.+\|PRM\|1\|D.+(SWITCH|SIGNAL).+UNKNOWN)" - &gt;&gt; 2017-03-22-UncaughtWiMAX.txt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3" t="s">
        <v>738</v>
      </c>
      <c r="B183" s="7">
        <v>4008</v>
      </c>
      <c r="C183" s="21" t="s">
        <v>219</v>
      </c>
      <c r="D183" s="21" t="s">
        <v>976</v>
      </c>
      <c r="E183" s="13">
        <v>42816.525983796295</v>
      </c>
      <c r="F183" s="13">
        <v>42816.528124999997</v>
      </c>
      <c r="G183" s="7">
        <v>1</v>
      </c>
      <c r="H183" s="21" t="s">
        <v>977</v>
      </c>
      <c r="I183" s="13">
        <v>42816.538576388892</v>
      </c>
      <c r="J183" s="7">
        <v>2</v>
      </c>
      <c r="K183" s="98" t="str">
        <f t="shared" si="55"/>
        <v>4007/4008</v>
      </c>
      <c r="L183" s="21" t="str">
        <f>VLOOKUP(A183,'Trips&amp;Operators'!$C$1:$G$99999,5,FALSE)</f>
        <v>WILLIAMS DONTE</v>
      </c>
      <c r="M183" s="6">
        <f t="shared" si="56"/>
        <v>1.0451388894580305E-2</v>
      </c>
      <c r="N183" s="7">
        <f t="shared" si="73"/>
        <v>15.050000008195639</v>
      </c>
      <c r="O183" s="7"/>
      <c r="P183" s="7"/>
      <c r="Q183" s="22"/>
      <c r="R183" s="22"/>
      <c r="S183" s="31">
        <f t="shared" si="71"/>
        <v>1</v>
      </c>
      <c r="T183" s="46" t="str">
        <f t="shared" si="57"/>
        <v>Southbound</v>
      </c>
      <c r="U183" s="18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6" t="str">
        <f t="shared" si="58"/>
        <v>https://d0f6bd738d7f1b3e5a7ca70fe4ff75f0.us-east-1.aws.found.io/app/kibana#/discover/Steve-Slow-Train-Analysis-(2080s-and-2083s)?_g=(refreshInterval:(display:Off,pause:!f,section:0,value:0),time:(from:'2017-03-22T11:37:25-0600',mode:absolute,to:'2017-03-22T13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3" s="187" t="str">
        <f t="shared" si="59"/>
        <v>N</v>
      </c>
      <c r="X183" s="187">
        <f t="shared" si="72"/>
        <v>1</v>
      </c>
      <c r="Y183" s="62">
        <f t="shared" si="60"/>
        <v>5.8628</v>
      </c>
      <c r="Z183" s="62">
        <f t="shared" si="61"/>
        <v>6.6400000000000001E-2</v>
      </c>
      <c r="AA183" s="62">
        <f t="shared" si="62"/>
        <v>5.7964000000000002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63"/>
        <v>0820-22</v>
      </c>
      <c r="AE183" s="85" t="str">
        <f t="shared" si="64"/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AF183" s="82" t="str">
        <f t="shared" si="65"/>
        <v>"C:\Program Files (x86)\AstroGrep\AstroGrep.exe" /e /r /s /spath="%USERPROFILE%\AppData\Local\Temp\OnboardLogs" /stypes="app*4008*20170322*" /stext=" 18:.+((SYSTEM_STATE.+slice.+state.+changed )|(ment ac)|(multiple cpu faults)|(system.+state.+changed )|(\[timeout)|(PRM\|1\|D)|(kpr)|(kdp)|(\|lc)|(penalty))"</v>
      </c>
      <c r="AG183" s="1" t="str">
        <f t="shared" si="66"/>
        <v>NW</v>
      </c>
      <c r="AH183" s="86" t="str">
        <f t="shared" si="67"/>
        <v>"%USERPROFILE%\Documents\GitHub\eaglep3\Utilities\RefineRTDCRunTimes.py" --tripid 820-22 --locoid 4008 --swversion DE.1.0.9.0 --startMP 300:58628 --initTime 2017-03-22T12:37:25 --startdatetime 2017-03-22T12:40:30 --delay 1 --endMP 204:664 --enddatetime 2017-03-22T12:55:33 --enforcementcount 2 &gt;&gt;C:\Users\stu\Documents\GitHub\eaglep3-reporting\EC\2017-03-22-refined-times.txt</v>
      </c>
      <c r="AI183" s="108" t="str">
        <f t="shared" si="68"/>
        <v>echo {"issue":{"subject":"","project_id":79,"tracker_id":40,"status_id":1,"priority_id":2,"assigned_to_id":23,"start_date":"2017-03-22","description":"","custom_fields":[{"id":1,"name":"Subdivision","value":"NW"},{"id":4,"name":"Milepost","value":"0.0664"},{"id":17,"name":"Train ID","value":"820-22"},{"id":16,"name":"Locomotive ID","value":"4008"},{"id":130,"name":"Impact","value":""},{"id":150,"name":"Time of Event (Mountain Time)","value":"12:55:33"},{"id":151,"name":"Denver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69"/>
        <v>start /low /b %USERPROFILE%\Documents\GitHub\eaglep3\Utilities\DownloadLogsFromS3.py --loco 4008 --day 2017-03-22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"%USERPROFILE%\AppData\Local\Temp\OnboardLogs"\RTDC4008\*4008*20170322* | grep -SE "(Enforcement Action)|(\[TIMEOUT)|(CHR.+\|PRM\|1\|D.+(SWITCH|SIGNAL).+UNKNOWN)" - &gt;&gt; 2017-03-22-UncaughtWiMAX.txt</v>
      </c>
    </row>
    <row r="184" spans="1:91" x14ac:dyDescent="0.25">
      <c r="A184" s="33" t="s">
        <v>746</v>
      </c>
      <c r="B184" s="7">
        <v>4007</v>
      </c>
      <c r="C184" s="21" t="s">
        <v>219</v>
      </c>
      <c r="D184" s="21" t="s">
        <v>978</v>
      </c>
      <c r="E184" s="13">
        <v>42816.549155092594</v>
      </c>
      <c r="F184" s="13">
        <v>42816.556458333333</v>
      </c>
      <c r="G184" s="7">
        <v>1</v>
      </c>
      <c r="H184" s="21" t="s">
        <v>578</v>
      </c>
      <c r="I184" s="13">
        <v>42816.565798611111</v>
      </c>
      <c r="J184" s="7">
        <v>2</v>
      </c>
      <c r="K184" s="98" t="str">
        <f t="shared" si="55"/>
        <v>4007/4008</v>
      </c>
      <c r="L184" s="21" t="str">
        <f>VLOOKUP(A184,'Trips&amp;Operators'!$C$1:$G$99999,5,FALSE)</f>
        <v>FORTUNATO FRANK</v>
      </c>
      <c r="M184" s="6">
        <f t="shared" si="56"/>
        <v>9.340277778392192E-3</v>
      </c>
      <c r="N184" s="7">
        <f t="shared" si="73"/>
        <v>13.450000000884756</v>
      </c>
      <c r="O184" s="7"/>
      <c r="P184" s="7"/>
      <c r="Q184" s="22"/>
      <c r="R184" s="22"/>
      <c r="S184" s="31">
        <f t="shared" si="71"/>
        <v>1</v>
      </c>
      <c r="T184" s="46" t="str">
        <f t="shared" si="57"/>
        <v>NorthBound</v>
      </c>
      <c r="U184" s="18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6" t="str">
        <f t="shared" si="58"/>
        <v>https://d0f6bd738d7f1b3e5a7ca70fe4ff75f0.us-east-1.aws.found.io/app/kibana#/discover/Steve-Slow-Train-Analysis-(2080s-and-2083s)?_g=(refreshInterval:(display:Off,pause:!f,section:0,value:0),time:(from:'2017-03-22T12:10:47-0600',mode:absolute,to:'2017-03-22T14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4" s="187" t="str">
        <f t="shared" si="59"/>
        <v>N</v>
      </c>
      <c r="X184" s="187">
        <f t="shared" si="72"/>
        <v>1</v>
      </c>
      <c r="Y184" s="62">
        <f t="shared" si="60"/>
        <v>9.6000000000000002E-2</v>
      </c>
      <c r="Z184" s="62">
        <f t="shared" si="61"/>
        <v>5.8948</v>
      </c>
      <c r="AA184" s="62">
        <f t="shared" si="62"/>
        <v>5.7988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63"/>
        <v>0821-22</v>
      </c>
      <c r="AE184" s="85" t="str">
        <f t="shared" si="64"/>
        <v>aws s3 cp s3://rtdc.mdm.uploadarchive.raw/RTDC4007/ "%USERPROFILE%\AppData\Local\Temp\OnboardLogs"\RTDC4007\2017-03-22 --exclude "*" --recursive --include "*20170322*" &amp; "%USERPROFILE%\Documents\GitHub\mrs-test-scripts\Headless Mode &amp; Sideloading\WalkAndUnGZ.bat" "%USERPROFILE%\AppData\Local\Temp\OnboardLogs"\RTDC4007\2017-03-22 &amp; aws s3 cp s3://rtdc.mdm.uploadarchive.raw/RTDC4007/ "%USERPROFILE%\AppData\Local\Temp\OnboardLogs"\RTDC4007\2017-03-23 --exclude "*" --recursive --include "*20170323*" &amp; "%USERPROFILE%\Documents\GitHub\mrs-test-scripts\Headless Mode &amp; Sideloading\WalkAndUnGZ.bat" "%USERPROFILE%\AppData\Local\Temp\OnboardLogs"\RTDC4007\2017-03-23</v>
      </c>
      <c r="AF184" s="82" t="str">
        <f t="shared" si="65"/>
        <v>"C:\Program Files (x86)\AstroGrep\AstroGrep.exe" /e /r /s /spath="%USERPROFILE%\AppData\Local\Temp\OnboardLogs" /stypes="app*4007*20170322*" /stext=" 19:.+((SYSTEM_STATE.+slice.+state.+changed )|(ment ac)|(multiple cpu faults)|(system.+state.+changed )|(\[timeout)|(PRM\|1\|D)|(kpr)|(kdp)|(\|lc)|(penalty))"</v>
      </c>
      <c r="AG184" s="1" t="str">
        <f t="shared" si="66"/>
        <v>NW</v>
      </c>
      <c r="AH184" s="86" t="str">
        <f t="shared" si="67"/>
        <v>"%USERPROFILE%\Documents\GitHub\eaglep3\Utilities\RefineRTDCRunTimes.py" --tripid 821-22 --locoid 4007 --swversion DE.1.0.9.0 --startMP 204:960 --initTime 2017-03-22T13:10:47 --startdatetime 2017-03-22T13:21:18 --delay 1 --endMP 300:58948 --enddatetime 2017-03-22T13:34:45 --enforcementcount 2 &gt;&gt;C:\Users\stu\Documents\GitHub\eaglep3-reporting\EC\2017-03-22-refined-times.txt</v>
      </c>
      <c r="AI184" s="108" t="str">
        <f t="shared" si="68"/>
        <v>echo {"issue":{"subject":"","project_id":79,"tracker_id":40,"status_id":1,"priority_id":2,"assigned_to_id":23,"start_date":"2017-03-22","description":"","custom_fields":[{"id":1,"name":"Subdivision","value":"NW"},{"id":4,"name":"Milepost","value":"5.8948"},{"id":17,"name":"Train ID","value":"821-22"},{"id":16,"name":"Locomotive ID","value":"4007"},{"id":130,"name":"Impact","value":""},{"id":150,"name":"Time of Event (Mountain Time)","value":"13:34:45"},{"id":151,"name":"Denver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69"/>
        <v>start /low /b %USERPROFILE%\Documents\GitHub\eaglep3\Utilities\DownloadLogsFromS3.py --loco 4007 --day 2017-03-22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"%USERPROFILE%\AppData\Local\Temp\OnboardLogs"\RTDC4007\*4007*20170322* | grep -SE "(Enforcement Action)|(\[TIMEOUT)|(CHR.+\|PRM\|1\|D.+(SWITCH|SIGNAL).+UNKNOWN)" - &gt;&gt; 2017-03-22-UncaughtWiMAX.txt</v>
      </c>
    </row>
    <row r="185" spans="1:91" s="20" customFormat="1" x14ac:dyDescent="0.25">
      <c r="A185" s="33" t="s">
        <v>748</v>
      </c>
      <c r="B185" s="7">
        <v>4008</v>
      </c>
      <c r="C185" s="21" t="s">
        <v>219</v>
      </c>
      <c r="D185" s="21" t="s">
        <v>979</v>
      </c>
      <c r="E185" s="13">
        <v>42816.567418981482</v>
      </c>
      <c r="F185" s="13">
        <v>42816.569525462961</v>
      </c>
      <c r="G185" s="7">
        <v>1</v>
      </c>
      <c r="H185" s="21" t="s">
        <v>980</v>
      </c>
      <c r="I185" s="13">
        <v>42816.58021990741</v>
      </c>
      <c r="J185" s="7">
        <v>2</v>
      </c>
      <c r="K185" s="98" t="str">
        <f t="shared" si="55"/>
        <v>4007/4008</v>
      </c>
      <c r="L185" s="21" t="str">
        <f>VLOOKUP(A185,'Trips&amp;Operators'!$C$1:$G$99999,5,FALSE)</f>
        <v>FORTUNATO FRANK</v>
      </c>
      <c r="M185" s="6">
        <f t="shared" si="56"/>
        <v>1.0694444448745344E-2</v>
      </c>
      <c r="N185" s="7">
        <f t="shared" si="73"/>
        <v>15.400000006193295</v>
      </c>
      <c r="O185" s="7"/>
      <c r="P185" s="7"/>
      <c r="Q185" s="22"/>
      <c r="R185" s="22"/>
      <c r="S185" s="31">
        <f t="shared" si="71"/>
        <v>1</v>
      </c>
      <c r="T185" s="46" t="str">
        <f t="shared" si="57"/>
        <v>Southbound</v>
      </c>
      <c r="U185" s="18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6" t="str">
        <f t="shared" si="58"/>
        <v>https://d0f6bd738d7f1b3e5a7ca70fe4ff75f0.us-east-1.aws.found.io/app/kibana#/discover/Steve-Slow-Train-Analysis-(2080s-and-2083s)?_g=(refreshInterval:(display:Off,pause:!f,section:0,value:0),time:(from:'2017-03-22T12:37:05-0600',mode:absolute,to:'2017-03-22T14:55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5" s="187" t="str">
        <f t="shared" si="59"/>
        <v>N</v>
      </c>
      <c r="X185" s="187">
        <f t="shared" si="72"/>
        <v>1</v>
      </c>
      <c r="Y185" s="62">
        <f t="shared" si="60"/>
        <v>5.8632</v>
      </c>
      <c r="Z185" s="62">
        <f t="shared" si="61"/>
        <v>6.8500000000000005E-2</v>
      </c>
      <c r="AA185" s="62">
        <f t="shared" si="62"/>
        <v>5.7946999999999997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63"/>
        <v>0822-22</v>
      </c>
      <c r="AE185" s="85" t="str">
        <f t="shared" si="64"/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AF185" s="82" t="str">
        <f t="shared" si="65"/>
        <v>"C:\Program Files (x86)\AstroGrep\AstroGrep.exe" /e /r /s /spath="%USERPROFILE%\AppData\Local\Temp\OnboardLogs" /stypes="app*4008*20170322*" /stext=" 19:.+((SYSTEM_STATE.+slice.+state.+changed )|(ment ac)|(multiple cpu faults)|(system.+state.+changed )|(\[timeout)|(PRM\|1\|D)|(kpr)|(kdp)|(\|lc)|(penalty))"</v>
      </c>
      <c r="AG185" s="1" t="str">
        <f t="shared" si="66"/>
        <v>NW</v>
      </c>
      <c r="AH185" s="86" t="str">
        <f t="shared" si="67"/>
        <v>"%USERPROFILE%\Documents\GitHub\eaglep3\Utilities\RefineRTDCRunTimes.py" --tripid 822-22 --locoid 4008 --swversion DE.1.0.9.0 --startMP 300:58632 --initTime 2017-03-22T13:37:05 --startdatetime 2017-03-22T13:40:07 --delay 1 --endMP 204:685 --enddatetime 2017-03-22T13:55:31 --enforcementcount 2 &gt;&gt;C:\Users\stu\Documents\GitHub\eaglep3-reporting\EC\2017-03-22-refined-times.txt</v>
      </c>
      <c r="AI185" s="108" t="str">
        <f t="shared" si="68"/>
        <v>echo {"issue":{"subject":"","project_id":79,"tracker_id":40,"status_id":1,"priority_id":2,"assigned_to_id":23,"start_date":"2017-03-22","description":"","custom_fields":[{"id":1,"name":"Subdivision","value":"NW"},{"id":4,"name":"Milepost","value":"0.0685"},{"id":17,"name":"Train ID","value":"822-22"},{"id":16,"name":"Locomotive ID","value":"4008"},{"id":130,"name":"Impact","value":""},{"id":150,"name":"Time of Event (Mountain Time)","value":"13:55:31"},{"id":151,"name":"Denver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69"/>
        <v>start /low /b %USERPROFILE%\Documents\GitHub\eaglep3\Utilities\DownloadLogsFromS3.py --loco 4008 --day 2017-03-22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"%USERPROFILE%\AppData\Local\Temp\OnboardLogs"\RTDC4008\*4008*20170322* | grep -SE "(Enforcement Action)|(\[TIMEOUT)|(CHR.+\|PRM\|1\|D.+(SWITCH|SIGNAL).+UNKNOWN)" - &gt;&gt; 2017-03-22-UncaughtWiMAX.txt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3" t="s">
        <v>622</v>
      </c>
      <c r="B186" s="7">
        <v>4007</v>
      </c>
      <c r="C186" s="21" t="s">
        <v>219</v>
      </c>
      <c r="D186" s="21" t="s">
        <v>587</v>
      </c>
      <c r="E186" s="13">
        <v>42816.594108796293</v>
      </c>
      <c r="F186" s="13">
        <v>42816.598090277781</v>
      </c>
      <c r="G186" s="7">
        <v>1</v>
      </c>
      <c r="H186" s="21" t="s">
        <v>981</v>
      </c>
      <c r="I186" s="13">
        <v>42816.607523148145</v>
      </c>
      <c r="J186" s="7">
        <v>2</v>
      </c>
      <c r="K186" s="98" t="str">
        <f t="shared" si="55"/>
        <v>4007/4008</v>
      </c>
      <c r="L186" s="21" t="str">
        <f>VLOOKUP(A186,'Trips&amp;Operators'!$C$1:$G$99999,5,FALSE)</f>
        <v>FORTUNATO FRANK</v>
      </c>
      <c r="M186" s="6">
        <f t="shared" si="56"/>
        <v>9.4328703635255806E-3</v>
      </c>
      <c r="N186" s="7">
        <f t="shared" si="73"/>
        <v>13.583333323476836</v>
      </c>
      <c r="O186" s="7"/>
      <c r="P186" s="7"/>
      <c r="Q186" s="22"/>
      <c r="R186" s="22"/>
      <c r="S186" s="31">
        <f t="shared" si="71"/>
        <v>1</v>
      </c>
      <c r="T186" s="46" t="str">
        <f t="shared" si="57"/>
        <v>NorthBound</v>
      </c>
      <c r="U186" s="18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6" t="str">
        <f t="shared" si="58"/>
        <v>https://d0f6bd738d7f1b3e5a7ca70fe4ff75f0.us-east-1.aws.found.io/app/kibana#/discover/Steve-Slow-Train-Analysis-(2080s-and-2083s)?_g=(refreshInterval:(display:Off,pause:!f,section:0,value:0),time:(from:'2017-03-22T13:15:31-0600',mode:absolute,to:'2017-03-22T15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6" s="187" t="str">
        <f t="shared" si="59"/>
        <v>N</v>
      </c>
      <c r="X186" s="187">
        <f t="shared" si="72"/>
        <v>1</v>
      </c>
      <c r="Y186" s="62">
        <f t="shared" si="60"/>
        <v>9.7799999999999998E-2</v>
      </c>
      <c r="Z186" s="62">
        <f t="shared" si="61"/>
        <v>5.8852000000000002</v>
      </c>
      <c r="AA186" s="62">
        <f t="shared" si="62"/>
        <v>5.7873999999999999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63"/>
        <v>0823-22</v>
      </c>
      <c r="AE186" s="85" t="str">
        <f t="shared" si="64"/>
        <v>aws s3 cp s3://rtdc.mdm.uploadarchive.raw/RTDC4007/ "%USERPROFILE%\AppData\Local\Temp\OnboardLogs"\RTDC4007\2017-03-22 --exclude "*" --recursive --include "*20170322*" &amp; "%USERPROFILE%\Documents\GitHub\mrs-test-scripts\Headless Mode &amp; Sideloading\WalkAndUnGZ.bat" "%USERPROFILE%\AppData\Local\Temp\OnboardLogs"\RTDC4007\2017-03-22 &amp; aws s3 cp s3://rtdc.mdm.uploadarchive.raw/RTDC4007/ "%USERPROFILE%\AppData\Local\Temp\OnboardLogs"\RTDC4007\2017-03-23 --exclude "*" --recursive --include "*20170323*" &amp; "%USERPROFILE%\Documents\GitHub\mrs-test-scripts\Headless Mode &amp; Sideloading\WalkAndUnGZ.bat" "%USERPROFILE%\AppData\Local\Temp\OnboardLogs"\RTDC4007\2017-03-23</v>
      </c>
      <c r="AF186" s="82" t="str">
        <f t="shared" si="65"/>
        <v>"C:\Program Files (x86)\AstroGrep\AstroGrep.exe" /e /r /s /spath="%USERPROFILE%\AppData\Local\Temp\OnboardLogs" /stypes="app*4007*20170322*" /stext=" 20:.+((SYSTEM_STATE.+slice.+state.+changed )|(ment ac)|(multiple cpu faults)|(system.+state.+changed )|(\[timeout)|(PRM\|1\|D)|(kpr)|(kdp)|(\|lc)|(penalty))"</v>
      </c>
      <c r="AG186" s="1" t="str">
        <f t="shared" si="66"/>
        <v>NW</v>
      </c>
      <c r="AH186" s="86" t="str">
        <f t="shared" si="67"/>
        <v>"%USERPROFILE%\Documents\GitHub\eaglep3\Utilities\RefineRTDCRunTimes.py" --tripid 823-22 --locoid 4007 --swversion DE.1.0.9.0 --startMP 204:978 --initTime 2017-03-22T14:15:31 --startdatetime 2017-03-22T14:21:15 --delay 1 --endMP 300:58852 --enddatetime 2017-03-22T14:34:50 --enforcementcount 2 &gt;&gt;C:\Users\stu\Documents\GitHub\eaglep3-reporting\EC\2017-03-22-refined-times.txt</v>
      </c>
      <c r="AI186" s="108" t="str">
        <f t="shared" si="68"/>
        <v>echo {"issue":{"subject":"","project_id":79,"tracker_id":40,"status_id":1,"priority_id":2,"assigned_to_id":23,"start_date":"2017-03-22","description":"","custom_fields":[{"id":1,"name":"Subdivision","value":"NW"},{"id":4,"name":"Milepost","value":"5.8852"},{"id":17,"name":"Train ID","value":"823-22"},{"id":16,"name":"Locomotive ID","value":"4007"},{"id":130,"name":"Impact","value":""},{"id":150,"name":"Time of Event (Mountain Time)","value":"14:34:50"},{"id":151,"name":"Denver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69"/>
        <v>start /low /b %USERPROFILE%\Documents\GitHub\eaglep3\Utilities\DownloadLogsFromS3.py --loco 4007 --day 2017-03-22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"%USERPROFILE%\AppData\Local\Temp\OnboardLogs"\RTDC4007\*4007*20170322* | grep -SE "(Enforcement Action)|(\[TIMEOUT)|(CHR.+\|PRM\|1\|D.+(SWITCH|SIGNAL).+UNKNOWN)" - &gt;&gt; 2017-03-22-UncaughtWiMAX.txt</v>
      </c>
    </row>
    <row r="187" spans="1:91" s="20" customFormat="1" x14ac:dyDescent="0.25">
      <c r="A187" s="33" t="s">
        <v>755</v>
      </c>
      <c r="B187" s="7">
        <v>4008</v>
      </c>
      <c r="C187" s="21" t="s">
        <v>219</v>
      </c>
      <c r="D187" s="21" t="s">
        <v>982</v>
      </c>
      <c r="E187" s="13">
        <v>42816.608993055554</v>
      </c>
      <c r="F187" s="13">
        <v>42816.610949074071</v>
      </c>
      <c r="G187" s="7">
        <v>1</v>
      </c>
      <c r="H187" s="21" t="s">
        <v>983</v>
      </c>
      <c r="I187" s="13">
        <v>42816.626111111109</v>
      </c>
      <c r="J187" s="7">
        <v>2</v>
      </c>
      <c r="K187" s="98" t="str">
        <f t="shared" si="55"/>
        <v>4007/4008</v>
      </c>
      <c r="L187" s="21" t="str">
        <f>VLOOKUP(A187,'Trips&amp;Operators'!$C$1:$G$99999,5,FALSE)</f>
        <v>FORTUNATO FRANK</v>
      </c>
      <c r="M187" s="6">
        <f t="shared" si="56"/>
        <v>1.5162037037953269E-2</v>
      </c>
      <c r="N187" s="7">
        <f t="shared" si="73"/>
        <v>21.833333334652707</v>
      </c>
      <c r="O187" s="7"/>
      <c r="P187" s="7"/>
      <c r="Q187" s="22"/>
      <c r="R187" s="22"/>
      <c r="S187" s="31">
        <f t="shared" si="71"/>
        <v>1</v>
      </c>
      <c r="T187" s="46" t="str">
        <f t="shared" si="57"/>
        <v>Southbound</v>
      </c>
      <c r="U187" s="18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6" t="str">
        <f t="shared" si="58"/>
        <v>https://d0f6bd738d7f1b3e5a7ca70fe4ff75f0.us-east-1.aws.found.io/app/kibana#/discover/Steve-Slow-Train-Analysis-(2080s-and-2083s)?_g=(refreshInterval:(display:Off,pause:!f,section:0,value:0),time:(from:'2017-03-22T13:36:57-0600',mode:absolute,to:'2017-03-22T16:01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7" s="187" t="str">
        <f t="shared" si="59"/>
        <v>N</v>
      </c>
      <c r="X187" s="187">
        <f t="shared" si="72"/>
        <v>1</v>
      </c>
      <c r="Y187" s="62">
        <f t="shared" si="60"/>
        <v>5.8532000000000002</v>
      </c>
      <c r="Z187" s="62">
        <f t="shared" si="61"/>
        <v>6.5000000000000002E-2</v>
      </c>
      <c r="AA187" s="62">
        <f t="shared" si="62"/>
        <v>5.7881999999999998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63"/>
        <v>0824-22</v>
      </c>
      <c r="AE187" s="85" t="str">
        <f t="shared" si="64"/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AF187" s="82" t="str">
        <f t="shared" si="65"/>
        <v>"C:\Program Files (x86)\AstroGrep\AstroGrep.exe" /e /r /s /spath="%USERPROFILE%\AppData\Local\Temp\OnboardLogs" /stypes="app*4008*20170322*" /stext=" 21:.+((SYSTEM_STATE.+slice.+state.+changed )|(ment ac)|(multiple cpu faults)|(system.+state.+changed )|(\[timeout)|(PRM\|1\|D)|(kpr)|(kdp)|(\|lc)|(penalty))"</v>
      </c>
      <c r="AG187" s="1" t="str">
        <f t="shared" si="66"/>
        <v>NW</v>
      </c>
      <c r="AH187" s="86" t="str">
        <f t="shared" si="67"/>
        <v>"%USERPROFILE%\Documents\GitHub\eaglep3\Utilities\RefineRTDCRunTimes.py" --tripid 824-22 --locoid 4008 --swversion DE.1.0.9.0 --startMP 300:58532 --initTime 2017-03-22T14:36:57 --startdatetime 2017-03-22T14:39:46 --delay 1 --endMP 204:650 --enddatetime 2017-03-22T15:01:36 --enforcementcount 2 &gt;&gt;C:\Users\stu\Documents\GitHub\eaglep3-reporting\EC\2017-03-22-refined-times.txt</v>
      </c>
      <c r="AI187" s="108" t="str">
        <f t="shared" si="68"/>
        <v>echo {"issue":{"subject":"","project_id":79,"tracker_id":40,"status_id":1,"priority_id":2,"assigned_to_id":23,"start_date":"2017-03-22","description":"","custom_fields":[{"id":1,"name":"Subdivision","value":"NW"},{"id":4,"name":"Milepost","value":"0.065"},{"id":17,"name":"Train ID","value":"824-22"},{"id":16,"name":"Locomotive ID","value":"4008"},{"id":130,"name":"Impact","value":""},{"id":150,"name":"Time of Event (Mountain Time)","value":"15:01:36"},{"id":151,"name":"Denver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69"/>
        <v>start /low /b %USERPROFILE%\Documents\GitHub\eaglep3\Utilities\DownloadLogsFromS3.py --loco 4008 --day 2017-03-22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"%USERPROFILE%\AppData\Local\Temp\OnboardLogs"\RTDC4008\*4008*20170322* | grep -SE "(Enforcement Action)|(\[TIMEOUT)|(CHR.+\|PRM\|1\|D.+(SWITCH|SIGNAL).+UNKNOWN)" - &gt;&gt; 2017-03-22-UncaughtWiMAX.txt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3" t="s">
        <v>762</v>
      </c>
      <c r="B188" s="7">
        <v>4007</v>
      </c>
      <c r="C188" s="21" t="s">
        <v>219</v>
      </c>
      <c r="D188" s="21" t="s">
        <v>984</v>
      </c>
      <c r="E188" s="13">
        <v>42816.636979166666</v>
      </c>
      <c r="F188" s="13">
        <v>42816.639756944445</v>
      </c>
      <c r="G188" s="7">
        <v>1</v>
      </c>
      <c r="H188" s="21" t="s">
        <v>586</v>
      </c>
      <c r="I188" s="13">
        <v>42816.650752314818</v>
      </c>
      <c r="J188" s="7">
        <v>2</v>
      </c>
      <c r="K188" s="98" t="str">
        <f t="shared" si="55"/>
        <v>4007/4008</v>
      </c>
      <c r="L188" s="21" t="str">
        <f>VLOOKUP(A188,'Trips&amp;Operators'!$C$1:$G$99999,5,FALSE)</f>
        <v>FORTUNATO FRANK</v>
      </c>
      <c r="M188" s="6">
        <f t="shared" si="56"/>
        <v>1.099537037225673E-2</v>
      </c>
      <c r="N188" s="7">
        <f t="shared" si="73"/>
        <v>15.833333336049691</v>
      </c>
      <c r="O188" s="7"/>
      <c r="P188" s="7"/>
      <c r="Q188" s="22"/>
      <c r="R188" s="22"/>
      <c r="S188" s="31">
        <f t="shared" si="71"/>
        <v>1</v>
      </c>
      <c r="T188" s="46" t="str">
        <f t="shared" si="57"/>
        <v>NorthBound</v>
      </c>
      <c r="U188" s="18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6" t="str">
        <f t="shared" si="58"/>
        <v>https://d0f6bd738d7f1b3e5a7ca70fe4ff75f0.us-east-1.aws.found.io/app/kibana#/discover/Steve-Slow-Train-Analysis-(2080s-and-2083s)?_g=(refreshInterval:(display:Off,pause:!f,section:0,value:0),time:(from:'2017-03-22T14:17:15-0600',mode:absolute,to:'2017-03-22T16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8" s="187" t="str">
        <f t="shared" si="59"/>
        <v>N</v>
      </c>
      <c r="X188" s="187">
        <f t="shared" si="72"/>
        <v>1</v>
      </c>
      <c r="Y188" s="62">
        <f t="shared" si="60"/>
        <v>9.6199999999999994E-2</v>
      </c>
      <c r="Z188" s="62">
        <f t="shared" si="61"/>
        <v>5.8939000000000004</v>
      </c>
      <c r="AA188" s="62">
        <f t="shared" si="62"/>
        <v>5.7977000000000007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63"/>
        <v>0825-22</v>
      </c>
      <c r="AE188" s="85" t="str">
        <f t="shared" si="64"/>
        <v>aws s3 cp s3://rtdc.mdm.uploadarchive.raw/RTDC4007/ "%USERPROFILE%\AppData\Local\Temp\OnboardLogs"\RTDC4007\2017-03-22 --exclude "*" --recursive --include "*20170322*" &amp; "%USERPROFILE%\Documents\GitHub\mrs-test-scripts\Headless Mode &amp; Sideloading\WalkAndUnGZ.bat" "%USERPROFILE%\AppData\Local\Temp\OnboardLogs"\RTDC4007\2017-03-22 &amp; aws s3 cp s3://rtdc.mdm.uploadarchive.raw/RTDC4007/ "%USERPROFILE%\AppData\Local\Temp\OnboardLogs"\RTDC4007\2017-03-23 --exclude "*" --recursive --include "*20170323*" &amp; "%USERPROFILE%\Documents\GitHub\mrs-test-scripts\Headless Mode &amp; Sideloading\WalkAndUnGZ.bat" "%USERPROFILE%\AppData\Local\Temp\OnboardLogs"\RTDC4007\2017-03-23</v>
      </c>
      <c r="AF188" s="82" t="str">
        <f t="shared" si="65"/>
        <v>"C:\Program Files (x86)\AstroGrep\AstroGrep.exe" /e /r /s /spath="%USERPROFILE%\AppData\Local\Temp\OnboardLogs" /stypes="app*4007*20170322*" /stext=" 21:.+((SYSTEM_STATE.+slice.+state.+changed )|(ment ac)|(multiple cpu faults)|(system.+state.+changed )|(\[timeout)|(PRM\|1\|D)|(kpr)|(kdp)|(\|lc)|(penalty))"</v>
      </c>
      <c r="AG188" s="1" t="str">
        <f t="shared" si="66"/>
        <v>NW</v>
      </c>
      <c r="AH188" s="86" t="str">
        <f t="shared" si="67"/>
        <v>"%USERPROFILE%\Documents\GitHub\eaglep3\Utilities\RefineRTDCRunTimes.py" --tripid 825-22 --locoid 4007 --swversion DE.1.0.9.0 --startMP 204:962 --initTime 2017-03-22T15:17:15 --startdatetime 2017-03-22T15:21:15 --delay 1 --endMP 300:58939 --enddatetime 2017-03-22T15:37:05 --enforcementcount 2 &gt;&gt;C:\Users\stu\Documents\GitHub\eaglep3-reporting\EC\2017-03-22-refined-times.txt</v>
      </c>
      <c r="AI188" s="108" t="str">
        <f t="shared" si="68"/>
        <v>echo {"issue":{"subject":"","project_id":79,"tracker_id":40,"status_id":1,"priority_id":2,"assigned_to_id":23,"start_date":"2017-03-22","description":"","custom_fields":[{"id":1,"name":"Subdivision","value":"NW"},{"id":4,"name":"Milepost","value":"5.8939"},{"id":17,"name":"Train ID","value":"825-22"},{"id":16,"name":"Locomotive ID","value":"4007"},{"id":130,"name":"Impact","value":""},{"id":150,"name":"Time of Event (Mountain Time)","value":"15:37:05"},{"id":151,"name":"Denver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69"/>
        <v>start /low /b %USERPROFILE%\Documents\GitHub\eaglep3\Utilities\DownloadLogsFromS3.py --loco 4007 --day 2017-03-22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"%USERPROFILE%\AppData\Local\Temp\OnboardLogs"\RTDC4007\*4007*20170322* | grep -SE "(Enforcement Action)|(\[TIMEOUT)|(CHR.+\|PRM\|1\|D.+(SWITCH|SIGNAL).+UNKNOWN)" - &gt;&gt; 2017-03-22-UncaughtWiMAX.txt</v>
      </c>
    </row>
    <row r="189" spans="1:91" x14ac:dyDescent="0.25">
      <c r="A189" s="33" t="s">
        <v>766</v>
      </c>
      <c r="B189" s="7">
        <v>4008</v>
      </c>
      <c r="C189" s="21" t="s">
        <v>219</v>
      </c>
      <c r="D189" s="21" t="s">
        <v>419</v>
      </c>
      <c r="E189" s="13">
        <v>42816.651817129627</v>
      </c>
      <c r="F189" s="13">
        <v>42816.652881944443</v>
      </c>
      <c r="G189" s="7">
        <v>1</v>
      </c>
      <c r="H189" s="21" t="s">
        <v>985</v>
      </c>
      <c r="I189" s="13">
        <v>42816.65960648148</v>
      </c>
      <c r="J189" s="7">
        <v>0</v>
      </c>
      <c r="K189" s="98" t="str">
        <f t="shared" si="55"/>
        <v>4007/4008</v>
      </c>
      <c r="L189" s="21" t="str">
        <f>VLOOKUP(A189,'Trips&amp;Operators'!$C$1:$G$99999,5,FALSE)</f>
        <v>FORTUNATO FRANK</v>
      </c>
      <c r="M189" s="6">
        <f t="shared" si="56"/>
        <v>6.7245370373711921E-3</v>
      </c>
      <c r="N189" s="7"/>
      <c r="O189" s="7"/>
      <c r="P189" s="7">
        <f>24*60*SUM($M189:$M190)</f>
        <v>16.466666670748964</v>
      </c>
      <c r="Q189" s="22"/>
      <c r="R189" s="22" t="s">
        <v>1050</v>
      </c>
      <c r="S189" s="31">
        <f t="shared" si="71"/>
        <v>1</v>
      </c>
      <c r="T189" s="46" t="str">
        <f t="shared" si="57"/>
        <v>Southbound</v>
      </c>
      <c r="U189" s="18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6" t="str">
        <f t="shared" si="58"/>
        <v>https://d0f6bd738d7f1b3e5a7ca70fe4ff75f0.us-east-1.aws.found.io/app/kibana#/discover/Steve-Slow-Train-Analysis-(2080s-and-2083s)?_g=(refreshInterval:(display:Off,pause:!f,section:0,value:0),time:(from:'2017-03-22T14:38:37-0600',mode:absolute,to:'2017-03-22T16:49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9" s="187" t="str">
        <f t="shared" si="59"/>
        <v>N</v>
      </c>
      <c r="X189" s="187">
        <f t="shared" ref="X189:X196" si="74">VALUE(LEFT(AD189,4))-VALUE(LEFT(AD188,4))</f>
        <v>1</v>
      </c>
      <c r="Y189" s="62">
        <f t="shared" si="60"/>
        <v>5.8615000000000004</v>
      </c>
      <c r="Z189" s="62">
        <f t="shared" si="61"/>
        <v>6.8000000000000005E-2</v>
      </c>
      <c r="AA189" s="62">
        <f t="shared" si="62"/>
        <v>5.7935000000000008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63"/>
        <v>0826-22</v>
      </c>
      <c r="AE189" s="85" t="str">
        <f t="shared" si="64"/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AF189" s="82" t="str">
        <f t="shared" si="65"/>
        <v>"C:\Program Files (x86)\AstroGrep\AstroGrep.exe" /e /r /s /spath="%USERPROFILE%\AppData\Local\Temp\OnboardLogs" /stypes="app*4008*20170322*" /stext=" 21:.+((SYSTEM_STATE.+slice.+state.+changed )|(ment ac)|(multiple cpu faults)|(system.+state.+changed )|(\[timeout)|(PRM\|1\|D)|(kpr)|(kdp)|(\|lc)|(penalty))"</v>
      </c>
      <c r="AG189" s="1" t="str">
        <f t="shared" si="66"/>
        <v>NW</v>
      </c>
      <c r="AH189" s="86" t="str">
        <f t="shared" si="67"/>
        <v>"%USERPROFILE%\Documents\GitHub\eaglep3\Utilities\RefineRTDCRunTimes.py" --tripid 826-22 --locoid 4008 --swversion DE.1.0.9.0 --startMP 300:58615 --initTime 2017-03-22T15:38:37 --startdatetime 2017-03-22T15:40:09 --delay 1 --endMP 204:680 --enddatetime 2017-03-22T15:49:50 --enforcementcount 0 &gt;&gt;C:\Users\stu\Documents\GitHub\eaglep3-reporting\EC\2017-03-22-refined-times.txt</v>
      </c>
      <c r="AI189" s="108" t="str">
        <f t="shared" si="68"/>
        <v>echo {"issue":{"subject":"Planned maintenance - CRMF Pocket ELXS offline from 03/22/2017 14:28:58 - 18:08:16","project_id":79,"tracker_id":40,"status_id":1,"priority_id":2,"assigned_to_id":23,"start_date":"2017-03-22","description":"","custom_fields":[{"id":1,"name":"Subdivision","value":"NW"},{"id":4,"name":"Milepost","value":"0.068"},{"id":17,"name":"Train ID","value":"826-22"},{"id":16,"name":"Locomotive ID","value":"4008"},{"id":130,"name":"Impact","value":""},{"id":150,"name":"Time of Event (Mountain Time)","value":"15:49:50"},{"id":151,"name":"Denver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69"/>
        <v>start /low /b %USERPROFILE%\Documents\GitHub\eaglep3\Utilities\DownloadLogsFromS3.py --loco 4008 --day 2017-03-22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"%USERPROFILE%\AppData\Local\Temp\OnboardLogs"\RTDC4008\*4008*20170322* | grep -SE "(Enforcement Action)|(\[TIMEOUT)|(CHR.+\|PRM\|1\|D.+(SWITCH|SIGNAL).+UNKNOWN)" - &gt;&gt; 2017-03-22-UncaughtWiMAX.txt</v>
      </c>
    </row>
    <row r="190" spans="1:91" s="20" customFormat="1" x14ac:dyDescent="0.25">
      <c r="A190" s="33" t="s">
        <v>766</v>
      </c>
      <c r="B190" s="7">
        <v>4008</v>
      </c>
      <c r="C190" s="21" t="s">
        <v>219</v>
      </c>
      <c r="D190" s="21" t="s">
        <v>419</v>
      </c>
      <c r="E190" s="13">
        <v>42816.651817129627</v>
      </c>
      <c r="F190" s="13">
        <v>42816.661030092589</v>
      </c>
      <c r="G190" s="7">
        <v>1</v>
      </c>
      <c r="H190" s="21" t="s">
        <v>985</v>
      </c>
      <c r="I190" s="13">
        <v>42816.66574074074</v>
      </c>
      <c r="J190" s="7">
        <v>0</v>
      </c>
      <c r="K190" s="98" t="str">
        <f t="shared" si="55"/>
        <v>4007/4008</v>
      </c>
      <c r="L190" s="21" t="str">
        <f>VLOOKUP(A190,'Trips&amp;Operators'!$C$1:$G$99999,5,FALSE)</f>
        <v>FORTUNATO FRANK</v>
      </c>
      <c r="M190" s="6">
        <f t="shared" si="56"/>
        <v>4.7106481506489217E-3</v>
      </c>
      <c r="N190" s="7"/>
      <c r="O190" s="7"/>
      <c r="P190" s="7"/>
      <c r="Q190" s="22"/>
      <c r="R190" s="22"/>
      <c r="S190" s="31"/>
      <c r="T190" s="46" t="str">
        <f t="shared" si="57"/>
        <v>Southbound</v>
      </c>
      <c r="U190" s="18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6" t="str">
        <f t="shared" si="58"/>
        <v>https://d0f6bd738d7f1b3e5a7ca70fe4ff75f0.us-east-1.aws.found.io/app/kibana#/discover/Steve-Slow-Train-Analysis-(2080s-and-2083s)?_g=(refreshInterval:(display:Off,pause:!f,section:0,value:0),time:(from:'2017-03-22T14:38:37-0600',mode:absolute,to:'2017-03-22T16:58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0" s="187" t="str">
        <f t="shared" si="59"/>
        <v>N</v>
      </c>
      <c r="X190" s="187">
        <f t="shared" si="74"/>
        <v>0</v>
      </c>
      <c r="Y190" s="62">
        <f t="shared" si="60"/>
        <v>5.8615000000000004</v>
      </c>
      <c r="Z190" s="62">
        <f t="shared" si="61"/>
        <v>6.8000000000000005E-2</v>
      </c>
      <c r="AA190" s="62">
        <f t="shared" si="62"/>
        <v>5.7935000000000008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63"/>
        <v>0826-22</v>
      </c>
      <c r="AE190" s="85" t="str">
        <f t="shared" si="64"/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AF190" s="82" t="str">
        <f t="shared" si="65"/>
        <v>"C:\Program Files (x86)\AstroGrep\AstroGrep.exe" /e /r /s /spath="%USERPROFILE%\AppData\Local\Temp\OnboardLogs" /stypes="app*4008*20170322*" /stext=" 21:.+((SYSTEM_STATE.+slice.+state.+changed )|(ment ac)|(multiple cpu faults)|(system.+state.+changed )|(\[timeout)|(PRM\|1\|D)|(kpr)|(kdp)|(\|lc)|(penalty))"</v>
      </c>
      <c r="AG190" s="1" t="str">
        <f t="shared" si="66"/>
        <v>NW</v>
      </c>
      <c r="AH190" s="86" t="str">
        <f t="shared" ref="AH190" si="75">refinertdcruntimes&amp;" --tripid "&amp;A190&amp;" --locoid "&amp;B190&amp;" --swversion "&amp;C190&amp;" --startMP "&amp;D190&amp;" --initTime "&amp;TEXT(E190,"yyyy-mm-ddTHH:MM:SS")&amp;" --startdatetime "&amp;TEXT(F190,"yyyy-mm-ddTHH:MM:SS")&amp;" --delay "&amp;G190&amp;" --endMP "&amp;H190&amp;" --enddatetime "&amp;TEXT(I190,"yyyy-mm-ddTHH:MM:SS")&amp;" --enforcementcount "&amp;J190&amp;IF(outputrefinedruntimes," &gt;&gt;"&amp;RefinedRTDCRunTimesOutputFile,"")</f>
        <v>"%USERPROFILE%\Documents\GitHub\eaglep3\Utilities\RefineRTDCRunTimes.py" --tripid 826-22 --locoid 4008 --swversion DE.1.0.9.0 --startMP 300:58615 --initTime 2017-03-22T15:38:37 --startdatetime 2017-03-22T15:51:53 --delay 1 --endMP 204:680 --enddatetime 2017-03-22T15:58:40 --enforcementcount 0 &gt;&gt;C:\Users\stu\Documents\GitHub\eaglep3-reporting\EC\2017-03-22-refined-times.txt</v>
      </c>
      <c r="AI190" s="108" t="str">
        <f t="shared" ref="AI190" si="76">"echo {""issue"":{""subject"":"""&amp;R190&amp;""",""project_id"":79,""tracker_id"":40,""status_id"":"&amp;redmine_status&amp;",""priority_id"":"&amp;redmine_priority&amp;",""assigned_to_id"":"&amp;redmine_assignee&amp;",""start_date"":"""&amp;TEXT(I190,"YYYY-mm-dd")&amp;""",""description"":"""&amp;AJ190&amp;""",""custom_fields"":[{""id"":1,""name"":""Subdivision"",""value"":"""&amp;AG190&amp;"""},{""id"":4,""name"":""Milepost"",""value"":"""&amp;Z190&amp;"""},{""id"":17,""name"":""Train ID"",""value"":"""&amp;A190&amp;"""},{""id"":16,""name"":""Locomotive ID"",""value"":"""&amp;B190&amp;"""},{""id"":130,""name"":""Impact"",""value"":"""&amp;AK190&amp;"""},{""id"":150,""name"":""Time of Event (Mountain Time)"",""value"":"""&amp;TEXT(I190,"hh:mm:ss")&amp;"""},{""id"":151,""name"":""Denver Issue ID"",""value"":"""&amp;"""},{""id"":178,""name"":""Operational Impact"",""value"":"""&amp;redmine_op_impact&amp;"""},{""id"":179,""name"":""Denver Segment Assigned"",""value"":"""&amp;AL190&amp;"""}]}}"&amp;"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{"issue":{"subject":"","project_id":79,"tracker_id":40,"status_id":1,"priority_id":2,"assigned_to_id":23,"start_date":"2017-03-22","description":"","custom_fields":[{"id":1,"name":"Subdivision","value":"NW"},{"id":4,"name":"Milepost","value":"0.068"},{"id":17,"name":"Train ID","value":"826-22"},{"id":16,"name":"Locomotive ID","value":"4008"},{"id":130,"name":"Impact","value":""},{"id":150,"name":"Time of Event (Mountain Time)","value":"15:58:40"},{"id":151,"name":"Denver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ref="AM190" si="77">"start /low /b "&amp;dls3logs&amp;" --loco "&amp;B190&amp;" --day "&amp;TEXT(F190,"YYYY-MM-DD")</f>
        <v>start /low /b %USERPROFILE%\Documents\GitHub\eaglep3\Utilities\DownloadLogsFromS3.py --loco 4008 --day 2017-03-22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"%USERPROFILE%\AppData\Local\Temp\OnboardLogs"\RTDC4008\*4008*20170322* | grep -SE "(Enforcement Action)|(\[TIMEOUT)|(CHR.+\|PRM\|1\|D.+(SWITCH|SIGNAL).+UNKNOWN)" - &gt;&gt; 2017-03-22-UncaughtWiMAX.txt</v>
      </c>
    </row>
    <row r="191" spans="1:91" x14ac:dyDescent="0.25">
      <c r="A191" s="33" t="s">
        <v>628</v>
      </c>
      <c r="B191" s="7">
        <v>4022</v>
      </c>
      <c r="C191" s="21" t="s">
        <v>219</v>
      </c>
      <c r="D191" s="21" t="s">
        <v>986</v>
      </c>
      <c r="E191" s="13">
        <v>42816.659733796296</v>
      </c>
      <c r="F191" s="13">
        <v>42816.66070601852</v>
      </c>
      <c r="G191" s="7">
        <v>1</v>
      </c>
      <c r="H191" s="21" t="s">
        <v>987</v>
      </c>
      <c r="I191" s="13">
        <v>42816.674120370371</v>
      </c>
      <c r="J191" s="7">
        <v>1</v>
      </c>
      <c r="K191" s="98" t="str">
        <f t="shared" si="55"/>
        <v>4021/4022</v>
      </c>
      <c r="L191" s="21" t="str">
        <f>VLOOKUP(A191,'Trips&amp;Operators'!$C$1:$G$99999,5,FALSE)</f>
        <v>CHANDLER KELVIN</v>
      </c>
      <c r="M191" s="6">
        <f t="shared" si="56"/>
        <v>1.3414351851679385E-2</v>
      </c>
      <c r="N191" s="7"/>
      <c r="O191" s="7"/>
      <c r="P191" s="7">
        <f>24*60*SUM($M191:$M191)</f>
        <v>19.316666666418314</v>
      </c>
      <c r="Q191" s="22"/>
      <c r="R191" s="22" t="s">
        <v>1050</v>
      </c>
      <c r="S191" s="31">
        <f t="shared" ref="S191:S222" si="78">SUM(U191:U191)/IF(AG191="EC",12,1)</f>
        <v>1</v>
      </c>
      <c r="T191" s="46" t="str">
        <f t="shared" si="57"/>
        <v>NorthBound</v>
      </c>
      <c r="U191" s="18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6" t="str">
        <f t="shared" si="58"/>
        <v>https://d0f6bd738d7f1b3e5a7ca70fe4ff75f0.us-east-1.aws.found.io/app/kibana#/discover/Steve-Slow-Train-Analysis-(2080s-and-2083s)?_g=(refreshInterval:(display:Off,pause:!f,section:0,value:0),time:(from:'2017-03-22T14:50:01-0600',mode:absolute,to:'2017-03-22T17:10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1" s="187" t="str">
        <f t="shared" si="59"/>
        <v>N</v>
      </c>
      <c r="X191" s="187">
        <f t="shared" si="74"/>
        <v>1</v>
      </c>
      <c r="Y191" s="62">
        <f t="shared" si="60"/>
        <v>9.1800000000000007E-2</v>
      </c>
      <c r="Z191" s="62">
        <f t="shared" si="61"/>
        <v>5.8834999999999997</v>
      </c>
      <c r="AA191" s="62">
        <f t="shared" si="62"/>
        <v>5.7916999999999996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63"/>
        <v>0827-22</v>
      </c>
      <c r="AE191" s="85" t="str">
        <f t="shared" si="64"/>
        <v>aws s3 cp s3://rtdc.mdm.uploadarchive.raw/RTDC4022/ "%USERPROFILE%\AppData\Local\Temp\OnboardLogs"\RTDC4022\2017-03-22 --exclude "*" --recursive --include "*20170322*" &amp; "%USERPROFILE%\Documents\GitHub\mrs-test-scripts\Headless Mode &amp; Sideloading\WalkAndUnGZ.bat" "%USERPROFILE%\AppData\Local\Temp\OnboardLogs"\RTDC4022\2017-03-22 &amp; aws s3 cp s3://rtdc.mdm.uploadarchive.raw/RTDC4022/ "%USERPROFILE%\AppData\Local\Temp\OnboardLogs"\RTDC4022\2017-03-23 --exclude "*" --recursive --include "*20170323*" &amp; "%USERPROFILE%\Documents\GitHub\mrs-test-scripts\Headless Mode &amp; Sideloading\WalkAndUnGZ.bat" "%USERPROFILE%\AppData\Local\Temp\OnboardLogs"\RTDC4022\2017-03-23</v>
      </c>
      <c r="AF191" s="82" t="str">
        <f t="shared" si="65"/>
        <v>"C:\Program Files (x86)\AstroGrep\AstroGrep.exe" /e /r /s /spath="%USERPROFILE%\AppData\Local\Temp\OnboardLogs" /stypes="app*4022*20170322*" /stext=" 22:.+((SYSTEM_STATE.+slice.+state.+changed )|(ment ac)|(multiple cpu faults)|(system.+state.+changed )|(\[timeout)|(PRM\|1\|D)|(kpr)|(kdp)|(\|lc)|(penalty))"</v>
      </c>
      <c r="AG191" s="1" t="str">
        <f t="shared" si="66"/>
        <v>NW</v>
      </c>
      <c r="AH191" s="86" t="str">
        <f t="shared" si="67"/>
        <v>"%USERPROFILE%\Documents\GitHub\eaglep3\Utilities\RefineRTDCRunTimes.py" --tripid 827-22 --locoid 4022 --swversion DE.1.0.9.0 --startMP 204:918 --initTime 2017-03-22T15:50:01 --startdatetime 2017-03-22T15:51:25 --delay 1 --endMP 300:58835 --enddatetime 2017-03-22T16:10:44 --enforcementcount 1 &gt;&gt;C:\Users\stu\Documents\GitHub\eaglep3-reporting\EC\2017-03-22-refined-times.txt</v>
      </c>
      <c r="AI191" s="108" t="str">
        <f t="shared" si="68"/>
        <v>echo {"issue":{"subject":"Planned maintenance - CRMF Pocket ELXS offline from 03/22/2017 14:28:58 - 18:08:16","project_id":79,"tracker_id":40,"status_id":1,"priority_id":2,"assigned_to_id":23,"start_date":"2017-03-22","description":"","custom_fields":[{"id":1,"name":"Subdivision","value":"NW"},{"id":4,"name":"Milepost","value":"5.8835"},{"id":17,"name":"Train ID","value":"827-22"},{"id":16,"name":"Locomotive ID","value":"4022"},{"id":130,"name":"Impact","value":""},{"id":150,"name":"Time of Event (Mountain Time)","value":"16:10:44"},{"id":151,"name":"Denver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69"/>
        <v>start /low /b %USERPROFILE%\Documents\GitHub\eaglep3\Utilities\DownloadLogsFromS3.py --loco 4022 --day 2017-03-22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"%USERPROFILE%\AppData\Local\Temp\OnboardLogs"\RTDC4022\*4022*20170322* | grep -SE "(Enforcement Action)|(\[TIMEOUT)|(CHR.+\|PRM\|1\|D.+(SWITCH|SIGNAL).+UNKNOWN)" - &gt;&gt; 2017-03-22-UncaughtWiMAX.txt</v>
      </c>
    </row>
    <row r="192" spans="1:91" x14ac:dyDescent="0.25">
      <c r="A192" s="33" t="s">
        <v>773</v>
      </c>
      <c r="B192" s="7">
        <v>4021</v>
      </c>
      <c r="C192" s="21" t="s">
        <v>219</v>
      </c>
      <c r="D192" s="21" t="s">
        <v>988</v>
      </c>
      <c r="E192" s="13">
        <v>42816.68513888889</v>
      </c>
      <c r="F192" s="13">
        <v>42816.685787037037</v>
      </c>
      <c r="G192" s="7">
        <v>0</v>
      </c>
      <c r="H192" s="21" t="s">
        <v>985</v>
      </c>
      <c r="I192" s="13">
        <v>42816.689814814818</v>
      </c>
      <c r="J192" s="7">
        <v>0</v>
      </c>
      <c r="K192" s="98" t="str">
        <f t="shared" si="55"/>
        <v>4021/4022</v>
      </c>
      <c r="L192" s="21" t="str">
        <f>VLOOKUP(A192,'Trips&amp;Operators'!$C$1:$G$99999,5,FALSE)</f>
        <v>CHANDLER KELVIN</v>
      </c>
      <c r="M192" s="6">
        <f t="shared" si="56"/>
        <v>4.0277777807204984E-3</v>
      </c>
      <c r="N192" s="7"/>
      <c r="O192" s="7"/>
      <c r="P192" s="7">
        <f>24*60*SUM($M192:$M192)</f>
        <v>5.8000000042375177</v>
      </c>
      <c r="Q192" s="22"/>
      <c r="R192" s="22" t="s">
        <v>1050</v>
      </c>
      <c r="S192" s="31">
        <f t="shared" si="78"/>
        <v>1</v>
      </c>
      <c r="T192" s="46" t="str">
        <f t="shared" si="57"/>
        <v>Southbound</v>
      </c>
      <c r="U192" s="18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6" t="str">
        <f t="shared" si="58"/>
        <v>https://d0f6bd738d7f1b3e5a7ca70fe4ff75f0.us-east-1.aws.found.io/app/kibana#/discover/Steve-Slow-Train-Analysis-(2080s-and-2083s)?_g=(refreshInterval:(display:Off,pause:!f,section:0,value:0),time:(from:'2017-03-22T15:26:36-0600',mode:absolute,to:'2017-03-22T17:33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2" s="187" t="str">
        <f t="shared" si="59"/>
        <v>Y</v>
      </c>
      <c r="X192" s="187">
        <f t="shared" si="74"/>
        <v>1</v>
      </c>
      <c r="Y192" s="62">
        <f t="shared" si="60"/>
        <v>1.4975000000000001</v>
      </c>
      <c r="Z192" s="62">
        <f t="shared" si="61"/>
        <v>6.8000000000000005E-2</v>
      </c>
      <c r="AA192" s="62">
        <f t="shared" si="62"/>
        <v>1.4295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63"/>
        <v>0828-22</v>
      </c>
      <c r="AE192" s="85" t="str">
        <f t="shared" si="64"/>
        <v>aws s3 cp s3://rtdc.mdm.uploadarchive.raw/RTDC4021/ "%USERPROFILE%\AppData\Local\Temp\OnboardLogs"\RTDC4021\2017-03-22 --exclude "*" --recursive --include "*20170322*" &amp; "%USERPROFILE%\Documents\GitHub\mrs-test-scripts\Headless Mode &amp; Sideloading\WalkAndUnGZ.bat" "%USERPROFILE%\AppData\Local\Temp\OnboardLogs"\RTDC4021\2017-03-22 &amp; aws s3 cp s3://rtdc.mdm.uploadarchive.raw/RTDC4021/ "%USERPROFILE%\AppData\Local\Temp\OnboardLogs"\RTDC4021\2017-03-23 --exclude "*" --recursive --include "*20170323*" &amp; "%USERPROFILE%\Documents\GitHub\mrs-test-scripts\Headless Mode &amp; Sideloading\WalkAndUnGZ.bat" "%USERPROFILE%\AppData\Local\Temp\OnboardLogs"\RTDC4021\2017-03-23</v>
      </c>
      <c r="AF192" s="82" t="str">
        <f t="shared" si="65"/>
        <v>"C:\Program Files (x86)\AstroGrep\AstroGrep.exe" /e /r /s /spath="%USERPROFILE%\AppData\Local\Temp\OnboardLogs" /stypes="app*4021*20170322*" /stext=" 22:.+((SYSTEM_STATE.+slice.+state.+changed )|(ment ac)|(multiple cpu faults)|(system.+state.+changed )|(\[timeout)|(PRM\|1\|D)|(kpr)|(kdp)|(\|lc)|(penalty))"</v>
      </c>
      <c r="AG192" s="1" t="str">
        <f t="shared" si="66"/>
        <v>NW</v>
      </c>
      <c r="AH192" s="86" t="str">
        <f t="shared" si="67"/>
        <v>"%USERPROFILE%\Documents\GitHub\eaglep3\Utilities\RefineRTDCRunTimes.py" --tripid 828-22 --locoid 4021 --swversion DE.1.0.9.0 --startMP 300:14975 --initTime 2017-03-22T16:26:36 --startdatetime 2017-03-22T16:27:32 --delay 0 --endMP 204:680 --enddatetime 2017-03-22T16:33:20 --enforcementcount 0 &gt;&gt;C:\Users\stu\Documents\GitHub\eaglep3-reporting\EC\2017-03-22-refined-times.txt</v>
      </c>
      <c r="AI192" s="108" t="str">
        <f t="shared" si="68"/>
        <v>echo {"issue":{"subject":"Planned maintenance - CRMF Pocket ELXS offline from 03/22/2017 14:28:58 - 18:08:16","project_id":79,"tracker_id":40,"status_id":1,"priority_id":2,"assigned_to_id":23,"start_date":"2017-03-22","description":"","custom_fields":[{"id":1,"name":"Subdivision","value":"NW"},{"id":4,"name":"Milepost","value":"0.068"},{"id":17,"name":"Train ID","value":"828-22"},{"id":16,"name":"Locomotive ID","value":"4021"},{"id":130,"name":"Impact","value":""},{"id":150,"name":"Time of Event (Mountain Time)","value":"16:33:20"},{"id":151,"name":"Denver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69"/>
        <v>start /low /b %USERPROFILE%\Documents\GitHub\eaglep3\Utilities\DownloadLogsFromS3.py --loco 4021 --day 2017-03-22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"%USERPROFILE%\AppData\Local\Temp\OnboardLogs"\RTDC4021\*4021*20170322* | grep -SE "(Enforcement Action)|(\[TIMEOUT)|(CHR.+\|PRM\|1\|D.+(SWITCH|SIGNAL).+UNKNOWN)" - &gt;&gt; 2017-03-22-UncaughtWiMAX.txt</v>
      </c>
    </row>
    <row r="193" spans="1:40" x14ac:dyDescent="0.25">
      <c r="A193" s="33" t="s">
        <v>773</v>
      </c>
      <c r="B193" s="7">
        <v>4021</v>
      </c>
      <c r="C193" s="21" t="s">
        <v>219</v>
      </c>
      <c r="D193" s="21" t="s">
        <v>989</v>
      </c>
      <c r="E193" s="13">
        <v>42816.675821759258</v>
      </c>
      <c r="F193" s="13">
        <v>42816.676504629628</v>
      </c>
      <c r="G193" s="7">
        <v>0</v>
      </c>
      <c r="H193" s="21" t="s">
        <v>990</v>
      </c>
      <c r="I193" s="13">
        <v>42816.683009259257</v>
      </c>
      <c r="J193" s="7">
        <v>0</v>
      </c>
      <c r="K193" s="98" t="str">
        <f t="shared" si="55"/>
        <v>4021/4022</v>
      </c>
      <c r="L193" s="21" t="str">
        <f>VLOOKUP(A193,'Trips&amp;Operators'!$C$1:$G$99999,5,FALSE)</f>
        <v>CHANDLER KELVIN</v>
      </c>
      <c r="M193" s="6">
        <f t="shared" si="56"/>
        <v>6.5046296294895001E-3</v>
      </c>
      <c r="N193" s="7"/>
      <c r="O193" s="7"/>
      <c r="P193" s="7"/>
      <c r="Q193" s="22"/>
      <c r="R193" s="22"/>
      <c r="S193" s="31">
        <f t="shared" si="78"/>
        <v>0</v>
      </c>
      <c r="T193" s="46" t="str">
        <f t="shared" si="57"/>
        <v>Southbound</v>
      </c>
      <c r="U193" s="18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0</v>
      </c>
      <c r="V193" s="186" t="str">
        <f t="shared" si="58"/>
        <v>https://d0f6bd738d7f1b3e5a7ca70fe4ff75f0.us-east-1.aws.found.io/app/kibana#/discover/Steve-Slow-Train-Analysis-(2080s-and-2083s)?_g=(refreshInterval:(display:Off,pause:!f,section:0,value:0),time:(from:'2017-03-22T15:13:11-0600',mode:absolute,to:'2017-03-22T17:23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3" s="187" t="str">
        <f t="shared" si="59"/>
        <v>Y</v>
      </c>
      <c r="X193" s="187">
        <f t="shared" si="74"/>
        <v>0</v>
      </c>
      <c r="Y193" s="62">
        <f t="shared" si="60"/>
        <v>5.8528000000000002</v>
      </c>
      <c r="Z193" s="62">
        <f t="shared" si="61"/>
        <v>2.8668999999999998</v>
      </c>
      <c r="AA193" s="62">
        <f t="shared" si="62"/>
        <v>2.9859000000000004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63"/>
        <v>0828-22</v>
      </c>
      <c r="AE193" s="85" t="str">
        <f t="shared" si="64"/>
        <v>aws s3 cp s3://rtdc.mdm.uploadarchive.raw/RTDC4021/ "%USERPROFILE%\AppData\Local\Temp\OnboardLogs"\RTDC4021\2017-03-22 --exclude "*" --recursive --include "*20170322*" &amp; "%USERPROFILE%\Documents\GitHub\mrs-test-scripts\Headless Mode &amp; Sideloading\WalkAndUnGZ.bat" "%USERPROFILE%\AppData\Local\Temp\OnboardLogs"\RTDC4021\2017-03-22 &amp; aws s3 cp s3://rtdc.mdm.uploadarchive.raw/RTDC4021/ "%USERPROFILE%\AppData\Local\Temp\OnboardLogs"\RTDC4021\2017-03-23 --exclude "*" --recursive --include "*20170323*" &amp; "%USERPROFILE%\Documents\GitHub\mrs-test-scripts\Headless Mode &amp; Sideloading\WalkAndUnGZ.bat" "%USERPROFILE%\AppData\Local\Temp\OnboardLogs"\RTDC4021\2017-03-23</v>
      </c>
      <c r="AF193" s="82" t="str">
        <f t="shared" si="65"/>
        <v>"C:\Program Files (x86)\AstroGrep\AstroGrep.exe" /e /r /s /spath="%USERPROFILE%\AppData\Local\Temp\OnboardLogs" /stypes="app*4021*20170322*" /stext=" 22:.+((SYSTEM_STATE.+slice.+state.+changed )|(ment ac)|(multiple cpu faults)|(system.+state.+changed )|(\[timeout)|(PRM\|1\|D)|(kpr)|(kdp)|(\|lc)|(penalty))"</v>
      </c>
      <c r="AG193" s="1" t="str">
        <f t="shared" si="66"/>
        <v>NW</v>
      </c>
      <c r="AH193" s="86" t="str">
        <f t="shared" si="67"/>
        <v>"%USERPROFILE%\Documents\GitHub\eaglep3\Utilities\RefineRTDCRunTimes.py" --tripid 828-22 --locoid 4021 --swversion DE.1.0.9.0 --startMP 300:58528 --initTime 2017-03-22T16:13:11 --startdatetime 2017-03-22T16:14:10 --delay 0 --endMP 300:28669 --enddatetime 2017-03-22T16:23:32 --enforcementcount 0 &gt;&gt;C:\Users\stu\Documents\GitHub\eaglep3-reporting\EC\2017-03-22-refined-times.txt</v>
      </c>
      <c r="AI193" s="108" t="str">
        <f t="shared" si="68"/>
        <v>echo {"issue":{"subject":"","project_id":79,"tracker_id":40,"status_id":1,"priority_id":2,"assigned_to_id":23,"start_date":"2017-03-22","description":"","custom_fields":[{"id":1,"name":"Subdivision","value":"NW"},{"id":4,"name":"Milepost","value":"2.8669"},{"id":17,"name":"Train ID","value":"828-22"},{"id":16,"name":"Locomotive ID","value":"4021"},{"id":130,"name":"Impact","value":""},{"id":150,"name":"Time of Event (Mountain Time)","value":"16:23:32"},{"id":151,"name":"Denver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69"/>
        <v>start /low /b %USERPROFILE%\Documents\GitHub\eaglep3\Utilities\DownloadLogsFromS3.py --loco 4021 --day 2017-03-22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"%USERPROFILE%\AppData\Local\Temp\OnboardLogs"\RTDC4021\*4021*20170322* | grep -SE "(Enforcement Action)|(\[TIMEOUT)|(CHR.+\|PRM\|1\|D.+(SWITCH|SIGNAL).+UNKNOWN)" - &gt;&gt; 2017-03-22-UncaughtWiMAX.txt</v>
      </c>
    </row>
    <row r="194" spans="1:40" x14ac:dyDescent="0.25">
      <c r="A194" s="33" t="s">
        <v>770</v>
      </c>
      <c r="B194" s="7">
        <v>4007</v>
      </c>
      <c r="C194" s="21" t="s">
        <v>219</v>
      </c>
      <c r="D194" s="21" t="s">
        <v>991</v>
      </c>
      <c r="E194" s="13">
        <v>42816.667002314818</v>
      </c>
      <c r="F194" s="13">
        <v>42816.68141203704</v>
      </c>
      <c r="G194" s="7">
        <v>14</v>
      </c>
      <c r="H194" s="21" t="s">
        <v>975</v>
      </c>
      <c r="I194" s="13">
        <v>42816.692210648151</v>
      </c>
      <c r="J194" s="7">
        <v>2</v>
      </c>
      <c r="K194" s="98" t="str">
        <f t="shared" si="55"/>
        <v>4007/4008</v>
      </c>
      <c r="L194" s="21" t="str">
        <f>VLOOKUP(A194,'Trips&amp;Operators'!$C$1:$G$99999,5,FALSE)</f>
        <v>FORTUNATO FRANK</v>
      </c>
      <c r="M194" s="6">
        <f t="shared" si="56"/>
        <v>1.0798611110658385E-2</v>
      </c>
      <c r="N194" s="7">
        <f>24*60*SUM($M194:$M194)</f>
        <v>15.549999999348074</v>
      </c>
      <c r="O194" s="7"/>
      <c r="P194" s="7"/>
      <c r="Q194" s="22"/>
      <c r="R194" s="22"/>
      <c r="S194" s="31">
        <f t="shared" si="78"/>
        <v>1</v>
      </c>
      <c r="T194" s="46" t="str">
        <f t="shared" si="57"/>
        <v>NorthBound</v>
      </c>
      <c r="U194" s="18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6" t="str">
        <f t="shared" si="58"/>
        <v>https://d0f6bd738d7f1b3e5a7ca70fe4ff75f0.us-east-1.aws.found.io/app/kibana#/discover/Steve-Slow-Train-Analysis-(2080s-and-2083s)?_g=(refreshInterval:(display:Off,pause:!f,section:0,value:0),time:(from:'2017-03-22T15:00:29-0600',mode:absolute,to:'2017-03-22T17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4" s="187" t="str">
        <f t="shared" si="59"/>
        <v>N</v>
      </c>
      <c r="X194" s="187">
        <f t="shared" si="74"/>
        <v>1</v>
      </c>
      <c r="Y194" s="62">
        <f t="shared" si="60"/>
        <v>9.7600000000000006E-2</v>
      </c>
      <c r="Z194" s="62">
        <f t="shared" si="61"/>
        <v>5.8940999999999999</v>
      </c>
      <c r="AA194" s="62">
        <f t="shared" si="62"/>
        <v>5.7965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63"/>
        <v>0829-22</v>
      </c>
      <c r="AE194" s="85" t="str">
        <f t="shared" si="64"/>
        <v>aws s3 cp s3://rtdc.mdm.uploadarchive.raw/RTDC4007/ "%USERPROFILE%\AppData\Local\Temp\OnboardLogs"\RTDC4007\2017-03-22 --exclude "*" --recursive --include "*20170322*" &amp; "%USERPROFILE%\Documents\GitHub\mrs-test-scripts\Headless Mode &amp; Sideloading\WalkAndUnGZ.bat" "%USERPROFILE%\AppData\Local\Temp\OnboardLogs"\RTDC4007\2017-03-22 &amp; aws s3 cp s3://rtdc.mdm.uploadarchive.raw/RTDC4007/ "%USERPROFILE%\AppData\Local\Temp\OnboardLogs"\RTDC4007\2017-03-23 --exclude "*" --recursive --include "*20170323*" &amp; "%USERPROFILE%\Documents\GitHub\mrs-test-scripts\Headless Mode &amp; Sideloading\WalkAndUnGZ.bat" "%USERPROFILE%\AppData\Local\Temp\OnboardLogs"\RTDC4007\2017-03-23</v>
      </c>
      <c r="AF194" s="82" t="str">
        <f t="shared" si="65"/>
        <v>"C:\Program Files (x86)\AstroGrep\AstroGrep.exe" /e /r /s /spath="%USERPROFILE%\AppData\Local\Temp\OnboardLogs" /stypes="app*4007*20170322*" /stext=" 22:.+((SYSTEM_STATE.+slice.+state.+changed )|(ment ac)|(multiple cpu faults)|(system.+state.+changed )|(\[timeout)|(PRM\|1\|D)|(kpr)|(kdp)|(\|lc)|(penalty))"</v>
      </c>
      <c r="AG194" s="1" t="str">
        <f t="shared" si="66"/>
        <v>NW</v>
      </c>
      <c r="AH194" s="86" t="str">
        <f t="shared" si="67"/>
        <v>"%USERPROFILE%\Documents\GitHub\eaglep3\Utilities\RefineRTDCRunTimes.py" --tripid 829-22 --locoid 4007 --swversion DE.1.0.9.0 --startMP 204:976 --initTime 2017-03-22T16:00:29 --startdatetime 2017-03-22T16:21:14 --delay 14 --endMP 300:58941 --enddatetime 2017-03-22T16:36:47 --enforcementcount 2 &gt;&gt;C:\Users\stu\Documents\GitHub\eaglep3-reporting\EC\2017-03-22-refined-times.txt</v>
      </c>
      <c r="AI194" s="108" t="str">
        <f t="shared" si="68"/>
        <v>echo {"issue":{"subject":"","project_id":79,"tracker_id":40,"status_id":1,"priority_id":2,"assigned_to_id":23,"start_date":"2017-03-22","description":"","custom_fields":[{"id":1,"name":"Subdivision","value":"NW"},{"id":4,"name":"Milepost","value":"5.8941"},{"id":17,"name":"Train ID","value":"829-22"},{"id":16,"name":"Locomotive ID","value":"4007"},{"id":130,"name":"Impact","value":""},{"id":150,"name":"Time of Event (Mountain Time)","value":"16:36:47"},{"id":151,"name":"Denver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69"/>
        <v>start /low /b %USERPROFILE%\Documents\GitHub\eaglep3\Utilities\DownloadLogsFromS3.py --loco 4007 --day 2017-03-22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"%USERPROFILE%\AppData\Local\Temp\OnboardLogs"\RTDC4007\*4007*20170322* | grep -SE "(Enforcement Action)|(\[TIMEOUT)|(CHR.+\|PRM\|1\|D.+(SWITCH|SIGNAL).+UNKNOWN)" - &gt;&gt; 2017-03-22-UncaughtWiMAX.txt</v>
      </c>
    </row>
    <row r="195" spans="1:40" x14ac:dyDescent="0.25">
      <c r="A195" s="33" t="s">
        <v>630</v>
      </c>
      <c r="B195" s="7">
        <v>4008</v>
      </c>
      <c r="C195" s="21" t="s">
        <v>219</v>
      </c>
      <c r="D195" s="21" t="s">
        <v>420</v>
      </c>
      <c r="E195" s="13">
        <v>42816.693576388891</v>
      </c>
      <c r="F195" s="13">
        <v>42816.695023148146</v>
      </c>
      <c r="G195" s="7">
        <v>1</v>
      </c>
      <c r="H195" s="21" t="s">
        <v>992</v>
      </c>
      <c r="I195" s="13">
        <v>42816.700254629628</v>
      </c>
      <c r="J195" s="7">
        <v>2</v>
      </c>
      <c r="K195" s="98" t="str">
        <f t="shared" si="55"/>
        <v>4007/4008</v>
      </c>
      <c r="L195" s="21" t="str">
        <f>VLOOKUP(A195,'Trips&amp;Operators'!$C$1:$G$99999,5,FALSE)</f>
        <v>FORTUNATO FRANK</v>
      </c>
      <c r="M195" s="6">
        <f t="shared" si="56"/>
        <v>5.2314814820419997E-3</v>
      </c>
      <c r="N195" s="7"/>
      <c r="O195" s="7"/>
      <c r="P195" s="7">
        <f>24*60*SUM($M195:$M195)</f>
        <v>7.5333333341404796</v>
      </c>
      <c r="Q195" s="22"/>
      <c r="R195" s="22" t="s">
        <v>1050</v>
      </c>
      <c r="S195" s="31">
        <f t="shared" si="78"/>
        <v>1</v>
      </c>
      <c r="T195" s="46" t="str">
        <f t="shared" si="57"/>
        <v>Southbound</v>
      </c>
      <c r="U195" s="18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6" t="str">
        <f t="shared" si="58"/>
        <v>https://d0f6bd738d7f1b3e5a7ca70fe4ff75f0.us-east-1.aws.found.io/app/kibana#/discover/Steve-Slow-Train-Analysis-(2080s-and-2083s)?_g=(refreshInterval:(display:Off,pause:!f,section:0,value:0),time:(from:'2017-03-22T15:38:45-0600',mode:absolute,to:'2017-03-22T17:48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5" s="187" t="str">
        <f t="shared" si="59"/>
        <v>N</v>
      </c>
      <c r="X195" s="187">
        <f t="shared" si="74"/>
        <v>1</v>
      </c>
      <c r="Y195" s="62">
        <f t="shared" si="60"/>
        <v>5.8613</v>
      </c>
      <c r="Z195" s="62">
        <f t="shared" si="61"/>
        <v>7.7100000000000002E-2</v>
      </c>
      <c r="AA195" s="62">
        <f t="shared" si="62"/>
        <v>5.7842000000000002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63"/>
        <v>0830-22</v>
      </c>
      <c r="AE195" s="85" t="str">
        <f t="shared" si="64"/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AF195" s="82" t="str">
        <f t="shared" si="65"/>
        <v>"C:\Program Files (x86)\AstroGrep\AstroGrep.exe" /e /r /s /spath="%USERPROFILE%\AppData\Local\Temp\OnboardLogs" /stypes="app*4008*20170322*" /stext=" 22:.+((SYSTEM_STATE.+slice.+state.+changed )|(ment ac)|(multiple cpu faults)|(system.+state.+changed )|(\[timeout)|(PRM\|1\|D)|(kpr)|(kdp)|(\|lc)|(penalty))"</v>
      </c>
      <c r="AG195" s="1" t="str">
        <f t="shared" si="66"/>
        <v>NW</v>
      </c>
      <c r="AH195" s="86" t="str">
        <f t="shared" si="67"/>
        <v>"%USERPROFILE%\Documents\GitHub\eaglep3\Utilities\RefineRTDCRunTimes.py" --tripid 830-22 --locoid 4008 --swversion DE.1.0.9.0 --startMP 300:58613 --initTime 2017-03-22T16:38:45 --startdatetime 2017-03-22T16:40:50 --delay 1 --endMP 204:771 --enddatetime 2017-03-22T16:48:22 --enforcementcount 2 &gt;&gt;C:\Users\stu\Documents\GitHub\eaglep3-reporting\EC\2017-03-22-refined-times.txt</v>
      </c>
      <c r="AI195" s="108" t="str">
        <f t="shared" si="68"/>
        <v>echo {"issue":{"subject":"Planned maintenance - CRMF Pocket ELXS offline from 03/22/2017 14:28:58 - 18:08:16","project_id":79,"tracker_id":40,"status_id":1,"priority_id":2,"assigned_to_id":23,"start_date":"2017-03-22","description":"","custom_fields":[{"id":1,"name":"Subdivision","value":"NW"},{"id":4,"name":"Milepost","value":"0.0771"},{"id":17,"name":"Train ID","value":"830-22"},{"id":16,"name":"Locomotive ID","value":"4008"},{"id":130,"name":"Impact","value":""},{"id":150,"name":"Time of Event (Mountain Time)","value":"16:48:22"},{"id":151,"name":"Denver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69"/>
        <v>start /low /b %USERPROFILE%\Documents\GitHub\eaglep3\Utilities\DownloadLogsFromS3.py --loco 4008 --day 2017-03-22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"%USERPROFILE%\AppData\Local\Temp\OnboardLogs"\RTDC4008\*4008*20170322* | grep -SE "(Enforcement Action)|(\[TIMEOUT)|(CHR.+\|PRM\|1\|D.+(SWITCH|SIGNAL).+UNKNOWN)" - &gt;&gt; 2017-03-22-UncaughtWiMAX.txt</v>
      </c>
    </row>
    <row r="196" spans="1:40" x14ac:dyDescent="0.25">
      <c r="A196" s="33" t="s">
        <v>632</v>
      </c>
      <c r="B196" s="7">
        <v>4022</v>
      </c>
      <c r="C196" s="21" t="s">
        <v>219</v>
      </c>
      <c r="D196" s="21" t="s">
        <v>991</v>
      </c>
      <c r="E196" s="13">
        <v>42816.700925925928</v>
      </c>
      <c r="F196" s="13">
        <v>42816.702326388891</v>
      </c>
      <c r="G196" s="7">
        <v>1</v>
      </c>
      <c r="H196" s="21" t="s">
        <v>993</v>
      </c>
      <c r="I196" s="13">
        <v>42816.708020833335</v>
      </c>
      <c r="J196" s="7">
        <v>2</v>
      </c>
      <c r="K196" s="98" t="str">
        <f t="shared" si="55"/>
        <v>4021/4022</v>
      </c>
      <c r="L196" s="21" t="str">
        <f>VLOOKUP(A196,'Trips&amp;Operators'!$C$1:$G$99999,5,FALSE)</f>
        <v>CHANDLER KELVIN</v>
      </c>
      <c r="M196" s="6">
        <f t="shared" si="56"/>
        <v>5.694444444088731E-3</v>
      </c>
      <c r="N196" s="7"/>
      <c r="O196" s="7"/>
      <c r="P196" s="7">
        <f>24*60*SUM($M196:$M196)</f>
        <v>8.1999999994877726</v>
      </c>
      <c r="Q196" s="22"/>
      <c r="R196" s="22" t="s">
        <v>1050</v>
      </c>
      <c r="S196" s="31">
        <f t="shared" si="78"/>
        <v>0</v>
      </c>
      <c r="T196" s="46" t="str">
        <f t="shared" si="57"/>
        <v>NorthBound</v>
      </c>
      <c r="U196" s="18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0</v>
      </c>
      <c r="V196" s="186" t="str">
        <f t="shared" si="58"/>
        <v>https://d0f6bd738d7f1b3e5a7ca70fe4ff75f0.us-east-1.aws.found.io/app/kibana#/discover/Steve-Slow-Train-Analysis-(2080s-and-2083s)?_g=(refreshInterval:(display:Off,pause:!f,section:0,value:0),time:(from:'2017-03-22T15:49:20-0600',mode:absolute,to:'2017-03-22T17:59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6" s="187" t="str">
        <f t="shared" si="59"/>
        <v>Y</v>
      </c>
      <c r="X196" s="187">
        <f t="shared" si="74"/>
        <v>1</v>
      </c>
      <c r="Y196" s="62">
        <f t="shared" si="60"/>
        <v>9.7600000000000006E-2</v>
      </c>
      <c r="Z196" s="62">
        <f t="shared" si="61"/>
        <v>0.1847</v>
      </c>
      <c r="AA196" s="62">
        <f t="shared" si="62"/>
        <v>8.7099999999999997E-2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63"/>
        <v>0831-22</v>
      </c>
      <c r="AE196" s="85" t="str">
        <f t="shared" si="64"/>
        <v>aws s3 cp s3://rtdc.mdm.uploadarchive.raw/RTDC4022/ "%USERPROFILE%\AppData\Local\Temp\OnboardLogs"\RTDC4022\2017-03-22 --exclude "*" --recursive --include "*20170322*" &amp; "%USERPROFILE%\Documents\GitHub\mrs-test-scripts\Headless Mode &amp; Sideloading\WalkAndUnGZ.bat" "%USERPROFILE%\AppData\Local\Temp\OnboardLogs"\RTDC4022\2017-03-22 &amp; aws s3 cp s3://rtdc.mdm.uploadarchive.raw/RTDC4022/ "%USERPROFILE%\AppData\Local\Temp\OnboardLogs"\RTDC4022\2017-03-23 --exclude "*" --recursive --include "*20170323*" &amp; "%USERPROFILE%\Documents\GitHub\mrs-test-scripts\Headless Mode &amp; Sideloading\WalkAndUnGZ.bat" "%USERPROFILE%\AppData\Local\Temp\OnboardLogs"\RTDC4022\2017-03-23</v>
      </c>
      <c r="AF196" s="82" t="str">
        <f t="shared" si="65"/>
        <v>"C:\Program Files (x86)\AstroGrep\AstroGrep.exe" /e /r /s /spath="%USERPROFILE%\AppData\Local\Temp\OnboardLogs" /stypes="app*4022*20170322*" /stext=" 22:.+((SYSTEM_STATE.+slice.+state.+changed )|(ment ac)|(multiple cpu faults)|(system.+state.+changed )|(\[timeout)|(PRM\|1\|D)|(kpr)|(kdp)|(\|lc)|(penalty))"</v>
      </c>
      <c r="AG196" s="1" t="str">
        <f t="shared" si="66"/>
        <v>NW</v>
      </c>
      <c r="AH196" s="86" t="str">
        <f t="shared" si="67"/>
        <v>"%USERPROFILE%\Documents\GitHub\eaglep3\Utilities\RefineRTDCRunTimes.py" --tripid 831-22 --locoid 4022 --swversion DE.1.0.9.0 --startMP 204:976 --initTime 2017-03-22T16:49:20 --startdatetime 2017-03-22T16:51:21 --delay 1 --endMP 204:1847 --enddatetime 2017-03-22T16:59:33 --enforcementcount 2 &gt;&gt;C:\Users\stu\Documents\GitHub\eaglep3-reporting\EC\2017-03-22-refined-times.txt</v>
      </c>
      <c r="AI196" s="108" t="str">
        <f t="shared" si="68"/>
        <v>echo {"issue":{"subject":"Planned maintenance - CRMF Pocket ELXS offline from 03/22/2017 14:28:58 - 18:08:16","project_id":79,"tracker_id":40,"status_id":1,"priority_id":2,"assigned_to_id":23,"start_date":"2017-03-22","description":"","custom_fields":[{"id":1,"name":"Subdivision","value":"NW"},{"id":4,"name":"Milepost","value":"0.1847"},{"id":17,"name":"Train ID","value":"831-22"},{"id":16,"name":"Locomotive ID","value":"4022"},{"id":130,"name":"Impact","value":""},{"id":150,"name":"Time of Event (Mountain Time)","value":"16:59:33"},{"id":151,"name":"Denver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69"/>
        <v>start /low /b %USERPROFILE%\Documents\GitHub\eaglep3\Utilities\DownloadLogsFromS3.py --loco 4022 --day 2017-03-22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"%USERPROFILE%\AppData\Local\Temp\OnboardLogs"\RTDC4022\*4022*20170322* | grep -SE "(Enforcement Action)|(\[TIMEOUT)|(CHR.+\|PRM\|1\|D.+(SWITCH|SIGNAL).+UNKNOWN)" - &gt;&gt; 2017-03-22-UncaughtWiMAX.txt</v>
      </c>
    </row>
    <row r="197" spans="1:40" x14ac:dyDescent="0.25">
      <c r="A197" s="33" t="s">
        <v>780</v>
      </c>
      <c r="B197" s="7">
        <v>4021</v>
      </c>
      <c r="C197" s="21" t="s">
        <v>219</v>
      </c>
      <c r="D197" s="21" t="s">
        <v>994</v>
      </c>
      <c r="E197" s="13">
        <v>42816.722534722219</v>
      </c>
      <c r="F197" s="13">
        <v>42816.723807870374</v>
      </c>
      <c r="G197" s="7">
        <v>1</v>
      </c>
      <c r="H197" s="21" t="s">
        <v>995</v>
      </c>
      <c r="I197" s="13">
        <v>42816.724305555559</v>
      </c>
      <c r="J197" s="7">
        <v>2</v>
      </c>
      <c r="K197" s="98" t="str">
        <f t="shared" si="55"/>
        <v>4021/4022</v>
      </c>
      <c r="L197" s="21" t="str">
        <f>VLOOKUP(A197,'Trips&amp;Operators'!$C$1:$G$99999,5,FALSE)</f>
        <v>CHANDLER KELVIN</v>
      </c>
      <c r="M197" s="6">
        <f t="shared" si="56"/>
        <v>4.9768518510973081E-4</v>
      </c>
      <c r="N197" s="7"/>
      <c r="O197" s="7"/>
      <c r="P197" s="7">
        <f>24*60*SUM($M197:$M197)</f>
        <v>0.71666666655801237</v>
      </c>
      <c r="Q197" s="22"/>
      <c r="R197" s="22" t="s">
        <v>1050</v>
      </c>
      <c r="S197" s="31">
        <f t="shared" si="78"/>
        <v>1</v>
      </c>
      <c r="T197" s="46" t="str">
        <f t="shared" si="57"/>
        <v>Southbound</v>
      </c>
      <c r="U197" s="18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6" t="str">
        <f t="shared" si="58"/>
        <v>https://d0f6bd738d7f1b3e5a7ca70fe4ff75f0.us-east-1.aws.found.io/app/kibana#/discover/Steve-Slow-Train-Analysis-(2080s-and-2083s)?_g=(refreshInterval:(display:Off,pause:!f,section:0,value:0),time:(from:'2017-03-22T16:20:27-0600',mode:absolute,to:'2017-03-22T18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7" s="187" t="str">
        <f t="shared" si="59"/>
        <v>N</v>
      </c>
      <c r="X197" s="187">
        <f>VALUE(LEFT(AD197,4))-VALUE(LEFT(AD196,4))</f>
        <v>1</v>
      </c>
      <c r="Y197" s="62">
        <f t="shared" si="60"/>
        <v>5.8571999999999997</v>
      </c>
      <c r="Z197" s="62">
        <f t="shared" si="61"/>
        <v>6.9099999999999995E-2</v>
      </c>
      <c r="AA197" s="62">
        <f t="shared" si="62"/>
        <v>5.7881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63"/>
        <v>0832-22</v>
      </c>
      <c r="AE197" s="85" t="str">
        <f t="shared" si="64"/>
        <v>aws s3 cp s3://rtdc.mdm.uploadarchive.raw/RTDC4021/ "%USERPROFILE%\AppData\Local\Temp\OnboardLogs"\RTDC4021\2017-03-22 --exclude "*" --recursive --include "*20170322*" &amp; "%USERPROFILE%\Documents\GitHub\mrs-test-scripts\Headless Mode &amp; Sideloading\WalkAndUnGZ.bat" "%USERPROFILE%\AppData\Local\Temp\OnboardLogs"\RTDC4021\2017-03-22 &amp; aws s3 cp s3://rtdc.mdm.uploadarchive.raw/RTDC4021/ "%USERPROFILE%\AppData\Local\Temp\OnboardLogs"\RTDC4021\2017-03-23 --exclude "*" --recursive --include "*20170323*" &amp; "%USERPROFILE%\Documents\GitHub\mrs-test-scripts\Headless Mode &amp; Sideloading\WalkAndUnGZ.bat" "%USERPROFILE%\AppData\Local\Temp\OnboardLogs"\RTDC4021\2017-03-23</v>
      </c>
      <c r="AF197" s="82" t="str">
        <f t="shared" si="65"/>
        <v>"C:\Program Files (x86)\AstroGrep\AstroGrep.exe" /e /r /s /spath="%USERPROFILE%\AppData\Local\Temp\OnboardLogs" /stypes="app*4021*20170322*" /stext=" 23:.+((SYSTEM_STATE.+slice.+state.+changed )|(ment ac)|(multiple cpu faults)|(system.+state.+changed )|(\[timeout)|(PRM\|1\|D)|(kpr)|(kdp)|(\|lc)|(penalty))"</v>
      </c>
      <c r="AG197" s="1" t="str">
        <f t="shared" si="66"/>
        <v>NW</v>
      </c>
      <c r="AH197" s="86" t="str">
        <f t="shared" si="67"/>
        <v>"%USERPROFILE%\Documents\GitHub\eaglep3\Utilities\RefineRTDCRunTimes.py" --tripid 832-22 --locoid 4021 --swversion DE.1.0.9.0 --startMP 300:58572 --initTime 2017-03-22T17:20:27 --startdatetime 2017-03-22T17:22:17 --delay 1 --endMP 204:691 --enddatetime 2017-03-22T17:23:00 --enforcementcount 2 &gt;&gt;C:\Users\stu\Documents\GitHub\eaglep3-reporting\EC\2017-03-22-refined-times.txt</v>
      </c>
      <c r="AI197" s="108" t="str">
        <f t="shared" si="68"/>
        <v>echo {"issue":{"subject":"Planned maintenance - CRMF Pocket ELXS offline from 03/22/2017 14:28:58 - 18:08:16","project_id":79,"tracker_id":40,"status_id":1,"priority_id":2,"assigned_to_id":23,"start_date":"2017-03-22","description":"","custom_fields":[{"id":1,"name":"Subdivision","value":"NW"},{"id":4,"name":"Milepost","value":"0.0691"},{"id":17,"name":"Train ID","value":"832-22"},{"id":16,"name":"Locomotive ID","value":"4021"},{"id":130,"name":"Impact","value":""},{"id":150,"name":"Time of Event (Mountain Time)","value":"17:23:00"},{"id":151,"name":"Denver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69"/>
        <v>start /low /b %USERPROFILE%\Documents\GitHub\eaglep3\Utilities\DownloadLogsFromS3.py --loco 4021 --day 2017-03-22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"%USERPROFILE%\AppData\Local\Temp\OnboardLogs"\RTDC4021\*4021*20170322* | grep -SE "(Enforcement Action)|(\[TIMEOUT)|(CHR.+\|PRM\|1\|D.+(SWITCH|SIGNAL).+UNKNOWN)" - &gt;&gt; 2017-03-22-UncaughtWiMAX.txt</v>
      </c>
    </row>
    <row r="198" spans="1:40" x14ac:dyDescent="0.25">
      <c r="A198" s="33" t="s">
        <v>777</v>
      </c>
      <c r="B198" s="7">
        <v>4007</v>
      </c>
      <c r="C198" s="21" t="s">
        <v>219</v>
      </c>
      <c r="D198" s="21" t="s">
        <v>579</v>
      </c>
      <c r="E198" s="13">
        <v>42816.708425925928</v>
      </c>
      <c r="F198" s="13">
        <v>42816.723078703704</v>
      </c>
      <c r="G198" s="7">
        <v>1</v>
      </c>
      <c r="H198" s="21" t="s">
        <v>407</v>
      </c>
      <c r="I198" s="13">
        <v>42816.734826388885</v>
      </c>
      <c r="J198" s="7">
        <v>2</v>
      </c>
      <c r="K198" s="98" t="str">
        <f t="shared" si="55"/>
        <v>4007/4008</v>
      </c>
      <c r="L198" s="21" t="str">
        <f>VLOOKUP(A198,'Trips&amp;Operators'!$C$1:$G$99999,5,FALSE)</f>
        <v>FORTUNATO FRANK</v>
      </c>
      <c r="M198" s="6">
        <f t="shared" si="56"/>
        <v>1.1747685181035195E-2</v>
      </c>
      <c r="N198" s="7">
        <f>24*60*SUM($M198:$M198)</f>
        <v>16.91666666069068</v>
      </c>
      <c r="O198" s="7"/>
      <c r="P198" s="7"/>
      <c r="Q198" s="22"/>
      <c r="R198" s="22"/>
      <c r="S198" s="31">
        <f t="shared" si="78"/>
        <v>1</v>
      </c>
      <c r="T198" s="46" t="str">
        <f t="shared" si="57"/>
        <v>NorthBound</v>
      </c>
      <c r="U198" s="18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6" t="str">
        <f t="shared" si="58"/>
        <v>https://d0f6bd738d7f1b3e5a7ca70fe4ff75f0.us-east-1.aws.found.io/app/kibana#/discover/Steve-Slow-Train-Analysis-(2080s-and-2083s)?_g=(refreshInterval:(display:Off,pause:!f,section:0,value:0),time:(from:'2017-03-22T16:00:08-0600',mode:absolute,to:'2017-03-22T18:38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8" s="187" t="str">
        <f t="shared" si="59"/>
        <v>N</v>
      </c>
      <c r="X198" s="187">
        <f>VALUE(LEFT(AD198,4))-VALUE(LEFT(AD197,4))</f>
        <v>1</v>
      </c>
      <c r="Y198" s="62">
        <f t="shared" si="60"/>
        <v>0.1042</v>
      </c>
      <c r="Z198" s="62">
        <f t="shared" si="61"/>
        <v>5.8925999999999998</v>
      </c>
      <c r="AA198" s="62">
        <f t="shared" si="62"/>
        <v>5.7884000000000002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63"/>
        <v>0833-22</v>
      </c>
      <c r="AE198" s="85" t="str">
        <f t="shared" si="64"/>
        <v>aws s3 cp s3://rtdc.mdm.uploadarchive.raw/RTDC4007/ "%USERPROFILE%\AppData\Local\Temp\OnboardLogs"\RTDC4007\2017-03-22 --exclude "*" --recursive --include "*20170322*" &amp; "%USERPROFILE%\Documents\GitHub\mrs-test-scripts\Headless Mode &amp; Sideloading\WalkAndUnGZ.bat" "%USERPROFILE%\AppData\Local\Temp\OnboardLogs"\RTDC4007\2017-03-22 &amp; aws s3 cp s3://rtdc.mdm.uploadarchive.raw/RTDC4007/ "%USERPROFILE%\AppData\Local\Temp\OnboardLogs"\RTDC4007\2017-03-23 --exclude "*" --recursive --include "*20170323*" &amp; "%USERPROFILE%\Documents\GitHub\mrs-test-scripts\Headless Mode &amp; Sideloading\WalkAndUnGZ.bat" "%USERPROFILE%\AppData\Local\Temp\OnboardLogs"\RTDC4007\2017-03-23</v>
      </c>
      <c r="AF198" s="82" t="str">
        <f t="shared" si="65"/>
        <v>"C:\Program Files (x86)\AstroGrep\AstroGrep.exe" /e /r /s /spath="%USERPROFILE%\AppData\Local\Temp\OnboardLogs" /stypes="app*4007*20170322*" /stext=" 23:.+((SYSTEM_STATE.+slice.+state.+changed )|(ment ac)|(multiple cpu faults)|(system.+state.+changed )|(\[timeout)|(PRM\|1\|D)|(kpr)|(kdp)|(\|lc)|(penalty))"</v>
      </c>
      <c r="AG198" s="1" t="str">
        <f t="shared" si="66"/>
        <v>NW</v>
      </c>
      <c r="AH198" s="86" t="str">
        <f t="shared" si="67"/>
        <v>"%USERPROFILE%\Documents\GitHub\eaglep3\Utilities\RefineRTDCRunTimes.py" --tripid 833-22 --locoid 4007 --swversion DE.1.0.9.0 --startMP 204:1042 --initTime 2017-03-22T17:00:08 --startdatetime 2017-03-22T17:21:14 --delay 1 --endMP 300:58926 --enddatetime 2017-03-22T17:38:09 --enforcementcount 2 &gt;&gt;C:\Users\stu\Documents\GitHub\eaglep3-reporting\EC\2017-03-22-refined-times.txt</v>
      </c>
      <c r="AI198" s="108" t="str">
        <f t="shared" si="68"/>
        <v>echo {"issue":{"subject":"","project_id":79,"tracker_id":40,"status_id":1,"priority_id":2,"assigned_to_id":23,"start_date":"2017-03-22","description":"","custom_fields":[{"id":1,"name":"Subdivision","value":"NW"},{"id":4,"name":"Milepost","value":"5.8926"},{"id":17,"name":"Train ID","value":"833-22"},{"id":16,"name":"Locomotive ID","value":"4007"},{"id":130,"name":"Impact","value":""},{"id":150,"name":"Time of Event (Mountain Time)","value":"17:38:09"},{"id":151,"name":"Denver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69"/>
        <v>start /low /b %USERPROFILE%\Documents\GitHub\eaglep3\Utilities\DownloadLogsFromS3.py --loco 4007 --day 2017-03-22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"%USERPROFILE%\AppData\Local\Temp\OnboardLogs"\RTDC4007\*4007*20170322* | grep -SE "(Enforcement Action)|(\[TIMEOUT)|(CHR.+\|PRM\|1\|D.+(SWITCH|SIGNAL).+UNKNOWN)" - &gt;&gt; 2017-03-22-UncaughtWiMAX.txt</v>
      </c>
    </row>
    <row r="199" spans="1:40" x14ac:dyDescent="0.25">
      <c r="A199" s="33" t="s">
        <v>634</v>
      </c>
      <c r="B199" s="7">
        <v>4008</v>
      </c>
      <c r="C199" s="21" t="s">
        <v>219</v>
      </c>
      <c r="D199" s="21" t="s">
        <v>996</v>
      </c>
      <c r="E199" s="13">
        <v>42816.735879629632</v>
      </c>
      <c r="F199" s="13">
        <v>42816.737256944441</v>
      </c>
      <c r="G199" s="7">
        <v>1</v>
      </c>
      <c r="H199" s="21" t="s">
        <v>995</v>
      </c>
      <c r="I199" s="13">
        <v>42816.742291666669</v>
      </c>
      <c r="J199" s="7">
        <v>2</v>
      </c>
      <c r="K199" s="98" t="str">
        <f t="shared" si="55"/>
        <v>4007/4008</v>
      </c>
      <c r="L199" s="21" t="str">
        <f>VLOOKUP(A199,'Trips&amp;Operators'!$C$1:$G$99999,5,FALSE)</f>
        <v>FORTUNATO FRANK</v>
      </c>
      <c r="M199" s="6">
        <f t="shared" si="56"/>
        <v>5.0347222277196124E-3</v>
      </c>
      <c r="N199" s="7"/>
      <c r="O199" s="7"/>
      <c r="P199" s="7">
        <f>24*60*SUM($M199:$M199)</f>
        <v>7.2500000079162419</v>
      </c>
      <c r="Q199" s="22"/>
      <c r="R199" s="22" t="s">
        <v>1050</v>
      </c>
      <c r="S199" s="31">
        <f t="shared" si="78"/>
        <v>1</v>
      </c>
      <c r="T199" s="46" t="str">
        <f t="shared" si="57"/>
        <v>Southbound</v>
      </c>
      <c r="U199" s="18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6" t="str">
        <f t="shared" si="58"/>
        <v>https://d0f6bd738d7f1b3e5a7ca70fe4ff75f0.us-east-1.aws.found.io/app/kibana#/discover/Steve-Slow-Train-Analysis-(2080s-and-2083s)?_g=(refreshInterval:(display:Off,pause:!f,section:0,value:0),time:(from:'2017-03-22T16:39:40-0600',mode:absolute,to:'2017-03-22T18:48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9" s="187" t="str">
        <f t="shared" si="59"/>
        <v>N</v>
      </c>
      <c r="X199" s="187">
        <f>VALUE(LEFT(AD199,4))-VALUE(LEFT(AD198,4))</f>
        <v>1</v>
      </c>
      <c r="Y199" s="62">
        <f t="shared" si="60"/>
        <v>5.8616999999999999</v>
      </c>
      <c r="Z199" s="62">
        <f t="shared" si="61"/>
        <v>6.9099999999999995E-2</v>
      </c>
      <c r="AA199" s="62">
        <f t="shared" si="62"/>
        <v>5.7926000000000002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63"/>
        <v>0834-22</v>
      </c>
      <c r="AE199" s="85" t="str">
        <f t="shared" si="64"/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AF199" s="82" t="str">
        <f t="shared" si="65"/>
        <v>"C:\Program Files (x86)\AstroGrep\AstroGrep.exe" /e /r /s /spath="%USERPROFILE%\AppData\Local\Temp\OnboardLogs" /stypes="app*4008*20170322*" /stext=" 23:.+((SYSTEM_STATE.+slice.+state.+changed )|(ment ac)|(multiple cpu faults)|(system.+state.+changed )|(\[timeout)|(PRM\|1\|D)|(kpr)|(kdp)|(\|lc)|(penalty))"</v>
      </c>
      <c r="AG199" s="1" t="str">
        <f t="shared" si="66"/>
        <v>NW</v>
      </c>
      <c r="AH199" s="86" t="str">
        <f t="shared" si="67"/>
        <v>"%USERPROFILE%\Documents\GitHub\eaglep3\Utilities\RefineRTDCRunTimes.py" --tripid 834-22 --locoid 4008 --swversion DE.1.0.9.0 --startMP 300:58617 --initTime 2017-03-22T17:39:40 --startdatetime 2017-03-22T17:41:39 --delay 1 --endMP 204:691 --enddatetime 2017-03-22T17:48:54 --enforcementcount 2 &gt;&gt;C:\Users\stu\Documents\GitHub\eaglep3-reporting\EC\2017-03-22-refined-times.txt</v>
      </c>
      <c r="AI199" s="108" t="str">
        <f t="shared" si="68"/>
        <v>echo {"issue":{"subject":"Planned maintenance - CRMF Pocket ELXS offline from 03/22/2017 14:28:58 - 18:08:16","project_id":79,"tracker_id":40,"status_id":1,"priority_id":2,"assigned_to_id":23,"start_date":"2017-03-22","description":"","custom_fields":[{"id":1,"name":"Subdivision","value":"NW"},{"id":4,"name":"Milepost","value":"0.0691"},{"id":17,"name":"Train ID","value":"834-22"},{"id":16,"name":"Locomotive ID","value":"4008"},{"id":130,"name":"Impact","value":""},{"id":150,"name":"Time of Event (Mountain Time)","value":"17:48:54"},{"id":151,"name":"Denver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69"/>
        <v>start /low /b %USERPROFILE%\Documents\GitHub\eaglep3\Utilities\DownloadLogsFromS3.py --loco 4008 --day 2017-03-22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"%USERPROFILE%\AppData\Local\Temp\OnboardLogs"\RTDC4008\*4008*20170322* | grep -SE "(Enforcement Action)|(\[TIMEOUT)|(CHR.+\|PRM\|1\|D.+(SWITCH|SIGNAL).+UNKNOWN)" - &gt;&gt; 2017-03-22-UncaughtWiMAX.txt</v>
      </c>
    </row>
    <row r="200" spans="1:40" s="20" customFormat="1" x14ac:dyDescent="0.25">
      <c r="A200" s="33" t="s">
        <v>1051</v>
      </c>
      <c r="B200" s="7"/>
      <c r="C200" s="21" t="s">
        <v>219</v>
      </c>
      <c r="D200" s="21" t="s">
        <v>996</v>
      </c>
      <c r="E200" s="13">
        <v>42816.735879629632</v>
      </c>
      <c r="F200" s="13"/>
      <c r="G200" s="7">
        <v>1</v>
      </c>
      <c r="H200" s="21" t="s">
        <v>995</v>
      </c>
      <c r="I200" s="13"/>
      <c r="J200" s="7">
        <v>2</v>
      </c>
      <c r="K200" s="98" t="str">
        <f t="shared" si="55"/>
        <v>-1/</v>
      </c>
      <c r="L200" s="21" t="e">
        <f>VLOOKUP(A200,'Trips&amp;Operators'!$C$1:$G$99999,5,FALSE)</f>
        <v>#N/A</v>
      </c>
      <c r="M200" s="6">
        <f t="shared" si="56"/>
        <v>0</v>
      </c>
      <c r="N200" s="7"/>
      <c r="O200" s="7"/>
      <c r="P200" s="7">
        <v>1</v>
      </c>
      <c r="Q200" s="22"/>
      <c r="R200" s="22" t="s">
        <v>1052</v>
      </c>
      <c r="S200" s="31">
        <f t="shared" si="78"/>
        <v>0</v>
      </c>
      <c r="T200" s="46" t="str">
        <f t="shared" si="57"/>
        <v>NorthBound</v>
      </c>
      <c r="U200" s="18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0</v>
      </c>
      <c r="V200" s="186" t="str">
        <f t="shared" si="58"/>
        <v>https://d0f6bd738d7f1b3e5a7ca70fe4ff75f0.us-east-1.aws.found.io/app/kibana#/discover/Steve-Slow-Train-Analysis-(2080s-and-2083s)?_g=(refreshInterval:(display:Off,pause:!f,section:0,value:0),time:(from:'2017-03-22T16:39:40-0600',mode:absolute,to:'1900-01-00T01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200" s="187" t="str">
        <f t="shared" si="59"/>
        <v>N</v>
      </c>
      <c r="X200" s="187">
        <f t="shared" ref="X200:X206" si="79">VALUE(LEFT(AD200,4))-VALUE(LEFT(AD199,4))</f>
        <v>1</v>
      </c>
      <c r="Y200" s="62">
        <f t="shared" si="60"/>
        <v>5.8616999999999999</v>
      </c>
      <c r="Z200" s="62">
        <f t="shared" si="61"/>
        <v>6.9099999999999995E-2</v>
      </c>
      <c r="AA200" s="62">
        <f t="shared" si="62"/>
        <v>5.7926000000000002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63"/>
        <v>0835-22</v>
      </c>
      <c r="AE200" s="85" t="str">
        <f t="shared" si="64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200" s="82" t="str">
        <f t="shared" si="65"/>
        <v>"C:\Program Files (x86)\AstroGrep\AstroGrep.exe" /e /r /s /spath="%USERPROFILE%\AppData\Local\Temp\OnboardLogs" /stypes="app**19000100*" /stext=" 06:.+((SYSTEM_STATE.+slice.+state.+changed )|(ment ac)|(multiple cpu faults)|(system.+state.+changed )|(\[timeout)|(PRM\|1\|D)|(kpr)|(kdp)|(\|lc)|(penalty))"</v>
      </c>
      <c r="AG200" s="1" t="str">
        <f t="shared" si="66"/>
        <v>NW</v>
      </c>
      <c r="AH200" s="86" t="str">
        <f t="shared" ref="AH200" si="80">refinertdcruntimes&amp;" --tripid "&amp;A200&amp;" --locoid "&amp;B200&amp;" --swversion "&amp;C200&amp;" --startMP "&amp;D200&amp;" --initTime "&amp;TEXT(E200,"yyyy-mm-ddTHH:MM:SS")&amp;" --startdatetime "&amp;TEXT(F200,"yyyy-mm-ddTHH:MM:SS")&amp;" --delay "&amp;G200&amp;" --endMP "&amp;H200&amp;" --enddatetime "&amp;TEXT(I200,"yyyy-mm-ddTHH:MM:SS")&amp;" --enforcementcount "&amp;J200&amp;IF(outputrefinedruntimes," &gt;&gt;"&amp;RefinedRTDCRunTimesOutputFile,"")</f>
        <v>"%USERPROFILE%\Documents\GitHub\eaglep3\Utilities\RefineRTDCRunTimes.py" --tripid 835-22 --locoid  --swversion DE.1.0.9.0 --startMP 300:58617 --initTime 2017-03-22T17:39:40 --startdatetime 1900-01-00T00:00:00 --delay 1 --endMP 204:691 --enddatetime 1900-01-00T00:00:00 --enforcementcount 2 &gt;&gt;C:\Users\stu\Documents\GitHub\eaglep3-reporting\EC\2017-03-22-refined-times.txt</v>
      </c>
      <c r="AI200" s="108" t="str">
        <f t="shared" ref="AI200" si="81">"echo {""issue"":{""subject"":"""&amp;R200&amp;""",""project_id"":79,""tracker_id"":40,""status_id"":"&amp;redmine_status&amp;",""priority_id"":"&amp;redmine_priority&amp;",""assigned_to_id"":"&amp;redmine_assignee&amp;",""start_date"":"""&amp;TEXT(I200,"YYYY-mm-dd")&amp;""",""description"":"""&amp;AJ200&amp;""",""custom_fields"":[{""id"":1,""name"":""Subdivision"",""value"":"""&amp;AG200&amp;"""},{""id"":4,""name"":""Milepost"",""value"":"""&amp;Z200&amp;"""},{""id"":17,""name"":""Train ID"",""value"":"""&amp;A200&amp;"""},{""id"":16,""name"":""Locomotive ID"",""value"":"""&amp;B200&amp;"""},{""id"":130,""name"":""Impact"",""value"":"""&amp;AK200&amp;"""},{""id"":150,""name"":""Time of Event (Mountain Time)"",""value"":"""&amp;TEXT(I200,"hh:mm:ss")&amp;"""},{""id"":151,""name"":""Denver Issue ID"",""value"":"""&amp;"""},{""id"":178,""name"":""Operational Impact"",""value"":"""&amp;redmine_op_impact&amp;"""},{""id"":179,""name"":""Denver Segment Assigned"",""value"":"""&amp;AL200&amp;"""}]}}"&amp;"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init","project_id":79,"tracker_id":40,"status_id":1,"priority_id":2,"assigned_to_id":23,"start_date":"1900-01-00","description":"","custom_fields":[{"id":1,"name":"Subdivision","value":"NW"},{"id":4,"name":"Milepost","value":"0.0691"},{"id":17,"name":"Train ID","value":"835-22"},{"id":16,"name":"Locomotive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ref="AM200" si="82">"start /low /b "&amp;dls3logs&amp;" --loco "&amp;B200&amp;" --day "&amp;TEXT(F200,"YYYY-MM-DD")</f>
        <v>start /low /b %USERPROFILE%\Documents\GitHub\eaglep3\Utilities\DownloadLogsFromS3.py --loco  --day 1900-01-00</v>
      </c>
      <c r="AN200" s="163" t="e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#DIV/0!</v>
      </c>
    </row>
    <row r="201" spans="1:40" x14ac:dyDescent="0.25">
      <c r="A201" s="33" t="s">
        <v>792</v>
      </c>
      <c r="B201" s="7">
        <v>4021</v>
      </c>
      <c r="C201" s="21" t="s">
        <v>219</v>
      </c>
      <c r="D201" s="21" t="s">
        <v>486</v>
      </c>
      <c r="E201" s="13">
        <v>42816.7578125</v>
      </c>
      <c r="F201" s="13">
        <v>42816.75886574074</v>
      </c>
      <c r="G201" s="7">
        <v>1</v>
      </c>
      <c r="H201" s="21" t="s">
        <v>997</v>
      </c>
      <c r="I201" s="13">
        <v>42816.770115740743</v>
      </c>
      <c r="J201" s="7">
        <v>2</v>
      </c>
      <c r="K201" s="98" t="str">
        <f t="shared" si="55"/>
        <v>4021/4022</v>
      </c>
      <c r="L201" s="21" t="str">
        <f>VLOOKUP(A201,'Trips&amp;Operators'!$C$1:$G$99999,5,FALSE)</f>
        <v>CHANDLER KELVIN</v>
      </c>
      <c r="M201" s="6">
        <f t="shared" si="56"/>
        <v>1.1250000003201421E-2</v>
      </c>
      <c r="N201" s="7">
        <f t="shared" ref="N201:N239" si="83">24*60*SUM($M201:$M201)</f>
        <v>16.200000004610047</v>
      </c>
      <c r="O201" s="7"/>
      <c r="P201" s="7"/>
      <c r="Q201" s="22"/>
      <c r="R201" s="22"/>
      <c r="S201" s="31">
        <f t="shared" si="78"/>
        <v>1</v>
      </c>
      <c r="T201" s="46" t="str">
        <f t="shared" si="57"/>
        <v>Southbound</v>
      </c>
      <c r="U201" s="18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6" t="str">
        <f t="shared" si="58"/>
        <v>https://d0f6bd738d7f1b3e5a7ca70fe4ff75f0.us-east-1.aws.found.io/app/kibana#/discover/Steve-Slow-Train-Analysis-(2080s-and-2083s)?_g=(refreshInterval:(display:Off,pause:!f,section:0,value:0),time:(from:'2017-03-22T17:11:15-0600',mode:absolute,to:'2017-03-22T19:28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1" s="187" t="str">
        <f t="shared" si="59"/>
        <v>N</v>
      </c>
      <c r="X201" s="187">
        <f t="shared" si="79"/>
        <v>1</v>
      </c>
      <c r="Y201" s="62">
        <f t="shared" si="60"/>
        <v>5.8611000000000004</v>
      </c>
      <c r="Z201" s="62">
        <f t="shared" si="61"/>
        <v>7.4800000000000005E-2</v>
      </c>
      <c r="AA201" s="62">
        <f t="shared" si="62"/>
        <v>5.7863000000000007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63"/>
        <v>0836-22</v>
      </c>
      <c r="AE201" s="85" t="str">
        <f t="shared" si="64"/>
        <v>aws s3 cp s3://rtdc.mdm.uploadarchive.raw/RTDC4021/ "%USERPROFILE%\AppData\Local\Temp\OnboardLogs"\RTDC4021\2017-03-22 --exclude "*" --recursive --include "*20170322*" &amp; "%USERPROFILE%\Documents\GitHub\mrs-test-scripts\Headless Mode &amp; Sideloading\WalkAndUnGZ.bat" "%USERPROFILE%\AppData\Local\Temp\OnboardLogs"\RTDC4021\2017-03-22 &amp; aws s3 cp s3://rtdc.mdm.uploadarchive.raw/RTDC4021/ "%USERPROFILE%\AppData\Local\Temp\OnboardLogs"\RTDC4021\2017-03-23 --exclude "*" --recursive --include "*20170323*" &amp; "%USERPROFILE%\Documents\GitHub\mrs-test-scripts\Headless Mode &amp; Sideloading\WalkAndUnGZ.bat" "%USERPROFILE%\AppData\Local\Temp\OnboardLogs"\RTDC4021\2017-03-23</v>
      </c>
      <c r="AF201" s="82" t="str">
        <f t="shared" si="65"/>
        <v>"C:\Program Files (x86)\AstroGrep\AstroGrep.exe" /e /r /s /spath="%USERPROFILE%\AppData\Local\Temp\OnboardLogs" /stypes="app*4021*20170323*" /stext=" 00:.+((SYSTEM_STATE.+slice.+state.+changed )|(ment ac)|(multiple cpu faults)|(system.+state.+changed )|(\[timeout)|(PRM\|1\|D)|(kpr)|(kdp)|(\|lc)|(penalty))"</v>
      </c>
      <c r="AG201" s="1" t="str">
        <f t="shared" si="66"/>
        <v>NW</v>
      </c>
      <c r="AH201" s="86" t="str">
        <f t="shared" si="67"/>
        <v>"%USERPROFILE%\Documents\GitHub\eaglep3\Utilities\RefineRTDCRunTimes.py" --tripid 836-22 --locoid 4021 --swversion DE.1.0.9.0 --startMP 300:58611 --initTime 2017-03-22T18:11:15 --startdatetime 2017-03-22T18:12:46 --delay 1 --endMP 204:748 --enddatetime 2017-03-22T18:28:58 --enforcementcount 2 &gt;&gt;C:\Users\stu\Documents\GitHub\eaglep3-reporting\EC\2017-03-22-refined-times.txt</v>
      </c>
      <c r="AI201" s="108" t="str">
        <f t="shared" si="68"/>
        <v>echo {"issue":{"subject":"","project_id":79,"tracker_id":40,"status_id":1,"priority_id":2,"assigned_to_id":23,"start_date":"2017-03-22","description":"","custom_fields":[{"id":1,"name":"Subdivision","value":"NW"},{"id":4,"name":"Milepost","value":"0.0748"},{"id":17,"name":"Train ID","value":"836-22"},{"id":16,"name":"Locomotive ID","value":"4021"},{"id":130,"name":"Impact","value":""},{"id":150,"name":"Time of Event (Mountain Time)","value":"18:28:58"},{"id":151,"name":"Denver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69"/>
        <v>start /low /b %USERPROFILE%\Documents\GitHub\eaglep3\Utilities\DownloadLogsFromS3.py --loco 4021 --day 2017-03-22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"%USERPROFILE%\AppData\Local\Temp\OnboardLogs"\RTDC4021\*4021*20170323* | grep -SE "(Enforcement Action)|(\[TIMEOUT)|(CHR.+\|PRM\|1\|D.+(SWITCH|SIGNAL).+UNKNOWN)" - &gt;&gt; 2017-03-22-UncaughtWiMAX.txt</v>
      </c>
    </row>
    <row r="202" spans="1:40" x14ac:dyDescent="0.25">
      <c r="A202" s="33" t="s">
        <v>789</v>
      </c>
      <c r="B202" s="7">
        <v>4007</v>
      </c>
      <c r="C202" s="21" t="s">
        <v>219</v>
      </c>
      <c r="D202" s="21" t="s">
        <v>970</v>
      </c>
      <c r="E202" s="13">
        <v>42816.750578703701</v>
      </c>
      <c r="F202" s="13">
        <v>42816.764837962961</v>
      </c>
      <c r="G202" s="7">
        <v>1</v>
      </c>
      <c r="H202" s="21" t="s">
        <v>589</v>
      </c>
      <c r="I202" s="13">
        <v>42816.774687500001</v>
      </c>
      <c r="J202" s="7">
        <v>2</v>
      </c>
      <c r="K202" s="98" t="str">
        <f t="shared" si="55"/>
        <v>4007/4008</v>
      </c>
      <c r="L202" s="21" t="str">
        <f>VLOOKUP(A202,'Trips&amp;Operators'!$C$1:$G$99999,5,FALSE)</f>
        <v>FORTUNATO FRANK</v>
      </c>
      <c r="M202" s="6">
        <f t="shared" si="56"/>
        <v>9.8495370402815752E-3</v>
      </c>
      <c r="N202" s="7">
        <f t="shared" si="83"/>
        <v>14.183333338005468</v>
      </c>
      <c r="O202" s="7"/>
      <c r="P202" s="7"/>
      <c r="Q202" s="22"/>
      <c r="R202" s="22"/>
      <c r="S202" s="31">
        <f t="shared" si="78"/>
        <v>1</v>
      </c>
      <c r="T202" s="46" t="str">
        <f t="shared" si="57"/>
        <v>NorthBound</v>
      </c>
      <c r="U202" s="18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6" t="str">
        <f t="shared" si="58"/>
        <v>https://d0f6bd738d7f1b3e5a7ca70fe4ff75f0.us-east-1.aws.found.io/app/kibana#/discover/Steve-Slow-Train-Analysis-(2080s-and-2083s)?_g=(refreshInterval:(display:Off,pause:!f,section:0,value:0),time:(from:'2017-03-22T17:00:50-0600',mode:absolute,to:'2017-03-22T19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2" s="187" t="str">
        <f t="shared" si="59"/>
        <v>N</v>
      </c>
      <c r="X202" s="187">
        <f t="shared" si="79"/>
        <v>1</v>
      </c>
      <c r="Y202" s="62">
        <f t="shared" si="60"/>
        <v>9.7199999999999995E-2</v>
      </c>
      <c r="Z202" s="62">
        <f t="shared" si="61"/>
        <v>5.8954000000000004</v>
      </c>
      <c r="AA202" s="62">
        <f t="shared" si="62"/>
        <v>5.7982000000000005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63"/>
        <v>0837-22</v>
      </c>
      <c r="AE202" s="85" t="str">
        <f t="shared" si="64"/>
        <v>aws s3 cp s3://rtdc.mdm.uploadarchive.raw/RTDC4007/ "%USERPROFILE%\AppData\Local\Temp\OnboardLogs"\RTDC4007\2017-03-22 --exclude "*" --recursive --include "*20170322*" &amp; "%USERPROFILE%\Documents\GitHub\mrs-test-scripts\Headless Mode &amp; Sideloading\WalkAndUnGZ.bat" "%USERPROFILE%\AppData\Local\Temp\OnboardLogs"\RTDC4007\2017-03-22 &amp; aws s3 cp s3://rtdc.mdm.uploadarchive.raw/RTDC4007/ "%USERPROFILE%\AppData\Local\Temp\OnboardLogs"\RTDC4007\2017-03-23 --exclude "*" --recursive --include "*20170323*" &amp; "%USERPROFILE%\Documents\GitHub\mrs-test-scripts\Headless Mode &amp; Sideloading\WalkAndUnGZ.bat" "%USERPROFILE%\AppData\Local\Temp\OnboardLogs"\RTDC4007\2017-03-23</v>
      </c>
      <c r="AF202" s="82" t="str">
        <f t="shared" si="65"/>
        <v>"C:\Program Files (x86)\AstroGrep\AstroGrep.exe" /e /r /s /spath="%USERPROFILE%\AppData\Local\Temp\OnboardLogs" /stypes="app*4007*20170323*" /stext=" 00:.+((SYSTEM_STATE.+slice.+state.+changed )|(ment ac)|(multiple cpu faults)|(system.+state.+changed )|(\[timeout)|(PRM\|1\|D)|(kpr)|(kdp)|(\|lc)|(penalty))"</v>
      </c>
      <c r="AG202" s="1" t="str">
        <f t="shared" si="66"/>
        <v>NW</v>
      </c>
      <c r="AH202" s="86" t="str">
        <f t="shared" si="67"/>
        <v>"%USERPROFILE%\Documents\GitHub\eaglep3\Utilities\RefineRTDCRunTimes.py" --tripid 837-22 --locoid 4007 --swversion DE.1.0.9.0 --startMP 204:972 --initTime 2017-03-22T18:00:50 --startdatetime 2017-03-22T18:21:22 --delay 1 --endMP 300:58954 --enddatetime 2017-03-22T18:35:33 --enforcementcount 2 &gt;&gt;C:\Users\stu\Documents\GitHub\eaglep3-reporting\EC\2017-03-22-refined-times.txt</v>
      </c>
      <c r="AI202" s="108" t="str">
        <f t="shared" si="68"/>
        <v>echo {"issue":{"subject":"","project_id":79,"tracker_id":40,"status_id":1,"priority_id":2,"assigned_to_id":23,"start_date":"2017-03-22","description":"","custom_fields":[{"id":1,"name":"Subdivision","value":"NW"},{"id":4,"name":"Milepost","value":"5.8954"},{"id":17,"name":"Train ID","value":"837-22"},{"id":16,"name":"Locomotive ID","value":"4007"},{"id":130,"name":"Impact","value":""},{"id":150,"name":"Time of Event (Mountain Time)","value":"18:35:33"},{"id":151,"name":"Denver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69"/>
        <v>start /low /b %USERPROFILE%\Documents\GitHub\eaglep3\Utilities\DownloadLogsFromS3.py --loco 4007 --day 2017-03-22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"%USERPROFILE%\AppData\Local\Temp\OnboardLogs"\RTDC4007\*4007*20170323* | grep -SE "(Enforcement Action)|(\[TIMEOUT)|(CHR.+\|PRM\|1\|D.+(SWITCH|SIGNAL).+UNKNOWN)" - &gt;&gt; 2017-03-22-UncaughtWiMAX.txt</v>
      </c>
    </row>
    <row r="203" spans="1:40" x14ac:dyDescent="0.25">
      <c r="A203" s="33" t="s">
        <v>797</v>
      </c>
      <c r="B203" s="7">
        <v>4008</v>
      </c>
      <c r="C203" s="21" t="s">
        <v>219</v>
      </c>
      <c r="D203" s="21" t="s">
        <v>979</v>
      </c>
      <c r="E203" s="13">
        <v>42816.776284722226</v>
      </c>
      <c r="F203" s="13">
        <v>42816.777812499997</v>
      </c>
      <c r="G203" s="7">
        <v>1</v>
      </c>
      <c r="H203" s="21" t="s">
        <v>521</v>
      </c>
      <c r="I203" s="13">
        <v>42816.789502314816</v>
      </c>
      <c r="J203" s="7">
        <v>2</v>
      </c>
      <c r="K203" s="98" t="str">
        <f t="shared" si="55"/>
        <v>4007/4008</v>
      </c>
      <c r="L203" s="21" t="str">
        <f>VLOOKUP(A203,'Trips&amp;Operators'!$C$1:$G$99999,5,FALSE)</f>
        <v>FORTUNATO FRANK</v>
      </c>
      <c r="M203" s="6">
        <f t="shared" si="56"/>
        <v>1.1689814818964805E-2</v>
      </c>
      <c r="N203" s="7">
        <f t="shared" si="83"/>
        <v>16.83333333930932</v>
      </c>
      <c r="O203" s="7"/>
      <c r="P203" s="7"/>
      <c r="Q203" s="22"/>
      <c r="R203" s="22"/>
      <c r="S203" s="31">
        <f t="shared" si="78"/>
        <v>1</v>
      </c>
      <c r="T203" s="46" t="str">
        <f t="shared" si="57"/>
        <v>Southbound</v>
      </c>
      <c r="U203" s="18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6" t="str">
        <f t="shared" si="58"/>
        <v>https://d0f6bd738d7f1b3e5a7ca70fe4ff75f0.us-east-1.aws.found.io/app/kibana#/discover/Steve-Slow-Train-Analysis-(2080s-and-2083s)?_g=(refreshInterval:(display:Off,pause:!f,section:0,value:0),time:(from:'2017-03-22T17:37:51-0600',mode:absolute,to:'2017-03-22T19:56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3" s="187" t="str">
        <f t="shared" si="59"/>
        <v>N</v>
      </c>
      <c r="X203" s="187">
        <f t="shared" si="79"/>
        <v>1</v>
      </c>
      <c r="Y203" s="62">
        <f t="shared" si="60"/>
        <v>5.8632</v>
      </c>
      <c r="Z203" s="62">
        <f t="shared" si="61"/>
        <v>6.7299999999999999E-2</v>
      </c>
      <c r="AA203" s="62">
        <f t="shared" si="62"/>
        <v>5.7958999999999996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63"/>
        <v>0838-22</v>
      </c>
      <c r="AE203" s="85" t="str">
        <f t="shared" si="64"/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AF203" s="82" t="str">
        <f t="shared" si="65"/>
        <v>"C:\Program Files (x86)\AstroGrep\AstroGrep.exe" /e /r /s /spath="%USERPROFILE%\AppData\Local\Temp\OnboardLogs" /stypes="app*4008*20170323*" /stext=" 00:.+((SYSTEM_STATE.+slice.+state.+changed )|(ment ac)|(multiple cpu faults)|(system.+state.+changed )|(\[timeout)|(PRM\|1\|D)|(kpr)|(kdp)|(\|lc)|(penalty))"</v>
      </c>
      <c r="AG203" s="1" t="str">
        <f t="shared" si="66"/>
        <v>NW</v>
      </c>
      <c r="AH203" s="86" t="str">
        <f t="shared" si="67"/>
        <v>"%USERPROFILE%\Documents\GitHub\eaglep3\Utilities\RefineRTDCRunTimes.py" --tripid 838-22 --locoid 4008 --swversion DE.1.0.9.0 --startMP 300:58632 --initTime 2017-03-22T18:37:51 --startdatetime 2017-03-22T18:40:03 --delay 1 --endMP 204:673 --enddatetime 2017-03-22T18:56:53 --enforcementcount 2 &gt;&gt;C:\Users\stu\Documents\GitHub\eaglep3-reporting\EC\2017-03-22-refined-times.txt</v>
      </c>
      <c r="AI203" s="108" t="str">
        <f t="shared" si="68"/>
        <v>echo {"issue":{"subject":"","project_id":79,"tracker_id":40,"status_id":1,"priority_id":2,"assigned_to_id":23,"start_date":"2017-03-22","description":"","custom_fields":[{"id":1,"name":"Subdivision","value":"NW"},{"id":4,"name":"Milepost","value":"0.0673"},{"id":17,"name":"Train ID","value":"838-22"},{"id":16,"name":"Locomotive ID","value":"4008"},{"id":130,"name":"Impact","value":""},{"id":150,"name":"Time of Event (Mountain Time)","value":"18:56:53"},{"id":151,"name":"Denver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69"/>
        <v>start /low /b %USERPROFILE%\Documents\GitHub\eaglep3\Utilities\DownloadLogsFromS3.py --loco 4008 --day 2017-03-22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"%USERPROFILE%\AppData\Local\Temp\OnboardLogs"\RTDC4008\*4008*20170323* | grep -SE "(Enforcement Action)|(\[TIMEOUT)|(CHR.+\|PRM\|1\|D.+(SWITCH|SIGNAL).+UNKNOWN)" - &gt;&gt; 2017-03-22-UncaughtWiMAX.txt</v>
      </c>
    </row>
    <row r="204" spans="1:40" x14ac:dyDescent="0.25">
      <c r="A204" s="33" t="s">
        <v>799</v>
      </c>
      <c r="B204" s="7">
        <v>4022</v>
      </c>
      <c r="C204" s="21" t="s">
        <v>219</v>
      </c>
      <c r="D204" s="21" t="s">
        <v>998</v>
      </c>
      <c r="E204" s="13">
        <v>42816.785428240742</v>
      </c>
      <c r="F204" s="13">
        <v>42816.786712962959</v>
      </c>
      <c r="G204" s="7">
        <v>1</v>
      </c>
      <c r="H204" s="21" t="s">
        <v>999</v>
      </c>
      <c r="I204" s="13">
        <v>42816.796469907407</v>
      </c>
      <c r="J204" s="7">
        <v>2</v>
      </c>
      <c r="K204" s="98" t="str">
        <f t="shared" si="55"/>
        <v>4021/4022</v>
      </c>
      <c r="L204" s="21" t="str">
        <f>VLOOKUP(A204,'Trips&amp;Operators'!$C$1:$G$99999,5,FALSE)</f>
        <v>CHANDLER KELVIN</v>
      </c>
      <c r="M204" s="6">
        <f t="shared" si="56"/>
        <v>9.7569444478722289E-3</v>
      </c>
      <c r="N204" s="7">
        <f t="shared" si="83"/>
        <v>14.05000000493601</v>
      </c>
      <c r="O204" s="7"/>
      <c r="P204" s="7"/>
      <c r="Q204" s="22"/>
      <c r="R204" s="22"/>
      <c r="S204" s="31">
        <f t="shared" si="78"/>
        <v>1</v>
      </c>
      <c r="T204" s="46" t="str">
        <f t="shared" si="57"/>
        <v>NorthBound</v>
      </c>
      <c r="U204" s="18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6" t="str">
        <f t="shared" si="58"/>
        <v>https://d0f6bd738d7f1b3e5a7ca70fe4ff75f0.us-east-1.aws.found.io/app/kibana#/discover/Steve-Slow-Train-Analysis-(2080s-and-2083s)?_g=(refreshInterval:(display:Off,pause:!f,section:0,value:0),time:(from:'2017-03-22T17:51:01-0600',mode:absolute,to:'2017-03-22T20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4" s="187" t="str">
        <f t="shared" si="59"/>
        <v>N</v>
      </c>
      <c r="X204" s="187">
        <f t="shared" si="79"/>
        <v>1</v>
      </c>
      <c r="Y204" s="62">
        <f t="shared" si="60"/>
        <v>0.1056</v>
      </c>
      <c r="Z204" s="62">
        <f t="shared" si="61"/>
        <v>5.8906999999999998</v>
      </c>
      <c r="AA204" s="62">
        <f t="shared" si="62"/>
        <v>5.7850999999999999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63"/>
        <v>0839-22</v>
      </c>
      <c r="AE204" s="85" t="str">
        <f t="shared" si="64"/>
        <v>aws s3 cp s3://rtdc.mdm.uploadarchive.raw/RTDC4022/ "%USERPROFILE%\AppData\Local\Temp\OnboardLogs"\RTDC4022\2017-03-22 --exclude "*" --recursive --include "*20170322*" &amp; "%USERPROFILE%\Documents\GitHub\mrs-test-scripts\Headless Mode &amp; Sideloading\WalkAndUnGZ.bat" "%USERPROFILE%\AppData\Local\Temp\OnboardLogs"\RTDC4022\2017-03-22 &amp; aws s3 cp s3://rtdc.mdm.uploadarchive.raw/RTDC4022/ "%USERPROFILE%\AppData\Local\Temp\OnboardLogs"\RTDC4022\2017-03-23 --exclude "*" --recursive --include "*20170323*" &amp; "%USERPROFILE%\Documents\GitHub\mrs-test-scripts\Headless Mode &amp; Sideloading\WalkAndUnGZ.bat" "%USERPROFILE%\AppData\Local\Temp\OnboardLogs"\RTDC4022\2017-03-23</v>
      </c>
      <c r="AF204" s="82" t="str">
        <f t="shared" si="65"/>
        <v>"C:\Program Files (x86)\AstroGrep\AstroGrep.exe" /e /r /s /spath="%USERPROFILE%\AppData\Local\Temp\OnboardLogs" /stypes="app*4022*20170323*" /stext=" 01:.+((SYSTEM_STATE.+slice.+state.+changed )|(ment ac)|(multiple cpu faults)|(system.+state.+changed )|(\[timeout)|(PRM\|1\|D)|(kpr)|(kdp)|(\|lc)|(penalty))"</v>
      </c>
      <c r="AG204" s="1" t="str">
        <f t="shared" si="66"/>
        <v>NW</v>
      </c>
      <c r="AH204" s="86" t="str">
        <f t="shared" si="67"/>
        <v>"%USERPROFILE%\Documents\GitHub\eaglep3\Utilities\RefineRTDCRunTimes.py" --tripid 839-22 --locoid 4022 --swversion DE.1.0.9.0 --startMP 204:1056 --initTime 2017-03-22T18:51:01 --startdatetime 2017-03-22T18:52:52 --delay 1 --endMP 300:58907 --enddatetime 2017-03-22T19:06:55 --enforcementcount 2 &gt;&gt;C:\Users\stu\Documents\GitHub\eaglep3-reporting\EC\2017-03-22-refined-times.txt</v>
      </c>
      <c r="AI204" s="108" t="str">
        <f t="shared" si="68"/>
        <v>echo {"issue":{"subject":"","project_id":79,"tracker_id":40,"status_id":1,"priority_id":2,"assigned_to_id":23,"start_date":"2017-03-22","description":"","custom_fields":[{"id":1,"name":"Subdivision","value":"NW"},{"id":4,"name":"Milepost","value":"5.8907"},{"id":17,"name":"Train ID","value":"839-22"},{"id":16,"name":"Locomotive ID","value":"4022"},{"id":130,"name":"Impact","value":""},{"id":150,"name":"Time of Event (Mountain Time)","value":"19:06:55"},{"id":151,"name":"Denver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69"/>
        <v>start /low /b %USERPROFILE%\Documents\GitHub\eaglep3\Utilities\DownloadLogsFromS3.py --loco 4022 --day 2017-03-22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"%USERPROFILE%\AppData\Local\Temp\OnboardLogs"\RTDC4022\*4022*20170323* | grep -SE "(Enforcement Action)|(\[TIMEOUT)|(CHR.+\|PRM\|1\|D.+(SWITCH|SIGNAL).+UNKNOWN)" - &gt;&gt; 2017-03-22-UncaughtWiMAX.txt</v>
      </c>
    </row>
    <row r="205" spans="1:40" x14ac:dyDescent="0.25">
      <c r="A205" s="33" t="s">
        <v>640</v>
      </c>
      <c r="B205" s="7">
        <v>4008</v>
      </c>
      <c r="C205" s="21" t="s">
        <v>219</v>
      </c>
      <c r="D205" s="21" t="s">
        <v>1000</v>
      </c>
      <c r="E205" s="13">
        <v>42816.81726851852</v>
      </c>
      <c r="F205" s="13">
        <v>42816.818912037037</v>
      </c>
      <c r="G205" s="7">
        <v>1</v>
      </c>
      <c r="H205" s="21" t="s">
        <v>1001</v>
      </c>
      <c r="I205" s="13">
        <v>42816.831655092596</v>
      </c>
      <c r="J205" s="7">
        <v>2</v>
      </c>
      <c r="K205" s="98" t="str">
        <f t="shared" ref="K205:K239" si="84">IF(ISEVEN(B205),(B205-1)&amp;"/"&amp;B205,B205&amp;"/"&amp;(B205+1))</f>
        <v>4007/4008</v>
      </c>
      <c r="L205" s="21" t="str">
        <f>VLOOKUP(A205,'Trips&amp;Operators'!$C$1:$G$99999,5,FALSE)</f>
        <v>FORTUNATO FRANK</v>
      </c>
      <c r="M205" s="6">
        <f t="shared" ref="M205:M239" si="85">I205-F205</f>
        <v>1.2743055558530614E-2</v>
      </c>
      <c r="N205" s="7">
        <f t="shared" si="83"/>
        <v>18.350000004284084</v>
      </c>
      <c r="O205" s="7"/>
      <c r="P205" s="7"/>
      <c r="Q205" s="22"/>
      <c r="R205" s="22"/>
      <c r="S205" s="31">
        <f t="shared" si="78"/>
        <v>1</v>
      </c>
      <c r="T205" s="46" t="str">
        <f t="shared" ref="T205:T239" si="86">IF(ISEVEN(LEFT(AD205,4)),"Southbound","NorthBound")</f>
        <v>Southbound</v>
      </c>
      <c r="U205" s="18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6" t="str">
        <f t="shared" ref="V205:V239" si="87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-03-22T18:36:52-0600',mode:absolute,to:'2017-03-22T20:57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5" s="187" t="str">
        <f t="shared" ref="W205:W239" si="88">IF(AA205&lt;IF(AG205="EC",23,5.65),"Y","N")</f>
        <v>N</v>
      </c>
      <c r="X205" s="187">
        <f t="shared" si="79"/>
        <v>1</v>
      </c>
      <c r="Y205" s="62">
        <f t="shared" ref="Y205:Y239" si="89">RIGHT(D205,LEN(D205)-4)/10000</f>
        <v>5.8601999999999999</v>
      </c>
      <c r="Z205" s="62">
        <f t="shared" ref="Z205:Z239" si="90">RIGHT(H205,LEN(H205)-4)/10000</f>
        <v>7.1499999999999994E-2</v>
      </c>
      <c r="AA205" s="62">
        <f t="shared" ref="AA205:AA268" si="91">ABS(Z205-Y205)</f>
        <v>5.7886999999999995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39" si="92">IF(LEN(A205)=6,"0"&amp;A205,A205)</f>
        <v>0840-22</v>
      </c>
      <c r="AE205" s="85" t="str">
        <f t="shared" ref="AE205:AE239" si="93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AF205" s="82" t="str">
        <f t="shared" ref="AF205:AF239" si="94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/stypes="app*4008*20170323*" /stext=" 01:.+((SYSTEM_STATE.+slice.+state.+changed )|(ment ac)|(multiple cpu faults)|(system.+state.+changed )|(\[timeout)|(PRM\|1\|D)|(kpr)|(kdp)|(\|lc)|(penalty))"</v>
      </c>
      <c r="AG205" s="1" t="str">
        <f t="shared" ref="AG205:AG239" si="95">IFERROR(IF(VALUE(LEFT(AD205,2))&lt;=2,"EC",IF(OR(VALUE(LEFT(AD205,2))=8,VALUE(LEFT(AD205,2))=18),"NW","Other")),"Other")</f>
        <v>NW</v>
      </c>
      <c r="AH205" s="86" t="str">
        <f t="shared" si="67"/>
        <v>"%USERPROFILE%\Documents\GitHub\eaglep3\Utilities\RefineRTDCRunTimes.py" --tripid 840-22 --locoid 4008 --swversion DE.1.0.9.0 --startMP 300:58602 --initTime 2017-03-22T19:36:52 --startdatetime 2017-03-22T19:39:14 --delay 1 --endMP 204:715 --enddatetime 2017-03-22T19:57:35 --enforcementcount 2 &gt;&gt;C:\Users\stu\Documents\GitHub\eaglep3-reporting\EC\2017-03-22-refined-times.txt</v>
      </c>
      <c r="AI205" s="108" t="str">
        <f t="shared" si="68"/>
        <v>echo {"issue":{"subject":"","project_id":79,"tracker_id":40,"status_id":1,"priority_id":2,"assigned_to_id":23,"start_date":"2017-03-22","description":"","custom_fields":[{"id":1,"name":"Subdivision","value":"NW"},{"id":4,"name":"Milepost","value":"0.0715"},{"id":17,"name":"Train ID","value":"840-22"},{"id":16,"name":"Locomotive ID","value":"4008"},{"id":130,"name":"Impact","value":""},{"id":150,"name":"Time of Event (Mountain Time)","value":"19:57:35"},{"id":151,"name":"Denver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si="69"/>
        <v>start /low /b %USERPROFILE%\Documents\GitHub\eaglep3\Utilities\DownloadLogsFromS3.py --loco 4008 --day 2017-03-22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"%USERPROFILE%\AppData\Local\Temp\OnboardLogs"\RTDC4008\*4008*20170323* | grep -SE "(Enforcement Action)|(\[TIMEOUT)|(CHR.+\|PRM\|1\|D.+(SWITCH|SIGNAL).+UNKNOWN)" - &gt;&gt; 2017-03-22-UncaughtWiMAX.txt</v>
      </c>
    </row>
    <row r="206" spans="1:40" x14ac:dyDescent="0.25">
      <c r="A206" s="33" t="s">
        <v>800</v>
      </c>
      <c r="B206" s="7">
        <v>4007</v>
      </c>
      <c r="C206" s="21" t="s">
        <v>219</v>
      </c>
      <c r="D206" s="21" t="s">
        <v>970</v>
      </c>
      <c r="E206" s="13">
        <v>42816.793622685182</v>
      </c>
      <c r="F206" s="13">
        <v>42816.806527777779</v>
      </c>
      <c r="G206" s="7">
        <v>1</v>
      </c>
      <c r="H206" s="21" t="s">
        <v>523</v>
      </c>
      <c r="I206" s="13">
        <v>42816.816157407404</v>
      </c>
      <c r="J206" s="7">
        <v>2</v>
      </c>
      <c r="K206" s="98" t="str">
        <f t="shared" si="84"/>
        <v>4007/4008</v>
      </c>
      <c r="L206" s="21" t="str">
        <f>VLOOKUP(A206,'Trips&amp;Operators'!$C$1:$G$99999,5,FALSE)</f>
        <v>FORTUNATO FRANK</v>
      </c>
      <c r="M206" s="6">
        <f t="shared" si="85"/>
        <v>9.6296296251239255E-3</v>
      </c>
      <c r="N206" s="7">
        <f t="shared" si="83"/>
        <v>13.866666660178453</v>
      </c>
      <c r="O206" s="7"/>
      <c r="P206" s="7"/>
      <c r="Q206" s="22"/>
      <c r="R206" s="22"/>
      <c r="S206" s="31">
        <f t="shared" si="78"/>
        <v>1</v>
      </c>
      <c r="T206" s="46" t="str">
        <f t="shared" si="86"/>
        <v>NorthBound</v>
      </c>
      <c r="U206" s="18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6" t="str">
        <f t="shared" si="87"/>
        <v>https://d0f6bd738d7f1b3e5a7ca70fe4ff75f0.us-east-1.aws.found.io/app/kibana#/discover/Steve-Slow-Train-Analysis-(2080s-and-2083s)?_g=(refreshInterval:(display:Off,pause:!f,section:0,value:0),time:(from:'2017-03-22T18:02:49-0600',mode:absolute,to:'2017-03-22T20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6" s="187" t="str">
        <f t="shared" si="88"/>
        <v>N</v>
      </c>
      <c r="X206" s="187">
        <f t="shared" si="79"/>
        <v>1</v>
      </c>
      <c r="Y206" s="62">
        <f t="shared" si="89"/>
        <v>9.7199999999999995E-2</v>
      </c>
      <c r="Z206" s="62">
        <f t="shared" si="90"/>
        <v>5.8921999999999999</v>
      </c>
      <c r="AA206" s="62">
        <f t="shared" si="91"/>
        <v>5.7949999999999999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92"/>
        <v>0841-22</v>
      </c>
      <c r="AE206" s="85" t="str">
        <f t="shared" si="93"/>
        <v>aws s3 cp s3://rtdc.mdm.uploadarchive.raw/RTDC4007/ "%USERPROFILE%\AppData\Local\Temp\OnboardLogs"\RTDC4007\2017-03-22 --exclude "*" --recursive --include "*20170322*" &amp; "%USERPROFILE%\Documents\GitHub\mrs-test-scripts\Headless Mode &amp; Sideloading\WalkAndUnGZ.bat" "%USERPROFILE%\AppData\Local\Temp\OnboardLogs"\RTDC4007\2017-03-22 &amp; aws s3 cp s3://rtdc.mdm.uploadarchive.raw/RTDC4007/ "%USERPROFILE%\AppData\Local\Temp\OnboardLogs"\RTDC4007\2017-03-23 --exclude "*" --recursive --include "*20170323*" &amp; "%USERPROFILE%\Documents\GitHub\mrs-test-scripts\Headless Mode &amp; Sideloading\WalkAndUnGZ.bat" "%USERPROFILE%\AppData\Local\Temp\OnboardLogs"\RTDC4007\2017-03-23</v>
      </c>
      <c r="AF206" s="82" t="str">
        <f t="shared" si="94"/>
        <v>"C:\Program Files (x86)\AstroGrep\AstroGrep.exe" /e /r /s /spath="%USERPROFILE%\AppData\Local\Temp\OnboardLogs" /stypes="app*4007*20170323*" /stext=" 01:.+((SYSTEM_STATE.+slice.+state.+changed )|(ment ac)|(multiple cpu faults)|(system.+state.+changed )|(\[timeout)|(PRM\|1\|D)|(kpr)|(kdp)|(\|lc)|(penalty))"</v>
      </c>
      <c r="AG206" s="1" t="str">
        <f t="shared" si="95"/>
        <v>NW</v>
      </c>
      <c r="AH206" s="86" t="str">
        <f t="shared" si="67"/>
        <v>"%USERPROFILE%\Documents\GitHub\eaglep3\Utilities\RefineRTDCRunTimes.py" --tripid 841-22 --locoid 4007 --swversion DE.1.0.9.0 --startMP 204:972 --initTime 2017-03-22T19:02:49 --startdatetime 2017-03-22T19:21:24 --delay 1 --endMP 300:58922 --enddatetime 2017-03-22T19:35:16 --enforcementcount 2 &gt;&gt;C:\Users\stu\Documents\GitHub\eaglep3-reporting\EC\2017-03-22-refined-times.txt</v>
      </c>
      <c r="AI206" s="108" t="str">
        <f t="shared" si="68"/>
        <v>echo {"issue":{"subject":"","project_id":79,"tracker_id":40,"status_id":1,"priority_id":2,"assigned_to_id":23,"start_date":"2017-03-22","description":"","custom_fields":[{"id":1,"name":"Subdivision","value":"NW"},{"id":4,"name":"Milepost","value":"5.8922"},{"id":17,"name":"Train ID","value":"841-22"},{"id":16,"name":"Locomotive ID","value":"4007"},{"id":130,"name":"Impact","value":""},{"id":150,"name":"Time of Event (Mountain Time)","value":"19:35:16"},{"id":151,"name":"Denver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si="69"/>
        <v>start /low /b %USERPROFILE%\Documents\GitHub\eaglep3\Utilities\DownloadLogsFromS3.py --loco 4007 --day 2017-03-22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"%USERPROFILE%\AppData\Local\Temp\OnboardLogs"\RTDC4007\*4007*20170323* | grep -SE "(Enforcement Action)|(\[TIMEOUT)|(CHR.+\|PRM\|1\|D.+(SWITCH|SIGNAL).+UNKNOWN)" - &gt;&gt; 2017-03-22-UncaughtWiMAX.txt</v>
      </c>
    </row>
    <row r="207" spans="1:40" x14ac:dyDescent="0.25">
      <c r="A207" s="33" t="s">
        <v>811</v>
      </c>
      <c r="B207" s="7">
        <v>4008</v>
      </c>
      <c r="C207" s="21" t="s">
        <v>219</v>
      </c>
      <c r="D207" s="21" t="s">
        <v>1002</v>
      </c>
      <c r="E207" s="13">
        <v>42816.859652777777</v>
      </c>
      <c r="F207" s="13">
        <v>42816.861354166664</v>
      </c>
      <c r="G207" s="7">
        <v>1</v>
      </c>
      <c r="H207" s="21" t="s">
        <v>1003</v>
      </c>
      <c r="I207" s="13">
        <v>42816.873692129629</v>
      </c>
      <c r="J207" s="7">
        <v>2</v>
      </c>
      <c r="K207" s="98" t="str">
        <f t="shared" si="84"/>
        <v>4007/4008</v>
      </c>
      <c r="L207" s="21" t="str">
        <f>VLOOKUP(A207,'Trips&amp;Operators'!$C$1:$G$99999,5,FALSE)</f>
        <v>FORTUNATO FRANK</v>
      </c>
      <c r="M207" s="6">
        <f t="shared" si="85"/>
        <v>1.2337962965830229E-2</v>
      </c>
      <c r="N207" s="7">
        <f t="shared" si="83"/>
        <v>17.76666667079553</v>
      </c>
      <c r="O207" s="7"/>
      <c r="P207" s="7"/>
      <c r="Q207" s="22"/>
      <c r="R207" s="22"/>
      <c r="S207" s="31">
        <f t="shared" si="78"/>
        <v>1</v>
      </c>
      <c r="T207" s="46" t="str">
        <f t="shared" si="86"/>
        <v>Southbound</v>
      </c>
      <c r="U207" s="18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6" t="str">
        <f t="shared" si="87"/>
        <v>https://d0f6bd738d7f1b3e5a7ca70fe4ff75f0.us-east-1.aws.found.io/app/kibana#/discover/Steve-Slow-Train-Analysis-(2080s-and-2083s)?_g=(refreshInterval:(display:Off,pause:!f,section:0,value:0),time:(from:'2017-03-22T19:37:54-0600',mode:absolute,to:'2017-03-22T21:58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7" s="187" t="str">
        <f t="shared" si="88"/>
        <v>N</v>
      </c>
      <c r="X207" s="187">
        <f t="shared" ref="X207:X239" si="96">VALUE(LEFT(AD207,4))-VALUE(LEFT(AD206,4))</f>
        <v>1</v>
      </c>
      <c r="Y207" s="62">
        <f t="shared" si="89"/>
        <v>5.8630000000000004</v>
      </c>
      <c r="Z207" s="62">
        <f t="shared" si="90"/>
        <v>7.1300000000000002E-2</v>
      </c>
      <c r="AA207" s="62">
        <f t="shared" si="91"/>
        <v>5.7917000000000005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92"/>
        <v>0842-22</v>
      </c>
      <c r="AE207" s="85" t="str">
        <f t="shared" si="93"/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AF207" s="82" t="str">
        <f t="shared" si="94"/>
        <v>"C:\Program Files (x86)\AstroGrep\AstroGrep.exe" /e /r /s /spath="%USERPROFILE%\AppData\Local\Temp\OnboardLogs" /stypes="app*4008*20170323*" /stext=" 02:.+((SYSTEM_STATE.+slice.+state.+changed )|(ment ac)|(multiple cpu faults)|(system.+state.+changed )|(\[timeout)|(PRM\|1\|D)|(kpr)|(kdp)|(\|lc)|(penalty))"</v>
      </c>
      <c r="AG207" s="1" t="str">
        <f t="shared" si="95"/>
        <v>NW</v>
      </c>
      <c r="AH207" s="86" t="str">
        <f t="shared" si="67"/>
        <v>"%USERPROFILE%\Documents\GitHub\eaglep3\Utilities\RefineRTDCRunTimes.py" --tripid 842-22 --locoid 4008 --swversion DE.1.0.9.0 --startMP 300:58630 --initTime 2017-03-22T20:37:54 --startdatetime 2017-03-22T20:40:21 --delay 1 --endMP 204:713 --enddatetime 2017-03-22T20:58:07 --enforcementcount 2 &gt;&gt;C:\Users\stu\Documents\GitHub\eaglep3-reporting\EC\2017-03-22-refined-times.txt</v>
      </c>
      <c r="AI207" s="108" t="str">
        <f t="shared" si="68"/>
        <v>echo {"issue":{"subject":"","project_id":79,"tracker_id":40,"status_id":1,"priority_id":2,"assigned_to_id":23,"start_date":"2017-03-22","description":"","custom_fields":[{"id":1,"name":"Subdivision","value":"NW"},{"id":4,"name":"Milepost","value":"0.0713"},{"id":17,"name":"Train ID","value":"842-22"},{"id":16,"name":"Locomotive ID","value":"4008"},{"id":130,"name":"Impact","value":""},{"id":150,"name":"Time of Event (Mountain Time)","value":"20:58:07"},{"id":151,"name":"Denver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69"/>
        <v>start /low /b %USERPROFILE%\Documents\GitHub\eaglep3\Utilities\DownloadLogsFromS3.py --loco 4008 --day 2017-03-22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"%USERPROFILE%\AppData\Local\Temp\OnboardLogs"\RTDC4008\*4008*20170323* | grep -SE "(Enforcement Action)|(\[TIMEOUT)|(CHR.+\|PRM\|1\|D.+(SWITCH|SIGNAL).+UNKNOWN)" - &gt;&gt; 2017-03-22-UncaughtWiMAX.txt</v>
      </c>
    </row>
    <row r="208" spans="1:40" x14ac:dyDescent="0.25">
      <c r="A208" s="33" t="s">
        <v>808</v>
      </c>
      <c r="B208" s="7">
        <v>4007</v>
      </c>
      <c r="C208" s="21" t="s">
        <v>219</v>
      </c>
      <c r="D208" s="21" t="s">
        <v>1004</v>
      </c>
      <c r="E208" s="13">
        <v>42816.83353009259</v>
      </c>
      <c r="F208" s="13">
        <v>42816.848078703704</v>
      </c>
      <c r="G208" s="7">
        <v>3</v>
      </c>
      <c r="H208" s="21" t="s">
        <v>1005</v>
      </c>
      <c r="I208" s="13">
        <v>42816.857766203706</v>
      </c>
      <c r="J208" s="7">
        <v>2</v>
      </c>
      <c r="K208" s="98" t="str">
        <f t="shared" si="84"/>
        <v>4007/4008</v>
      </c>
      <c r="L208" s="21" t="str">
        <f>VLOOKUP(A208,'Trips&amp;Operators'!$C$1:$G$99999,5,FALSE)</f>
        <v>FORTUNATO FRANK</v>
      </c>
      <c r="M208" s="6">
        <f t="shared" si="85"/>
        <v>9.6875000017462298E-3</v>
      </c>
      <c r="N208" s="7">
        <f t="shared" si="83"/>
        <v>13.950000002514571</v>
      </c>
      <c r="O208" s="7"/>
      <c r="P208" s="7"/>
      <c r="Q208" s="22"/>
      <c r="R208" s="22"/>
      <c r="S208" s="31">
        <f t="shared" si="78"/>
        <v>1</v>
      </c>
      <c r="T208" s="46" t="str">
        <f t="shared" si="86"/>
        <v>NorthBound</v>
      </c>
      <c r="U208" s="18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6" t="str">
        <f t="shared" si="87"/>
        <v>https://d0f6bd738d7f1b3e5a7ca70fe4ff75f0.us-east-1.aws.found.io/app/kibana#/discover/Steve-Slow-Train-Analysis-(2080s-and-2083s)?_g=(refreshInterval:(display:Off,pause:!f,section:0,value:0),time:(from:'2017-03-22T19:00:17-0600',mode:absolute,to:'2017-03-22T21:35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8" s="187" t="str">
        <f t="shared" si="88"/>
        <v>N</v>
      </c>
      <c r="X208" s="187">
        <f t="shared" si="96"/>
        <v>1</v>
      </c>
      <c r="Y208" s="62">
        <f t="shared" si="89"/>
        <v>0.1002</v>
      </c>
      <c r="Z208" s="62">
        <f t="shared" si="90"/>
        <v>5.8945999999999996</v>
      </c>
      <c r="AA208" s="62">
        <f t="shared" si="91"/>
        <v>5.7943999999999996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92"/>
        <v>0843-22</v>
      </c>
      <c r="AE208" s="85" t="str">
        <f t="shared" si="93"/>
        <v>aws s3 cp s3://rtdc.mdm.uploadarchive.raw/RTDC4007/ "%USERPROFILE%\AppData\Local\Temp\OnboardLogs"\RTDC4007\2017-03-22 --exclude "*" --recursive --include "*20170322*" &amp; "%USERPROFILE%\Documents\GitHub\mrs-test-scripts\Headless Mode &amp; Sideloading\WalkAndUnGZ.bat" "%USERPROFILE%\AppData\Local\Temp\OnboardLogs"\RTDC4007\2017-03-22 &amp; aws s3 cp s3://rtdc.mdm.uploadarchive.raw/RTDC4007/ "%USERPROFILE%\AppData\Local\Temp\OnboardLogs"\RTDC4007\2017-03-23 --exclude "*" --recursive --include "*20170323*" &amp; "%USERPROFILE%\Documents\GitHub\mrs-test-scripts\Headless Mode &amp; Sideloading\WalkAndUnGZ.bat" "%USERPROFILE%\AppData\Local\Temp\OnboardLogs"\RTDC4007\2017-03-23</v>
      </c>
      <c r="AF208" s="82" t="str">
        <f t="shared" si="94"/>
        <v>"C:\Program Files (x86)\AstroGrep\AstroGrep.exe" /e /r /s /spath="%USERPROFILE%\AppData\Local\Temp\OnboardLogs" /stypes="app*4007*20170323*" /stext=" 02:.+((SYSTEM_STATE.+slice.+state.+changed )|(ment ac)|(multiple cpu faults)|(system.+state.+changed )|(\[timeout)|(PRM\|1\|D)|(kpr)|(kdp)|(\|lc)|(penalty))"</v>
      </c>
      <c r="AG208" s="1" t="str">
        <f t="shared" si="95"/>
        <v>NW</v>
      </c>
      <c r="AH208" s="86" t="str">
        <f t="shared" si="67"/>
        <v>"%USERPROFILE%\Documents\GitHub\eaglep3\Utilities\RefineRTDCRunTimes.py" --tripid 843-22 --locoid 4007 --swversion DE.1.0.9.0 --startMP 204:1002 --initTime 2017-03-22T20:00:17 --startdatetime 2017-03-22T20:21:14 --delay 3 --endMP 300:58946 --enddatetime 2017-03-22T20:35:11 --enforcementcount 2 &gt;&gt;C:\Users\stu\Documents\GitHub\eaglep3-reporting\EC\2017-03-22-refined-times.txt</v>
      </c>
      <c r="AI208" s="108" t="str">
        <f t="shared" si="68"/>
        <v>echo {"issue":{"subject":"","project_id":79,"tracker_id":40,"status_id":1,"priority_id":2,"assigned_to_id":23,"start_date":"2017-03-22","description":"","custom_fields":[{"id":1,"name":"Subdivision","value":"NW"},{"id":4,"name":"Milepost","value":"5.8946"},{"id":17,"name":"Train ID","value":"843-22"},{"id":16,"name":"Locomotive ID","value":"4007"},{"id":130,"name":"Impact","value":""},{"id":150,"name":"Time of Event (Mountain Time)","value":"20:35:11"},{"id":151,"name":"Denver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69"/>
        <v>start /low /b %USERPROFILE%\Documents\GitHub\eaglep3\Utilities\DownloadLogsFromS3.py --loco 4007 --day 2017-03-22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"%USERPROFILE%\AppData\Local\Temp\OnboardLogs"\RTDC4007\*4007*20170323* | grep -SE "(Enforcement Action)|(\[TIMEOUT)|(CHR.+\|PRM\|1\|D.+(SWITCH|SIGNAL).+UNKNOWN)" - &gt;&gt; 2017-03-22-UncaughtWiMAX.txt</v>
      </c>
    </row>
    <row r="209" spans="1:40" x14ac:dyDescent="0.25">
      <c r="A209" s="33" t="s">
        <v>817</v>
      </c>
      <c r="B209" s="7">
        <v>4008</v>
      </c>
      <c r="C209" s="21" t="s">
        <v>219</v>
      </c>
      <c r="D209" s="21" t="s">
        <v>1006</v>
      </c>
      <c r="E209" s="13">
        <v>42816.903923611113</v>
      </c>
      <c r="F209" s="13">
        <v>42816.905555555553</v>
      </c>
      <c r="G209" s="7">
        <v>1</v>
      </c>
      <c r="H209" s="21" t="s">
        <v>1007</v>
      </c>
      <c r="I209" s="13">
        <v>42816.915150462963</v>
      </c>
      <c r="J209" s="7">
        <v>2</v>
      </c>
      <c r="K209" s="98" t="str">
        <f t="shared" si="84"/>
        <v>4007/4008</v>
      </c>
      <c r="L209" s="21" t="str">
        <f>VLOOKUP(A209,'Trips&amp;Operators'!$C$1:$G$99999,5,FALSE)</f>
        <v>JACKSON WILLIAM</v>
      </c>
      <c r="M209" s="6">
        <f t="shared" si="85"/>
        <v>9.5949074093368836E-3</v>
      </c>
      <c r="N209" s="7">
        <f t="shared" si="83"/>
        <v>13.816666669445112</v>
      </c>
      <c r="O209" s="7"/>
      <c r="P209" s="7"/>
      <c r="Q209" s="22"/>
      <c r="R209" s="22"/>
      <c r="S209" s="31">
        <f t="shared" si="78"/>
        <v>1</v>
      </c>
      <c r="T209" s="46" t="str">
        <f t="shared" si="86"/>
        <v>Southbound</v>
      </c>
      <c r="U209" s="18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6" t="str">
        <f t="shared" si="87"/>
        <v>https://d0f6bd738d7f1b3e5a7ca70fe4ff75f0.us-east-1.aws.found.io/app/kibana#/discover/Steve-Slow-Train-Analysis-(2080s-and-2083s)?_g=(refreshInterval:(display:Off,pause:!f,section:0,value:0),time:(from:'2017-03-22T20:41:39-0600',mode:absolute,to:'2017-03-22T22:57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9" s="187" t="str">
        <f t="shared" si="88"/>
        <v>N</v>
      </c>
      <c r="X209" s="187">
        <f t="shared" si="96"/>
        <v>1</v>
      </c>
      <c r="Y209" s="62">
        <f t="shared" si="89"/>
        <v>5.8590999999999998</v>
      </c>
      <c r="Z209" s="62">
        <f t="shared" si="90"/>
        <v>7.6399999999999996E-2</v>
      </c>
      <c r="AA209" s="62">
        <f t="shared" si="91"/>
        <v>5.7827000000000002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92"/>
        <v>0844-22</v>
      </c>
      <c r="AE209" s="85" t="str">
        <f t="shared" si="93"/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AF209" s="82" t="str">
        <f t="shared" si="94"/>
        <v>"C:\Program Files (x86)\AstroGrep\AstroGrep.exe" /e /r /s /spath="%USERPROFILE%\AppData\Local\Temp\OnboardLogs" /stypes="app*4008*20170323*" /stext=" 03:.+((SYSTEM_STATE.+slice.+state.+changed )|(ment ac)|(multiple cpu faults)|(system.+state.+changed )|(\[timeout)|(PRM\|1\|D)|(kpr)|(kdp)|(\|lc)|(penalty))"</v>
      </c>
      <c r="AG209" s="1" t="str">
        <f t="shared" si="95"/>
        <v>NW</v>
      </c>
      <c r="AH209" s="86" t="str">
        <f t="shared" ref="AH209:AH239" si="97">refinertdcruntimes&amp;" --tripid "&amp;A209&amp;" --locoid "&amp;B209&amp;" --swversion "&amp;C209&amp;" --startMP "&amp;D209&amp;" --initTime "&amp;TEXT(E209,"yyyy-mm-ddTHH:MM:SS")&amp;" --startdatetime "&amp;TEXT(F209,"yyyy-mm-ddTHH:MM:SS")&amp;" --delay "&amp;G209&amp;" --endMP "&amp;H209&amp;" --enddatetime "&amp;TEXT(I209,"yyyy-mm-ddTHH:MM:SS")&amp;" --enforcementcount "&amp;J209&amp;IF(outputrefinedruntimes," &gt;&gt;"&amp;RefinedRTDCRunTimesOutputFile,"")</f>
        <v>"%USERPROFILE%\Documents\GitHub\eaglep3\Utilities\RefineRTDCRunTimes.py" --tripid 844-22 --locoid 4008 --swversion DE.1.0.9.0 --startMP 300:58591 --initTime 2017-03-22T21:41:39 --startdatetime 2017-03-22T21:44:00 --delay 1 --endMP 204:764 --enddatetime 2017-03-22T21:57:49 --enforcementcount 2 &gt;&gt;C:\Users\stu\Documents\GitHub\eaglep3-reporting\EC\2017-03-22-refined-times.txt</v>
      </c>
      <c r="AI209" s="108" t="str">
        <f t="shared" ref="AI209:AI239" si="98">"echo {""issue"":{""subject"":"""&amp;R209&amp;""",""project_id"":79,""tracker_id"":40,""status_id"":"&amp;redmine_status&amp;",""priority_id"":"&amp;redmine_priority&amp;",""assigned_to_id"":"&amp;redmine_assignee&amp;",""start_date"":"""&amp;TEXT(I209,"YYYY-mm-dd")&amp;""",""description"":"""&amp;AJ209&amp;""",""custom_fields"":[{""id"":1,""name"":""Subdivision"",""value"":"""&amp;AG209&amp;"""},{""id"":4,""name"":""Milepost"",""value"":"""&amp;Z209&amp;"""},{""id"":17,""name"":""Train ID"",""value"":"""&amp;A209&amp;"""},{""id"":16,""name"":""Locomotive ID"",""value"":"""&amp;B209&amp;"""},{""id"":130,""name"":""Impact"",""value"":"""&amp;AK209&amp;"""},{""id"":150,""name"":""Time of Event (Mountain Time)"",""value"":"""&amp;TEXT(I209,"hh:mm:ss")&amp;"""},{""id"":151,""name"":""Denver Issue ID"",""value"":"""&amp;"""},{""id"":178,""name"":""Operational Impact"",""value"":"""&amp;redmine_op_impact&amp;"""},{""id"":179,""name"":""Denver Segment Assigned"",""value"":"""&amp;AL209&amp;"""}]}}"&amp;"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{"issue":{"subject":"","project_id":79,"tracker_id":40,"status_id":1,"priority_id":2,"assigned_to_id":23,"start_date":"2017-03-22","description":"","custom_fields":[{"id":1,"name":"Subdivision","value":"NW"},{"id":4,"name":"Milepost","value":"0.0764"},{"id":17,"name":"Train ID","value":"844-22"},{"id":16,"name":"Locomotive ID","value":"4008"},{"id":130,"name":"Impact","value":""},{"id":150,"name":"Time of Event (Mountain Time)","value":"21:57:49"},{"id":151,"name":"Denver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ref="AM209:AM239" si="99">"start /low /b "&amp;dls3logs&amp;" --loco "&amp;B209&amp;" --day "&amp;TEXT(F209,"YYYY-MM-DD")</f>
        <v>start /low /b %USERPROFILE%\Documents\GitHub\eaglep3\Utilities\DownloadLogsFromS3.py --loco 4008 --day 2017-03-22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"%USERPROFILE%\AppData\Local\Temp\OnboardLogs"\RTDC4008\*4008*20170323* | grep -SE "(Enforcement Action)|(\[TIMEOUT)|(CHR.+\|PRM\|1\|D.+(SWITCH|SIGNAL).+UNKNOWN)" - &gt;&gt; 2017-03-22-UncaughtWiMAX.txt</v>
      </c>
    </row>
    <row r="210" spans="1:40" x14ac:dyDescent="0.25">
      <c r="A210" s="33" t="s">
        <v>642</v>
      </c>
      <c r="B210" s="7">
        <v>4007</v>
      </c>
      <c r="C210" s="21" t="s">
        <v>219</v>
      </c>
      <c r="D210" s="21" t="s">
        <v>591</v>
      </c>
      <c r="E210" s="13">
        <v>42816.883888888886</v>
      </c>
      <c r="F210" s="13">
        <v>42816.890023148146</v>
      </c>
      <c r="G210" s="7">
        <v>3</v>
      </c>
      <c r="H210" s="21" t="s">
        <v>1008</v>
      </c>
      <c r="I210" s="13">
        <v>42816.902442129627</v>
      </c>
      <c r="J210" s="7">
        <v>2</v>
      </c>
      <c r="K210" s="98" t="str">
        <f t="shared" si="84"/>
        <v>4007/4008</v>
      </c>
      <c r="L210" s="21" t="str">
        <f>VLOOKUP(A210,'Trips&amp;Operators'!$C$1:$G$99999,5,FALSE)</f>
        <v>JACKSON WILLIAM</v>
      </c>
      <c r="M210" s="6">
        <f t="shared" si="85"/>
        <v>1.2418981481459923E-2</v>
      </c>
      <c r="N210" s="7">
        <f t="shared" si="83"/>
        <v>17.883333333302289</v>
      </c>
      <c r="O210" s="7"/>
      <c r="P210" s="7"/>
      <c r="Q210" s="22"/>
      <c r="R210" s="22"/>
      <c r="S210" s="31">
        <f t="shared" si="78"/>
        <v>1</v>
      </c>
      <c r="T210" s="46" t="str">
        <f t="shared" si="86"/>
        <v>NorthBound</v>
      </c>
      <c r="U210" s="18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6" t="str">
        <f t="shared" si="87"/>
        <v>https://d0f6bd738d7f1b3e5a7ca70fe4ff75f0.us-east-1.aws.found.io/app/kibana#/discover/Steve-Slow-Train-Analysis-(2080s-and-2083s)?_g=(refreshInterval:(display:Off,pause:!f,section:0,value:0),time:(from:'2017-03-22T20:12:48-0600',mode:absolute,to:'2017-03-22T22:39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0" s="187" t="str">
        <f t="shared" si="88"/>
        <v>N</v>
      </c>
      <c r="X210" s="187">
        <f t="shared" si="96"/>
        <v>1</v>
      </c>
      <c r="Y210" s="62">
        <f t="shared" si="89"/>
        <v>9.8100000000000007E-2</v>
      </c>
      <c r="Z210" s="62">
        <f t="shared" si="90"/>
        <v>5.8909000000000002</v>
      </c>
      <c r="AA210" s="62">
        <f t="shared" si="91"/>
        <v>5.7928000000000006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92"/>
        <v>0845-22</v>
      </c>
      <c r="AE210" s="85" t="str">
        <f t="shared" si="93"/>
        <v>aws s3 cp s3://rtdc.mdm.uploadarchive.raw/RTDC4007/ "%USERPROFILE%\AppData\Local\Temp\OnboardLogs"\RTDC4007\2017-03-22 --exclude "*" --recursive --include "*20170322*" &amp; "%USERPROFILE%\Documents\GitHub\mrs-test-scripts\Headless Mode &amp; Sideloading\WalkAndUnGZ.bat" "%USERPROFILE%\AppData\Local\Temp\OnboardLogs"\RTDC4007\2017-03-22 &amp; aws s3 cp s3://rtdc.mdm.uploadarchive.raw/RTDC4007/ "%USERPROFILE%\AppData\Local\Temp\OnboardLogs"\RTDC4007\2017-03-23 --exclude "*" --recursive --include "*20170323*" &amp; "%USERPROFILE%\Documents\GitHub\mrs-test-scripts\Headless Mode &amp; Sideloading\WalkAndUnGZ.bat" "%USERPROFILE%\AppData\Local\Temp\OnboardLogs"\RTDC4007\2017-03-23</v>
      </c>
      <c r="AF210" s="82" t="str">
        <f t="shared" si="94"/>
        <v>"C:\Program Files (x86)\AstroGrep\AstroGrep.exe" /e /r /s /spath="%USERPROFILE%\AppData\Local\Temp\OnboardLogs" /stypes="app*4007*20170323*" /stext=" 03:.+((SYSTEM_STATE.+slice.+state.+changed )|(ment ac)|(multiple cpu faults)|(system.+state.+changed )|(\[timeout)|(PRM\|1\|D)|(kpr)|(kdp)|(\|lc)|(penalty))"</v>
      </c>
      <c r="AG210" s="1" t="str">
        <f t="shared" si="95"/>
        <v>NW</v>
      </c>
      <c r="AH210" s="86" t="str">
        <f t="shared" si="97"/>
        <v>"%USERPROFILE%\Documents\GitHub\eaglep3\Utilities\RefineRTDCRunTimes.py" --tripid 845-22 --locoid 4007 --swversion DE.1.0.9.0 --startMP 204:981 --initTime 2017-03-22T21:12:48 --startdatetime 2017-03-22T21:21:38 --delay 3 --endMP 300:58909 --enddatetime 2017-03-22T21:39:31 --enforcementcount 2 &gt;&gt;C:\Users\stu\Documents\GitHub\eaglep3-reporting\EC\2017-03-22-refined-times.txt</v>
      </c>
      <c r="AI210" s="108" t="str">
        <f t="shared" si="98"/>
        <v>echo {"issue":{"subject":"","project_id":79,"tracker_id":40,"status_id":1,"priority_id":2,"assigned_to_id":23,"start_date":"2017-03-22","description":"","custom_fields":[{"id":1,"name":"Subdivision","value":"NW"},{"id":4,"name":"Milepost","value":"5.8909"},{"id":17,"name":"Train ID","value":"845-22"},{"id":16,"name":"Locomotive ID","value":"4007"},{"id":130,"name":"Impact","value":""},{"id":150,"name":"Time of Event (Mountain Time)","value":"21:39:31"},{"id":151,"name":"Denver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99"/>
        <v>start /low /b %USERPROFILE%\Documents\GitHub\eaglep3\Utilities\DownloadLogsFromS3.py --loco 4007 --day 2017-03-22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"%USERPROFILE%\AppData\Local\Temp\OnboardLogs"\RTDC4007\*4007*20170323* | grep -SE "(Enforcement Action)|(\[TIMEOUT)|(CHR.+\|PRM\|1\|D.+(SWITCH|SIGNAL).+UNKNOWN)" - &gt;&gt; 2017-03-22-UncaughtWiMAX.txt</v>
      </c>
    </row>
    <row r="211" spans="1:40" x14ac:dyDescent="0.25">
      <c r="A211" s="33" t="s">
        <v>822</v>
      </c>
      <c r="B211" s="7">
        <v>4007</v>
      </c>
      <c r="C211" s="21" t="s">
        <v>219</v>
      </c>
      <c r="D211" s="21" t="s">
        <v>1009</v>
      </c>
      <c r="E211" s="13">
        <v>42816.930960648147</v>
      </c>
      <c r="F211" s="13">
        <v>42816.931932870371</v>
      </c>
      <c r="G211" s="7">
        <v>1</v>
      </c>
      <c r="H211" s="21" t="s">
        <v>1010</v>
      </c>
      <c r="I211" s="13">
        <v>42816.941747685189</v>
      </c>
      <c r="J211" s="7">
        <v>2</v>
      </c>
      <c r="K211" s="98" t="str">
        <f t="shared" si="84"/>
        <v>4007/4008</v>
      </c>
      <c r="L211" s="21" t="str">
        <f>VLOOKUP(A211,'Trips&amp;Operators'!$C$1:$G$99999,5,FALSE)</f>
        <v>CHANDLER KELVIN</v>
      </c>
      <c r="M211" s="6">
        <f t="shared" si="85"/>
        <v>9.8148148172185756E-3</v>
      </c>
      <c r="N211" s="7">
        <f t="shared" si="83"/>
        <v>14.133333336794749</v>
      </c>
      <c r="O211" s="7"/>
      <c r="P211" s="7"/>
      <c r="Q211" s="22"/>
      <c r="R211" s="22"/>
      <c r="S211" s="31">
        <f t="shared" si="78"/>
        <v>1</v>
      </c>
      <c r="T211" s="46" t="str">
        <f t="shared" si="86"/>
        <v>NorthBound</v>
      </c>
      <c r="U211" s="18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6" t="str">
        <f t="shared" si="87"/>
        <v>https://d0f6bd738d7f1b3e5a7ca70fe4ff75f0.us-east-1.aws.found.io/app/kibana#/discover/Steve-Slow-Train-Analysis-(2080s-and-2083s)?_g=(refreshInterval:(display:Off,pause:!f,section:0,value:0),time:(from:'2017-03-22T21:20:35-0600',mode:absolute,to:'2017-03-22T23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1" s="187" t="str">
        <f t="shared" si="88"/>
        <v>N</v>
      </c>
      <c r="X211" s="187">
        <f t="shared" si="96"/>
        <v>2</v>
      </c>
      <c r="Y211" s="62">
        <f t="shared" si="89"/>
        <v>0.107</v>
      </c>
      <c r="Z211" s="62">
        <f t="shared" si="90"/>
        <v>5.8875000000000002</v>
      </c>
      <c r="AA211" s="62">
        <f t="shared" si="91"/>
        <v>5.7805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92"/>
        <v>0847-22</v>
      </c>
      <c r="AE211" s="85" t="str">
        <f t="shared" si="93"/>
        <v>aws s3 cp s3://rtdc.mdm.uploadarchive.raw/RTDC4007/ "%USERPROFILE%\AppData\Local\Temp\OnboardLogs"\RTDC4007\2017-03-22 --exclude "*" --recursive --include "*20170322*" &amp; "%USERPROFILE%\Documents\GitHub\mrs-test-scripts\Headless Mode &amp; Sideloading\WalkAndUnGZ.bat" "%USERPROFILE%\AppData\Local\Temp\OnboardLogs"\RTDC4007\2017-03-22 &amp; aws s3 cp s3://rtdc.mdm.uploadarchive.raw/RTDC4007/ "%USERPROFILE%\AppData\Local\Temp\OnboardLogs"\RTDC4007\2017-03-23 --exclude "*" --recursive --include "*20170323*" &amp; "%USERPROFILE%\Documents\GitHub\mrs-test-scripts\Headless Mode &amp; Sideloading\WalkAndUnGZ.bat" "%USERPROFILE%\AppData\Local\Temp\OnboardLogs"\RTDC4007\2017-03-23</v>
      </c>
      <c r="AF211" s="82" t="str">
        <f t="shared" si="94"/>
        <v>"C:\Program Files (x86)\AstroGrep\AstroGrep.exe" /e /r /s /spath="%USERPROFILE%\AppData\Local\Temp\OnboardLogs" /stypes="app*4007*20170323*" /stext=" 04:.+((SYSTEM_STATE.+slice.+state.+changed )|(ment ac)|(multiple cpu faults)|(system.+state.+changed )|(\[timeout)|(PRM\|1\|D)|(kpr)|(kdp)|(\|lc)|(penalty))"</v>
      </c>
      <c r="AG211" s="1" t="str">
        <f t="shared" si="95"/>
        <v>NW</v>
      </c>
      <c r="AH211" s="86" t="str">
        <f t="shared" si="97"/>
        <v>"%USERPROFILE%\Documents\GitHub\eaglep3\Utilities\RefineRTDCRunTimes.py" --tripid 847-22 --locoid 4007 --swversion DE.1.0.9.0 --startMP 204:1070 --initTime 2017-03-22T22:20:35 --startdatetime 2017-03-22T22:21:59 --delay 1 --endMP 300:58875 --enddatetime 2017-03-22T22:36:07 --enforcementcount 2 &gt;&gt;C:\Users\stu\Documents\GitHub\eaglep3-reporting\EC\2017-03-22-refined-times.txt</v>
      </c>
      <c r="AI211" s="108" t="str">
        <f t="shared" si="98"/>
        <v>echo {"issue":{"subject":"","project_id":79,"tracker_id":40,"status_id":1,"priority_id":2,"assigned_to_id":23,"start_date":"2017-03-22","description":"","custom_fields":[{"id":1,"name":"Subdivision","value":"NW"},{"id":4,"name":"Milepost","value":"5.8875"},{"id":17,"name":"Train ID","value":"847-22"},{"id":16,"name":"Locomotive ID","value":"4007"},{"id":130,"name":"Impact","value":""},{"id":150,"name":"Time of Event (Mountain Time)","value":"22:36:07"},{"id":151,"name":"Denver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99"/>
        <v>start /low /b %USERPROFILE%\Documents\GitHub\eaglep3\Utilities\DownloadLogsFromS3.py --loco 4007 --day 2017-03-22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"%USERPROFILE%\AppData\Local\Temp\OnboardLogs"\RTDC4007\*4007*20170323* | grep -SE "(Enforcement Action)|(\[TIMEOUT)|(CHR.+\|PRM\|1\|D.+(SWITCH|SIGNAL).+UNKNOWN)" - &gt;&gt; 2017-03-22-UncaughtWiMAX.txt</v>
      </c>
    </row>
    <row r="212" spans="1:40" x14ac:dyDescent="0.25">
      <c r="A212" s="33" t="s">
        <v>645</v>
      </c>
      <c r="B212" s="7">
        <v>4010</v>
      </c>
      <c r="C212" s="21" t="s">
        <v>219</v>
      </c>
      <c r="D212" s="21" t="s">
        <v>931</v>
      </c>
      <c r="E212" s="13">
        <v>42816.113865740743</v>
      </c>
      <c r="F212" s="13">
        <v>42816.117974537039</v>
      </c>
      <c r="G212" s="7">
        <v>5</v>
      </c>
      <c r="H212" s="21" t="s">
        <v>932</v>
      </c>
      <c r="I212" s="13">
        <v>42816.124756944446</v>
      </c>
      <c r="J212" s="7">
        <v>2</v>
      </c>
      <c r="K212" s="98" t="str">
        <f t="shared" si="84"/>
        <v>4009/4010</v>
      </c>
      <c r="L212" s="21" t="str">
        <f>VLOOKUP(A212,'Trips&amp;Operators'!$C$1:$G$99999,5,FALSE)</f>
        <v>BADERTSCHER DIANE</v>
      </c>
      <c r="M212" s="6">
        <f t="shared" si="85"/>
        <v>6.7824074067175388E-3</v>
      </c>
      <c r="N212" s="7">
        <f t="shared" si="83"/>
        <v>9.7666666656732559</v>
      </c>
      <c r="O212" s="7"/>
      <c r="P212" s="7"/>
      <c r="Q212" s="22"/>
      <c r="R212" s="22"/>
      <c r="S212" s="31">
        <f t="shared" si="78"/>
        <v>1</v>
      </c>
      <c r="T212" s="46" t="str">
        <f t="shared" si="86"/>
        <v>Southbound</v>
      </c>
      <c r="U212" s="18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6" t="str">
        <f t="shared" si="87"/>
        <v>https://d0f6bd738d7f1b3e5a7ca70fe4ff75f0.us-east-1.aws.found.io/app/kibana#/discover/Steve-Slow-Train-Analysis-(2080s-and-2083s)?_g=(refreshInterval:(display:Off,pause:!f,section:0,value:0),time:(from:'2017-03-22T01:43:58-0600',mode:absolute,to:'2017-03-22T03:59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2" s="187" t="str">
        <f t="shared" si="88"/>
        <v>Y</v>
      </c>
      <c r="X212" s="187">
        <f t="shared" si="96"/>
        <v>-545</v>
      </c>
      <c r="Y212" s="62">
        <f t="shared" si="89"/>
        <v>2.2820999999999998</v>
      </c>
      <c r="Z212" s="62">
        <f t="shared" si="90"/>
        <v>1.7999999999999999E-2</v>
      </c>
      <c r="AA212" s="62">
        <f t="shared" si="91"/>
        <v>2.2641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92"/>
        <v>0302-22</v>
      </c>
      <c r="AE212" s="85" t="str">
        <f t="shared" si="93"/>
        <v>aws s3 cp s3://rtdc.mdm.uploadarchive.raw/RTDC4010/ "%USERPROFILE%\AppData\Local\Temp\OnboardLogs"\RTDC4010\2017-03-22 --exclude "*" --recursive --include "*20170322*" &amp; "%USERPROFILE%\Documents\GitHub\mrs-test-scripts\Headless Mode &amp; Sideloading\WalkAndUnGZ.bat" "%USERPROFILE%\AppData\Local\Temp\OnboardLogs"\RTDC4010\2017-03-22 &amp; aws s3 cp s3://rtdc.mdm.uploadarchive.raw/RTDC4010/ "%USERPROFILE%\AppData\Local\Temp\OnboardLogs"\RTDC4010\2017-03-23 --exclude "*" --recursive --include "*20170323*" &amp; "%USERPROFILE%\Documents\GitHub\mrs-test-scripts\Headless Mode &amp; Sideloading\WalkAndUnGZ.bat" "%USERPROFILE%\AppData\Local\Temp\OnboardLogs"\RTDC4010\2017-03-23</v>
      </c>
      <c r="AF212" s="82" t="str">
        <f t="shared" si="94"/>
        <v>"C:\Program Files (x86)\AstroGrep\AstroGrep.exe" /e /r /s /spath="%USERPROFILE%\AppData\Local\Temp\OnboardLogs" /stypes="app*4010*20170322*" /stext=" 08:.+((SYSTEM_STATE.+slice.+state.+changed )|(ment ac)|(multiple cpu faults)|(system.+state.+changed )|(\[timeout)|(PRM\|1\|D)|(kpr)|(kdp)|(\|lc)|(penalty))"</v>
      </c>
      <c r="AG212" s="1" t="str">
        <f t="shared" si="95"/>
        <v>Other</v>
      </c>
      <c r="AH212" s="86" t="str">
        <f t="shared" si="97"/>
        <v>"%USERPROFILE%\Documents\GitHub\eaglep3\Utilities\RefineRTDCRunTimes.py" --tripid 302-22 --locoid 4010 --swversion DE.1.0.9.0 --startMP 300:22821 --initTime 2017-03-22T02:43:58 --startdatetime 2017-03-22T02:49:53 --delay 5 --endMP 204:180 --enddatetime 2017-03-22T02:59:39 --enforcementcount 2 &gt;&gt;C:\Users\stu\Documents\GitHub\eaglep3-reporting\EC\2017-03-22-refined-times.txt</v>
      </c>
      <c r="AI212" s="108" t="str">
        <f t="shared" si="98"/>
        <v>echo {"issue":{"subject":"","project_id":79,"tracker_id":40,"status_id":1,"priority_id":2,"assigned_to_id":23,"start_date":"2017-03-22","description":"","custom_fields":[{"id":1,"name":"Subdivision","value":"Other"},{"id":4,"name":"Milepost","value":"0.018"},{"id":17,"name":"Train ID","value":"302-22"},{"id":16,"name":"Locomotive ID","value":"4010"},{"id":130,"name":"Impact","value":""},{"id":150,"name":"Time of Event (Mountain Time)","value":"02:59:39"},{"id":151,"name":"Denver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99"/>
        <v>start /low /b %USERPROFILE%\Documents\GitHub\eaglep3\Utilities\DownloadLogsFromS3.py --loco 4010 --day 2017-03-22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"%USERPROFILE%\AppData\Local\Temp\OnboardLogs"\RTDC4010\*4010*20170322* | grep -SE "(Enforcement Action)|(\[TIMEOUT)|(CHR.+\|PRM\|1\|D.+(SWITCH|SIGNAL).+UNKNOWN)" - &gt;&gt; 2017-03-22-UncaughtWiMAX.txt</v>
      </c>
    </row>
    <row r="213" spans="1:40" x14ac:dyDescent="0.25">
      <c r="A213" s="33" t="s">
        <v>798</v>
      </c>
      <c r="B213" s="7">
        <v>4042</v>
      </c>
      <c r="C213" s="21" t="s">
        <v>219</v>
      </c>
      <c r="D213" s="21" t="s">
        <v>489</v>
      </c>
      <c r="E213" s="13">
        <v>42816.782199074078</v>
      </c>
      <c r="F213" s="13">
        <v>42816.789363425924</v>
      </c>
      <c r="G213" s="7">
        <v>1</v>
      </c>
      <c r="H213" s="21" t="s">
        <v>933</v>
      </c>
      <c r="I213" s="13">
        <v>42816.804513888892</v>
      </c>
      <c r="J213" s="7">
        <v>2</v>
      </c>
      <c r="K213" s="98" t="str">
        <f t="shared" si="84"/>
        <v>4041/4042</v>
      </c>
      <c r="L213" s="21" t="str">
        <f>VLOOKUP(A213,'Trips&amp;Operators'!$C$1:$G$99999,5,FALSE)</f>
        <v>HELVIE ADAM</v>
      </c>
      <c r="M213" s="6">
        <f t="shared" si="85"/>
        <v>1.5150462968449574E-2</v>
      </c>
      <c r="N213" s="7">
        <f t="shared" si="83"/>
        <v>21.816666674567387</v>
      </c>
      <c r="O213" s="7"/>
      <c r="P213" s="7"/>
      <c r="Q213" s="22"/>
      <c r="R213" s="22"/>
      <c r="S213" s="31">
        <f t="shared" si="78"/>
        <v>1</v>
      </c>
      <c r="T213" s="46" t="str">
        <f t="shared" si="86"/>
        <v>NorthBound</v>
      </c>
      <c r="U213" s="18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6" t="str">
        <f t="shared" si="87"/>
        <v>https://d0f6bd738d7f1b3e5a7ca70fe4ff75f0.us-east-1.aws.found.io/app/kibana#/discover/Steve-Slow-Train-Analysis-(2080s-and-2083s)?_g=(refreshInterval:(display:Off,pause:!f,section:0,value:0),time:(from:'2017-03-22T17:46:22-0600',mode:absolute,to:'2017-03-22T20:18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3" s="187" t="str">
        <f t="shared" si="88"/>
        <v>Y</v>
      </c>
      <c r="X213" s="187">
        <f t="shared" si="96"/>
        <v>1</v>
      </c>
      <c r="Y213" s="62">
        <f t="shared" si="89"/>
        <v>4.8399999999999999E-2</v>
      </c>
      <c r="Z213" s="62">
        <f t="shared" si="90"/>
        <v>2.331</v>
      </c>
      <c r="AA213" s="62">
        <f t="shared" si="91"/>
        <v>2.2826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92"/>
        <v>0303-22</v>
      </c>
      <c r="AE213" s="85" t="str">
        <f t="shared" si="93"/>
        <v>aws s3 cp s3://rtdc.mdm.uploadarchive.raw/RTDC4042/ "%USERPROFILE%\AppData\Local\Temp\OnboardLogs"\RTDC4042\2017-03-22 --exclude "*" --recursive --include "*20170322*" &amp; "%USERPROFILE%\Documents\GitHub\mrs-test-scripts\Headless Mode &amp; Sideloading\WalkAndUnGZ.bat" "%USERPROFILE%\AppData\Local\Temp\OnboardLogs"\RTDC4042\2017-03-22 &amp; aws s3 cp s3://rtdc.mdm.uploadarchive.raw/RTDC4042/ "%USERPROFILE%\AppData\Local\Temp\OnboardLogs"\RTDC4042\2017-03-23 --exclude "*" --recursive --include "*20170323*" &amp; "%USERPROFILE%\Documents\GitHub\mrs-test-scripts\Headless Mode &amp; Sideloading\WalkAndUnGZ.bat" "%USERPROFILE%\AppData\Local\Temp\OnboardLogs"\RTDC4042\2017-03-23</v>
      </c>
      <c r="AF213" s="82" t="str">
        <f t="shared" si="94"/>
        <v>"C:\Program Files (x86)\AstroGrep\AstroGrep.exe" /e /r /s /spath="%USERPROFILE%\AppData\Local\Temp\OnboardLogs" /stypes="app*4042*20170323*" /stext=" 01:.+((SYSTEM_STATE.+slice.+state.+changed )|(ment ac)|(multiple cpu faults)|(system.+state.+changed )|(\[timeout)|(PRM\|1\|D)|(kpr)|(kdp)|(\|lc)|(penalty))"</v>
      </c>
      <c r="AG213" s="1" t="str">
        <f t="shared" si="95"/>
        <v>Other</v>
      </c>
      <c r="AH213" s="86" t="str">
        <f t="shared" si="97"/>
        <v>"%USERPROFILE%\Documents\GitHub\eaglep3\Utilities\RefineRTDCRunTimes.py" --tripid 303-22 --locoid 4042 --swversion DE.1.0.9.0 --startMP 204:484 --initTime 2017-03-22T18:46:22 --startdatetime 2017-03-22T18:56:41 --delay 1 --endMP 300:23310 --enddatetime 2017-03-22T19:18:30 --enforcementcount 2 &gt;&gt;C:\Users\stu\Documents\GitHub\eaglep3-reporting\EC\2017-03-22-refined-times.txt</v>
      </c>
      <c r="AI213" s="108" t="str">
        <f t="shared" si="98"/>
        <v>echo {"issue":{"subject":"","project_id":79,"tracker_id":40,"status_id":1,"priority_id":2,"assigned_to_id":23,"start_date":"2017-03-22","description":"","custom_fields":[{"id":1,"name":"Subdivision","value":"Other"},{"id":4,"name":"Milepost","value":"2.331"},{"id":17,"name":"Train ID","value":"303-22"},{"id":16,"name":"Locomotive ID","value":"4042"},{"id":130,"name":"Impact","value":""},{"id":150,"name":"Time of Event (Mountain Time)","value":"19:18:30"},{"id":151,"name":"Denver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99"/>
        <v>start /low /b %USERPROFILE%\Documents\GitHub\eaglep3\Utilities\DownloadLogsFromS3.py --loco 4042 --day 2017-03-22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"%USERPROFILE%\AppData\Local\Temp\OnboardLogs"\RTDC4042\*4042*20170323* | grep -SE "(Enforcement Action)|(\[TIMEOUT)|(CHR.+\|PRM\|1\|D.+(SWITCH|SIGNAL).+UNKNOWN)" - &gt;&gt; 2017-03-22-UncaughtWiMAX.txt</v>
      </c>
    </row>
    <row r="214" spans="1:40" x14ac:dyDescent="0.25">
      <c r="A214" s="33" t="s">
        <v>648</v>
      </c>
      <c r="B214" s="7">
        <v>4028</v>
      </c>
      <c r="C214" s="21" t="s">
        <v>219</v>
      </c>
      <c r="D214" s="21" t="s">
        <v>934</v>
      </c>
      <c r="E214" s="13">
        <v>42816.138425925928</v>
      </c>
      <c r="F214" s="13">
        <v>42816.146261574075</v>
      </c>
      <c r="G214" s="7">
        <v>11</v>
      </c>
      <c r="H214" s="21" t="s">
        <v>400</v>
      </c>
      <c r="I214" s="13">
        <v>42816.151273148149</v>
      </c>
      <c r="J214" s="7">
        <v>2</v>
      </c>
      <c r="K214" s="98" t="str">
        <f t="shared" si="84"/>
        <v>4027/4028</v>
      </c>
      <c r="L214" s="21" t="str">
        <f>VLOOKUP(A214,'Trips&amp;Operators'!$C$1:$G$99999,5,FALSE)</f>
        <v>MAELZER KURT</v>
      </c>
      <c r="M214" s="6">
        <f t="shared" si="85"/>
        <v>5.0115740741603076E-3</v>
      </c>
      <c r="N214" s="7">
        <f t="shared" si="83"/>
        <v>7.216666666790843</v>
      </c>
      <c r="O214" s="7"/>
      <c r="P214" s="7"/>
      <c r="Q214" s="22"/>
      <c r="R214" s="22"/>
      <c r="S214" s="31">
        <f t="shared" si="78"/>
        <v>1</v>
      </c>
      <c r="T214" s="46" t="str">
        <f t="shared" si="86"/>
        <v>Southbound</v>
      </c>
      <c r="U214" s="18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6" t="str">
        <f t="shared" si="87"/>
        <v>https://d0f6bd738d7f1b3e5a7ca70fe4ff75f0.us-east-1.aws.found.io/app/kibana#/discover/Steve-Slow-Train-Analysis-(2080s-and-2083s)?_g=(refreshInterval:(display:Off,pause:!f,section:0,value:0),time:(from:'2017-03-22T02:19:20-0600',mode:absolute,to:'2017-03-22T04:37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4" s="187" t="str">
        <f t="shared" si="88"/>
        <v>Y</v>
      </c>
      <c r="X214" s="187">
        <f t="shared" si="96"/>
        <v>1</v>
      </c>
      <c r="Y214" s="62">
        <f t="shared" si="89"/>
        <v>2.1741999999999999</v>
      </c>
      <c r="Z214" s="62">
        <f t="shared" si="90"/>
        <v>1.43E-2</v>
      </c>
      <c r="AA214" s="62">
        <f t="shared" si="91"/>
        <v>2.1598999999999999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92"/>
        <v>0304-22</v>
      </c>
      <c r="AE214" s="85" t="str">
        <f t="shared" si="93"/>
        <v>aws s3 cp s3://rtdc.mdm.uploadarchive.raw/RTDC4028/ "%USERPROFILE%\AppData\Local\Temp\OnboardLogs"\RTDC4028\2017-03-22 --exclude "*" --recursive --include "*20170322*" &amp; "%USERPROFILE%\Documents\GitHub\mrs-test-scripts\Headless Mode &amp; Sideloading\WalkAndUnGZ.bat" "%USERPROFILE%\AppData\Local\Temp\OnboardLogs"\RTDC4028\2017-03-22 &amp; aws s3 cp s3://rtdc.mdm.uploadarchive.raw/RTDC4028/ "%USERPROFILE%\AppData\Local\Temp\OnboardLogs"\RTDC4028\2017-03-23 --exclude "*" --recursive --include "*20170323*" &amp; "%USERPROFILE%\Documents\GitHub\mrs-test-scripts\Headless Mode &amp; Sideloading\WalkAndUnGZ.bat" "%USERPROFILE%\AppData\Local\Temp\OnboardLogs"\RTDC4028\2017-03-23</v>
      </c>
      <c r="AF214" s="82" t="str">
        <f t="shared" si="94"/>
        <v>"C:\Program Files (x86)\AstroGrep\AstroGrep.exe" /e /r /s /spath="%USERPROFILE%\AppData\Local\Temp\OnboardLogs" /stypes="app*4028*20170322*" /stext=" 09:.+((SYSTEM_STATE.+slice.+state.+changed )|(ment ac)|(multiple cpu faults)|(system.+state.+changed )|(\[timeout)|(PRM\|1\|D)|(kpr)|(kdp)|(\|lc)|(penalty))"</v>
      </c>
      <c r="AG214" s="1" t="str">
        <f t="shared" si="95"/>
        <v>Other</v>
      </c>
      <c r="AH214" s="86" t="str">
        <f t="shared" si="97"/>
        <v>"%USERPROFILE%\Documents\GitHub\eaglep3\Utilities\RefineRTDCRunTimes.py" --tripid 304-22 --locoid 4028 --swversion DE.1.0.9.0 --startMP 300:21742 --initTime 2017-03-22T03:19:20 --startdatetime 2017-03-22T03:30:37 --delay 11 --endMP 204:143 --enddatetime 2017-03-22T03:37:50 --enforcementcount 2 &gt;&gt;C:\Users\stu\Documents\GitHub\eaglep3-reporting\EC\2017-03-22-refined-times.txt</v>
      </c>
      <c r="AI214" s="108" t="str">
        <f t="shared" si="98"/>
        <v>echo {"issue":{"subject":"","project_id":79,"tracker_id":40,"status_id":1,"priority_id":2,"assigned_to_id":23,"start_date":"2017-03-22","description":"","custom_fields":[{"id":1,"name":"Subdivision","value":"Other"},{"id":4,"name":"Milepost","value":"0.0143"},{"id":17,"name":"Train ID","value":"304-22"},{"id":16,"name":"Locomotive ID","value":"4028"},{"id":130,"name":"Impact","value":""},{"id":150,"name":"Time of Event (Mountain Time)","value":"03:37:50"},{"id":151,"name":"Denver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99"/>
        <v>start /low /b %USERPROFILE%\Documents\GitHub\eaglep3\Utilities\DownloadLogsFromS3.py --loco 4028 --day 2017-03-22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"%USERPROFILE%\AppData\Local\Temp\OnboardLogs"\RTDC4028\*4028*20170322* | grep -SE "(Enforcement Action)|(\[TIMEOUT)|(CHR.+\|PRM\|1\|D.+(SWITCH|SIGNAL).+UNKNOWN)" - &gt;&gt; 2017-03-22-UncaughtWiMAX.txt</v>
      </c>
    </row>
    <row r="215" spans="1:40" x14ac:dyDescent="0.25">
      <c r="A215" s="33" t="s">
        <v>801</v>
      </c>
      <c r="B215" s="7">
        <v>4011</v>
      </c>
      <c r="C215" s="21" t="s">
        <v>219</v>
      </c>
      <c r="D215" s="21" t="s">
        <v>223</v>
      </c>
      <c r="E215" s="13">
        <v>42816.795648148145</v>
      </c>
      <c r="F215" s="13">
        <v>42816.7968287037</v>
      </c>
      <c r="G215" s="7">
        <v>1</v>
      </c>
      <c r="H215" s="21" t="s">
        <v>575</v>
      </c>
      <c r="I215" s="13">
        <v>42816.804236111115</v>
      </c>
      <c r="J215" s="7">
        <v>2</v>
      </c>
      <c r="K215" s="98" t="str">
        <f t="shared" si="84"/>
        <v>4011/4012</v>
      </c>
      <c r="L215" s="21" t="str">
        <f>VLOOKUP(A215,'Trips&amp;Operators'!$C$1:$G$99999,5,FALSE)</f>
        <v>LOCKLEAR TRAVIS</v>
      </c>
      <c r="M215" s="6">
        <f t="shared" si="85"/>
        <v>7.4074074145755731E-3</v>
      </c>
      <c r="N215" s="7">
        <f t="shared" si="83"/>
        <v>10.666666676988825</v>
      </c>
      <c r="O215" s="7"/>
      <c r="P215" s="7"/>
      <c r="Q215" s="22"/>
      <c r="R215" s="22"/>
      <c r="S215" s="31">
        <f t="shared" si="78"/>
        <v>1</v>
      </c>
      <c r="T215" s="46" t="str">
        <f t="shared" si="86"/>
        <v>NorthBound</v>
      </c>
      <c r="U215" s="18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6" t="str">
        <f t="shared" si="87"/>
        <v>https://d0f6bd738d7f1b3e5a7ca70fe4ff75f0.us-east-1.aws.found.io/app/kibana#/discover/Steve-Slow-Train-Analysis-(2080s-and-2083s)?_g=(refreshInterval:(display:Off,pause:!f,section:0,value:0),time:(from:'2017-03-22T18:05:44-0600',mode:absolute,to:'2017-03-22T20:18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5" s="187" t="str">
        <f t="shared" si="88"/>
        <v>Y</v>
      </c>
      <c r="X215" s="187">
        <f t="shared" si="96"/>
        <v>1</v>
      </c>
      <c r="Y215" s="62">
        <f t="shared" si="89"/>
        <v>4.6899999999999997E-2</v>
      </c>
      <c r="Z215" s="62">
        <f t="shared" si="90"/>
        <v>2.3346</v>
      </c>
      <c r="AA215" s="62">
        <f t="shared" si="91"/>
        <v>2.2877000000000001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92"/>
        <v>0305-22</v>
      </c>
      <c r="AE215" s="85" t="str">
        <f t="shared" si="93"/>
        <v>aws s3 cp s3://rtdc.mdm.uploadarchive.raw/RTDC4011/ "%USERPROFILE%\AppData\Local\Temp\OnboardLogs"\RTDC4011\2017-03-22 --exclude "*" --recursive --include "*20170322*" &amp; "%USERPROFILE%\Documents\GitHub\mrs-test-scripts\Headless Mode &amp; Sideloading\WalkAndUnGZ.bat" "%USERPROFILE%\AppData\Local\Temp\OnboardLogs"\RTDC4011\2017-03-22 &amp; aws s3 cp s3://rtdc.mdm.uploadarchive.raw/RTDC4011/ "%USERPROFILE%\AppData\Local\Temp\OnboardLogs"\RTDC4011\2017-03-23 --exclude "*" --recursive --include "*20170323*" &amp; "%USERPROFILE%\Documents\GitHub\mrs-test-scripts\Headless Mode &amp; Sideloading\WalkAndUnGZ.bat" "%USERPROFILE%\AppData\Local\Temp\OnboardLogs"\RTDC4011\2017-03-23</v>
      </c>
      <c r="AF215" s="82" t="str">
        <f t="shared" si="94"/>
        <v>"C:\Program Files (x86)\AstroGrep\AstroGrep.exe" /e /r /s /spath="%USERPROFILE%\AppData\Local\Temp\OnboardLogs" /stypes="app*4011*20170323*" /stext=" 01:.+((SYSTEM_STATE.+slice.+state.+changed )|(ment ac)|(multiple cpu faults)|(system.+state.+changed )|(\[timeout)|(PRM\|1\|D)|(kpr)|(kdp)|(\|lc)|(penalty))"</v>
      </c>
      <c r="AG215" s="1" t="str">
        <f t="shared" si="95"/>
        <v>Other</v>
      </c>
      <c r="AH215" s="86" t="str">
        <f t="shared" si="97"/>
        <v>"%USERPROFILE%\Documents\GitHub\eaglep3\Utilities\RefineRTDCRunTimes.py" --tripid 305-22 --locoid 4011 --swversion DE.1.0.9.0 --startMP 204:469 --initTime 2017-03-22T19:05:44 --startdatetime 2017-03-22T19:07:26 --delay 1 --endMP 300:23346 --enddatetime 2017-03-22T19:18:06 --enforcementcount 2 &gt;&gt;C:\Users\stu\Documents\GitHub\eaglep3-reporting\EC\2017-03-22-refined-times.txt</v>
      </c>
      <c r="AI215" s="108" t="str">
        <f t="shared" si="98"/>
        <v>echo {"issue":{"subject":"","project_id":79,"tracker_id":40,"status_id":1,"priority_id":2,"assigned_to_id":23,"start_date":"2017-03-22","description":"","custom_fields":[{"id":1,"name":"Subdivision","value":"Other"},{"id":4,"name":"Milepost","value":"2.3346"},{"id":17,"name":"Train ID","value":"305-22"},{"id":16,"name":"Locomotive ID","value":"4011"},{"id":130,"name":"Impact","value":""},{"id":150,"name":"Time of Event (Mountain Time)","value":"19:18:06"},{"id":151,"name":"Denver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99"/>
        <v>start /low /b %USERPROFILE%\Documents\GitHub\eaglep3\Utilities\DownloadLogsFromS3.py --loco 4011 --day 2017-03-22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"%USERPROFILE%\AppData\Local\Temp\OnboardLogs"\RTDC4011\*4011*20170323* | grep -SE "(Enforcement Action)|(\[TIMEOUT)|(CHR.+\|PRM\|1\|D.+(SWITCH|SIGNAL).+UNKNOWN)" - &gt;&gt; 2017-03-22-UncaughtWiMAX.txt</v>
      </c>
    </row>
    <row r="216" spans="1:40" x14ac:dyDescent="0.25">
      <c r="A216" s="33" t="s">
        <v>650</v>
      </c>
      <c r="B216" s="7">
        <v>4054</v>
      </c>
      <c r="C216" s="21" t="s">
        <v>219</v>
      </c>
      <c r="D216" s="21" t="s">
        <v>935</v>
      </c>
      <c r="E216" s="13">
        <v>42816.160752314812</v>
      </c>
      <c r="F216" s="13">
        <v>42816.16375</v>
      </c>
      <c r="G216" s="7">
        <v>4</v>
      </c>
      <c r="H216" s="21" t="s">
        <v>200</v>
      </c>
      <c r="I216" s="13">
        <v>42816.169027777774</v>
      </c>
      <c r="J216" s="7">
        <v>2</v>
      </c>
      <c r="K216" s="98" t="str">
        <f t="shared" si="84"/>
        <v>4053/4054</v>
      </c>
      <c r="L216" s="21" t="str">
        <f>VLOOKUP(A216,'Trips&amp;Operators'!$C$1:$G$99999,5,FALSE)</f>
        <v>GEBRETEKLE DAGNEW</v>
      </c>
      <c r="M216" s="6">
        <f t="shared" si="85"/>
        <v>5.277777774608694E-3</v>
      </c>
      <c r="N216" s="7">
        <f t="shared" si="83"/>
        <v>7.5999999954365194</v>
      </c>
      <c r="O216" s="7"/>
      <c r="P216" s="7"/>
      <c r="Q216" s="22"/>
      <c r="R216" s="22"/>
      <c r="S216" s="31">
        <f t="shared" si="78"/>
        <v>1</v>
      </c>
      <c r="T216" s="46" t="str">
        <f t="shared" si="86"/>
        <v>Southbound</v>
      </c>
      <c r="U216" s="18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6" t="str">
        <f t="shared" si="87"/>
        <v>https://d0f6bd738d7f1b3e5a7ca70fe4ff75f0.us-east-1.aws.found.io/app/kibana#/discover/Steve-Slow-Train-Analysis-(2080s-and-2083s)?_g=(refreshInterval:(display:Off,pause:!f,section:0,value:0),time:(from:'2017-03-22T02:51:29-0600',mode:absolute,to:'2017-03-22T05:03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6" s="187" t="str">
        <f t="shared" si="88"/>
        <v>Y</v>
      </c>
      <c r="X216" s="187">
        <f t="shared" si="96"/>
        <v>1</v>
      </c>
      <c r="Y216" s="62">
        <f t="shared" si="89"/>
        <v>2.3601000000000001</v>
      </c>
      <c r="Z216" s="62">
        <f t="shared" si="90"/>
        <v>1.5800000000000002E-2</v>
      </c>
      <c r="AA216" s="62">
        <f t="shared" si="91"/>
        <v>2.3443000000000001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92"/>
        <v>0306-22</v>
      </c>
      <c r="AE216" s="85" t="str">
        <f t="shared" si="93"/>
        <v>aws s3 cp s3://rtdc.mdm.uploadarchive.raw/RTDC4054/ "%USERPROFILE%\AppData\Local\Temp\OnboardLogs"\RTDC4054\2017-03-22 --exclude "*" --recursive --include "*20170322*" &amp; "%USERPROFILE%\Documents\GitHub\mrs-test-scripts\Headless Mode &amp; Sideloading\WalkAndUnGZ.bat" "%USERPROFILE%\AppData\Local\Temp\OnboardLogs"\RTDC4054\2017-03-22 &amp; aws s3 cp s3://rtdc.mdm.uploadarchive.raw/RTDC4054/ "%USERPROFILE%\AppData\Local\Temp\OnboardLogs"\RTDC4054\2017-03-23 --exclude "*" --recursive --include "*20170323*" &amp; "%USERPROFILE%\Documents\GitHub\mrs-test-scripts\Headless Mode &amp; Sideloading\WalkAndUnGZ.bat" "%USERPROFILE%\AppData\Local\Temp\OnboardLogs"\RTDC4054\2017-03-23</v>
      </c>
      <c r="AF216" s="82" t="str">
        <f t="shared" si="94"/>
        <v>"C:\Program Files (x86)\AstroGrep\AstroGrep.exe" /e /r /s /spath="%USERPROFILE%\AppData\Local\Temp\OnboardLogs" /stypes="app*4054*20170322*" /stext=" 10:.+((SYSTEM_STATE.+slice.+state.+changed )|(ment ac)|(multiple cpu faults)|(system.+state.+changed )|(\[timeout)|(PRM\|1\|D)|(kpr)|(kdp)|(\|lc)|(penalty))"</v>
      </c>
      <c r="AG216" s="1" t="str">
        <f t="shared" si="95"/>
        <v>Other</v>
      </c>
      <c r="AH216" s="86" t="str">
        <f t="shared" si="97"/>
        <v>"%USERPROFILE%\Documents\GitHub\eaglep3\Utilities\RefineRTDCRunTimes.py" --tripid 306-22 --locoid 4054 --swversion DE.1.0.9.0 --startMP 300:23601 --initTime 2017-03-22T03:51:29 --startdatetime 2017-03-22T03:55:48 --delay 4 --endMP 204:158 --enddatetime 2017-03-22T04:03:24 --enforcementcount 2 &gt;&gt;C:\Users\stu\Documents\GitHub\eaglep3-reporting\EC\2017-03-22-refined-times.txt</v>
      </c>
      <c r="AI216" s="108" t="str">
        <f t="shared" si="98"/>
        <v>echo {"issue":{"subject":"","project_id":79,"tracker_id":40,"status_id":1,"priority_id":2,"assigned_to_id":23,"start_date":"2017-03-22","description":"","custom_fields":[{"id":1,"name":"Subdivision","value":"Other"},{"id":4,"name":"Milepost","value":"0.0158"},{"id":17,"name":"Train ID","value":"306-22"},{"id":16,"name":"Locomotive ID","value":"4054"},{"id":130,"name":"Impact","value":""},{"id":150,"name":"Time of Event (Mountain Time)","value":"04:03:24"},{"id":151,"name":"Denver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99"/>
        <v>start /low /b %USERPROFILE%\Documents\GitHub\eaglep3\Utilities\DownloadLogsFromS3.py --loco 4054 --day 2017-03-22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"%USERPROFILE%\AppData\Local\Temp\OnboardLogs"\RTDC4054\*4054*20170322* | grep -SE "(Enforcement Action)|(\[TIMEOUT)|(CHR.+\|PRM\|1\|D.+(SWITCH|SIGNAL).+UNKNOWN)" - &gt;&gt; 2017-03-22-UncaughtWiMAX.txt</v>
      </c>
    </row>
    <row r="217" spans="1:40" s="20" customFormat="1" x14ac:dyDescent="0.25">
      <c r="A217" s="33" t="s">
        <v>806</v>
      </c>
      <c r="B217" s="7">
        <v>4027</v>
      </c>
      <c r="C217" s="21" t="s">
        <v>219</v>
      </c>
      <c r="D217" s="21" t="s">
        <v>207</v>
      </c>
      <c r="E217" s="13">
        <v>42816.819814814815</v>
      </c>
      <c r="F217" s="13">
        <v>42816.821377314816</v>
      </c>
      <c r="G217" s="7">
        <v>1</v>
      </c>
      <c r="H217" s="21" t="s">
        <v>577</v>
      </c>
      <c r="I217" s="13">
        <v>42816.82949074074</v>
      </c>
      <c r="J217" s="7">
        <v>2</v>
      </c>
      <c r="K217" s="98" t="str">
        <f t="shared" si="84"/>
        <v>4027/4028</v>
      </c>
      <c r="L217" s="21" t="str">
        <f>VLOOKUP(A217,'Trips&amp;Operators'!$C$1:$G$99999,5,FALSE)</f>
        <v>STRICKLAND EVAN</v>
      </c>
      <c r="M217" s="6">
        <f t="shared" si="85"/>
        <v>8.1134259235113859E-3</v>
      </c>
      <c r="N217" s="7">
        <f t="shared" si="83"/>
        <v>11.683333329856396</v>
      </c>
      <c r="O217" s="7"/>
      <c r="P217" s="7"/>
      <c r="Q217" s="22"/>
      <c r="R217" s="22"/>
      <c r="S217" s="31">
        <f t="shared" si="78"/>
        <v>1</v>
      </c>
      <c r="T217" s="46" t="str">
        <f t="shared" si="86"/>
        <v>NorthBound</v>
      </c>
      <c r="U217" s="18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86" t="str">
        <f t="shared" si="87"/>
        <v>https://d0f6bd738d7f1b3e5a7ca70fe4ff75f0.us-east-1.aws.found.io/app/kibana#/discover/Steve-Slow-Train-Analysis-(2080s-and-2083s)?_g=(refreshInterval:(display:Off,pause:!f,section:0,value:0),time:(from:'2017-03-22T18:40:32-0600',mode:absolute,to:'2017-03-22T20:54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7" s="187" t="str">
        <f t="shared" si="88"/>
        <v>Y</v>
      </c>
      <c r="X217" s="187">
        <f t="shared" si="96"/>
        <v>1</v>
      </c>
      <c r="Y217" s="62">
        <f t="shared" si="89"/>
        <v>4.5100000000000001E-2</v>
      </c>
      <c r="Z217" s="62">
        <f t="shared" si="90"/>
        <v>2.3302</v>
      </c>
      <c r="AA217" s="62">
        <f t="shared" si="91"/>
        <v>2.2850999999999999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92"/>
        <v>0307-22</v>
      </c>
      <c r="AE217" s="85" t="str">
        <f t="shared" si="93"/>
        <v>aws s3 cp s3://rtdc.mdm.uploadarchive.raw/RTDC4027/ "%USERPROFILE%\AppData\Local\Temp\OnboardLogs"\RTDC4027\2017-03-22 --exclude "*" --recursive --include "*20170322*" &amp; "%USERPROFILE%\Documents\GitHub\mrs-test-scripts\Headless Mode &amp; Sideloading\WalkAndUnGZ.bat" "%USERPROFILE%\AppData\Local\Temp\OnboardLogs"\RTDC4027\2017-03-22 &amp; aws s3 cp s3://rtdc.mdm.uploadarchive.raw/RTDC4027/ "%USERPROFILE%\AppData\Local\Temp\OnboardLogs"\RTDC4027\2017-03-23 --exclude "*" --recursive --include "*20170323*" &amp; "%USERPROFILE%\Documents\GitHub\mrs-test-scripts\Headless Mode &amp; Sideloading\WalkAndUnGZ.bat" "%USERPROFILE%\AppData\Local\Temp\OnboardLogs"\RTDC4027\2017-03-23</v>
      </c>
      <c r="AF217" s="82" t="str">
        <f t="shared" si="94"/>
        <v>"C:\Program Files (x86)\AstroGrep\AstroGrep.exe" /e /r /s /spath="%USERPROFILE%\AppData\Local\Temp\OnboardLogs" /stypes="app*4027*20170323*" /stext=" 01:.+((SYSTEM_STATE.+slice.+state.+changed )|(ment ac)|(multiple cpu faults)|(system.+state.+changed )|(\[timeout)|(PRM\|1\|D)|(kpr)|(kdp)|(\|lc)|(penalty))"</v>
      </c>
      <c r="AG217" s="1" t="str">
        <f t="shared" si="95"/>
        <v>Other</v>
      </c>
      <c r="AH217" s="86" t="str">
        <f t="shared" si="97"/>
        <v>"%USERPROFILE%\Documents\GitHub\eaglep3\Utilities\RefineRTDCRunTimes.py" --tripid 307-22 --locoid 4027 --swversion DE.1.0.9.0 --startMP 204:451 --initTime 2017-03-22T19:40:32 --startdatetime 2017-03-22T19:42:47 --delay 1 --endMP 300:23302 --enddatetime 2017-03-22T19:54:28 --enforcementcount 2 &gt;&gt;C:\Users\stu\Documents\GitHub\eaglep3-reporting\EC\2017-03-22-refined-times.txt</v>
      </c>
      <c r="AI217" s="108" t="str">
        <f t="shared" si="98"/>
        <v>echo {"issue":{"subject":"","project_id":79,"tracker_id":40,"status_id":1,"priority_id":2,"assigned_to_id":23,"start_date":"2017-03-22","description":"","custom_fields":[{"id":1,"name":"Subdivision","value":"Other"},{"id":4,"name":"Milepost","value":"2.3302"},{"id":17,"name":"Train ID","value":"307-22"},{"id":16,"name":"Locomotive ID","value":"4027"},{"id":130,"name":"Impact","value":""},{"id":150,"name":"Time of Event (Mountain Time)","value":"19:54:28"},{"id":151,"name":"Denver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99"/>
        <v>start /low /b %USERPROFILE%\Documents\GitHub\eaglep3\Utilities\DownloadLogsFromS3.py --loco 4027 --day 2017-03-22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"%USERPROFILE%\AppData\Local\Temp\OnboardLogs"\RTDC4027\*4027*20170323* | grep -SE "(Enforcement Action)|(\[TIMEOUT)|(CHR.+\|PRM\|1\|D.+(SWITCH|SIGNAL).+UNKNOWN)" - &gt;&gt; 2017-03-22-UncaughtWiMAX.txt</v>
      </c>
    </row>
    <row r="218" spans="1:40" x14ac:dyDescent="0.25">
      <c r="A218" s="33" t="s">
        <v>653</v>
      </c>
      <c r="B218" s="7">
        <v>4019</v>
      </c>
      <c r="C218" s="21" t="s">
        <v>219</v>
      </c>
      <c r="D218" s="21" t="s">
        <v>936</v>
      </c>
      <c r="E218" s="13">
        <v>42816.168900462966</v>
      </c>
      <c r="F218" s="13">
        <v>42816.170995370368</v>
      </c>
      <c r="G218" s="7">
        <v>2</v>
      </c>
      <c r="H218" s="21" t="s">
        <v>395</v>
      </c>
      <c r="I218" s="13">
        <v>42816.176874999997</v>
      </c>
      <c r="J218" s="7">
        <v>2</v>
      </c>
      <c r="K218" s="98" t="str">
        <f t="shared" si="84"/>
        <v>4019/4020</v>
      </c>
      <c r="L218" s="21" t="str">
        <f>VLOOKUP(A218,'Trips&amp;Operators'!$C$1:$G$99999,5,FALSE)</f>
        <v>GUZMAN DANNY</v>
      </c>
      <c r="M218" s="6">
        <f t="shared" si="85"/>
        <v>5.8796296289074235E-3</v>
      </c>
      <c r="N218" s="7">
        <f t="shared" si="83"/>
        <v>8.4666666656266898</v>
      </c>
      <c r="O218" s="7"/>
      <c r="P218" s="7"/>
      <c r="Q218" s="22"/>
      <c r="R218" s="22"/>
      <c r="S218" s="31">
        <f t="shared" si="78"/>
        <v>1</v>
      </c>
      <c r="T218" s="46" t="str">
        <f t="shared" si="86"/>
        <v>Southbound</v>
      </c>
      <c r="U218" s="18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6" t="str">
        <f t="shared" si="87"/>
        <v>https://d0f6bd738d7f1b3e5a7ca70fe4ff75f0.us-east-1.aws.found.io/app/kibana#/discover/Steve-Slow-Train-Analysis-(2080s-and-2083s)?_g=(refreshInterval:(display:Off,pause:!f,section:0,value:0),time:(from:'2017-03-22T03:03:13-0600',mode:absolute,to:'2017-03-22T05:14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8" s="187" t="str">
        <f t="shared" si="88"/>
        <v>Y</v>
      </c>
      <c r="X218" s="187">
        <f t="shared" si="96"/>
        <v>1</v>
      </c>
      <c r="Y218" s="62">
        <f t="shared" si="89"/>
        <v>2.3525</v>
      </c>
      <c r="Z218" s="62">
        <f t="shared" si="90"/>
        <v>1.4500000000000001E-2</v>
      </c>
      <c r="AA218" s="62">
        <f t="shared" si="91"/>
        <v>2.3380000000000001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92"/>
        <v>0308-22</v>
      </c>
      <c r="AE218" s="85" t="str">
        <f t="shared" si="93"/>
        <v>aws s3 cp s3://rtdc.mdm.uploadarchive.raw/RTDC4019/ "%USERPROFILE%\AppData\Local\Temp\OnboardLogs"\RTDC4019\2017-03-22 --exclude "*" --recursive --include "*20170322*" &amp; "%USERPROFILE%\Documents\GitHub\mrs-test-scripts\Headless Mode &amp; Sideloading\WalkAndUnGZ.bat" "%USERPROFILE%\AppData\Local\Temp\OnboardLogs"\RTDC4019\2017-03-22 &amp; aws s3 cp s3://rtdc.mdm.uploadarchive.raw/RTDC4019/ "%USERPROFILE%\AppData\Local\Temp\OnboardLogs"\RTDC4019\2017-03-23 --exclude "*" --recursive --include "*20170323*" &amp; "%USERPROFILE%\Documents\GitHub\mrs-test-scripts\Headless Mode &amp; Sideloading\WalkAndUnGZ.bat" "%USERPROFILE%\AppData\Local\Temp\OnboardLogs"\RTDC4019\2017-03-23</v>
      </c>
      <c r="AF218" s="82" t="str">
        <f t="shared" si="94"/>
        <v>"C:\Program Files (x86)\AstroGrep\AstroGrep.exe" /e /r /s /spath="%USERPROFILE%\AppData\Local\Temp\OnboardLogs" /stypes="app*4019*20170322*" /stext=" 10:.+((SYSTEM_STATE.+slice.+state.+changed )|(ment ac)|(multiple cpu faults)|(system.+state.+changed )|(\[timeout)|(PRM\|1\|D)|(kpr)|(kdp)|(\|lc)|(penalty))"</v>
      </c>
      <c r="AG218" s="1" t="str">
        <f t="shared" si="95"/>
        <v>Other</v>
      </c>
      <c r="AH218" s="86" t="str">
        <f t="shared" si="97"/>
        <v>"%USERPROFILE%\Documents\GitHub\eaglep3\Utilities\RefineRTDCRunTimes.py" --tripid 308-22 --locoid 4019 --swversion DE.1.0.9.0 --startMP 300:23525 --initTime 2017-03-22T04:03:13 --startdatetime 2017-03-22T04:06:14 --delay 2 --endMP 204:145 --enddatetime 2017-03-22T04:14:42 --enforcementcount 2 &gt;&gt;C:\Users\stu\Documents\GitHub\eaglep3-reporting\EC\2017-03-22-refined-times.txt</v>
      </c>
      <c r="AI218" s="108" t="str">
        <f t="shared" si="98"/>
        <v>echo {"issue":{"subject":"","project_id":79,"tracker_id":40,"status_id":1,"priority_id":2,"assigned_to_id":23,"start_date":"2017-03-22","description":"","custom_fields":[{"id":1,"name":"Subdivision","value":"Other"},{"id":4,"name":"Milepost","value":"0.0145"},{"id":17,"name":"Train ID","value":"308-22"},{"id":16,"name":"Locomotive ID","value":"4019"},{"id":130,"name":"Impact","value":""},{"id":150,"name":"Time of Event (Mountain Time)","value":"04:14:42"},{"id":151,"name":"Denver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99"/>
        <v>start /low /b %USERPROFILE%\Documents\GitHub\eaglep3\Utilities\DownloadLogsFromS3.py --loco 4019 --day 2017-03-22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"%USERPROFILE%\AppData\Local\Temp\OnboardLogs"\RTDC4019\*4019*20170322* | grep -SE "(Enforcement Action)|(\[TIMEOUT)|(CHR.+\|PRM\|1\|D.+(SWITCH|SIGNAL).+UNKNOWN)" - &gt;&gt; 2017-03-22-UncaughtWiMAX.txt</v>
      </c>
    </row>
    <row r="219" spans="1:40" x14ac:dyDescent="0.25">
      <c r="A219" s="33" t="s">
        <v>834</v>
      </c>
      <c r="B219" s="7">
        <v>4003</v>
      </c>
      <c r="C219" s="21" t="s">
        <v>219</v>
      </c>
      <c r="D219" s="21" t="s">
        <v>937</v>
      </c>
      <c r="E219" s="13">
        <v>42817.049317129633</v>
      </c>
      <c r="F219" s="13">
        <v>42817.05128472222</v>
      </c>
      <c r="G219" s="7">
        <v>1</v>
      </c>
      <c r="H219" s="21" t="s">
        <v>576</v>
      </c>
      <c r="I219" s="13">
        <v>42817.062349537038</v>
      </c>
      <c r="J219" s="7">
        <v>2</v>
      </c>
      <c r="K219" s="98" t="str">
        <f t="shared" si="84"/>
        <v>4003/4004</v>
      </c>
      <c r="L219" s="21" t="str">
        <f>VLOOKUP(A219,'Trips&amp;Operators'!$C$1:$G$99999,5,FALSE)</f>
        <v>LALONDE GREGORY</v>
      </c>
      <c r="M219" s="6">
        <f t="shared" si="85"/>
        <v>1.1064814818382729E-2</v>
      </c>
      <c r="N219" s="7">
        <f t="shared" si="83"/>
        <v>15.93333333847113</v>
      </c>
      <c r="O219" s="7"/>
      <c r="P219" s="7"/>
      <c r="Q219" s="22"/>
      <c r="R219" s="22"/>
      <c r="S219" s="31">
        <f t="shared" si="78"/>
        <v>1</v>
      </c>
      <c r="T219" s="46" t="str">
        <f t="shared" si="86"/>
        <v>NorthBound</v>
      </c>
      <c r="U219" s="18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86" t="str">
        <f t="shared" si="87"/>
        <v>https://d0f6bd738d7f1b3e5a7ca70fe4ff75f0.us-east-1.aws.found.io/app/kibana#/discover/Steve-Slow-Train-Analysis-(2080s-and-2083s)?_g=(refreshInterval:(display:Off,pause:!f,section:0,value:0),time:(from:'2017-03-23T00:11:01-0600',mode:absolute,to:'2017-03-23T02:29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9" s="187" t="str">
        <f t="shared" si="88"/>
        <v>Y</v>
      </c>
      <c r="X219" s="187">
        <f t="shared" si="96"/>
        <v>1</v>
      </c>
      <c r="Y219" s="62">
        <f t="shared" si="89"/>
        <v>4.3999999999999997E-2</v>
      </c>
      <c r="Z219" s="62">
        <f t="shared" si="90"/>
        <v>2.3304</v>
      </c>
      <c r="AA219" s="62">
        <f t="shared" si="91"/>
        <v>2.2864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92"/>
        <v>0309-22</v>
      </c>
      <c r="AE219" s="85" t="str">
        <f t="shared" si="93"/>
        <v>aws s3 cp s3://rtdc.mdm.uploadarchive.raw/RTDC4003/ "%USERPROFILE%\AppData\Local\Temp\OnboardLogs"\RTDC4003\2017-03-23 --exclude "*" --recursive --include "*20170323*" &amp; "%USERPROFILE%\Documents\GitHub\mrs-test-scripts\Headless Mode &amp; Sideloading\WalkAndUnGZ.bat" "%USERPROFILE%\AppData\Local\Temp\OnboardLogs"\RTDC4003\2017-03-23 &amp; aws s3 cp s3://rtdc.mdm.uploadarchive.raw/RTDC4003/ "%USERPROFILE%\AppData\Local\Temp\OnboardLogs"\RTDC4003\2017-03-24 --exclude "*" --recursive --include "*20170324*" &amp; "%USERPROFILE%\Documents\GitHub\mrs-test-scripts\Headless Mode &amp; Sideloading\WalkAndUnGZ.bat" "%USERPROFILE%\AppData\Local\Temp\OnboardLogs"\RTDC4003\2017-03-24</v>
      </c>
      <c r="AF219" s="82" t="str">
        <f t="shared" si="94"/>
        <v>"C:\Program Files (x86)\AstroGrep\AstroGrep.exe" /e /r /s /spath="%USERPROFILE%\AppData\Local\Temp\OnboardLogs" /stypes="app*4003*20170323*" /stext=" 07:.+((SYSTEM_STATE.+slice.+state.+changed )|(ment ac)|(multiple cpu faults)|(system.+state.+changed )|(\[timeout)|(PRM\|1\|D)|(kpr)|(kdp)|(\|lc)|(penalty))"</v>
      </c>
      <c r="AG219" s="1" t="str">
        <f t="shared" si="95"/>
        <v>Other</v>
      </c>
      <c r="AH219" s="86" t="str">
        <f t="shared" si="97"/>
        <v>"%USERPROFILE%\Documents\GitHub\eaglep3\Utilities\RefineRTDCRunTimes.py" --tripid 309-22 --locoid 4003 --swversion DE.1.0.9.0 --startMP 204:440 --initTime 2017-03-23T01:11:01 --startdatetime 2017-03-23T01:13:51 --delay 1 --endMP 300:23304 --enddatetime 2017-03-23T01:29:47 --enforcementcount 2 &gt;&gt;C:\Users\stu\Documents\GitHub\eaglep3-reporting\EC\2017-03-22-refined-times.txt</v>
      </c>
      <c r="AI219" s="108" t="str">
        <f t="shared" si="98"/>
        <v>echo {"issue":{"subject":"","project_id":79,"tracker_id":40,"status_id":1,"priority_id":2,"assigned_to_id":23,"start_date":"2017-03-23","description":"","custom_fields":[{"id":1,"name":"Subdivision","value":"Other"},{"id":4,"name":"Milepost","value":"2.3304"},{"id":17,"name":"Train ID","value":"309-22"},{"id":16,"name":"Locomotive ID","value":"4003"},{"id":130,"name":"Impact","value":""},{"id":150,"name":"Time of Event (Mountain Time)","value":"01:29:47"},{"id":151,"name":"Denver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99"/>
        <v>start /low /b %USERPROFILE%\Documents\GitHub\eaglep3\Utilities\DownloadLogsFromS3.py --loco 4003 --day 2017-03-23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"%USERPROFILE%\AppData\Local\Temp\OnboardLogs"\RTDC4003\*4003*20170323* | grep -SE "(Enforcement Action)|(\[TIMEOUT)|(CHR.+\|PRM\|1\|D.+(SWITCH|SIGNAL).+UNKNOWN)" - &gt;&gt; 2017-03-22-UncaughtWiMAX.txt</v>
      </c>
    </row>
    <row r="220" spans="1:40" x14ac:dyDescent="0.25">
      <c r="A220" s="33" t="s">
        <v>658</v>
      </c>
      <c r="B220" s="7">
        <v>4041</v>
      </c>
      <c r="C220" s="21" t="s">
        <v>219</v>
      </c>
      <c r="D220" s="21" t="s">
        <v>938</v>
      </c>
      <c r="E220" s="13">
        <v>42816.184479166666</v>
      </c>
      <c r="F220" s="13">
        <v>42816.187210648146</v>
      </c>
      <c r="G220" s="7">
        <v>3</v>
      </c>
      <c r="H220" s="21" t="s">
        <v>215</v>
      </c>
      <c r="I220" s="13">
        <v>42816.19158564815</v>
      </c>
      <c r="J220" s="7">
        <v>2</v>
      </c>
      <c r="K220" s="98" t="str">
        <f t="shared" si="84"/>
        <v>4041/4042</v>
      </c>
      <c r="L220" s="21" t="str">
        <f>VLOOKUP(A220,'Trips&amp;Operators'!$C$1:$G$99999,5,FALSE)</f>
        <v>SANTIZO D. EDY</v>
      </c>
      <c r="M220" s="6">
        <f t="shared" si="85"/>
        <v>4.3750000040745363E-3</v>
      </c>
      <c r="N220" s="7">
        <f t="shared" si="83"/>
        <v>6.3000000058673322</v>
      </c>
      <c r="O220" s="7"/>
      <c r="P220" s="7"/>
      <c r="Q220" s="22"/>
      <c r="R220" s="22"/>
      <c r="S220" s="31">
        <f t="shared" si="78"/>
        <v>1</v>
      </c>
      <c r="T220" s="46" t="str">
        <f t="shared" si="86"/>
        <v>Southbound</v>
      </c>
      <c r="U220" s="18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86" t="str">
        <f t="shared" si="87"/>
        <v>https://d0f6bd738d7f1b3e5a7ca70fe4ff75f0.us-east-1.aws.found.io/app/kibana#/discover/Steve-Slow-Train-Analysis-(2080s-and-2083s)?_g=(refreshInterval:(display:Off,pause:!f,section:0,value:0),time:(from:'2017-03-22T03:25:39-0600',mode:absolute,to:'2017-03-22T05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0" s="187" t="str">
        <f t="shared" si="88"/>
        <v>Y</v>
      </c>
      <c r="X220" s="187">
        <f t="shared" si="96"/>
        <v>1</v>
      </c>
      <c r="Y220" s="62">
        <f t="shared" si="89"/>
        <v>1.9441999999999999</v>
      </c>
      <c r="Z220" s="62">
        <f t="shared" si="90"/>
        <v>1.47E-2</v>
      </c>
      <c r="AA220" s="62">
        <f t="shared" si="91"/>
        <v>1.9295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92"/>
        <v>0310-22</v>
      </c>
      <c r="AE220" s="85" t="str">
        <f t="shared" si="93"/>
        <v>aws s3 cp s3://rtdc.mdm.uploadarchive.raw/RTDC4041/ "%USERPROFILE%\AppData\Local\Temp\OnboardLogs"\RTDC4041\2017-03-22 --exclude "*" --recursive --include "*20170322*" &amp; "%USERPROFILE%\Documents\GitHub\mrs-test-scripts\Headless Mode &amp; Sideloading\WalkAndUnGZ.bat" "%USERPROFILE%\AppData\Local\Temp\OnboardLogs"\RTDC4041\2017-03-22 &amp; aws s3 cp s3://rtdc.mdm.uploadarchive.raw/RTDC4041/ "%USERPROFILE%\AppData\Local\Temp\OnboardLogs"\RTDC4041\2017-03-23 --exclude "*" --recursive --include "*20170323*" &amp; "%USERPROFILE%\Documents\GitHub\mrs-test-scripts\Headless Mode &amp; Sideloading\WalkAndUnGZ.bat" "%USERPROFILE%\AppData\Local\Temp\OnboardLogs"\RTDC4041\2017-03-23</v>
      </c>
      <c r="AF220" s="82" t="str">
        <f t="shared" si="94"/>
        <v>"C:\Program Files (x86)\AstroGrep\AstroGrep.exe" /e /r /s /spath="%USERPROFILE%\AppData\Local\Temp\OnboardLogs" /stypes="app*4041*20170322*" /stext=" 10:.+((SYSTEM_STATE.+slice.+state.+changed )|(ment ac)|(multiple cpu faults)|(system.+state.+changed )|(\[timeout)|(PRM\|1\|D)|(kpr)|(kdp)|(\|lc)|(penalty))"</v>
      </c>
      <c r="AG220" s="1" t="str">
        <f t="shared" si="95"/>
        <v>Other</v>
      </c>
      <c r="AH220" s="86" t="str">
        <f t="shared" si="97"/>
        <v>"%USERPROFILE%\Documents\GitHub\eaglep3\Utilities\RefineRTDCRunTimes.py" --tripid 310-22 --locoid 4041 --swversion DE.1.0.9.0 --startMP 300:19442 --initTime 2017-03-22T04:25:39 --startdatetime 2017-03-22T04:29:35 --delay 3 --endMP 204:147 --enddatetime 2017-03-22T04:35:53 --enforcementcount 2 &gt;&gt;C:\Users\stu\Documents\GitHub\eaglep3-reporting\EC\2017-03-22-refined-times.txt</v>
      </c>
      <c r="AI220" s="108" t="str">
        <f t="shared" si="98"/>
        <v>echo {"issue":{"subject":"","project_id":79,"tracker_id":40,"status_id":1,"priority_id":2,"assigned_to_id":23,"start_date":"2017-03-22","description":"","custom_fields":[{"id":1,"name":"Subdivision","value":"Other"},{"id":4,"name":"Milepost","value":"0.0147"},{"id":17,"name":"Train ID","value":"310-22"},{"id":16,"name":"Locomotive ID","value":"4041"},{"id":130,"name":"Impact","value":""},{"id":150,"name":"Time of Event (Mountain Time)","value":"04:35:53"},{"id":151,"name":"Denver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99"/>
        <v>start /low /b %USERPROFILE%\Documents\GitHub\eaglep3\Utilities\DownloadLogsFromS3.py --loco 4041 --day 2017-03-22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"%USERPROFILE%\AppData\Local\Temp\OnboardLogs"\RTDC4041\*4041*20170322* | grep -SE "(Enforcement Action)|(\[TIMEOUT)|(CHR.+\|PRM\|1\|D.+(SWITCH|SIGNAL).+UNKNOWN)" - &gt;&gt; 2017-03-22-UncaughtWiMAX.txt</v>
      </c>
    </row>
    <row r="221" spans="1:40" x14ac:dyDescent="0.25">
      <c r="A221" s="33" t="s">
        <v>836</v>
      </c>
      <c r="B221" s="7">
        <v>4040</v>
      </c>
      <c r="C221" s="21" t="s">
        <v>219</v>
      </c>
      <c r="D221" s="21" t="s">
        <v>566</v>
      </c>
      <c r="E221" s="13">
        <v>42817.070636574077</v>
      </c>
      <c r="F221" s="13">
        <v>42817.072025462963</v>
      </c>
      <c r="G221" s="7">
        <v>1</v>
      </c>
      <c r="H221" s="21" t="s">
        <v>575</v>
      </c>
      <c r="I221" s="13">
        <v>42817.080196759256</v>
      </c>
      <c r="J221" s="7">
        <v>2</v>
      </c>
      <c r="K221" s="98" t="str">
        <f t="shared" si="84"/>
        <v>4039/4040</v>
      </c>
      <c r="L221" s="21" t="str">
        <f>VLOOKUP(A221,'Trips&amp;Operators'!$C$1:$G$99999,5,FALSE)</f>
        <v>BROWN JACOB</v>
      </c>
      <c r="M221" s="6">
        <f t="shared" si="85"/>
        <v>8.1712962928577326E-3</v>
      </c>
      <c r="N221" s="7">
        <f t="shared" si="83"/>
        <v>11.766666661715135</v>
      </c>
      <c r="O221" s="7"/>
      <c r="P221" s="7"/>
      <c r="Q221" s="22"/>
      <c r="R221" s="22"/>
      <c r="S221" s="31">
        <f t="shared" si="78"/>
        <v>1</v>
      </c>
      <c r="T221" s="46" t="str">
        <f t="shared" si="86"/>
        <v>NorthBound</v>
      </c>
      <c r="U221" s="18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86" t="str">
        <f t="shared" si="87"/>
        <v>https://d0f6bd738d7f1b3e5a7ca70fe4ff75f0.us-east-1.aws.found.io/app/kibana#/discover/Steve-Slow-Train-Analysis-(2080s-and-2083s)?_g=(refreshInterval:(display:Off,pause:!f,section:0,value:0),time:(from:'2017-03-23T00:41:43-0600',mode:absolute,to:'2017-03-23T02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21" s="187" t="str">
        <f t="shared" si="88"/>
        <v>Y</v>
      </c>
      <c r="X221" s="187">
        <f t="shared" si="96"/>
        <v>1</v>
      </c>
      <c r="Y221" s="62">
        <f t="shared" si="89"/>
        <v>5.2200000000000003E-2</v>
      </c>
      <c r="Z221" s="62">
        <f t="shared" si="90"/>
        <v>2.3346</v>
      </c>
      <c r="AA221" s="62">
        <f t="shared" si="91"/>
        <v>2.2824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92"/>
        <v>0311-22</v>
      </c>
      <c r="AE221" s="85" t="str">
        <f t="shared" si="93"/>
        <v>aws s3 cp s3://rtdc.mdm.uploadarchive.raw/RTDC4040/ "%USERPROFILE%\AppData\Local\Temp\OnboardLogs"\RTDC4040\2017-03-23 --exclude "*" --recursive --include "*20170323*" &amp; "%USERPROFILE%\Documents\GitHub\mrs-test-scripts\Headless Mode &amp; Sideloading\WalkAndUnGZ.bat" "%USERPROFILE%\AppData\Local\Temp\OnboardLogs"\RTDC4040\2017-03-23 &amp; aws s3 cp s3://rtdc.mdm.uploadarchive.raw/RTDC4040/ "%USERPROFILE%\AppData\Local\Temp\OnboardLogs"\RTDC4040\2017-03-24 --exclude "*" --recursive --include "*20170324*" &amp; "%USERPROFILE%\Documents\GitHub\mrs-test-scripts\Headless Mode &amp; Sideloading\WalkAndUnGZ.bat" "%USERPROFILE%\AppData\Local\Temp\OnboardLogs"\RTDC4040\2017-03-24</v>
      </c>
      <c r="AF221" s="82" t="str">
        <f t="shared" si="94"/>
        <v>"C:\Program Files (x86)\AstroGrep\AstroGrep.exe" /e /r /s /spath="%USERPROFILE%\AppData\Local\Temp\OnboardLogs" /stypes="app*4040*20170323*" /stext=" 07:.+((SYSTEM_STATE.+slice.+state.+changed )|(ment ac)|(multiple cpu faults)|(system.+state.+changed )|(\[timeout)|(PRM\|1\|D)|(kpr)|(kdp)|(\|lc)|(penalty))"</v>
      </c>
      <c r="AG221" s="1" t="str">
        <f t="shared" si="95"/>
        <v>Other</v>
      </c>
      <c r="AH221" s="86" t="str">
        <f t="shared" si="97"/>
        <v>"%USERPROFILE%\Documents\GitHub\eaglep3\Utilities\RefineRTDCRunTimes.py" --tripid 311-22 --locoid 4040 --swversion DE.1.0.9.0 --startMP 204:522 --initTime 2017-03-23T01:41:43 --startdatetime 2017-03-23T01:43:43 --delay 1 --endMP 300:23346 --enddatetime 2017-03-23T01:55:29 --enforcementcount 2 &gt;&gt;C:\Users\stu\Documents\GitHub\eaglep3-reporting\EC\2017-03-22-refined-times.txt</v>
      </c>
      <c r="AI221" s="108" t="str">
        <f t="shared" si="98"/>
        <v>echo {"issue":{"subject":"","project_id":79,"tracker_id":40,"status_id":1,"priority_id":2,"assigned_to_id":23,"start_date":"2017-03-23","description":"","custom_fields":[{"id":1,"name":"Subdivision","value":"Other"},{"id":4,"name":"Milepost","value":"2.3346"},{"id":17,"name":"Train ID","value":"311-22"},{"id":16,"name":"Locomotive ID","value":"4040"},{"id":130,"name":"Impact","value":""},{"id":150,"name":"Time of Event (Mountain Time)","value":"01:55:29"},{"id":151,"name":"Denver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99"/>
        <v>start /low /b %USERPROFILE%\Documents\GitHub\eaglep3\Utilities\DownloadLogsFromS3.py --loco 4040 --day 2017-03-23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"%USERPROFILE%\AppData\Local\Temp\OnboardLogs"\RTDC4040\*4040*20170323* | grep -SE "(Enforcement Action)|(\[TIMEOUT)|(CHR.+\|PRM\|1\|D.+(SWITCH|SIGNAL).+UNKNOWN)" - &gt;&gt; 2017-03-22-UncaughtWiMAX.txt</v>
      </c>
    </row>
    <row r="222" spans="1:40" x14ac:dyDescent="0.25">
      <c r="A222" s="33" t="s">
        <v>837</v>
      </c>
      <c r="B222" s="7">
        <v>4046</v>
      </c>
      <c r="C222" s="21" t="s">
        <v>219</v>
      </c>
      <c r="D222" s="21" t="s">
        <v>221</v>
      </c>
      <c r="E222" s="13">
        <v>42817.088425925926</v>
      </c>
      <c r="F222" s="13">
        <v>42817.090046296296</v>
      </c>
      <c r="G222" s="7">
        <v>1</v>
      </c>
      <c r="H222" s="21" t="s">
        <v>939</v>
      </c>
      <c r="I222" s="13">
        <v>42817.098101851851</v>
      </c>
      <c r="J222" s="7">
        <v>2</v>
      </c>
      <c r="K222" s="98" t="str">
        <f t="shared" si="84"/>
        <v>4045/4046</v>
      </c>
      <c r="L222" s="21" t="str">
        <f>VLOOKUP(A222,'Trips&amp;Operators'!$C$1:$G$99999,5,FALSE)</f>
        <v>NEWELL JAMES</v>
      </c>
      <c r="M222" s="6">
        <f t="shared" si="85"/>
        <v>8.0555555541650392E-3</v>
      </c>
      <c r="N222" s="7">
        <f t="shared" si="83"/>
        <v>11.599999997997656</v>
      </c>
      <c r="O222" s="7"/>
      <c r="P222" s="7"/>
      <c r="Q222" s="22"/>
      <c r="R222" s="22"/>
      <c r="S222" s="31">
        <f t="shared" si="78"/>
        <v>1</v>
      </c>
      <c r="T222" s="46" t="str">
        <f t="shared" si="86"/>
        <v>NorthBound</v>
      </c>
      <c r="U222" s="18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86" t="str">
        <f t="shared" si="87"/>
        <v>https://d0f6bd738d7f1b3e5a7ca70fe4ff75f0.us-east-1.aws.found.io/app/kibana#/discover/Steve-Slow-Train-Analysis-(2080s-and-2083s)?_g=(refreshInterval:(display:Off,pause:!f,section:0,value:0),time:(from:'2017-03-23T01:07:20-0600',mode:absolute,to:'2017-03-23T03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22" s="187" t="str">
        <f t="shared" si="88"/>
        <v>Y</v>
      </c>
      <c r="X222" s="187">
        <f t="shared" si="96"/>
        <v>2</v>
      </c>
      <c r="Y222" s="62">
        <f t="shared" si="89"/>
        <v>4.6699999999999998E-2</v>
      </c>
      <c r="Z222" s="62">
        <f t="shared" si="90"/>
        <v>2.3300999999999998</v>
      </c>
      <c r="AA222" s="62">
        <f t="shared" si="91"/>
        <v>2.2833999999999999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92"/>
        <v>0313-22</v>
      </c>
      <c r="AE222" s="85" t="str">
        <f t="shared" si="93"/>
        <v>aws s3 cp s3://rtdc.mdm.uploadarchive.raw/RTDC4046/ "%USERPROFILE%\AppData\Local\Temp\OnboardLogs"\RTDC4046\2017-03-23 --exclude "*" --recursive --include "*20170323*" &amp; "%USERPROFILE%\Documents\GitHub\mrs-test-scripts\Headless Mode &amp; Sideloading\WalkAndUnGZ.bat" "%USERPROFILE%\AppData\Local\Temp\OnboardLogs"\RTDC4046\2017-03-23 &amp; aws s3 cp s3://rtdc.mdm.uploadarchive.raw/RTDC4046/ "%USERPROFILE%\AppData\Local\Temp\OnboardLogs"\RTDC4046\2017-03-24 --exclude "*" --recursive --include "*20170324*" &amp; "%USERPROFILE%\Documents\GitHub\mrs-test-scripts\Headless Mode &amp; Sideloading\WalkAndUnGZ.bat" "%USERPROFILE%\AppData\Local\Temp\OnboardLogs"\RTDC4046\2017-03-24</v>
      </c>
      <c r="AF222" s="82" t="str">
        <f t="shared" si="94"/>
        <v>"C:\Program Files (x86)\AstroGrep\AstroGrep.exe" /e /r /s /spath="%USERPROFILE%\AppData\Local\Temp\OnboardLogs" /stypes="app*4046*20170323*" /stext=" 08:.+((SYSTEM_STATE.+slice.+state.+changed )|(ment ac)|(multiple cpu faults)|(system.+state.+changed )|(\[timeout)|(PRM\|1\|D)|(kpr)|(kdp)|(\|lc)|(penalty))"</v>
      </c>
      <c r="AG222" s="1" t="str">
        <f t="shared" si="95"/>
        <v>Other</v>
      </c>
      <c r="AH222" s="86" t="str">
        <f t="shared" si="97"/>
        <v>"%USERPROFILE%\Documents\GitHub\eaglep3\Utilities\RefineRTDCRunTimes.py" --tripid 313-22 --locoid 4046 --swversion DE.1.0.9.0 --startMP 204:467 --initTime 2017-03-23T02:07:20 --startdatetime 2017-03-23T02:09:40 --delay 1 --endMP 300:23301 --enddatetime 2017-03-23T02:21:16 --enforcementcount 2 &gt;&gt;C:\Users\stu\Documents\GitHub\eaglep3-reporting\EC\2017-03-22-refined-times.txt</v>
      </c>
      <c r="AI222" s="108" t="str">
        <f t="shared" si="98"/>
        <v>echo {"issue":{"subject":"","project_id":79,"tracker_id":40,"status_id":1,"priority_id":2,"assigned_to_id":23,"start_date":"2017-03-23","description":"","custom_fields":[{"id":1,"name":"Subdivision","value":"Other"},{"id":4,"name":"Milepost","value":"2.3301"},{"id":17,"name":"Train ID","value":"313-22"},{"id":16,"name":"Locomotive ID","value":"4046"},{"id":130,"name":"Impact","value":""},{"id":150,"name":"Time of Event (Mountain Time)","value":"02:21:16"},{"id":151,"name":"Denver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4" t="str">
        <f t="shared" si="99"/>
        <v>start /low /b %USERPROFILE%\Documents\GitHub\eaglep3\Utilities\DownloadLogsFromS3.py --loco 4046 --day 2017-03-23</v>
      </c>
      <c r="AN222" s="163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"%USERPROFILE%\AppData\Local\Temp\OnboardLogs"\RTDC4046\*4046*20170323* | grep -SE "(Enforcement Action)|(\[TIMEOUT)|(CHR.+\|PRM\|1\|D.+(SWITCH|SIGNAL).+UNKNOWN)" - &gt;&gt; 2017-03-22-UncaughtWiMAX.txt</v>
      </c>
    </row>
    <row r="223" spans="1:40" x14ac:dyDescent="0.25">
      <c r="A223" s="33" t="s">
        <v>832</v>
      </c>
      <c r="B223" s="7">
        <v>4018</v>
      </c>
      <c r="C223" s="21" t="s">
        <v>219</v>
      </c>
      <c r="D223" s="21" t="s">
        <v>940</v>
      </c>
      <c r="E223" s="13">
        <v>42817.030439814815</v>
      </c>
      <c r="F223" s="13">
        <v>42817.031331018516</v>
      </c>
      <c r="G223" s="7">
        <v>0</v>
      </c>
      <c r="H223" s="21" t="s">
        <v>941</v>
      </c>
      <c r="I223" s="13">
        <v>42817.040300925924</v>
      </c>
      <c r="J223" s="7">
        <v>2</v>
      </c>
      <c r="K223" s="98" t="str">
        <f t="shared" si="84"/>
        <v>4017/4018</v>
      </c>
      <c r="L223" s="21" t="str">
        <f>VLOOKUP(A223,'Trips&amp;Operators'!$C$1:$G$99999,5,FALSE)</f>
        <v>SWANSON BRYCE</v>
      </c>
      <c r="M223" s="6">
        <f t="shared" si="85"/>
        <v>8.969907408754807E-3</v>
      </c>
      <c r="N223" s="7">
        <f t="shared" si="83"/>
        <v>12.916666668606922</v>
      </c>
      <c r="O223" s="7"/>
      <c r="P223" s="7"/>
      <c r="Q223" s="22"/>
      <c r="R223" s="22"/>
      <c r="S223" s="31">
        <f t="shared" ref="S223:S239" si="100">SUM(U223:U223)/IF(AG223="EC",12,1)</f>
        <v>1</v>
      </c>
      <c r="T223" s="46" t="str">
        <f t="shared" si="86"/>
        <v>NorthBound</v>
      </c>
      <c r="U223" s="18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86" t="str">
        <f t="shared" si="87"/>
        <v>https://d0f6bd738d7f1b3e5a7ca70fe4ff75f0.us-east-1.aws.found.io/app/kibana#/discover/Steve-Slow-Train-Analysis-(2080s-and-2083s)?_g=(refreshInterval:(display:Off,pause:!f,section:0,value:0),time:(from:'2017-03-22T23:43:50-0600',mode:absolute,to:'2017-03-23T01:58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3" s="187" t="str">
        <f t="shared" si="88"/>
        <v>Y</v>
      </c>
      <c r="X223" s="187">
        <f t="shared" si="96"/>
        <v>2</v>
      </c>
      <c r="Y223" s="62">
        <f t="shared" si="89"/>
        <v>0.10199999999999999</v>
      </c>
      <c r="Z223" s="62">
        <f t="shared" si="90"/>
        <v>2.3308</v>
      </c>
      <c r="AA223" s="62">
        <f t="shared" si="91"/>
        <v>2.2288000000000001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92"/>
        <v>0315-22</v>
      </c>
      <c r="AE223" s="85" t="str">
        <f t="shared" si="93"/>
        <v>aws s3 cp s3://rtdc.mdm.uploadarchive.raw/RTDC4018/ "%USERPROFILE%\AppData\Local\Temp\OnboardLogs"\RTDC4018\2017-03-23 --exclude "*" --recursive --include "*20170323*" &amp; "%USERPROFILE%\Documents\GitHub\mrs-test-scripts\Headless Mode &amp; Sideloading\WalkAndUnGZ.bat" "%USERPROFILE%\AppData\Local\Temp\OnboardLogs"\RTDC4018\2017-03-23 &amp; aws s3 cp s3://rtdc.mdm.uploadarchive.raw/RTDC4018/ "%USERPROFILE%\AppData\Local\Temp\OnboardLogs"\RTDC4018\2017-03-24 --exclude "*" --recursive --include "*20170324*" &amp; "%USERPROFILE%\Documents\GitHub\mrs-test-scripts\Headless Mode &amp; Sideloading\WalkAndUnGZ.bat" "%USERPROFILE%\AppData\Local\Temp\OnboardLogs"\RTDC4018\2017-03-24</v>
      </c>
      <c r="AF223" s="82" t="str">
        <f t="shared" si="94"/>
        <v>"C:\Program Files (x86)\AstroGrep\AstroGrep.exe" /e /r /s /spath="%USERPROFILE%\AppData\Local\Temp\OnboardLogs" /stypes="app*4018*20170323*" /stext=" 06:.+((SYSTEM_STATE.+slice.+state.+changed )|(ment ac)|(multiple cpu faults)|(system.+state.+changed )|(\[timeout)|(PRM\|1\|D)|(kpr)|(kdp)|(\|lc)|(penalty))"</v>
      </c>
      <c r="AG223" s="1" t="str">
        <f t="shared" si="95"/>
        <v>Other</v>
      </c>
      <c r="AH223" s="86" t="str">
        <f t="shared" si="97"/>
        <v>"%USERPROFILE%\Documents\GitHub\eaglep3\Utilities\RefineRTDCRunTimes.py" --tripid 315-22 --locoid 4018 --swversion DE.1.0.9.0 --startMP 204:1020 --initTime 2017-03-23T00:43:50 --startdatetime 2017-03-23T00:45:07 --delay 0 --endMP 300:23308 --enddatetime 2017-03-23T00:58:02 --enforcementcount 2 &gt;&gt;C:\Users\stu\Documents\GitHub\eaglep3-reporting\EC\2017-03-22-refined-times.txt</v>
      </c>
      <c r="AI223" s="108" t="str">
        <f t="shared" si="98"/>
        <v>echo {"issue":{"subject":"","project_id":79,"tracker_id":40,"status_id":1,"priority_id":2,"assigned_to_id":23,"start_date":"2017-03-23","description":"","custom_fields":[{"id":1,"name":"Subdivision","value":"Other"},{"id":4,"name":"Milepost","value":"2.3308"},{"id":17,"name":"Train ID","value":"315-22"},{"id":16,"name":"Locomotive ID","value":"4018"},{"id":130,"name":"Impact","value":""},{"id":150,"name":"Time of Event (Mountain Time)","value":"00:58:02"},{"id":151,"name":"Denver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54" t="str">
        <f t="shared" si="99"/>
        <v>start /low /b %USERPROFILE%\Documents\GitHub\eaglep3\Utilities\DownloadLogsFromS3.py --loco 4018 --day 2017-03-23</v>
      </c>
      <c r="AN223" s="163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"%USERPROFILE%\AppData\Local\Temp\OnboardLogs"\RTDC4018\*4018*20170323* | grep -SE "(Enforcement Action)|(\[TIMEOUT)|(CHR.+\|PRM\|1\|D.+(SWITCH|SIGNAL).+UNKNOWN)" - &gt;&gt; 2017-03-22-UncaughtWiMAX.txt</v>
      </c>
    </row>
    <row r="224" spans="1:40" x14ac:dyDescent="0.25">
      <c r="A224" s="33" t="s">
        <v>832</v>
      </c>
      <c r="B224" s="7">
        <v>4018</v>
      </c>
      <c r="C224" s="21" t="s">
        <v>219</v>
      </c>
      <c r="D224" s="21" t="s">
        <v>456</v>
      </c>
      <c r="E224" s="13">
        <v>42817.028368055559</v>
      </c>
      <c r="F224" s="13">
        <v>42817.031331018516</v>
      </c>
      <c r="G224" s="7">
        <v>1</v>
      </c>
      <c r="H224" s="21" t="s">
        <v>942</v>
      </c>
      <c r="I224" s="13">
        <v>42817.040300925924</v>
      </c>
      <c r="J224" s="7">
        <v>2</v>
      </c>
      <c r="K224" s="98" t="str">
        <f t="shared" si="84"/>
        <v>4017/4018</v>
      </c>
      <c r="L224" s="21" t="str">
        <f>VLOOKUP(A224,'Trips&amp;Operators'!$C$1:$G$99999,5,FALSE)</f>
        <v>SWANSON BRYCE</v>
      </c>
      <c r="M224" s="6">
        <f t="shared" si="85"/>
        <v>8.969907408754807E-3</v>
      </c>
      <c r="N224" s="7">
        <f t="shared" si="83"/>
        <v>12.916666668606922</v>
      </c>
      <c r="O224" s="7"/>
      <c r="P224" s="7"/>
      <c r="Q224" s="22"/>
      <c r="R224" s="22"/>
      <c r="S224" s="31">
        <f t="shared" si="100"/>
        <v>0</v>
      </c>
      <c r="T224" s="46" t="str">
        <f t="shared" si="86"/>
        <v>NorthBound</v>
      </c>
      <c r="U224" s="18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6" t="str">
        <f t="shared" si="87"/>
        <v>https://d0f6bd738d7f1b3e5a7ca70fe4ff75f0.us-east-1.aws.found.io/app/kibana#/discover/Steve-Slow-Train-Analysis-(2080s-and-2083s)?_g=(refreshInterval:(display:Off,pause:!f,section:0,value:0),time:(from:'2017-03-22T23:40:51-0600',mode:absolute,to:'2017-03-23T01:58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4" s="187" t="str">
        <f t="shared" si="88"/>
        <v>Y</v>
      </c>
      <c r="X224" s="187">
        <f t="shared" si="96"/>
        <v>0</v>
      </c>
      <c r="Y224" s="62">
        <f t="shared" si="89"/>
        <v>4.4900000000000002E-2</v>
      </c>
      <c r="Z224" s="62">
        <f t="shared" si="90"/>
        <v>0.1023</v>
      </c>
      <c r="AA224" s="62">
        <f t="shared" si="91"/>
        <v>5.74E-2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92"/>
        <v>0315-22</v>
      </c>
      <c r="AE224" s="85" t="str">
        <f t="shared" si="93"/>
        <v>aws s3 cp s3://rtdc.mdm.uploadarchive.raw/RTDC4018/ "%USERPROFILE%\AppData\Local\Temp\OnboardLogs"\RTDC4018\2017-03-23 --exclude "*" --recursive --include "*20170323*" &amp; "%USERPROFILE%\Documents\GitHub\mrs-test-scripts\Headless Mode &amp; Sideloading\WalkAndUnGZ.bat" "%USERPROFILE%\AppData\Local\Temp\OnboardLogs"\RTDC4018\2017-03-23 &amp; aws s3 cp s3://rtdc.mdm.uploadarchive.raw/RTDC4018/ "%USERPROFILE%\AppData\Local\Temp\OnboardLogs"\RTDC4018\2017-03-24 --exclude "*" --recursive --include "*20170324*" &amp; "%USERPROFILE%\Documents\GitHub\mrs-test-scripts\Headless Mode &amp; Sideloading\WalkAndUnGZ.bat" "%USERPROFILE%\AppData\Local\Temp\OnboardLogs"\RTDC4018\2017-03-24</v>
      </c>
      <c r="AF224" s="82" t="str">
        <f t="shared" si="94"/>
        <v>"C:\Program Files (x86)\AstroGrep\AstroGrep.exe" /e /r /s /spath="%USERPROFILE%\AppData\Local\Temp\OnboardLogs" /stypes="app*4018*20170323*" /stext=" 06:.+((SYSTEM_STATE.+slice.+state.+changed )|(ment ac)|(multiple cpu faults)|(system.+state.+changed )|(\[timeout)|(PRM\|1\|D)|(kpr)|(kdp)|(\|lc)|(penalty))"</v>
      </c>
      <c r="AG224" s="1" t="str">
        <f t="shared" si="95"/>
        <v>Other</v>
      </c>
      <c r="AH224" s="86" t="str">
        <f t="shared" si="97"/>
        <v>"%USERPROFILE%\Documents\GitHub\eaglep3\Utilities\RefineRTDCRunTimes.py" --tripid 315-22 --locoid 4018 --swversion DE.1.0.9.0 --startMP 204:449 --initTime 2017-03-23T00:40:51 --startdatetime 2017-03-23T00:45:07 --delay 1 --endMP 204:1023 --enddatetime 2017-03-23T00:58:02 --enforcementcount 2 &gt;&gt;C:\Users\stu\Documents\GitHub\eaglep3-reporting\EC\2017-03-22-refined-times.txt</v>
      </c>
      <c r="AI224" s="108" t="str">
        <f t="shared" si="98"/>
        <v>echo {"issue":{"subject":"","project_id":79,"tracker_id":40,"status_id":1,"priority_id":2,"assigned_to_id":23,"start_date":"2017-03-23","description":"","custom_fields":[{"id":1,"name":"Subdivision","value":"Other"},{"id":4,"name":"Milepost","value":"0.1023"},{"id":17,"name":"Train ID","value":"315-22"},{"id":16,"name":"Locomotive ID","value":"4018"},{"id":130,"name":"Impact","value":""},{"id":150,"name":"Time of Event (Mountain Time)","value":"00:58:02"},{"id":151,"name":"Denver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54" t="str">
        <f t="shared" si="99"/>
        <v>start /low /b %USERPROFILE%\Documents\GitHub\eaglep3\Utilities\DownloadLogsFromS3.py --loco 4018 --day 2017-03-23</v>
      </c>
      <c r="AN224" s="163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"%USERPROFILE%\AppData\Local\Temp\OnboardLogs"\RTDC4018\*4018*20170323* | grep -SE "(Enforcement Action)|(\[TIMEOUT)|(CHR.+\|PRM\|1\|D.+(SWITCH|SIGNAL).+UNKNOWN)" - &gt;&gt; 2017-03-22-UncaughtWiMAX.txt</v>
      </c>
    </row>
    <row r="225" spans="1:40" x14ac:dyDescent="0.25">
      <c r="A225" s="33" t="s">
        <v>661</v>
      </c>
      <c r="B225" s="7">
        <v>4022</v>
      </c>
      <c r="C225" s="21" t="s">
        <v>219</v>
      </c>
      <c r="D225" s="21" t="s">
        <v>1011</v>
      </c>
      <c r="E225" s="13">
        <v>42816.201886574076</v>
      </c>
      <c r="F225" s="13">
        <v>42816.205254629633</v>
      </c>
      <c r="G225" s="7">
        <v>4</v>
      </c>
      <c r="H225" s="21" t="s">
        <v>463</v>
      </c>
      <c r="I225" s="13">
        <v>42816.210543981484</v>
      </c>
      <c r="J225" s="7">
        <v>2</v>
      </c>
      <c r="K225" s="98" t="str">
        <f t="shared" si="84"/>
        <v>4021/4022</v>
      </c>
      <c r="L225" s="21" t="str">
        <f>VLOOKUP(A225,'Trips&amp;Operators'!$C$1:$G$99999,5,FALSE)</f>
        <v>YORK EDGAR</v>
      </c>
      <c r="M225" s="6">
        <f t="shared" si="85"/>
        <v>5.2893518513883464E-3</v>
      </c>
      <c r="N225" s="7">
        <f t="shared" si="83"/>
        <v>7.6166666659992188</v>
      </c>
      <c r="O225" s="7"/>
      <c r="P225" s="7"/>
      <c r="Q225" s="22"/>
      <c r="R225" s="22"/>
      <c r="S225" s="31">
        <f t="shared" si="100"/>
        <v>0</v>
      </c>
      <c r="T225" s="46" t="str">
        <f t="shared" si="86"/>
        <v>NorthBound</v>
      </c>
      <c r="U225" s="18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6" t="str">
        <f t="shared" si="87"/>
        <v>https://d0f6bd738d7f1b3e5a7ca70fe4ff75f0.us-east-1.aws.found.io/app/kibana#/discover/Steve-Slow-Train-Analysis-(2080s-and-2083s)?_g=(refreshInterval:(display:Off,pause:!f,section:0,value:0),time:(from:'2017-03-22T03:50:43-0600',mode:absolute,to:'2017-03-22T06:03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5" s="187" t="str">
        <f t="shared" si="88"/>
        <v>Y</v>
      </c>
      <c r="X225" s="187">
        <f t="shared" si="96"/>
        <v>586</v>
      </c>
      <c r="Y225" s="62">
        <f t="shared" si="89"/>
        <v>3.0068999999999999</v>
      </c>
      <c r="Z225" s="62">
        <f t="shared" si="90"/>
        <v>5.8929</v>
      </c>
      <c r="AA225" s="62">
        <f t="shared" si="91"/>
        <v>2.8860000000000001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92"/>
        <v>0901-22</v>
      </c>
      <c r="AE225" s="85" t="str">
        <f t="shared" si="93"/>
        <v>aws s3 cp s3://rtdc.mdm.uploadarchive.raw/RTDC4022/ "%USERPROFILE%\AppData\Local\Temp\OnboardLogs"\RTDC4022\2017-03-22 --exclude "*" --recursive --include "*20170322*" &amp; "%USERPROFILE%\Documents\GitHub\mrs-test-scripts\Headless Mode &amp; Sideloading\WalkAndUnGZ.bat" "%USERPROFILE%\AppData\Local\Temp\OnboardLogs"\RTDC4022\2017-03-22 &amp; aws s3 cp s3://rtdc.mdm.uploadarchive.raw/RTDC4022/ "%USERPROFILE%\AppData\Local\Temp\OnboardLogs"\RTDC4022\2017-03-23 --exclude "*" --recursive --include "*20170323*" &amp; "%USERPROFILE%\Documents\GitHub\mrs-test-scripts\Headless Mode &amp; Sideloading\WalkAndUnGZ.bat" "%USERPROFILE%\AppData\Local\Temp\OnboardLogs"\RTDC4022\2017-03-23</v>
      </c>
      <c r="AF225" s="82" t="str">
        <f t="shared" si="94"/>
        <v>"C:\Program Files (x86)\AstroGrep\AstroGrep.exe" /e /r /s /spath="%USERPROFILE%\AppData\Local\Temp\OnboardLogs" /stypes="app*4022*20170322*" /stext=" 11:.+((SYSTEM_STATE.+slice.+state.+changed )|(ment ac)|(multiple cpu faults)|(system.+state.+changed )|(\[timeout)|(PRM\|1\|D)|(kpr)|(kdp)|(\|lc)|(penalty))"</v>
      </c>
      <c r="AG225" s="1" t="str">
        <f t="shared" si="95"/>
        <v>Other</v>
      </c>
      <c r="AH225" s="86" t="str">
        <f t="shared" si="97"/>
        <v>"%USERPROFILE%\Documents\GitHub\eaglep3\Utilities\RefineRTDCRunTimes.py" --tripid 901-22 --locoid 4022 --swversion DE.1.0.9.0 --startMP 300:30069 --initTime 2017-03-22T04:50:43 --startdatetime 2017-03-22T04:55:34 --delay 4 --endMP 300:58929 --enddatetime 2017-03-22T05:03:11 --enforcementcount 2 &gt;&gt;C:\Users\stu\Documents\GitHub\eaglep3-reporting\EC\2017-03-22-refined-times.txt</v>
      </c>
      <c r="AI225" s="108" t="str">
        <f t="shared" si="98"/>
        <v>echo {"issue":{"subject":"","project_id":79,"tracker_id":40,"status_id":1,"priority_id":2,"assigned_to_id":23,"start_date":"2017-03-22","description":"","custom_fields":[{"id":1,"name":"Subdivision","value":"Other"},{"id":4,"name":"Milepost","value":"5.8929"},{"id":17,"name":"Train ID","value":"901-22"},{"id":16,"name":"Locomotive ID","value":"4022"},{"id":130,"name":"Impact","value":""},{"id":150,"name":"Time of Event (Mountain Time)","value":"05:03:11"},{"id":151,"name":"Denver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/>
      <c r="AK225" s="48"/>
      <c r="AL225" s="48"/>
      <c r="AM225" s="154" t="str">
        <f t="shared" si="99"/>
        <v>start /low /b %USERPROFILE%\Documents\GitHub\eaglep3\Utilities\DownloadLogsFromS3.py --loco 4022 --day 2017-03-22</v>
      </c>
      <c r="AN225" s="163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"%USERPROFILE%\AppData\Local\Temp\OnboardLogs"\RTDC4022\*4022*20170322* | grep -SE "(Enforcement Action)|(\[TIMEOUT)|(CHR.+\|PRM\|1\|D.+(SWITCH|SIGNAL).+UNKNOWN)" - &gt;&gt; 2017-03-22-UncaughtWiMAX.txt</v>
      </c>
    </row>
    <row r="226" spans="1:40" x14ac:dyDescent="0.25">
      <c r="A226" s="33" t="s">
        <v>674</v>
      </c>
      <c r="B226" s="7">
        <v>4008</v>
      </c>
      <c r="C226" s="21" t="s">
        <v>219</v>
      </c>
      <c r="D226" s="21" t="s">
        <v>1012</v>
      </c>
      <c r="E226" s="13">
        <v>42816.25540509259</v>
      </c>
      <c r="F226" s="13">
        <v>42816.259166666663</v>
      </c>
      <c r="G226" s="7">
        <v>3</v>
      </c>
      <c r="H226" s="21" t="s">
        <v>584</v>
      </c>
      <c r="I226" s="13">
        <v>42816.263414351852</v>
      </c>
      <c r="J226" s="7">
        <v>2</v>
      </c>
      <c r="K226" s="98" t="str">
        <f t="shared" si="84"/>
        <v>4007/4008</v>
      </c>
      <c r="L226" s="21" t="str">
        <f>VLOOKUP(A226,'Trips&amp;Operators'!$C$1:$G$99999,5,FALSE)</f>
        <v>LOZA FIDEL</v>
      </c>
      <c r="M226" s="6">
        <f t="shared" si="85"/>
        <v>4.2476851886021905E-3</v>
      </c>
      <c r="N226" s="7">
        <f t="shared" si="83"/>
        <v>6.1166666715871543</v>
      </c>
      <c r="O226" s="7"/>
      <c r="P226" s="7"/>
      <c r="Q226" s="22"/>
      <c r="R226" s="22"/>
      <c r="S226" s="31">
        <f t="shared" si="100"/>
        <v>1</v>
      </c>
      <c r="T226" s="46" t="str">
        <f t="shared" si="86"/>
        <v>Southbound</v>
      </c>
      <c r="U226" s="18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186" t="str">
        <f t="shared" si="87"/>
        <v>https://d0f6bd738d7f1b3e5a7ca70fe4ff75f0.us-east-1.aws.found.io/app/kibana#/discover/Steve-Slow-Train-Analysis-(2080s-and-2083s)?_g=(refreshInterval:(display:Off,pause:!f,section:0,value:0),time:(from:'2017-03-22T05:07:47-0600',mode:absolute,to:'2017-03-22T07:19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6" s="187" t="str">
        <f t="shared" si="88"/>
        <v>Y</v>
      </c>
      <c r="X226" s="187">
        <f t="shared" si="96"/>
        <v>1</v>
      </c>
      <c r="Y226" s="62">
        <f t="shared" si="89"/>
        <v>2.3472</v>
      </c>
      <c r="Z226" s="62">
        <f t="shared" si="90"/>
        <v>6.8199999999999997E-2</v>
      </c>
      <c r="AA226" s="62">
        <f t="shared" si="91"/>
        <v>2.2789999999999999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92"/>
        <v>0902-22</v>
      </c>
      <c r="AE226" s="85" t="str">
        <f t="shared" si="93"/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AF226" s="82" t="str">
        <f t="shared" si="94"/>
        <v>"C:\Program Files (x86)\AstroGrep\AstroGrep.exe" /e /r /s /spath="%USERPROFILE%\AppData\Local\Temp\OnboardLogs" /stypes="app*4008*20170322*" /stext=" 12:.+((SYSTEM_STATE.+slice.+state.+changed )|(ment ac)|(multiple cpu faults)|(system.+state.+changed )|(\[timeout)|(PRM\|1\|D)|(kpr)|(kdp)|(\|lc)|(penalty))"</v>
      </c>
      <c r="AG226" s="1" t="str">
        <f t="shared" si="95"/>
        <v>Other</v>
      </c>
      <c r="AH226" s="86" t="str">
        <f t="shared" si="97"/>
        <v>"%USERPROFILE%\Documents\GitHub\eaglep3\Utilities\RefineRTDCRunTimes.py" --tripid 902-22 --locoid 4008 --swversion DE.1.0.9.0 --startMP 300:23472 --initTime 2017-03-22T06:07:47 --startdatetime 2017-03-22T06:13:12 --delay 3 --endMP 204:682 --enddatetime 2017-03-22T06:19:19 --enforcementcount 2 &gt;&gt;C:\Users\stu\Documents\GitHub\eaglep3-reporting\EC\2017-03-22-refined-times.txt</v>
      </c>
      <c r="AI226" s="108" t="str">
        <f t="shared" si="98"/>
        <v>echo {"issue":{"subject":"","project_id":79,"tracker_id":40,"status_id":1,"priority_id":2,"assigned_to_id":23,"start_date":"2017-03-22","description":"","custom_fields":[{"id":1,"name":"Subdivision","value":"Other"},{"id":4,"name":"Milepost","value":"0.0682"},{"id":17,"name":"Train ID","value":"902-22"},{"id":16,"name":"Locomotive ID","value":"4008"},{"id":130,"name":"Impact","value":""},{"id":150,"name":"Time of Event (Mountain Time)","value":"06:19:19"},{"id":151,"name":"Denver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/>
      <c r="AK226" s="48"/>
      <c r="AL226" s="48"/>
      <c r="AM226" s="154" t="str">
        <f t="shared" si="99"/>
        <v>start /low /b %USERPROFILE%\Documents\GitHub\eaglep3\Utilities\DownloadLogsFromS3.py --loco 4008 --day 2017-03-22</v>
      </c>
      <c r="AN226" s="163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"%USERPROFILE%\AppData\Local\Temp\OnboardLogs"\RTDC4008\*4008*20170322* | grep -SE "(Enforcement Action)|(\[TIMEOUT)|(CHR.+\|PRM\|1\|D.+(SWITCH|SIGNAL).+UNKNOWN)" - &gt;&gt; 2017-03-22-UncaughtWiMAX.txt</v>
      </c>
    </row>
    <row r="227" spans="1:40" x14ac:dyDescent="0.25">
      <c r="A227" s="33" t="s">
        <v>697</v>
      </c>
      <c r="B227" s="7">
        <v>4022</v>
      </c>
      <c r="C227" s="21" t="s">
        <v>219</v>
      </c>
      <c r="D227" s="21" t="s">
        <v>1013</v>
      </c>
      <c r="E227" s="13">
        <v>42816.351817129631</v>
      </c>
      <c r="F227" s="13">
        <v>42816.352847222224</v>
      </c>
      <c r="G227" s="7">
        <v>1</v>
      </c>
      <c r="H227" s="21" t="s">
        <v>1014</v>
      </c>
      <c r="I227" s="13">
        <v>42816.357175925928</v>
      </c>
      <c r="J227" s="7">
        <v>2</v>
      </c>
      <c r="K227" s="98" t="str">
        <f t="shared" si="84"/>
        <v>4021/4022</v>
      </c>
      <c r="L227" s="21" t="str">
        <f>VLOOKUP(A227,'Trips&amp;Operators'!$C$1:$G$99999,5,FALSE)</f>
        <v>YORK EDGAR</v>
      </c>
      <c r="M227" s="6">
        <f t="shared" si="85"/>
        <v>4.3287037042318843E-3</v>
      </c>
      <c r="N227" s="7">
        <f t="shared" si="83"/>
        <v>6.2333333340939134</v>
      </c>
      <c r="O227" s="7"/>
      <c r="P227" s="7"/>
      <c r="Q227" s="22"/>
      <c r="R227" s="22"/>
      <c r="S227" s="31">
        <f t="shared" si="100"/>
        <v>1</v>
      </c>
      <c r="T227" s="46" t="str">
        <f t="shared" si="86"/>
        <v>NorthBound</v>
      </c>
      <c r="U227" s="18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186" t="str">
        <f t="shared" si="87"/>
        <v>https://d0f6bd738d7f1b3e5a7ca70fe4ff75f0.us-east-1.aws.found.io/app/kibana#/discover/Steve-Slow-Train-Analysis-(2080s-and-2083s)?_g=(refreshInterval:(display:Off,pause:!f,section:0,value:0),time:(from:'2017-03-22T07:26:37-0600',mode:absolute,to:'2017-03-22T09:34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7" s="187" t="str">
        <f t="shared" si="88"/>
        <v>Y</v>
      </c>
      <c r="X227" s="187">
        <f t="shared" si="96"/>
        <v>1</v>
      </c>
      <c r="Y227" s="62">
        <f t="shared" si="89"/>
        <v>0.11509999999999999</v>
      </c>
      <c r="Z227" s="62">
        <f t="shared" si="90"/>
        <v>2.4262000000000001</v>
      </c>
      <c r="AA227" s="62">
        <f t="shared" si="91"/>
        <v>2.3111000000000002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92"/>
        <v>0903-22</v>
      </c>
      <c r="AE227" s="85" t="str">
        <f t="shared" si="93"/>
        <v>aws s3 cp s3://rtdc.mdm.uploadarchive.raw/RTDC4022/ "%USERPROFILE%\AppData\Local\Temp\OnboardLogs"\RTDC4022\2017-03-22 --exclude "*" --recursive --include "*20170322*" &amp; "%USERPROFILE%\Documents\GitHub\mrs-test-scripts\Headless Mode &amp; Sideloading\WalkAndUnGZ.bat" "%USERPROFILE%\AppData\Local\Temp\OnboardLogs"\RTDC4022\2017-03-22 &amp; aws s3 cp s3://rtdc.mdm.uploadarchive.raw/RTDC4022/ "%USERPROFILE%\AppData\Local\Temp\OnboardLogs"\RTDC4022\2017-03-23 --exclude "*" --recursive --include "*20170323*" &amp; "%USERPROFILE%\Documents\GitHub\mrs-test-scripts\Headless Mode &amp; Sideloading\WalkAndUnGZ.bat" "%USERPROFILE%\AppData\Local\Temp\OnboardLogs"\RTDC4022\2017-03-23</v>
      </c>
      <c r="AF227" s="82" t="str">
        <f t="shared" si="94"/>
        <v>"C:\Program Files (x86)\AstroGrep\AstroGrep.exe" /e /r /s /spath="%USERPROFILE%\AppData\Local\Temp\OnboardLogs" /stypes="app*4022*20170322*" /stext=" 14:.+((SYSTEM_STATE.+slice.+state.+changed )|(ment ac)|(multiple cpu faults)|(system.+state.+changed )|(\[timeout)|(PRM\|1\|D)|(kpr)|(kdp)|(\|lc)|(penalty))"</v>
      </c>
      <c r="AG227" s="1" t="str">
        <f t="shared" si="95"/>
        <v>Other</v>
      </c>
      <c r="AH227" s="86" t="str">
        <f t="shared" si="97"/>
        <v>"%USERPROFILE%\Documents\GitHub\eaglep3\Utilities\RefineRTDCRunTimes.py" --tripid 903-22 --locoid 4022 --swversion DE.1.0.9.0 --startMP 204:1151 --initTime 2017-03-22T08:26:37 --startdatetime 2017-03-22T08:28:06 --delay 1 --endMP 300:24262 --enddatetime 2017-03-22T08:34:20 --enforcementcount 2 &gt;&gt;C:\Users\stu\Documents\GitHub\eaglep3-reporting\EC\2017-03-22-refined-times.txt</v>
      </c>
      <c r="AI227" s="108" t="str">
        <f t="shared" si="98"/>
        <v>echo {"issue":{"subject":"","project_id":79,"tracker_id":40,"status_id":1,"priority_id":2,"assigned_to_id":23,"start_date":"2017-03-22","description":"","custom_fields":[{"id":1,"name":"Subdivision","value":"Other"},{"id":4,"name":"Milepost","value":"2.4262"},{"id":17,"name":"Train ID","value":"903-22"},{"id":16,"name":"Locomotive ID","value":"4022"},{"id":130,"name":"Impact","value":""},{"id":150,"name":"Time of Event (Mountain Time)","value":"08:34:20"},{"id":151,"name":"Denver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48"/>
      <c r="AK227" s="48"/>
      <c r="AL227" s="48"/>
      <c r="AM227" s="154" t="str">
        <f t="shared" si="99"/>
        <v>start /low /b %USERPROFILE%\Documents\GitHub\eaglep3\Utilities\DownloadLogsFromS3.py --loco 4022 --day 2017-03-22</v>
      </c>
      <c r="AN227" s="163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"%USERPROFILE%\AppData\Local\Temp\OnboardLogs"\RTDC4022\*4022*20170322* | grep -SE "(Enforcement Action)|(\[TIMEOUT)|(CHR.+\|PRM\|1\|D.+(SWITCH|SIGNAL).+UNKNOWN)" - &gt;&gt; 2017-03-22-UncaughtWiMAX.txt</v>
      </c>
    </row>
    <row r="228" spans="1:40" x14ac:dyDescent="0.25">
      <c r="A228" s="33" t="s">
        <v>625</v>
      </c>
      <c r="B228" s="7">
        <v>4021</v>
      </c>
      <c r="C228" s="21" t="s">
        <v>219</v>
      </c>
      <c r="D228" s="21" t="s">
        <v>1015</v>
      </c>
      <c r="E228" s="13">
        <v>42816.643067129633</v>
      </c>
      <c r="F228" s="13">
        <v>42816.646631944444</v>
      </c>
      <c r="G228" s="7">
        <v>5</v>
      </c>
      <c r="H228" s="21" t="s">
        <v>1016</v>
      </c>
      <c r="I228" s="13">
        <v>42816.646782407406</v>
      </c>
      <c r="J228" s="7">
        <v>2</v>
      </c>
      <c r="K228" s="98" t="str">
        <f t="shared" si="84"/>
        <v>4021/4022</v>
      </c>
      <c r="L228" s="21" t="str">
        <f>VLOOKUP(A228,'Trips&amp;Operators'!$C$1:$G$99999,5,FALSE)</f>
        <v>CHANDLER KELVIN</v>
      </c>
      <c r="M228" s="6">
        <f t="shared" si="85"/>
        <v>1.5046296175569296E-4</v>
      </c>
      <c r="N228" s="7">
        <f t="shared" si="83"/>
        <v>0.21666666492819786</v>
      </c>
      <c r="O228" s="7"/>
      <c r="P228" s="7"/>
      <c r="Q228" s="22"/>
      <c r="R228" s="22"/>
      <c r="S228" s="31">
        <f t="shared" si="100"/>
        <v>1</v>
      </c>
      <c r="T228" s="46" t="str">
        <f t="shared" si="86"/>
        <v>Southbound</v>
      </c>
      <c r="U228" s="18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186" t="str">
        <f t="shared" si="87"/>
        <v>https://d0f6bd738d7f1b3e5a7ca70fe4ff75f0.us-east-1.aws.found.io/app/kibana#/discover/Steve-Slow-Train-Analysis-(2080s-and-2083s)?_g=(refreshInterval:(display:Off,pause:!f,section:0,value:0),time:(from:'2017-03-22T14:26:01-0600',mode:absolute,to:'2017-03-22T16:31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8" s="187" t="str">
        <f t="shared" si="88"/>
        <v>Y</v>
      </c>
      <c r="X228" s="187">
        <f t="shared" si="96"/>
        <v>1</v>
      </c>
      <c r="Y228" s="62">
        <f t="shared" si="89"/>
        <v>2.3422999999999998</v>
      </c>
      <c r="Z228" s="62">
        <f t="shared" si="90"/>
        <v>6.2600000000000003E-2</v>
      </c>
      <c r="AA228" s="62">
        <f t="shared" si="91"/>
        <v>2.2796999999999996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92"/>
        <v>0904-22</v>
      </c>
      <c r="AE228" s="85" t="str">
        <f t="shared" si="93"/>
        <v>aws s3 cp s3://rtdc.mdm.uploadarchive.raw/RTDC4021/ "%USERPROFILE%\AppData\Local\Temp\OnboardLogs"\RTDC4021\2017-03-22 --exclude "*" --recursive --include "*20170322*" &amp; "%USERPROFILE%\Documents\GitHub\mrs-test-scripts\Headless Mode &amp; Sideloading\WalkAndUnGZ.bat" "%USERPROFILE%\AppData\Local\Temp\OnboardLogs"\RTDC4021\2017-03-22 &amp; aws s3 cp s3://rtdc.mdm.uploadarchive.raw/RTDC4021/ "%USERPROFILE%\AppData\Local\Temp\OnboardLogs"\RTDC4021\2017-03-23 --exclude "*" --recursive --include "*20170323*" &amp; "%USERPROFILE%\Documents\GitHub\mrs-test-scripts\Headless Mode &amp; Sideloading\WalkAndUnGZ.bat" "%USERPROFILE%\AppData\Local\Temp\OnboardLogs"\RTDC4021\2017-03-23</v>
      </c>
      <c r="AF228" s="82" t="str">
        <f t="shared" si="94"/>
        <v>"C:\Program Files (x86)\AstroGrep\AstroGrep.exe" /e /r /s /spath="%USERPROFILE%\AppData\Local\Temp\OnboardLogs" /stypes="app*4021*20170322*" /stext=" 21:.+((SYSTEM_STATE.+slice.+state.+changed )|(ment ac)|(multiple cpu faults)|(system.+state.+changed )|(\[timeout)|(PRM\|1\|D)|(kpr)|(kdp)|(\|lc)|(penalty))"</v>
      </c>
      <c r="AG228" s="1" t="str">
        <f t="shared" si="95"/>
        <v>Other</v>
      </c>
      <c r="AH228" s="86" t="str">
        <f t="shared" si="97"/>
        <v>"%USERPROFILE%\Documents\GitHub\eaglep3\Utilities\RefineRTDCRunTimes.py" --tripid 904-22 --locoid 4021 --swversion DE.1.0.9.0 --startMP 300:23423 --initTime 2017-03-22T15:26:01 --startdatetime 2017-03-22T15:31:09 --delay 5 --endMP 204:626 --enddatetime 2017-03-22T15:31:22 --enforcementcount 2 &gt;&gt;C:\Users\stu\Documents\GitHub\eaglep3-reporting\EC\2017-03-22-refined-times.txt</v>
      </c>
      <c r="AI228" s="108" t="str">
        <f t="shared" si="98"/>
        <v>echo {"issue":{"subject":"","project_id":79,"tracker_id":40,"status_id":1,"priority_id":2,"assigned_to_id":23,"start_date":"2017-03-22","description":"","custom_fields":[{"id":1,"name":"Subdivision","value":"Other"},{"id":4,"name":"Milepost","value":"0.0626"},{"id":17,"name":"Train ID","value":"904-22"},{"id":16,"name":"Locomotive ID","value":"4021"},{"id":130,"name":"Impact","value":""},{"id":150,"name":"Time of Event (Mountain Time)","value":"15:31:22"},{"id":151,"name":"Denver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48"/>
      <c r="AK228" s="48"/>
      <c r="AL228" s="48"/>
      <c r="AM228" s="154" t="str">
        <f t="shared" si="99"/>
        <v>start /low /b %USERPROFILE%\Documents\GitHub\eaglep3\Utilities\DownloadLogsFromS3.py --loco 4021 --day 2017-03-22</v>
      </c>
      <c r="AN228" s="163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"%USERPROFILE%\AppData\Local\Temp\OnboardLogs"\RTDC4021\*4021*20170322* | grep -SE "(Enforcement Action)|(\[TIMEOUT)|(CHR.+\|PRM\|1\|D.+(SWITCH|SIGNAL).+UNKNOWN)" - &gt;&gt; 2017-03-22-UncaughtWiMAX.txt</v>
      </c>
    </row>
    <row r="229" spans="1:40" x14ac:dyDescent="0.25">
      <c r="A229" s="33" t="s">
        <v>803</v>
      </c>
      <c r="B229" s="7">
        <v>4021</v>
      </c>
      <c r="C229" s="21" t="s">
        <v>219</v>
      </c>
      <c r="D229" s="21" t="s">
        <v>1017</v>
      </c>
      <c r="E229" s="13">
        <v>42816.79859953704</v>
      </c>
      <c r="F229" s="13">
        <v>42816.799976851849</v>
      </c>
      <c r="G229" s="7">
        <v>1</v>
      </c>
      <c r="H229" s="21" t="s">
        <v>1018</v>
      </c>
      <c r="I229" s="13">
        <v>42816.807951388888</v>
      </c>
      <c r="J229" s="7">
        <v>2</v>
      </c>
      <c r="K229" s="98" t="str">
        <f t="shared" si="84"/>
        <v>4021/4022</v>
      </c>
      <c r="L229" s="21" t="str">
        <f>VLOOKUP(A229,'Trips&amp;Operators'!$C$1:$G$99999,5,FALSE)</f>
        <v>CHANDLER KELVIN</v>
      </c>
      <c r="M229" s="6">
        <f t="shared" si="85"/>
        <v>7.9745370385353453E-3</v>
      </c>
      <c r="N229" s="7">
        <f t="shared" si="83"/>
        <v>11.483333335490897</v>
      </c>
      <c r="O229" s="7"/>
      <c r="P229" s="7"/>
      <c r="Q229" s="22"/>
      <c r="R229" s="22"/>
      <c r="S229" s="31">
        <f t="shared" si="100"/>
        <v>0</v>
      </c>
      <c r="T229" s="46" t="str">
        <f t="shared" si="86"/>
        <v>Southbound</v>
      </c>
      <c r="U229" s="18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6" t="str">
        <f t="shared" si="87"/>
        <v>https://d0f6bd738d7f1b3e5a7ca70fe4ff75f0.us-east-1.aws.found.io/app/kibana#/discover/Steve-Slow-Train-Analysis-(2080s-and-2083s)?_g=(refreshInterval:(display:Off,pause:!f,section:0,value:0),time:(from:'2017-03-22T18:09:59-0600',mode:absolute,to:'2017-03-22T20:23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9" s="187" t="str">
        <f t="shared" si="88"/>
        <v>Y</v>
      </c>
      <c r="X229" s="187">
        <f t="shared" si="96"/>
        <v>2</v>
      </c>
      <c r="Y229" s="62">
        <f t="shared" si="89"/>
        <v>5.8596000000000004</v>
      </c>
      <c r="Z229" s="62">
        <f t="shared" si="90"/>
        <v>2.8788999999999998</v>
      </c>
      <c r="AA229" s="62">
        <f t="shared" si="91"/>
        <v>2.9807000000000006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92"/>
        <v>0906-22</v>
      </c>
      <c r="AE229" s="85" t="str">
        <f t="shared" si="93"/>
        <v>aws s3 cp s3://rtdc.mdm.uploadarchive.raw/RTDC4021/ "%USERPROFILE%\AppData\Local\Temp\OnboardLogs"\RTDC4021\2017-03-22 --exclude "*" --recursive --include "*20170322*" &amp; "%USERPROFILE%\Documents\GitHub\mrs-test-scripts\Headless Mode &amp; Sideloading\WalkAndUnGZ.bat" "%USERPROFILE%\AppData\Local\Temp\OnboardLogs"\RTDC4021\2017-03-22 &amp; aws s3 cp s3://rtdc.mdm.uploadarchive.raw/RTDC4021/ "%USERPROFILE%\AppData\Local\Temp\OnboardLogs"\RTDC4021\2017-03-23 --exclude "*" --recursive --include "*20170323*" &amp; "%USERPROFILE%\Documents\GitHub\mrs-test-scripts\Headless Mode &amp; Sideloading\WalkAndUnGZ.bat" "%USERPROFILE%\AppData\Local\Temp\OnboardLogs"\RTDC4021\2017-03-23</v>
      </c>
      <c r="AF229" s="82" t="str">
        <f t="shared" si="94"/>
        <v>"C:\Program Files (x86)\AstroGrep\AstroGrep.exe" /e /r /s /spath="%USERPROFILE%\AppData\Local\Temp\OnboardLogs" /stypes="app*4021*20170323*" /stext=" 01:.+((SYSTEM_STATE.+slice.+state.+changed )|(ment ac)|(multiple cpu faults)|(system.+state.+changed )|(\[timeout)|(PRM\|1\|D)|(kpr)|(kdp)|(\|lc)|(penalty))"</v>
      </c>
      <c r="AG229" s="1" t="str">
        <f t="shared" si="95"/>
        <v>Other</v>
      </c>
      <c r="AH229" s="86" t="str">
        <f t="shared" si="97"/>
        <v>"%USERPROFILE%\Documents\GitHub\eaglep3\Utilities\RefineRTDCRunTimes.py" --tripid 906-22 --locoid 4021 --swversion DE.1.0.9.0 --startMP 300:58596 --initTime 2017-03-22T19:09:59 --startdatetime 2017-03-22T19:11:58 --delay 1 --endMP 300:28789 --enddatetime 2017-03-22T19:23:27 --enforcementcount 2 &gt;&gt;C:\Users\stu\Documents\GitHub\eaglep3-reporting\EC\2017-03-22-refined-times.txt</v>
      </c>
      <c r="AI229" s="108" t="str">
        <f t="shared" si="98"/>
        <v>echo {"issue":{"subject":"","project_id":79,"tracker_id":40,"status_id":1,"priority_id":2,"assigned_to_id":23,"start_date":"2017-03-22","description":"","custom_fields":[{"id":1,"name":"Subdivision","value":"Other"},{"id":4,"name":"Milepost","value":"2.8789"},{"id":17,"name":"Train ID","value":"906-22"},{"id":16,"name":"Locomotive ID","value":"4021"},{"id":130,"name":"Impact","value":""},{"id":150,"name":"Time of Event (Mountain Time)","value":"19:23:27"},{"id":151,"name":"Denver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48"/>
      <c r="AK229" s="48"/>
      <c r="AL229" s="48"/>
      <c r="AM229" s="154" t="str">
        <f t="shared" si="99"/>
        <v>start /low /b %USERPROFILE%\Documents\GitHub\eaglep3\Utilities\DownloadLogsFromS3.py --loco 4021 --day 2017-03-22</v>
      </c>
      <c r="AN229" s="163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"%USERPROFILE%\AppData\Local\Temp\OnboardLogs"\RTDC4021\*4021*20170323* | grep -SE "(Enforcement Action)|(\[TIMEOUT)|(CHR.+\|PRM\|1\|D.+(SWITCH|SIGNAL).+UNKNOWN)" - &gt;&gt; 2017-03-22-UncaughtWiMAX.txt</v>
      </c>
    </row>
    <row r="230" spans="1:40" x14ac:dyDescent="0.25">
      <c r="A230" s="33" t="s">
        <v>823</v>
      </c>
      <c r="B230" s="7">
        <v>4008</v>
      </c>
      <c r="C230" s="21" t="s">
        <v>219</v>
      </c>
      <c r="D230" s="21" t="s">
        <v>1019</v>
      </c>
      <c r="E230" s="13">
        <v>42816.943773148145</v>
      </c>
      <c r="F230" s="13">
        <v>42816.945034722223</v>
      </c>
      <c r="G230" s="7">
        <v>1</v>
      </c>
      <c r="H230" s="21" t="s">
        <v>1020</v>
      </c>
      <c r="I230" s="13">
        <v>42816.951018518521</v>
      </c>
      <c r="J230" s="7">
        <v>2</v>
      </c>
      <c r="K230" s="98" t="str">
        <f t="shared" si="84"/>
        <v>4007/4008</v>
      </c>
      <c r="L230" s="21" t="str">
        <f>VLOOKUP(A230,'Trips&amp;Operators'!$C$1:$G$99999,5,FALSE)</f>
        <v>CHANDLER KELVIN</v>
      </c>
      <c r="M230" s="6">
        <f t="shared" si="85"/>
        <v>5.9837962980964221E-3</v>
      </c>
      <c r="N230" s="7">
        <f t="shared" si="83"/>
        <v>8.6166666692588478</v>
      </c>
      <c r="O230" s="7"/>
      <c r="P230" s="7"/>
      <c r="Q230" s="22"/>
      <c r="R230" s="22"/>
      <c r="S230" s="31">
        <f t="shared" si="100"/>
        <v>0</v>
      </c>
      <c r="T230" s="46" t="str">
        <f t="shared" si="86"/>
        <v>Southbound</v>
      </c>
      <c r="U230" s="18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6" t="str">
        <f t="shared" si="87"/>
        <v>https://d0f6bd738d7f1b3e5a7ca70fe4ff75f0.us-east-1.aws.found.io/app/kibana#/discover/Steve-Slow-Train-Analysis-(2080s-and-2083s)?_g=(refreshInterval:(display:Off,pause:!f,section:0,value:0),time:(from:'2017-03-22T21:39:02-0600',mode:absolute,to:'2017-03-22T23:49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0" s="187" t="str">
        <f t="shared" si="88"/>
        <v>Y</v>
      </c>
      <c r="X230" s="187">
        <f t="shared" si="96"/>
        <v>2</v>
      </c>
      <c r="Y230" s="62">
        <f t="shared" si="89"/>
        <v>5.8556999999999997</v>
      </c>
      <c r="Z230" s="62">
        <f t="shared" si="90"/>
        <v>2.1587000000000001</v>
      </c>
      <c r="AA230" s="62">
        <f t="shared" si="91"/>
        <v>3.6969999999999996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92"/>
        <v>0908-22</v>
      </c>
      <c r="AE230" s="85" t="str">
        <f t="shared" si="93"/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AF230" s="82" t="str">
        <f t="shared" si="94"/>
        <v>"C:\Program Files (x86)\AstroGrep\AstroGrep.exe" /e /r /s /spath="%USERPROFILE%\AppData\Local\Temp\OnboardLogs" /stypes="app*4008*20170323*" /stext=" 04:.+((SYSTEM_STATE.+slice.+state.+changed )|(ment ac)|(multiple cpu faults)|(system.+state.+changed )|(\[timeout)|(PRM\|1\|D)|(kpr)|(kdp)|(\|lc)|(penalty))"</v>
      </c>
      <c r="AG230" s="1" t="str">
        <f t="shared" si="95"/>
        <v>Other</v>
      </c>
      <c r="AH230" s="86" t="str">
        <f t="shared" si="97"/>
        <v>"%USERPROFILE%\Documents\GitHub\eaglep3\Utilities\RefineRTDCRunTimes.py" --tripid 908-22 --locoid 4008 --swversion DE.1.0.9.0 --startMP 300:58557 --initTime 2017-03-22T22:39:02 --startdatetime 2017-03-22T22:40:51 --delay 1 --endMP 300:21587 --enddatetime 2017-03-22T22:49:28 --enforcementcount 2 &gt;&gt;C:\Users\stu\Documents\GitHub\eaglep3-reporting\EC\2017-03-22-refined-times.txt</v>
      </c>
      <c r="AI230" s="108" t="str">
        <f t="shared" si="98"/>
        <v>echo {"issue":{"subject":"","project_id":79,"tracker_id":40,"status_id":1,"priority_id":2,"assigned_to_id":23,"start_date":"2017-03-22","description":"","custom_fields":[{"id":1,"name":"Subdivision","value":"Other"},{"id":4,"name":"Milepost","value":"2.1587"},{"id":17,"name":"Train ID","value":"908-22"},{"id":16,"name":"Locomotive ID","value":"4008"},{"id":130,"name":"Impact","value":""},{"id":150,"name":"Time of Event (Mountain Time)","value":"22:49:28"},{"id":151,"name":"Denver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48"/>
      <c r="AK230" s="48"/>
      <c r="AL230" s="48"/>
      <c r="AM230" s="154" t="str">
        <f t="shared" si="99"/>
        <v>start /low /b %USERPROFILE%\Documents\GitHub\eaglep3\Utilities\DownloadLogsFromS3.py --loco 4008 --day 2017-03-22</v>
      </c>
      <c r="AN230" s="163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"%USERPROFILE%\AppData\Local\Temp\OnboardLogs"\RTDC4008\*4008*20170323* | grep -SE "(Enforcement Action)|(\[TIMEOUT)|(CHR.+\|PRM\|1\|D.+(SWITCH|SIGNAL).+UNKNOWN)" - &gt;&gt; 2017-03-22-UncaughtWiMAX.txt</v>
      </c>
    </row>
    <row r="231" spans="1:40" x14ac:dyDescent="0.25">
      <c r="A231" s="33" t="s">
        <v>660</v>
      </c>
      <c r="B231" s="7">
        <v>4045</v>
      </c>
      <c r="C231" s="21" t="s">
        <v>219</v>
      </c>
      <c r="D231" s="21" t="s">
        <v>943</v>
      </c>
      <c r="E231" s="13">
        <v>42816.195277777777</v>
      </c>
      <c r="F231" s="13">
        <v>42816.198634259257</v>
      </c>
      <c r="G231" s="7">
        <v>4</v>
      </c>
      <c r="H231" s="21" t="s">
        <v>944</v>
      </c>
      <c r="I231" s="13">
        <v>42816.228530092594</v>
      </c>
      <c r="J231" s="7">
        <v>2</v>
      </c>
      <c r="K231" s="98" t="str">
        <f t="shared" si="84"/>
        <v>4045/4046</v>
      </c>
      <c r="L231" s="21" t="str">
        <f>VLOOKUP(A231,'Trips&amp;Operators'!$C$1:$G$99999,5,FALSE)</f>
        <v>BEAM ROSS</v>
      </c>
      <c r="M231" s="6">
        <f t="shared" si="85"/>
        <v>2.9895833336922806E-2</v>
      </c>
      <c r="N231" s="7">
        <f t="shared" si="83"/>
        <v>43.05000000516884</v>
      </c>
      <c r="O231" s="7"/>
      <c r="P231" s="7"/>
      <c r="Q231" s="22"/>
      <c r="R231" s="22"/>
      <c r="S231" s="31">
        <f t="shared" si="100"/>
        <v>0</v>
      </c>
      <c r="T231" s="46" t="e">
        <f t="shared" si="86"/>
        <v>#VALUE!</v>
      </c>
      <c r="U231" s="18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6" t="str">
        <f t="shared" si="87"/>
        <v>https://d0f6bd738d7f1b3e5a7ca70fe4ff75f0.us-east-1.aws.found.io/app/kibana#/discover/Steve-Slow-Train-Analysis-(2080s-and-2083s)?_g=(refreshInterval:(display:Off,pause:!f,section:0,value:0),time:(from:'2017-03-22T03:41:12-0600',mode:absolute,to:'2017-03-22T06:29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31" s="187" t="str">
        <f t="shared" si="88"/>
        <v>Y</v>
      </c>
      <c r="X231" s="187" t="e">
        <f t="shared" si="96"/>
        <v>#VALUE!</v>
      </c>
      <c r="Y231" s="62">
        <f t="shared" si="89"/>
        <v>2.1956000000000002</v>
      </c>
      <c r="Z231" s="62">
        <f t="shared" si="90"/>
        <v>0.1164</v>
      </c>
      <c r="AA231" s="62">
        <f t="shared" si="91"/>
        <v>2.0792000000000002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92"/>
        <v>50-22</v>
      </c>
      <c r="AE231" s="85" t="str">
        <f t="shared" si="93"/>
        <v>aws s3 cp s3://rtdc.mdm.uploadarchive.raw/RTDC4045/ "%USERPROFILE%\AppData\Local\Temp\OnboardLogs"\RTDC4045\2017-03-22 --exclude "*" --recursive --include "*20170322*" &amp; "%USERPROFILE%\Documents\GitHub\mrs-test-scripts\Headless Mode &amp; Sideloading\WalkAndUnGZ.bat" "%USERPROFILE%\AppData\Local\Temp\OnboardLogs"\RTDC4045\2017-03-22 &amp; aws s3 cp s3://rtdc.mdm.uploadarchive.raw/RTDC4045/ "%USERPROFILE%\AppData\Local\Temp\OnboardLogs"\RTDC4045\2017-03-23 --exclude "*" --recursive --include "*20170323*" &amp; "%USERPROFILE%\Documents\GitHub\mrs-test-scripts\Headless Mode &amp; Sideloading\WalkAndUnGZ.bat" "%USERPROFILE%\AppData\Local\Temp\OnboardLogs"\RTDC4045\2017-03-23</v>
      </c>
      <c r="AF231" s="82" t="str">
        <f t="shared" si="94"/>
        <v>"C:\Program Files (x86)\AstroGrep\AstroGrep.exe" /e /r /s /spath="%USERPROFILE%\AppData\Local\Temp\OnboardLogs" /stypes="app*4045*20170322*" /stext=" 11:.+((SYSTEM_STATE.+slice.+state.+changed )|(ment ac)|(multiple cpu faults)|(system.+state.+changed )|(\[timeout)|(PRM\|1\|D)|(kpr)|(kdp)|(\|lc)|(penalty))"</v>
      </c>
      <c r="AG231" s="1" t="str">
        <f t="shared" si="95"/>
        <v>Other</v>
      </c>
      <c r="AH231" s="86" t="str">
        <f t="shared" si="97"/>
        <v>"%USERPROFILE%\Documents\GitHub\eaglep3\Utilities\RefineRTDCRunTimes.py" --tripid 50-22 --locoid 4045 --swversion DE.1.0.9.0 --startMP 300:21956 --initTime 2017-03-22T04:41:12 --startdatetime 2017-03-22T04:46:02 --delay 4 --endMP 204:1164 --enddatetime 2017-03-22T05:29:05 --enforcementcount 2 &gt;&gt;C:\Users\stu\Documents\GitHub\eaglep3-reporting\EC\2017-03-22-refined-times.txt</v>
      </c>
      <c r="AI231" s="108" t="str">
        <f t="shared" si="98"/>
        <v>echo {"issue":{"subject":"","project_id":79,"tracker_id":40,"status_id":1,"priority_id":2,"assigned_to_id":23,"start_date":"2017-03-22","description":"","custom_fields":[{"id":1,"name":"Subdivision","value":"Other"},{"id":4,"name":"Milepost","value":"0.1164"},{"id":17,"name":"Train ID","value":"50-22"},{"id":16,"name":"Locomotive ID","value":"4045"},{"id":130,"name":"Impact","value":""},{"id":150,"name":"Time of Event (Mountain Time)","value":"05:29:05"},{"id":151,"name":"Denver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48"/>
      <c r="AK231" s="48"/>
      <c r="AL231" s="48"/>
      <c r="AM231" s="154" t="str">
        <f t="shared" si="99"/>
        <v>start /low /b %USERPROFILE%\Documents\GitHub\eaglep3\Utilities\DownloadLogsFromS3.py --loco 4045 --day 2017-03-22</v>
      </c>
      <c r="AN231" s="163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"%USERPROFILE%\AppData\Local\Temp\OnboardLogs"\RTDC4045\*4045*20170322* | grep -SE "(Enforcement Action)|(\[TIMEOUT)|(CHR.+\|PRM\|1\|D.+(SWITCH|SIGNAL).+UNKNOWN)" - &gt;&gt; 2017-03-22-UncaughtWiMAX.txt</v>
      </c>
    </row>
    <row r="232" spans="1:40" x14ac:dyDescent="0.25">
      <c r="A232" s="33" t="s">
        <v>669</v>
      </c>
      <c r="B232" s="7">
        <v>4046</v>
      </c>
      <c r="C232" s="21" t="s">
        <v>219</v>
      </c>
      <c r="D232" s="21" t="s">
        <v>945</v>
      </c>
      <c r="E232" s="13">
        <v>42816.235243055555</v>
      </c>
      <c r="F232" s="13">
        <v>42816.236631944441</v>
      </c>
      <c r="G232" s="7">
        <v>1</v>
      </c>
      <c r="H232" s="21" t="s">
        <v>576</v>
      </c>
      <c r="I232" s="13">
        <v>42816.241724537038</v>
      </c>
      <c r="J232" s="7">
        <v>2</v>
      </c>
      <c r="K232" s="98" t="str">
        <f t="shared" si="84"/>
        <v>4045/4046</v>
      </c>
      <c r="L232" s="21" t="str">
        <f>VLOOKUP(A232,'Trips&amp;Operators'!$C$1:$G$99999,5,FALSE)</f>
        <v>BEAM ROSS</v>
      </c>
      <c r="M232" s="6">
        <f t="shared" si="85"/>
        <v>5.0925925970659591E-3</v>
      </c>
      <c r="N232" s="7">
        <f t="shared" si="83"/>
        <v>7.3333333397749811</v>
      </c>
      <c r="O232" s="7"/>
      <c r="P232" s="7"/>
      <c r="Q232" s="22"/>
      <c r="R232" s="22"/>
      <c r="S232" s="31">
        <f t="shared" si="100"/>
        <v>0</v>
      </c>
      <c r="T232" s="46" t="e">
        <f t="shared" si="86"/>
        <v>#VALUE!</v>
      </c>
      <c r="U232" s="18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6" t="str">
        <f t="shared" si="87"/>
        <v>https://d0f6bd738d7f1b3e5a7ca70fe4ff75f0.us-east-1.aws.found.io/app/kibana#/discover/Steve-Slow-Train-Analysis-(2080s-and-2083s)?_g=(refreshInterval:(display:Off,pause:!f,section:0,value:0),time:(from:'2017-03-22T04:38:45-0600',mode:absolute,to:'2017-03-22T06:48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32" s="187" t="str">
        <f t="shared" si="88"/>
        <v>Y</v>
      </c>
      <c r="X232" s="187" t="e">
        <f t="shared" si="96"/>
        <v>#VALUE!</v>
      </c>
      <c r="Y232" s="62">
        <f t="shared" si="89"/>
        <v>0.14899999999999999</v>
      </c>
      <c r="Z232" s="62">
        <f t="shared" si="90"/>
        <v>2.3304</v>
      </c>
      <c r="AA232" s="62">
        <f t="shared" si="91"/>
        <v>2.1814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92"/>
        <v>51-22</v>
      </c>
      <c r="AE232" s="85" t="str">
        <f t="shared" si="93"/>
        <v>aws s3 cp s3://rtdc.mdm.uploadarchive.raw/RTDC4046/ "%USERPROFILE%\AppData\Local\Temp\OnboardLogs"\RTDC4046\2017-03-22 --exclude "*" --recursive --include "*20170322*" &amp; "%USERPROFILE%\Documents\GitHub\mrs-test-scripts\Headless Mode &amp; Sideloading\WalkAndUnGZ.bat" "%USERPROFILE%\AppData\Local\Temp\OnboardLogs"\RTDC4046\2017-03-22 &amp; aws s3 cp s3://rtdc.mdm.uploadarchive.raw/RTDC4046/ "%USERPROFILE%\AppData\Local\Temp\OnboardLogs"\RTDC4046\2017-03-23 --exclude "*" --recursive --include "*20170323*" &amp; "%USERPROFILE%\Documents\GitHub\mrs-test-scripts\Headless Mode &amp; Sideloading\WalkAndUnGZ.bat" "%USERPROFILE%\AppData\Local\Temp\OnboardLogs"\RTDC4046\2017-03-23</v>
      </c>
      <c r="AF232" s="82" t="str">
        <f t="shared" si="94"/>
        <v>"C:\Program Files (x86)\AstroGrep\AstroGrep.exe" /e /r /s /spath="%USERPROFILE%\AppData\Local\Temp\OnboardLogs" /stypes="app*4046*20170322*" /stext=" 11:.+((SYSTEM_STATE.+slice.+state.+changed )|(ment ac)|(multiple cpu faults)|(system.+state.+changed )|(\[timeout)|(PRM\|1\|D)|(kpr)|(kdp)|(\|lc)|(penalty))"</v>
      </c>
      <c r="AG232" s="1" t="str">
        <f t="shared" si="95"/>
        <v>Other</v>
      </c>
      <c r="AH232" s="86" t="str">
        <f t="shared" si="97"/>
        <v>"%USERPROFILE%\Documents\GitHub\eaglep3\Utilities\RefineRTDCRunTimes.py" --tripid 51-22 --locoid 4046 --swversion DE.1.0.9.0 --startMP 204:1490 --initTime 2017-03-22T05:38:45 --startdatetime 2017-03-22T05:40:45 --delay 1 --endMP 300:23304 --enddatetime 2017-03-22T05:48:05 --enforcementcount 2 &gt;&gt;C:\Users\stu\Documents\GitHub\eaglep3-reporting\EC\2017-03-22-refined-times.txt</v>
      </c>
      <c r="AI232" s="108" t="str">
        <f t="shared" si="98"/>
        <v>echo {"issue":{"subject":"","project_id":79,"tracker_id":40,"status_id":1,"priority_id":2,"assigned_to_id":23,"start_date":"2017-03-22","description":"","custom_fields":[{"id":1,"name":"Subdivision","value":"Other"},{"id":4,"name":"Milepost","value":"2.3304"},{"id":17,"name":"Train ID","value":"51-22"},{"id":16,"name":"Locomotive ID","value":"4046"},{"id":130,"name":"Impact","value":""},{"id":150,"name":"Time of Event (Mountain Time)","value":"05:48:05"},{"id":151,"name":"Denver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48"/>
      <c r="AK232" s="48"/>
      <c r="AL232" s="48"/>
      <c r="AM232" s="154" t="str">
        <f t="shared" si="99"/>
        <v>start /low /b %USERPROFILE%\Documents\GitHub\eaglep3\Utilities\DownloadLogsFromS3.py --loco 4046 --day 2017-03-22</v>
      </c>
      <c r="AN232" s="163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"%USERPROFILE%\AppData\Local\Temp\OnboardLogs"\RTDC4046\*4046*20170322* | grep -SE "(Enforcement Action)|(\[TIMEOUT)|(CHR.+\|PRM\|1\|D.+(SWITCH|SIGNAL).+UNKNOWN)" - &gt;&gt; 2017-03-22-UncaughtWiMAX.txt</v>
      </c>
    </row>
    <row r="233" spans="1:40" x14ac:dyDescent="0.25">
      <c r="A233" s="33" t="s">
        <v>676</v>
      </c>
      <c r="B233" s="7">
        <v>4045</v>
      </c>
      <c r="C233" s="21" t="s">
        <v>219</v>
      </c>
      <c r="D233" s="21" t="s">
        <v>946</v>
      </c>
      <c r="E233" s="13">
        <v>42816.260833333334</v>
      </c>
      <c r="F233" s="13">
        <v>42816.264467592591</v>
      </c>
      <c r="G233" s="7">
        <v>5</v>
      </c>
      <c r="H233" s="21" t="s">
        <v>947</v>
      </c>
      <c r="I233" s="13">
        <v>42816.270740740743</v>
      </c>
      <c r="J233" s="7">
        <v>2</v>
      </c>
      <c r="K233" s="98" t="str">
        <f t="shared" si="84"/>
        <v>4045/4046</v>
      </c>
      <c r="L233" s="21" t="str">
        <f>VLOOKUP(A233,'Trips&amp;Operators'!$C$1:$G$99999,5,FALSE)</f>
        <v>BEAM ROSS</v>
      </c>
      <c r="M233" s="6">
        <f t="shared" si="85"/>
        <v>6.2731481521041133E-3</v>
      </c>
      <c r="N233" s="7">
        <f t="shared" si="83"/>
        <v>9.0333333390299231</v>
      </c>
      <c r="O233" s="7"/>
      <c r="P233" s="7"/>
      <c r="Q233" s="22"/>
      <c r="R233" s="22"/>
      <c r="S233" s="31">
        <f t="shared" si="100"/>
        <v>0</v>
      </c>
      <c r="T233" s="46" t="e">
        <f t="shared" si="86"/>
        <v>#VALUE!</v>
      </c>
      <c r="U233" s="18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6" t="str">
        <f t="shared" si="87"/>
        <v>https://d0f6bd738d7f1b3e5a7ca70fe4ff75f0.us-east-1.aws.found.io/app/kibana#/discover/Steve-Slow-Train-Analysis-(2080s-and-2083s)?_g=(refreshInterval:(display:Off,pause:!f,section:0,value:0),time:(from:'2017-03-22T05:15:36-0600',mode:absolute,to:'2017-03-22T07:29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33" s="187" t="str">
        <f t="shared" si="88"/>
        <v>Y</v>
      </c>
      <c r="X233" s="187" t="e">
        <f t="shared" si="96"/>
        <v>#VALUE!</v>
      </c>
      <c r="Y233" s="62">
        <f t="shared" si="89"/>
        <v>2.3180000000000001</v>
      </c>
      <c r="Z233" s="62">
        <f t="shared" si="90"/>
        <v>0.11600000000000001</v>
      </c>
      <c r="AA233" s="62">
        <f t="shared" si="91"/>
        <v>2.202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92"/>
        <v>52-22</v>
      </c>
      <c r="AE233" s="85" t="str">
        <f t="shared" si="93"/>
        <v>aws s3 cp s3://rtdc.mdm.uploadarchive.raw/RTDC4045/ "%USERPROFILE%\AppData\Local\Temp\OnboardLogs"\RTDC4045\2017-03-22 --exclude "*" --recursive --include "*20170322*" &amp; "%USERPROFILE%\Documents\GitHub\mrs-test-scripts\Headless Mode &amp; Sideloading\WalkAndUnGZ.bat" "%USERPROFILE%\AppData\Local\Temp\OnboardLogs"\RTDC4045\2017-03-22 &amp; aws s3 cp s3://rtdc.mdm.uploadarchive.raw/RTDC4045/ "%USERPROFILE%\AppData\Local\Temp\OnboardLogs"\RTDC4045\2017-03-23 --exclude "*" --recursive --include "*20170323*" &amp; "%USERPROFILE%\Documents\GitHub\mrs-test-scripts\Headless Mode &amp; Sideloading\WalkAndUnGZ.bat" "%USERPROFILE%\AppData\Local\Temp\OnboardLogs"\RTDC4045\2017-03-23</v>
      </c>
      <c r="AF233" s="82" t="str">
        <f t="shared" si="94"/>
        <v>"C:\Program Files (x86)\AstroGrep\AstroGrep.exe" /e /r /s /spath="%USERPROFILE%\AppData\Local\Temp\OnboardLogs" /stypes="app*4045*20170322*" /stext=" 12:.+((SYSTEM_STATE.+slice.+state.+changed )|(ment ac)|(multiple cpu faults)|(system.+state.+changed )|(\[timeout)|(PRM\|1\|D)|(kpr)|(kdp)|(\|lc)|(penalty))"</v>
      </c>
      <c r="AG233" s="1" t="str">
        <f t="shared" si="95"/>
        <v>Other</v>
      </c>
      <c r="AH233" s="86" t="str">
        <f t="shared" si="97"/>
        <v>"%USERPROFILE%\Documents\GitHub\eaglep3\Utilities\RefineRTDCRunTimes.py" --tripid 52-22 --locoid 4045 --swversion DE.1.0.9.0 --startMP 300:23180 --initTime 2017-03-22T06:15:36 --startdatetime 2017-03-22T06:20:50 --delay 5 --endMP 204:1160 --enddatetime 2017-03-22T06:29:52 --enforcementcount 2 &gt;&gt;C:\Users\stu\Documents\GitHub\eaglep3-reporting\EC\2017-03-22-refined-times.txt</v>
      </c>
      <c r="AI233" s="108" t="str">
        <f t="shared" si="98"/>
        <v>echo {"issue":{"subject":"","project_id":79,"tracker_id":40,"status_id":1,"priority_id":2,"assigned_to_id":23,"start_date":"2017-03-22","description":"","custom_fields":[{"id":1,"name":"Subdivision","value":"Other"},{"id":4,"name":"Milepost","value":"0.116"},{"id":17,"name":"Train ID","value":"52-22"},{"id":16,"name":"Locomotive ID","value":"4045"},{"id":130,"name":"Impact","value":""},{"id":150,"name":"Time of Event (Mountain Time)","value":"06:29:52"},{"id":151,"name":"Denver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48"/>
      <c r="AK233" s="48"/>
      <c r="AL233" s="48"/>
      <c r="AM233" s="154" t="str">
        <f t="shared" si="99"/>
        <v>start /low /b %USERPROFILE%\Documents\GitHub\eaglep3\Utilities\DownloadLogsFromS3.py --loco 4045 --day 2017-03-22</v>
      </c>
      <c r="AN233" s="163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"%USERPROFILE%\AppData\Local\Temp\OnboardLogs"\RTDC4045\*4045*20170322* | grep -SE "(Enforcement Action)|(\[TIMEOUT)|(CHR.+\|PRM\|1\|D.+(SWITCH|SIGNAL).+UNKNOWN)" - &gt;&gt; 2017-03-22-UncaughtWiMAX.txt</v>
      </c>
    </row>
    <row r="234" spans="1:40" x14ac:dyDescent="0.25">
      <c r="A234" s="33" t="s">
        <v>613</v>
      </c>
      <c r="B234" s="7">
        <v>4026</v>
      </c>
      <c r="C234" s="21" t="s">
        <v>219</v>
      </c>
      <c r="D234" s="21" t="s">
        <v>948</v>
      </c>
      <c r="E234" s="13">
        <v>42816.429050925923</v>
      </c>
      <c r="F234" s="13">
        <v>42816.433622685188</v>
      </c>
      <c r="G234" s="7">
        <v>6</v>
      </c>
      <c r="H234" s="21" t="s">
        <v>949</v>
      </c>
      <c r="I234" s="13">
        <v>42816.438356481478</v>
      </c>
      <c r="J234" s="7">
        <v>2</v>
      </c>
      <c r="K234" s="98" t="str">
        <f t="shared" si="84"/>
        <v>4025/4026</v>
      </c>
      <c r="L234" s="21" t="str">
        <f>VLOOKUP(A234,'Trips&amp;Operators'!$C$1:$G$99999,5,FALSE)</f>
        <v>DE LA ROSA ALEX</v>
      </c>
      <c r="M234" s="6">
        <f t="shared" si="85"/>
        <v>4.7337962896563113E-3</v>
      </c>
      <c r="N234" s="7">
        <f t="shared" si="83"/>
        <v>6.8166666571050882</v>
      </c>
      <c r="O234" s="7"/>
      <c r="P234" s="7"/>
      <c r="Q234" s="22"/>
      <c r="R234" s="22"/>
      <c r="S234" s="31">
        <f t="shared" si="100"/>
        <v>0</v>
      </c>
      <c r="T234" s="46" t="e">
        <f t="shared" si="86"/>
        <v>#VALUE!</v>
      </c>
      <c r="U234" s="18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6" t="str">
        <f t="shared" si="87"/>
        <v>https://d0f6bd738d7f1b3e5a7ca70fe4ff75f0.us-east-1.aws.found.io/app/kibana#/discover/Steve-Slow-Train-Analysis-(2080s-and-2083s)?_g=(refreshInterval:(display:Off,pause:!f,section:0,value:0),time:(from:'2017-03-22T09:17:50-0600',mode:absolute,to:'2017-03-22T11:31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4" s="187" t="str">
        <f t="shared" si="88"/>
        <v>Y</v>
      </c>
      <c r="X234" s="187" t="e">
        <f t="shared" si="96"/>
        <v>#VALUE!</v>
      </c>
      <c r="Y234" s="62">
        <f t="shared" si="89"/>
        <v>2.2058</v>
      </c>
      <c r="Z234" s="62">
        <f t="shared" si="90"/>
        <v>9.9099999999999994E-2</v>
      </c>
      <c r="AA234" s="62">
        <f t="shared" si="91"/>
        <v>2.1067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 t="shared" si="92"/>
        <v>54-22</v>
      </c>
      <c r="AE234" s="85" t="str">
        <f t="shared" si="93"/>
        <v>aws s3 cp s3://rtdc.mdm.uploadarchive.raw/RTDC4026/ "%USERPROFILE%\AppData\Local\Temp\OnboardLogs"\RTDC4026\2017-03-22 --exclude "*" --recursive --include "*20170322*" &amp; "%USERPROFILE%\Documents\GitHub\mrs-test-scripts\Headless Mode &amp; Sideloading\WalkAndUnGZ.bat" "%USERPROFILE%\AppData\Local\Temp\OnboardLogs"\RTDC4026\2017-03-22 &amp; aws s3 cp s3://rtdc.mdm.uploadarchive.raw/RTDC4026/ "%USERPROFILE%\AppData\Local\Temp\OnboardLogs"\RTDC4026\2017-03-23 --exclude "*" --recursive --include "*20170323*" &amp; "%USERPROFILE%\Documents\GitHub\mrs-test-scripts\Headless Mode &amp; Sideloading\WalkAndUnGZ.bat" "%USERPROFILE%\AppData\Local\Temp\OnboardLogs"\RTDC4026\2017-03-23</v>
      </c>
      <c r="AF234" s="82" t="str">
        <f t="shared" si="94"/>
        <v>"C:\Program Files (x86)\AstroGrep\AstroGrep.exe" /e /r /s /spath="%USERPROFILE%\AppData\Local\Temp\OnboardLogs" /stypes="app*4026*20170322*" /stext=" 16:.+((SYSTEM_STATE.+slice.+state.+changed )|(ment ac)|(multiple cpu faults)|(system.+state.+changed )|(\[timeout)|(PRM\|1\|D)|(kpr)|(kdp)|(\|lc)|(penalty))"</v>
      </c>
      <c r="AG234" s="1" t="str">
        <f t="shared" si="95"/>
        <v>Other</v>
      </c>
      <c r="AH234" s="86" t="str">
        <f t="shared" si="97"/>
        <v>"%USERPROFILE%\Documents\GitHub\eaglep3\Utilities\RefineRTDCRunTimes.py" --tripid 54-22 --locoid 4026 --swversion DE.1.0.9.0 --startMP 300:22058 --initTime 2017-03-22T10:17:50 --startdatetime 2017-03-22T10:24:25 --delay 6 --endMP 204:991 --enddatetime 2017-03-22T10:31:14 --enforcementcount 2 &gt;&gt;C:\Users\stu\Documents\GitHub\eaglep3-reporting\EC\2017-03-22-refined-times.txt</v>
      </c>
      <c r="AI234" s="108" t="str">
        <f t="shared" si="98"/>
        <v>echo {"issue":{"subject":"","project_id":79,"tracker_id":40,"status_id":1,"priority_id":2,"assigned_to_id":23,"start_date":"2017-03-22","description":"","custom_fields":[{"id":1,"name":"Subdivision","value":"Other"},{"id":4,"name":"Milepost","value":"0.0991"},{"id":17,"name":"Train ID","value":"54-22"},{"id":16,"name":"Locomotive ID","value":"4026"},{"id":130,"name":"Impact","value":""},{"id":150,"name":"Time of Event (Mountain Time)","value":"10:31:14"},{"id":151,"name":"Denver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48"/>
      <c r="AK234" s="48"/>
      <c r="AL234" s="48"/>
      <c r="AM234" s="154" t="str">
        <f t="shared" si="99"/>
        <v>start /low /b %USERPROFILE%\Documents\GitHub\eaglep3\Utilities\DownloadLogsFromS3.py --loco 4026 --day 2017-03-22</v>
      </c>
      <c r="AN234" s="163" t="str">
        <f>"grep -SE -B400 ""CHR.+\|PRM\|1\|D.+(SWITCH|SIGNAL).+UNKNOWN"" "&amp;search_path&amp;"\RTDC"&amp;B234&amp;"\*"&amp;B234&amp;"*"&amp;TEXT(AVERAGE(F234,I234)-utc_offset/24,"YYYYMMDD")&amp;"*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"%USERPROFILE%\AppData\Local\Temp\OnboardLogs"\RTDC4026\*4026*20170322* | grep -SE "(Enforcement Action)|(\[TIMEOUT)|(CHR.+\|PRM\|1\|D.+(SWITCH|SIGNAL).+UNKNOWN)" - &gt;&gt; 2017-03-22-UncaughtWiMAX.txt</v>
      </c>
    </row>
    <row r="235" spans="1:40" x14ac:dyDescent="0.25">
      <c r="A235" s="33" t="s">
        <v>724</v>
      </c>
      <c r="B235" s="7">
        <v>4025</v>
      </c>
      <c r="C235" s="21" t="s">
        <v>219</v>
      </c>
      <c r="D235" s="21" t="s">
        <v>950</v>
      </c>
      <c r="E235" s="13">
        <v>42816.465057870373</v>
      </c>
      <c r="F235" s="13">
        <v>42816.467152777775</v>
      </c>
      <c r="G235" s="7">
        <v>1</v>
      </c>
      <c r="H235" s="21" t="s">
        <v>951</v>
      </c>
      <c r="I235" s="13">
        <v>42816.475011574075</v>
      </c>
      <c r="J235" s="7">
        <v>2</v>
      </c>
      <c r="K235" s="98" t="str">
        <f t="shared" si="84"/>
        <v>4025/4026</v>
      </c>
      <c r="L235" s="21" t="str">
        <f>VLOOKUP(A235,'Trips&amp;Operators'!$C$1:$G$99999,5,FALSE)</f>
        <v>MAELZER KURT</v>
      </c>
      <c r="M235" s="6">
        <f t="shared" si="85"/>
        <v>7.8587962998426519E-3</v>
      </c>
      <c r="N235" s="7">
        <f t="shared" si="83"/>
        <v>11.316666671773419</v>
      </c>
      <c r="O235" s="7"/>
      <c r="P235" s="7"/>
      <c r="Q235" s="22"/>
      <c r="R235" s="22"/>
      <c r="S235" s="31">
        <f t="shared" si="100"/>
        <v>0</v>
      </c>
      <c r="T235" s="46" t="e">
        <f t="shared" si="86"/>
        <v>#VALUE!</v>
      </c>
      <c r="U235" s="18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86" t="str">
        <f t="shared" si="87"/>
        <v>https://d0f6bd738d7f1b3e5a7ca70fe4ff75f0.us-east-1.aws.found.io/app/kibana#/discover/Steve-Slow-Train-Analysis-(2080s-and-2083s)?_g=(refreshInterval:(display:Off,pause:!f,section:0,value:0),time:(from:'2017-03-22T10:09:41-0600',mode:absolute,to:'2017-03-22T12:24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5" s="187" t="str">
        <f t="shared" si="88"/>
        <v>Y</v>
      </c>
      <c r="X235" s="187" t="e">
        <f t="shared" si="96"/>
        <v>#VALUE!</v>
      </c>
      <c r="Y235" s="62">
        <f t="shared" si="89"/>
        <v>0.1303</v>
      </c>
      <c r="Z235" s="62">
        <f t="shared" si="90"/>
        <v>2.4195000000000002</v>
      </c>
      <c r="AA235" s="62">
        <f t="shared" si="91"/>
        <v>2.2892000000000001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 t="shared" si="92"/>
        <v>55-22</v>
      </c>
      <c r="AE235" s="85" t="str">
        <f t="shared" si="93"/>
        <v>aws s3 cp s3://rtdc.mdm.uploadarchive.raw/RTDC4025/ "%USERPROFILE%\AppData\Local\Temp\OnboardLogs"\RTDC4025\2017-03-22 --exclude "*" --recursive --include "*20170322*" &amp; "%USERPROFILE%\Documents\GitHub\mrs-test-scripts\Headless Mode &amp; Sideloading\WalkAndUnGZ.bat" "%USERPROFILE%\AppData\Local\Temp\OnboardLogs"\RTDC4025\2017-03-22 &amp; aws s3 cp s3://rtdc.mdm.uploadarchive.raw/RTDC4025/ "%USERPROFILE%\AppData\Local\Temp\OnboardLogs"\RTDC4025\2017-03-23 --exclude "*" --recursive --include "*20170323*" &amp; "%USERPROFILE%\Documents\GitHub\mrs-test-scripts\Headless Mode &amp; Sideloading\WalkAndUnGZ.bat" "%USERPROFILE%\AppData\Local\Temp\OnboardLogs"\RTDC4025\2017-03-23</v>
      </c>
      <c r="AF235" s="82" t="str">
        <f t="shared" si="94"/>
        <v>"C:\Program Files (x86)\AstroGrep\AstroGrep.exe" /e /r /s /spath="%USERPROFILE%\AppData\Local\Temp\OnboardLogs" /stypes="app*4025*20170322*" /stext=" 17:.+((SYSTEM_STATE.+slice.+state.+changed )|(ment ac)|(multiple cpu faults)|(system.+state.+changed )|(\[timeout)|(PRM\|1\|D)|(kpr)|(kdp)|(\|lc)|(penalty))"</v>
      </c>
      <c r="AG235" s="1" t="str">
        <f t="shared" si="95"/>
        <v>Other</v>
      </c>
      <c r="AH235" s="86" t="str">
        <f t="shared" si="97"/>
        <v>"%USERPROFILE%\Documents\GitHub\eaglep3\Utilities\RefineRTDCRunTimes.py" --tripid 55-22 --locoid 4025 --swversion DE.1.0.9.0 --startMP 204:1303 --initTime 2017-03-22T11:09:41 --startdatetime 2017-03-22T11:12:42 --delay 1 --endMP 300:24195 --enddatetime 2017-03-22T11:24:01 --enforcementcount 2 &gt;&gt;C:\Users\stu\Documents\GitHub\eaglep3-reporting\EC\2017-03-22-refined-times.txt</v>
      </c>
      <c r="AI235" s="108" t="str">
        <f t="shared" si="98"/>
        <v>echo {"issue":{"subject":"","project_id":79,"tracker_id":40,"status_id":1,"priority_id":2,"assigned_to_id":23,"start_date":"2017-03-22","description":"","custom_fields":[{"id":1,"name":"Subdivision","value":"Other"},{"id":4,"name":"Milepost","value":"2.4195"},{"id":17,"name":"Train ID","value":"55-22"},{"id":16,"name":"Locomotive ID","value":"4025"},{"id":130,"name":"Impact","value":""},{"id":150,"name":"Time of Event (Mountain Time)","value":"11:24:01"},{"id":151,"name":"Denver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48"/>
      <c r="AK235" s="48"/>
      <c r="AL235" s="48"/>
      <c r="AM235" s="154" t="str">
        <f t="shared" si="99"/>
        <v>start /low /b %USERPROFILE%\Documents\GitHub\eaglep3\Utilities\DownloadLogsFromS3.py --loco 4025 --day 2017-03-22</v>
      </c>
      <c r="AN235" s="163" t="str">
        <f>"grep -SE -B400 ""CHR.+\|PRM\|1\|D.+(SWITCH|SIGNAL).+UNKNOWN"" "&amp;search_path&amp;"\RTDC"&amp;B235&amp;"\*"&amp;B235&amp;"*"&amp;TEXT(AVERAGE(F235,I235)-utc_offset/24,"YYYYMMDD")&amp;"*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"%USERPROFILE%\AppData\Local\Temp\OnboardLogs"\RTDC4025\*4025*20170322* | grep -SE "(Enforcement Action)|(\[TIMEOUT)|(CHR.+\|PRM\|1\|D.+(SWITCH|SIGNAL).+UNKNOWN)" - &gt;&gt; 2017-03-22-UncaughtWiMAX.txt</v>
      </c>
    </row>
    <row r="236" spans="1:40" x14ac:dyDescent="0.25">
      <c r="A236" s="33" t="s">
        <v>783</v>
      </c>
      <c r="B236" s="7">
        <v>4020</v>
      </c>
      <c r="C236" s="21" t="s">
        <v>219</v>
      </c>
      <c r="D236" s="21" t="s">
        <v>952</v>
      </c>
      <c r="E236" s="13">
        <v>42816.728067129632</v>
      </c>
      <c r="F236" s="13">
        <v>42816.735949074071</v>
      </c>
      <c r="G236" s="7">
        <v>1</v>
      </c>
      <c r="H236" s="21" t="s">
        <v>953</v>
      </c>
      <c r="I236" s="13">
        <v>42816.744340277779</v>
      </c>
      <c r="J236" s="7">
        <v>2</v>
      </c>
      <c r="K236" s="98" t="str">
        <f t="shared" si="84"/>
        <v>4019/4020</v>
      </c>
      <c r="L236" s="21" t="str">
        <f>VLOOKUP(A236,'Trips&amp;Operators'!$C$1:$G$99999,5,FALSE)</f>
        <v>DE LA ROSA ALEX</v>
      </c>
      <c r="M236" s="6">
        <f t="shared" si="85"/>
        <v>8.3912037080153823E-3</v>
      </c>
      <c r="N236" s="7">
        <f t="shared" si="83"/>
        <v>12.08333333954215</v>
      </c>
      <c r="O236" s="7"/>
      <c r="P236" s="7"/>
      <c r="Q236" s="22"/>
      <c r="R236" s="22"/>
      <c r="S236" s="31">
        <f t="shared" si="100"/>
        <v>0</v>
      </c>
      <c r="T236" s="46" t="e">
        <f t="shared" si="86"/>
        <v>#VALUE!</v>
      </c>
      <c r="U236" s="18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86" t="str">
        <f t="shared" si="87"/>
        <v>https://d0f6bd738d7f1b3e5a7ca70fe4ff75f0.us-east-1.aws.found.io/app/kibana#/discover/Steve-Slow-Train-Analysis-(2080s-and-2083s)?_g=(refreshInterval:(display:Off,pause:!f,section:0,value:0),time:(from:'2017-03-22T16:28:25-0600',mode:absolute,to:'2017-03-22T18:51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36" s="187" t="str">
        <f t="shared" si="88"/>
        <v>Y</v>
      </c>
      <c r="X236" s="187" t="e">
        <f t="shared" si="96"/>
        <v>#VALUE!</v>
      </c>
      <c r="Y236" s="62">
        <f t="shared" si="89"/>
        <v>0.1477</v>
      </c>
      <c r="Z236" s="62">
        <f t="shared" si="90"/>
        <v>2.3087</v>
      </c>
      <c r="AA236" s="62">
        <f t="shared" si="91"/>
        <v>2.161</v>
      </c>
      <c r="AB236" s="59" t="e">
        <f>VLOOKUP(A236,Enforcements!$C$7:$K$13,8,0)</f>
        <v>#N/A</v>
      </c>
      <c r="AC236" s="55" t="e">
        <f>VLOOKUP(A236,Enforcements!$C$7:$E$13,3,0)</f>
        <v>#N/A</v>
      </c>
      <c r="AD236" s="56" t="str">
        <f t="shared" si="92"/>
        <v>71-22</v>
      </c>
      <c r="AE236" s="85" t="str">
        <f t="shared" si="93"/>
        <v>aws s3 cp s3://rtdc.mdm.uploadarchive.raw/RTDC4020/ "%USERPROFILE%\AppData\Local\Temp\OnboardLogs"\RTDC4020\2017-03-22 --exclude "*" --recursive --include "*20170322*" &amp; "%USERPROFILE%\Documents\GitHub\mrs-test-scripts\Headless Mode &amp; Sideloading\WalkAndUnGZ.bat" "%USERPROFILE%\AppData\Local\Temp\OnboardLogs"\RTDC4020\2017-03-22 &amp; aws s3 cp s3://rtdc.mdm.uploadarchive.raw/RTDC4020/ "%USERPROFILE%\AppData\Local\Temp\OnboardLogs"\RTDC4020\2017-03-23 --exclude "*" --recursive --include "*20170323*" &amp; "%USERPROFILE%\Documents\GitHub\mrs-test-scripts\Headless Mode &amp; Sideloading\WalkAndUnGZ.bat" "%USERPROFILE%\AppData\Local\Temp\OnboardLogs"\RTDC4020\2017-03-23</v>
      </c>
      <c r="AF236" s="82" t="str">
        <f t="shared" si="94"/>
        <v>"C:\Program Files (x86)\AstroGrep\AstroGrep.exe" /e /r /s /spath="%USERPROFILE%\AppData\Local\Temp\OnboardLogs" /stypes="app*4020*20170322*" /stext=" 23:.+((SYSTEM_STATE.+slice.+state.+changed )|(ment ac)|(multiple cpu faults)|(system.+state.+changed )|(\[timeout)|(PRM\|1\|D)|(kpr)|(kdp)|(\|lc)|(penalty))"</v>
      </c>
      <c r="AG236" s="1" t="str">
        <f t="shared" si="95"/>
        <v>Other</v>
      </c>
      <c r="AH236" s="86" t="str">
        <f t="shared" si="97"/>
        <v>"%USERPROFILE%\Documents\GitHub\eaglep3\Utilities\RefineRTDCRunTimes.py" --tripid 71-22 --locoid 4020 --swversion DE.1.0.9.0 --startMP 204:1477 --initTime 2017-03-22T17:28:25 --startdatetime 2017-03-22T17:39:46 --delay 1 --endMP 300:23087 --enddatetime 2017-03-22T17:51:51 --enforcementcount 2 &gt;&gt;C:\Users\stu\Documents\GitHub\eaglep3-reporting\EC\2017-03-22-refined-times.txt</v>
      </c>
      <c r="AI236" s="108" t="str">
        <f t="shared" si="98"/>
        <v>echo {"issue":{"subject":"","project_id":79,"tracker_id":40,"status_id":1,"priority_id":2,"assigned_to_id":23,"start_date":"2017-03-22","description":"","custom_fields":[{"id":1,"name":"Subdivision","value":"Other"},{"id":4,"name":"Milepost","value":"2.3087"},{"id":17,"name":"Train ID","value":"71-22"},{"id":16,"name":"Locomotive ID","value":"4020"},{"id":130,"name":"Impact","value":""},{"id":150,"name":"Time of Event (Mountain Time)","value":"17:51:51"},{"id":151,"name":"Denver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48"/>
      <c r="AK236" s="48"/>
      <c r="AL236" s="48"/>
      <c r="AM236" s="154" t="str">
        <f t="shared" si="99"/>
        <v>start /low /b %USERPROFILE%\Documents\GitHub\eaglep3\Utilities\DownloadLogsFromS3.py --loco 4020 --day 2017-03-22</v>
      </c>
      <c r="AN236" s="163" t="str">
        <f>"grep -SE -B400 ""CHR.+\|PRM\|1\|D.+(SWITCH|SIGNAL).+UNKNOWN"" "&amp;search_path&amp;"\RTDC"&amp;B236&amp;"\*"&amp;B236&amp;"*"&amp;TEXT(AVERAGE(F236,I236)-utc_offset/24,"YYYYMMDD")&amp;"*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"%USERPROFILE%\AppData\Local\Temp\OnboardLogs"\RTDC4020\*4020*20170322* | grep -SE "(Enforcement Action)|(\[TIMEOUT)|(CHR.+\|PRM\|1\|D.+(SWITCH|SIGNAL).+UNKNOWN)" - &gt;&gt; 2017-03-22-UncaughtWiMAX.txt</v>
      </c>
    </row>
    <row r="237" spans="1:40" x14ac:dyDescent="0.25">
      <c r="A237" s="33" t="s">
        <v>636</v>
      </c>
      <c r="B237" s="7">
        <v>4032</v>
      </c>
      <c r="C237" s="21" t="s">
        <v>219</v>
      </c>
      <c r="D237" s="21" t="s">
        <v>954</v>
      </c>
      <c r="E237" s="13">
        <v>42816.753784722219</v>
      </c>
      <c r="F237" s="13">
        <v>42816.758321759262</v>
      </c>
      <c r="G237" s="7">
        <v>6</v>
      </c>
      <c r="H237" s="21" t="s">
        <v>955</v>
      </c>
      <c r="I237" s="13">
        <v>42816.768599537034</v>
      </c>
      <c r="J237" s="7">
        <v>2</v>
      </c>
      <c r="K237" s="98" t="str">
        <f t="shared" si="84"/>
        <v>4031/4032</v>
      </c>
      <c r="L237" s="21" t="str">
        <f>VLOOKUP(A237,'Trips&amp;Operators'!$C$1:$G$99999,5,FALSE)</f>
        <v>MCREYNOLDS KYLE</v>
      </c>
      <c r="M237" s="6">
        <f t="shared" si="85"/>
        <v>1.0277777771989349E-2</v>
      </c>
      <c r="N237" s="7">
        <f t="shared" si="83"/>
        <v>14.799999991664663</v>
      </c>
      <c r="O237" s="7"/>
      <c r="P237" s="7"/>
      <c r="Q237" s="22"/>
      <c r="R237" s="22"/>
      <c r="S237" s="31">
        <f t="shared" si="100"/>
        <v>0</v>
      </c>
      <c r="T237" s="46" t="e">
        <f t="shared" si="86"/>
        <v>#VALUE!</v>
      </c>
      <c r="U237" s="18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86" t="str">
        <f t="shared" si="87"/>
        <v>https://d0f6bd738d7f1b3e5a7ca70fe4ff75f0.us-east-1.aws.found.io/app/kibana#/discover/Steve-Slow-Train-Analysis-(2080s-and-2083s)?_g=(refreshInterval:(display:Off,pause:!f,section:0,value:0),time:(from:'2017-03-22T17:05:27-0600',mode:absolute,to:'2017-03-22T19:26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37" s="187" t="str">
        <f t="shared" si="88"/>
        <v>Y</v>
      </c>
      <c r="X237" s="187" t="e">
        <f t="shared" si="96"/>
        <v>#VALUE!</v>
      </c>
      <c r="Y237" s="62">
        <f t="shared" si="89"/>
        <v>2.2334999999999998</v>
      </c>
      <c r="Z237" s="62">
        <f t="shared" si="90"/>
        <v>9.8000000000000004E-2</v>
      </c>
      <c r="AA237" s="62">
        <f t="shared" si="91"/>
        <v>2.1355</v>
      </c>
      <c r="AB237" s="59" t="e">
        <f>VLOOKUP(A237,Enforcements!$C$7:$K$13,8,0)</f>
        <v>#N/A</v>
      </c>
      <c r="AC237" s="55" t="e">
        <f>VLOOKUP(A237,Enforcements!$C$7:$E$13,3,0)</f>
        <v>#N/A</v>
      </c>
      <c r="AD237" s="56" t="str">
        <f t="shared" si="92"/>
        <v>72-22</v>
      </c>
      <c r="AE237" s="85" t="str">
        <f t="shared" si="93"/>
        <v>aws s3 cp s3://rtdc.mdm.uploadarchive.raw/RTDC4032/ "%USERPROFILE%\AppData\Local\Temp\OnboardLogs"\RTDC4032\2017-03-22 --exclude "*" --recursive --include "*20170322*" &amp; "%USERPROFILE%\Documents\GitHub\mrs-test-scripts\Headless Mode &amp; Sideloading\WalkAndUnGZ.bat" "%USERPROFILE%\AppData\Local\Temp\OnboardLogs"\RTDC4032\2017-03-22 &amp; aws s3 cp s3://rtdc.mdm.uploadarchive.raw/RTDC4032/ "%USERPROFILE%\AppData\Local\Temp\OnboardLogs"\RTDC4032\2017-03-23 --exclude "*" --recursive --include "*20170323*" &amp; "%USERPROFILE%\Documents\GitHub\mrs-test-scripts\Headless Mode &amp; Sideloading\WalkAndUnGZ.bat" "%USERPROFILE%\AppData\Local\Temp\OnboardLogs"\RTDC4032\2017-03-23</v>
      </c>
      <c r="AF237" s="82" t="str">
        <f t="shared" si="94"/>
        <v>"C:\Program Files (x86)\AstroGrep\AstroGrep.exe" /e /r /s /spath="%USERPROFILE%\AppData\Local\Temp\OnboardLogs" /stypes="app*4032*20170323*" /stext=" 00:.+((SYSTEM_STATE.+slice.+state.+changed )|(ment ac)|(multiple cpu faults)|(system.+state.+changed )|(\[timeout)|(PRM\|1\|D)|(kpr)|(kdp)|(\|lc)|(penalty))"</v>
      </c>
      <c r="AG237" s="1" t="str">
        <f t="shared" si="95"/>
        <v>Other</v>
      </c>
      <c r="AH237" s="86" t="str">
        <f t="shared" si="97"/>
        <v>"%USERPROFILE%\Documents\GitHub\eaglep3\Utilities\RefineRTDCRunTimes.py" --tripid 72-22 --locoid 4032 --swversion DE.1.0.9.0 --startMP 300:22335 --initTime 2017-03-22T18:05:27 --startdatetime 2017-03-22T18:11:59 --delay 6 --endMP 204:980 --enddatetime 2017-03-22T18:26:47 --enforcementcount 2 &gt;&gt;C:\Users\stu\Documents\GitHub\eaglep3-reporting\EC\2017-03-22-refined-times.txt</v>
      </c>
      <c r="AI237" s="108" t="str">
        <f t="shared" si="98"/>
        <v>echo {"issue":{"subject":"","project_id":79,"tracker_id":40,"status_id":1,"priority_id":2,"assigned_to_id":23,"start_date":"2017-03-22","description":"","custom_fields":[{"id":1,"name":"Subdivision","value":"Other"},{"id":4,"name":"Milepost","value":"0.098"},{"id":17,"name":"Train ID","value":"72-22"},{"id":16,"name":"Locomotive ID","value":"4032"},{"id":130,"name":"Impact","value":""},{"id":150,"name":"Time of Event (Mountain Time)","value":"18:26:47"},{"id":151,"name":"Denver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48"/>
      <c r="AK237" s="48"/>
      <c r="AL237" s="48"/>
      <c r="AM237" s="154" t="str">
        <f t="shared" si="99"/>
        <v>start /low /b %USERPROFILE%\Documents\GitHub\eaglep3\Utilities\DownloadLogsFromS3.py --loco 4032 --day 2017-03-22</v>
      </c>
      <c r="AN237" s="163" t="str">
        <f>"grep -SE -B400 ""CHR.+\|PRM\|1\|D.+(SWITCH|SIGNAL).+UNKNOWN"" "&amp;search_path&amp;"\RTDC"&amp;B237&amp;"\*"&amp;B237&amp;"*"&amp;TEXT(AVERAGE(F237,I237)-utc_offset/24,"YYYYMMDD")&amp;"*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"%USERPROFILE%\AppData\Local\Temp\OnboardLogs"\RTDC4032\*4032*20170323* | grep -SE "(Enforcement Action)|(\[TIMEOUT)|(CHR.+\|PRM\|1\|D.+(SWITCH|SIGNAL).+UNKNOWN)" - &gt;&gt; 2017-03-22-UncaughtWiMAX.txt</v>
      </c>
    </row>
    <row r="238" spans="1:40" x14ac:dyDescent="0.25">
      <c r="A238" s="33" t="s">
        <v>786</v>
      </c>
      <c r="B238" s="7">
        <v>4026</v>
      </c>
      <c r="C238" s="21" t="s">
        <v>219</v>
      </c>
      <c r="D238" s="21" t="s">
        <v>956</v>
      </c>
      <c r="E238" s="13">
        <v>42816.739432870374</v>
      </c>
      <c r="F238" s="13">
        <v>42816.746215277781</v>
      </c>
      <c r="G238" s="7">
        <v>9</v>
      </c>
      <c r="H238" s="21" t="s">
        <v>957</v>
      </c>
      <c r="I238" s="13">
        <v>42816.752141203702</v>
      </c>
      <c r="J238" s="7">
        <v>2</v>
      </c>
      <c r="K238" s="98" t="str">
        <f t="shared" si="84"/>
        <v>4025/4026</v>
      </c>
      <c r="L238" s="21" t="str">
        <f>VLOOKUP(A238,'Trips&amp;Operators'!$C$1:$G$99999,5,FALSE)</f>
        <v>BROWN JACOB</v>
      </c>
      <c r="M238" s="6">
        <f t="shared" si="85"/>
        <v>5.9259259214741178E-3</v>
      </c>
      <c r="N238" s="7">
        <f t="shared" si="83"/>
        <v>8.5333333269227296</v>
      </c>
      <c r="O238" s="7"/>
      <c r="P238" s="7"/>
      <c r="Q238" s="22"/>
      <c r="R238" s="22"/>
      <c r="S238" s="31">
        <f t="shared" si="100"/>
        <v>0</v>
      </c>
      <c r="T238" s="46" t="e">
        <f t="shared" si="86"/>
        <v>#VALUE!</v>
      </c>
      <c r="U238" s="18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86" t="str">
        <f t="shared" si="87"/>
        <v>https://d0f6bd738d7f1b3e5a7ca70fe4ff75f0.us-east-1.aws.found.io/app/kibana#/discover/Steve-Slow-Train-Analysis-(2080s-and-2083s)?_g=(refreshInterval:(display:Off,pause:!f,section:0,value:0),time:(from:'2017-03-22T16:44:47-0600',mode:absolute,to:'2017-03-22T19:03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8" s="187" t="str">
        <f t="shared" si="88"/>
        <v>Y</v>
      </c>
      <c r="X238" s="187" t="e">
        <f t="shared" si="96"/>
        <v>#VALUE!</v>
      </c>
      <c r="Y238" s="62">
        <f t="shared" si="89"/>
        <v>2.3704999999999998</v>
      </c>
      <c r="Z238" s="62">
        <f t="shared" si="90"/>
        <v>6.3E-3</v>
      </c>
      <c r="AA238" s="62">
        <f t="shared" si="91"/>
        <v>2.3641999999999999</v>
      </c>
      <c r="AB238" s="59" t="e">
        <f>VLOOKUP(A238,Enforcements!$C$7:$K$13,8,0)</f>
        <v>#N/A</v>
      </c>
      <c r="AC238" s="55" t="e">
        <f>VLOOKUP(A238,Enforcements!$C$7:$E$13,3,0)</f>
        <v>#N/A</v>
      </c>
      <c r="AD238" s="56" t="str">
        <f t="shared" si="92"/>
        <v>74-22</v>
      </c>
      <c r="AE238" s="85" t="str">
        <f t="shared" si="93"/>
        <v>aws s3 cp s3://rtdc.mdm.uploadarchive.raw/RTDC4026/ "%USERPROFILE%\AppData\Local\Temp\OnboardLogs"\RTDC4026\2017-03-22 --exclude "*" --recursive --include "*20170322*" &amp; "%USERPROFILE%\Documents\GitHub\mrs-test-scripts\Headless Mode &amp; Sideloading\WalkAndUnGZ.bat" "%USERPROFILE%\AppData\Local\Temp\OnboardLogs"\RTDC4026\2017-03-22 &amp; aws s3 cp s3://rtdc.mdm.uploadarchive.raw/RTDC4026/ "%USERPROFILE%\AppData\Local\Temp\OnboardLogs"\RTDC4026\2017-03-23 --exclude "*" --recursive --include "*20170323*" &amp; "%USERPROFILE%\Documents\GitHub\mrs-test-scripts\Headless Mode &amp; Sideloading\WalkAndUnGZ.bat" "%USERPROFILE%\AppData\Local\Temp\OnboardLogs"\RTDC4026\2017-03-23</v>
      </c>
      <c r="AF238" s="82" t="str">
        <f t="shared" si="94"/>
        <v>"C:\Program Files (x86)\AstroGrep\AstroGrep.exe" /e /r /s /spath="%USERPROFILE%\AppData\Local\Temp\OnboardLogs" /stypes="app*4026*20170323*" /stext=" 00:.+((SYSTEM_STATE.+slice.+state.+changed )|(ment ac)|(multiple cpu faults)|(system.+state.+changed )|(\[timeout)|(PRM\|1\|D)|(kpr)|(kdp)|(\|lc)|(penalty))"</v>
      </c>
      <c r="AG238" s="1" t="str">
        <f t="shared" si="95"/>
        <v>Other</v>
      </c>
      <c r="AH238" s="86" t="str">
        <f t="shared" si="97"/>
        <v>"%USERPROFILE%\Documents\GitHub\eaglep3\Utilities\RefineRTDCRunTimes.py" --tripid 74-22 --locoid 4026 --swversion DE.1.0.9.0 --startMP 300:23705 --initTime 2017-03-22T17:44:47 --startdatetime 2017-03-22T17:54:33 --delay 9 --endMP 204:63 --enddatetime 2017-03-22T18:03:05 --enforcementcount 2 &gt;&gt;C:\Users\stu\Documents\GitHub\eaglep3-reporting\EC\2017-03-22-refined-times.txt</v>
      </c>
      <c r="AI238" s="108" t="str">
        <f t="shared" si="98"/>
        <v>echo {"issue":{"subject":"","project_id":79,"tracker_id":40,"status_id":1,"priority_id":2,"assigned_to_id":23,"start_date":"2017-03-22","description":"","custom_fields":[{"id":1,"name":"Subdivision","value":"Other"},{"id":4,"name":"Milepost","value":"0.0063"},{"id":17,"name":"Train ID","value":"74-22"},{"id":16,"name":"Locomotive ID","value":"4026"},{"id":130,"name":"Impact","value":""},{"id":150,"name":"Time of Event (Mountain Time)","value":"18:03:05"},{"id":151,"name":"Denver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48"/>
      <c r="AK238" s="48"/>
      <c r="AL238" s="48"/>
      <c r="AM238" s="154" t="str">
        <f t="shared" si="99"/>
        <v>start /low /b %USERPROFILE%\Documents\GitHub\eaglep3\Utilities\DownloadLogsFromS3.py --loco 4026 --day 2017-03-22</v>
      </c>
      <c r="AN238" s="163" t="str">
        <f>"grep -SE -B400 ""CHR.+\|PRM\|1\|D.+(SWITCH|SIGNAL).+UNKNOWN"" "&amp;search_path&amp;"\RTDC"&amp;B238&amp;"\*"&amp;B238&amp;"*"&amp;TEXT(AVERAGE(F238,I238)-utc_offset/24,"YYYYMMDD")&amp;"*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"%USERPROFILE%\AppData\Local\Temp\OnboardLogs"\RTDC4026\*4026*20170322* | grep -SE "(Enforcement Action)|(\[TIMEOUT)|(CHR.+\|PRM\|1\|D.+(SWITCH|SIGNAL).+UNKNOWN)" - &gt;&gt; 2017-03-22-UncaughtWiMAX.txt</v>
      </c>
    </row>
    <row r="239" spans="1:40" x14ac:dyDescent="0.25">
      <c r="A239" s="33" t="s">
        <v>793</v>
      </c>
      <c r="B239" s="7">
        <v>4025</v>
      </c>
      <c r="C239" s="21" t="s">
        <v>219</v>
      </c>
      <c r="D239" s="21" t="s">
        <v>958</v>
      </c>
      <c r="E239" s="13">
        <v>42816.761724537035</v>
      </c>
      <c r="F239" s="13">
        <v>42816.770300925928</v>
      </c>
      <c r="G239" s="7">
        <v>1</v>
      </c>
      <c r="H239" s="21" t="s">
        <v>576</v>
      </c>
      <c r="I239" s="13">
        <v>42816.775208333333</v>
      </c>
      <c r="J239" s="7">
        <v>2</v>
      </c>
      <c r="K239" s="98" t="str">
        <f t="shared" si="84"/>
        <v>4025/4026</v>
      </c>
      <c r="L239" s="21" t="str">
        <f>VLOOKUP(A239,'Trips&amp;Operators'!$C$1:$G$99999,5,FALSE)</f>
        <v>DAVIS MICHAEL</v>
      </c>
      <c r="M239" s="6">
        <f t="shared" si="85"/>
        <v>4.907407404971309E-3</v>
      </c>
      <c r="N239" s="7">
        <f t="shared" si="83"/>
        <v>7.066666663158685</v>
      </c>
      <c r="O239" s="7"/>
      <c r="P239" s="7"/>
      <c r="Q239" s="22"/>
      <c r="R239" s="22"/>
      <c r="S239" s="31">
        <f t="shared" si="100"/>
        <v>0</v>
      </c>
      <c r="T239" s="46" t="e">
        <f t="shared" si="86"/>
        <v>#VALUE!</v>
      </c>
      <c r="U239" s="18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86" t="str">
        <f t="shared" si="87"/>
        <v>https://d0f6bd738d7f1b3e5a7ca70fe4ff75f0.us-east-1.aws.found.io/app/kibana#/discover/Steve-Slow-Train-Analysis-(2080s-and-2083s)?_g=(refreshInterval:(display:Off,pause:!f,section:0,value:0),time:(from:'2017-03-22T17:16:53-0600',mode:absolute,to:'2017-03-22T19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9" s="187" t="str">
        <f t="shared" si="88"/>
        <v>Y</v>
      </c>
      <c r="X239" s="187" t="e">
        <f t="shared" si="96"/>
        <v>#VALUE!</v>
      </c>
      <c r="Y239" s="62">
        <f t="shared" si="89"/>
        <v>3.8100000000000002E-2</v>
      </c>
      <c r="Z239" s="62">
        <f t="shared" si="90"/>
        <v>2.3304</v>
      </c>
      <c r="AA239" s="62">
        <f t="shared" si="91"/>
        <v>2.2923</v>
      </c>
      <c r="AB239" s="59" t="e">
        <f>VLOOKUP(A239,Enforcements!$C$7:$K$13,8,0)</f>
        <v>#N/A</v>
      </c>
      <c r="AC239" s="55" t="e">
        <f>VLOOKUP(A239,Enforcements!$C$7:$E$13,3,0)</f>
        <v>#N/A</v>
      </c>
      <c r="AD239" s="56" t="str">
        <f t="shared" si="92"/>
        <v>75-22</v>
      </c>
      <c r="AE239" s="85" t="str">
        <f t="shared" si="93"/>
        <v>aws s3 cp s3://rtdc.mdm.uploadarchive.raw/RTDC4025/ "%USERPROFILE%\AppData\Local\Temp\OnboardLogs"\RTDC4025\2017-03-22 --exclude "*" --recursive --include "*20170322*" &amp; "%USERPROFILE%\Documents\GitHub\mrs-test-scripts\Headless Mode &amp; Sideloading\WalkAndUnGZ.bat" "%USERPROFILE%\AppData\Local\Temp\OnboardLogs"\RTDC4025\2017-03-22 &amp; aws s3 cp s3://rtdc.mdm.uploadarchive.raw/RTDC4025/ "%USERPROFILE%\AppData\Local\Temp\OnboardLogs"\RTDC4025\2017-03-23 --exclude "*" --recursive --include "*20170323*" &amp; "%USERPROFILE%\Documents\GitHub\mrs-test-scripts\Headless Mode &amp; Sideloading\WalkAndUnGZ.bat" "%USERPROFILE%\AppData\Local\Temp\OnboardLogs"\RTDC4025\2017-03-23</v>
      </c>
      <c r="AF239" s="82" t="str">
        <f t="shared" si="94"/>
        <v>"C:\Program Files (x86)\AstroGrep\AstroGrep.exe" /e /r /s /spath="%USERPROFILE%\AppData\Local\Temp\OnboardLogs" /stypes="app*4025*20170323*" /stext=" 00:.+((SYSTEM_STATE.+slice.+state.+changed )|(ment ac)|(multiple cpu faults)|(system.+state.+changed )|(\[timeout)|(PRM\|1\|D)|(kpr)|(kdp)|(\|lc)|(penalty))"</v>
      </c>
      <c r="AG239" s="1" t="str">
        <f t="shared" si="95"/>
        <v>Other</v>
      </c>
      <c r="AH239" s="86" t="str">
        <f t="shared" si="97"/>
        <v>"%USERPROFILE%\Documents\GitHub\eaglep3\Utilities\RefineRTDCRunTimes.py" --tripid 75-22 --locoid 4025 --swversion DE.1.0.9.0 --startMP 204:381 --initTime 2017-03-22T18:16:53 --startdatetime 2017-03-22T18:29:14 --delay 1 --endMP 300:23304 --enddatetime 2017-03-22T18:36:18 --enforcementcount 2 &gt;&gt;C:\Users\stu\Documents\GitHub\eaglep3-reporting\EC\2017-03-22-refined-times.txt</v>
      </c>
      <c r="AI239" s="108" t="str">
        <f t="shared" si="98"/>
        <v>echo {"issue":{"subject":"","project_id":79,"tracker_id":40,"status_id":1,"priority_id":2,"assigned_to_id":23,"start_date":"2017-03-22","description":"","custom_fields":[{"id":1,"name":"Subdivision","value":"Other"},{"id":4,"name":"Milepost","value":"2.3304"},{"id":17,"name":"Train ID","value":"75-22"},{"id":16,"name":"Locomotive ID","value":"4025"},{"id":130,"name":"Impact","value":""},{"id":150,"name":"Time of Event (Mountain Time)","value":"18:36:18"},{"id":151,"name":"Denver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48"/>
      <c r="AK239" s="48"/>
      <c r="AL239" s="48"/>
      <c r="AM239" s="154" t="str">
        <f t="shared" si="99"/>
        <v>start /low /b %USERPROFILE%\Documents\GitHub\eaglep3\Utilities\DownloadLogsFromS3.py --loco 4025 --day 2017-03-22</v>
      </c>
      <c r="AN239" s="163" t="str">
        <f>"grep -SE -B400 ""CHR.+\|PRM\|1\|D.+(SWITCH|SIGNAL).+UNKNOWN"" "&amp;search_path&amp;"\RTDC"&amp;B239&amp;"\*"&amp;B239&amp;"*"&amp;TEXT(AVERAGE(F239,I239)-utc_offset/24,"YYYYMMDD")&amp;"*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"%USERPROFILE%\AppData\Local\Temp\OnboardLogs"\RTDC4025\*4025*20170323* | grep -SE "(Enforcement Action)|(\[TIMEOUT)|(CHR.+\|PRM\|1\|D.+(SWITCH|SIGNAL).+UNKNOWN)" - &gt;&gt; 2017-03-22-UncaughtWiMAX.txt</v>
      </c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S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  <row r="276" spans="1:3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S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  <c r="AM276"/>
    </row>
    <row r="277" spans="1:39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S277"/>
      <c r="U277"/>
      <c r="V277"/>
      <c r="W277"/>
      <c r="X277"/>
      <c r="Y277"/>
      <c r="Z277"/>
      <c r="AA277"/>
      <c r="AB277"/>
      <c r="AC277"/>
      <c r="AD277"/>
      <c r="AE277"/>
      <c r="AF277"/>
      <c r="AH277"/>
      <c r="AI277"/>
      <c r="AM277"/>
    </row>
    <row r="278" spans="1:39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S278"/>
      <c r="U278"/>
      <c r="V278"/>
      <c r="W278"/>
      <c r="X278"/>
      <c r="Y278"/>
      <c r="Z278"/>
      <c r="AA278"/>
      <c r="AB278"/>
      <c r="AC278"/>
      <c r="AD278"/>
      <c r="AE278"/>
      <c r="AF278"/>
      <c r="AH278"/>
      <c r="AI278"/>
      <c r="AM278"/>
    </row>
  </sheetData>
  <autoFilter ref="A12:AG272"/>
  <sortState ref="A13:AH200">
    <sortCondition ref="AG13:AG200"/>
    <sortCondition ref="AD13:AD200"/>
  </sortState>
  <mergeCells count="1">
    <mergeCell ref="A11:P11"/>
  </mergeCells>
  <conditionalFormatting sqref="W11:W12 W279:X1048576 W13:X239">
    <cfRule type="cellIs" dxfId="10" priority="370" operator="equal">
      <formula>"Y"</formula>
    </cfRule>
  </conditionalFormatting>
  <conditionalFormatting sqref="X279:X1048576 X13:X239">
    <cfRule type="cellIs" dxfId="9" priority="353" operator="greaterThan">
      <formula>1</formula>
    </cfRule>
  </conditionalFormatting>
  <conditionalFormatting sqref="X279:X1048576 X12:X239">
    <cfRule type="cellIs" dxfId="8" priority="350" operator="equal">
      <formula>0</formula>
    </cfRule>
  </conditionalFormatting>
  <conditionalFormatting sqref="A13:S239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A13:S239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AK13:AK239</xm:sqref>
        </x14:dataValidation>
        <x14:dataValidation type="list" allowBlank="1" showInputMessage="1" showErrorMessage="1">
          <x14:formula1>
            <xm:f>'Redmine List Values'!$C$2:$C$15</xm:f>
          </x14:formula1>
          <xm:sqref>AL13:AL239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7"/>
  <sheetViews>
    <sheetView topLeftCell="A26" zoomScaleNormal="100" workbookViewId="0">
      <selection activeCell="S45" sqref="S45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8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220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8"/>
      <c r="P1" s="125"/>
      <c r="R1" s="83"/>
      <c r="S1" s="90"/>
      <c r="T1" s="80"/>
      <c r="V1" s="44"/>
      <c r="Z1" s="220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COUNTIF($O$7:$O$307,"=Y")</f>
        <v>6</v>
      </c>
      <c r="P2" s="122"/>
      <c r="R2" s="83"/>
      <c r="S2" s="90"/>
      <c r="T2" s="80"/>
      <c r="V2" s="44"/>
      <c r="Z2" s="220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COUNTA($O$7:$O$307)-O2</f>
        <v>47</v>
      </c>
      <c r="P3" s="122"/>
      <c r="R3" s="83"/>
      <c r="S3" s="90"/>
      <c r="T3" s="80"/>
      <c r="V3" s="44"/>
      <c r="Z3" s="220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8"/>
      <c r="P4" s="125"/>
      <c r="R4" s="83"/>
      <c r="S4" s="90"/>
      <c r="T4" s="80"/>
      <c r="V4" s="44"/>
      <c r="Z4" s="220"/>
      <c r="AC4" s="128"/>
      <c r="AE4" s="154"/>
    </row>
    <row r="5" spans="1:32" s="10" customFormat="1" ht="15" customHeight="1" x14ac:dyDescent="0.25">
      <c r="A5" s="223" t="str">
        <f>"Eagle P3 Braking Events - "&amp;TEXT(Variables!$A$2,"YYYY-mm-dd")</f>
        <v>Eagle P3 Braking Events - 2017-03-22</v>
      </c>
      <c r="B5" s="223"/>
      <c r="C5" s="223"/>
      <c r="D5" s="223"/>
      <c r="E5" s="223"/>
      <c r="F5" s="223"/>
      <c r="G5" s="223"/>
      <c r="H5" s="223"/>
      <c r="I5" s="223"/>
      <c r="J5" s="223"/>
      <c r="K5" s="223"/>
      <c r="L5" s="223"/>
      <c r="M5" s="223"/>
      <c r="N5" s="223"/>
      <c r="O5" s="223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221" t="s">
        <v>148</v>
      </c>
      <c r="AA6" s="118" t="s">
        <v>121</v>
      </c>
      <c r="AB6" s="118" t="s">
        <v>149</v>
      </c>
      <c r="AC6" s="130" t="s">
        <v>173</v>
      </c>
      <c r="AD6" s="119" t="s">
        <v>192</v>
      </c>
      <c r="AE6" s="155" t="s">
        <v>202</v>
      </c>
    </row>
    <row r="7" spans="1:32" s="1" customFormat="1" x14ac:dyDescent="0.25">
      <c r="A7" s="32">
        <v>42816.764999999999</v>
      </c>
      <c r="B7" s="30" t="s">
        <v>604</v>
      </c>
      <c r="C7" s="30" t="s">
        <v>635</v>
      </c>
      <c r="D7" s="30" t="s">
        <v>49</v>
      </c>
      <c r="E7" s="30" t="s">
        <v>193</v>
      </c>
      <c r="F7" s="43">
        <v>0</v>
      </c>
      <c r="G7" s="43">
        <v>191</v>
      </c>
      <c r="H7" s="43">
        <v>27016</v>
      </c>
      <c r="I7" s="43">
        <v>27244</v>
      </c>
      <c r="J7" s="30" t="s">
        <v>194</v>
      </c>
      <c r="K7" s="43">
        <v>27053</v>
      </c>
      <c r="L7" s="143" t="s">
        <v>50</v>
      </c>
      <c r="M7" s="144">
        <f t="shared" ref="M7:M38" si="0">CONVERT((I7-K7)/10000,"mi","ft")*IF(L7="Increasing Mileposts (1)",-1,1)</f>
        <v>-100.848</v>
      </c>
      <c r="N7" s="145" t="str">
        <f>VLOOKUP(C7,'Trips&amp;Operators'!$C$1:$G$99999,5,FALSE)</f>
        <v>BROWN JACOB</v>
      </c>
      <c r="O7" s="194" t="s">
        <v>185</v>
      </c>
      <c r="P7" s="146" t="s">
        <v>496</v>
      </c>
      <c r="Q7" s="30"/>
      <c r="R7" s="89" t="str">
        <f>IF(VLOOKUP(C7,'Train Runs'!$A$13:$AE$9948,1,1)=C7,VLOOKUP(C7,'Train Runs'!$A$13:$AE$9948,31,1),NA())</f>
        <v>aws s3 cp s3://rtdc.mdm.uploadarchive.raw/RTDC4040/ "%USERPROFILE%\AppData\Local\Temp\OnboardLogs"\RTDC4040\2017-03-22 --exclude "*" --recursive --include "*20170322*" &amp; "%USERPROFILE%\Documents\GitHub\mrs-test-scripts\Headless Mode &amp; Sideloading\WalkAndUnGZ.bat" "%USERPROFILE%\AppData\Local\Temp\OnboardLogs"\RTDC4040\2017-03-22 &amp; aws s3 cp s3://rtdc.mdm.uploadarchive.raw/RTDC4040/ "%USERPROFILE%\AppData\Local\Temp\OnboardLogs"\RTDC4040\2017-03-23 --exclude "*" --recursive --include "*20170323*" &amp; "%USERPROFILE%\Documents\GitHub\mrs-test-scripts\Headless Mode &amp; Sideloading\WalkAndUnGZ.bat" "%USERPROFILE%\AppData\Local\Temp\OnboardLogs"\RTDC4040\2017-03-23</v>
      </c>
      <c r="S7" s="92" t="str">
        <f>VLOOKUP(C7,'Train Runs'!$A$13:$AE$9948,22,0)</f>
        <v>https://d0f6bd738d7f1b3e5a7ca70fe4ff75f0.us-east-1.aws.found.io/app/kibana#/discover/Steve-Slow-Train-Analysis-(2080s-and-2083s)?_g=(refreshInterval:(display:Off,pause:!f,section:0,value:0),time:(from:'2017-03-22T17:12:11-0600',mode:absolute,to:'2017-03-22T19:52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7" s="94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/stypes="*4040*201703230*" /stext=" 00:.+((SYSTEM_STATE.+slice.+state.+changed )|(ment ac)|(multiple cpu faults)|(system.+state.+changed )|(\[timeout)|(PRM\|1\|D)|(kpr)|(kdp)|(\|lc)|(penalty))"</v>
      </c>
      <c r="U7" s="9" t="str">
        <f t="shared" ref="U7:U38" si="2">MID(B7,13,4)</f>
        <v>4040</v>
      </c>
      <c r="V7" s="32">
        <f t="shared" ref="V7:V38" si="3">A7-utc_offset/24</f>
        <v>42817.014999999999</v>
      </c>
      <c r="W7" s="46" t="str">
        <f t="shared" ref="W7:W38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8" si="5">IF(AND(E7="TRACK WARRANT AUTHORITY",G7&lt;10),"OMIT","KEEP")</f>
        <v>KEEP</v>
      </c>
      <c r="Y7" s="108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arrival","project_id":79,"tracker_id":40,"status_id":1,"priority_id":2,"assigned_to_id":23,"start_date":"2017-03-22","description":"","custom_fields":[{"id":1,"name":"Subdivision","value":"EC"},{"id":4,"name":"Milepost","value":"2.7053"},{"id":17,"name":"Train ID","value":"217-22"},{"id":16,"name":"Locomotive ID","value":"4040"},{"id":130,"name":"Impact","value":""},{"id":150,"name":"Time of Event (Mountain Time)","value":"18:21:36"},{"id":151,"name":"Denver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222"/>
      <c r="AA7" s="48"/>
      <c r="AB7" s="48"/>
      <c r="AC7" s="127" t="str">
        <f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"%USERPROFILE%\AppData\Local\Temp\OnboardLogs"\RTDC4040\*4040*201703230*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"%USERPROFILE%\AppData\Local\Temp\OnboardLogs"\RTDC4040\*4040*201703230* &gt;&gt; 2017-03-22-SliceDisagreementCheck.txt</v>
      </c>
      <c r="AE7" s="157" t="str">
        <f t="shared" ref="AE7" si="7">"start /low /b "&amp;dls3logs&amp;" --loco "&amp;U7&amp;" --day "&amp;TEXT(V7,"YYYY-MM-DD")</f>
        <v>start /low /b %USERPROFILE%\Documents\GitHub\eaglep3\Utilities\DownloadLogsFromS3.py --loco 4040 --day 2017-03-23</v>
      </c>
    </row>
    <row r="8" spans="1:32" s="1" customFormat="1" x14ac:dyDescent="0.25">
      <c r="A8" s="32">
        <v>42816.837719907409</v>
      </c>
      <c r="B8" s="30" t="s">
        <v>604</v>
      </c>
      <c r="C8" s="30" t="s">
        <v>641</v>
      </c>
      <c r="D8" s="30" t="s">
        <v>49</v>
      </c>
      <c r="E8" s="30" t="s">
        <v>193</v>
      </c>
      <c r="F8" s="43">
        <v>0</v>
      </c>
      <c r="G8" s="43">
        <v>175</v>
      </c>
      <c r="H8" s="43">
        <v>27010</v>
      </c>
      <c r="I8" s="43">
        <v>27160</v>
      </c>
      <c r="J8" s="30" t="s">
        <v>194</v>
      </c>
      <c r="K8" s="43">
        <v>27053</v>
      </c>
      <c r="L8" s="143" t="s">
        <v>50</v>
      </c>
      <c r="M8" s="144">
        <f t="shared" si="0"/>
        <v>-56.496000000000002</v>
      </c>
      <c r="N8" s="145" t="str">
        <f>VLOOKUP(C8,'Trips&amp;Operators'!$C$1:$G$99999,5,FALSE)</f>
        <v>BROWN JACOB</v>
      </c>
      <c r="O8" s="194" t="s">
        <v>185</v>
      </c>
      <c r="P8" s="146" t="s">
        <v>496</v>
      </c>
      <c r="Q8" s="30"/>
      <c r="R8" s="89" t="str">
        <f>IF(VLOOKUP(C8,'Train Runs'!$A$13:$AE$9948,1,1)=C8,VLOOKUP(C8,'Train Runs'!$A$13:$AE$9948,31,1),NA())</f>
        <v>aws s3 cp s3://rtdc.mdm.uploadarchive.raw/RTDC4040/ "%USERPROFILE%\AppData\Local\Temp\OnboardLogs"\RTDC4040\2017-03-22 --exclude "*" --recursive --include "*20170322*" &amp; "%USERPROFILE%\Documents\GitHub\mrs-test-scripts\Headless Mode &amp; Sideloading\WalkAndUnGZ.bat" "%USERPROFILE%\AppData\Local\Temp\OnboardLogs"\RTDC4040\2017-03-22 &amp; aws s3 cp s3://rtdc.mdm.uploadarchive.raw/RTDC4040/ "%USERPROFILE%\AppData\Local\Temp\OnboardLogs"\RTDC4040\2017-03-23 --exclude "*" --recursive --include "*20170323*" &amp; "%USERPROFILE%\Documents\GitHub\mrs-test-scripts\Headless Mode &amp; Sideloading\WalkAndUnGZ.bat" "%USERPROFILE%\AppData\Local\Temp\OnboardLogs"\RTDC4040\2017-03-23</v>
      </c>
      <c r="S8" s="92" t="str">
        <f>VLOOKUP(C8,'Train Runs'!$A$13:$AE$9948,22,0)</f>
        <v>https://d0f6bd738d7f1b3e5a7ca70fe4ff75f0.us-east-1.aws.found.io/app/kibana#/discover/Steve-Slow-Train-Analysis-(2080s-and-2083s)?_g=(refreshInterval:(display:Off,pause:!f,section:0,value:0),time:(from:'2017-03-22T18:55:01-0600',mode:absolute,to:'2017-03-22T21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8" s="94" t="str">
        <f t="shared" si="1"/>
        <v>"C:\Program Files (x86)\AstroGrep\AstroGrep.exe" /e /r /s /spath="%USERPROFILE%\AppData\Local\Temp\OnboardLogs" /stypes="*4040*201703230*" /stext=" 02:.+((SYSTEM_STATE.+slice.+state.+changed )|(ment ac)|(multiple cpu faults)|(system.+state.+changed )|(\[timeout)|(PRM\|1\|D)|(kpr)|(kdp)|(\|lc)|(penalty))"</v>
      </c>
      <c r="U8" s="9" t="str">
        <f t="shared" si="2"/>
        <v>4040</v>
      </c>
      <c r="V8" s="32">
        <f t="shared" si="3"/>
        <v>42817.087719907409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{"issue":{"subject":"Early arrival","project_id":79,"tracker_id":40,"status_id":1,"priority_id":2,"assigned_to_id":23,"start_date":"2017-03-22","description":"","custom_fields":[{"id":1,"name":"Subdivision","value":"EC"},{"id":4,"name":"Milepost","value":"2.7053"},{"id":17,"name":"Train ID","value":"225-22"},{"id":16,"name":"Locomotive ID","value":"4040"},{"id":130,"name":"Impact","value":""},{"id":150,"name":"Time of Event (Mountain Time)","value":"20:06:19"},{"id":151,"name":"Denver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222"/>
      <c r="AA8" s="48"/>
      <c r="AB8" s="48"/>
      <c r="AC8" s="127" t="str">
        <f>"grep -hSE -A400 ""Enforcement Action"" "&amp;search_path&amp;"\RTDC"&amp;U8&amp;"\*"&amp;U8&amp;"*"&amp;TEXT(A8-utc_offset/24,"YYYYMMDD")&amp;LEFT(TEXT(A8-utc_offset/24,"HH"),1)&amp;"* | grep -SE ""((Enforcement Ac)|(PRM.+XING))"" -"</f>
        <v>grep -hSE -A400 "Enforcement Action" "%USERPROFILE%\AppData\Local\Temp\OnboardLogs"\RTDC4040\*4040*201703230*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"%USERPROFILE%\AppData\Local\Temp\OnboardLogs"\RTDC4040\*4040*201703230* &gt;&gt; 2017-03-22-SliceDisagreementCheck.txt</v>
      </c>
      <c r="AE8" s="157" t="str">
        <f t="shared" ref="AE8:AE59" si="8">"start /low /b "&amp;dls3logs&amp;" --loco "&amp;U8&amp;" --day "&amp;TEXT(V8,"YYYY-MM-DD")</f>
        <v>start /low /b %USERPROFILE%\Documents\GitHub\eaglep3\Utilities\DownloadLogsFromS3.py --loco 4040 --day 2017-03-23</v>
      </c>
    </row>
    <row r="9" spans="1:32" s="1" customFormat="1" x14ac:dyDescent="0.25">
      <c r="A9" s="32">
        <v>42816.614490740743</v>
      </c>
      <c r="B9" s="30" t="s">
        <v>602</v>
      </c>
      <c r="C9" s="30" t="s">
        <v>623</v>
      </c>
      <c r="D9" s="30" t="s">
        <v>98</v>
      </c>
      <c r="E9" s="30" t="s">
        <v>193</v>
      </c>
      <c r="F9" s="43">
        <v>190</v>
      </c>
      <c r="G9" s="43">
        <v>251</v>
      </c>
      <c r="H9" s="43">
        <v>27021</v>
      </c>
      <c r="I9" s="43">
        <v>25187</v>
      </c>
      <c r="J9" s="30" t="s">
        <v>194</v>
      </c>
      <c r="K9" s="43">
        <v>27350</v>
      </c>
      <c r="L9" s="143" t="s">
        <v>51</v>
      </c>
      <c r="M9" s="144">
        <f t="shared" si="0"/>
        <v>-1142.0640000000001</v>
      </c>
      <c r="N9" s="145" t="str">
        <f>VLOOKUP(C9,'Trips&amp;Operators'!$C$1:$G$99999,5,FALSE)</f>
        <v>MENGES BRAD</v>
      </c>
      <c r="O9" s="194" t="s">
        <v>185</v>
      </c>
      <c r="P9" s="146" t="s">
        <v>496</v>
      </c>
      <c r="Q9" s="30"/>
      <c r="R9" s="89" t="str">
        <f>IF(VLOOKUP(C9,'Train Runs'!$A$13:$AE$9948,1,1)=C9,VLOOKUP(C9,'Train Runs'!$A$13:$AE$9948,31,1),NA())</f>
        <v>aws s3 cp s3://rtdc.mdm.uploadarchive.raw/RTDC4019/ "%USERPROFILE%\AppData\Local\Temp\OnboardLogs"\RTDC4019\2017-03-22 --exclude "*" --recursive --include "*20170322*" &amp; "%USERPROFILE%\Documents\GitHub\mrs-test-scripts\Headless Mode &amp; Sideloading\WalkAndUnGZ.bat" "%USERPROFILE%\AppData\Local\Temp\OnboardLogs"\RTDC4019\2017-03-22 &amp; aws s3 cp s3://rtdc.mdm.uploadarchive.raw/RTDC4019/ "%USERPROFILE%\AppData\Local\Temp\OnboardLogs"\RTDC4019\2017-03-23 --exclude "*" --recursive --include "*20170323*" &amp; "%USERPROFILE%\Documents\GitHub\mrs-test-scripts\Headless Mode &amp; Sideloading\WalkAndUnGZ.bat" "%USERPROFILE%\AppData\Local\Temp\OnboardLogs"\RTDC4019\2017-03-23</v>
      </c>
      <c r="S9" s="92" t="str">
        <f>VLOOKUP(C9,'Train Runs'!$A$13:$AE$9948,22,0)</f>
        <v>https://d0f6bd738d7f1b3e5a7ca70fe4ff75f0.us-east-1.aws.found.io/app/kibana#/discover/Steve-Slow-Train-Analysis-(2080s-and-2083s)?_g=(refreshInterval:(display:Off,pause:!f,section:0,value:0),time:(from:'2017-03-22T13:03:28-0600',mode:absolute,to:'2017-03-22T15:52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9" s="94" t="str">
        <f t="shared" si="1"/>
        <v>"C:\Program Files (x86)\AstroGrep\AstroGrep.exe" /e /r /s /spath="%USERPROFILE%\AppData\Local\Temp\OnboardLogs" /stypes="*4019*201703222*" /stext=" 20:.+((SYSTEM_STATE.+slice.+state.+changed )|(ment ac)|(multiple cpu faults)|(system.+state.+changed )|(\[timeout)|(PRM\|1\|D)|(kpr)|(kdp)|(\|lc)|(penalty))"</v>
      </c>
      <c r="U9" s="9" t="str">
        <f t="shared" si="2"/>
        <v>4019</v>
      </c>
      <c r="V9" s="32">
        <f t="shared" si="3"/>
        <v>42816.864490740743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arrival","project_id":79,"tracker_id":40,"status_id":1,"priority_id":2,"assigned_to_id":23,"start_date":"2017-03-22","description":"","custom_fields":[{"id":1,"name":"Subdivision","value":"EC"},{"id":4,"name":"Milepost","value":"2.735"},{"id":17,"name":"Train ID","value":"178-22"},{"id":16,"name":"Locomotive ID","value":"4019"},{"id":130,"name":"Impact","value":""},{"id":150,"name":"Time of Event (Mountain Time)","value":"14:44:52"},{"id":151,"name":"Denver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222"/>
      <c r="AA9" s="48"/>
      <c r="AB9" s="48"/>
      <c r="AC9" s="127" t="str">
        <f>"grep -hSE -A400 ""Enforcement Action"" "&amp;search_path&amp;"\RTDC"&amp;U9&amp;"\*"&amp;U9&amp;"*"&amp;TEXT(A9-utc_offset/24,"YYYYMMDD")&amp;LEFT(TEXT(A9-utc_offset/24,"HH"),1)&amp;"* | grep -SE ""((Enforcement Ac)|(PRM.+XING))"" -"</f>
        <v>grep -hSE -A400 "Enforcement Action" "%USERPROFILE%\AppData\Local\Temp\OnboardLogs"\RTDC4019\*4019*201703222*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"%USERPROFILE%\AppData\Local\Temp\OnboardLogs"\RTDC4019\*4019*201703222* &gt;&gt; 2017-03-22-SliceDisagreementCheck.txt</v>
      </c>
      <c r="AE9" s="157" t="str">
        <f t="shared" si="8"/>
        <v>start /low /b %USERPROFILE%\Documents\GitHub\eaglep3\Utilities\DownloadLogsFromS3.py --loco 4019 --day 2017-03-22</v>
      </c>
    </row>
    <row r="10" spans="1:32" s="1" customFormat="1" x14ac:dyDescent="0.25">
      <c r="A10" s="32">
        <v>42816.433854166666</v>
      </c>
      <c r="B10" s="30" t="s">
        <v>467</v>
      </c>
      <c r="C10" s="30" t="s">
        <v>612</v>
      </c>
      <c r="D10" s="30" t="s">
        <v>49</v>
      </c>
      <c r="E10" s="30" t="s">
        <v>193</v>
      </c>
      <c r="F10" s="43">
        <v>50</v>
      </c>
      <c r="G10" s="43">
        <v>111</v>
      </c>
      <c r="H10" s="43">
        <v>43073</v>
      </c>
      <c r="I10" s="43">
        <v>42940</v>
      </c>
      <c r="J10" s="30" t="s">
        <v>194</v>
      </c>
      <c r="K10" s="43">
        <v>42961</v>
      </c>
      <c r="L10" s="143" t="s">
        <v>51</v>
      </c>
      <c r="M10" s="144">
        <f t="shared" si="0"/>
        <v>-11.087999999999999</v>
      </c>
      <c r="N10" s="145" t="str">
        <f>VLOOKUP(C10,'Trips&amp;Operators'!$C$1:$G$99999,5,FALSE)</f>
        <v>STARKS ANGELINA</v>
      </c>
      <c r="O10" s="194" t="s">
        <v>185</v>
      </c>
      <c r="P10" s="146" t="s">
        <v>496</v>
      </c>
      <c r="Q10" s="30"/>
      <c r="R10" s="89" t="str">
        <f>IF(VLOOKUP(C10,'Train Runs'!$A$13:$AE$9948,1,1)=C10,VLOOKUP(C10,'Train Runs'!$A$13:$AE$9948,31,1),NA())</f>
        <v>aws s3 cp s3://rtdc.mdm.uploadarchive.raw/RTDC4004/ "%USERPROFILE%\AppData\Local\Temp\OnboardLogs"\RTDC4004\2017-03-22 --exclude "*" --recursive --include "*20170322*" &amp; "%USERPROFILE%\Documents\GitHub\mrs-test-scripts\Headless Mode &amp; Sideloading\WalkAndUnGZ.bat" "%USERPROFILE%\AppData\Local\Temp\OnboardLogs"\RTDC4004\2017-03-22 &amp; aws s3 cp s3://rtdc.mdm.uploadarchive.raw/RTDC4004/ "%USERPROFILE%\AppData\Local\Temp\OnboardLogs"\RTDC4004\2017-03-23 --exclude "*" --recursive --include "*20170323*" &amp; "%USERPROFILE%\Documents\GitHub\mrs-test-scripts\Headless Mode &amp; Sideloading\WalkAndUnGZ.bat" "%USERPROFILE%\AppData\Local\Temp\OnboardLogs"\RTDC4004\2017-03-23</v>
      </c>
      <c r="S10" s="92" t="str">
        <f>VLOOKUP(C10,'Train Runs'!$A$13:$AE$9948,22,0)</f>
        <v>https://d0f6bd738d7f1b3e5a7ca70fe4ff75f0.us-east-1.aws.found.io/app/kibana#/discover/Steve-Slow-Train-Analysis-(2080s-and-2083s)?_g=(refreshInterval:(display:Off,pause:!f,section:0,value:0),time:(from:'2017-03-22T08:53:50-0600',mode:absolute,to:'2017-03-22T11:38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0" s="94" t="str">
        <f t="shared" si="1"/>
        <v>"C:\Program Files (x86)\AstroGrep\AstroGrep.exe" /e /r /s /spath="%USERPROFILE%\AppData\Local\Temp\OnboardLogs" /stypes="*4004*201703221*" /stext=" 16:.+((SYSTEM_STATE.+slice.+state.+changed )|(ment ac)|(multiple cpu faults)|(system.+state.+changed )|(\[timeout)|(PRM\|1\|D)|(kpr)|(kdp)|(\|lc)|(penalty))"</v>
      </c>
      <c r="U10" s="9" t="str">
        <f t="shared" si="2"/>
        <v>4004</v>
      </c>
      <c r="V10" s="32">
        <f t="shared" si="3"/>
        <v>42816.683854166666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{"issue":{"subject":"Early arrival","project_id":79,"tracker_id":40,"status_id":1,"priority_id":2,"assigned_to_id":23,"start_date":"2017-03-22","description":"","custom_fields":[{"id":1,"name":"Subdivision","value":"EC"},{"id":4,"name":"Milepost","value":"4.2961"},{"id":17,"name":"Train ID","value":"144-22"},{"id":16,"name":"Locomotive ID","value":"4004"},{"id":130,"name":"Impact","value":""},{"id":150,"name":"Time of Event (Mountain Time)","value":"10:24:45"},{"id":151,"name":"Denver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222"/>
      <c r="AA10" s="48"/>
      <c r="AB10" s="48"/>
      <c r="AC10" s="127" t="str">
        <f t="shared" ref="AC10:AC41" si="9">"grep -hSE -A400 ""Enforcement Action"" "&amp;search_path&amp;"\RTDC"&amp;U10&amp;"\*"&amp;U10&amp;"*"&amp;TEXT(A10-utc_offset/24,"YYYYMMDD")&amp;LEFT(TEXT(A10-utc_offset/24,"HH"),1)&amp;"* | grep -SE ""((Enforcement Ac)|(PRM))"" -"</f>
        <v>grep -hSE -A400 "Enforcement Action" "%USERPROFILE%\AppData\Local\Temp\OnboardLogs"\RTDC4004\*4004*201703221*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"%USERPROFILE%\AppData\Local\Temp\OnboardLogs"\RTDC4004\*4004*201703221* &gt;&gt; 2017-03-22-SliceDisagreementCheck.txt</v>
      </c>
      <c r="AE10" s="157" t="str">
        <f t="shared" si="8"/>
        <v>start /low /b %USERPROFILE%\Documents\GitHub\eaglep3\Utilities\DownloadLogsFromS3.py --loco 4004 --day 2017-03-22</v>
      </c>
    </row>
    <row r="11" spans="1:32" s="1" customFormat="1" x14ac:dyDescent="0.25">
      <c r="A11" s="32">
        <v>42816.433217592596</v>
      </c>
      <c r="B11" s="30" t="s">
        <v>467</v>
      </c>
      <c r="C11" s="30" t="s">
        <v>612</v>
      </c>
      <c r="D11" s="30" t="s">
        <v>49</v>
      </c>
      <c r="E11" s="30" t="s">
        <v>193</v>
      </c>
      <c r="F11" s="43">
        <v>490</v>
      </c>
      <c r="G11" s="43">
        <v>540</v>
      </c>
      <c r="H11" s="43">
        <v>44879</v>
      </c>
      <c r="I11" s="43">
        <v>43192</v>
      </c>
      <c r="J11" s="30" t="s">
        <v>194</v>
      </c>
      <c r="K11" s="43">
        <v>42961</v>
      </c>
      <c r="L11" s="143" t="s">
        <v>51</v>
      </c>
      <c r="M11" s="144">
        <f t="shared" si="0"/>
        <v>121.968</v>
      </c>
      <c r="N11" s="145" t="str">
        <f>VLOOKUP(C11,'Trips&amp;Operators'!$C$1:$G$99999,5,FALSE)</f>
        <v>STARKS ANGELINA</v>
      </c>
      <c r="O11" s="194" t="s">
        <v>185</v>
      </c>
      <c r="P11" s="146" t="s">
        <v>496</v>
      </c>
      <c r="Q11" s="30"/>
      <c r="R11" s="89" t="str">
        <f>IF(VLOOKUP(C11,'Train Runs'!$A$13:$AE$9948,1,1)=C11,VLOOKUP(C11,'Train Runs'!$A$13:$AE$9948,31,1),NA())</f>
        <v>aws s3 cp s3://rtdc.mdm.uploadarchive.raw/RTDC4004/ "%USERPROFILE%\AppData\Local\Temp\OnboardLogs"\RTDC4004\2017-03-22 --exclude "*" --recursive --include "*20170322*" &amp; "%USERPROFILE%\Documents\GitHub\mrs-test-scripts\Headless Mode &amp; Sideloading\WalkAndUnGZ.bat" "%USERPROFILE%\AppData\Local\Temp\OnboardLogs"\RTDC4004\2017-03-22 &amp; aws s3 cp s3://rtdc.mdm.uploadarchive.raw/RTDC4004/ "%USERPROFILE%\AppData\Local\Temp\OnboardLogs"\RTDC4004\2017-03-23 --exclude "*" --recursive --include "*20170323*" &amp; "%USERPROFILE%\Documents\GitHub\mrs-test-scripts\Headless Mode &amp; Sideloading\WalkAndUnGZ.bat" "%USERPROFILE%\AppData\Local\Temp\OnboardLogs"\RTDC4004\2017-03-23</v>
      </c>
      <c r="S11" s="92" t="str">
        <f>VLOOKUP(C11,'Train Runs'!$A$13:$AE$9948,22,0)</f>
        <v>https://d0f6bd738d7f1b3e5a7ca70fe4ff75f0.us-east-1.aws.found.io/app/kibana#/discover/Steve-Slow-Train-Analysis-(2080s-and-2083s)?_g=(refreshInterval:(display:Off,pause:!f,section:0,value:0),time:(from:'2017-03-22T08:53:50-0600',mode:absolute,to:'2017-03-22T11:38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1" s="94" t="str">
        <f t="shared" si="1"/>
        <v>"C:\Program Files (x86)\AstroGrep\AstroGrep.exe" /e /r /s /spath="%USERPROFILE%\AppData\Local\Temp\OnboardLogs" /stypes="*4004*201703221*" /stext=" 16:.+((SYSTEM_STATE.+slice.+state.+changed )|(ment ac)|(multiple cpu faults)|(system.+state.+changed )|(\[timeout)|(PRM\|1\|D)|(kpr)|(kdp)|(\|lc)|(penalty))"</v>
      </c>
      <c r="U11" s="9" t="str">
        <f t="shared" si="2"/>
        <v>4004</v>
      </c>
      <c r="V11" s="32">
        <f t="shared" si="3"/>
        <v>42816.683217592596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{"issue":{"subject":"Early arrival","project_id":79,"tracker_id":40,"status_id":1,"priority_id":2,"assigned_to_id":23,"start_date":"2017-03-22","description":"","custom_fields":[{"id":1,"name":"Subdivision","value":"EC"},{"id":4,"name":"Milepost","value":"4.2961"},{"id":17,"name":"Train ID","value":"144-22"},{"id":16,"name":"Locomotive ID","value":"4004"},{"id":130,"name":"Impact","value":""},{"id":150,"name":"Time of Event (Mountain Time)","value":"10:23:50"},{"id":151,"name":"Denver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222"/>
      <c r="AA11" s="48"/>
      <c r="AB11" s="48"/>
      <c r="AC11" s="127" t="str">
        <f t="shared" si="9"/>
        <v>grep -hSE -A400 "Enforcement Action" "%USERPROFILE%\AppData\Local\Temp\OnboardLogs"\RTDC4004\*4004*201703221*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"%USERPROFILE%\AppData\Local\Temp\OnboardLogs"\RTDC4004\*4004*201703221* &gt;&gt; 2017-03-22-SliceDisagreementCheck.txt</v>
      </c>
      <c r="AE11" s="157" t="str">
        <f t="shared" si="8"/>
        <v>start /low /b %USERPROFILE%\Documents\GitHub\eaglep3\Utilities\DownloadLogsFromS3.py --loco 4004 --day 2017-03-22</v>
      </c>
    </row>
    <row r="12" spans="1:32" s="1" customFormat="1" x14ac:dyDescent="0.25">
      <c r="A12" s="32">
        <v>42816.280243055553</v>
      </c>
      <c r="B12" s="30" t="s">
        <v>475</v>
      </c>
      <c r="C12" s="30" t="s">
        <v>598</v>
      </c>
      <c r="D12" s="30" t="s">
        <v>49</v>
      </c>
      <c r="E12" s="30" t="s">
        <v>193</v>
      </c>
      <c r="F12" s="43">
        <v>0</v>
      </c>
      <c r="G12" s="43">
        <v>353</v>
      </c>
      <c r="H12" s="43">
        <v>57632</v>
      </c>
      <c r="I12" s="43">
        <v>58374</v>
      </c>
      <c r="J12" s="30" t="s">
        <v>194</v>
      </c>
      <c r="K12" s="43">
        <v>58118</v>
      </c>
      <c r="L12" s="143" t="s">
        <v>50</v>
      </c>
      <c r="M12" s="144">
        <f t="shared" si="0"/>
        <v>-135.16800000000001</v>
      </c>
      <c r="N12" s="145" t="str">
        <f>VLOOKUP(C12,'Trips&amp;Operators'!$C$1:$G$99999,5,FALSE)</f>
        <v>SANTIZO D. EDY</v>
      </c>
      <c r="O12" s="194" t="s">
        <v>185</v>
      </c>
      <c r="P12" s="146" t="s">
        <v>496</v>
      </c>
      <c r="Q12" s="30"/>
      <c r="R12" s="89" t="str">
        <f>IF(VLOOKUP(C12,'Train Runs'!$A$13:$AE$9948,1,1)=C12,VLOOKUP(C12,'Train Runs'!$A$13:$AE$9948,31,1),NA())</f>
        <v>aws s3 cp s3://rtdc.mdm.uploadarchive.raw/RTDC4042/ "%USERPROFILE%\AppData\Local\Temp\OnboardLogs"\RTDC4042\2017-03-22 --exclude "*" --recursive --include "*20170322*" &amp; "%USERPROFILE%\Documents\GitHub\mrs-test-scripts\Headless Mode &amp; Sideloading\WalkAndUnGZ.bat" "%USERPROFILE%\AppData\Local\Temp\OnboardLogs"\RTDC4042\2017-03-22 &amp; aws s3 cp s3://rtdc.mdm.uploadarchive.raw/RTDC4042/ "%USERPROFILE%\AppData\Local\Temp\OnboardLogs"\RTDC4042\2017-03-23 --exclude "*" --recursive --include "*20170323*" &amp; "%USERPROFILE%\Documents\GitHub\mrs-test-scripts\Headless Mode &amp; Sideloading\WalkAndUnGZ.bat" "%USERPROFILE%\AppData\Local\Temp\OnboardLogs"\RTDC4042\2017-03-23</v>
      </c>
      <c r="S12" s="92" t="str">
        <f>VLOOKUP(C12,'Train Runs'!$A$13:$AE$9948,22,0)</f>
        <v>https://d0f6bd738d7f1b3e5a7ca70fe4ff75f0.us-east-1.aws.found.io/app/kibana#/discover/Steve-Slow-Train-Analysis-(2080s-and-2083s)?_g=(refreshInterval:(display:Off,pause:!f,section:0,value:0),time:(from:'2017-03-22T05:21:10-0600',mode:absolute,to:'2017-03-22T08:09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2" s="94" t="str">
        <f t="shared" si="1"/>
        <v>"C:\Program Files (x86)\AstroGrep\AstroGrep.exe" /e /r /s /spath="%USERPROFILE%\AppData\Local\Temp\OnboardLogs" /stypes="*4042*201703221*" /stext=" 12:.+((SYSTEM_STATE.+slice.+state.+changed )|(ment ac)|(multiple cpu faults)|(system.+state.+changed )|(\[timeout)|(PRM\|1\|D)|(kpr)|(kdp)|(\|lc)|(penalty))"</v>
      </c>
      <c r="U12" s="9" t="str">
        <f t="shared" si="2"/>
        <v>4042</v>
      </c>
      <c r="V12" s="32">
        <f t="shared" si="3"/>
        <v>42816.530243055553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{"issue":{"subject":"Early arrival","project_id":79,"tracker_id":40,"status_id":1,"priority_id":2,"assigned_to_id":23,"start_date":"2017-03-22","description":"","custom_fields":[{"id":1,"name":"Subdivision","value":"EC"},{"id":4,"name":"Milepost","value":"5.8118"},{"id":17,"name":"Train ID","value":"123-22"},{"id":16,"name":"Locomotive ID","value":"4042"},{"id":130,"name":"Impact","value":""},{"id":150,"name":"Time of Event (Mountain Time)","value":"06:43:33"},{"id":151,"name":"Denver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222"/>
      <c r="AA12" s="48"/>
      <c r="AB12" s="48"/>
      <c r="AC12" s="127" t="str">
        <f t="shared" si="9"/>
        <v>grep -hSE -A400 "Enforcement Action" "%USERPROFILE%\AppData\Local\Temp\OnboardLogs"\RTDC4042\*4042*201703221*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"%USERPROFILE%\AppData\Local\Temp\OnboardLogs"\RTDC4042\*4042*201703221* &gt;&gt; 2017-03-22-SliceDisagreementCheck.txt</v>
      </c>
      <c r="AE12" s="157" t="str">
        <f t="shared" si="8"/>
        <v>start /low /b %USERPROFILE%\Documents\GitHub\eaglep3\Utilities\DownloadLogsFromS3.py --loco 4042 --day 2017-03-22</v>
      </c>
    </row>
    <row r="13" spans="1:32" s="1" customFormat="1" x14ac:dyDescent="0.25">
      <c r="A13" s="32">
        <v>42816.280752314815</v>
      </c>
      <c r="B13" s="30" t="s">
        <v>475</v>
      </c>
      <c r="C13" s="30" t="s">
        <v>598</v>
      </c>
      <c r="D13" s="30" t="s">
        <v>49</v>
      </c>
      <c r="E13" s="30" t="s">
        <v>193</v>
      </c>
      <c r="F13" s="43">
        <v>20</v>
      </c>
      <c r="G13" s="43">
        <v>78</v>
      </c>
      <c r="H13" s="43">
        <v>58472</v>
      </c>
      <c r="I13" s="43">
        <v>58800</v>
      </c>
      <c r="J13" s="30" t="s">
        <v>194</v>
      </c>
      <c r="K13" s="43">
        <v>58783</v>
      </c>
      <c r="L13" s="143" t="s">
        <v>50</v>
      </c>
      <c r="M13" s="144">
        <f t="shared" si="0"/>
        <v>-8.9760000000000009</v>
      </c>
      <c r="N13" s="145" t="str">
        <f>VLOOKUP(C13,'Trips&amp;Operators'!$C$1:$G$99999,5,FALSE)</f>
        <v>SANTIZO D. EDY</v>
      </c>
      <c r="O13" s="194" t="s">
        <v>185</v>
      </c>
      <c r="P13" s="146" t="s">
        <v>496</v>
      </c>
      <c r="Q13" s="30"/>
      <c r="R13" s="89" t="str">
        <f>IF(VLOOKUP(C13,'Train Runs'!$A$13:$AE$9948,1,1)=C13,VLOOKUP(C13,'Train Runs'!$A$13:$AE$9948,31,1),NA())</f>
        <v>aws s3 cp s3://rtdc.mdm.uploadarchive.raw/RTDC4042/ "%USERPROFILE%\AppData\Local\Temp\OnboardLogs"\RTDC4042\2017-03-22 --exclude "*" --recursive --include "*20170322*" &amp; "%USERPROFILE%\Documents\GitHub\mrs-test-scripts\Headless Mode &amp; Sideloading\WalkAndUnGZ.bat" "%USERPROFILE%\AppData\Local\Temp\OnboardLogs"\RTDC4042\2017-03-22 &amp; aws s3 cp s3://rtdc.mdm.uploadarchive.raw/RTDC4042/ "%USERPROFILE%\AppData\Local\Temp\OnboardLogs"\RTDC4042\2017-03-23 --exclude "*" --recursive --include "*20170323*" &amp; "%USERPROFILE%\Documents\GitHub\mrs-test-scripts\Headless Mode &amp; Sideloading\WalkAndUnGZ.bat" "%USERPROFILE%\AppData\Local\Temp\OnboardLogs"\RTDC4042\2017-03-23</v>
      </c>
      <c r="S13" s="92" t="str">
        <f>VLOOKUP(C13,'Train Runs'!$A$13:$AE$9948,22,0)</f>
        <v>https://d0f6bd738d7f1b3e5a7ca70fe4ff75f0.us-east-1.aws.found.io/app/kibana#/discover/Steve-Slow-Train-Analysis-(2080s-and-2083s)?_g=(refreshInterval:(display:Off,pause:!f,section:0,value:0),time:(from:'2017-03-22T05:21:10-0600',mode:absolute,to:'2017-03-22T08:09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3" s="94" t="str">
        <f t="shared" si="1"/>
        <v>"C:\Program Files (x86)\AstroGrep\AstroGrep.exe" /e /r /s /spath="%USERPROFILE%\AppData\Local\Temp\OnboardLogs" /stypes="*4042*201703221*" /stext=" 12:.+((SYSTEM_STATE.+slice.+state.+changed )|(ment ac)|(multiple cpu faults)|(system.+state.+changed )|(\[timeout)|(PRM\|1\|D)|(kpr)|(kdp)|(\|lc)|(penalty))"</v>
      </c>
      <c r="U13" s="9" t="str">
        <f t="shared" si="2"/>
        <v>4042</v>
      </c>
      <c r="V13" s="32">
        <f t="shared" si="3"/>
        <v>42816.530752314815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{"issue":{"subject":"Early arrival","project_id":79,"tracker_id":40,"status_id":1,"priority_id":2,"assigned_to_id":23,"start_date":"2017-03-22","description":"","custom_fields":[{"id":1,"name":"Subdivision","value":"EC"},{"id":4,"name":"Milepost","value":"5.8783"},{"id":17,"name":"Train ID","value":"123-22"},{"id":16,"name":"Locomotive ID","value":"4042"},{"id":130,"name":"Impact","value":""},{"id":150,"name":"Time of Event (Mountain Time)","value":"06:44:17"},{"id":151,"name":"Denver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222"/>
      <c r="AA13" s="48"/>
      <c r="AB13" s="48"/>
      <c r="AC13" s="127" t="str">
        <f t="shared" si="9"/>
        <v>grep -hSE -A400 "Enforcement Action" "%USERPROFILE%\AppData\Local\Temp\OnboardLogs"\RTDC4042\*4042*201703221*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"%USERPROFILE%\AppData\Local\Temp\OnboardLogs"\RTDC4042\*4042*201703221* &gt;&gt; 2017-03-22-SliceDisagreementCheck.txt</v>
      </c>
      <c r="AE13" s="157" t="str">
        <f t="shared" si="8"/>
        <v>start /low /b %USERPROFILE%\Documents\GitHub\eaglep3\Utilities\DownloadLogsFromS3.py --loco 4042 --day 2017-03-22</v>
      </c>
    </row>
    <row r="14" spans="1:32" x14ac:dyDescent="0.25">
      <c r="A14" s="32">
        <v>42816.358055555553</v>
      </c>
      <c r="B14" s="30" t="s">
        <v>467</v>
      </c>
      <c r="C14" s="30" t="s">
        <v>606</v>
      </c>
      <c r="D14" s="30" t="s">
        <v>49</v>
      </c>
      <c r="E14" s="30" t="s">
        <v>193</v>
      </c>
      <c r="F14" s="43">
        <v>90</v>
      </c>
      <c r="G14" s="43">
        <v>146</v>
      </c>
      <c r="H14" s="43">
        <v>64021</v>
      </c>
      <c r="I14" s="43">
        <v>63846</v>
      </c>
      <c r="J14" s="30" t="s">
        <v>194</v>
      </c>
      <c r="K14" s="43">
        <v>63309</v>
      </c>
      <c r="L14" s="143" t="s">
        <v>51</v>
      </c>
      <c r="M14" s="144">
        <f t="shared" si="0"/>
        <v>283.536</v>
      </c>
      <c r="N14" s="145" t="str">
        <f>VLOOKUP(C14,'Trips&amp;Operators'!$C$1:$G$99999,5,FALSE)</f>
        <v>STARKS ANGELINA</v>
      </c>
      <c r="O14" s="194" t="s">
        <v>185</v>
      </c>
      <c r="P14" s="146" t="s">
        <v>496</v>
      </c>
      <c r="Q14" s="30"/>
      <c r="R14" s="89" t="str">
        <f>IF(VLOOKUP(C14,'Train Runs'!$A$13:$AE$9948,1,1)=C14,VLOOKUP(C14,'Train Runs'!$A$13:$AE$9948,31,1),NA())</f>
        <v>aws s3 cp s3://rtdc.mdm.uploadarchive.raw/RTDC4004/ "%USERPROFILE%\AppData\Local\Temp\OnboardLogs"\RTDC4004\2017-03-22 --exclude "*" --recursive --include "*20170322*" &amp; "%USERPROFILE%\Documents\GitHub\mrs-test-scripts\Headless Mode &amp; Sideloading\WalkAndUnGZ.bat" "%USERPROFILE%\AppData\Local\Temp\OnboardLogs"\RTDC4004\2017-03-22 &amp; aws s3 cp s3://rtdc.mdm.uploadarchive.raw/RTDC4004/ "%USERPROFILE%\AppData\Local\Temp\OnboardLogs"\RTDC4004\2017-03-23 --exclude "*" --recursive --include "*20170323*" &amp; "%USERPROFILE%\Documents\GitHub\mrs-test-scripts\Headless Mode &amp; Sideloading\WalkAndUnGZ.bat" "%USERPROFILE%\AppData\Local\Temp\OnboardLogs"\RTDC4004\2017-03-23</v>
      </c>
      <c r="S14" s="92" t="str">
        <f>VLOOKUP(C14,'Train Runs'!$A$13:$AE$9948,22,0)</f>
        <v>https://d0f6bd738d7f1b3e5a7ca70fe4ff75f0.us-east-1.aws.found.io/app/kibana#/discover/Steve-Slow-Train-Analysis-(2080s-and-2083s)?_g=(refreshInterval:(display:Off,pause:!f,section:0,value:0),time:(from:'2017-03-22T07:07:52-0600',mode:absolute,to:'2017-03-22T09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4" s="94" t="str">
        <f t="shared" si="1"/>
        <v>"C:\Program Files (x86)\AstroGrep\AstroGrep.exe" /e /r /s /spath="%USERPROFILE%\AppData\Local\Temp\OnboardLogs" /stypes="*4004*201703221*" /stext=" 14:.+((SYSTEM_STATE.+slice.+state.+changed )|(ment ac)|(multiple cpu faults)|(system.+state.+changed )|(\[timeout)|(PRM\|1\|D)|(kpr)|(kdp)|(\|lc)|(penalty))"</v>
      </c>
      <c r="U14" s="9" t="str">
        <f t="shared" si="2"/>
        <v>4004</v>
      </c>
      <c r="V14" s="32">
        <f t="shared" si="3"/>
        <v>42816.608055555553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{"issue":{"subject":"Early arrival","project_id":79,"tracker_id":40,"status_id":1,"priority_id":2,"assigned_to_id":23,"start_date":"2017-03-22","description":"","custom_fields":[{"id":1,"name":"Subdivision","value":"EC"},{"id":4,"name":"Milepost","value":"6.3309"},{"id":17,"name":"Train ID","value":"130-22"},{"id":16,"name":"Locomotive ID","value":"4004"},{"id":130,"name":"Impact","value":""},{"id":150,"name":"Time of Event (Mountain Time)","value":"08:35:36"},{"id":151,"name":"Denver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222"/>
      <c r="AA14" s="48"/>
      <c r="AB14" s="48"/>
      <c r="AC14" s="127" t="str">
        <f t="shared" si="9"/>
        <v>grep -hSE -A400 "Enforcement Action" "%USERPROFILE%\AppData\Local\Temp\OnboardLogs"\RTDC4004\*4004*201703221*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"%USERPROFILE%\AppData\Local\Temp\OnboardLogs"\RTDC4004\*4004*201703221* &gt;&gt; 2017-03-22-SliceDisagreementCheck.txt</v>
      </c>
      <c r="AE14" s="157" t="str">
        <f t="shared" si="8"/>
        <v>start /low /b %USERPROFILE%\Documents\GitHub\eaglep3\Utilities\DownloadLogsFromS3.py --loco 4004 --day 2017-03-22</v>
      </c>
      <c r="AF14" s="1"/>
    </row>
    <row r="15" spans="1:32" x14ac:dyDescent="0.25">
      <c r="A15" s="32">
        <v>42816.905960648146</v>
      </c>
      <c r="B15" s="30" t="s">
        <v>643</v>
      </c>
      <c r="C15" s="30" t="s">
        <v>644</v>
      </c>
      <c r="D15" s="30" t="s">
        <v>49</v>
      </c>
      <c r="E15" s="30" t="s">
        <v>193</v>
      </c>
      <c r="F15" s="43">
        <v>370</v>
      </c>
      <c r="G15" s="43">
        <v>439</v>
      </c>
      <c r="H15" s="43">
        <v>110416</v>
      </c>
      <c r="I15" s="43">
        <v>109113</v>
      </c>
      <c r="J15" s="30" t="s">
        <v>194</v>
      </c>
      <c r="K15" s="43">
        <v>109135</v>
      </c>
      <c r="L15" s="143" t="s">
        <v>51</v>
      </c>
      <c r="M15" s="144">
        <f t="shared" si="0"/>
        <v>-11.616</v>
      </c>
      <c r="N15" s="145" t="str">
        <f>VLOOKUP(C15,'Trips&amp;Operators'!$C$1:$G$99999,5,FALSE)</f>
        <v>NEWELL JAMES</v>
      </c>
      <c r="O15" s="194" t="s">
        <v>185</v>
      </c>
      <c r="P15" s="146" t="s">
        <v>496</v>
      </c>
      <c r="Q15" s="30"/>
      <c r="R15" s="89" t="str">
        <f>IF(VLOOKUP(C15,'Train Runs'!$A$13:$AE$9948,1,1)=C15,VLOOKUP(C15,'Train Runs'!$A$13:$AE$9948,31,1),NA())</f>
        <v>aws s3 cp s3://rtdc.mdm.uploadarchive.raw/RTDC4045/ "%USERPROFILE%\AppData\Local\Temp\OnboardLogs"\RTDC4045\2017-03-22 --exclude "*" --recursive --include "*20170322*" &amp; "%USERPROFILE%\Documents\GitHub\mrs-test-scripts\Headless Mode &amp; Sideloading\WalkAndUnGZ.bat" "%USERPROFILE%\AppData\Local\Temp\OnboardLogs"\RTDC4045\2017-03-22 &amp; aws s3 cp s3://rtdc.mdm.uploadarchive.raw/RTDC4045/ "%USERPROFILE%\AppData\Local\Temp\OnboardLogs"\RTDC4045\2017-03-23 --exclude "*" --recursive --include "*20170323*" &amp; "%USERPROFILE%\Documents\GitHub\mrs-test-scripts\Headless Mode &amp; Sideloading\WalkAndUnGZ.bat" "%USERPROFILE%\AppData\Local\Temp\OnboardLogs"\RTDC4045\2017-03-23</v>
      </c>
      <c r="S15" s="92" t="str">
        <f>VLOOKUP(C15,'Train Runs'!$A$13:$AE$9948,22,0)</f>
        <v>https://d0f6bd738d7f1b3e5a7ca70fe4ff75f0.us-east-1.aws.found.io/app/kibana#/discover/Steve-Slow-Train-Analysis-(2080s-and-2083s)?_g=(refreshInterval:(display:Off,pause:!f,section:0,value:0),time:(from:'2017-03-22T20:09:33-0600',mode:absolute,to:'2017-03-22T23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5" s="94" t="str">
        <f t="shared" si="1"/>
        <v>"C:\Program Files (x86)\AstroGrep\AstroGrep.exe" /e /r /s /spath="%USERPROFILE%\AppData\Local\Temp\OnboardLogs" /stypes="*4045*201703230*" /stext=" 03:.+((SYSTEM_STATE.+slice.+state.+changed )|(ment ac)|(multiple cpu faults)|(system.+state.+changed )|(\[timeout)|(PRM\|1\|D)|(kpr)|(kdp)|(\|lc)|(penalty))"</v>
      </c>
      <c r="U15" s="9" t="str">
        <f t="shared" si="2"/>
        <v>4045</v>
      </c>
      <c r="V15" s="32">
        <f t="shared" si="3"/>
        <v>42817.155960648146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{"issue":{"subject":"Early arrival","project_id":79,"tracker_id":40,"status_id":1,"priority_id":2,"assigned_to_id":23,"start_date":"2017-03-22","description":"","custom_fields":[{"id":1,"name":"Subdivision","value":"EC"},{"id":4,"name":"Milepost","value":"10.9135"},{"id":17,"name":"Train ID","value":"228-22"},{"id":16,"name":"Locomotive ID","value":"4045"},{"id":130,"name":"Impact","value":""},{"id":150,"name":"Time of Event (Mountain Time)","value":"21:44:35"},{"id":151,"name":"Denver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222"/>
      <c r="AA15" s="48"/>
      <c r="AB15" s="48"/>
      <c r="AC15" s="127" t="str">
        <f t="shared" si="9"/>
        <v>grep -hSE -A400 "Enforcement Action" "%USERPROFILE%\AppData\Local\Temp\OnboardLogs"\RTDC4045\*4045*201703230*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"%USERPROFILE%\AppData\Local\Temp\OnboardLogs"\RTDC4045\*4045*201703230* &gt;&gt; 2017-03-22-SliceDisagreementCheck.txt</v>
      </c>
      <c r="AE15" s="157" t="str">
        <f t="shared" si="8"/>
        <v>start /low /b %USERPROFILE%\Documents\GitHub\eaglep3\Utilities\DownloadLogsFromS3.py --loco 4045 --day 2017-03-23</v>
      </c>
      <c r="AF15" s="1"/>
    </row>
    <row r="16" spans="1:32" x14ac:dyDescent="0.25">
      <c r="A16" s="32">
        <v>42816.707731481481</v>
      </c>
      <c r="B16" s="30" t="s">
        <v>412</v>
      </c>
      <c r="C16" s="30" t="s">
        <v>631</v>
      </c>
      <c r="D16" s="30" t="s">
        <v>49</v>
      </c>
      <c r="E16" s="30" t="s">
        <v>193</v>
      </c>
      <c r="F16" s="43">
        <v>410</v>
      </c>
      <c r="G16" s="43">
        <v>460</v>
      </c>
      <c r="H16" s="43">
        <v>110225</v>
      </c>
      <c r="I16" s="43">
        <v>109025</v>
      </c>
      <c r="J16" s="30" t="s">
        <v>194</v>
      </c>
      <c r="K16" s="43">
        <v>109135</v>
      </c>
      <c r="L16" s="143" t="s">
        <v>51</v>
      </c>
      <c r="M16" s="144">
        <f t="shared" si="0"/>
        <v>-58.08</v>
      </c>
      <c r="N16" s="145" t="str">
        <f>VLOOKUP(C16,'Trips&amp;Operators'!$C$1:$G$99999,5,FALSE)</f>
        <v>LEVIN SCOTT</v>
      </c>
      <c r="O16" s="194" t="s">
        <v>185</v>
      </c>
      <c r="P16" s="146" t="s">
        <v>496</v>
      </c>
      <c r="Q16" s="30"/>
      <c r="R16" s="89" t="str">
        <f>IF(VLOOKUP(C16,'Train Runs'!$A$13:$AE$9948,1,1)=C16,VLOOKUP(C16,'Train Runs'!$A$13:$AE$9948,31,1),NA())</f>
        <v>aws s3 cp s3://rtdc.mdm.uploadarchive.raw/RTDC4012/ "%USERPROFILE%\AppData\Local\Temp\OnboardLogs"\RTDC4012\2017-03-22 --exclude "*" --recursive --include "*20170322*" &amp; "%USERPROFILE%\Documents\GitHub\mrs-test-scripts\Headless Mode &amp; Sideloading\WalkAndUnGZ.bat" "%USERPROFILE%\AppData\Local\Temp\OnboardLogs"\RTDC4012\2017-03-22 &amp; aws s3 cp s3://rtdc.mdm.uploadarchive.raw/RTDC4012/ "%USERPROFILE%\AppData\Local\Temp\OnboardLogs"\RTDC4012\2017-03-23 --exclude "*" --recursive --include "*20170323*" &amp; "%USERPROFILE%\Documents\GitHub\mrs-test-scripts\Headless Mode &amp; Sideloading\WalkAndUnGZ.bat" "%USERPROFILE%\AppData\Local\Temp\OnboardLogs"\RTDC4012\2017-03-23</v>
      </c>
      <c r="S16" s="92" t="str">
        <f>VLOOKUP(C16,'Train Runs'!$A$13:$AE$9948,22,0)</f>
        <v>https://d0f6bd738d7f1b3e5a7ca70fe4ff75f0.us-east-1.aws.found.io/app/kibana#/discover/Steve-Slow-Train-Analysis-(2080s-and-2083s)?_g=(refreshInterval:(display:Off,pause:!f,section:0,value:0),time:(from:'2017-03-22T15:34:58-0600',mode:absolute,to:'2017-03-22T18:20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6" s="94" t="str">
        <f t="shared" si="1"/>
        <v>"C:\Program Files (x86)\AstroGrep\AstroGrep.exe" /e /r /s /spath="%USERPROFILE%\AppData\Local\Temp\OnboardLogs" /stypes="*4012*201703222*" /stext=" 22:.+((SYSTEM_STATE.+slice.+state.+changed )|(ment ac)|(multiple cpu faults)|(system.+state.+changed )|(\[timeout)|(PRM\|1\|D)|(kpr)|(kdp)|(\|lc)|(penalty))"</v>
      </c>
      <c r="U16" s="9" t="str">
        <f t="shared" si="2"/>
        <v>4012</v>
      </c>
      <c r="V16" s="32">
        <f t="shared" si="3"/>
        <v>42816.957731481481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{"issue":{"subject":"Early arrival","project_id":79,"tracker_id":40,"status_id":1,"priority_id":2,"assigned_to_id":23,"start_date":"2017-03-22","description":"","custom_fields":[{"id":1,"name":"Subdivision","value":"EC"},{"id":4,"name":"Milepost","value":"10.9135"},{"id":17,"name":"Train ID","value":"198-22"},{"id":16,"name":"Locomotive ID","value":"4012"},{"id":130,"name":"Impact","value":""},{"id":150,"name":"Time of Event (Mountain Time)","value":"16:59:08"},{"id":151,"name":"Denver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222"/>
      <c r="AA16" s="48"/>
      <c r="AB16" s="48"/>
      <c r="AC16" s="127" t="str">
        <f t="shared" si="9"/>
        <v>grep -hSE -A400 "Enforcement Action" "%USERPROFILE%\AppData\Local\Temp\OnboardLogs"\RTDC4012\*4012*201703222*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"%USERPROFILE%\AppData\Local\Temp\OnboardLogs"\RTDC4012\*4012*201703222* &gt;&gt; 2017-03-22-SliceDisagreementCheck.txt</v>
      </c>
      <c r="AE16" s="157" t="str">
        <f t="shared" si="8"/>
        <v>start /low /b %USERPROFILE%\Documents\GitHub\eaglep3\Utilities\DownloadLogsFromS3.py --loco 4012 --day 2017-03-22</v>
      </c>
      <c r="AF16" s="1"/>
    </row>
    <row r="17" spans="1:32" x14ac:dyDescent="0.25">
      <c r="A17" s="32">
        <v>42816.801145833335</v>
      </c>
      <c r="B17" s="30" t="s">
        <v>389</v>
      </c>
      <c r="C17" s="30" t="s">
        <v>638</v>
      </c>
      <c r="D17" s="30" t="s">
        <v>98</v>
      </c>
      <c r="E17" s="30" t="s">
        <v>193</v>
      </c>
      <c r="F17" s="43">
        <v>420</v>
      </c>
      <c r="G17" s="43">
        <v>471</v>
      </c>
      <c r="H17" s="43">
        <v>109028</v>
      </c>
      <c r="I17" s="43">
        <v>107287</v>
      </c>
      <c r="J17" s="30" t="s">
        <v>194</v>
      </c>
      <c r="K17" s="43">
        <v>109135</v>
      </c>
      <c r="L17" s="143" t="s">
        <v>51</v>
      </c>
      <c r="M17" s="144">
        <f t="shared" si="0"/>
        <v>-975.74400000000003</v>
      </c>
      <c r="N17" s="145" t="str">
        <f>VLOOKUP(C17,'Trips&amp;Operators'!$C$1:$G$99999,5,FALSE)</f>
        <v>STRICKLAND EVAN</v>
      </c>
      <c r="O17" s="194" t="s">
        <v>185</v>
      </c>
      <c r="P17" s="146" t="s">
        <v>496</v>
      </c>
      <c r="Q17" s="30"/>
      <c r="R17" s="89" t="str">
        <f>IF(VLOOKUP(C17,'Train Runs'!$A$13:$AE$9948,1,1)=C17,VLOOKUP(C17,'Train Runs'!$A$13:$AE$9948,31,1),NA())</f>
        <v>aws s3 cp s3://rtdc.mdm.uploadarchive.raw/RTDC4028/ "%USERPROFILE%\AppData\Local\Temp\OnboardLogs"\RTDC4028\2017-03-22 --exclude "*" --recursive --include "*20170322*" &amp; "%USERPROFILE%\Documents\GitHub\mrs-test-scripts\Headless Mode &amp; Sideloading\WalkAndUnGZ.bat" "%USERPROFILE%\AppData\Local\Temp\OnboardLogs"\RTDC4028\2017-03-22 &amp; aws s3 cp s3://rtdc.mdm.uploadarchive.raw/RTDC4028/ "%USERPROFILE%\AppData\Local\Temp\OnboardLogs"\RTDC4028\2017-03-23 --exclude "*" --recursive --include "*20170323*" &amp; "%USERPROFILE%\Documents\GitHub\mrs-test-scripts\Headless Mode &amp; Sideloading\WalkAndUnGZ.bat" "%USERPROFILE%\AppData\Local\Temp\OnboardLogs"\RTDC4028\2017-03-23</v>
      </c>
      <c r="S17" s="92" t="str">
        <f>VLOOKUP(C17,'Train Runs'!$A$13:$AE$9948,22,0)</f>
        <v>https://d0f6bd738d7f1b3e5a7ca70fe4ff75f0.us-east-1.aws.found.io/app/kibana#/discover/Steve-Slow-Train-Analysis-(2080s-and-2083s)?_g=(refreshInterval:(display:Off,pause:!f,section:0,value:0),time:(from:'2017-03-22T17:43:38-0600',mode:absolute,to:'2017-03-22T20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7" s="94" t="str">
        <f t="shared" si="1"/>
        <v>"C:\Program Files (x86)\AstroGrep\AstroGrep.exe" /e /r /s /spath="%USERPROFILE%\AppData\Local\Temp\OnboardLogs" /stypes="*4028*201703230*" /stext=" 01:.+((SYSTEM_STATE.+slice.+state.+changed )|(ment ac)|(multiple cpu faults)|(system.+state.+changed )|(\[timeout)|(PRM\|1\|D)|(kpr)|(kdp)|(\|lc)|(penalty))"</v>
      </c>
      <c r="U17" s="9" t="str">
        <f t="shared" si="2"/>
        <v>4028</v>
      </c>
      <c r="V17" s="32">
        <f t="shared" si="3"/>
        <v>42817.051145833335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{"issue":{"subject":"Early arrival","project_id":79,"tracker_id":40,"status_id":1,"priority_id":2,"assigned_to_id":23,"start_date":"2017-03-22","description":"","custom_fields":[{"id":1,"name":"Subdivision","value":"EC"},{"id":4,"name":"Milepost","value":"10.9135"},{"id":17,"name":"Train ID","value":"216-22"},{"id":16,"name":"Locomotive ID","value":"4028"},{"id":130,"name":"Impact","value":""},{"id":150,"name":"Time of Event (Mountain Time)","value":"19:13:39"},{"id":151,"name":"Denver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222"/>
      <c r="AA17" s="48"/>
      <c r="AB17" s="48"/>
      <c r="AC17" s="127" t="str">
        <f t="shared" si="9"/>
        <v>grep -hSE -A400 "Enforcement Action" "%USERPROFILE%\AppData\Local\Temp\OnboardLogs"\RTDC4028\*4028*201703230*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"%USERPROFILE%\AppData\Local\Temp\OnboardLogs"\RTDC4028\*4028*201703230* &gt;&gt; 2017-03-22-SliceDisagreementCheck.txt</v>
      </c>
      <c r="AE17" s="157" t="str">
        <f t="shared" si="8"/>
        <v>start /low /b %USERPROFILE%\Documents\GitHub\eaglep3\Utilities\DownloadLogsFromS3.py --loco 4028 --day 2017-03-23</v>
      </c>
      <c r="AF17" s="1"/>
    </row>
    <row r="18" spans="1:32" ht="15" customHeight="1" x14ac:dyDescent="0.25">
      <c r="A18" s="32">
        <v>42816.137511574074</v>
      </c>
      <c r="B18" s="30" t="s">
        <v>408</v>
      </c>
      <c r="C18" s="30" t="s">
        <v>593</v>
      </c>
      <c r="D18" s="30" t="s">
        <v>98</v>
      </c>
      <c r="E18" s="30" t="s">
        <v>217</v>
      </c>
      <c r="F18" s="43">
        <v>400</v>
      </c>
      <c r="G18" s="43">
        <v>451</v>
      </c>
      <c r="H18" s="43">
        <v>7139</v>
      </c>
      <c r="I18" s="43">
        <v>8651</v>
      </c>
      <c r="J18" s="30" t="s">
        <v>218</v>
      </c>
      <c r="K18" s="43">
        <v>5439</v>
      </c>
      <c r="L18" s="143" t="s">
        <v>50</v>
      </c>
      <c r="M18" s="144">
        <f t="shared" si="0"/>
        <v>-1695.9359999999999</v>
      </c>
      <c r="N18" s="145" t="str">
        <f>VLOOKUP(C18,'Trips&amp;Operators'!$C$1:$G$99999,5,FALSE)</f>
        <v>BADERTSCHER DIANE</v>
      </c>
      <c r="O18" s="194" t="s">
        <v>185</v>
      </c>
      <c r="P18" s="146"/>
      <c r="Q18" s="30"/>
      <c r="R18" s="89" t="str">
        <f>IF(VLOOKUP(C18,'Train Runs'!$A$13:$AE$9948,1,1)=C18,VLOOKUP(C18,'Train Runs'!$A$13:$AE$9948,31,1),NA())</f>
        <v>aws s3 cp s3://rtdc.mdm.uploadarchive.raw/RTDC4011/ "%USERPROFILE%\AppData\Local\Temp\OnboardLogs"\RTDC4011\2017-03-22 --exclude "*" --recursive --include "*20170322*" &amp; "%USERPROFILE%\Documents\GitHub\mrs-test-scripts\Headless Mode &amp; Sideloading\WalkAndUnGZ.bat" "%USERPROFILE%\AppData\Local\Temp\OnboardLogs"\RTDC4011\2017-03-22 &amp; aws s3 cp s3://rtdc.mdm.uploadarchive.raw/RTDC4011/ "%USERPROFILE%\AppData\Local\Temp\OnboardLogs"\RTDC4011\2017-03-23 --exclude "*" --recursive --include "*20170323*" &amp; "%USERPROFILE%\Documents\GitHub\mrs-test-scripts\Headless Mode &amp; Sideloading\WalkAndUnGZ.bat" "%USERPROFILE%\AppData\Local\Temp\OnboardLogs"\RTDC4011\2017-03-23</v>
      </c>
      <c r="S18" s="92" t="str">
        <f>VLOOKUP(C18,'Train Runs'!$A$13:$AE$9948,22,0)</f>
        <v>https://d0f6bd738d7f1b3e5a7ca70fe4ff75f0.us-east-1.aws.found.io/app/kibana#/discover/Steve-Slow-Train-Analysis-(2080s-and-2083s)?_g=(refreshInterval:(display:Off,pause:!f,section:0,value:0),time:(from:'2017-03-22T02:26:48-0600',mode:absolute,to:'2017-03-22T05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8" s="94" t="str">
        <f t="shared" si="1"/>
        <v>"C:\Program Files (x86)\AstroGrep\AstroGrep.exe" /e /r /s /spath="%USERPROFILE%\AppData\Local\Temp\OnboardLogs" /stypes="*4011*201703220*" /stext=" 09:.+((SYSTEM_STATE.+slice.+state.+changed )|(ment ac)|(multiple cpu faults)|(system.+state.+changed )|(\[timeout)|(PRM\|1\|D)|(kpr)|(kdp)|(\|lc)|(penalty))"</v>
      </c>
      <c r="U18" s="9" t="str">
        <f t="shared" si="2"/>
        <v>4011</v>
      </c>
      <c r="V18" s="32">
        <f t="shared" si="3"/>
        <v>42816.387511574074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{"issue":{"subject":"","project_id":79,"tracker_id":40,"status_id":1,"priority_id":2,"assigned_to_id":23,"start_date":"2017-03-22","description":"","custom_fields":[{"id":1,"name":"Subdivision","value":"EC"},{"id":4,"name":"Milepost","value":"0.5439"},{"id":17,"name":"Train ID","value":"101-22"},{"id":16,"name":"Locomotive ID","value":"4011"},{"id":130,"name":"Impact","value":""},{"id":150,"name":"Time of Event (Mountain Time)","value":"03:18:01"},{"id":151,"name":"Denver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222"/>
      <c r="AA18" s="48"/>
      <c r="AB18" s="48"/>
      <c r="AC18" s="127" t="str">
        <f t="shared" si="9"/>
        <v>grep -hSE -A400 "Enforcement Action" "%USERPROFILE%\AppData\Local\Temp\OnboardLogs"\RTDC4011\*4011*201703220*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"%USERPROFILE%\AppData\Local\Temp\OnboardLogs"\RTDC4011\*4011*201703220* &gt;&gt; 2017-03-22-SliceDisagreementCheck.txt</v>
      </c>
      <c r="AE18" s="157" t="str">
        <f t="shared" si="8"/>
        <v>start /low /b %USERPROFILE%\Documents\GitHub\eaglep3\Utilities\DownloadLogsFromS3.py --loco 4011 --day 2017-03-22</v>
      </c>
      <c r="AF18" s="1"/>
    </row>
    <row r="19" spans="1:32" x14ac:dyDescent="0.25">
      <c r="A19" s="32">
        <v>42816.690312500003</v>
      </c>
      <c r="B19" s="30" t="s">
        <v>604</v>
      </c>
      <c r="C19" s="30" t="s">
        <v>629</v>
      </c>
      <c r="D19" s="30" t="s">
        <v>49</v>
      </c>
      <c r="E19" s="30" t="s">
        <v>217</v>
      </c>
      <c r="F19" s="43">
        <v>400</v>
      </c>
      <c r="G19" s="43">
        <v>602</v>
      </c>
      <c r="H19" s="43">
        <v>13881</v>
      </c>
      <c r="I19" s="43">
        <v>17589</v>
      </c>
      <c r="J19" s="30" t="s">
        <v>218</v>
      </c>
      <c r="K19" s="43">
        <v>17867</v>
      </c>
      <c r="L19" s="143" t="s">
        <v>50</v>
      </c>
      <c r="M19" s="144">
        <f t="shared" si="0"/>
        <v>146.78399999999999</v>
      </c>
      <c r="N19" s="145" t="str">
        <f>VLOOKUP(C19,'Trips&amp;Operators'!$C$1:$G$99999,5,FALSE)</f>
        <v>DAVIS MICHAEL</v>
      </c>
      <c r="O19" s="194" t="s">
        <v>185</v>
      </c>
      <c r="P19" s="146"/>
      <c r="Q19" s="30"/>
      <c r="R19" s="89" t="str">
        <f>IF(VLOOKUP(C19,'Train Runs'!$A$13:$AE$9948,1,1)=C19,VLOOKUP(C19,'Train Runs'!$A$13:$AE$9948,31,1),NA())</f>
        <v>aws s3 cp s3://rtdc.mdm.uploadarchive.raw/RTDC4040/ "%USERPROFILE%\AppData\Local\Temp\OnboardLogs"\RTDC4040\2017-03-22 --exclude "*" --recursive --include "*20170322*" &amp; "%USERPROFILE%\Documents\GitHub\mrs-test-scripts\Headless Mode &amp; Sideloading\WalkAndUnGZ.bat" "%USERPROFILE%\AppData\Local\Temp\OnboardLogs"\RTDC4040\2017-03-22 &amp; aws s3 cp s3://rtdc.mdm.uploadarchive.raw/RTDC4040/ "%USERPROFILE%\AppData\Local\Temp\OnboardLogs"\RTDC4040\2017-03-23 --exclude "*" --recursive --include "*20170323*" &amp; "%USERPROFILE%\Documents\GitHub\mrs-test-scripts\Headless Mode &amp; Sideloading\WalkAndUnGZ.bat" "%USERPROFILE%\AppData\Local\Temp\OnboardLogs"\RTDC4040\2017-03-23</v>
      </c>
      <c r="S19" s="92" t="str">
        <f>VLOOKUP(C19,'Train Runs'!$A$13:$AE$9948,22,0)</f>
        <v>https://d0f6bd738d7f1b3e5a7ca70fe4ff75f0.us-east-1.aws.found.io/app/kibana#/discover/Steve-Slow-Train-Analysis-(2080s-and-2083s)?_g=(refreshInterval:(display:Off,pause:!f,section:0,value:0),time:(from:'2017-03-22T15:23:47-0600',mode:absolute,to:'2017-03-22T18:09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9" s="94" t="str">
        <f t="shared" si="1"/>
        <v>"C:\Program Files (x86)\AstroGrep\AstroGrep.exe" /e /r /s /spath="%USERPROFILE%\AppData\Local\Temp\OnboardLogs" /stypes="*4040*201703222*" /stext=" 22:.+((SYSTEM_STATE.+slice.+state.+changed )|(ment ac)|(multiple cpu faults)|(system.+state.+changed )|(\[timeout)|(PRM\|1\|D)|(kpr)|(kdp)|(\|lc)|(penalty))"</v>
      </c>
      <c r="U19" s="9" t="str">
        <f t="shared" si="2"/>
        <v>4040</v>
      </c>
      <c r="V19" s="32">
        <f t="shared" si="3"/>
        <v>42816.940312500003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{"issue":{"subject":"","project_id":79,"tracker_id":40,"status_id":1,"priority_id":2,"assigned_to_id":23,"start_date":"2017-03-22","description":"","custom_fields":[{"id":1,"name":"Subdivision","value":"EC"},{"id":4,"name":"Milepost","value":"1.7867"},{"id":17,"name":"Train ID","value":"203-22"},{"id":16,"name":"Locomotive ID","value":"4040"},{"id":130,"name":"Impact","value":""},{"id":150,"name":"Time of Event (Mountain Time)","value":"16:34:03"},{"id":151,"name":"Denver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222"/>
      <c r="AA19" s="48"/>
      <c r="AB19" s="48"/>
      <c r="AC19" s="127" t="str">
        <f t="shared" si="9"/>
        <v>grep -hSE -A400 "Enforcement Action" "%USERPROFILE%\AppData\Local\Temp\OnboardLogs"\RTDC4040\*4040*201703222*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"%USERPROFILE%\AppData\Local\Temp\OnboardLogs"\RTDC4040\*4040*201703222* &gt;&gt; 2017-03-22-SliceDisagreementCheck.txt</v>
      </c>
      <c r="AE19" s="157" t="str">
        <f t="shared" si="8"/>
        <v>start /low /b %USERPROFILE%\Documents\GitHub\eaglep3\Utilities\DownloadLogsFromS3.py --loco 4040 --day 2017-03-22</v>
      </c>
      <c r="AF19" s="1"/>
    </row>
    <row r="20" spans="1:32" x14ac:dyDescent="0.25">
      <c r="A20" s="32">
        <v>42816.483564814815</v>
      </c>
      <c r="B20" s="30" t="s">
        <v>610</v>
      </c>
      <c r="C20" s="30" t="s">
        <v>616</v>
      </c>
      <c r="D20" s="30" t="s">
        <v>98</v>
      </c>
      <c r="E20" s="30" t="s">
        <v>217</v>
      </c>
      <c r="F20" s="43">
        <v>300</v>
      </c>
      <c r="G20" s="43">
        <v>350</v>
      </c>
      <c r="H20" s="43">
        <v>20371</v>
      </c>
      <c r="I20" s="43">
        <v>21267</v>
      </c>
      <c r="J20" s="30" t="s">
        <v>218</v>
      </c>
      <c r="K20" s="43">
        <v>20338</v>
      </c>
      <c r="L20" s="143" t="s">
        <v>50</v>
      </c>
      <c r="M20" s="144">
        <f t="shared" si="0"/>
        <v>-490.512</v>
      </c>
      <c r="N20" s="145" t="str">
        <f>VLOOKUP(C20,'Trips&amp;Operators'!$C$1:$G$99999,5,FALSE)</f>
        <v>MENGES BRAD</v>
      </c>
      <c r="O20" s="194" t="s">
        <v>185</v>
      </c>
      <c r="P20" s="146"/>
      <c r="Q20" s="30"/>
      <c r="R20" s="89" t="str">
        <f>IF(VLOOKUP(C20,'Train Runs'!$A$13:$AE$9948,1,1)=C20,VLOOKUP(C20,'Train Runs'!$A$13:$AE$9948,31,1),NA())</f>
        <v>aws s3 cp s3://rtdc.mdm.uploadarchive.raw/RTDC4020/ "%USERPROFILE%\AppData\Local\Temp\OnboardLogs"\RTDC4020\2017-03-22 --exclude "*" --recursive --include "*20170322*" &amp; "%USERPROFILE%\Documents\GitHub\mrs-test-scripts\Headless Mode &amp; Sideloading\WalkAndUnGZ.bat" "%USERPROFILE%\AppData\Local\Temp\OnboardLogs"\RTDC4020\2017-03-22 &amp; aws s3 cp s3://rtdc.mdm.uploadarchive.raw/RTDC4020/ "%USERPROFILE%\AppData\Local\Temp\OnboardLogs"\RTDC4020\2017-03-23 --exclude "*" --recursive --include "*20170323*" &amp; "%USERPROFILE%\Documents\GitHub\mrs-test-scripts\Headless Mode &amp; Sideloading\WalkAndUnGZ.bat" "%USERPROFILE%\AppData\Local\Temp\OnboardLogs"\RTDC4020\2017-03-23</v>
      </c>
      <c r="S20" s="92" t="str">
        <f>VLOOKUP(C20,'Train Runs'!$A$13:$AE$9948,22,0)</f>
        <v>https://d0f6bd738d7f1b3e5a7ca70fe4ff75f0.us-east-1.aws.found.io/app/kibana#/discover/Steve-Slow-Train-Analysis-(2080s-and-2083s)?_g=(refreshInterval:(display:Off,pause:!f,section:0,value:0),time:(from:'2017-03-22T10:24:30-0600',mode:absolute,to:'2017-03-22T13:11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0" s="94" t="str">
        <f t="shared" si="1"/>
        <v>"C:\Program Files (x86)\AstroGrep\AstroGrep.exe" /e /r /s /spath="%USERPROFILE%\AppData\Local\Temp\OnboardLogs" /stypes="*4020*201703221*" /stext=" 17:.+((SYSTEM_STATE.+slice.+state.+changed )|(ment ac)|(multiple cpu faults)|(system.+state.+changed )|(\[timeout)|(PRM\|1\|D)|(kpr)|(kdp)|(\|lc)|(penalty))"</v>
      </c>
      <c r="U20" s="9" t="str">
        <f t="shared" si="2"/>
        <v>4020</v>
      </c>
      <c r="V20" s="32">
        <f t="shared" si="3"/>
        <v>42816.733564814815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{"issue":{"subject":"","project_id":79,"tracker_id":40,"status_id":1,"priority_id":2,"assigned_to_id":23,"start_date":"2017-03-22","description":"","custom_fields":[{"id":1,"name":"Subdivision","value":"EC"},{"id":4,"name":"Milepost","value":"2.0338"},{"id":17,"name":"Train ID","value":"163-22"},{"id":16,"name":"Locomotive ID","value":"4020"},{"id":130,"name":"Impact","value":""},{"id":150,"name":"Time of Event (Mountain Time)","value":"11:36:20"},{"id":151,"name":"Denver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222"/>
      <c r="AA20" s="48"/>
      <c r="AB20" s="48"/>
      <c r="AC20" s="127" t="str">
        <f t="shared" si="9"/>
        <v>grep -hSE -A400 "Enforcement Action" "%USERPROFILE%\AppData\Local\Temp\OnboardLogs"\RTDC4020\*4020*201703221*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"%USERPROFILE%\AppData\Local\Temp\OnboardLogs"\RTDC4020\*4020*201703221* &gt;&gt; 2017-03-22-SliceDisagreementCheck.txt</v>
      </c>
      <c r="AE20" s="157" t="str">
        <f t="shared" si="8"/>
        <v>start /low /b %USERPROFILE%\Documents\GitHub\eaglep3\Utilities\DownloadLogsFromS3.py --loco 4020 --day 2017-03-22</v>
      </c>
      <c r="AF20" s="1"/>
    </row>
    <row r="21" spans="1:32" x14ac:dyDescent="0.25">
      <c r="A21" s="32">
        <v>42816.364189814813</v>
      </c>
      <c r="B21" s="30" t="s">
        <v>467</v>
      </c>
      <c r="C21" s="30" t="s">
        <v>606</v>
      </c>
      <c r="D21" s="30" t="s">
        <v>49</v>
      </c>
      <c r="E21" s="30" t="s">
        <v>217</v>
      </c>
      <c r="F21" s="43">
        <v>300</v>
      </c>
      <c r="G21" s="43">
        <v>393</v>
      </c>
      <c r="H21" s="43">
        <v>23168</v>
      </c>
      <c r="I21" s="43">
        <v>22192</v>
      </c>
      <c r="J21" s="30" t="s">
        <v>218</v>
      </c>
      <c r="K21" s="43">
        <v>21848</v>
      </c>
      <c r="L21" s="143" t="s">
        <v>51</v>
      </c>
      <c r="M21" s="144">
        <f t="shared" si="0"/>
        <v>181.63200000000001</v>
      </c>
      <c r="N21" s="145" t="str">
        <f>VLOOKUP(C21,'Trips&amp;Operators'!$C$1:$G$99999,5,FALSE)</f>
        <v>STARKS ANGELINA</v>
      </c>
      <c r="O21" s="194" t="s">
        <v>185</v>
      </c>
      <c r="P21" s="146"/>
      <c r="Q21" s="30"/>
      <c r="R21" s="89" t="str">
        <f>IF(VLOOKUP(C21,'Train Runs'!$A$13:$AE$9948,1,1)=C21,VLOOKUP(C21,'Train Runs'!$A$13:$AE$9948,31,1),NA())</f>
        <v>aws s3 cp s3://rtdc.mdm.uploadarchive.raw/RTDC4004/ "%USERPROFILE%\AppData\Local\Temp\OnboardLogs"\RTDC4004\2017-03-22 --exclude "*" --recursive --include "*20170322*" &amp; "%USERPROFILE%\Documents\GitHub\mrs-test-scripts\Headless Mode &amp; Sideloading\WalkAndUnGZ.bat" "%USERPROFILE%\AppData\Local\Temp\OnboardLogs"\RTDC4004\2017-03-22 &amp; aws s3 cp s3://rtdc.mdm.uploadarchive.raw/RTDC4004/ "%USERPROFILE%\AppData\Local\Temp\OnboardLogs"\RTDC4004\2017-03-23 --exclude "*" --recursive --include "*20170323*" &amp; "%USERPROFILE%\Documents\GitHub\mrs-test-scripts\Headless Mode &amp; Sideloading\WalkAndUnGZ.bat" "%USERPROFILE%\AppData\Local\Temp\OnboardLogs"\RTDC4004\2017-03-23</v>
      </c>
      <c r="S21" s="92" t="str">
        <f>VLOOKUP(C21,'Train Runs'!$A$13:$AE$9948,22,0)</f>
        <v>https://d0f6bd738d7f1b3e5a7ca70fe4ff75f0.us-east-1.aws.found.io/app/kibana#/discover/Steve-Slow-Train-Analysis-(2080s-and-2083s)?_g=(refreshInterval:(display:Off,pause:!f,section:0,value:0),time:(from:'2017-03-22T07:07:52-0600',mode:absolute,to:'2017-03-22T09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1" s="94" t="str">
        <f t="shared" si="1"/>
        <v>"C:\Program Files (x86)\AstroGrep\AstroGrep.exe" /e /r /s /spath="%USERPROFILE%\AppData\Local\Temp\OnboardLogs" /stypes="*4004*201703221*" /stext=" 14:.+((SYSTEM_STATE.+slice.+state.+changed )|(ment ac)|(multiple cpu faults)|(system.+state.+changed )|(\[timeout)|(PRM\|1\|D)|(kpr)|(kdp)|(\|lc)|(penalty))"</v>
      </c>
      <c r="U21" s="9" t="str">
        <f t="shared" si="2"/>
        <v>4004</v>
      </c>
      <c r="V21" s="32">
        <f t="shared" si="3"/>
        <v>42816.614189814813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{"issue":{"subject":"","project_id":79,"tracker_id":40,"status_id":1,"priority_id":2,"assigned_to_id":23,"start_date":"2017-03-22","description":"","custom_fields":[{"id":1,"name":"Subdivision","value":"EC"},{"id":4,"name":"Milepost","value":"2.1848"},{"id":17,"name":"Train ID","value":"130-22"},{"id":16,"name":"Locomotive ID","value":"4004"},{"id":130,"name":"Impact","value":""},{"id":150,"name":"Time of Event (Mountain Time)","value":"08:44:26"},{"id":151,"name":"Denver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222"/>
      <c r="AA21" s="48"/>
      <c r="AB21" s="48"/>
      <c r="AC21" s="127" t="str">
        <f t="shared" si="9"/>
        <v>grep -hSE -A400 "Enforcement Action" "%USERPROFILE%\AppData\Local\Temp\OnboardLogs"\RTDC4004\*4004*201703221*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"%USERPROFILE%\AppData\Local\Temp\OnboardLogs"\RTDC4004\*4004*201703221* &gt;&gt; 2017-03-22-SliceDisagreementCheck.txt</v>
      </c>
      <c r="AE21" s="157" t="str">
        <f t="shared" si="8"/>
        <v>start /low /b %USERPROFILE%\Documents\GitHub\eaglep3\Utilities\DownloadLogsFromS3.py --loco 4004 --day 2017-03-22</v>
      </c>
      <c r="AF21" s="1"/>
    </row>
    <row r="22" spans="1:32" x14ac:dyDescent="0.25">
      <c r="A22" s="32">
        <v>42816.624675925923</v>
      </c>
      <c r="B22" s="30" t="s">
        <v>472</v>
      </c>
      <c r="C22" s="30" t="s">
        <v>624</v>
      </c>
      <c r="D22" s="30" t="s">
        <v>49</v>
      </c>
      <c r="E22" s="30" t="s">
        <v>217</v>
      </c>
      <c r="F22" s="43">
        <v>300</v>
      </c>
      <c r="G22" s="43">
        <v>403</v>
      </c>
      <c r="H22" s="43">
        <v>23356</v>
      </c>
      <c r="I22" s="43">
        <v>22330</v>
      </c>
      <c r="J22" s="30" t="s">
        <v>218</v>
      </c>
      <c r="K22" s="43">
        <v>21848</v>
      </c>
      <c r="L22" s="143" t="s">
        <v>51</v>
      </c>
      <c r="M22" s="144">
        <f t="shared" si="0"/>
        <v>254.49600000000001</v>
      </c>
      <c r="N22" s="145" t="str">
        <f>VLOOKUP(C22,'Trips&amp;Operators'!$C$1:$G$99999,5,FALSE)</f>
        <v>HELVIE ADAM</v>
      </c>
      <c r="O22" s="194" t="s">
        <v>185</v>
      </c>
      <c r="P22" s="146"/>
      <c r="Q22" s="30"/>
      <c r="R22" s="89" t="str">
        <f>IF(VLOOKUP(C22,'Train Runs'!$A$13:$AE$9948,1,1)=C22,VLOOKUP(C22,'Train Runs'!$A$13:$AE$9948,31,1),NA())</f>
        <v>aws s3 cp s3://rtdc.mdm.uploadarchive.raw/RTDC4041/ "%USERPROFILE%\AppData\Local\Temp\OnboardLogs"\RTDC4041\2017-03-22 --exclude "*" --recursive --include "*20170322*" &amp; "%USERPROFILE%\Documents\GitHub\mrs-test-scripts\Headless Mode &amp; Sideloading\WalkAndUnGZ.bat" "%USERPROFILE%\AppData\Local\Temp\OnboardLogs"\RTDC4041\2017-03-22 &amp; aws s3 cp s3://rtdc.mdm.uploadarchive.raw/RTDC4041/ "%USERPROFILE%\AppData\Local\Temp\OnboardLogs"\RTDC4041\2017-03-23 --exclude "*" --recursive --include "*20170323*" &amp; "%USERPROFILE%\Documents\GitHub\mrs-test-scripts\Headless Mode &amp; Sideloading\WalkAndUnGZ.bat" "%USERPROFILE%\AppData\Local\Temp\OnboardLogs"\RTDC4041\2017-03-23</v>
      </c>
      <c r="S22" s="92" t="str">
        <f>VLOOKUP(C22,'Train Runs'!$A$13:$AE$9948,22,0)</f>
        <v>https://d0f6bd738d7f1b3e5a7ca70fe4ff75f0.us-east-1.aws.found.io/app/kibana#/discover/Steve-Slow-Train-Analysis-(2080s-and-2083s)?_g=(refreshInterval:(display:Off,pause:!f,section:0,value:0),time:(from:'2017-03-22T13:23:19-0600',mode:absolute,to:'2017-03-22T16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2" s="94" t="str">
        <f t="shared" si="1"/>
        <v>"C:\Program Files (x86)\AstroGrep\AstroGrep.exe" /e /r /s /spath="%USERPROFILE%\AppData\Local\Temp\OnboardLogs" /stypes="*4041*201703222*" /stext=" 20:.+((SYSTEM_STATE.+slice.+state.+changed )|(ment ac)|(multiple cpu faults)|(system.+state.+changed )|(\[timeout)|(PRM\|1\|D)|(kpr)|(kdp)|(\|lc)|(penalty))"</v>
      </c>
      <c r="U22" s="9" t="str">
        <f t="shared" si="2"/>
        <v>4041</v>
      </c>
      <c r="V22" s="32">
        <f t="shared" si="3"/>
        <v>42816.874675925923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{"issue":{"subject":"","project_id":79,"tracker_id":40,"status_id":1,"priority_id":2,"assigned_to_id":23,"start_date":"2017-03-22","description":"","custom_fields":[{"id":1,"name":"Subdivision","value":"EC"},{"id":4,"name":"Milepost","value":"2.1848"},{"id":17,"name":"Train ID","value":"180-22"},{"id":16,"name":"Locomotive ID","value":"4041"},{"id":130,"name":"Impact","value":""},{"id":150,"name":"Time of Event (Mountain Time)","value":"14:59:32"},{"id":151,"name":"Denver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222"/>
      <c r="AA22" s="48"/>
      <c r="AB22" s="48"/>
      <c r="AC22" s="127" t="str">
        <f t="shared" si="9"/>
        <v>grep -hSE -A400 "Enforcement Action" "%USERPROFILE%\AppData\Local\Temp\OnboardLogs"\RTDC4041\*4041*201703222*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"%USERPROFILE%\AppData\Local\Temp\OnboardLogs"\RTDC4041\*4041*201703222* &gt;&gt; 2017-03-22-SliceDisagreementCheck.txt</v>
      </c>
      <c r="AE22" s="157" t="str">
        <f t="shared" si="8"/>
        <v>start /low /b %USERPROFILE%\Documents\GitHub\eaglep3\Utilities\DownloadLogsFromS3.py --loco 4041 --day 2017-03-22</v>
      </c>
      <c r="AF22" s="1"/>
    </row>
    <row r="23" spans="1:32" x14ac:dyDescent="0.25">
      <c r="A23" s="32">
        <v>42816.717916666668</v>
      </c>
      <c r="B23" s="30" t="s">
        <v>467</v>
      </c>
      <c r="C23" s="30" t="s">
        <v>633</v>
      </c>
      <c r="D23" s="30" t="s">
        <v>49</v>
      </c>
      <c r="E23" s="30" t="s">
        <v>217</v>
      </c>
      <c r="F23" s="43">
        <v>400</v>
      </c>
      <c r="G23" s="43">
        <v>507</v>
      </c>
      <c r="H23" s="43">
        <v>121321</v>
      </c>
      <c r="I23" s="43">
        <v>119580</v>
      </c>
      <c r="J23" s="30" t="s">
        <v>218</v>
      </c>
      <c r="K23" s="43">
        <v>119716</v>
      </c>
      <c r="L23" s="143" t="s">
        <v>51</v>
      </c>
      <c r="M23" s="144">
        <f t="shared" si="0"/>
        <v>-71.808000000000007</v>
      </c>
      <c r="N23" s="145" t="str">
        <f>VLOOKUP(C23,'Trips&amp;Operators'!$C$1:$G$99999,5,FALSE)</f>
        <v>STRICKLAND EVAN</v>
      </c>
      <c r="O23" s="194" t="s">
        <v>185</v>
      </c>
      <c r="P23" s="146"/>
      <c r="Q23" s="30"/>
      <c r="R23" s="89" t="str">
        <f>IF(VLOOKUP(C23,'Train Runs'!$A$13:$AE$9948,1,1)=C23,VLOOKUP(C23,'Train Runs'!$A$13:$AE$9948,31,1),NA())</f>
        <v>aws s3 cp s3://rtdc.mdm.uploadarchive.raw/RTDC4004/ "%USERPROFILE%\AppData\Local\Temp\OnboardLogs"\RTDC4004\2017-03-22 --exclude "*" --recursive --include "*20170322*" &amp; "%USERPROFILE%\Documents\GitHub\mrs-test-scripts\Headless Mode &amp; Sideloading\WalkAndUnGZ.bat" "%USERPROFILE%\AppData\Local\Temp\OnboardLogs"\RTDC4004\2017-03-22 &amp; aws s3 cp s3://rtdc.mdm.uploadarchive.raw/RTDC4004/ "%USERPROFILE%\AppData\Local\Temp\OnboardLogs"\RTDC4004\2017-03-23 --exclude "*" --recursive --include "*20170323*" &amp; "%USERPROFILE%\Documents\GitHub\mrs-test-scripts\Headless Mode &amp; Sideloading\WalkAndUnGZ.bat" "%USERPROFILE%\AppData\Local\Temp\OnboardLogs"\RTDC4004\2017-03-23</v>
      </c>
      <c r="S23" s="92" t="str">
        <f>VLOOKUP(C23,'Train Runs'!$A$13:$AE$9948,22,0)</f>
        <v>https://d0f6bd738d7f1b3e5a7ca70fe4ff75f0.us-east-1.aws.found.io/app/kibana#/discover/Steve-Slow-Train-Analysis-(2080s-and-2083s)?_g=(refreshInterval:(display:Off,pause:!f,section:0,value:0),time:(from:'2017-03-22T15:42:26-0600',mode:absolute,to:'2017-03-22T18:37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3" s="94" t="str">
        <f t="shared" si="1"/>
        <v>"C:\Program Files (x86)\AstroGrep\AstroGrep.exe" /e /r /s /spath="%USERPROFILE%\AppData\Local\Temp\OnboardLogs" /stypes="*4004*201703222*" /stext=" 23:.+((SYSTEM_STATE.+slice.+state.+changed )|(ment ac)|(multiple cpu faults)|(system.+state.+changed )|(\[timeout)|(PRM\|1\|D)|(kpr)|(kdp)|(\|lc)|(penalty))"</v>
      </c>
      <c r="U23" s="9" t="str">
        <f t="shared" si="2"/>
        <v>4004</v>
      </c>
      <c r="V23" s="32">
        <f t="shared" si="3"/>
        <v>42816.967916666668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{"issue":{"subject":"","project_id":79,"tracker_id":40,"status_id":1,"priority_id":2,"assigned_to_id":23,"start_date":"2017-03-22","description":"","custom_fields":[{"id":1,"name":"Subdivision","value":"EC"},{"id":4,"name":"Milepost","value":"11.9716"},{"id":17,"name":"Train ID","value":"200-22"},{"id":16,"name":"Locomotive ID","value":"4004"},{"id":130,"name":"Impact","value":""},{"id":150,"name":"Time of Event (Mountain Time)","value":"17:13:48"},{"id":151,"name":"Denver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222"/>
      <c r="AA23" s="48"/>
      <c r="AB23" s="48"/>
      <c r="AC23" s="127" t="str">
        <f t="shared" si="9"/>
        <v>grep -hSE -A400 "Enforcement Action" "%USERPROFILE%\AppData\Local\Temp\OnboardLogs"\RTDC4004\*4004*201703222*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"%USERPROFILE%\AppData\Local\Temp\OnboardLogs"\RTDC4004\*4004*201703222* &gt;&gt; 2017-03-22-SliceDisagreementCheck.txt</v>
      </c>
      <c r="AE23" s="157" t="str">
        <f t="shared" si="8"/>
        <v>start /low /b %USERPROFILE%\Documents\GitHub\eaglep3\Utilities\DownloadLogsFromS3.py --loco 4004 --day 2017-03-22</v>
      </c>
      <c r="AF23" s="1"/>
    </row>
    <row r="24" spans="1:32" x14ac:dyDescent="0.25">
      <c r="A24" s="32">
        <v>42816.173657407409</v>
      </c>
      <c r="B24" s="30" t="s">
        <v>469</v>
      </c>
      <c r="C24" s="30" t="s">
        <v>594</v>
      </c>
      <c r="D24" s="30" t="s">
        <v>98</v>
      </c>
      <c r="E24" s="30" t="s">
        <v>217</v>
      </c>
      <c r="F24" s="43">
        <v>600</v>
      </c>
      <c r="G24" s="43">
        <v>651</v>
      </c>
      <c r="H24" s="43">
        <v>123875</v>
      </c>
      <c r="I24" s="43">
        <v>126915</v>
      </c>
      <c r="J24" s="30" t="s">
        <v>218</v>
      </c>
      <c r="K24" s="43">
        <v>119716</v>
      </c>
      <c r="L24" s="143" t="s">
        <v>50</v>
      </c>
      <c r="M24" s="144">
        <f t="shared" si="0"/>
        <v>-3801.0720000000001</v>
      </c>
      <c r="N24" s="145" t="str">
        <f>VLOOKUP(C24,'Trips&amp;Operators'!$C$1:$G$99999,5,FALSE)</f>
        <v>MAELZER KURT</v>
      </c>
      <c r="O24" s="194" t="s">
        <v>185</v>
      </c>
      <c r="P24" s="146"/>
      <c r="Q24" s="30"/>
      <c r="R24" s="89" t="str">
        <f>IF(VLOOKUP(C24,'Train Runs'!$A$13:$AE$9948,1,1)=C24,VLOOKUP(C24,'Train Runs'!$A$13:$AE$9948,31,1),NA())</f>
        <v>aws s3 cp s3://rtdc.mdm.uploadarchive.raw/RTDC4003/ "%USERPROFILE%\AppData\Local\Temp\OnboardLogs"\RTDC4003\2017-03-22 --exclude "*" --recursive --include "*20170322*" &amp; "%USERPROFILE%\Documents\GitHub\mrs-test-scripts\Headless Mode &amp; Sideloading\WalkAndUnGZ.bat" "%USERPROFILE%\AppData\Local\Temp\OnboardLogs"\RTDC4003\2017-03-22 &amp; aws s3 cp s3://rtdc.mdm.uploadarchive.raw/RTDC4003/ "%USERPROFILE%\AppData\Local\Temp\OnboardLogs"\RTDC4003\2017-03-23 --exclude "*" --recursive --include "*20170323*" &amp; "%USERPROFILE%\Documents\GitHub\mrs-test-scripts\Headless Mode &amp; Sideloading\WalkAndUnGZ.bat" "%USERPROFILE%\AppData\Local\Temp\OnboardLogs"\RTDC4003\2017-03-23</v>
      </c>
      <c r="S24" s="92" t="str">
        <f>VLOOKUP(C24,'Train Runs'!$A$13:$AE$9948,22,0)</f>
        <v>https://d0f6bd738d7f1b3e5a7ca70fe4ff75f0.us-east-1.aws.found.io/app/kibana#/discover/Steve-Slow-Train-Analysis-(2080s-and-2083s)?_g=(refreshInterval:(display:Off,pause:!f,section:0,value:0),time:(from:'2017-03-22T02:40:43-0600',mode:absolute,to:'2017-03-22T05:24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4" s="94" t="str">
        <f t="shared" si="1"/>
        <v>"C:\Program Files (x86)\AstroGrep\AstroGrep.exe" /e /r /s /spath="%USERPROFILE%\AppData\Local\Temp\OnboardLogs" /stypes="*4003*201703221*" /stext=" 10:.+((SYSTEM_STATE.+slice.+state.+changed )|(ment ac)|(multiple cpu faults)|(system.+state.+changed )|(\[timeout)|(PRM\|1\|D)|(kpr)|(kdp)|(\|lc)|(penalty))"</v>
      </c>
      <c r="U24" s="9" t="str">
        <f t="shared" si="2"/>
        <v>4003</v>
      </c>
      <c r="V24" s="32">
        <f t="shared" si="3"/>
        <v>42816.423657407409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{"issue":{"subject":"","project_id":79,"tracker_id":40,"status_id":1,"priority_id":2,"assigned_to_id":23,"start_date":"2017-03-22","description":"","custom_fields":[{"id":1,"name":"Subdivision","value":"EC"},{"id":4,"name":"Milepost","value":"11.9716"},{"id":17,"name":"Train ID","value":"103-22"},{"id":16,"name":"Locomotive ID","value":"4003"},{"id":130,"name":"Impact","value":""},{"id":150,"name":"Time of Event (Mountain Time)","value":"04:10:04"},{"id":151,"name":"Denver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222"/>
      <c r="AA24" s="48"/>
      <c r="AB24" s="48"/>
      <c r="AC24" s="127" t="str">
        <f t="shared" si="9"/>
        <v>grep -hSE -A400 "Enforcement Action" "%USERPROFILE%\AppData\Local\Temp\OnboardLogs"\RTDC4003\*4003*201703221*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"%USERPROFILE%\AppData\Local\Temp\OnboardLogs"\RTDC4003\*4003*201703221* &gt;&gt; 2017-03-22-SliceDisagreementCheck.txt</v>
      </c>
      <c r="AE24" s="157" t="str">
        <f t="shared" si="8"/>
        <v>start /low /b %USERPROFILE%\Documents\GitHub\eaglep3\Utilities\DownloadLogsFromS3.py --loco 4003 --day 2017-03-22</v>
      </c>
      <c r="AF24" s="1"/>
    </row>
    <row r="25" spans="1:32" x14ac:dyDescent="0.25">
      <c r="A25" s="32">
        <v>42816.790185185186</v>
      </c>
      <c r="B25" s="30" t="s">
        <v>389</v>
      </c>
      <c r="C25" s="30" t="s">
        <v>638</v>
      </c>
      <c r="D25" s="30" t="s">
        <v>98</v>
      </c>
      <c r="E25" s="30" t="s">
        <v>217</v>
      </c>
      <c r="F25" s="43">
        <v>350</v>
      </c>
      <c r="G25" s="43">
        <v>403</v>
      </c>
      <c r="H25" s="43">
        <v>228416</v>
      </c>
      <c r="I25" s="43">
        <v>227450</v>
      </c>
      <c r="J25" s="30" t="s">
        <v>218</v>
      </c>
      <c r="K25" s="43">
        <v>232080</v>
      </c>
      <c r="L25" s="143" t="s">
        <v>51</v>
      </c>
      <c r="M25" s="144">
        <f t="shared" si="0"/>
        <v>-2444.64</v>
      </c>
      <c r="N25" s="145" t="str">
        <f>VLOOKUP(C25,'Trips&amp;Operators'!$C$1:$G$99999,5,FALSE)</f>
        <v>STRICKLAND EVAN</v>
      </c>
      <c r="O25" s="194" t="s">
        <v>185</v>
      </c>
      <c r="P25" s="146"/>
      <c r="Q25" s="30"/>
      <c r="R25" s="89" t="str">
        <f>IF(VLOOKUP(C25,'Train Runs'!$A$13:$AE$9948,1,1)=C25,VLOOKUP(C25,'Train Runs'!$A$13:$AE$9948,31,1),NA())</f>
        <v>aws s3 cp s3://rtdc.mdm.uploadarchive.raw/RTDC4028/ "%USERPROFILE%\AppData\Local\Temp\OnboardLogs"\RTDC4028\2017-03-22 --exclude "*" --recursive --include "*20170322*" &amp; "%USERPROFILE%\Documents\GitHub\mrs-test-scripts\Headless Mode &amp; Sideloading\WalkAndUnGZ.bat" "%USERPROFILE%\AppData\Local\Temp\OnboardLogs"\RTDC4028\2017-03-22 &amp; aws s3 cp s3://rtdc.mdm.uploadarchive.raw/RTDC4028/ "%USERPROFILE%\AppData\Local\Temp\OnboardLogs"\RTDC4028\2017-03-23 --exclude "*" --recursive --include "*20170323*" &amp; "%USERPROFILE%\Documents\GitHub\mrs-test-scripts\Headless Mode &amp; Sideloading\WalkAndUnGZ.bat" "%USERPROFILE%\AppData\Local\Temp\OnboardLogs"\RTDC4028\2017-03-23</v>
      </c>
      <c r="S25" s="92" t="str">
        <f>VLOOKUP(C25,'Train Runs'!$A$13:$AE$9948,22,0)</f>
        <v>https://d0f6bd738d7f1b3e5a7ca70fe4ff75f0.us-east-1.aws.found.io/app/kibana#/discover/Steve-Slow-Train-Analysis-(2080s-and-2083s)?_g=(refreshInterval:(display:Off,pause:!f,section:0,value:0),time:(from:'2017-03-22T17:43:38-0600',mode:absolute,to:'2017-03-22T20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5" s="94" t="str">
        <f t="shared" si="1"/>
        <v>"C:\Program Files (x86)\AstroGrep\AstroGrep.exe" /e /r /s /spath="%USERPROFILE%\AppData\Local\Temp\OnboardLogs" /stypes="*4028*201703230*" /stext=" 00:.+((SYSTEM_STATE.+slice.+state.+changed )|(ment ac)|(multiple cpu faults)|(system.+state.+changed )|(\[timeout)|(PRM\|1\|D)|(kpr)|(kdp)|(\|lc)|(penalty))"</v>
      </c>
      <c r="U25" s="9" t="str">
        <f t="shared" si="2"/>
        <v>4028</v>
      </c>
      <c r="V25" s="32">
        <f t="shared" si="3"/>
        <v>42817.040185185186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{"issue":{"subject":"","project_id":79,"tracker_id":40,"status_id":1,"priority_id":2,"assigned_to_id":23,"start_date":"2017-03-22","description":"","custom_fields":[{"id":1,"name":"Subdivision","value":"EC"},{"id":4,"name":"Milepost","value":"23.208"},{"id":17,"name":"Train ID","value":"216-22"},{"id":16,"name":"Locomotive ID","value":"4028"},{"id":130,"name":"Impact","value":""},{"id":150,"name":"Time of Event (Mountain Time)","value":"18:57:52"},{"id":151,"name":"Denver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222"/>
      <c r="AA25" s="48"/>
      <c r="AB25" s="48"/>
      <c r="AC25" s="127" t="str">
        <f t="shared" si="9"/>
        <v>grep -hSE -A400 "Enforcement Action" "%USERPROFILE%\AppData\Local\Temp\OnboardLogs"\RTDC4028\*4028*201703230*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"%USERPROFILE%\AppData\Local\Temp\OnboardLogs"\RTDC4028\*4028*201703230* &gt;&gt; 2017-03-22-SliceDisagreementCheck.txt</v>
      </c>
      <c r="AE25" s="157" t="str">
        <f t="shared" si="8"/>
        <v>start /low /b %USERPROFILE%\Documents\GitHub\eaglep3\Utilities\DownloadLogsFromS3.py --loco 4028 --day 2017-03-23</v>
      </c>
      <c r="AF25" s="1"/>
    </row>
    <row r="26" spans="1:32" x14ac:dyDescent="0.25">
      <c r="A26" s="32">
        <v>42816.223912037036</v>
      </c>
      <c r="B26" s="30" t="s">
        <v>408</v>
      </c>
      <c r="C26" s="30" t="s">
        <v>595</v>
      </c>
      <c r="D26" s="30" t="s">
        <v>98</v>
      </c>
      <c r="E26" s="30" t="s">
        <v>357</v>
      </c>
      <c r="F26" s="43">
        <v>0</v>
      </c>
      <c r="G26" s="43">
        <v>27</v>
      </c>
      <c r="H26" s="43">
        <v>1769</v>
      </c>
      <c r="I26" s="43">
        <v>1797</v>
      </c>
      <c r="J26" s="30" t="s">
        <v>358</v>
      </c>
      <c r="K26" s="43">
        <v>1692</v>
      </c>
      <c r="L26" s="143" t="s">
        <v>50</v>
      </c>
      <c r="M26" s="144">
        <f t="shared" si="0"/>
        <v>-55.44</v>
      </c>
      <c r="N26" s="145" t="str">
        <f>VLOOKUP(C26,'Trips&amp;Operators'!$C$1:$G$99999,5,FALSE)</f>
        <v>BADERTSCHER DIANE</v>
      </c>
      <c r="O26" s="194" t="s">
        <v>185</v>
      </c>
      <c r="P26" s="146" t="s">
        <v>1045</v>
      </c>
      <c r="Q26" s="30"/>
      <c r="R26" s="89" t="str">
        <f>IF(VLOOKUP(C26,'Train Runs'!$A$13:$AE$9948,1,1)=C26,VLOOKUP(C26,'Train Runs'!$A$13:$AE$9948,31,1),NA())</f>
        <v>aws s3 cp s3://rtdc.mdm.uploadarchive.raw/RTDC4011/ "%USERPROFILE%\AppData\Local\Temp\OnboardLogs"\RTDC4011\2017-03-22 --exclude "*" --recursive --include "*20170322*" &amp; "%USERPROFILE%\Documents\GitHub\mrs-test-scripts\Headless Mode &amp; Sideloading\WalkAndUnGZ.bat" "%USERPROFILE%\AppData\Local\Temp\OnboardLogs"\RTDC4011\2017-03-22 &amp; aws s3 cp s3://rtdc.mdm.uploadarchive.raw/RTDC4011/ "%USERPROFILE%\AppData\Local\Temp\OnboardLogs"\RTDC4011\2017-03-23 --exclude "*" --recursive --include "*20170323*" &amp; "%USERPROFILE%\Documents\GitHub\mrs-test-scripts\Headless Mode &amp; Sideloading\WalkAndUnGZ.bat" "%USERPROFILE%\AppData\Local\Temp\OnboardLogs"\RTDC4011\2017-03-23</v>
      </c>
      <c r="S26" s="92" t="str">
        <f>VLOOKUP(C26,'Train Runs'!$A$13:$AE$9948,22,0)</f>
        <v>https://d0f6bd738d7f1b3e5a7ca70fe4ff75f0.us-east-1.aws.found.io/app/kibana#/discover/Steve-Slow-Train-Analysis-(2080s-and-2083s)?_g=(refreshInterval:(display:Off,pause:!f,section:0,value:0),time:(from:'2017-03-22T04:20:01-0600',mode:absolute,to:'2017-03-22T07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6" s="94" t="str">
        <f t="shared" si="1"/>
        <v>"C:\Program Files (x86)\AstroGrep\AstroGrep.exe" /e /r /s /spath="%USERPROFILE%\AppData\Local\Temp\OnboardLogs" /stypes="*4011*201703221*" /stext=" 11:.+((SYSTEM_STATE.+slice.+state.+changed )|(ment ac)|(multiple cpu faults)|(system.+state.+changed )|(\[timeout)|(PRM\|1\|D)|(kpr)|(kdp)|(\|lc)|(penalty))"</v>
      </c>
      <c r="U26" s="9" t="str">
        <f t="shared" si="2"/>
        <v>4011</v>
      </c>
      <c r="V26" s="32">
        <f t="shared" si="3"/>
        <v>42816.473912037036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{"issue":{"subject":"Main 3 departure","project_id":79,"tracker_id":40,"status_id":1,"priority_id":2,"assigned_to_id":23,"start_date":"2017-03-22","description":"","custom_fields":[{"id":1,"name":"Subdivision","value":"EC"},{"id":4,"name":"Milepost","value":"0.1692"},{"id":17,"name":"Train ID","value":"113-22"},{"id":16,"name":"Locomotive ID","value":"4011"},{"id":130,"name":"Impact","value":""},{"id":150,"name":"Time of Event (Mountain Time)","value":"05:22:26"},{"id":151,"name":"Denver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222"/>
      <c r="AA26" s="48"/>
      <c r="AB26" s="48"/>
      <c r="AC26" s="127" t="str">
        <f t="shared" si="9"/>
        <v>grep -hSE -A400 "Enforcement Action" "%USERPROFILE%\AppData\Local\Temp\OnboardLogs"\RTDC4011\*4011*201703221*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"%USERPROFILE%\AppData\Local\Temp\OnboardLogs"\RTDC4011\*4011*201703221* &gt;&gt; 2017-03-22-SliceDisagreementCheck.txt</v>
      </c>
      <c r="AE26" s="157" t="str">
        <f t="shared" si="8"/>
        <v>start /low /b %USERPROFILE%\Documents\GitHub\eaglep3\Utilities\DownloadLogsFromS3.py --loco 4011 --day 2017-03-22</v>
      </c>
      <c r="AF26" s="1"/>
    </row>
    <row r="27" spans="1:32" x14ac:dyDescent="0.25">
      <c r="A27" s="32">
        <v>42816.376516203702</v>
      </c>
      <c r="B27" s="30" t="s">
        <v>469</v>
      </c>
      <c r="C27" s="30" t="s">
        <v>607</v>
      </c>
      <c r="D27" s="30" t="s">
        <v>49</v>
      </c>
      <c r="E27" s="30" t="s">
        <v>357</v>
      </c>
      <c r="F27" s="43">
        <v>0</v>
      </c>
      <c r="G27" s="43">
        <v>52</v>
      </c>
      <c r="H27" s="43">
        <v>630</v>
      </c>
      <c r="I27" s="43">
        <v>770</v>
      </c>
      <c r="J27" s="30" t="s">
        <v>358</v>
      </c>
      <c r="K27" s="43">
        <v>10800</v>
      </c>
      <c r="L27" s="143" t="s">
        <v>50</v>
      </c>
      <c r="M27" s="144">
        <f t="shared" si="0"/>
        <v>5295.8399999999992</v>
      </c>
      <c r="N27" s="145" t="str">
        <f>VLOOKUP(C27,'Trips&amp;Operators'!$C$1:$G$99999,5,FALSE)</f>
        <v>STARKS ANGELINA</v>
      </c>
      <c r="O27" s="194" t="s">
        <v>359</v>
      </c>
      <c r="P27" s="146" t="s">
        <v>1054</v>
      </c>
      <c r="Q27" s="30"/>
      <c r="R27" s="89" t="str">
        <f>IF(VLOOKUP(C27,'Train Runs'!$A$13:$AE$9948,1,1)=C27,VLOOKUP(C27,'Train Runs'!$A$13:$AE$9948,31,1),NA())</f>
        <v>aws s3 cp s3://rtdc.mdm.uploadarchive.raw/RTDC4003/ "%USERPROFILE%\AppData\Local\Temp\OnboardLogs"\RTDC4003\2017-03-22 --exclude "*" --recursive --include "*20170322*" &amp; "%USERPROFILE%\Documents\GitHub\mrs-test-scripts\Headless Mode &amp; Sideloading\WalkAndUnGZ.bat" "%USERPROFILE%\AppData\Local\Temp\OnboardLogs"\RTDC4003\2017-03-22 &amp; aws s3 cp s3://rtdc.mdm.uploadarchive.raw/RTDC4003/ "%USERPROFILE%\AppData\Local\Temp\OnboardLogs"\RTDC4003\2017-03-23 --exclude "*" --recursive --include "*20170323*" &amp; "%USERPROFILE%\Documents\GitHub\mrs-test-scripts\Headless Mode &amp; Sideloading\WalkAndUnGZ.bat" "%USERPROFILE%\AppData\Local\Temp\OnboardLogs"\RTDC4003\2017-03-23</v>
      </c>
      <c r="S27" s="92" t="str">
        <f>VLOOKUP(C27,'Train Runs'!$A$13:$AE$9948,22,0)</f>
        <v>https://d0f6bd738d7f1b3e5a7ca70fe4ff75f0.us-east-1.aws.found.io/app/kibana#/discover/Steve-Slow-Train-Analysis-(2080s-and-2083s)?_g=(refreshInterval:(display:Off,pause:!f,section:0,value:0),time:(from:'2017-03-22T07:56:07-0600',mode:absolute,to:'2017-03-22T10:39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7" s="94" t="str">
        <f t="shared" si="1"/>
        <v>"C:\Program Files (x86)\AstroGrep\AstroGrep.exe" /e /r /s /spath="%USERPROFILE%\AppData\Local\Temp\OnboardLogs" /stypes="*4003*201703221*" /stext=" 15:.+((SYSTEM_STATE.+slice.+state.+changed )|(ment ac)|(multiple cpu faults)|(system.+state.+changed )|(\[timeout)|(PRM\|1\|D)|(kpr)|(kdp)|(\|lc)|(penalty))"</v>
      </c>
      <c r="U27" s="9" t="str">
        <f t="shared" si="2"/>
        <v>4003</v>
      </c>
      <c r="V27" s="32">
        <f t="shared" si="3"/>
        <v>42816.626516203702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{"issue":{"subject":"Minor onboard in-route failure (enforced for target over 1 mile away at low speed)","project_id":79,"tracker_id":40,"status_id":1,"priority_id":2,"assigned_to_id":23,"start_date":"2017-03-22","description":"","custom_fields":[{"id":1,"name":"Subdivision","value":"EC"},{"id":4,"name":"Milepost","value":"1.08"},{"id":17,"name":"Train ID","value":"143-22"},{"id":16,"name":"Locomotive ID","value":"4003"},{"id":130,"name":"Impact","value":""},{"id":150,"name":"Time of Event (Mountain Time)","value":"09:02:11"},{"id":151,"name":"Denver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222"/>
      <c r="AA27" s="48"/>
      <c r="AB27" s="48"/>
      <c r="AC27" s="127" t="str">
        <f t="shared" si="9"/>
        <v>grep -hSE -A400 "Enforcement Action" "%USERPROFILE%\AppData\Local\Temp\OnboardLogs"\RTDC4003\*4003*201703221*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"%USERPROFILE%\AppData\Local\Temp\OnboardLogs"\RTDC4003\*4003*201703221* &gt;&gt; 2017-03-22-SliceDisagreementCheck.txt</v>
      </c>
      <c r="AE27" s="157" t="str">
        <f t="shared" si="8"/>
        <v>start /low /b %USERPROFILE%\Documents\GitHub\eaglep3\Utilities\DownloadLogsFromS3.py --loco 4003 --day 2017-03-22</v>
      </c>
      <c r="AF27" s="1"/>
    </row>
    <row r="28" spans="1:32" x14ac:dyDescent="0.25">
      <c r="A28" s="32">
        <v>42816.145370370374</v>
      </c>
      <c r="B28" s="30" t="s">
        <v>408</v>
      </c>
      <c r="C28" s="30" t="s">
        <v>593</v>
      </c>
      <c r="D28" s="30" t="s">
        <v>98</v>
      </c>
      <c r="E28" s="30" t="s">
        <v>357</v>
      </c>
      <c r="F28" s="43">
        <v>200</v>
      </c>
      <c r="G28" s="43">
        <v>259</v>
      </c>
      <c r="H28" s="43">
        <v>19945</v>
      </c>
      <c r="I28" s="43">
        <v>20584</v>
      </c>
      <c r="J28" s="30" t="s">
        <v>358</v>
      </c>
      <c r="K28" s="43">
        <v>10800</v>
      </c>
      <c r="L28" s="143" t="s">
        <v>50</v>
      </c>
      <c r="M28" s="144">
        <f t="shared" si="0"/>
        <v>-5165.9520000000002</v>
      </c>
      <c r="N28" s="145" t="str">
        <f>VLOOKUP(C28,'Trips&amp;Operators'!$C$1:$G$99999,5,FALSE)</f>
        <v>BADERTSCHER DIANE</v>
      </c>
      <c r="O28" s="194" t="s">
        <v>185</v>
      </c>
      <c r="P28" s="146" t="s">
        <v>1053</v>
      </c>
      <c r="Q28" s="30"/>
      <c r="R28" s="89" t="str">
        <f>IF(VLOOKUP(C28,'Train Runs'!$A$13:$AE$9948,1,1)=C28,VLOOKUP(C28,'Train Runs'!$A$13:$AE$9948,31,1),NA())</f>
        <v>aws s3 cp s3://rtdc.mdm.uploadarchive.raw/RTDC4011/ "%USERPROFILE%\AppData\Local\Temp\OnboardLogs"\RTDC4011\2017-03-22 --exclude "*" --recursive --include "*20170322*" &amp; "%USERPROFILE%\Documents\GitHub\mrs-test-scripts\Headless Mode &amp; Sideloading\WalkAndUnGZ.bat" "%USERPROFILE%\AppData\Local\Temp\OnboardLogs"\RTDC4011\2017-03-22 &amp; aws s3 cp s3://rtdc.mdm.uploadarchive.raw/RTDC4011/ "%USERPROFILE%\AppData\Local\Temp\OnboardLogs"\RTDC4011\2017-03-23 --exclude "*" --recursive --include "*20170323*" &amp; "%USERPROFILE%\Documents\GitHub\mrs-test-scripts\Headless Mode &amp; Sideloading\WalkAndUnGZ.bat" "%USERPROFILE%\AppData\Local\Temp\OnboardLogs"\RTDC4011\2017-03-23</v>
      </c>
      <c r="S28" s="92" t="str">
        <f>VLOOKUP(C28,'Train Runs'!$A$13:$AE$9948,22,0)</f>
        <v>https://d0f6bd738d7f1b3e5a7ca70fe4ff75f0.us-east-1.aws.found.io/app/kibana#/discover/Steve-Slow-Train-Analysis-(2080s-and-2083s)?_g=(refreshInterval:(display:Off,pause:!f,section:0,value:0),time:(from:'2017-03-22T02:26:48-0600',mode:absolute,to:'2017-03-22T05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8" s="94" t="str">
        <f t="shared" si="1"/>
        <v>"C:\Program Files (x86)\AstroGrep\AstroGrep.exe" /e /r /s /spath="%USERPROFILE%\AppData\Local\Temp\OnboardLogs" /stypes="*4011*201703220*" /stext=" 09:.+((SYSTEM_STATE.+slice.+state.+changed )|(ment ac)|(multiple cpu faults)|(system.+state.+changed )|(\[timeout)|(PRM\|1\|D)|(kpr)|(kdp)|(\|lc)|(penalty))"</v>
      </c>
      <c r="U28" s="9" t="str">
        <f t="shared" si="2"/>
        <v>4011</v>
      </c>
      <c r="V28" s="32">
        <f t="shared" si="3"/>
        <v>42816.395370370374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Overspeed","project_id":79,"tracker_id":40,"status_id":1,"priority_id":2,"assigned_to_id":23,"start_date":"2017-03-22","description":"","custom_fields":[{"id":1,"name":"Subdivision","value":"EC"},{"id":4,"name":"Milepost","value":"1.08"},{"id":17,"name":"Train ID","value":"101-22"},{"id":16,"name":"Locomotive ID","value":"4011"},{"id":130,"name":"Impact","value":""},{"id":150,"name":"Time of Event (Mountain Time)","value":"03:29:20"},{"id":151,"name":"Denver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222"/>
      <c r="AA28" s="48"/>
      <c r="AB28" s="48"/>
      <c r="AC28" s="127" t="str">
        <f t="shared" si="9"/>
        <v>grep -hSE -A400 "Enforcement Action" "%USERPROFILE%\AppData\Local\Temp\OnboardLogs"\RTDC4011\*4011*201703220*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"%USERPROFILE%\AppData\Local\Temp\OnboardLogs"\RTDC4011\*4011*201703220* &gt;&gt; 2017-03-22-SliceDisagreementCheck.txt</v>
      </c>
      <c r="AE28" s="157" t="str">
        <f t="shared" si="8"/>
        <v>start /low /b %USERPROFILE%\Documents\GitHub\eaglep3\Utilities\DownloadLogsFromS3.py --loco 4011 --day 2017-03-22</v>
      </c>
      <c r="AF28" s="1"/>
    </row>
    <row r="29" spans="1:32" x14ac:dyDescent="0.25">
      <c r="A29" s="32">
        <v>42816.380104166667</v>
      </c>
      <c r="B29" s="30" t="s">
        <v>608</v>
      </c>
      <c r="C29" s="30" t="s">
        <v>609</v>
      </c>
      <c r="D29" s="30" t="s">
        <v>49</v>
      </c>
      <c r="E29" s="30" t="s">
        <v>357</v>
      </c>
      <c r="F29" s="43">
        <v>0</v>
      </c>
      <c r="G29" s="43">
        <v>501</v>
      </c>
      <c r="H29" s="43">
        <v>58013</v>
      </c>
      <c r="I29" s="43">
        <v>55378</v>
      </c>
      <c r="J29" s="30" t="s">
        <v>358</v>
      </c>
      <c r="K29" s="43">
        <v>57897</v>
      </c>
      <c r="L29" s="143" t="s">
        <v>51</v>
      </c>
      <c r="M29" s="144">
        <f t="shared" si="0"/>
        <v>-1330.0319999999999</v>
      </c>
      <c r="N29" s="145" t="str">
        <f>VLOOKUP(C29,'Trips&amp;Operators'!$C$1:$G$99999,5,FALSE)</f>
        <v>GEBRETEKLE DAGNEW</v>
      </c>
      <c r="O29" s="194" t="s">
        <v>359</v>
      </c>
      <c r="P29" s="146" t="s">
        <v>1046</v>
      </c>
      <c r="Q29" s="30"/>
      <c r="R29" s="89" t="str">
        <f>IF(VLOOKUP(C29,'Train Runs'!$A$13:$AE$9948,1,1)=C29,VLOOKUP(C29,'Train Runs'!$A$13:$AE$9948,31,1),NA())</f>
        <v>aws s3 cp s3://rtdc.mdm.uploadarchive.raw/RTDC4039/ "%USERPROFILE%\AppData\Local\Temp\OnboardLogs"\RTDC4039\2017-03-22 --exclude "*" --recursive --include "*20170322*" &amp; "%USERPROFILE%\Documents\GitHub\mrs-test-scripts\Headless Mode &amp; Sideloading\WalkAndUnGZ.bat" "%USERPROFILE%\AppData\Local\Temp\OnboardLogs"\RTDC4039\2017-03-22 &amp; aws s3 cp s3://rtdc.mdm.uploadarchive.raw/RTDC4039/ "%USERPROFILE%\AppData\Local\Temp\OnboardLogs"\RTDC4039\2017-03-23 --exclude "*" --recursive --include "*20170323*" &amp; "%USERPROFILE%\Documents\GitHub\mrs-test-scripts\Headless Mode &amp; Sideloading\WalkAndUnGZ.bat" "%USERPROFILE%\AppData\Local\Temp\OnboardLogs"\RTDC4039\2017-03-23</v>
      </c>
      <c r="S29" s="92" t="str">
        <f>VLOOKUP(C29,'Train Runs'!$A$13:$AE$9948,22,0)</f>
        <v>https://d0f6bd738d7f1b3e5a7ca70fe4ff75f0.us-east-1.aws.found.io/app/kibana#/discover/Steve-Slow-Train-Analysis-(2080s-and-2083s)?_g=(refreshInterval:(display:Off,pause:!f,section:0,value:0),time:(from:'2017-03-22T07:35:17-0600',mode:absolute,to:'2017-03-22T10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9" s="94" t="str">
        <f t="shared" si="1"/>
        <v>"C:\Program Files (x86)\AstroGrep\AstroGrep.exe" /e /r /s /spath="%USERPROFILE%\AppData\Local\Temp\OnboardLogs" /stypes="*4039*201703221*" /stext=" 15:.+((SYSTEM_STATE.+slice.+state.+changed )|(ment ac)|(multiple cpu faults)|(system.+state.+changed )|(\[timeout)|(PRM\|1\|D)|(kpr)|(kdp)|(\|lc)|(penalty))"</v>
      </c>
      <c r="U29" s="9" t="str">
        <f t="shared" si="2"/>
        <v>4039</v>
      </c>
      <c r="V29" s="32">
        <f t="shared" si="3"/>
        <v>42816.630104166667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{"issue":{"subject":"Premature downgrade at Quebec 4S","project_id":79,"tracker_id":40,"status_id":1,"priority_id":2,"assigned_to_id":23,"start_date":"2017-03-22","description":"At 09:06:53, Quebec 4S dropped from PROCEED CAB to STOP while the train was approaching. Do logs tell anything unusual?","custom_fields":[{"id":1,"name":"Subdivision","value":"EC"},{"id":4,"name":"Milepost","value":"5.7897"},{"id":17,"name":"Train ID","value":"134-22"},{"id":16,"name":"Locomotive ID","value":"4039"},{"id":130,"name":"Impact","value":"Enforcement"},{"id":150,"name":"Time of Event (Mountain Time)","value":"09:07:21"},{"id":151,"name":"Denver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9" s="222" t="s">
        <v>1047</v>
      </c>
      <c r="AA29" s="48" t="s">
        <v>124</v>
      </c>
      <c r="AB29" s="48" t="s">
        <v>129</v>
      </c>
      <c r="AC29" s="127" t="str">
        <f t="shared" si="9"/>
        <v>grep -hSE -A400 "Enforcement Action" "%USERPROFILE%\AppData\Local\Temp\OnboardLogs"\RTDC4039\*4039*201703221*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"%USERPROFILE%\AppData\Local\Temp\OnboardLogs"\RTDC4039\*4039*201703221* &gt;&gt; 2017-03-22-SliceDisagreementCheck.txt</v>
      </c>
      <c r="AE29" s="157" t="str">
        <f t="shared" si="8"/>
        <v>start /low /b %USERPROFILE%\Documents\GitHub\eaglep3\Utilities\DownloadLogsFromS3.py --loco 4039 --day 2017-03-22</v>
      </c>
      <c r="AF29" s="1"/>
    </row>
    <row r="30" spans="1:32" x14ac:dyDescent="0.25">
      <c r="A30" s="32">
        <v>42816.334270833337</v>
      </c>
      <c r="B30" s="30" t="s">
        <v>604</v>
      </c>
      <c r="C30" s="30" t="s">
        <v>605</v>
      </c>
      <c r="D30" s="30" t="s">
        <v>49</v>
      </c>
      <c r="E30" s="30" t="s">
        <v>357</v>
      </c>
      <c r="F30" s="43">
        <v>0</v>
      </c>
      <c r="G30" s="43">
        <v>782</v>
      </c>
      <c r="H30" s="43">
        <v>80492</v>
      </c>
      <c r="I30" s="43">
        <v>84166</v>
      </c>
      <c r="J30" s="30" t="s">
        <v>358</v>
      </c>
      <c r="K30" s="43">
        <v>81738</v>
      </c>
      <c r="L30" s="143" t="s">
        <v>50</v>
      </c>
      <c r="M30" s="144">
        <f t="shared" si="0"/>
        <v>-1281.9839999999999</v>
      </c>
      <c r="N30" s="145" t="str">
        <f>VLOOKUP(C30,'Trips&amp;Operators'!$C$1:$G$99999,5,FALSE)</f>
        <v>GEBRETEKLE DAGNEW</v>
      </c>
      <c r="O30" s="194" t="s">
        <v>359</v>
      </c>
      <c r="P30" s="146" t="s">
        <v>494</v>
      </c>
      <c r="Q30" s="30"/>
      <c r="R30" s="89" t="str">
        <f>IF(VLOOKUP(C30,'Train Runs'!$A$13:$AE$9948,1,1)=C30,VLOOKUP(C30,'Train Runs'!$A$13:$AE$9948,31,1),NA())</f>
        <v>aws s3 cp s3://rtdc.mdm.uploadarchive.raw/RTDC4040/ "%USERPROFILE%\AppData\Local\Temp\OnboardLogs"\RTDC4040\2017-03-22 --exclude "*" --recursive --include "*20170322*" &amp; "%USERPROFILE%\Documents\GitHub\mrs-test-scripts\Headless Mode &amp; Sideloading\WalkAndUnGZ.bat" "%USERPROFILE%\AppData\Local\Temp\OnboardLogs"\RTDC4040\2017-03-22 &amp; aws s3 cp s3://rtdc.mdm.uploadarchive.raw/RTDC4040/ "%USERPROFILE%\AppData\Local\Temp\OnboardLogs"\RTDC4040\2017-03-23 --exclude "*" --recursive --include "*20170323*" &amp; "%USERPROFILE%\Documents\GitHub\mrs-test-scripts\Headless Mode &amp; Sideloading\WalkAndUnGZ.bat" "%USERPROFILE%\AppData\Local\Temp\OnboardLogs"\RTDC4040\2017-03-23</v>
      </c>
      <c r="S30" s="92" t="str">
        <f>VLOOKUP(C30,'Train Runs'!$A$13:$AE$9948,22,0)</f>
        <v>https://d0f6bd738d7f1b3e5a7ca70fe4ff75f0.us-east-1.aws.found.io/app/kibana#/discover/Steve-Slow-Train-Analysis-(2080s-and-2083s)?_g=(refreshInterval:(display:Off,pause:!f,section:0,value:0),time:(from:'2017-03-22T06:40:09-0600',mode:absolute,to:'2017-03-22T09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0" s="94" t="str">
        <f t="shared" si="1"/>
        <v>"C:\Program Files (x86)\AstroGrep\AstroGrep.exe" /e /r /s /spath="%USERPROFILE%\AppData\Local\Temp\OnboardLogs" /stypes="*4040*201703221*" /stext=" 14:.+((SYSTEM_STATE.+slice.+state.+changed )|(ment ac)|(multiple cpu faults)|(system.+state.+changed )|(\[timeout)|(PRM\|1\|D)|(kpr)|(kdp)|(\|lc)|(penalty))"</v>
      </c>
      <c r="U30" s="9" t="str">
        <f t="shared" si="2"/>
        <v>4040</v>
      </c>
      <c r="V30" s="32">
        <f t="shared" si="3"/>
        <v>42816.584270833337</v>
      </c>
      <c r="W30" s="46" t="str">
        <f t="shared" si="4"/>
        <v>EC</v>
      </c>
      <c r="X30" s="46" t="str">
        <f t="shared" si="5"/>
        <v>KEEP</v>
      </c>
      <c r="Y30" s="108" t="str">
        <f t="shared" si="6"/>
        <v>echo {"issue":{"subject":"Wi-MAX data drop","project_id":79,"tracker_id":40,"status_id":1,"priority_id":2,"assigned_to_id":23,"start_date":"2017-03-22","description":"http://stevetu21.github.io/eaglep3/load_kml.html?kml=http://rtdc.gmaps-snips.s3.amazonaws.com/74911614-6947-42f1-90a5-37dc8027b3d8.kml","custom_fields":[{"id":1,"name":"Subdivision","value":"EC"},{"id":4,"name":"Milepost","value":"8.1738"},{"id":17,"name":"Train ID","value":"133-22"},{"id":16,"name":"Locomotive ID","value":"4040"},{"id":130,"name":"Impact","value":"Enforcement"},{"id":150,"name":"Time of Event (Mountain Time)","value":"08:01:21"},{"id":151,"name":"Denver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0" s="20" t="s">
        <v>1055</v>
      </c>
      <c r="AA30" s="48" t="s">
        <v>124</v>
      </c>
      <c r="AB30" s="48" t="s">
        <v>137</v>
      </c>
      <c r="AC30" s="127" t="str">
        <f t="shared" si="9"/>
        <v>grep -hSE -A400 "Enforcement Action" "%USERPROFILE%\AppData\Local\Temp\OnboardLogs"\RTDC4040\*4040*201703221*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"%USERPROFILE%\AppData\Local\Temp\OnboardLogs"\RTDC4040\*4040*201703221* &gt;&gt; 2017-03-22-SliceDisagreementCheck.txt</v>
      </c>
      <c r="AE30" s="157" t="str">
        <f t="shared" si="8"/>
        <v>start /low /b %USERPROFILE%\Documents\GitHub\eaglep3\Utilities\DownloadLogsFromS3.py --loco 4040 --day 2017-03-22</v>
      </c>
      <c r="AF30" s="1"/>
    </row>
    <row r="31" spans="1:32" x14ac:dyDescent="0.25">
      <c r="A31" s="32">
        <v>42816.81045138889</v>
      </c>
      <c r="B31" s="30" t="s">
        <v>480</v>
      </c>
      <c r="C31" s="30" t="s">
        <v>639</v>
      </c>
      <c r="D31" s="30" t="s">
        <v>49</v>
      </c>
      <c r="E31" s="30" t="s">
        <v>357</v>
      </c>
      <c r="F31" s="43">
        <v>0</v>
      </c>
      <c r="G31" s="43">
        <v>763</v>
      </c>
      <c r="H31" s="43">
        <v>143213</v>
      </c>
      <c r="I31" s="43">
        <v>147081</v>
      </c>
      <c r="J31" s="30" t="s">
        <v>358</v>
      </c>
      <c r="K31" s="43">
        <v>144300</v>
      </c>
      <c r="L31" s="143" t="s">
        <v>50</v>
      </c>
      <c r="M31" s="144">
        <f t="shared" si="0"/>
        <v>-1468.3679999999999</v>
      </c>
      <c r="N31" s="145" t="str">
        <f>VLOOKUP(C31,'Trips&amp;Operators'!$C$1:$G$99999,5,FALSE)</f>
        <v>SWANSON BRYCE</v>
      </c>
      <c r="O31" s="194" t="s">
        <v>359</v>
      </c>
      <c r="P31" s="146" t="s">
        <v>494</v>
      </c>
      <c r="Q31" s="30"/>
      <c r="R31" s="89" t="str">
        <f>IF(VLOOKUP(C31,'Train Runs'!$A$13:$AE$9948,1,1)=C31,VLOOKUP(C31,'Train Runs'!$A$13:$AE$9948,31,1),NA())</f>
        <v>aws s3 cp s3://rtdc.mdm.uploadarchive.raw/RTDC4018/ "%USERPROFILE%\AppData\Local\Temp\OnboardLogs"\RTDC4018\2017-03-22 --exclude "*" --recursive --include "*20170322*" &amp; "%USERPROFILE%\Documents\GitHub\mrs-test-scripts\Headless Mode &amp; Sideloading\WalkAndUnGZ.bat" "%USERPROFILE%\AppData\Local\Temp\OnboardLogs"\RTDC4018\2017-03-22 &amp; aws s3 cp s3://rtdc.mdm.uploadarchive.raw/RTDC4018/ "%USERPROFILE%\AppData\Local\Temp\OnboardLogs"\RTDC4018\2017-03-23 --exclude "*" --recursive --include "*20170323*" &amp; "%USERPROFILE%\Documents\GitHub\mrs-test-scripts\Headless Mode &amp; Sideloading\WalkAndUnGZ.bat" "%USERPROFILE%\AppData\Local\Temp\OnboardLogs"\RTDC4018\2017-03-23</v>
      </c>
      <c r="S31" s="92" t="str">
        <f>VLOOKUP(C31,'Train Runs'!$A$13:$AE$9948,22,0)</f>
        <v>https://d0f6bd738d7f1b3e5a7ca70fe4ff75f0.us-east-1.aws.found.io/app/kibana#/discover/Steve-Slow-Train-Analysis-(2080s-and-2083s)?_g=(refreshInterval:(display:Off,pause:!f,section:0,value:0),time:(from:'2017-03-22T17:53:56-0600',mode:absolute,to:'2017-03-22T20:40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1" s="94" t="str">
        <f t="shared" si="1"/>
        <v>"C:\Program Files (x86)\AstroGrep\AstroGrep.exe" /e /r /s /spath="%USERPROFILE%\AppData\Local\Temp\OnboardLogs" /stypes="*4018*201703230*" /stext=" 01:.+((SYSTEM_STATE.+slice.+state.+changed )|(ment ac)|(multiple cpu faults)|(system.+state.+changed )|(\[timeout)|(PRM\|1\|D)|(kpr)|(kdp)|(\|lc)|(penalty))"</v>
      </c>
      <c r="U31" s="9" t="str">
        <f t="shared" si="2"/>
        <v>4018</v>
      </c>
      <c r="V31" s="32">
        <f t="shared" si="3"/>
        <v>42817.06045138889</v>
      </c>
      <c r="W31" s="46" t="str">
        <f t="shared" si="4"/>
        <v>EC</v>
      </c>
      <c r="X31" s="46" t="str">
        <f t="shared" si="5"/>
        <v>KEEP</v>
      </c>
      <c r="Y31" s="108" t="str">
        <f t="shared" si="6"/>
        <v>echo {"issue":{"subject":"Wi-MAX data drop","project_id":79,"tracker_id":40,"status_id":1,"priority_id":2,"assigned_to_id":23,"start_date":"2017-03-22","description":"http://stevetu21.github.io/eaglep3/load_kml.html?kml=http://rtdc.gmaps-snips.s3.amazonaws.com/447bd1b6-ff8a-4ce9-9bc8-d5e55ed840c9.kml","custom_fields":[{"id":1,"name":"Subdivision","value":"EC"},{"id":4,"name":"Milepost","value":"14.43"},{"id":17,"name":"Train ID","value":"221-22"},{"id":16,"name":"Locomotive ID","value":"4018"},{"id":130,"name":"Impact","value":"Enforcement"},{"id":150,"name":"Time of Event (Mountain Time)","value":"19:27:03"},{"id":151,"name":"Denver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1" t="s">
        <v>1056</v>
      </c>
      <c r="AA31" s="48" t="s">
        <v>124</v>
      </c>
      <c r="AB31" s="48" t="s">
        <v>137</v>
      </c>
      <c r="AC31" s="127" t="str">
        <f t="shared" si="9"/>
        <v>grep -hSE -A400 "Enforcement Action" "%USERPROFILE%\AppData\Local\Temp\OnboardLogs"\RTDC4018\*4018*201703230*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"%USERPROFILE%\AppData\Local\Temp\OnboardLogs"\RTDC4018\*4018*201703230* &gt;&gt; 2017-03-22-SliceDisagreementCheck.txt</v>
      </c>
      <c r="AE31" s="157" t="str">
        <f t="shared" si="8"/>
        <v>start /low /b %USERPROFILE%\Documents\GitHub\eaglep3\Utilities\DownloadLogsFromS3.py --loco 4018 --day 2017-03-23</v>
      </c>
      <c r="AF31" s="1"/>
    </row>
    <row r="32" spans="1:32" x14ac:dyDescent="0.25">
      <c r="A32" s="32">
        <v>42816.16269675926</v>
      </c>
      <c r="B32" s="30" t="s">
        <v>408</v>
      </c>
      <c r="C32" s="30" t="s">
        <v>593</v>
      </c>
      <c r="D32" s="30" t="s">
        <v>49</v>
      </c>
      <c r="E32" s="30" t="s">
        <v>357</v>
      </c>
      <c r="F32" s="43">
        <v>0</v>
      </c>
      <c r="G32" s="43">
        <v>695</v>
      </c>
      <c r="H32" s="43">
        <v>165191</v>
      </c>
      <c r="I32" s="43">
        <v>168451</v>
      </c>
      <c r="J32" s="30" t="s">
        <v>358</v>
      </c>
      <c r="K32" s="43">
        <v>168003</v>
      </c>
      <c r="L32" s="143" t="s">
        <v>50</v>
      </c>
      <c r="M32" s="144">
        <f t="shared" si="0"/>
        <v>-236.54400000000001</v>
      </c>
      <c r="N32" s="145" t="str">
        <f>VLOOKUP(C32,'Trips&amp;Operators'!$C$1:$G$99999,5,FALSE)</f>
        <v>BADERTSCHER DIANE</v>
      </c>
      <c r="O32" s="194" t="s">
        <v>359</v>
      </c>
      <c r="P32" s="146" t="s">
        <v>494</v>
      </c>
      <c r="Q32" s="30"/>
      <c r="R32" s="89" t="str">
        <f>IF(VLOOKUP(C32,'Train Runs'!$A$13:$AE$9948,1,1)=C32,VLOOKUP(C32,'Train Runs'!$A$13:$AE$9948,31,1),NA())</f>
        <v>aws s3 cp s3://rtdc.mdm.uploadarchive.raw/RTDC4011/ "%USERPROFILE%\AppData\Local\Temp\OnboardLogs"\RTDC4011\2017-03-22 --exclude "*" --recursive --include "*20170322*" &amp; "%USERPROFILE%\Documents\GitHub\mrs-test-scripts\Headless Mode &amp; Sideloading\WalkAndUnGZ.bat" "%USERPROFILE%\AppData\Local\Temp\OnboardLogs"\RTDC4011\2017-03-22 &amp; aws s3 cp s3://rtdc.mdm.uploadarchive.raw/RTDC4011/ "%USERPROFILE%\AppData\Local\Temp\OnboardLogs"\RTDC4011\2017-03-23 --exclude "*" --recursive --include "*20170323*" &amp; "%USERPROFILE%\Documents\GitHub\mrs-test-scripts\Headless Mode &amp; Sideloading\WalkAndUnGZ.bat" "%USERPROFILE%\AppData\Local\Temp\OnboardLogs"\RTDC4011\2017-03-23</v>
      </c>
      <c r="S32" s="92" t="str">
        <f>VLOOKUP(C32,'Train Runs'!$A$13:$AE$9948,22,0)</f>
        <v>https://d0f6bd738d7f1b3e5a7ca70fe4ff75f0.us-east-1.aws.found.io/app/kibana#/discover/Steve-Slow-Train-Analysis-(2080s-and-2083s)?_g=(refreshInterval:(display:Off,pause:!f,section:0,value:0),time:(from:'2017-03-22T02:26:48-0600',mode:absolute,to:'2017-03-22T05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2" s="94" t="str">
        <f t="shared" si="1"/>
        <v>"C:\Program Files (x86)\AstroGrep\AstroGrep.exe" /e /r /s /spath="%USERPROFILE%\AppData\Local\Temp\OnboardLogs" /stypes="*4011*201703220*" /stext=" 09:.+((SYSTEM_STATE.+slice.+state.+changed )|(ment ac)|(multiple cpu faults)|(system.+state.+changed )|(\[timeout)|(PRM\|1\|D)|(kpr)|(kdp)|(\|lc)|(penalty))"</v>
      </c>
      <c r="U32" s="9" t="str">
        <f t="shared" si="2"/>
        <v>4011</v>
      </c>
      <c r="V32" s="32">
        <f t="shared" si="3"/>
        <v>42816.41269675926</v>
      </c>
      <c r="W32" s="46" t="str">
        <f t="shared" si="4"/>
        <v>EC</v>
      </c>
      <c r="X32" s="46" t="str">
        <f t="shared" si="5"/>
        <v>KEEP</v>
      </c>
      <c r="Y32" s="108" t="str">
        <f t="shared" si="6"/>
        <v>echo {"issue":{"subject":"Wi-MAX data drop","project_id":79,"tracker_id":40,"status_id":1,"priority_id":2,"assigned_to_id":23,"start_date":"2017-03-22","description":"http://stevetu21.github.io/eaglep3/load_kml.html?kml=http://rtdc.gmaps-snips.s3.amazonaws.com/6180df7e-c3b7-4b39-8f24-18e645425049.kml","custom_fields":[{"id":1,"name":"Subdivision","value":"EC"},{"id":4,"name":"Milepost","value":"16.8003"},{"id":17,"name":"Train ID","value":"101-22"},{"id":16,"name":"Locomotive ID","value":"4011"},{"id":130,"name":"Impact","value":"Enforcement"},{"id":150,"name":"Time of Event (Mountain Time)","value":"03:54:17"},{"id":151,"name":"Denver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2" t="s">
        <v>1057</v>
      </c>
      <c r="AA32" s="48" t="s">
        <v>124</v>
      </c>
      <c r="AB32" s="48" t="s">
        <v>137</v>
      </c>
      <c r="AC32" s="127" t="str">
        <f t="shared" si="9"/>
        <v>grep -hSE -A400 "Enforcement Action" "%USERPROFILE%\AppData\Local\Temp\OnboardLogs"\RTDC4011\*4011*201703220*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"%USERPROFILE%\AppData\Local\Temp\OnboardLogs"\RTDC4011\*4011*201703220* &gt;&gt; 2017-03-22-SliceDisagreementCheck.txt</v>
      </c>
      <c r="AE32" s="157" t="str">
        <f t="shared" si="8"/>
        <v>start /low /b %USERPROFILE%\Documents\GitHub\eaglep3\Utilities\DownloadLogsFromS3.py --loco 4011 --day 2017-03-22</v>
      </c>
      <c r="AF32" s="1"/>
    </row>
    <row r="33" spans="1:32" x14ac:dyDescent="0.25">
      <c r="A33" s="32">
        <v>42816.263067129628</v>
      </c>
      <c r="B33" s="30" t="s">
        <v>472</v>
      </c>
      <c r="C33" s="30" t="s">
        <v>596</v>
      </c>
      <c r="D33" s="30" t="s">
        <v>49</v>
      </c>
      <c r="E33" s="30" t="s">
        <v>186</v>
      </c>
      <c r="F33" s="43">
        <v>0</v>
      </c>
      <c r="G33" s="43">
        <v>61</v>
      </c>
      <c r="H33" s="43">
        <v>212</v>
      </c>
      <c r="I33" s="43">
        <v>145</v>
      </c>
      <c r="J33" s="30" t="s">
        <v>187</v>
      </c>
      <c r="K33" s="43">
        <v>1</v>
      </c>
      <c r="L33" s="143" t="s">
        <v>51</v>
      </c>
      <c r="M33" s="144">
        <f t="shared" si="0"/>
        <v>76.031999999999996</v>
      </c>
      <c r="N33" s="145" t="str">
        <f>VLOOKUP(C33,'Trips&amp;Operators'!$C$1:$G$99999,5,FALSE)</f>
        <v>SANTIZO D. EDY</v>
      </c>
      <c r="O33" s="194" t="s">
        <v>185</v>
      </c>
      <c r="P33" s="146"/>
      <c r="Q33" s="30"/>
      <c r="R33" s="89" t="str">
        <f>IF(VLOOKUP(C33,'Train Runs'!$A$13:$AE$9948,1,1)=C33,VLOOKUP(C33,'Train Runs'!$A$13:$AE$9948,31,1),NA())</f>
        <v>aws s3 cp s3://rtdc.mdm.uploadarchive.raw/RTDC4041/ "%USERPROFILE%\AppData\Local\Temp\OnboardLogs"\RTDC4041\2017-03-22 --exclude "*" --recursive --include "*20170322*" &amp; "%USERPROFILE%\Documents\GitHub\mrs-test-scripts\Headless Mode &amp; Sideloading\WalkAndUnGZ.bat" "%USERPROFILE%\AppData\Local\Temp\OnboardLogs"\RTDC4041\2017-03-22 &amp; aws s3 cp s3://rtdc.mdm.uploadarchive.raw/RTDC4041/ "%USERPROFILE%\AppData\Local\Temp\OnboardLogs"\RTDC4041\2017-03-23 --exclude "*" --recursive --include "*20170323*" &amp; "%USERPROFILE%\Documents\GitHub\mrs-test-scripts\Headless Mode &amp; Sideloading\WalkAndUnGZ.bat" "%USERPROFILE%\AppData\Local\Temp\OnboardLogs"\RTDC4041\2017-03-23</v>
      </c>
      <c r="S33" s="92" t="str">
        <f>VLOOKUP(C33,'Train Runs'!$A$13:$AE$9948,22,0)</f>
        <v>https://d0f6bd738d7f1b3e5a7ca70fe4ff75f0.us-east-1.aws.found.io/app/kibana#/discover/Steve-Slow-Train-Analysis-(2080s-and-2083s)?_g=(refreshInterval:(display:Off,pause:!f,section:0,value:0),time:(from:'2017-03-22T04:24:17-0600',mode:absolute,to:'2017-03-22T07:18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3" s="94" t="str">
        <f t="shared" si="1"/>
        <v>"C:\Program Files (x86)\AstroGrep\AstroGrep.exe" /e /r /s /spath="%USERPROFILE%\AppData\Local\Temp\OnboardLogs" /stypes="*4041*201703221*" /stext=" 12:.+((SYSTEM_STATE.+slice.+state.+changed )|(ment ac)|(multiple cpu faults)|(system.+state.+changed )|(\[timeout)|(PRM\|1\|D)|(kpr)|(kdp)|(\|lc)|(penalty))"</v>
      </c>
      <c r="U33" s="9" t="str">
        <f t="shared" si="2"/>
        <v>4041</v>
      </c>
      <c r="V33" s="32">
        <f t="shared" si="3"/>
        <v>42816.513067129628</v>
      </c>
      <c r="W33" s="46" t="str">
        <f t="shared" si="4"/>
        <v>EC</v>
      </c>
      <c r="X33" s="46" t="str">
        <f t="shared" si="5"/>
        <v>KEEP</v>
      </c>
      <c r="Y33" s="108" t="str">
        <f t="shared" si="6"/>
        <v>echo {"issue":{"subject":"","project_id":79,"tracker_id":40,"status_id":1,"priority_id":2,"assigned_to_id":23,"start_date":"2017-03-22","description":"","custom_fields":[{"id":1,"name":"Subdivision","value":"EC"},{"id":4,"name":"Milepost","value":"0.0001"},{"id":17,"name":"Train ID","value":"110-22"},{"id":16,"name":"Locomotive ID","value":"4041"},{"id":130,"name":"Impact","value":""},{"id":150,"name":"Time of Event (Mountain Time)","value":"06:18:49"},{"id":151,"name":"Denver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222"/>
      <c r="AA33" s="48"/>
      <c r="AB33" s="48"/>
      <c r="AC33" s="127" t="str">
        <f t="shared" si="9"/>
        <v>grep -hSE -A400 "Enforcement Action" "%USERPROFILE%\AppData\Local\Temp\OnboardLogs"\RTDC4041\*4041*201703221*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"%USERPROFILE%\AppData\Local\Temp\OnboardLogs"\RTDC4041\*4041*201703221* &gt;&gt; 2017-03-22-SliceDisagreementCheck.txt</v>
      </c>
      <c r="AE33" s="157" t="str">
        <f t="shared" si="8"/>
        <v>start /low /b %USERPROFILE%\Documents\GitHub\eaglep3\Utilities\DownloadLogsFromS3.py --loco 4041 --day 2017-03-22</v>
      </c>
      <c r="AF33" s="1"/>
    </row>
    <row r="34" spans="1:32" x14ac:dyDescent="0.25">
      <c r="A34" s="32">
        <v>42816.284513888888</v>
      </c>
      <c r="B34" s="30" t="s">
        <v>412</v>
      </c>
      <c r="C34" s="30" t="s">
        <v>599</v>
      </c>
      <c r="D34" s="30" t="s">
        <v>49</v>
      </c>
      <c r="E34" s="30" t="s">
        <v>186</v>
      </c>
      <c r="F34" s="43">
        <v>0</v>
      </c>
      <c r="G34" s="43">
        <v>47</v>
      </c>
      <c r="H34" s="43">
        <v>174</v>
      </c>
      <c r="I34" s="43">
        <v>145</v>
      </c>
      <c r="J34" s="30" t="s">
        <v>187</v>
      </c>
      <c r="K34" s="43">
        <v>1</v>
      </c>
      <c r="L34" s="143" t="s">
        <v>51</v>
      </c>
      <c r="M34" s="144">
        <f t="shared" si="0"/>
        <v>76.031999999999996</v>
      </c>
      <c r="N34" s="145" t="str">
        <f>VLOOKUP(C34,'Trips&amp;Operators'!$C$1:$G$99999,5,FALSE)</f>
        <v>COOLAHAN JOHN</v>
      </c>
      <c r="O34" s="194" t="s">
        <v>185</v>
      </c>
      <c r="P34" s="146"/>
      <c r="Q34" s="30"/>
      <c r="R34" s="89" t="str">
        <f>IF(VLOOKUP(C34,'Train Runs'!$A$13:$AE$9948,1,1)=C34,VLOOKUP(C34,'Train Runs'!$A$13:$AE$9948,31,1),NA())</f>
        <v>aws s3 cp s3://rtdc.mdm.uploadarchive.raw/RTDC4012/ "%USERPROFILE%\AppData\Local\Temp\OnboardLogs"\RTDC4012\2017-03-22 --exclude "*" --recursive --include "*20170322*" &amp; "%USERPROFILE%\Documents\GitHub\mrs-test-scripts\Headless Mode &amp; Sideloading\WalkAndUnGZ.bat" "%USERPROFILE%\AppData\Local\Temp\OnboardLogs"\RTDC4012\2017-03-22 &amp; aws s3 cp s3://rtdc.mdm.uploadarchive.raw/RTDC4012/ "%USERPROFILE%\AppData\Local\Temp\OnboardLogs"\RTDC4012\2017-03-23 --exclude "*" --recursive --include "*20170323*" &amp; "%USERPROFILE%\Documents\GitHub\mrs-test-scripts\Headless Mode &amp; Sideloading\WalkAndUnGZ.bat" "%USERPROFILE%\AppData\Local\Temp\OnboardLogs"\RTDC4012\2017-03-23</v>
      </c>
      <c r="S34" s="92" t="str">
        <f>VLOOKUP(C34,'Train Runs'!$A$13:$AE$9948,22,0)</f>
        <v>https://d0f6bd738d7f1b3e5a7ca70fe4ff75f0.us-east-1.aws.found.io/app/kibana#/discover/Steve-Slow-Train-Analysis-(2080s-and-2083s)?_g=(refreshInterval:(display:Off,pause:!f,section:0,value:0),time:(from:'2017-03-22T05:07:00-0600',mode:absolute,to:'2017-03-22T07:49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4" s="94" t="str">
        <f t="shared" si="1"/>
        <v>"C:\Program Files (x86)\AstroGrep\AstroGrep.exe" /e /r /s /spath="%USERPROFILE%\AppData\Local\Temp\OnboardLogs" /stypes="*4012*201703221*" /stext=" 12:.+((SYSTEM_STATE.+slice.+state.+changed )|(ment ac)|(multiple cpu faults)|(system.+state.+changed )|(\[timeout)|(PRM\|1\|D)|(kpr)|(kdp)|(\|lc)|(penalty))"</v>
      </c>
      <c r="U34" s="9" t="str">
        <f t="shared" si="2"/>
        <v>4012</v>
      </c>
      <c r="V34" s="32">
        <f t="shared" si="3"/>
        <v>42816.534513888888</v>
      </c>
      <c r="W34" s="46" t="str">
        <f t="shared" si="4"/>
        <v>EC</v>
      </c>
      <c r="X34" s="46" t="str">
        <f t="shared" si="5"/>
        <v>KEEP</v>
      </c>
      <c r="Y34" s="108" t="str">
        <f t="shared" si="6"/>
        <v>echo {"issue":{"subject":"","project_id":79,"tracker_id":40,"status_id":1,"priority_id":2,"assigned_to_id":23,"start_date":"2017-03-22","description":"","custom_fields":[{"id":1,"name":"Subdivision","value":"EC"},{"id":4,"name":"Milepost","value":"0.0001"},{"id":17,"name":"Train ID","value":"114-22"},{"id":16,"name":"Locomotive ID","value":"4012"},{"id":130,"name":"Impact","value":""},{"id":150,"name":"Time of Event (Mountain Time)","value":"06:49:42"},{"id":151,"name":"Denver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222"/>
      <c r="AA34" s="48"/>
      <c r="AB34" s="48"/>
      <c r="AC34" s="127" t="str">
        <f t="shared" si="9"/>
        <v>grep -hSE -A400 "Enforcement Action" "%USERPROFILE%\AppData\Local\Temp\OnboardLogs"\RTDC4012\*4012*201703221*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"%USERPROFILE%\AppData\Local\Temp\OnboardLogs"\RTDC4012\*4012*201703221* &gt;&gt; 2017-03-22-SliceDisagreementCheck.txt</v>
      </c>
      <c r="AE34" s="157" t="str">
        <f t="shared" si="8"/>
        <v>start /low /b %USERPROFILE%\Documents\GitHub\eaglep3\Utilities\DownloadLogsFromS3.py --loco 4012 --day 2017-03-22</v>
      </c>
      <c r="AF34" s="1"/>
    </row>
    <row r="35" spans="1:32" x14ac:dyDescent="0.25">
      <c r="A35" s="32">
        <v>42816.32708333333</v>
      </c>
      <c r="B35" s="30" t="s">
        <v>602</v>
      </c>
      <c r="C35" s="30" t="s">
        <v>603</v>
      </c>
      <c r="D35" s="30" t="s">
        <v>49</v>
      </c>
      <c r="E35" s="30" t="s">
        <v>186</v>
      </c>
      <c r="F35" s="43">
        <v>0</v>
      </c>
      <c r="G35" s="43">
        <v>38</v>
      </c>
      <c r="H35" s="43">
        <v>132</v>
      </c>
      <c r="I35" s="43">
        <v>114</v>
      </c>
      <c r="J35" s="30" t="s">
        <v>187</v>
      </c>
      <c r="K35" s="43">
        <v>1</v>
      </c>
      <c r="L35" s="143" t="s">
        <v>51</v>
      </c>
      <c r="M35" s="144">
        <f t="shared" si="0"/>
        <v>59.664000000000001</v>
      </c>
      <c r="N35" s="145" t="str">
        <f>VLOOKUP(C35,'Trips&amp;Operators'!$C$1:$G$99999,5,FALSE)</f>
        <v>GUZMAN DANNY</v>
      </c>
      <c r="O35" s="194" t="s">
        <v>185</v>
      </c>
      <c r="P35" s="146"/>
      <c r="Q35" s="30"/>
      <c r="R35" s="89" t="str">
        <f>IF(VLOOKUP(C35,'Train Runs'!$A$13:$AE$9948,1,1)=C35,VLOOKUP(C35,'Train Runs'!$A$13:$AE$9948,31,1),NA())</f>
        <v>aws s3 cp s3://rtdc.mdm.uploadarchive.raw/RTDC4019/ "%USERPROFILE%\AppData\Local\Temp\OnboardLogs"\RTDC4019\2017-03-22 --exclude "*" --recursive --include "*20170322*" &amp; "%USERPROFILE%\Documents\GitHub\mrs-test-scripts\Headless Mode &amp; Sideloading\WalkAndUnGZ.bat" "%USERPROFILE%\AppData\Local\Temp\OnboardLogs"\RTDC4019\2017-03-22 &amp; aws s3 cp s3://rtdc.mdm.uploadarchive.raw/RTDC4019/ "%USERPROFILE%\AppData\Local\Temp\OnboardLogs"\RTDC4019\2017-03-23 --exclude "*" --recursive --include "*20170323*" &amp; "%USERPROFILE%\Documents\GitHub\mrs-test-scripts\Headless Mode &amp; Sideloading\WalkAndUnGZ.bat" "%USERPROFILE%\AppData\Local\Temp\OnboardLogs"\RTDC4019\2017-03-23</v>
      </c>
      <c r="S35" s="92" t="str">
        <f>VLOOKUP(C35,'Train Runs'!$A$13:$AE$9948,22,0)</f>
        <v>https://d0f6bd738d7f1b3e5a7ca70fe4ff75f0.us-east-1.aws.found.io/app/kibana#/discover/Steve-Slow-Train-Analysis-(2080s-and-2083s)?_g=(refreshInterval:(display:Off,pause:!f,section:0,value:0),time:(from:'2017-03-22T06:02:23-0600',mode:absolute,to:'2017-03-22T08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5" s="94" t="str">
        <f t="shared" si="1"/>
        <v>"C:\Program Files (x86)\AstroGrep\AstroGrep.exe" /e /r /s /spath="%USERPROFILE%\AppData\Local\Temp\OnboardLogs" /stypes="*4019*201703221*" /stext=" 13:.+((SYSTEM_STATE.+slice.+state.+changed )|(ment ac)|(multiple cpu faults)|(system.+state.+changed )|(\[timeout)|(PRM\|1\|D)|(kpr)|(kdp)|(\|lc)|(penalty))"</v>
      </c>
      <c r="U35" s="9" t="str">
        <f t="shared" si="2"/>
        <v>4019</v>
      </c>
      <c r="V35" s="32">
        <f t="shared" si="3"/>
        <v>42816.57708333333</v>
      </c>
      <c r="W35" s="46" t="str">
        <f t="shared" si="4"/>
        <v>EC</v>
      </c>
      <c r="X35" s="46" t="str">
        <f t="shared" si="5"/>
        <v>KEEP</v>
      </c>
      <c r="Y35" s="108" t="str">
        <f t="shared" si="6"/>
        <v>echo {"issue":{"subject":"","project_id":79,"tracker_id":40,"status_id":1,"priority_id":2,"assigned_to_id":23,"start_date":"2017-03-22","description":"","custom_fields":[{"id":1,"name":"Subdivision","value":"EC"},{"id":4,"name":"Milepost","value":"0.0001"},{"id":17,"name":"Train ID","value":"122-22"},{"id":16,"name":"Locomotive ID","value":"4019"},{"id":130,"name":"Impact","value":""},{"id":150,"name":"Time of Event (Mountain Time)","value":"07:51:00"},{"id":151,"name":"Denver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222"/>
      <c r="AA35" s="48"/>
      <c r="AB35" s="48"/>
      <c r="AC35" s="127" t="str">
        <f t="shared" si="9"/>
        <v>grep -hSE -A400 "Enforcement Action" "%USERPROFILE%\AppData\Local\Temp\OnboardLogs"\RTDC4019\*4019*201703221*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"%USERPROFILE%\AppData\Local\Temp\OnboardLogs"\RTDC4019\*4019*201703221* &gt;&gt; 2017-03-22-SliceDisagreementCheck.txt</v>
      </c>
      <c r="AE35" s="157" t="str">
        <f t="shared" si="8"/>
        <v>start /low /b %USERPROFILE%\Documents\GitHub\eaglep3\Utilities\DownloadLogsFromS3.py --loco 4019 --day 2017-03-22</v>
      </c>
      <c r="AF35" s="1"/>
    </row>
    <row r="36" spans="1:32" x14ac:dyDescent="0.25">
      <c r="A36" s="32">
        <v>42816.472731481481</v>
      </c>
      <c r="B36" s="30" t="s">
        <v>602</v>
      </c>
      <c r="C36" s="30" t="s">
        <v>615</v>
      </c>
      <c r="D36" s="30" t="s">
        <v>49</v>
      </c>
      <c r="E36" s="30" t="s">
        <v>186</v>
      </c>
      <c r="F36" s="43">
        <v>0</v>
      </c>
      <c r="G36" s="43">
        <v>41</v>
      </c>
      <c r="H36" s="43">
        <v>139</v>
      </c>
      <c r="I36" s="43">
        <v>118</v>
      </c>
      <c r="J36" s="30" t="s">
        <v>187</v>
      </c>
      <c r="K36" s="43">
        <v>1</v>
      </c>
      <c r="L36" s="143" t="s">
        <v>51</v>
      </c>
      <c r="M36" s="144">
        <f t="shared" si="0"/>
        <v>61.776000000000003</v>
      </c>
      <c r="N36" s="145" t="str">
        <f>VLOOKUP(C36,'Trips&amp;Operators'!$C$1:$G$99999,5,FALSE)</f>
        <v>GUZMAN DANNY</v>
      </c>
      <c r="O36" s="194" t="s">
        <v>185</v>
      </c>
      <c r="P36" s="146"/>
      <c r="Q36" s="30"/>
      <c r="R36" s="89" t="str">
        <f>IF(VLOOKUP(C36,'Train Runs'!$A$13:$AE$9948,1,1)=C36,VLOOKUP(C36,'Train Runs'!$A$13:$AE$9948,31,1),NA())</f>
        <v>aws s3 cp s3://rtdc.mdm.uploadarchive.raw/RTDC4019/ "%USERPROFILE%\AppData\Local\Temp\OnboardLogs"\RTDC4019\2017-03-22 --exclude "*" --recursive --include "*20170322*" &amp; "%USERPROFILE%\Documents\GitHub\mrs-test-scripts\Headless Mode &amp; Sideloading\WalkAndUnGZ.bat" "%USERPROFILE%\AppData\Local\Temp\OnboardLogs"\RTDC4019\2017-03-22 &amp; aws s3 cp s3://rtdc.mdm.uploadarchive.raw/RTDC4019/ "%USERPROFILE%\AppData\Local\Temp\OnboardLogs"\RTDC4019\2017-03-23 --exclude "*" --recursive --include "*20170323*" &amp; "%USERPROFILE%\Documents\GitHub\mrs-test-scripts\Headless Mode &amp; Sideloading\WalkAndUnGZ.bat" "%USERPROFILE%\AppData\Local\Temp\OnboardLogs"\RTDC4019\2017-03-23</v>
      </c>
      <c r="S36" s="92" t="str">
        <f>VLOOKUP(C36,'Train Runs'!$A$13:$AE$9948,22,0)</f>
        <v>https://d0f6bd738d7f1b3e5a7ca70fe4ff75f0.us-east-1.aws.found.io/app/kibana#/discover/Steve-Slow-Train-Analysis-(2080s-and-2083s)?_g=(refreshInterval:(display:Off,pause:!f,section:0,value:0),time:(from:'2017-03-22T09:30:55-0600',mode:absolute,to:'2017-03-22T12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6" s="94" t="str">
        <f t="shared" si="1"/>
        <v>"C:\Program Files (x86)\AstroGrep\AstroGrep.exe" /e /r /s /spath="%USERPROFILE%\AppData\Local\Temp\OnboardLogs" /stypes="*4019*201703221*" /stext=" 17:.+((SYSTEM_STATE.+slice.+state.+changed )|(ment ac)|(multiple cpu faults)|(system.+state.+changed )|(\[timeout)|(PRM\|1\|D)|(kpr)|(kdp)|(\|lc)|(penalty))"</v>
      </c>
      <c r="U36" s="9" t="str">
        <f t="shared" si="2"/>
        <v>4019</v>
      </c>
      <c r="V36" s="32">
        <f t="shared" si="3"/>
        <v>42816.722731481481</v>
      </c>
      <c r="W36" s="46" t="str">
        <f t="shared" si="4"/>
        <v>EC</v>
      </c>
      <c r="X36" s="46" t="str">
        <f t="shared" si="5"/>
        <v>KEEP</v>
      </c>
      <c r="Y36" s="108" t="str">
        <f t="shared" si="6"/>
        <v>echo {"issue":{"subject":"","project_id":79,"tracker_id":40,"status_id":1,"priority_id":2,"assigned_to_id":23,"start_date":"2017-03-22","description":"","custom_fields":[{"id":1,"name":"Subdivision","value":"EC"},{"id":4,"name":"Milepost","value":"0.0001"},{"id":17,"name":"Train ID","value":"150-22"},{"id":16,"name":"Locomotive ID","value":"4019"},{"id":130,"name":"Impact","value":""},{"id":150,"name":"Time of Event (Mountain Time)","value":"11:20:44"},{"id":151,"name":"Denver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222"/>
      <c r="AA36" s="48"/>
      <c r="AB36" s="48"/>
      <c r="AC36" s="127" t="str">
        <f t="shared" si="9"/>
        <v>grep -hSE -A400 "Enforcement Action" "%USERPROFILE%\AppData\Local\Temp\OnboardLogs"\RTDC4019\*4019*201703221*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"%USERPROFILE%\AppData\Local\Temp\OnboardLogs"\RTDC4019\*4019*201703221* &gt;&gt; 2017-03-22-SliceDisagreementCheck.txt</v>
      </c>
      <c r="AE36" s="157" t="str">
        <f t="shared" si="8"/>
        <v>start /low /b %USERPROFILE%\Documents\GitHub\eaglep3\Utilities\DownloadLogsFromS3.py --loco 4019 --day 2017-03-22</v>
      </c>
      <c r="AF36" s="1"/>
    </row>
    <row r="37" spans="1:32" x14ac:dyDescent="0.25">
      <c r="A37" s="32">
        <v>42816.49181712963</v>
      </c>
      <c r="B37" s="30" t="s">
        <v>470</v>
      </c>
      <c r="C37" s="30" t="s">
        <v>617</v>
      </c>
      <c r="D37" s="30" t="s">
        <v>49</v>
      </c>
      <c r="E37" s="30" t="s">
        <v>186</v>
      </c>
      <c r="F37" s="43">
        <v>0</v>
      </c>
      <c r="G37" s="43">
        <v>55</v>
      </c>
      <c r="H37" s="43">
        <v>170</v>
      </c>
      <c r="I37" s="43">
        <v>132</v>
      </c>
      <c r="J37" s="30" t="s">
        <v>187</v>
      </c>
      <c r="K37" s="43">
        <v>1</v>
      </c>
      <c r="L37" s="143" t="s">
        <v>51</v>
      </c>
      <c r="M37" s="144">
        <f t="shared" si="0"/>
        <v>69.168000000000006</v>
      </c>
      <c r="N37" s="145" t="str">
        <f>VLOOKUP(C37,'Trips&amp;Operators'!$C$1:$G$99999,5,FALSE)</f>
        <v>SULLIVAN BRANDON</v>
      </c>
      <c r="O37" s="194" t="s">
        <v>185</v>
      </c>
      <c r="P37" s="146"/>
      <c r="Q37" s="30"/>
      <c r="R37" s="89" t="str">
        <f>IF(VLOOKUP(C37,'Train Runs'!$A$13:$AE$9948,1,1)=C37,VLOOKUP(C37,'Train Runs'!$A$13:$AE$9948,31,1),NA())</f>
        <v>aws s3 cp s3://rtdc.mdm.uploadarchive.raw/RTDC4017/ "%USERPROFILE%\AppData\Local\Temp\OnboardLogs"\RTDC4017\2017-03-22 --exclude "*" --recursive --include "*20170322*" &amp; "%USERPROFILE%\Documents\GitHub\mrs-test-scripts\Headless Mode &amp; Sideloading\WalkAndUnGZ.bat" "%USERPROFILE%\AppData\Local\Temp\OnboardLogs"\RTDC4017\2017-03-22 &amp; aws s3 cp s3://rtdc.mdm.uploadarchive.raw/RTDC4017/ "%USERPROFILE%\AppData\Local\Temp\OnboardLogs"\RTDC4017\2017-03-23 --exclude "*" --recursive --include "*20170323*" &amp; "%USERPROFILE%\Documents\GitHub\mrs-test-scripts\Headless Mode &amp; Sideloading\WalkAndUnGZ.bat" "%USERPROFILE%\AppData\Local\Temp\OnboardLogs"\RTDC4017\2017-03-23</v>
      </c>
      <c r="S37" s="92" t="str">
        <f>VLOOKUP(C37,'Train Runs'!$A$13:$AE$9948,22,0)</f>
        <v>https://d0f6bd738d7f1b3e5a7ca70fe4ff75f0.us-east-1.aws.found.io/app/kibana#/discover/Steve-Slow-Train-Analysis-(2080s-and-2083s)?_g=(refreshInterval:(display:Off,pause:!f,section:0,value:0),time:(from:'2017-03-22T10:09:38-0600',mode:absolute,to:'2017-03-22T12:48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37" s="94" t="str">
        <f t="shared" si="1"/>
        <v>"C:\Program Files (x86)\AstroGrep\AstroGrep.exe" /e /r /s /spath="%USERPROFILE%\AppData\Local\Temp\OnboardLogs" /stypes="*4017*201703221*" /stext=" 17:.+((SYSTEM_STATE.+slice.+state.+changed )|(ment ac)|(multiple cpu faults)|(system.+state.+changed )|(\[timeout)|(PRM\|1\|D)|(kpr)|(kdp)|(\|lc)|(penalty))"</v>
      </c>
      <c r="U37" s="9" t="str">
        <f t="shared" si="2"/>
        <v>4017</v>
      </c>
      <c r="V37" s="32">
        <f t="shared" si="3"/>
        <v>42816.74181712963</v>
      </c>
      <c r="W37" s="46" t="str">
        <f t="shared" si="4"/>
        <v>EC</v>
      </c>
      <c r="X37" s="46" t="str">
        <f t="shared" si="5"/>
        <v>KEEP</v>
      </c>
      <c r="Y37" s="108" t="str">
        <f t="shared" si="6"/>
        <v>echo {"issue":{"subject":"","project_id":79,"tracker_id":40,"status_id":1,"priority_id":2,"assigned_to_id":23,"start_date":"2017-03-22","description":"","custom_fields":[{"id":1,"name":"Subdivision","value":"EC"},{"id":4,"name":"Milepost","value":"0.0001"},{"id":17,"name":"Train ID","value":"154-22"},{"id":16,"name":"Locomotive ID","value":"4017"},{"id":130,"name":"Impact","value":""},{"id":150,"name":"Time of Event (Mountain Time)","value":"11:48:13"},{"id":151,"name":"Denver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222"/>
      <c r="AA37" s="48"/>
      <c r="AB37" s="48"/>
      <c r="AC37" s="127" t="str">
        <f t="shared" si="9"/>
        <v>grep -hSE -A400 "Enforcement Action" "%USERPROFILE%\AppData\Local\Temp\OnboardLogs"\RTDC4017\*4017*201703221*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"%USERPROFILE%\AppData\Local\Temp\OnboardLogs"\RTDC4017\*4017*201703221* &gt;&gt; 2017-03-22-SliceDisagreementCheck.txt</v>
      </c>
      <c r="AE37" s="157" t="str">
        <f t="shared" si="8"/>
        <v>start /low /b %USERPROFILE%\Documents\GitHub\eaglep3\Utilities\DownloadLogsFromS3.py --loco 4017 --day 2017-03-22</v>
      </c>
      <c r="AF37" s="1"/>
    </row>
    <row r="38" spans="1:32" x14ac:dyDescent="0.25">
      <c r="A38" s="32">
        <v>42816.535925925928</v>
      </c>
      <c r="B38" s="30" t="s">
        <v>608</v>
      </c>
      <c r="C38" s="30" t="s">
        <v>618</v>
      </c>
      <c r="D38" s="30" t="s">
        <v>49</v>
      </c>
      <c r="E38" s="30" t="s">
        <v>186</v>
      </c>
      <c r="F38" s="43">
        <v>0</v>
      </c>
      <c r="G38" s="43">
        <v>78</v>
      </c>
      <c r="H38" s="43">
        <v>258</v>
      </c>
      <c r="I38" s="43">
        <v>174</v>
      </c>
      <c r="J38" s="30" t="s">
        <v>187</v>
      </c>
      <c r="K38" s="43">
        <v>1</v>
      </c>
      <c r="L38" s="143" t="s">
        <v>51</v>
      </c>
      <c r="M38" s="144">
        <f t="shared" si="0"/>
        <v>91.343999999999994</v>
      </c>
      <c r="N38" s="145" t="str">
        <f>VLOOKUP(C38,'Trips&amp;Operators'!$C$1:$G$99999,5,FALSE)</f>
        <v>DAVIS MICHAEL</v>
      </c>
      <c r="O38" s="194" t="s">
        <v>185</v>
      </c>
      <c r="P38" s="146"/>
      <c r="Q38" s="30"/>
      <c r="R38" s="89" t="str">
        <f>IF(VLOOKUP(C38,'Train Runs'!$A$13:$AE$9948,1,1)=C38,VLOOKUP(C38,'Train Runs'!$A$13:$AE$9948,31,1),NA())</f>
        <v>aws s3 cp s3://rtdc.mdm.uploadarchive.raw/RTDC4039/ "%USERPROFILE%\AppData\Local\Temp\OnboardLogs"\RTDC4039\2017-03-22 --exclude "*" --recursive --include "*20170322*" &amp; "%USERPROFILE%\Documents\GitHub\mrs-test-scripts\Headless Mode &amp; Sideloading\WalkAndUnGZ.bat" "%USERPROFILE%\AppData\Local\Temp\OnboardLogs"\RTDC4039\2017-03-22 &amp; aws s3 cp s3://rtdc.mdm.uploadarchive.raw/RTDC4039/ "%USERPROFILE%\AppData\Local\Temp\OnboardLogs"\RTDC4039\2017-03-23 --exclude "*" --recursive --include "*20170323*" &amp; "%USERPROFILE%\Documents\GitHub\mrs-test-scripts\Headless Mode &amp; Sideloading\WalkAndUnGZ.bat" "%USERPROFILE%\AppData\Local\Temp\OnboardLogs"\RTDC4039\2017-03-23</v>
      </c>
      <c r="S38" s="92" t="str">
        <f>VLOOKUP(C38,'Train Runs'!$A$13:$AE$9948,22,0)</f>
        <v>https://d0f6bd738d7f1b3e5a7ca70fe4ff75f0.us-east-1.aws.found.io/app/kibana#/discover/Steve-Slow-Train-Analysis-(2080s-and-2083s)?_g=(refreshInterval:(display:Off,pause:!f,section:0,value:0),time:(from:'2017-03-22T11:08:16-0600',mode:absolute,to:'2017-03-22T13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8" s="94" t="str">
        <f t="shared" si="1"/>
        <v>"C:\Program Files (x86)\AstroGrep\AstroGrep.exe" /e /r /s /spath="%USERPROFILE%\AppData\Local\Temp\OnboardLogs" /stypes="*4039*201703221*" /stext=" 18:.+((SYSTEM_STATE.+slice.+state.+changed )|(ment ac)|(multiple cpu faults)|(system.+state.+changed )|(\[timeout)|(PRM\|1\|D)|(kpr)|(kdp)|(\|lc)|(penalty))"</v>
      </c>
      <c r="U38" s="9" t="str">
        <f t="shared" si="2"/>
        <v>4039</v>
      </c>
      <c r="V38" s="32">
        <f t="shared" si="3"/>
        <v>42816.785925925928</v>
      </c>
      <c r="W38" s="46" t="str">
        <f t="shared" si="4"/>
        <v>EC</v>
      </c>
      <c r="X38" s="46" t="str">
        <f t="shared" si="5"/>
        <v>KEEP</v>
      </c>
      <c r="Y38" s="108" t="str">
        <f t="shared" si="6"/>
        <v>echo {"issue":{"subject":"","project_id":79,"tracker_id":40,"status_id":1,"priority_id":2,"assigned_to_id":23,"start_date":"2017-03-22","description":"","custom_fields":[{"id":1,"name":"Subdivision","value":"EC"},{"id":4,"name":"Milepost","value":"0.0001"},{"id":17,"name":"Train ID","value":"162-22"},{"id":16,"name":"Locomotive ID","value":"4039"},{"id":130,"name":"Impact","value":""},{"id":150,"name":"Time of Event (Mountain Time)","value":"12:51:44"},{"id":151,"name":"Denver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222"/>
      <c r="AA38" s="48"/>
      <c r="AB38" s="48"/>
      <c r="AC38" s="127" t="str">
        <f t="shared" si="9"/>
        <v>grep -hSE -A400 "Enforcement Action" "%USERPROFILE%\AppData\Local\Temp\OnboardLogs"\RTDC4039\*4039*201703221*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"%USERPROFILE%\AppData\Local\Temp\OnboardLogs"\RTDC4039\*4039*201703221* &gt;&gt; 2017-03-22-SliceDisagreementCheck.txt</v>
      </c>
      <c r="AE38" s="157" t="str">
        <f t="shared" si="8"/>
        <v>start /low /b %USERPROFILE%\Documents\GitHub\eaglep3\Utilities\DownloadLogsFromS3.py --loco 4039 --day 2017-03-22</v>
      </c>
      <c r="AF38" s="1"/>
    </row>
    <row r="39" spans="1:32" x14ac:dyDescent="0.25">
      <c r="A39" s="32">
        <v>42816.598530092589</v>
      </c>
      <c r="B39" s="30" t="s">
        <v>389</v>
      </c>
      <c r="C39" s="30" t="s">
        <v>620</v>
      </c>
      <c r="D39" s="30" t="s">
        <v>49</v>
      </c>
      <c r="E39" s="30" t="s">
        <v>186</v>
      </c>
      <c r="F39" s="43">
        <v>0</v>
      </c>
      <c r="G39" s="43">
        <v>79</v>
      </c>
      <c r="H39" s="43">
        <v>263</v>
      </c>
      <c r="I39" s="43">
        <v>172</v>
      </c>
      <c r="J39" s="30" t="s">
        <v>187</v>
      </c>
      <c r="K39" s="43">
        <v>1</v>
      </c>
      <c r="L39" s="143" t="s">
        <v>51</v>
      </c>
      <c r="M39" s="144">
        <f t="shared" ref="M39:M70" si="10">CONVERT((I39-K39)/10000,"mi","ft")*IF(L39="Increasing Mileposts (1)",-1,1)</f>
        <v>90.287999999999997</v>
      </c>
      <c r="N39" s="145" t="str">
        <f>VLOOKUP(C39,'Trips&amp;Operators'!$C$1:$G$99999,5,FALSE)</f>
        <v>CLARK KATHLEEN</v>
      </c>
      <c r="O39" s="194" t="s">
        <v>185</v>
      </c>
      <c r="P39" s="146"/>
      <c r="Q39" s="30"/>
      <c r="R39" s="89" t="str">
        <f>IF(VLOOKUP(C39,'Train Runs'!$A$13:$AE$9948,1,1)=C39,VLOOKUP(C39,'Train Runs'!$A$13:$AE$9948,31,1),NA())</f>
        <v>aws s3 cp s3://rtdc.mdm.uploadarchive.raw/RTDC4028/ "%USERPROFILE%\AppData\Local\Temp\OnboardLogs"\RTDC4028\2017-03-22 --exclude "*" --recursive --include "*20170322*" &amp; "%USERPROFILE%\Documents\GitHub\mrs-test-scripts\Headless Mode &amp; Sideloading\WalkAndUnGZ.bat" "%USERPROFILE%\AppData\Local\Temp\OnboardLogs"\RTDC4028\2017-03-22 &amp; aws s3 cp s3://rtdc.mdm.uploadarchive.raw/RTDC4028/ "%USERPROFILE%\AppData\Local\Temp\OnboardLogs"\RTDC4028\2017-03-23 --exclude "*" --recursive --include "*20170323*" &amp; "%USERPROFILE%\Documents\GitHub\mrs-test-scripts\Headless Mode &amp; Sideloading\WalkAndUnGZ.bat" "%USERPROFILE%\AppData\Local\Temp\OnboardLogs"\RTDC4028\2017-03-23</v>
      </c>
      <c r="S39" s="92" t="str">
        <f>VLOOKUP(C39,'Train Runs'!$A$13:$AE$9948,22,0)</f>
        <v>https://d0f6bd738d7f1b3e5a7ca70fe4ff75f0.us-east-1.aws.found.io/app/kibana#/discover/Steve-Slow-Train-Analysis-(2080s-and-2083s)?_g=(refreshInterval:(display:Off,pause:!f,section:0,value:0),time:(from:'2017-03-22T12:35:38-0600',mode:absolute,to:'2017-03-22T15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9" s="94" t="str">
        <f t="shared" ref="T39:T70" si="11"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/stypes="*4028*201703222*" /stext=" 20:.+((SYSTEM_STATE.+slice.+state.+changed )|(ment ac)|(multiple cpu faults)|(system.+state.+changed )|(\[timeout)|(PRM\|1\|D)|(kpr)|(kdp)|(\|lc)|(penalty))"</v>
      </c>
      <c r="U39" s="9" t="str">
        <f t="shared" ref="U39:U59" si="12">MID(B39,13,4)</f>
        <v>4028</v>
      </c>
      <c r="V39" s="32">
        <f t="shared" ref="V39:V59" si="13">A39-utc_offset/24</f>
        <v>42816.848530092589</v>
      </c>
      <c r="W39" s="46" t="str">
        <f t="shared" ref="W39:W59" si="14">IFERROR(IF(VALUE(LEFT(IF(LEN(C39)=6,"0"&amp;C39,C39),2))&lt;=2,"EC",IF(OR(VALUE(LEFT(IF(LEN(C39)=6,"0"&amp;C39,C39),2))=8,VALUE(LEFT(IF(LEN(C39)=6,"0"&amp;C39,C39),2))=18),"NW","Other")),"Other")</f>
        <v>EC</v>
      </c>
      <c r="X39" s="46" t="str">
        <f t="shared" ref="X39:X59" si="15">IF(AND(E39="TRACK WARRANT AUTHORITY",G39&lt;10),"OMIT","KEEP")</f>
        <v>KEEP</v>
      </c>
      <c r="Y39" s="108" t="str">
        <f t="shared" ref="Y39:Y70" si="16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{"issue":{"subject":"","project_id":79,"tracker_id":40,"status_id":1,"priority_id":2,"assigned_to_id":23,"start_date":"2017-03-22","description":"","custom_fields":[{"id":1,"name":"Subdivision","value":"EC"},{"id":4,"name":"Milepost","value":"0.0001"},{"id":17,"name":"Train ID","value":"174-22"},{"id":16,"name":"Locomotive ID","value":"4028"},{"id":130,"name":"Impact","value":""},{"id":150,"name":"Time of Event (Mountain Time)","value":"14:21:53"},{"id":151,"name":"Denver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222"/>
      <c r="AA39" s="48"/>
      <c r="AB39" s="48"/>
      <c r="AC39" s="127" t="str">
        <f t="shared" si="9"/>
        <v>grep -hSE -A400 "Enforcement Action" "%USERPROFILE%\AppData\Local\Temp\OnboardLogs"\RTDC4028\*4028*201703222*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"%USERPROFILE%\AppData\Local\Temp\OnboardLogs"\RTDC4028\*4028*201703222* &gt;&gt; 2017-03-22-SliceDisagreementCheck.txt</v>
      </c>
      <c r="AE39" s="157" t="str">
        <f t="shared" si="8"/>
        <v>start /low /b %USERPROFILE%\Documents\GitHub\eaglep3\Utilities\DownloadLogsFromS3.py --loco 4028 --day 2017-03-22</v>
      </c>
      <c r="AF39" s="1"/>
    </row>
    <row r="40" spans="1:32" x14ac:dyDescent="0.25">
      <c r="A40" s="32">
        <v>42816.607233796298</v>
      </c>
      <c r="B40" s="30" t="s">
        <v>608</v>
      </c>
      <c r="C40" s="30" t="s">
        <v>621</v>
      </c>
      <c r="D40" s="30" t="s">
        <v>49</v>
      </c>
      <c r="E40" s="30" t="s">
        <v>186</v>
      </c>
      <c r="F40" s="43">
        <v>0</v>
      </c>
      <c r="G40" s="43">
        <v>33</v>
      </c>
      <c r="H40" s="43">
        <v>118</v>
      </c>
      <c r="I40" s="43">
        <v>129</v>
      </c>
      <c r="J40" s="30" t="s">
        <v>187</v>
      </c>
      <c r="K40" s="43">
        <v>1</v>
      </c>
      <c r="L40" s="143" t="s">
        <v>51</v>
      </c>
      <c r="M40" s="144">
        <f t="shared" si="10"/>
        <v>67.584000000000003</v>
      </c>
      <c r="N40" s="145" t="str">
        <f>VLOOKUP(C40,'Trips&amp;Operators'!$C$1:$G$99999,5,FALSE)</f>
        <v>DELGADO DIANAH</v>
      </c>
      <c r="O40" s="194" t="s">
        <v>185</v>
      </c>
      <c r="P40" s="146"/>
      <c r="Q40" s="30"/>
      <c r="R40" s="89" t="str">
        <f>IF(VLOOKUP(C40,'Train Runs'!$A$13:$AE$9948,1,1)=C40,VLOOKUP(C40,'Train Runs'!$A$13:$AE$9948,31,1),NA())</f>
        <v>aws s3 cp s3://rtdc.mdm.uploadarchive.raw/RTDC4039/ "%USERPROFILE%\AppData\Local\Temp\OnboardLogs"\RTDC4039\2017-03-22 --exclude "*" --recursive --include "*20170322*" &amp; "%USERPROFILE%\Documents\GitHub\mrs-test-scripts\Headless Mode &amp; Sideloading\WalkAndUnGZ.bat" "%USERPROFILE%\AppData\Local\Temp\OnboardLogs"\RTDC4039\2017-03-22 &amp; aws s3 cp s3://rtdc.mdm.uploadarchive.raw/RTDC4039/ "%USERPROFILE%\AppData\Local\Temp\OnboardLogs"\RTDC4039\2017-03-23 --exclude "*" --recursive --include "*20170323*" &amp; "%USERPROFILE%\Documents\GitHub\mrs-test-scripts\Headless Mode &amp; Sideloading\WalkAndUnGZ.bat" "%USERPROFILE%\AppData\Local\Temp\OnboardLogs"\RTDC4039\2017-03-23</v>
      </c>
      <c r="S40" s="92" t="str">
        <f>VLOOKUP(C40,'Train Runs'!$A$13:$AE$9948,22,0)</f>
        <v>https://d0f6bd738d7f1b3e5a7ca70fe4ff75f0.us-east-1.aws.found.io/app/kibana#/discover/Steve-Slow-Train-Analysis-(2080s-and-2083s)?_g=(refreshInterval:(display:Off,pause:!f,section:0,value:0),time:(from:'2017-03-22T12:55:29-0600',mode:absolute,to:'2017-03-22T15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40" s="94" t="str">
        <f t="shared" si="11"/>
        <v>"C:\Program Files (x86)\AstroGrep\AstroGrep.exe" /e /r /s /spath="%USERPROFILE%\AppData\Local\Temp\OnboardLogs" /stypes="*4039*201703222*" /stext=" 20:.+((SYSTEM_STATE.+slice.+state.+changed )|(ment ac)|(multiple cpu faults)|(system.+state.+changed )|(\[timeout)|(PRM\|1\|D)|(kpr)|(kdp)|(\|lc)|(penalty))"</v>
      </c>
      <c r="U40" s="9" t="str">
        <f t="shared" si="12"/>
        <v>4039</v>
      </c>
      <c r="V40" s="32">
        <f t="shared" si="13"/>
        <v>42816.857233796298</v>
      </c>
      <c r="W40" s="46" t="str">
        <f t="shared" si="14"/>
        <v>EC</v>
      </c>
      <c r="X40" s="46" t="str">
        <f t="shared" si="15"/>
        <v>KEEP</v>
      </c>
      <c r="Y40" s="108" t="str">
        <f t="shared" si="16"/>
        <v>echo {"issue":{"subject":"","project_id":79,"tracker_id":40,"status_id":1,"priority_id":2,"assigned_to_id":23,"start_date":"2017-03-22","description":"","custom_fields":[{"id":1,"name":"Subdivision","value":"EC"},{"id":4,"name":"Milepost","value":"0.0001"},{"id":17,"name":"Train ID","value":"176-22"},{"id":16,"name":"Locomotive ID","value":"4039"},{"id":130,"name":"Impact","value":""},{"id":150,"name":"Time of Event (Mountain Time)","value":"14:34:25"},{"id":151,"name":"Denver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222"/>
      <c r="AA40" s="48"/>
      <c r="AB40" s="48"/>
      <c r="AC40" s="127" t="str">
        <f t="shared" si="9"/>
        <v>grep -hSE -A400 "Enforcement Action" "%USERPROFILE%\AppData\Local\Temp\OnboardLogs"\RTDC4039\*4039*201703222*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"%USERPROFILE%\AppData\Local\Temp\OnboardLogs"\RTDC4039\*4039*201703222* &gt;&gt; 2017-03-22-SliceDisagreementCheck.txt</v>
      </c>
      <c r="AE40" s="157" t="str">
        <f t="shared" si="8"/>
        <v>start /low /b %USERPROFILE%\Documents\GitHub\eaglep3\Utilities\DownloadLogsFromS3.py --loco 4039 --day 2017-03-22</v>
      </c>
      <c r="AF40" s="1"/>
    </row>
    <row r="41" spans="1:32" x14ac:dyDescent="0.25">
      <c r="A41" s="32">
        <v>42816.773692129631</v>
      </c>
      <c r="B41" s="30" t="s">
        <v>472</v>
      </c>
      <c r="C41" s="30" t="s">
        <v>637</v>
      </c>
      <c r="D41" s="30" t="s">
        <v>49</v>
      </c>
      <c r="E41" s="30" t="s">
        <v>186</v>
      </c>
      <c r="F41" s="43">
        <v>0</v>
      </c>
      <c r="G41" s="43">
        <v>44</v>
      </c>
      <c r="H41" s="43">
        <v>167</v>
      </c>
      <c r="I41" s="43">
        <v>127</v>
      </c>
      <c r="J41" s="30" t="s">
        <v>187</v>
      </c>
      <c r="K41" s="43">
        <v>1</v>
      </c>
      <c r="L41" s="143" t="s">
        <v>51</v>
      </c>
      <c r="M41" s="144">
        <f t="shared" si="10"/>
        <v>66.528000000000006</v>
      </c>
      <c r="N41" s="145" t="str">
        <f>VLOOKUP(C41,'Trips&amp;Operators'!$C$1:$G$99999,5,FALSE)</f>
        <v>HELVIE ADAM</v>
      </c>
      <c r="O41" s="194" t="s">
        <v>185</v>
      </c>
      <c r="P41" s="146"/>
      <c r="Q41" s="30"/>
      <c r="R41" s="89" t="str">
        <f>IF(VLOOKUP(C41,'Train Runs'!$A$13:$AE$9948,1,1)=C41,VLOOKUP(C41,'Train Runs'!$A$13:$AE$9948,31,1),NA())</f>
        <v>aws s3 cp s3://rtdc.mdm.uploadarchive.raw/RTDC4041/ "%USERPROFILE%\AppData\Local\Temp\OnboardLogs"\RTDC4041\2017-03-22 --exclude "*" --recursive --include "*20170322*" &amp; "%USERPROFILE%\Documents\GitHub\mrs-test-scripts\Headless Mode &amp; Sideloading\WalkAndUnGZ.bat" "%USERPROFILE%\AppData\Local\Temp\OnboardLogs"\RTDC4041\2017-03-22 &amp; aws s3 cp s3://rtdc.mdm.uploadarchive.raw/RTDC4041/ "%USERPROFILE%\AppData\Local\Temp\OnboardLogs"\RTDC4041\2017-03-23 --exclude "*" --recursive --include "*20170323*" &amp; "%USERPROFILE%\Documents\GitHub\mrs-test-scripts\Headless Mode &amp; Sideloading\WalkAndUnGZ.bat" "%USERPROFILE%\AppData\Local\Temp\OnboardLogs"\RTDC4041\2017-03-23</v>
      </c>
      <c r="S41" s="92" t="str">
        <f>VLOOKUP(C41,'Train Runs'!$A$13:$AE$9948,22,0)</f>
        <v>https://d0f6bd738d7f1b3e5a7ca70fe4ff75f0.us-east-1.aws.found.io/app/kibana#/discover/Steve-Slow-Train-Analysis-(2080s-and-2083s)?_g=(refreshInterval:(display:Off,pause:!f,section:0,value:0),time:(from:'2017-03-22T16:52:34-0600',mode:absolute,to:'2017-03-22T19:34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1" s="94" t="str">
        <f t="shared" si="11"/>
        <v>"C:\Program Files (x86)\AstroGrep\AstroGrep.exe" /e /r /s /spath="%USERPROFILE%\AppData\Local\Temp\OnboardLogs" /stypes="*4041*201703230*" /stext=" 00:.+((SYSTEM_STATE.+slice.+state.+changed )|(ment ac)|(multiple cpu faults)|(system.+state.+changed )|(\[timeout)|(PRM\|1\|D)|(kpr)|(kdp)|(\|lc)|(penalty))"</v>
      </c>
      <c r="U41" s="9" t="str">
        <f t="shared" si="12"/>
        <v>4041</v>
      </c>
      <c r="V41" s="32">
        <f t="shared" si="13"/>
        <v>42817.023692129631</v>
      </c>
      <c r="W41" s="46" t="str">
        <f t="shared" si="14"/>
        <v>EC</v>
      </c>
      <c r="X41" s="46" t="str">
        <f t="shared" si="15"/>
        <v>KEEP</v>
      </c>
      <c r="Y41" s="108" t="str">
        <f t="shared" si="16"/>
        <v>echo {"issue":{"subject":"","project_id":79,"tracker_id":40,"status_id":1,"priority_id":2,"assigned_to_id":23,"start_date":"2017-03-22","description":"","custom_fields":[{"id":1,"name":"Subdivision","value":"EC"},{"id":4,"name":"Milepost","value":"0.0001"},{"id":17,"name":"Train ID","value":"208-22"},{"id":16,"name":"Locomotive ID","value":"4041"},{"id":130,"name":"Impact","value":""},{"id":150,"name":"Time of Event (Mountain Time)","value":"18:34:07"},{"id":151,"name":"Denver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222"/>
      <c r="AA41" s="48"/>
      <c r="AB41" s="48"/>
      <c r="AC41" s="127" t="str">
        <f t="shared" si="9"/>
        <v>grep -hSE -A400 "Enforcement Action" "%USERPROFILE%\AppData\Local\Temp\OnboardLogs"\RTDC4041\*4041*201703230*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"%USERPROFILE%\AppData\Local\Temp\OnboardLogs"\RTDC4041\*4041*201703230* &gt;&gt; 2017-03-22-SliceDisagreementCheck.txt</v>
      </c>
      <c r="AE41" s="157" t="str">
        <f t="shared" si="8"/>
        <v>start /low /b %USERPROFILE%\Documents\GitHub\eaglep3\Utilities\DownloadLogsFromS3.py --loco 4041 --day 2017-03-23</v>
      </c>
      <c r="AF41" s="1"/>
    </row>
    <row r="42" spans="1:32" x14ac:dyDescent="0.25">
      <c r="A42" s="32">
        <v>42816.432303240741</v>
      </c>
      <c r="B42" s="30" t="s">
        <v>610</v>
      </c>
      <c r="C42" s="30" t="s">
        <v>611</v>
      </c>
      <c r="D42" s="30" t="s">
        <v>49</v>
      </c>
      <c r="E42" s="30" t="s">
        <v>186</v>
      </c>
      <c r="F42" s="43">
        <v>0</v>
      </c>
      <c r="G42" s="43">
        <v>46</v>
      </c>
      <c r="H42" s="43">
        <v>233329</v>
      </c>
      <c r="I42" s="43">
        <v>233357</v>
      </c>
      <c r="J42" s="30" t="s">
        <v>187</v>
      </c>
      <c r="K42" s="43">
        <v>233491</v>
      </c>
      <c r="L42" s="143" t="s">
        <v>50</v>
      </c>
      <c r="M42" s="144">
        <f t="shared" si="10"/>
        <v>70.751999999999995</v>
      </c>
      <c r="N42" s="145" t="str">
        <f>VLOOKUP(C42,'Trips&amp;Operators'!$C$1:$G$99999,5,FALSE)</f>
        <v>GUZMAN DANNY</v>
      </c>
      <c r="O42" s="194" t="s">
        <v>185</v>
      </c>
      <c r="P42" s="146"/>
      <c r="Q42" s="30"/>
      <c r="R42" s="89" t="str">
        <f>IF(VLOOKUP(C42,'Train Runs'!$A$13:$AE$9948,1,1)=C42,VLOOKUP(C42,'Train Runs'!$A$13:$AE$9948,31,1),NA())</f>
        <v>aws s3 cp s3://rtdc.mdm.uploadarchive.raw/RTDC4020/ "%USERPROFILE%\AppData\Local\Temp\OnboardLogs"\RTDC4020\2017-03-22 --exclude "*" --recursive --include "*20170322*" &amp; "%USERPROFILE%\Documents\GitHub\mrs-test-scripts\Headless Mode &amp; Sideloading\WalkAndUnGZ.bat" "%USERPROFILE%\AppData\Local\Temp\OnboardLogs"\RTDC4020\2017-03-22 &amp; aws s3 cp s3://rtdc.mdm.uploadarchive.raw/RTDC4020/ "%USERPROFILE%\AppData\Local\Temp\OnboardLogs"\RTDC4020\2017-03-23 --exclude "*" --recursive --include "*20170323*" &amp; "%USERPROFILE%\Documents\GitHub\mrs-test-scripts\Headless Mode &amp; Sideloading\WalkAndUnGZ.bat" "%USERPROFILE%\AppData\Local\Temp\OnboardLogs"\RTDC4020\2017-03-23</v>
      </c>
      <c r="S42" s="92" t="str">
        <f>VLOOKUP(C42,'Train Runs'!$A$13:$AE$9948,22,0)</f>
        <v>https://d0f6bd738d7f1b3e5a7ca70fe4ff75f0.us-east-1.aws.found.io/app/kibana#/discover/Steve-Slow-Train-Analysis-(2080s-and-2083s)?_g=(refreshInterval:(display:Off,pause:!f,section:0,value:0),time:(from:'2017-03-22T08:40:57-0600',mode:absolute,to:'2017-03-22T11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42" s="94" t="str">
        <f t="shared" si="11"/>
        <v>"C:\Program Files (x86)\AstroGrep\AstroGrep.exe" /e /r /s /spath="%USERPROFILE%\AppData\Local\Temp\OnboardLogs" /stypes="*4020*201703221*" /stext=" 16:.+((SYSTEM_STATE.+slice.+state.+changed )|(ment ac)|(multiple cpu faults)|(system.+state.+changed )|(\[timeout)|(PRM\|1\|D)|(kpr)|(kdp)|(\|lc)|(penalty))"</v>
      </c>
      <c r="U42" s="9" t="str">
        <f t="shared" si="12"/>
        <v>4020</v>
      </c>
      <c r="V42" s="32">
        <f t="shared" si="13"/>
        <v>42816.682303240741</v>
      </c>
      <c r="W42" s="46" t="str">
        <f t="shared" si="14"/>
        <v>EC</v>
      </c>
      <c r="X42" s="46" t="str">
        <f t="shared" si="15"/>
        <v>KEEP</v>
      </c>
      <c r="Y42" s="108" t="str">
        <f t="shared" si="16"/>
        <v>echo {"issue":{"subject":"","project_id":79,"tracker_id":40,"status_id":1,"priority_id":2,"assigned_to_id":23,"start_date":"2017-03-22","description":"","custom_fields":[{"id":1,"name":"Subdivision","value":"EC"},{"id":4,"name":"Milepost","value":"23.3491"},{"id":17,"name":"Train ID","value":"149-22"},{"id":16,"name":"Locomotive ID","value":"4020"},{"id":130,"name":"Impact","value":""},{"id":150,"name":"Time of Event (Mountain Time)","value":"10:22:31"},{"id":151,"name":"Denver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222"/>
      <c r="AA42" s="48"/>
      <c r="AB42" s="48"/>
      <c r="AC42" s="127" t="str">
        <f t="shared" ref="AC42:AC59" si="17">"grep -hSE -A400 ""Enforcement Action"" "&amp;search_path&amp;"\RTDC"&amp;U42&amp;"\*"&amp;U42&amp;"*"&amp;TEXT(A42-utc_offset/24,"YYYYMMDD")&amp;LEFT(TEXT(A42-utc_offset/24,"HH"),1)&amp;"* | grep -SE ""((Enforcement Ac)|(PRM))"" -"</f>
        <v>grep -hSE -A400 "Enforcement Action" "%USERPROFILE%\AppData\Local\Temp\OnboardLogs"\RTDC4020\*4020*201703221*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"%USERPROFILE%\AppData\Local\Temp\OnboardLogs"\RTDC4020\*4020*201703221* &gt;&gt; 2017-03-22-SliceDisagreementCheck.txt</v>
      </c>
      <c r="AE42" s="157" t="str">
        <f t="shared" si="8"/>
        <v>start /low /b %USERPROFILE%\Documents\GitHub\eaglep3\Utilities\DownloadLogsFromS3.py --loco 4020 --day 2017-03-22</v>
      </c>
      <c r="AF42" s="1"/>
    </row>
    <row r="43" spans="1:32" x14ac:dyDescent="0.25">
      <c r="A43" s="32">
        <v>42816.58734953704</v>
      </c>
      <c r="B43" s="30" t="s">
        <v>475</v>
      </c>
      <c r="C43" s="30" t="s">
        <v>619</v>
      </c>
      <c r="D43" s="30" t="s">
        <v>49</v>
      </c>
      <c r="E43" s="30" t="s">
        <v>186</v>
      </c>
      <c r="F43" s="43">
        <v>0</v>
      </c>
      <c r="G43" s="43">
        <v>96</v>
      </c>
      <c r="H43" s="43">
        <v>233111</v>
      </c>
      <c r="I43" s="43">
        <v>233213</v>
      </c>
      <c r="J43" s="30" t="s">
        <v>187</v>
      </c>
      <c r="K43" s="43">
        <v>233491</v>
      </c>
      <c r="L43" s="143" t="s">
        <v>50</v>
      </c>
      <c r="M43" s="144">
        <f t="shared" si="10"/>
        <v>146.78399999999999</v>
      </c>
      <c r="N43" s="145" t="str">
        <f>VLOOKUP(C43,'Trips&amp;Operators'!$C$1:$G$99999,5,FALSE)</f>
        <v>HELVIE ADAM</v>
      </c>
      <c r="O43" s="194" t="s">
        <v>185</v>
      </c>
      <c r="P43" s="146"/>
      <c r="Q43" s="30"/>
      <c r="R43" s="89" t="str">
        <f>IF(VLOOKUP(C43,'Train Runs'!$A$13:$AE$9948,1,1)=C43,VLOOKUP(C43,'Train Runs'!$A$13:$AE$9948,31,1),NA())</f>
        <v>aws s3 cp s3://rtdc.mdm.uploadarchive.raw/RTDC4042/ "%USERPROFILE%\AppData\Local\Temp\OnboardLogs"\RTDC4042\2017-03-22 --exclude "*" --recursive --include "*20170322*" &amp; "%USERPROFILE%\Documents\GitHub\mrs-test-scripts\Headless Mode &amp; Sideloading\WalkAndUnGZ.bat" "%USERPROFILE%\AppData\Local\Temp\OnboardLogs"\RTDC4042\2017-03-22 &amp; aws s3 cp s3://rtdc.mdm.uploadarchive.raw/RTDC4042/ "%USERPROFILE%\AppData\Local\Temp\OnboardLogs"\RTDC4042\2017-03-23 --exclude "*" --recursive --include "*20170323*" &amp; "%USERPROFILE%\Documents\GitHub\mrs-test-scripts\Headless Mode &amp; Sideloading\WalkAndUnGZ.bat" "%USERPROFILE%\AppData\Local\Temp\OnboardLogs"\RTDC4042\2017-03-23</v>
      </c>
      <c r="S43" s="92" t="str">
        <f>VLOOKUP(C43,'Train Runs'!$A$13:$AE$9948,22,0)</f>
        <v>https://d0f6bd738d7f1b3e5a7ca70fe4ff75f0.us-east-1.aws.found.io/app/kibana#/discover/Steve-Slow-Train-Analysis-(2080s-and-2083s)?_g=(refreshInterval:(display:Off,pause:!f,section:0,value:0),time:(from:'2017-03-22T12:26:31-0600',mode:absolute,to:'2017-03-22T15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43" s="94" t="str">
        <f t="shared" si="11"/>
        <v>"C:\Program Files (x86)\AstroGrep\AstroGrep.exe" /e /r /s /spath="%USERPROFILE%\AppData\Local\Temp\OnboardLogs" /stypes="*4042*201703222*" /stext=" 20:.+((SYSTEM_STATE.+slice.+state.+changed )|(ment ac)|(multiple cpu faults)|(system.+state.+changed )|(\[timeout)|(PRM\|1\|D)|(kpr)|(kdp)|(\|lc)|(penalty))"</v>
      </c>
      <c r="U43" s="9" t="str">
        <f t="shared" si="12"/>
        <v>4042</v>
      </c>
      <c r="V43" s="32">
        <f t="shared" si="13"/>
        <v>42816.83734953704</v>
      </c>
      <c r="W43" s="46" t="str">
        <f t="shared" si="14"/>
        <v>EC</v>
      </c>
      <c r="X43" s="46" t="str">
        <f t="shared" si="15"/>
        <v>KEEP</v>
      </c>
      <c r="Y43" s="108" t="str">
        <f t="shared" si="16"/>
        <v>echo {"issue":{"subject":"","project_id":79,"tracker_id":40,"status_id":1,"priority_id":2,"assigned_to_id":23,"start_date":"2017-03-22","description":"","custom_fields":[{"id":1,"name":"Subdivision","value":"EC"},{"id":4,"name":"Milepost","value":"23.3491"},{"id":17,"name":"Train ID","value":"179-22"},{"id":16,"name":"Locomotive ID","value":"4042"},{"id":130,"name":"Impact","value":""},{"id":150,"name":"Time of Event (Mountain Time)","value":"14:05:47"},{"id":151,"name":"Denver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222"/>
      <c r="AA43" s="48"/>
      <c r="AB43" s="48"/>
      <c r="AC43" s="127" t="str">
        <f t="shared" si="17"/>
        <v>grep -hSE -A400 "Enforcement Action" "%USERPROFILE%\AppData\Local\Temp\OnboardLogs"\RTDC4042\*4042*201703222*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"%USERPROFILE%\AppData\Local\Temp\OnboardLogs"\RTDC4042\*4042*201703222* &gt;&gt; 2017-03-22-SliceDisagreementCheck.txt</v>
      </c>
      <c r="AE43" s="157" t="str">
        <f t="shared" si="8"/>
        <v>start /low /b %USERPROFILE%\Documents\GitHub\eaglep3\Utilities\DownloadLogsFromS3.py --loco 4042 --day 2017-03-22</v>
      </c>
      <c r="AF43" s="1"/>
    </row>
    <row r="44" spans="1:32" x14ac:dyDescent="0.25">
      <c r="A44" s="32">
        <v>42816.452210648145</v>
      </c>
      <c r="B44" s="30" t="s">
        <v>505</v>
      </c>
      <c r="C44" s="30" t="s">
        <v>614</v>
      </c>
      <c r="D44" s="30" t="s">
        <v>49</v>
      </c>
      <c r="E44" s="30" t="s">
        <v>193</v>
      </c>
      <c r="F44" s="43">
        <v>0</v>
      </c>
      <c r="G44" s="43">
        <v>287</v>
      </c>
      <c r="H44" s="43">
        <v>11220</v>
      </c>
      <c r="I44" s="43">
        <v>10380</v>
      </c>
      <c r="J44" s="30" t="s">
        <v>194</v>
      </c>
      <c r="K44" s="43">
        <v>10988</v>
      </c>
      <c r="L44" s="143" t="s">
        <v>51</v>
      </c>
      <c r="M44" s="144">
        <f t="shared" si="10"/>
        <v>-321.024</v>
      </c>
      <c r="N44" s="145" t="str">
        <f>VLOOKUP(C44,'Trips&amp;Operators'!$C$1:$G$99999,5,FALSE)</f>
        <v>WILLIAMS DONTE</v>
      </c>
      <c r="O44" s="194" t="s">
        <v>185</v>
      </c>
      <c r="P44" s="146" t="s">
        <v>496</v>
      </c>
      <c r="Q44" s="30"/>
      <c r="R44" s="89" t="str">
        <f>IF(VLOOKUP(C44,'Train Runs'!$A$13:$AE$9948,1,1)=C44,VLOOKUP(C44,'Train Runs'!$A$13:$AE$9948,31,1),NA())</f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S44" s="92" t="str">
        <f>VLOOKUP(C44,'Train Runs'!$A$13:$AE$9948,22,0)</f>
        <v>https://d0f6bd738d7f1b3e5a7ca70fe4ff75f0.us-east-1.aws.found.io/app/kibana#/discover/Steve-Slow-Train-Analysis-(2080s-and-2083s)?_g=(refreshInterval:(display:Off,pause:!f,section:0,value:0),time:(from:'2017-03-22T09:36:58-0600',mode:absolute,to:'2017-03-22T11:56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44" s="94" t="str">
        <f t="shared" si="11"/>
        <v>"C:\Program Files (x86)\AstroGrep\AstroGrep.exe" /e /r /s /spath="%USERPROFILE%\AppData\Local\Temp\OnboardLogs" /stypes="*4008*201703221*" /stext=" 16:.+((SYSTEM_STATE.+slice.+state.+changed )|(ment ac)|(multiple cpu faults)|(system.+state.+changed )|(\[timeout)|(PRM\|1\|D)|(kpr)|(kdp)|(\|lc)|(penalty))"</v>
      </c>
      <c r="U44" s="9" t="str">
        <f t="shared" si="12"/>
        <v>4008</v>
      </c>
      <c r="V44" s="32">
        <f t="shared" si="13"/>
        <v>42816.702210648145</v>
      </c>
      <c r="W44" s="46" t="str">
        <f t="shared" si="14"/>
        <v>NW</v>
      </c>
      <c r="X44" s="46" t="str">
        <f t="shared" si="15"/>
        <v>KEEP</v>
      </c>
      <c r="Y44" s="108" t="str">
        <f t="shared" si="16"/>
        <v>echo {"issue":{"subject":"Early arrival","project_id":79,"tracker_id":40,"status_id":1,"priority_id":2,"assigned_to_id":23,"start_date":"2017-03-22","description":"","custom_fields":[{"id":1,"name":"Subdivision","value":"NW"},{"id":4,"name":"Milepost","value":"1.0988"},{"id":17,"name":"Train ID","value":"816-22"},{"id":16,"name":"Locomotive ID","value":"4008"},{"id":130,"name":"Impact","value":""},{"id":150,"name":"Time of Event (Mountain Time)","value":"10:51:11"},{"id":151,"name":"Denver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222"/>
      <c r="AA44" s="48"/>
      <c r="AB44" s="48"/>
      <c r="AC44" s="127" t="str">
        <f t="shared" si="17"/>
        <v>grep -hSE -A400 "Enforcement Action" "%USERPROFILE%\AppData\Local\Temp\OnboardLogs"\RTDC4008\*4008*201703221*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"%USERPROFILE%\AppData\Local\Temp\OnboardLogs"\RTDC4008\*4008*201703221* &gt;&gt; 2017-03-22-SliceDisagreementCheck.txt</v>
      </c>
      <c r="AE44" s="157" t="str">
        <f t="shared" si="8"/>
        <v>start /low /b %USERPROFILE%\Documents\GitHub\eaglep3\Utilities\DownloadLogsFromS3.py --loco 4008 --day 2017-03-22</v>
      </c>
      <c r="AF44" s="1"/>
    </row>
    <row r="45" spans="1:32" x14ac:dyDescent="0.25">
      <c r="A45" s="32">
        <v>42816.897673611114</v>
      </c>
      <c r="B45" s="30" t="s">
        <v>536</v>
      </c>
      <c r="C45" s="30" t="s">
        <v>642</v>
      </c>
      <c r="D45" s="30" t="s">
        <v>98</v>
      </c>
      <c r="E45" s="30" t="s">
        <v>217</v>
      </c>
      <c r="F45" s="43">
        <v>400</v>
      </c>
      <c r="G45" s="43">
        <v>450</v>
      </c>
      <c r="H45" s="43">
        <v>43402</v>
      </c>
      <c r="I45" s="43">
        <v>44696</v>
      </c>
      <c r="J45" s="30" t="s">
        <v>218</v>
      </c>
      <c r="K45" s="43">
        <v>41797</v>
      </c>
      <c r="L45" s="143" t="s">
        <v>50</v>
      </c>
      <c r="M45" s="144">
        <f t="shared" si="10"/>
        <v>-1530.672</v>
      </c>
      <c r="N45" s="145" t="str">
        <f>VLOOKUP(C45,'Trips&amp;Operators'!$C$1:$G$99999,5,FALSE)</f>
        <v>JACKSON WILLIAM</v>
      </c>
      <c r="O45" s="194" t="s">
        <v>185</v>
      </c>
      <c r="P45" s="146"/>
      <c r="Q45" s="30"/>
      <c r="R45" s="89" t="e">
        <f>IF(VLOOKUP(C45,'Train Runs'!$A$13:$AE$9948,1,1)=C45,VLOOKUP(C45,'Train Runs'!$A$13:$AE$9948,31,1),NA())</f>
        <v>#N/A</v>
      </c>
      <c r="S45" s="92" t="str">
        <f>VLOOKUP(C45,'Train Runs'!$A$13:$AE$9948,22,0)</f>
        <v>https://d0f6bd738d7f1b3e5a7ca70fe4ff75f0.us-east-1.aws.found.io/app/kibana#/discover/Steve-Slow-Train-Analysis-(2080s-and-2083s)?_g=(refreshInterval:(display:Off,pause:!f,section:0,value:0),time:(from:'2017-03-22T20:12:48-0600',mode:absolute,to:'2017-03-22T22:39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45" s="94" t="str">
        <f t="shared" si="11"/>
        <v>"C:\Program Files (x86)\AstroGrep\AstroGrep.exe" /e /r /s /spath="%USERPROFILE%\AppData\Local\Temp\OnboardLogs" /stypes="*4007*201703230*" /stext=" 03:.+((SYSTEM_STATE.+slice.+state.+changed )|(ment ac)|(multiple cpu faults)|(system.+state.+changed )|(\[timeout)|(PRM\|1\|D)|(kpr)|(kdp)|(\|lc)|(penalty))"</v>
      </c>
      <c r="U45" s="9" t="str">
        <f t="shared" si="12"/>
        <v>4007</v>
      </c>
      <c r="V45" s="32">
        <f t="shared" si="13"/>
        <v>42817.147673611114</v>
      </c>
      <c r="W45" s="46" t="str">
        <f t="shared" si="14"/>
        <v>NW</v>
      </c>
      <c r="X45" s="46" t="str">
        <f t="shared" si="15"/>
        <v>KEEP</v>
      </c>
      <c r="Y45" s="108" t="str">
        <f t="shared" si="16"/>
        <v>echo {"issue":{"subject":"","project_id":79,"tracker_id":40,"status_id":1,"priority_id":2,"assigned_to_id":23,"start_date":"2017-03-22","description":"","custom_fields":[{"id":1,"name":"Subdivision","value":"NW"},{"id":4,"name":"Milepost","value":"4.1797"},{"id":17,"name":"Train ID","value":"845-22"},{"id":16,"name":"Locomotive ID","value":"4007"},{"id":130,"name":"Impact","value":""},{"id":150,"name":"Time of Event (Mountain Time)","value":"21:32:39"},{"id":151,"name":"Denver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222"/>
      <c r="AA45" s="48"/>
      <c r="AB45" s="48"/>
      <c r="AC45" s="127" t="str">
        <f t="shared" si="17"/>
        <v>grep -hSE -A400 "Enforcement Action" "%USERPROFILE%\AppData\Local\Temp\OnboardLogs"\RTDC4007\*4007*201703230*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"%USERPROFILE%\AppData\Local\Temp\OnboardLogs"\RTDC4007\*4007*201703230* &gt;&gt; 2017-03-22-SliceDisagreementCheck.txt</v>
      </c>
      <c r="AE45" s="157" t="str">
        <f t="shared" si="8"/>
        <v>start /low /b %USERPROFILE%\Documents\GitHub\eaglep3\Utilities\DownloadLogsFromS3.py --loco 4007 --day 2017-03-23</v>
      </c>
      <c r="AF45" s="1"/>
    </row>
    <row r="46" spans="1:32" x14ac:dyDescent="0.25">
      <c r="A46" s="32">
        <v>42816.32271990741</v>
      </c>
      <c r="B46" s="30" t="s">
        <v>505</v>
      </c>
      <c r="C46" s="30" t="s">
        <v>601</v>
      </c>
      <c r="D46" s="30" t="s">
        <v>98</v>
      </c>
      <c r="E46" s="30" t="s">
        <v>217</v>
      </c>
      <c r="F46" s="43">
        <v>150</v>
      </c>
      <c r="G46" s="43">
        <v>204</v>
      </c>
      <c r="H46" s="43">
        <v>56997</v>
      </c>
      <c r="I46" s="43">
        <v>56593</v>
      </c>
      <c r="J46" s="30" t="s">
        <v>218</v>
      </c>
      <c r="K46" s="43">
        <v>59050</v>
      </c>
      <c r="L46" s="143" t="s">
        <v>51</v>
      </c>
      <c r="M46" s="144">
        <f t="shared" si="10"/>
        <v>-1297.296</v>
      </c>
      <c r="N46" s="145" t="str">
        <f>VLOOKUP(C46,'Trips&amp;Operators'!$C$1:$G$99999,5,FALSE)</f>
        <v>WILLIAMS DONTE</v>
      </c>
      <c r="O46" s="194" t="s">
        <v>185</v>
      </c>
      <c r="P46" s="146"/>
      <c r="Q46" s="30"/>
      <c r="R46" s="89" t="str">
        <f>IF(VLOOKUP(C46,'Train Runs'!$A$13:$AE$9948,1,1)=C46,VLOOKUP(C46,'Train Runs'!$A$13:$AE$9948,31,1),NA())</f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S46" s="92" t="str">
        <f>VLOOKUP(C46,'Train Runs'!$A$13:$AE$9948,22,0)</f>
        <v>https://d0f6bd738d7f1b3e5a7ca70fe4ff75f0.us-east-1.aws.found.io/app/kibana#/discover/Steve-Slow-Train-Analysis-(2080s-and-2083s)?_g=(refreshInterval:(display:Off,pause:!f,section:0,value:0),time:(from:'2017-03-22T06:39:19-0600',mode:absolute,to:'2017-03-22T08:56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46" s="94" t="str">
        <f t="shared" si="11"/>
        <v>"C:\Program Files (x86)\AstroGrep\AstroGrep.exe" /e /r /s /spath="%USERPROFILE%\AppData\Local\Temp\OnboardLogs" /stypes="*4008*201703221*" /stext=" 13:.+((SYSTEM_STATE.+slice.+state.+changed )|(ment ac)|(multiple cpu faults)|(system.+state.+changed )|(\[timeout)|(PRM\|1\|D)|(kpr)|(kdp)|(\|lc)|(penalty))"</v>
      </c>
      <c r="U46" s="9" t="str">
        <f t="shared" si="12"/>
        <v>4008</v>
      </c>
      <c r="V46" s="32">
        <f t="shared" si="13"/>
        <v>42816.57271990741</v>
      </c>
      <c r="W46" s="46" t="str">
        <f t="shared" si="14"/>
        <v>NW</v>
      </c>
      <c r="X46" s="46" t="str">
        <f t="shared" si="15"/>
        <v>KEEP</v>
      </c>
      <c r="Y46" s="108" t="str">
        <f t="shared" si="16"/>
        <v>echo {"issue":{"subject":"","project_id":79,"tracker_id":40,"status_id":1,"priority_id":2,"assigned_to_id":23,"start_date":"2017-03-22","description":"","custom_fields":[{"id":1,"name":"Subdivision","value":"NW"},{"id":4,"name":"Milepost","value":"5.905"},{"id":17,"name":"Train ID","value":"808-22"},{"id":16,"name":"Locomotive ID","value":"4008"},{"id":130,"name":"Impact","value":""},{"id":150,"name":"Time of Event (Mountain Time)","value":"07:44:43"},{"id":151,"name":"Denver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222"/>
      <c r="AA46" s="48"/>
      <c r="AB46" s="48"/>
      <c r="AC46" s="127" t="str">
        <f t="shared" si="17"/>
        <v>grep -hSE -A400 "Enforcement Action" "%USERPROFILE%\AppData\Local\Temp\OnboardLogs"\RTDC4008\*4008*201703221*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"%USERPROFILE%\AppData\Local\Temp\OnboardLogs"\RTDC4008\*4008*201703221* &gt;&gt; 2017-03-22-SliceDisagreementCheck.txt</v>
      </c>
      <c r="AE46" s="157" t="str">
        <f t="shared" si="8"/>
        <v>start /low /b %USERPROFILE%\Documents\GitHub\eaglep3\Utilities\DownloadLogsFromS3.py --loco 4008 --day 2017-03-22</v>
      </c>
      <c r="AF46" s="1"/>
    </row>
    <row r="47" spans="1:32" x14ac:dyDescent="0.25">
      <c r="A47" s="32">
        <v>42816.264548611114</v>
      </c>
      <c r="B47" s="30" t="s">
        <v>403</v>
      </c>
      <c r="C47" s="30" t="s">
        <v>597</v>
      </c>
      <c r="D47" s="30" t="s">
        <v>49</v>
      </c>
      <c r="E47" s="30" t="s">
        <v>357</v>
      </c>
      <c r="F47" s="43">
        <v>0</v>
      </c>
      <c r="G47" s="43">
        <v>328</v>
      </c>
      <c r="H47" s="43">
        <v>8765</v>
      </c>
      <c r="I47" s="43">
        <v>8262</v>
      </c>
      <c r="J47" s="30" t="s">
        <v>358</v>
      </c>
      <c r="K47" s="43">
        <v>6799</v>
      </c>
      <c r="L47" s="143" t="s">
        <v>51</v>
      </c>
      <c r="M47" s="144">
        <f t="shared" si="10"/>
        <v>772.46400000000006</v>
      </c>
      <c r="N47" s="145" t="str">
        <f>VLOOKUP(C47,'Trips&amp;Operators'!$C$1:$G$99999,5,FALSE)</f>
        <v>YORK EDGAR</v>
      </c>
      <c r="O47" s="194" t="s">
        <v>185</v>
      </c>
      <c r="P47" s="146" t="s">
        <v>1058</v>
      </c>
      <c r="Q47" s="30"/>
      <c r="R47" s="89" t="str">
        <f>IF(VLOOKUP(C47,'Train Runs'!$A$13:$AE$9948,1,1)=C47,VLOOKUP(C47,'Train Runs'!$A$13:$AE$9948,31,1),NA())</f>
        <v>aws s3 cp s3://rtdc.mdm.uploadarchive.raw/RTDC4021/ "%USERPROFILE%\AppData\Local\Temp\OnboardLogs"\RTDC4021\2017-03-22 --exclude "*" --recursive --include "*20170322*" &amp; "%USERPROFILE%\Documents\GitHub\mrs-test-scripts\Headless Mode &amp; Sideloading\WalkAndUnGZ.bat" "%USERPROFILE%\AppData\Local\Temp\OnboardLogs"\RTDC4021\2017-03-22 &amp; aws s3 cp s3://rtdc.mdm.uploadarchive.raw/RTDC4021/ "%USERPROFILE%\AppData\Local\Temp\OnboardLogs"\RTDC4021\2017-03-23 --exclude "*" --recursive --include "*20170323*" &amp; "%USERPROFILE%\Documents\GitHub\mrs-test-scripts\Headless Mode &amp; Sideloading\WalkAndUnGZ.bat" "%USERPROFILE%\AppData\Local\Temp\OnboardLogs"\RTDC4021\2017-03-23</v>
      </c>
      <c r="S47" s="92" t="str">
        <f>VLOOKUP(C47,'Train Runs'!$A$13:$AE$9948,22,0)</f>
        <v>https://d0f6bd738d7f1b3e5a7ca70fe4ff75f0.us-east-1.aws.found.io/app/kibana#/discover/Steve-Slow-Train-Analysis-(2080s-and-2083s)?_g=(refreshInterval:(display:Off,pause:!f,section:0,value:0),time:(from:'2017-03-22T05:08:25-0600',mode:absolute,to:'2017-03-22T07:26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47" s="94" t="str">
        <f t="shared" si="11"/>
        <v>"C:\Program Files (x86)\AstroGrep\AstroGrep.exe" /e /r /s /spath="%USERPROFILE%\AppData\Local\Temp\OnboardLogs" /stypes="*4021*201703221*" /stext=" 12:.+((SYSTEM_STATE.+slice.+state.+changed )|(ment ac)|(multiple cpu faults)|(system.+state.+changed )|(\[timeout)|(PRM\|1\|D)|(kpr)|(kdp)|(\|lc)|(penalty))"</v>
      </c>
      <c r="U47" s="9" t="str">
        <f t="shared" si="12"/>
        <v>4021</v>
      </c>
      <c r="V47" s="32">
        <f t="shared" si="13"/>
        <v>42816.514548611114</v>
      </c>
      <c r="W47" s="46" t="str">
        <f t="shared" si="14"/>
        <v>NW</v>
      </c>
      <c r="X47" s="46" t="str">
        <f t="shared" si="15"/>
        <v>KEEP</v>
      </c>
      <c r="Y47" s="108" t="str">
        <f t="shared" si="16"/>
        <v>echo {"issue":{"subject":"RESTRICTING Aspect","project_id":79,"tracker_id":40,"status_id":1,"priority_id":2,"assigned_to_id":23,"start_date":"2017-03-22","description":"","custom_fields":[{"id":1,"name":"Subdivision","value":"NW"},{"id":4,"name":"Milepost","value":"0.6799"},{"id":17,"name":"Train ID","value":"802-22"},{"id":16,"name":"Locomotive ID","value":"4021"},{"id":130,"name":"Impact","value":""},{"id":150,"name":"Time of Event (Mountain Time)","value":"06:20:57"},{"id":151,"name":"Denver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222"/>
      <c r="AA47" s="48"/>
      <c r="AB47" s="48"/>
      <c r="AC47" s="127" t="str">
        <f t="shared" si="17"/>
        <v>grep -hSE -A400 "Enforcement Action" "%USERPROFILE%\AppData\Local\Temp\OnboardLogs"\RTDC4021\*4021*201703221*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"%USERPROFILE%\AppData\Local\Temp\OnboardLogs"\RTDC4021\*4021*201703221* &gt;&gt; 2017-03-22-SliceDisagreementCheck.txt</v>
      </c>
      <c r="AE47" s="157" t="str">
        <f t="shared" si="8"/>
        <v>start /low /b %USERPROFILE%\Documents\GitHub\eaglep3\Utilities\DownloadLogsFromS3.py --loco 4021 --day 2017-03-22</v>
      </c>
      <c r="AF47" s="1"/>
    </row>
    <row r="48" spans="1:32" x14ac:dyDescent="0.25">
      <c r="A48" s="32">
        <v>42816.708020833335</v>
      </c>
      <c r="B48" s="30" t="s">
        <v>404</v>
      </c>
      <c r="C48" s="30" t="s">
        <v>632</v>
      </c>
      <c r="D48" s="30" t="s">
        <v>49</v>
      </c>
      <c r="E48" s="30" t="s">
        <v>357</v>
      </c>
      <c r="F48" s="43">
        <v>0</v>
      </c>
      <c r="G48" s="43">
        <v>107</v>
      </c>
      <c r="H48" s="43">
        <v>26543</v>
      </c>
      <c r="I48" s="43">
        <v>26710</v>
      </c>
      <c r="J48" s="30" t="s">
        <v>358</v>
      </c>
      <c r="K48" s="43">
        <v>26941</v>
      </c>
      <c r="L48" s="143" t="s">
        <v>50</v>
      </c>
      <c r="M48" s="144">
        <f t="shared" si="10"/>
        <v>121.968</v>
      </c>
      <c r="N48" s="145" t="str">
        <f>VLOOKUP(C48,'Trips&amp;Operators'!$C$1:$G$99999,5,FALSE)</f>
        <v>CHANDLER KELVIN</v>
      </c>
      <c r="O48" s="194" t="s">
        <v>185</v>
      </c>
      <c r="P48" s="146" t="s">
        <v>1050</v>
      </c>
      <c r="Q48" s="30"/>
      <c r="R48" s="89" t="str">
        <f>IF(VLOOKUP(C48,'Train Runs'!$A$13:$AE$9948,1,1)=C48,VLOOKUP(C48,'Train Runs'!$A$13:$AE$9948,31,1),NA())</f>
        <v>aws s3 cp s3://rtdc.mdm.uploadarchive.raw/RTDC4022/ "%USERPROFILE%\AppData\Local\Temp\OnboardLogs"\RTDC4022\2017-03-22 --exclude "*" --recursive --include "*20170322*" &amp; "%USERPROFILE%\Documents\GitHub\mrs-test-scripts\Headless Mode &amp; Sideloading\WalkAndUnGZ.bat" "%USERPROFILE%\AppData\Local\Temp\OnboardLogs"\RTDC4022\2017-03-22 &amp; aws s3 cp s3://rtdc.mdm.uploadarchive.raw/RTDC4022/ "%USERPROFILE%\AppData\Local\Temp\OnboardLogs"\RTDC4022\2017-03-23 --exclude "*" --recursive --include "*20170323*" &amp; "%USERPROFILE%\Documents\GitHub\mrs-test-scripts\Headless Mode &amp; Sideloading\WalkAndUnGZ.bat" "%USERPROFILE%\AppData\Local\Temp\OnboardLogs"\RTDC4022\2017-03-23</v>
      </c>
      <c r="S48" s="92" t="str">
        <f>VLOOKUP(C48,'Train Runs'!$A$13:$AE$9948,22,0)</f>
        <v>https://d0f6bd738d7f1b3e5a7ca70fe4ff75f0.us-east-1.aws.found.io/app/kibana#/discover/Steve-Slow-Train-Analysis-(2080s-and-2083s)?_g=(refreshInterval:(display:Off,pause:!f,section:0,value:0),time:(from:'2017-03-22T15:49:20-0600',mode:absolute,to:'2017-03-22T17:59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48" s="94" t="str">
        <f t="shared" si="11"/>
        <v>"C:\Program Files (x86)\AstroGrep\AstroGrep.exe" /e /r /s /spath="%USERPROFILE%\AppData\Local\Temp\OnboardLogs" /stypes="*4022*201703222*" /stext=" 22:.+((SYSTEM_STATE.+slice.+state.+changed )|(ment ac)|(multiple cpu faults)|(system.+state.+changed )|(\[timeout)|(PRM\|1\|D)|(kpr)|(kdp)|(\|lc)|(penalty))"</v>
      </c>
      <c r="U48" s="9" t="str">
        <f t="shared" si="12"/>
        <v>4022</v>
      </c>
      <c r="V48" s="32">
        <f t="shared" si="13"/>
        <v>42816.958020833335</v>
      </c>
      <c r="W48" s="46" t="str">
        <f t="shared" si="14"/>
        <v>NW</v>
      </c>
      <c r="X48" s="46" t="str">
        <f t="shared" si="15"/>
        <v>KEEP</v>
      </c>
      <c r="Y48" s="108" t="str">
        <f t="shared" si="16"/>
        <v>echo {"issue":{"subject":"Planned maintenance - CRMF Pocket ELXS offline from 03/22/2017 14:28:58 - 18:08:16","project_id":79,"tracker_id":40,"status_id":1,"priority_id":2,"assigned_to_id":23,"start_date":"2017-03-22","description":"","custom_fields":[{"id":1,"name":"Subdivision","value":"NW"},{"id":4,"name":"Milepost","value":"2.6941"},{"id":17,"name":"Train ID","value":"831-22"},{"id":16,"name":"Locomotive ID","value":"4022"},{"id":130,"name":"Impact","value":""},{"id":150,"name":"Time of Event (Mountain Time)","value":"16:59:33"},{"id":151,"name":"Denver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222"/>
      <c r="AA48" s="48"/>
      <c r="AB48" s="48"/>
      <c r="AC48" s="127" t="str">
        <f t="shared" si="17"/>
        <v>grep -hSE -A400 "Enforcement Action" "%USERPROFILE%\AppData\Local\Temp\OnboardLogs"\RTDC4022\*4022*201703222*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"%USERPROFILE%\AppData\Local\Temp\OnboardLogs"\RTDC4022\*4022*201703222* &gt;&gt; 2017-03-22-SliceDisagreementCheck.txt</v>
      </c>
      <c r="AE48" s="157" t="str">
        <f t="shared" si="8"/>
        <v>start /low /b %USERPROFILE%\Documents\GitHub\eaglep3\Utilities\DownloadLogsFromS3.py --loco 4022 --day 2017-03-22</v>
      </c>
      <c r="AF48" s="1"/>
    </row>
    <row r="49" spans="1:32" x14ac:dyDescent="0.25">
      <c r="A49" s="32">
        <v>42816.700254629628</v>
      </c>
      <c r="B49" s="30" t="s">
        <v>505</v>
      </c>
      <c r="C49" s="30" t="s">
        <v>630</v>
      </c>
      <c r="D49" s="30" t="s">
        <v>49</v>
      </c>
      <c r="E49" s="30" t="s">
        <v>357</v>
      </c>
      <c r="F49" s="43">
        <v>0</v>
      </c>
      <c r="G49" s="43">
        <v>252</v>
      </c>
      <c r="H49" s="43">
        <v>28199</v>
      </c>
      <c r="I49" s="43">
        <v>27697</v>
      </c>
      <c r="J49" s="30" t="s">
        <v>358</v>
      </c>
      <c r="K49" s="43">
        <v>27253</v>
      </c>
      <c r="L49" s="143" t="s">
        <v>51</v>
      </c>
      <c r="M49" s="144">
        <f t="shared" si="10"/>
        <v>234.43199999999999</v>
      </c>
      <c r="N49" s="145" t="str">
        <f>VLOOKUP(C49,'Trips&amp;Operators'!$C$1:$G$99999,5,FALSE)</f>
        <v>FORTUNATO FRANK</v>
      </c>
      <c r="O49" s="194" t="s">
        <v>185</v>
      </c>
      <c r="P49" s="146" t="s">
        <v>1050</v>
      </c>
      <c r="Q49" s="30"/>
      <c r="R49" s="89" t="str">
        <f>IF(VLOOKUP(C49,'Train Runs'!$A$13:$AE$9948,1,1)=C49,VLOOKUP(C49,'Train Runs'!$A$13:$AE$9948,31,1),NA())</f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S49" s="92" t="str">
        <f>VLOOKUP(C49,'Train Runs'!$A$13:$AE$9948,22,0)</f>
        <v>https://d0f6bd738d7f1b3e5a7ca70fe4ff75f0.us-east-1.aws.found.io/app/kibana#/discover/Steve-Slow-Train-Analysis-(2080s-and-2083s)?_g=(refreshInterval:(display:Off,pause:!f,section:0,value:0),time:(from:'2017-03-22T15:38:45-0600',mode:absolute,to:'2017-03-22T17:48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49" s="94" t="str">
        <f t="shared" si="11"/>
        <v>"C:\Program Files (x86)\AstroGrep\AstroGrep.exe" /e /r /s /spath="%USERPROFILE%\AppData\Local\Temp\OnboardLogs" /stypes="*4008*201703222*" /stext=" 22:.+((SYSTEM_STATE.+slice.+state.+changed )|(ment ac)|(multiple cpu faults)|(system.+state.+changed )|(\[timeout)|(PRM\|1\|D)|(kpr)|(kdp)|(\|lc)|(penalty))"</v>
      </c>
      <c r="U49" s="9" t="str">
        <f t="shared" si="12"/>
        <v>4008</v>
      </c>
      <c r="V49" s="32">
        <f t="shared" si="13"/>
        <v>42816.950254629628</v>
      </c>
      <c r="W49" s="46" t="str">
        <f t="shared" si="14"/>
        <v>NW</v>
      </c>
      <c r="X49" s="46" t="str">
        <f t="shared" si="15"/>
        <v>KEEP</v>
      </c>
      <c r="Y49" s="108" t="str">
        <f t="shared" si="16"/>
        <v>echo {"issue":{"subject":"Planned maintenance - CRMF Pocket ELXS offline from 03/22/2017 14:28:58 - 18:08:16","project_id":79,"tracker_id":40,"status_id":1,"priority_id":2,"assigned_to_id":23,"start_date":"2017-03-22","description":"","custom_fields":[{"id":1,"name":"Subdivision","value":"NW"},{"id":4,"name":"Milepost","value":"2.7253"},{"id":17,"name":"Train ID","value":"830-22"},{"id":16,"name":"Locomotive ID","value":"4008"},{"id":130,"name":"Impact","value":""},{"id":150,"name":"Time of Event (Mountain Time)","value":"16:48:22"},{"id":151,"name":"Denver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222"/>
      <c r="AA49" s="48"/>
      <c r="AB49" s="48"/>
      <c r="AC49" s="127" t="str">
        <f t="shared" si="17"/>
        <v>grep -hSE -A400 "Enforcement Action" "%USERPROFILE%\AppData\Local\Temp\OnboardLogs"\RTDC4008\*4008*201703222*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"%USERPROFILE%\AppData\Local\Temp\OnboardLogs"\RTDC4008\*4008*201703222* &gt;&gt; 2017-03-22-SliceDisagreementCheck.txt</v>
      </c>
      <c r="AE49" s="157" t="str">
        <f t="shared" si="8"/>
        <v>start /low /b %USERPROFILE%\Documents\GitHub\eaglep3\Utilities\DownloadLogsFromS3.py --loco 4008 --day 2017-03-22</v>
      </c>
      <c r="AF49" s="1"/>
    </row>
    <row r="50" spans="1:32" x14ac:dyDescent="0.25">
      <c r="A50" s="32">
        <v>42816.311840277776</v>
      </c>
      <c r="B50" s="30" t="s">
        <v>536</v>
      </c>
      <c r="C50" s="30" t="s">
        <v>600</v>
      </c>
      <c r="D50" s="30" t="s">
        <v>49</v>
      </c>
      <c r="E50" s="30" t="s">
        <v>357</v>
      </c>
      <c r="F50" s="43">
        <v>0</v>
      </c>
      <c r="G50" s="43">
        <v>413</v>
      </c>
      <c r="H50" s="43">
        <v>33590</v>
      </c>
      <c r="I50" s="43">
        <v>34665</v>
      </c>
      <c r="J50" s="30" t="s">
        <v>358</v>
      </c>
      <c r="K50" s="43">
        <v>34583</v>
      </c>
      <c r="L50" s="143" t="s">
        <v>50</v>
      </c>
      <c r="M50" s="144">
        <f t="shared" si="10"/>
        <v>-43.296000000000006</v>
      </c>
      <c r="N50" s="145" t="str">
        <f>VLOOKUP(C50,'Trips&amp;Operators'!$C$1:$G$99999,5,FALSE)</f>
        <v>WILLIAMS DONTE</v>
      </c>
      <c r="O50" s="194" t="s">
        <v>359</v>
      </c>
      <c r="P50" s="146" t="s">
        <v>494</v>
      </c>
      <c r="Q50" s="30"/>
      <c r="R50" s="89" t="str">
        <f>IF(VLOOKUP(C50,'Train Runs'!$A$13:$AE$9948,1,1)=C50,VLOOKUP(C50,'Train Runs'!$A$13:$AE$9948,31,1),NA())</f>
        <v>aws s3 cp s3://rtdc.mdm.uploadarchive.raw/RTDC4007/ "%USERPROFILE%\AppData\Local\Temp\OnboardLogs"\RTDC4007\2017-03-22 --exclude "*" --recursive --include "*20170322*" &amp; "%USERPROFILE%\Documents\GitHub\mrs-test-scripts\Headless Mode &amp; Sideloading\WalkAndUnGZ.bat" "%USERPROFILE%\AppData\Local\Temp\OnboardLogs"\RTDC4007\2017-03-22 &amp; aws s3 cp s3://rtdc.mdm.uploadarchive.raw/RTDC4007/ "%USERPROFILE%\AppData\Local\Temp\OnboardLogs"\RTDC4007\2017-03-23 --exclude "*" --recursive --include "*20170323*" &amp; "%USERPROFILE%\Documents\GitHub\mrs-test-scripts\Headless Mode &amp; Sideloading\WalkAndUnGZ.bat" "%USERPROFILE%\AppData\Local\Temp\OnboardLogs"\RTDC4007\2017-03-23</v>
      </c>
      <c r="S50" s="92" t="str">
        <f>VLOOKUP(C50,'Train Runs'!$A$13:$AE$9948,22,0)</f>
        <v>https://d0f6bd738d7f1b3e5a7ca70fe4ff75f0.us-east-1.aws.found.io/app/kibana#/discover/Steve-Slow-Train-Analysis-(2080s-and-2083s)?_g=(refreshInterval:(display:Off,pause:!f,section:0,value:0),time:(from:'2017-03-22T06:18:17-0600',mode:absolute,to:'2017-03-22T08:31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50" s="94" t="str">
        <f t="shared" si="11"/>
        <v>"C:\Program Files (x86)\AstroGrep\AstroGrep.exe" /e /r /s /spath="%USERPROFILE%\AppData\Local\Temp\OnboardLogs" /stypes="*4007*201703221*" /stext=" 13:.+((SYSTEM_STATE.+slice.+state.+changed )|(ment ac)|(multiple cpu faults)|(system.+state.+changed )|(\[timeout)|(PRM\|1\|D)|(kpr)|(kdp)|(\|lc)|(penalty))"</v>
      </c>
      <c r="U50" s="9" t="str">
        <f t="shared" si="12"/>
        <v>4007</v>
      </c>
      <c r="V50" s="32">
        <f t="shared" si="13"/>
        <v>42816.561840277776</v>
      </c>
      <c r="W50" s="46" t="str">
        <f t="shared" si="14"/>
        <v>NW</v>
      </c>
      <c r="X50" s="46" t="str">
        <f t="shared" si="15"/>
        <v>KEEP</v>
      </c>
      <c r="Y50" s="108" t="str">
        <f t="shared" si="16"/>
        <v>echo {"issue":{"subject":"Wi-MAX data drop","project_id":79,"tracker_id":40,"status_id":1,"priority_id":2,"assigned_to_id":23,"start_date":"2017-03-22","description":"http://stevetu21.github.io/eaglep3/load_kml.html?kml=http://rtdc.gmaps-snips.s3.amazonaws.com/06f65237-91a7-4479-8381-82b74fcee002.kml","custom_fields":[{"id":1,"name":"Subdivision","value":"NW"},{"id":4,"name":"Milepost","value":"3.4583"},{"id":17,"name":"Train ID","value":"807-22"},{"id":16,"name":"Locomotive ID","value":"4007"},{"id":130,"name":"Impact","value":"Enforcement"},{"id":150,"name":"Time of Event (Mountain Time)","value":"07:29:03"},{"id":151,"name":"Denver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50" t="s">
        <v>1048</v>
      </c>
      <c r="AA50" s="48" t="s">
        <v>124</v>
      </c>
      <c r="AB50" s="48" t="s">
        <v>137</v>
      </c>
      <c r="AC50" s="127" t="str">
        <f t="shared" si="17"/>
        <v>grep -hSE -A400 "Enforcement Action" "%USERPROFILE%\AppData\Local\Temp\OnboardLogs"\RTDC4007\*4007*201703221*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"%USERPROFILE%\AppData\Local\Temp\OnboardLogs"\RTDC4007\*4007*201703221* &gt;&gt; 2017-03-22-SliceDisagreementCheck.txt</v>
      </c>
      <c r="AE50" s="157" t="str">
        <f t="shared" si="8"/>
        <v>start /low /b %USERPROFILE%\Documents\GitHub\eaglep3\Utilities\DownloadLogsFromS3.py --loco 4007 --day 2017-03-22</v>
      </c>
      <c r="AF50" s="1"/>
    </row>
    <row r="51" spans="1:32" x14ac:dyDescent="0.25">
      <c r="A51" s="32">
        <v>42816.744189814817</v>
      </c>
      <c r="B51" s="30" t="s">
        <v>505</v>
      </c>
      <c r="C51" s="30" t="s">
        <v>634</v>
      </c>
      <c r="D51" s="30" t="s">
        <v>98</v>
      </c>
      <c r="E51" s="30" t="s">
        <v>626</v>
      </c>
      <c r="F51" s="43">
        <v>0</v>
      </c>
      <c r="G51" s="43">
        <v>274</v>
      </c>
      <c r="H51" s="43">
        <v>22868</v>
      </c>
      <c r="I51" s="43">
        <v>22161</v>
      </c>
      <c r="J51" s="30" t="s">
        <v>627</v>
      </c>
      <c r="K51" s="43">
        <v>24235</v>
      </c>
      <c r="L51" s="143" t="s">
        <v>51</v>
      </c>
      <c r="M51" s="144">
        <f t="shared" si="10"/>
        <v>-1095.0719999999999</v>
      </c>
      <c r="N51" s="145" t="str">
        <f>VLOOKUP(C51,'Trips&amp;Operators'!$C$1:$G$99999,5,FALSE)</f>
        <v>FORTUNATO FRANK</v>
      </c>
      <c r="O51" s="194" t="s">
        <v>185</v>
      </c>
      <c r="P51" s="146" t="s">
        <v>1050</v>
      </c>
      <c r="Q51" s="30"/>
      <c r="R51" s="89" t="str">
        <f>IF(VLOOKUP(C51,'Train Runs'!$A$13:$AE$9948,1,1)=C51,VLOOKUP(C51,'Train Runs'!$A$13:$AE$9948,31,1),NA())</f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S51" s="92" t="str">
        <f>VLOOKUP(C51,'Train Runs'!$A$13:$AE$9948,22,0)</f>
        <v>https://d0f6bd738d7f1b3e5a7ca70fe4ff75f0.us-east-1.aws.found.io/app/kibana#/discover/Steve-Slow-Train-Analysis-(2080s-and-2083s)?_g=(refreshInterval:(display:Off,pause:!f,section:0,value:0),time:(from:'2017-03-22T16:39:40-0600',mode:absolute,to:'2017-03-22T18:48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51" s="94" t="str">
        <f t="shared" si="11"/>
        <v>"C:\Program Files (x86)\AstroGrep\AstroGrep.exe" /e /r /s /spath="%USERPROFILE%\AppData\Local\Temp\OnboardLogs" /stypes="*4008*201703222*" /stext=" 23:.+((SYSTEM_STATE.+slice.+state.+changed )|(ment ac)|(multiple cpu faults)|(system.+state.+changed )|(\[timeout)|(PRM\|1\|D)|(kpr)|(kdp)|(\|lc)|(penalty))"</v>
      </c>
      <c r="U51" s="9" t="str">
        <f t="shared" si="12"/>
        <v>4008</v>
      </c>
      <c r="V51" s="32">
        <f t="shared" si="13"/>
        <v>42816.994189814817</v>
      </c>
      <c r="W51" s="46" t="str">
        <f t="shared" si="14"/>
        <v>NW</v>
      </c>
      <c r="X51" s="46" t="str">
        <f t="shared" si="15"/>
        <v>KEEP</v>
      </c>
      <c r="Y51" s="108" t="str">
        <f t="shared" si="16"/>
        <v>echo {"issue":{"subject":"Planned maintenance - CRMF Pocket ELXS offline from 03/22/2017 14:28:58 - 18:08:16","project_id":79,"tracker_id":40,"status_id":1,"priority_id":2,"assigned_to_id":23,"start_date":"2017-03-22","description":"","custom_fields":[{"id":1,"name":"Subdivision","value":"NW"},{"id":4,"name":"Milepost","value":"2.4235"},{"id":17,"name":"Train ID","value":"834-22"},{"id":16,"name":"Locomotive ID","value":"4008"},{"id":130,"name":"Impact","value":""},{"id":150,"name":"Time of Event (Mountain Time)","value":"17:51:38"},{"id":151,"name":"Denver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222"/>
      <c r="AA51" s="48"/>
      <c r="AB51" s="48"/>
      <c r="AC51" s="127" t="str">
        <f t="shared" si="17"/>
        <v>grep -hSE -A400 "Enforcement Action" "%USERPROFILE%\AppData\Local\Temp\OnboardLogs"\RTDC4008\*4008*201703222* | grep -SE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"%USERPROFILE%\AppData\Local\Temp\OnboardLogs"\RTDC4008\*4008*201703222* &gt;&gt; 2017-03-22-SliceDisagreementCheck.txt</v>
      </c>
      <c r="AE51" s="157" t="str">
        <f t="shared" si="8"/>
        <v>start /low /b %USERPROFILE%\Documents\GitHub\eaglep3\Utilities\DownloadLogsFromS3.py --loco 4008 --day 2017-03-22</v>
      </c>
      <c r="AF51" s="1"/>
    </row>
    <row r="52" spans="1:32" x14ac:dyDescent="0.25">
      <c r="A52" s="32">
        <v>42816.331064814818</v>
      </c>
      <c r="B52" s="30" t="s">
        <v>505</v>
      </c>
      <c r="C52" s="30" t="s">
        <v>601</v>
      </c>
      <c r="D52" s="30" t="s">
        <v>49</v>
      </c>
      <c r="E52" s="30" t="s">
        <v>186</v>
      </c>
      <c r="F52" s="43">
        <v>0</v>
      </c>
      <c r="G52" s="43">
        <v>55</v>
      </c>
      <c r="H52" s="43">
        <v>769</v>
      </c>
      <c r="I52" s="43">
        <v>734</v>
      </c>
      <c r="J52" s="30" t="s">
        <v>187</v>
      </c>
      <c r="K52" s="43">
        <v>575</v>
      </c>
      <c r="L52" s="143" t="s">
        <v>51</v>
      </c>
      <c r="M52" s="144">
        <f t="shared" si="10"/>
        <v>83.951999999999998</v>
      </c>
      <c r="N52" s="145" t="str">
        <f>VLOOKUP(C52,'Trips&amp;Operators'!$C$1:$G$99999,5,FALSE)</f>
        <v>WILLIAMS DONTE</v>
      </c>
      <c r="O52" s="194" t="s">
        <v>185</v>
      </c>
      <c r="P52" s="146"/>
      <c r="Q52" s="30"/>
      <c r="R52" s="89" t="str">
        <f>IF(VLOOKUP(C52,'Train Runs'!$A$13:$AE$9948,1,1)=C52,VLOOKUP(C52,'Train Runs'!$A$13:$AE$9948,31,1),NA())</f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S52" s="92" t="str">
        <f>VLOOKUP(C52,'Train Runs'!$A$13:$AE$9948,22,0)</f>
        <v>https://d0f6bd738d7f1b3e5a7ca70fe4ff75f0.us-east-1.aws.found.io/app/kibana#/discover/Steve-Slow-Train-Analysis-(2080s-and-2083s)?_g=(refreshInterval:(display:Off,pause:!f,section:0,value:0),time:(from:'2017-03-22T06:39:19-0600',mode:absolute,to:'2017-03-22T08:56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52" s="94" t="str">
        <f t="shared" si="11"/>
        <v>"C:\Program Files (x86)\AstroGrep\AstroGrep.exe" /e /r /s /spath="%USERPROFILE%\AppData\Local\Temp\OnboardLogs" /stypes="*4008*201703221*" /stext=" 13:.+((SYSTEM_STATE.+slice.+state.+changed )|(ment ac)|(multiple cpu faults)|(system.+state.+changed )|(\[timeout)|(PRM\|1\|D)|(kpr)|(kdp)|(\|lc)|(penalty))"</v>
      </c>
      <c r="U52" s="9" t="str">
        <f t="shared" si="12"/>
        <v>4008</v>
      </c>
      <c r="V52" s="32">
        <f t="shared" si="13"/>
        <v>42816.581064814818</v>
      </c>
      <c r="W52" s="46" t="str">
        <f t="shared" si="14"/>
        <v>NW</v>
      </c>
      <c r="X52" s="46" t="str">
        <f t="shared" si="15"/>
        <v>KEEP</v>
      </c>
      <c r="Y52" s="108" t="str">
        <f t="shared" si="16"/>
        <v>echo {"issue":{"subject":"","project_id":79,"tracker_id":40,"status_id":1,"priority_id":2,"assigned_to_id":23,"start_date":"2017-03-22","description":"","custom_fields":[{"id":1,"name":"Subdivision","value":"NW"},{"id":4,"name":"Milepost","value":"0.0575"},{"id":17,"name":"Train ID","value":"808-22"},{"id":16,"name":"Locomotive ID","value":"4008"},{"id":130,"name":"Impact","value":""},{"id":150,"name":"Time of Event (Mountain Time)","value":"07:56:44"},{"id":151,"name":"Denver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222"/>
      <c r="AA52" s="48"/>
      <c r="AB52" s="48"/>
      <c r="AC52" s="127" t="str">
        <f t="shared" si="17"/>
        <v>grep -hSE -A400 "Enforcement Action" "%USERPROFILE%\AppData\Local\Temp\OnboardLogs"\RTDC4008\*4008*201703221* | grep -SE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"%USERPROFILE%\AppData\Local\Temp\OnboardLogs"\RTDC4008\*4008*201703221* &gt;&gt; 2017-03-22-SliceDisagreementCheck.txt</v>
      </c>
      <c r="AE52" s="157" t="str">
        <f t="shared" si="8"/>
        <v>start /low /b %USERPROFILE%\Documents\GitHub\eaglep3\Utilities\DownloadLogsFromS3.py --loco 4008 --day 2017-03-22</v>
      </c>
      <c r="AF52" s="1"/>
    </row>
    <row r="53" spans="1:32" x14ac:dyDescent="0.25">
      <c r="A53" s="32">
        <v>42816.831655092596</v>
      </c>
      <c r="B53" s="30" t="s">
        <v>505</v>
      </c>
      <c r="C53" s="30" t="s">
        <v>640</v>
      </c>
      <c r="D53" s="30" t="s">
        <v>49</v>
      </c>
      <c r="E53" s="30" t="s">
        <v>186</v>
      </c>
      <c r="F53" s="43">
        <v>0</v>
      </c>
      <c r="G53" s="43">
        <v>44</v>
      </c>
      <c r="H53" s="43">
        <v>720</v>
      </c>
      <c r="I53" s="43">
        <v>684</v>
      </c>
      <c r="J53" s="30" t="s">
        <v>187</v>
      </c>
      <c r="K53" s="43">
        <v>575</v>
      </c>
      <c r="L53" s="143" t="s">
        <v>51</v>
      </c>
      <c r="M53" s="144">
        <f t="shared" si="10"/>
        <v>57.552</v>
      </c>
      <c r="N53" s="145" t="str">
        <f>VLOOKUP(C53,'Trips&amp;Operators'!$C$1:$G$99999,5,FALSE)</f>
        <v>FORTUNATO FRANK</v>
      </c>
      <c r="O53" s="194" t="s">
        <v>185</v>
      </c>
      <c r="P53" s="146"/>
      <c r="Q53" s="30"/>
      <c r="R53" s="89" t="str">
        <f>IF(VLOOKUP(C53,'Train Runs'!$A$13:$AE$9948,1,1)=C53,VLOOKUP(C53,'Train Runs'!$A$13:$AE$9948,31,1),NA())</f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S53" s="92" t="str">
        <f>VLOOKUP(C53,'Train Runs'!$A$13:$AE$9948,22,0)</f>
        <v>https://d0f6bd738d7f1b3e5a7ca70fe4ff75f0.us-east-1.aws.found.io/app/kibana#/discover/Steve-Slow-Train-Analysis-(2080s-and-2083s)?_g=(refreshInterval:(display:Off,pause:!f,section:0,value:0),time:(from:'2017-03-22T18:36:52-0600',mode:absolute,to:'2017-03-22T20:57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53" s="94" t="str">
        <f t="shared" si="11"/>
        <v>"C:\Program Files (x86)\AstroGrep\AstroGrep.exe" /e /r /s /spath="%USERPROFILE%\AppData\Local\Temp\OnboardLogs" /stypes="*4008*201703230*" /stext=" 01:.+((SYSTEM_STATE.+slice.+state.+changed )|(ment ac)|(multiple cpu faults)|(system.+state.+changed )|(\[timeout)|(PRM\|1\|D)|(kpr)|(kdp)|(\|lc)|(penalty))"</v>
      </c>
      <c r="U53" s="9" t="str">
        <f t="shared" si="12"/>
        <v>4008</v>
      </c>
      <c r="V53" s="32">
        <f t="shared" si="13"/>
        <v>42817.081655092596</v>
      </c>
      <c r="W53" s="46" t="str">
        <f t="shared" si="14"/>
        <v>NW</v>
      </c>
      <c r="X53" s="46" t="str">
        <f t="shared" si="15"/>
        <v>KEEP</v>
      </c>
      <c r="Y53" s="108" t="str">
        <f t="shared" si="16"/>
        <v>echo {"issue":{"subject":"","project_id":79,"tracker_id":40,"status_id":1,"priority_id":2,"assigned_to_id":23,"start_date":"2017-03-22","description":"","custom_fields":[{"id":1,"name":"Subdivision","value":"NW"},{"id":4,"name":"Milepost","value":"0.0575"},{"id":17,"name":"Train ID","value":"840-22"},{"id":16,"name":"Locomotive ID","value":"4008"},{"id":130,"name":"Impact","value":""},{"id":150,"name":"Time of Event (Mountain Time)","value":"19:57:35"},{"id":151,"name":"Denver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222"/>
      <c r="AA53" s="48"/>
      <c r="AB53" s="48"/>
      <c r="AC53" s="127" t="str">
        <f t="shared" si="17"/>
        <v>grep -hSE -A400 "Enforcement Action" "%USERPROFILE%\AppData\Local\Temp\OnboardLogs"\RTDC4008\*4008*201703230* | grep -SE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"%USERPROFILE%\AppData\Local\Temp\OnboardLogs"\RTDC4008\*4008*201703230* &gt;&gt; 2017-03-22-SliceDisagreementCheck.txt</v>
      </c>
      <c r="AE53" s="157" t="str">
        <f t="shared" si="8"/>
        <v>start /low /b %USERPROFILE%\Documents\GitHub\eaglep3\Utilities\DownloadLogsFromS3.py --loco 4008 --day 2017-03-23</v>
      </c>
      <c r="AF53" s="1"/>
    </row>
    <row r="54" spans="1:32" x14ac:dyDescent="0.25">
      <c r="A54" s="32">
        <v>42816.607523148145</v>
      </c>
      <c r="B54" s="30" t="s">
        <v>536</v>
      </c>
      <c r="C54" s="30" t="s">
        <v>622</v>
      </c>
      <c r="D54" s="30" t="s">
        <v>49</v>
      </c>
      <c r="E54" s="30" t="s">
        <v>186</v>
      </c>
      <c r="F54" s="43">
        <v>0</v>
      </c>
      <c r="G54" s="43">
        <v>58</v>
      </c>
      <c r="H54" s="43">
        <v>58843</v>
      </c>
      <c r="I54" s="43">
        <v>58884</v>
      </c>
      <c r="J54" s="30" t="s">
        <v>187</v>
      </c>
      <c r="K54" s="43">
        <v>59048</v>
      </c>
      <c r="L54" s="143" t="s">
        <v>50</v>
      </c>
      <c r="M54" s="144">
        <f t="shared" si="10"/>
        <v>86.592000000000013</v>
      </c>
      <c r="N54" s="145" t="str">
        <f>VLOOKUP(C54,'Trips&amp;Operators'!$C$1:$G$99999,5,FALSE)</f>
        <v>FORTUNATO FRANK</v>
      </c>
      <c r="O54" s="194" t="s">
        <v>185</v>
      </c>
      <c r="P54" s="146"/>
      <c r="Q54" s="30"/>
      <c r="R54" s="89" t="str">
        <f>IF(VLOOKUP(C54,'Train Runs'!$A$13:$AE$9948,1,1)=C54,VLOOKUP(C54,'Train Runs'!$A$13:$AE$9948,31,1),NA())</f>
        <v>aws s3 cp s3://rtdc.mdm.uploadarchive.raw/RTDC4007/ "%USERPROFILE%\AppData\Local\Temp\OnboardLogs"\RTDC4007\2017-03-22 --exclude "*" --recursive --include "*20170322*" &amp; "%USERPROFILE%\Documents\GitHub\mrs-test-scripts\Headless Mode &amp; Sideloading\WalkAndUnGZ.bat" "%USERPROFILE%\AppData\Local\Temp\OnboardLogs"\RTDC4007\2017-03-22 &amp; aws s3 cp s3://rtdc.mdm.uploadarchive.raw/RTDC4007/ "%USERPROFILE%\AppData\Local\Temp\OnboardLogs"\RTDC4007\2017-03-23 --exclude "*" --recursive --include "*20170323*" &amp; "%USERPROFILE%\Documents\GitHub\mrs-test-scripts\Headless Mode &amp; Sideloading\WalkAndUnGZ.bat" "%USERPROFILE%\AppData\Local\Temp\OnboardLogs"\RTDC4007\2017-03-23</v>
      </c>
      <c r="S54" s="92" t="str">
        <f>VLOOKUP(C54,'Train Runs'!$A$13:$AE$9948,22,0)</f>
        <v>https://d0f6bd738d7f1b3e5a7ca70fe4ff75f0.us-east-1.aws.found.io/app/kibana#/discover/Steve-Slow-Train-Analysis-(2080s-and-2083s)?_g=(refreshInterval:(display:Off,pause:!f,section:0,value:0),time:(from:'2017-03-22T13:15:31-0600',mode:absolute,to:'2017-03-22T15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54" s="94" t="str">
        <f t="shared" si="11"/>
        <v>"C:\Program Files (x86)\AstroGrep\AstroGrep.exe" /e /r /s /spath="%USERPROFILE%\AppData\Local\Temp\OnboardLogs" /stypes="*4007*201703222*" /stext=" 20:.+((SYSTEM_STATE.+slice.+state.+changed )|(ment ac)|(multiple cpu faults)|(system.+state.+changed )|(\[timeout)|(PRM\|1\|D)|(kpr)|(kdp)|(\|lc)|(penalty))"</v>
      </c>
      <c r="U54" s="9" t="str">
        <f t="shared" si="12"/>
        <v>4007</v>
      </c>
      <c r="V54" s="32">
        <f t="shared" si="13"/>
        <v>42816.857523148145</v>
      </c>
      <c r="W54" s="46" t="str">
        <f t="shared" si="14"/>
        <v>NW</v>
      </c>
      <c r="X54" s="46" t="str">
        <f t="shared" si="15"/>
        <v>KEEP</v>
      </c>
      <c r="Y54" s="108" t="str">
        <f t="shared" si="16"/>
        <v>echo {"issue":{"subject":"","project_id":79,"tracker_id":40,"status_id":1,"priority_id":2,"assigned_to_id":23,"start_date":"2017-03-22","description":"","custom_fields":[{"id":1,"name":"Subdivision","value":"NW"},{"id":4,"name":"Milepost","value":"5.9048"},{"id":17,"name":"Train ID","value":"823-22"},{"id":16,"name":"Locomotive ID","value":"4007"},{"id":130,"name":"Impact","value":""},{"id":150,"name":"Time of Event (Mountain Time)","value":"14:34:50"},{"id":151,"name":"Denver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222"/>
      <c r="AA54" s="48"/>
      <c r="AB54" s="48"/>
      <c r="AC54" s="127" t="str">
        <f t="shared" si="17"/>
        <v>grep -hSE -A400 "Enforcement Action" "%USERPROFILE%\AppData\Local\Temp\OnboardLogs"\RTDC4007\*4007*201703222* | grep -SE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"%USERPROFILE%\AppData\Local\Temp\OnboardLogs"\RTDC4007\*4007*201703222* &gt;&gt; 2017-03-22-SliceDisagreementCheck.txt</v>
      </c>
      <c r="AE54" s="157" t="str">
        <f t="shared" si="8"/>
        <v>start /low /b %USERPROFILE%\Documents\GitHub\eaglep3\Utilities\DownloadLogsFromS3.py --loco 4007 --day 2017-03-22</v>
      </c>
      <c r="AF54" s="1"/>
    </row>
    <row r="55" spans="1:32" x14ac:dyDescent="0.25">
      <c r="A55" s="32">
        <v>42816.673993055556</v>
      </c>
      <c r="B55" s="30" t="s">
        <v>404</v>
      </c>
      <c r="C55" s="30" t="s">
        <v>628</v>
      </c>
      <c r="D55" s="30" t="s">
        <v>49</v>
      </c>
      <c r="E55" s="30" t="s">
        <v>186</v>
      </c>
      <c r="F55" s="43">
        <v>0</v>
      </c>
      <c r="G55" s="43">
        <v>60</v>
      </c>
      <c r="H55" s="43">
        <v>58815</v>
      </c>
      <c r="I55" s="43">
        <v>58869</v>
      </c>
      <c r="J55" s="30" t="s">
        <v>187</v>
      </c>
      <c r="K55" s="43">
        <v>59048</v>
      </c>
      <c r="L55" s="143" t="s">
        <v>50</v>
      </c>
      <c r="M55" s="144">
        <f t="shared" si="10"/>
        <v>94.512</v>
      </c>
      <c r="N55" s="145" t="str">
        <f>VLOOKUP(C55,'Trips&amp;Operators'!$C$1:$G$99999,5,FALSE)</f>
        <v>CHANDLER KELVIN</v>
      </c>
      <c r="O55" s="194" t="s">
        <v>185</v>
      </c>
      <c r="P55" s="146"/>
      <c r="Q55" s="30"/>
      <c r="R55" s="89" t="str">
        <f>IF(VLOOKUP(C55,'Train Runs'!$A$13:$AE$9948,1,1)=C55,VLOOKUP(C55,'Train Runs'!$A$13:$AE$9948,31,1),NA())</f>
        <v>aws s3 cp s3://rtdc.mdm.uploadarchive.raw/RTDC4022/ "%USERPROFILE%\AppData\Local\Temp\OnboardLogs"\RTDC4022\2017-03-22 --exclude "*" --recursive --include "*20170322*" &amp; "%USERPROFILE%\Documents\GitHub\mrs-test-scripts\Headless Mode &amp; Sideloading\WalkAndUnGZ.bat" "%USERPROFILE%\AppData\Local\Temp\OnboardLogs"\RTDC4022\2017-03-22 &amp; aws s3 cp s3://rtdc.mdm.uploadarchive.raw/RTDC4022/ "%USERPROFILE%\AppData\Local\Temp\OnboardLogs"\RTDC4022\2017-03-23 --exclude "*" --recursive --include "*20170323*" &amp; "%USERPROFILE%\Documents\GitHub\mrs-test-scripts\Headless Mode &amp; Sideloading\WalkAndUnGZ.bat" "%USERPROFILE%\AppData\Local\Temp\OnboardLogs"\RTDC4022\2017-03-23</v>
      </c>
      <c r="S55" s="92" t="str">
        <f>VLOOKUP(C55,'Train Runs'!$A$13:$AE$9948,22,0)</f>
        <v>https://d0f6bd738d7f1b3e5a7ca70fe4ff75f0.us-east-1.aws.found.io/app/kibana#/discover/Steve-Slow-Train-Analysis-(2080s-and-2083s)?_g=(refreshInterval:(display:Off,pause:!f,section:0,value:0),time:(from:'2017-03-22T14:50:01-0600',mode:absolute,to:'2017-03-22T17:10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55" s="94" t="str">
        <f t="shared" si="11"/>
        <v>"C:\Program Files (x86)\AstroGrep\AstroGrep.exe" /e /r /s /spath="%USERPROFILE%\AppData\Local\Temp\OnboardLogs" /stypes="*4022*201703222*" /stext=" 22:.+((SYSTEM_STATE.+slice.+state.+changed )|(ment ac)|(multiple cpu faults)|(system.+state.+changed )|(\[timeout)|(PRM\|1\|D)|(kpr)|(kdp)|(\|lc)|(penalty))"</v>
      </c>
      <c r="U55" s="9" t="str">
        <f t="shared" si="12"/>
        <v>4022</v>
      </c>
      <c r="V55" s="32">
        <f t="shared" si="13"/>
        <v>42816.923993055556</v>
      </c>
      <c r="W55" s="46" t="str">
        <f t="shared" si="14"/>
        <v>NW</v>
      </c>
      <c r="X55" s="46" t="str">
        <f t="shared" si="15"/>
        <v>KEEP</v>
      </c>
      <c r="Y55" s="108" t="str">
        <f t="shared" si="16"/>
        <v>echo {"issue":{"subject":"","project_id":79,"tracker_id":40,"status_id":1,"priority_id":2,"assigned_to_id":23,"start_date":"2017-03-22","description":"","custom_fields":[{"id":1,"name":"Subdivision","value":"NW"},{"id":4,"name":"Milepost","value":"5.9048"},{"id":17,"name":"Train ID","value":"827-22"},{"id":16,"name":"Locomotive ID","value":"4022"},{"id":130,"name":"Impact","value":""},{"id":150,"name":"Time of Event (Mountain Time)","value":"16:10:33"},{"id":151,"name":"Denver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222"/>
      <c r="AA55" s="48"/>
      <c r="AB55" s="48"/>
      <c r="AC55" s="127" t="str">
        <f t="shared" si="17"/>
        <v>grep -hSE -A400 "Enforcement Action" "%USERPROFILE%\AppData\Local\Temp\OnboardLogs"\RTDC4022\*4022*201703222* | grep -SE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"%USERPROFILE%\AppData\Local\Temp\OnboardLogs"\RTDC4022\*4022*201703222* &gt;&gt; 2017-03-22-SliceDisagreementCheck.txt</v>
      </c>
      <c r="AE55" s="157" t="str">
        <f t="shared" si="8"/>
        <v>start /low /b %USERPROFILE%\Documents\GitHub\eaglep3\Utilities\DownloadLogsFromS3.py --loco 4022 --day 2017-03-22</v>
      </c>
      <c r="AF55" s="1"/>
    </row>
    <row r="56" spans="1:32" x14ac:dyDescent="0.25">
      <c r="A56" s="32">
        <v>42816.646782407406</v>
      </c>
      <c r="B56" s="30" t="s">
        <v>403</v>
      </c>
      <c r="C56" s="30" t="s">
        <v>625</v>
      </c>
      <c r="D56" s="30" t="s">
        <v>98</v>
      </c>
      <c r="E56" s="30" t="s">
        <v>626</v>
      </c>
      <c r="F56" s="43">
        <v>0</v>
      </c>
      <c r="G56" s="43">
        <v>111</v>
      </c>
      <c r="H56" s="43">
        <v>22978</v>
      </c>
      <c r="I56" s="43">
        <v>0</v>
      </c>
      <c r="J56" s="30" t="s">
        <v>627</v>
      </c>
      <c r="K56" s="43">
        <v>24235</v>
      </c>
      <c r="L56" s="143" t="s">
        <v>51</v>
      </c>
      <c r="M56" s="144">
        <f t="shared" si="10"/>
        <v>-12796.08</v>
      </c>
      <c r="N56" s="145" t="str">
        <f>VLOOKUP(C56,'Trips&amp;Operators'!$C$1:$G$99999,5,FALSE)</f>
        <v>CHANDLER KELVIN</v>
      </c>
      <c r="O56" s="194" t="s">
        <v>185</v>
      </c>
      <c r="P56" s="146"/>
      <c r="Q56" s="30"/>
      <c r="R56" s="89" t="e">
        <f>IF(VLOOKUP(C56,'Train Runs'!$A$13:$AE$9948,1,1)=C56,VLOOKUP(C56,'Train Runs'!$A$13:$AE$9948,31,1),NA())</f>
        <v>#N/A</v>
      </c>
      <c r="S56" s="92" t="str">
        <f>VLOOKUP(C56,'Train Runs'!$A$13:$AE$9948,22,0)</f>
        <v>https://d0f6bd738d7f1b3e5a7ca70fe4ff75f0.us-east-1.aws.found.io/app/kibana#/discover/Steve-Slow-Train-Analysis-(2080s-and-2083s)?_g=(refreshInterval:(display:Off,pause:!f,section:0,value:0),time:(from:'2017-03-22T14:26:01-0600',mode:absolute,to:'2017-03-22T16:31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56" s="94" t="str">
        <f t="shared" si="11"/>
        <v>"C:\Program Files (x86)\AstroGrep\AstroGrep.exe" /e /r /s /spath="%USERPROFILE%\AppData\Local\Temp\OnboardLogs" /stypes="*4021*201703222*" /stext=" 21:.+((SYSTEM_STATE.+slice.+state.+changed )|(ment ac)|(multiple cpu faults)|(system.+state.+changed )|(\[timeout)|(PRM\|1\|D)|(kpr)|(kdp)|(\|lc)|(penalty))"</v>
      </c>
      <c r="U56" s="9" t="str">
        <f t="shared" si="12"/>
        <v>4021</v>
      </c>
      <c r="V56" s="32">
        <f t="shared" si="13"/>
        <v>42816.896782407406</v>
      </c>
      <c r="W56" s="46" t="str">
        <f t="shared" si="14"/>
        <v>Other</v>
      </c>
      <c r="X56" s="46" t="str">
        <f t="shared" si="15"/>
        <v>KEEP</v>
      </c>
      <c r="Y56" s="108" t="str">
        <f t="shared" si="16"/>
        <v>echo {"issue":{"subject":"","project_id":79,"tracker_id":40,"status_id":1,"priority_id":2,"assigned_to_id":23,"start_date":"2017-03-22","description":"","custom_fields":[{"id":1,"name":"Subdivision","value":"Other"},{"id":4,"name":"Milepost","value":"2.4235"},{"id":17,"name":"Train ID","value":"904-22"},{"id":16,"name":"Locomotive ID","value":"4021"},{"id":130,"name":"Impact","value":""},{"id":150,"name":"Time of Event (Mountain Time)","value":"15:31:22"},{"id":151,"name":"Denver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222"/>
      <c r="AA56" s="48"/>
      <c r="AB56" s="48"/>
      <c r="AC56" s="127" t="str">
        <f t="shared" si="17"/>
        <v>grep -hSE -A400 "Enforcement Action" "%USERPROFILE%\AppData\Local\Temp\OnboardLogs"\RTDC4021\*4021*201703222* | grep -SE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"%USERPROFILE%\AppData\Local\Temp\OnboardLogs"\RTDC4021\*4021*201703222* &gt;&gt; 2017-03-22-SliceDisagreementCheck.txt</v>
      </c>
      <c r="AE56" s="157" t="str">
        <f t="shared" si="8"/>
        <v>start /low /b %USERPROFILE%\Documents\GitHub\eaglep3\Utilities\DownloadLogsFromS3.py --loco 4021 --day 2017-03-22</v>
      </c>
      <c r="AF56" s="1"/>
    </row>
    <row r="57" spans="1:32" x14ac:dyDescent="0.25">
      <c r="A57" s="32">
        <v>42816.653645833336</v>
      </c>
      <c r="B57" s="30" t="s">
        <v>403</v>
      </c>
      <c r="C57" s="30" t="s">
        <v>625</v>
      </c>
      <c r="D57" s="30" t="s">
        <v>49</v>
      </c>
      <c r="E57" s="30" t="s">
        <v>186</v>
      </c>
      <c r="F57" s="43">
        <v>0</v>
      </c>
      <c r="G57" s="43">
        <v>26</v>
      </c>
      <c r="H57" s="43">
        <v>626</v>
      </c>
      <c r="I57" s="43">
        <v>603</v>
      </c>
      <c r="J57" s="30" t="s">
        <v>187</v>
      </c>
      <c r="K57" s="43">
        <v>575</v>
      </c>
      <c r="L57" s="143" t="s">
        <v>51</v>
      </c>
      <c r="M57" s="144">
        <f t="shared" si="10"/>
        <v>14.784000000000001</v>
      </c>
      <c r="N57" s="145" t="str">
        <f>VLOOKUP(C57,'Trips&amp;Operators'!$C$1:$G$99999,5,FALSE)</f>
        <v>CHANDLER KELVIN</v>
      </c>
      <c r="O57" s="194" t="s">
        <v>185</v>
      </c>
      <c r="P57" s="146"/>
      <c r="Q57" s="30"/>
      <c r="R57" s="89" t="e">
        <f>IF(VLOOKUP(C57,'Train Runs'!$A$13:$AE$9948,1,1)=C57,VLOOKUP(C57,'Train Runs'!$A$13:$AE$9948,31,1),NA())</f>
        <v>#N/A</v>
      </c>
      <c r="S57" s="92" t="str">
        <f>VLOOKUP(C57,'Train Runs'!$A$13:$AE$9948,22,0)</f>
        <v>https://d0f6bd738d7f1b3e5a7ca70fe4ff75f0.us-east-1.aws.found.io/app/kibana#/discover/Steve-Slow-Train-Analysis-(2080s-and-2083s)?_g=(refreshInterval:(display:Off,pause:!f,section:0,value:0),time:(from:'2017-03-22T14:26:01-0600',mode:absolute,to:'2017-03-22T16:31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57" s="94" t="str">
        <f t="shared" si="11"/>
        <v>"C:\Program Files (x86)\AstroGrep\AstroGrep.exe" /e /r /s /spath="%USERPROFILE%\AppData\Local\Temp\OnboardLogs" /stypes="*4021*201703222*" /stext=" 21:.+((SYSTEM_STATE.+slice.+state.+changed )|(ment ac)|(multiple cpu faults)|(system.+state.+changed )|(\[timeout)|(PRM\|1\|D)|(kpr)|(kdp)|(\|lc)|(penalty))"</v>
      </c>
      <c r="U57" s="9" t="str">
        <f t="shared" si="12"/>
        <v>4021</v>
      </c>
      <c r="V57" s="32">
        <f t="shared" si="13"/>
        <v>42816.903645833336</v>
      </c>
      <c r="W57" s="46" t="str">
        <f t="shared" si="14"/>
        <v>Other</v>
      </c>
      <c r="X57" s="46" t="str">
        <f t="shared" si="15"/>
        <v>KEEP</v>
      </c>
      <c r="Y57" s="108" t="str">
        <f t="shared" si="16"/>
        <v>echo {"issue":{"subject":"","project_id":79,"tracker_id":40,"status_id":1,"priority_id":2,"assigned_to_id":23,"start_date":"2017-03-22","description":"","custom_fields":[{"id":1,"name":"Subdivision","value":"Other"},{"id":4,"name":"Milepost","value":"0.0575"},{"id":17,"name":"Train ID","value":"904-22"},{"id":16,"name":"Locomotive ID","value":"4021"},{"id":130,"name":"Impact","value":""},{"id":150,"name":"Time of Event (Mountain Time)","value":"15:41:15"},{"id":151,"name":"Denver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222"/>
      <c r="AA57" s="48"/>
      <c r="AB57" s="48"/>
      <c r="AC57" s="127" t="str">
        <f t="shared" si="17"/>
        <v>grep -hSE -A400 "Enforcement Action" "%USERPROFILE%\AppData\Local\Temp\OnboardLogs"\RTDC4021\*4021*201703222* | grep -SE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"%USERPROFILE%\AppData\Local\Temp\OnboardLogs"\RTDC4021\*4021*201703222* &gt;&gt; 2017-03-22-SliceDisagreementCheck.txt</v>
      </c>
      <c r="AE57" s="157" t="str">
        <f t="shared" si="8"/>
        <v>start /low /b %USERPROFILE%\Documents\GitHub\eaglep3\Utilities\DownloadLogsFromS3.py --loco 4021 --day 2017-03-22</v>
      </c>
      <c r="AF57" s="1"/>
    </row>
    <row r="58" spans="1:32" x14ac:dyDescent="0.25">
      <c r="A58" s="32">
        <v>42816.438356481478</v>
      </c>
      <c r="B58" s="30" t="s">
        <v>468</v>
      </c>
      <c r="C58" s="30" t="s">
        <v>613</v>
      </c>
      <c r="D58" s="30" t="s">
        <v>49</v>
      </c>
      <c r="E58" s="30" t="s">
        <v>186</v>
      </c>
      <c r="F58" s="43">
        <v>0</v>
      </c>
      <c r="G58" s="43">
        <v>44</v>
      </c>
      <c r="H58" s="43">
        <v>1001</v>
      </c>
      <c r="I58" s="43">
        <v>958</v>
      </c>
      <c r="J58" s="30" t="s">
        <v>187</v>
      </c>
      <c r="K58" s="43">
        <v>826</v>
      </c>
      <c r="L58" s="143" t="s">
        <v>51</v>
      </c>
      <c r="M58" s="144">
        <f t="shared" si="10"/>
        <v>69.695999999999998</v>
      </c>
      <c r="N58" s="145" t="str">
        <f>VLOOKUP(C58,'Trips&amp;Operators'!$C$1:$G$99999,5,FALSE)</f>
        <v>DE LA ROSA ALEX</v>
      </c>
      <c r="O58" s="194" t="s">
        <v>185</v>
      </c>
      <c r="P58" s="146"/>
      <c r="Q58" s="30"/>
      <c r="R58" s="89" t="e">
        <f>IF(VLOOKUP(C58,'Train Runs'!$A$13:$AE$9948,1,1)=C58,VLOOKUP(C58,'Train Runs'!$A$13:$AE$9948,31,1),NA())</f>
        <v>#N/A</v>
      </c>
      <c r="S58" s="92" t="str">
        <f>VLOOKUP(C58,'Train Runs'!$A$13:$AE$9948,22,0)</f>
        <v>https://d0f6bd738d7f1b3e5a7ca70fe4ff75f0.us-east-1.aws.found.io/app/kibana#/discover/Steve-Slow-Train-Analysis-(2080s-and-2083s)?_g=(refreshInterval:(display:Off,pause:!f,section:0,value:0),time:(from:'2017-03-22T09:17:50-0600',mode:absolute,to:'2017-03-22T11:31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58" s="94" t="str">
        <f t="shared" si="11"/>
        <v>"C:\Program Files (x86)\AstroGrep\AstroGrep.exe" /e /r /s /spath="%USERPROFILE%\AppData\Local\Temp\OnboardLogs" /stypes="*4026*201703221*" /stext=" 16:.+((SYSTEM_STATE.+slice.+state.+changed )|(ment ac)|(multiple cpu faults)|(system.+state.+changed )|(\[timeout)|(PRM\|1\|D)|(kpr)|(kdp)|(\|lc)|(penalty))"</v>
      </c>
      <c r="U58" s="9" t="str">
        <f t="shared" si="12"/>
        <v>4026</v>
      </c>
      <c r="V58" s="32">
        <f t="shared" si="13"/>
        <v>42816.688356481478</v>
      </c>
      <c r="W58" s="46" t="str">
        <f t="shared" si="14"/>
        <v>Other</v>
      </c>
      <c r="X58" s="46" t="str">
        <f t="shared" si="15"/>
        <v>KEEP</v>
      </c>
      <c r="Y58" s="108" t="str">
        <f t="shared" si="16"/>
        <v>echo {"issue":{"subject":"","project_id":79,"tracker_id":40,"status_id":1,"priority_id":2,"assigned_to_id":23,"start_date":"2017-03-22","description":"","custom_fields":[{"id":1,"name":"Subdivision","value":"Other"},{"id":4,"name":"Milepost","value":"0.0826"},{"id":17,"name":"Train ID","value":"54-22"},{"id":16,"name":"Locomotive ID","value":"4026"},{"id":130,"name":"Impact","value":""},{"id":150,"name":"Time of Event (Mountain Time)","value":"10:31:14"},{"id":151,"name":"Denver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222"/>
      <c r="AA58" s="48"/>
      <c r="AB58" s="48"/>
      <c r="AC58" s="127" t="str">
        <f t="shared" si="17"/>
        <v>grep -hSE -A400 "Enforcement Action" "%USERPROFILE%\AppData\Local\Temp\OnboardLogs"\RTDC4026\*4026*201703221* | grep -SE "((Enforcement Ac)|(PRM))" -</v>
      </c>
      <c r="AD58" s="1" t="str">
        <f>"grep -hSE ""Enforcement Action"" "&amp;search_path&amp;"\RTDC"&amp;U58&amp;"\*"&amp;U58&amp;"*"&amp;TEXT(A58-utc_offset/24,"YYYYMMDD")&amp;LEFT(TEXT(A58-utc_offset/24,"HH"),1)&amp;"* &gt;&gt; "&amp;TEXT(Variables!$A$2,"YYYY-MM-DD")&amp;"-SliceDisagreementCheck.txt"</f>
        <v>grep -hSE "Enforcement Action" "%USERPROFILE%\AppData\Local\Temp\OnboardLogs"\RTDC4026\*4026*201703221* &gt;&gt; 2017-03-22-SliceDisagreementCheck.txt</v>
      </c>
      <c r="AE58" s="157" t="str">
        <f t="shared" si="8"/>
        <v>start /low /b %USERPROFILE%\Documents\GitHub\eaglep3\Utilities\DownloadLogsFromS3.py --loco 4026 --day 2017-03-22</v>
      </c>
      <c r="AF58" s="1"/>
    </row>
    <row r="59" spans="1:32" x14ac:dyDescent="0.25">
      <c r="A59" s="32">
        <v>42816.768599537034</v>
      </c>
      <c r="B59" s="30" t="s">
        <v>393</v>
      </c>
      <c r="C59" s="30" t="s">
        <v>636</v>
      </c>
      <c r="D59" s="30" t="s">
        <v>98</v>
      </c>
      <c r="E59" s="30" t="s">
        <v>186</v>
      </c>
      <c r="F59" s="43">
        <v>0</v>
      </c>
      <c r="G59" s="43">
        <v>5</v>
      </c>
      <c r="H59" s="43">
        <v>826</v>
      </c>
      <c r="I59" s="43">
        <v>0</v>
      </c>
      <c r="J59" s="30" t="s">
        <v>187</v>
      </c>
      <c r="K59" s="43">
        <v>826</v>
      </c>
      <c r="L59" s="143" t="s">
        <v>51</v>
      </c>
      <c r="M59" s="144">
        <f t="shared" si="10"/>
        <v>-436.12799999999999</v>
      </c>
      <c r="N59" s="145" t="str">
        <f>VLOOKUP(C59,'Trips&amp;Operators'!$C$1:$G$99999,5,FALSE)</f>
        <v>MCREYNOLDS KYLE</v>
      </c>
      <c r="O59" s="194" t="s">
        <v>185</v>
      </c>
      <c r="P59" s="146"/>
      <c r="Q59" s="30"/>
      <c r="R59" s="89" t="e">
        <f>IF(VLOOKUP(C59,'Train Runs'!$A$13:$AE$9948,1,1)=C59,VLOOKUP(C59,'Train Runs'!$A$13:$AE$9948,31,1),NA())</f>
        <v>#N/A</v>
      </c>
      <c r="S59" s="92" t="str">
        <f>VLOOKUP(C59,'Train Runs'!$A$13:$AE$9948,22,0)</f>
        <v>https://d0f6bd738d7f1b3e5a7ca70fe4ff75f0.us-east-1.aws.found.io/app/kibana#/discover/Steve-Slow-Train-Analysis-(2080s-and-2083s)?_g=(refreshInterval:(display:Off,pause:!f,section:0,value:0),time:(from:'2017-03-22T17:05:27-0600',mode:absolute,to:'2017-03-22T19:26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59" s="94" t="str">
        <f t="shared" si="11"/>
        <v>"C:\Program Files (x86)\AstroGrep\AstroGrep.exe" /e /r /s /spath="%USERPROFILE%\AppData\Local\Temp\OnboardLogs" /stypes="*4032*201703230*" /stext=" 00:.+((SYSTEM_STATE.+slice.+state.+changed )|(ment ac)|(multiple cpu faults)|(system.+state.+changed )|(\[timeout)|(PRM\|1\|D)|(kpr)|(kdp)|(\|lc)|(penalty))"</v>
      </c>
      <c r="U59" s="9" t="str">
        <f t="shared" si="12"/>
        <v>4032</v>
      </c>
      <c r="V59" s="32">
        <f t="shared" si="13"/>
        <v>42817.018599537034</v>
      </c>
      <c r="W59" s="46" t="str">
        <f t="shared" si="14"/>
        <v>Other</v>
      </c>
      <c r="X59" s="46" t="str">
        <f t="shared" si="15"/>
        <v>OMIT</v>
      </c>
      <c r="Y59" s="108" t="str">
        <f t="shared" si="16"/>
        <v>echo {"issue":{"subject":"","project_id":79,"tracker_id":40,"status_id":1,"priority_id":2,"assigned_to_id":23,"start_date":"2017-03-22","description":"","custom_fields":[{"id":1,"name":"Subdivision","value":"Other"},{"id":4,"name":"Milepost","value":"0.0826"},{"id":17,"name":"Train ID","value":"72-22"},{"id":16,"name":"Locomotive ID","value":"4032"},{"id":130,"name":"Impact","value":""},{"id":150,"name":"Time of Event (Mountain Time)","value":"18:26:47"},{"id":151,"name":"Denver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222"/>
      <c r="AA59" s="48"/>
      <c r="AB59" s="48"/>
      <c r="AC59" s="127" t="str">
        <f t="shared" si="17"/>
        <v>grep -hSE -A400 "Enforcement Action" "%USERPROFILE%\AppData\Local\Temp\OnboardLogs"\RTDC4032\*4032*201703230* | grep -SE "((Enforcement Ac)|(PRM))" -</v>
      </c>
      <c r="AD59" s="1" t="str">
        <f>"grep -hSE ""Enforcement Action"" "&amp;search_path&amp;"\RTDC"&amp;U59&amp;"\*"&amp;U59&amp;"*"&amp;TEXT(A59-utc_offset/24,"YYYYMMDD")&amp;LEFT(TEXT(A59-utc_offset/24,"HH"),1)&amp;"* &gt;&gt; "&amp;TEXT(Variables!$A$2,"YYYY-MM-DD")&amp;"-SliceDisagreementCheck.txt"</f>
        <v>grep -hSE "Enforcement Action" "%USERPROFILE%\AppData\Local\Temp\OnboardLogs"\RTDC4032\*4032*201703230* &gt;&gt; 2017-03-22-SliceDisagreementCheck.txt</v>
      </c>
      <c r="AE59" s="157" t="str">
        <f t="shared" si="8"/>
        <v>start /low /b %USERPROFILE%\Documents\GitHub\eaglep3\Utilities\DownloadLogsFromS3.py --loco 4032 --day 2017-03-23</v>
      </c>
      <c r="AF59" s="1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Z67"/>
      <c r="AC67"/>
      <c r="AE67"/>
    </row>
  </sheetData>
  <autoFilter ref="A6:AC67"/>
  <sortState ref="A7:AE59">
    <sortCondition ref="W7:W59"/>
    <sortCondition ref="E7:E59"/>
    <sortCondition ref="K7:K59"/>
    <sortCondition ref="C7:C59"/>
    <sortCondition ref="F7:F59"/>
  </sortState>
  <mergeCells count="1">
    <mergeCell ref="A5:O5"/>
  </mergeCells>
  <conditionalFormatting sqref="O6:P6 R6 O68:O1048576 O7:O59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9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AA7:AA59</xm:sqref>
        </x14:dataValidation>
        <x14:dataValidation type="list" allowBlank="1" showInputMessage="1" showErrorMessage="1">
          <x14:formula1>
            <xm:f>'Redmine List Values'!$C$2:$C$15</xm:f>
          </x14:formula1>
          <xm:sqref>AB7:AB59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9"/>
  <sheetViews>
    <sheetView workbookViewId="0">
      <selection activeCell="A2" sqref="A2"/>
    </sheetView>
  </sheetViews>
  <sheetFormatPr defaultRowHeight="15" x14ac:dyDescent="0.25"/>
  <cols>
    <col min="1" max="1" width="9.140625" style="168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24" t="str">
        <f>"Trips that did not appear in PTC Data "&amp;TEXT(Variables!$A$2,"YYYY-mm-dd")</f>
        <v>Trips that did not appear in PTC Data 2017-03-22</v>
      </c>
      <c r="C1" s="224"/>
      <c r="D1" s="224"/>
      <c r="E1" s="224"/>
      <c r="F1" s="224"/>
    </row>
    <row r="2" spans="1:10" s="23" customFormat="1" ht="45" x14ac:dyDescent="0.25">
      <c r="A2" s="189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5"/>
      <c r="B3" s="43" t="str">
        <f>A3&amp;"-"&amp;IF(DAY(Variables!$A$2)&lt;10,0,"")&amp;DAY(Variables!$A$2)</f>
        <v>-22</v>
      </c>
      <c r="C3" s="147"/>
      <c r="D3" s="165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" s="30" t="e">
        <f>VLOOKUP(B3,'Train Runs'!$A$13:$A$99945,1,FALSE)</f>
        <v>#N/A</v>
      </c>
    </row>
    <row r="4" spans="1:10" x14ac:dyDescent="0.25">
      <c r="A4" s="185"/>
      <c r="B4" s="43" t="str">
        <f>A4&amp;"-"&amp;IF(DAY(Variables!$A$2)&lt;10,0,"")&amp;DAY(Variables!$A$2)</f>
        <v>-22</v>
      </c>
      <c r="C4" s="147"/>
      <c r="D4" s="165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" s="30" t="e">
        <f>VLOOKUP(B4,'Train Runs'!$A$13:$A$99945,1,FALSE)</f>
        <v>#N/A</v>
      </c>
    </row>
    <row r="5" spans="1:10" x14ac:dyDescent="0.25">
      <c r="A5" s="185"/>
      <c r="B5" s="43" t="str">
        <f>A5&amp;"-"&amp;IF(DAY(Variables!$A$2)&lt;10,0,"")&amp;DAY(Variables!$A$2)</f>
        <v>-22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ref="I5:I35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" s="30" t="e">
        <f>VLOOKUP(B5,'Train Runs'!$A$13:$A$99945,1,FALSE)</f>
        <v>#N/A</v>
      </c>
    </row>
    <row r="6" spans="1:10" x14ac:dyDescent="0.25">
      <c r="A6" s="185"/>
      <c r="B6" s="43" t="str">
        <f>A6&amp;"-"&amp;IF(DAY(Variables!$A$2)&lt;10,0,"")&amp;DAY(Variables!$A$2)</f>
        <v>-22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" s="30" t="e">
        <f>VLOOKUP(B6,'Train Runs'!$A$13:$A$99945,1,FALSE)</f>
        <v>#N/A</v>
      </c>
    </row>
    <row r="7" spans="1:10" x14ac:dyDescent="0.25">
      <c r="A7" s="185"/>
      <c r="B7" s="43" t="str">
        <f>A7&amp;"-"&amp;IF(DAY(Variables!$A$2)&lt;10,0,"")&amp;DAY(Variables!$A$2)</f>
        <v>-22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" s="30" t="e">
        <f>VLOOKUP(B7,'Train Runs'!$A$13:$A$99945,1,FALSE)</f>
        <v>#N/A</v>
      </c>
    </row>
    <row r="8" spans="1:10" x14ac:dyDescent="0.25">
      <c r="A8" s="185"/>
      <c r="B8" s="43" t="str">
        <f>A8&amp;"-"&amp;IF(DAY(Variables!$A$2)&lt;10,0,"")&amp;DAY(Variables!$A$2)</f>
        <v>-22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" s="30" t="e">
        <f>VLOOKUP(B8,'Train Runs'!$A$13:$A$99945,1,FALSE)</f>
        <v>#N/A</v>
      </c>
    </row>
    <row r="9" spans="1:10" x14ac:dyDescent="0.25">
      <c r="A9" s="185"/>
      <c r="B9" s="43" t="str">
        <f>A9&amp;"-"&amp;IF(DAY(Variables!$A$2)&lt;10,0,"")&amp;DAY(Variables!$A$2)</f>
        <v>-22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9" s="30" t="e">
        <f>VLOOKUP(B9,'Train Runs'!$A$13:$A$99945,1,FALSE)</f>
        <v>#N/A</v>
      </c>
    </row>
    <row r="10" spans="1:10" x14ac:dyDescent="0.25">
      <c r="A10" s="185"/>
      <c r="B10" s="43" t="str">
        <f>A10&amp;"-"&amp;IF(DAY(Variables!$A$2)&lt;10,0,"")&amp;DAY(Variables!$A$2)</f>
        <v>-22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0" s="30" t="e">
        <f>VLOOKUP(B10,'Train Runs'!$A$13:$A$99945,1,FALSE)</f>
        <v>#N/A</v>
      </c>
    </row>
    <row r="11" spans="1:10" x14ac:dyDescent="0.25">
      <c r="A11" s="185"/>
      <c r="B11" s="43" t="str">
        <f>A11&amp;"-"&amp;IF(DAY(Variables!$A$2)&lt;10,0,"")&amp;DAY(Variables!$A$2)</f>
        <v>-22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1" s="30" t="e">
        <f>VLOOKUP(B11,'Train Runs'!$A$13:$A$99945,1,FALSE)</f>
        <v>#N/A</v>
      </c>
    </row>
    <row r="12" spans="1:10" x14ac:dyDescent="0.25">
      <c r="A12" s="185"/>
      <c r="B12" s="43" t="str">
        <f>A12&amp;"-"&amp;IF(DAY(Variables!$A$2)&lt;10,0,"")&amp;DAY(Variables!$A$2)</f>
        <v>-22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2" s="30" t="e">
        <f>VLOOKUP(B12,'Train Runs'!$A$13:$A$99945,1,FALSE)</f>
        <v>#N/A</v>
      </c>
    </row>
    <row r="13" spans="1:10" x14ac:dyDescent="0.25">
      <c r="A13" s="185"/>
      <c r="B13" s="43" t="str">
        <f>A13&amp;"-"&amp;IF(DAY(Variables!$A$2)&lt;10,0,"")&amp;DAY(Variables!$A$2)</f>
        <v>-22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3" s="30" t="e">
        <f>VLOOKUP(B13,'Train Runs'!$A$13:$A$99945,1,FALSE)</f>
        <v>#N/A</v>
      </c>
    </row>
    <row r="14" spans="1:10" x14ac:dyDescent="0.25">
      <c r="A14" s="185"/>
      <c r="B14" s="43" t="str">
        <f>A14&amp;"-"&amp;IF(DAY(Variables!$A$2)&lt;10,0,"")&amp;DAY(Variables!$A$2)</f>
        <v>-22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4" s="30" t="e">
        <f>VLOOKUP(B14,'Train Runs'!$A$13:$A$99945,1,FALSE)</f>
        <v>#N/A</v>
      </c>
    </row>
    <row r="15" spans="1:10" x14ac:dyDescent="0.25">
      <c r="A15" s="185"/>
      <c r="B15" s="43" t="str">
        <f>A15&amp;"-"&amp;IF(DAY(Variables!$A$2)&lt;10,0,"")&amp;DAY(Variables!$A$2)</f>
        <v>-22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5" s="30" t="e">
        <f>VLOOKUP(B15,'Train Runs'!$A$13:$A$99945,1,FALSE)</f>
        <v>#N/A</v>
      </c>
    </row>
    <row r="16" spans="1:10" x14ac:dyDescent="0.25">
      <c r="A16" s="185"/>
      <c r="B16" s="43" t="str">
        <f>A16&amp;"-"&amp;IF(DAY(Variables!$A$2)&lt;10,0,"")&amp;DAY(Variables!$A$2)</f>
        <v>-22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6" s="30" t="e">
        <f>VLOOKUP(B16,'Train Runs'!$A$13:$A$99945,1,FALSE)</f>
        <v>#N/A</v>
      </c>
    </row>
    <row r="17" spans="1:10" x14ac:dyDescent="0.25">
      <c r="A17" s="185"/>
      <c r="B17" s="43" t="str">
        <f>A17&amp;"-"&amp;IF(DAY(Variables!$A$2)&lt;10,0,"")&amp;DAY(Variables!$A$2)</f>
        <v>-22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7" s="30" t="e">
        <f>VLOOKUP(B17,'Train Runs'!$A$13:$A$99945,1,FALSE)</f>
        <v>#N/A</v>
      </c>
    </row>
    <row r="18" spans="1:10" x14ac:dyDescent="0.25">
      <c r="A18" s="185"/>
      <c r="B18" s="43" t="str">
        <f>A18&amp;"-"&amp;IF(DAY(Variables!$A$2)&lt;10,0,"")&amp;DAY(Variables!$A$2)</f>
        <v>-22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8" s="30" t="e">
        <f>VLOOKUP(B18,'Train Runs'!$A$13:$A$99945,1,FALSE)</f>
        <v>#N/A</v>
      </c>
    </row>
    <row r="19" spans="1:10" x14ac:dyDescent="0.25">
      <c r="A19" s="185"/>
      <c r="B19" s="43" t="str">
        <f>A19&amp;"-"&amp;IF(DAY(Variables!$A$2)&lt;10,0,"")&amp;DAY(Variables!$A$2)</f>
        <v>-22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9" s="30" t="e">
        <f>VLOOKUP(B19,'Train Runs'!$A$13:$A$99945,1,FALSE)</f>
        <v>#N/A</v>
      </c>
    </row>
    <row r="20" spans="1:10" x14ac:dyDescent="0.25">
      <c r="A20" s="185"/>
      <c r="B20" s="43" t="str">
        <f>A20&amp;"-"&amp;IF(DAY(Variables!$A$2)&lt;10,0,"")&amp;DAY(Variables!$A$2)</f>
        <v>-22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0" s="30" t="e">
        <f>VLOOKUP(B20,'Train Runs'!$A$13:$A$99945,1,FALSE)</f>
        <v>#N/A</v>
      </c>
    </row>
    <row r="21" spans="1:10" x14ac:dyDescent="0.25">
      <c r="A21" s="185"/>
      <c r="B21" s="43" t="str">
        <f>A21&amp;"-"&amp;IF(DAY(Variables!$A$2)&lt;10,0,"")&amp;DAY(Variables!$A$2)</f>
        <v>-22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1" s="30" t="e">
        <f>VLOOKUP(B21,'Train Runs'!$A$13:$A$99945,1,FALSE)</f>
        <v>#N/A</v>
      </c>
    </row>
    <row r="22" spans="1:10" x14ac:dyDescent="0.25">
      <c r="A22" s="185"/>
      <c r="B22" s="43" t="str">
        <f>A22&amp;"-"&amp;IF(DAY(Variables!$A$2)&lt;10,0,"")&amp;DAY(Variables!$A$2)</f>
        <v>-22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2" s="30" t="e">
        <f>VLOOKUP(B22,'Train Runs'!$A$13:$A$99945,1,FALSE)</f>
        <v>#N/A</v>
      </c>
    </row>
    <row r="23" spans="1:10" x14ac:dyDescent="0.25">
      <c r="A23" s="185"/>
      <c r="B23" s="43" t="str">
        <f>A23&amp;"-"&amp;IF(DAY(Variables!$A$2)&lt;10,0,"")&amp;DAY(Variables!$A$2)</f>
        <v>-22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3" s="30" t="e">
        <f>VLOOKUP(B23,'Train Runs'!$A$13:$A$99945,1,FALSE)</f>
        <v>#N/A</v>
      </c>
    </row>
    <row r="24" spans="1:10" x14ac:dyDescent="0.25">
      <c r="A24" s="185"/>
      <c r="B24" s="43" t="str">
        <f>A24&amp;"-"&amp;IF(DAY(Variables!$A$2)&lt;10,0,"")&amp;DAY(Variables!$A$2)</f>
        <v>-22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4" s="30" t="e">
        <f>VLOOKUP(B24,'Train Runs'!$A$13:$A$99945,1,FALSE)</f>
        <v>#N/A</v>
      </c>
    </row>
    <row r="25" spans="1:10" x14ac:dyDescent="0.25">
      <c r="A25" s="185"/>
      <c r="B25" s="43" t="str">
        <f>A25&amp;"-"&amp;IF(DAY(Variables!$A$2)&lt;10,0,"")&amp;DAY(Variables!$A$2)</f>
        <v>-22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5" s="30" t="e">
        <f>VLOOKUP(B25,'Train Runs'!$A$13:$A$99945,1,FALSE)</f>
        <v>#N/A</v>
      </c>
    </row>
    <row r="26" spans="1:10" x14ac:dyDescent="0.25">
      <c r="A26" s="185"/>
      <c r="B26" s="43" t="str">
        <f>A26&amp;"-"&amp;IF(DAY(Variables!$A$2)&lt;10,0,"")&amp;DAY(Variables!$A$2)</f>
        <v>-22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6" s="30" t="e">
        <f>VLOOKUP(B26,'Train Runs'!$A$13:$A$99945,1,FALSE)</f>
        <v>#N/A</v>
      </c>
    </row>
    <row r="27" spans="1:10" x14ac:dyDescent="0.25">
      <c r="A27" s="185"/>
      <c r="B27" s="43" t="str">
        <f>A27&amp;"-"&amp;IF(DAY(Variables!$A$2)&lt;10,0,"")&amp;DAY(Variables!$A$2)</f>
        <v>-22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7" s="30" t="e">
        <f>VLOOKUP(B27,'Train Runs'!$A$13:$A$99945,1,FALSE)</f>
        <v>#N/A</v>
      </c>
    </row>
    <row r="28" spans="1:10" x14ac:dyDescent="0.25">
      <c r="A28" s="185"/>
      <c r="B28" s="43" t="str">
        <f>A28&amp;"-"&amp;IF(DAY(Variables!$A$2)&lt;10,0,"")&amp;DAY(Variables!$A$2)</f>
        <v>-22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8" s="30" t="e">
        <f>VLOOKUP(B28,'Train Runs'!$A$13:$A$99945,1,FALSE)</f>
        <v>#N/A</v>
      </c>
    </row>
    <row r="29" spans="1:10" x14ac:dyDescent="0.25">
      <c r="A29" s="185"/>
      <c r="B29" s="43" t="str">
        <f>A29&amp;"-"&amp;IF(DAY(Variables!$A$2)&lt;10,0,"")&amp;DAY(Variables!$A$2)</f>
        <v>-22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9" s="30" t="e">
        <f>VLOOKUP(B29,'Train Runs'!$A$13:$A$99945,1,FALSE)</f>
        <v>#N/A</v>
      </c>
    </row>
    <row r="30" spans="1:10" x14ac:dyDescent="0.25">
      <c r="A30" s="185"/>
      <c r="B30" s="43" t="str">
        <f>A30&amp;"-"&amp;IF(DAY(Variables!$A$2)&lt;10,0,"")&amp;DAY(Variables!$A$2)</f>
        <v>-22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0" s="30" t="e">
        <f>VLOOKUP(B30,'Train Runs'!$A$13:$A$99945,1,FALSE)</f>
        <v>#N/A</v>
      </c>
    </row>
    <row r="31" spans="1:10" x14ac:dyDescent="0.25">
      <c r="A31" s="185"/>
      <c r="B31" s="43" t="str">
        <f>A31&amp;"-"&amp;IF(DAY(Variables!$A$2)&lt;10,0,"")&amp;DAY(Variables!$A$2)</f>
        <v>-22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1" s="30" t="e">
        <f>VLOOKUP(B31,'Train Runs'!$A$13:$A$99945,1,FALSE)</f>
        <v>#N/A</v>
      </c>
    </row>
    <row r="32" spans="1:10" x14ac:dyDescent="0.25">
      <c r="A32" s="185"/>
      <c r="B32" s="43" t="str">
        <f>A32&amp;"-"&amp;IF(DAY(Variables!$A$2)&lt;10,0,"")&amp;DAY(Variables!$A$2)</f>
        <v>-22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2" s="30" t="e">
        <f>VLOOKUP(B32,'Train Runs'!$A$13:$A$99945,1,FALSE)</f>
        <v>#N/A</v>
      </c>
    </row>
    <row r="33" spans="1:10" x14ac:dyDescent="0.25">
      <c r="A33" s="185"/>
      <c r="B33" s="43" t="str">
        <f>A33&amp;"-"&amp;IF(DAY(Variables!$A$2)&lt;10,0,"")&amp;DAY(Variables!$A$2)</f>
        <v>-22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3" s="30" t="e">
        <f>VLOOKUP(B33,'Train Runs'!$A$13:$A$99945,1,FALSE)</f>
        <v>#N/A</v>
      </c>
    </row>
    <row r="34" spans="1:10" x14ac:dyDescent="0.25">
      <c r="A34" s="185"/>
      <c r="B34" s="43" t="str">
        <f>A34&amp;"-"&amp;IF(DAY(Variables!$A$2)&lt;10,0,"")&amp;DAY(Variables!$A$2)</f>
        <v>-22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4" s="30" t="e">
        <f>VLOOKUP(B34,'Train Runs'!$A$13:$A$99945,1,FALSE)</f>
        <v>#N/A</v>
      </c>
    </row>
    <row r="35" spans="1:10" x14ac:dyDescent="0.25">
      <c r="A35" s="185"/>
      <c r="B35" s="43" t="str">
        <f>A35&amp;"-"&amp;IF(DAY(Variables!$A$2)&lt;10,0,"")&amp;DAY(Variables!$A$2)</f>
        <v>-22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5" s="30" t="e">
        <f>VLOOKUP(B35,'Train Runs'!$A$13:$A$99945,1,FALSE)</f>
        <v>#N/A</v>
      </c>
    </row>
    <row r="36" spans="1:10" x14ac:dyDescent="0.25">
      <c r="A36" s="185"/>
      <c r="B36" s="43" t="str">
        <f>A36&amp;"-"&amp;IF(DAY(Variables!$A$2)&lt;10,0,"")&amp;DAY(Variables!$A$2)</f>
        <v>-22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ref="I36:I67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36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6" s="30" t="e">
        <f>VLOOKUP(B36,'Train Runs'!$A$13:$A$99945,1,FALSE)</f>
        <v>#N/A</v>
      </c>
    </row>
    <row r="37" spans="1:10" x14ac:dyDescent="0.25">
      <c r="A37" s="185"/>
      <c r="B37" s="43" t="str">
        <f>A37&amp;"-"&amp;IF(DAY(Variables!$A$2)&lt;10,0,"")&amp;DAY(Variables!$A$2)</f>
        <v>-22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7" s="30" t="e">
        <f>VLOOKUP(B37,'Train Runs'!$A$13:$A$99945,1,FALSE)</f>
        <v>#N/A</v>
      </c>
    </row>
    <row r="38" spans="1:10" x14ac:dyDescent="0.25">
      <c r="A38" s="185"/>
      <c r="B38" s="43" t="str">
        <f>A38&amp;"-"&amp;IF(DAY(Variables!$A$2)&lt;10,0,"")&amp;DAY(Variables!$A$2)</f>
        <v>-22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8" s="30" t="e">
        <f>VLOOKUP(B38,'Train Runs'!$A$13:$A$99945,1,FALSE)</f>
        <v>#N/A</v>
      </c>
    </row>
    <row r="39" spans="1:10" x14ac:dyDescent="0.25">
      <c r="A39" s="185"/>
      <c r="B39" s="43" t="str">
        <f>A39&amp;"-"&amp;IF(DAY(Variables!$A$2)&lt;10,0,"")&amp;DAY(Variables!$A$2)</f>
        <v>-22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9" s="30" t="e">
        <f>VLOOKUP(B39,'Train Runs'!$A$13:$A$99945,1,FALSE)</f>
        <v>#N/A</v>
      </c>
    </row>
    <row r="40" spans="1:10" x14ac:dyDescent="0.25">
      <c r="A40" s="185"/>
      <c r="B40" s="43" t="str">
        <f>A40&amp;"-"&amp;IF(DAY(Variables!$A$2)&lt;10,0,"")&amp;DAY(Variables!$A$2)</f>
        <v>-22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0" s="30" t="e">
        <f>VLOOKUP(B40,'Train Runs'!$A$13:$A$99945,1,FALSE)</f>
        <v>#N/A</v>
      </c>
    </row>
    <row r="41" spans="1:10" x14ac:dyDescent="0.25">
      <c r="A41" s="185"/>
      <c r="B41" s="43" t="str">
        <f>A41&amp;"-"&amp;IF(DAY(Variables!$A$2)&lt;10,0,"")&amp;DAY(Variables!$A$2)</f>
        <v>-22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1" s="30" t="e">
        <f>VLOOKUP(B41,'Train Runs'!$A$13:$A$99945,1,FALSE)</f>
        <v>#N/A</v>
      </c>
    </row>
    <row r="42" spans="1:10" x14ac:dyDescent="0.25">
      <c r="A42" s="185"/>
      <c r="B42" s="43" t="str">
        <f>A42&amp;"-"&amp;IF(DAY(Variables!$A$2)&lt;10,0,"")&amp;DAY(Variables!$A$2)</f>
        <v>-22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2" s="30" t="e">
        <f>VLOOKUP(B42,'Train Runs'!$A$13:$A$99945,1,FALSE)</f>
        <v>#N/A</v>
      </c>
    </row>
    <row r="43" spans="1:10" x14ac:dyDescent="0.25">
      <c r="A43" s="185"/>
      <c r="B43" s="43" t="str">
        <f>A43&amp;"-"&amp;IF(DAY(Variables!$A$2)&lt;10,0,"")&amp;DAY(Variables!$A$2)</f>
        <v>-22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3" s="30" t="e">
        <f>VLOOKUP(B43,'Train Runs'!$A$13:$A$99945,1,FALSE)</f>
        <v>#N/A</v>
      </c>
    </row>
    <row r="44" spans="1:10" x14ac:dyDescent="0.25">
      <c r="A44" s="185"/>
      <c r="B44" s="43" t="str">
        <f>A44&amp;"-"&amp;IF(DAY(Variables!$A$2)&lt;10,0,"")&amp;DAY(Variables!$A$2)</f>
        <v>-22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4" s="30" t="e">
        <f>VLOOKUP(B44,'Train Runs'!$A$13:$A$99945,1,FALSE)</f>
        <v>#N/A</v>
      </c>
    </row>
    <row r="45" spans="1:10" x14ac:dyDescent="0.25">
      <c r="A45" s="185"/>
      <c r="B45" s="43" t="str">
        <f>A45&amp;"-"&amp;IF(DAY(Variables!$A$2)&lt;10,0,"")&amp;DAY(Variables!$A$2)</f>
        <v>-22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5" s="30" t="e">
        <f>VLOOKUP(B45,'Train Runs'!$A$13:$A$99945,1,FALSE)</f>
        <v>#N/A</v>
      </c>
    </row>
    <row r="46" spans="1:10" x14ac:dyDescent="0.25">
      <c r="A46" s="185"/>
      <c r="B46" s="43" t="str">
        <f>A46&amp;"-"&amp;IF(DAY(Variables!$A$2)&lt;10,0,"")&amp;DAY(Variables!$A$2)</f>
        <v>-22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6" s="30" t="e">
        <f>VLOOKUP(B46,'Train Runs'!$A$13:$A$99945,1,FALSE)</f>
        <v>#N/A</v>
      </c>
    </row>
    <row r="47" spans="1:10" x14ac:dyDescent="0.25">
      <c r="A47" s="185"/>
      <c r="B47" s="43" t="str">
        <f>A47&amp;"-"&amp;IF(DAY(Variables!$A$2)&lt;10,0,"")&amp;DAY(Variables!$A$2)</f>
        <v>-22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7" s="30" t="e">
        <f>VLOOKUP(B47,'Train Runs'!$A$13:$A$99945,1,FALSE)</f>
        <v>#N/A</v>
      </c>
    </row>
    <row r="48" spans="1:10" x14ac:dyDescent="0.25">
      <c r="A48" s="185"/>
      <c r="B48" s="43" t="str">
        <f>A48&amp;"-"&amp;IF(DAY(Variables!$A$2)&lt;10,0,"")&amp;DAY(Variables!$A$2)</f>
        <v>-22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8" s="30" t="e">
        <f>VLOOKUP(B48,'Train Runs'!$A$13:$A$99945,1,FALSE)</f>
        <v>#N/A</v>
      </c>
    </row>
    <row r="49" spans="1:10" x14ac:dyDescent="0.25">
      <c r="A49" s="185"/>
      <c r="B49" s="43" t="str">
        <f>A49&amp;"-"&amp;IF(DAY(Variables!$A$2)&lt;10,0,"")&amp;DAY(Variables!$A$2)</f>
        <v>-22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9" s="30" t="e">
        <f>VLOOKUP(B49,'Train Runs'!$A$13:$A$99945,1,FALSE)</f>
        <v>#N/A</v>
      </c>
    </row>
    <row r="50" spans="1:10" x14ac:dyDescent="0.25">
      <c r="A50" s="185"/>
      <c r="B50" s="43" t="str">
        <f>A50&amp;"-"&amp;IF(DAY(Variables!$A$2)&lt;10,0,"")&amp;DAY(Variables!$A$2)</f>
        <v>-22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0" s="30" t="e">
        <f>VLOOKUP(B50,'Train Runs'!$A$13:$A$99945,1,FALSE)</f>
        <v>#N/A</v>
      </c>
    </row>
    <row r="51" spans="1:10" x14ac:dyDescent="0.25">
      <c r="A51" s="185"/>
      <c r="B51" s="43" t="str">
        <f>A51&amp;"-"&amp;IF(DAY(Variables!$A$2)&lt;10,0,"")&amp;DAY(Variables!$A$2)</f>
        <v>-22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1" s="30" t="e">
        <f>VLOOKUP(B51,'Train Runs'!$A$13:$A$99945,1,FALSE)</f>
        <v>#N/A</v>
      </c>
    </row>
    <row r="52" spans="1:10" x14ac:dyDescent="0.25">
      <c r="A52" s="185"/>
      <c r="B52" s="43" t="str">
        <f>A52&amp;"-"&amp;IF(DAY(Variables!$A$2)&lt;10,0,"")&amp;DAY(Variables!$A$2)</f>
        <v>-22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2" s="30" t="e">
        <f>VLOOKUP(B52,'Train Runs'!$A$13:$A$99945,1,FALSE)</f>
        <v>#N/A</v>
      </c>
    </row>
    <row r="53" spans="1:10" x14ac:dyDescent="0.25">
      <c r="A53" s="185"/>
      <c r="B53" s="43" t="str">
        <f>A53&amp;"-"&amp;IF(DAY(Variables!$A$2)&lt;10,0,"")&amp;DAY(Variables!$A$2)</f>
        <v>-22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3" s="30" t="e">
        <f>VLOOKUP(B53,'Train Runs'!$A$13:$A$99945,1,FALSE)</f>
        <v>#N/A</v>
      </c>
    </row>
    <row r="54" spans="1:10" x14ac:dyDescent="0.25">
      <c r="A54" s="185"/>
      <c r="B54" s="43" t="str">
        <f>A54&amp;"-"&amp;IF(DAY(Variables!$A$2)&lt;10,0,"")&amp;DAY(Variables!$A$2)</f>
        <v>-22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4" s="30" t="e">
        <f>VLOOKUP(B54,'Train Runs'!$A$13:$A$99945,1,FALSE)</f>
        <v>#N/A</v>
      </c>
    </row>
    <row r="55" spans="1:10" x14ac:dyDescent="0.25">
      <c r="A55" s="185"/>
      <c r="B55" s="43" t="str">
        <f>A55&amp;"-"&amp;IF(DAY(Variables!$A$2)&lt;10,0,"")&amp;DAY(Variables!$A$2)</f>
        <v>-22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5" s="30" t="e">
        <f>VLOOKUP(B55,'Train Runs'!$A$13:$A$99945,1,FALSE)</f>
        <v>#N/A</v>
      </c>
    </row>
    <row r="56" spans="1:10" x14ac:dyDescent="0.25">
      <c r="A56" s="185"/>
      <c r="B56" s="43" t="str">
        <f>A56&amp;"-"&amp;IF(DAY(Variables!$A$2)&lt;10,0,"")&amp;DAY(Variables!$A$2)</f>
        <v>-22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6" s="30" t="e">
        <f>VLOOKUP(B56,'Train Runs'!$A$13:$A$99945,1,FALSE)</f>
        <v>#N/A</v>
      </c>
    </row>
    <row r="57" spans="1:10" x14ac:dyDescent="0.25">
      <c r="A57" s="185"/>
      <c r="B57" s="43" t="str">
        <f>A57&amp;"-"&amp;IF(DAY(Variables!$A$2)&lt;10,0,"")&amp;DAY(Variables!$A$2)</f>
        <v>-22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7" s="30" t="e">
        <f>VLOOKUP(B57,'Train Runs'!$A$13:$A$99945,1,FALSE)</f>
        <v>#N/A</v>
      </c>
    </row>
    <row r="58" spans="1:10" x14ac:dyDescent="0.25">
      <c r="A58" s="185"/>
      <c r="B58" s="43" t="str">
        <f>A58&amp;"-"&amp;IF(DAY(Variables!$A$2)&lt;10,0,"")&amp;DAY(Variables!$A$2)</f>
        <v>-22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8" s="30" t="e">
        <f>VLOOKUP(B58,'Train Runs'!$A$13:$A$99945,1,FALSE)</f>
        <v>#N/A</v>
      </c>
    </row>
    <row r="59" spans="1:10" x14ac:dyDescent="0.25">
      <c r="A59" s="185"/>
      <c r="B59" s="43" t="str">
        <f>A59&amp;"-"&amp;IF(DAY(Variables!$A$2)&lt;10,0,"")&amp;DAY(Variables!$A$2)</f>
        <v>-22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9" s="30" t="e">
        <f>VLOOKUP(B59,'Train Runs'!$A$13:$A$99945,1,FALSE)</f>
        <v>#N/A</v>
      </c>
    </row>
    <row r="60" spans="1:10" x14ac:dyDescent="0.25">
      <c r="A60" s="185"/>
      <c r="B60" s="43" t="str">
        <f>A60&amp;"-"&amp;IF(DAY(Variables!$A$2)&lt;10,0,"")&amp;DAY(Variables!$A$2)</f>
        <v>-22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0" s="30" t="e">
        <f>VLOOKUP(B60,'Train Runs'!$A$13:$A$99945,1,FALSE)</f>
        <v>#N/A</v>
      </c>
    </row>
    <row r="61" spans="1:10" x14ac:dyDescent="0.25">
      <c r="A61" s="185"/>
      <c r="B61" s="43" t="str">
        <f>A61&amp;"-"&amp;IF(DAY(Variables!$A$2)&lt;10,0,"")&amp;DAY(Variables!$A$2)</f>
        <v>-22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1" s="30" t="e">
        <f>VLOOKUP(B61,'Train Runs'!$A$13:$A$99945,1,FALSE)</f>
        <v>#N/A</v>
      </c>
    </row>
    <row r="62" spans="1:10" x14ac:dyDescent="0.25">
      <c r="A62" s="185"/>
      <c r="B62" s="43" t="str">
        <f>A62&amp;"-"&amp;IF(DAY(Variables!$A$2)&lt;10,0,"")&amp;DAY(Variables!$A$2)</f>
        <v>-22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2" s="30" t="e">
        <f>VLOOKUP(B62,'Train Runs'!$A$13:$A$99945,1,FALSE)</f>
        <v>#N/A</v>
      </c>
    </row>
    <row r="63" spans="1:10" x14ac:dyDescent="0.25">
      <c r="A63" s="185"/>
      <c r="B63" s="43" t="str">
        <f>A63&amp;"-"&amp;IF(DAY(Variables!$A$2)&lt;10,0,"")&amp;DAY(Variables!$A$2)</f>
        <v>-22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3" s="30" t="e">
        <f>VLOOKUP(B63,'Train Runs'!$A$13:$A$99945,1,FALSE)</f>
        <v>#N/A</v>
      </c>
    </row>
    <row r="64" spans="1:10" x14ac:dyDescent="0.25">
      <c r="A64" s="185"/>
      <c r="B64" s="43" t="str">
        <f>A64&amp;"-"&amp;IF(DAY(Variables!$A$2)&lt;10,0,"")&amp;DAY(Variables!$A$2)</f>
        <v>-22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4" s="30" t="e">
        <f>VLOOKUP(B64,'Train Runs'!$A$13:$A$99945,1,FALSE)</f>
        <v>#N/A</v>
      </c>
    </row>
    <row r="65" spans="1:10" x14ac:dyDescent="0.25">
      <c r="A65" s="185"/>
      <c r="B65" s="43" t="str">
        <f>A65&amp;"-"&amp;IF(DAY(Variables!$A$2)&lt;10,0,"")&amp;DAY(Variables!$A$2)</f>
        <v>-22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5" s="30" t="e">
        <f>VLOOKUP(B65,'Train Runs'!$A$13:$A$99945,1,FALSE)</f>
        <v>#N/A</v>
      </c>
    </row>
    <row r="66" spans="1:10" x14ac:dyDescent="0.25">
      <c r="A66" s="185"/>
      <c r="B66" s="43" t="str">
        <f>A66&amp;"-"&amp;IF(DAY(Variables!$A$2)&lt;10,0,"")&amp;DAY(Variables!$A$2)</f>
        <v>-22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6" s="30" t="e">
        <f>VLOOKUP(B66,'Train Runs'!$A$13:$A$99945,1,FALSE)</f>
        <v>#N/A</v>
      </c>
    </row>
    <row r="67" spans="1:10" x14ac:dyDescent="0.25">
      <c r="A67" s="185"/>
      <c r="B67" s="43" t="str">
        <f>A67&amp;"-"&amp;IF(DAY(Variables!$A$2)&lt;10,0,"")&amp;DAY(Variables!$A$2)</f>
        <v>-22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7" s="30" t="e">
        <f>VLOOKUP(B67,'Train Runs'!$A$13:$A$99945,1,FALSE)</f>
        <v>#N/A</v>
      </c>
    </row>
    <row r="68" spans="1:10" x14ac:dyDescent="0.25">
      <c r="A68" s="185"/>
      <c r="B68" s="43" t="str">
        <f>A68&amp;"-"&amp;IF(DAY(Variables!$A$2)&lt;10,0,"")&amp;DAY(Variables!$A$2)</f>
        <v>-22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ref="I68:I89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8" s="30" t="e">
        <f>VLOOKUP(B68,'Train Runs'!$A$13:$A$99945,1,FALSE)</f>
        <v>#N/A</v>
      </c>
    </row>
    <row r="69" spans="1:10" x14ac:dyDescent="0.25">
      <c r="A69" s="185"/>
      <c r="B69" s="43" t="str">
        <f>A69&amp;"-"&amp;IF(DAY(Variables!$A$2)&lt;10,0,"")&amp;DAY(Variables!$A$2)</f>
        <v>-22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9" s="30" t="e">
        <f>VLOOKUP(B69,'Train Runs'!$A$13:$A$99945,1,FALSE)</f>
        <v>#N/A</v>
      </c>
    </row>
    <row r="70" spans="1:10" x14ac:dyDescent="0.25">
      <c r="A70" s="185"/>
      <c r="B70" s="43" t="str">
        <f>A70&amp;"-"&amp;IF(DAY(Variables!$A$2)&lt;10,0,"")&amp;DAY(Variables!$A$2)</f>
        <v>-22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0" s="30" t="e">
        <f>VLOOKUP(B70,'Train Runs'!$A$13:$A$99945,1,FALSE)</f>
        <v>#N/A</v>
      </c>
    </row>
    <row r="71" spans="1:10" x14ac:dyDescent="0.25">
      <c r="A71" s="185"/>
      <c r="B71" s="43" t="str">
        <f>A71&amp;"-"&amp;IF(DAY(Variables!$A$2)&lt;10,0,"")&amp;DAY(Variables!$A$2)</f>
        <v>-22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1" s="30" t="e">
        <f>VLOOKUP(B71,'Train Runs'!$A$13:$A$99945,1,FALSE)</f>
        <v>#N/A</v>
      </c>
    </row>
    <row r="72" spans="1:10" x14ac:dyDescent="0.25">
      <c r="A72" s="185"/>
      <c r="B72" s="43" t="str">
        <f>A72&amp;"-"&amp;IF(DAY(Variables!$A$2)&lt;10,0,"")&amp;DAY(Variables!$A$2)</f>
        <v>-22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2" s="30" t="e">
        <f>VLOOKUP(B72,'Train Runs'!$A$13:$A$99945,1,FALSE)</f>
        <v>#N/A</v>
      </c>
    </row>
    <row r="73" spans="1:10" x14ac:dyDescent="0.25">
      <c r="A73" s="185"/>
      <c r="B73" s="43" t="str">
        <f>A73&amp;"-"&amp;IF(DAY(Variables!$A$2)&lt;10,0,"")&amp;DAY(Variables!$A$2)</f>
        <v>-22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3" s="30" t="e">
        <f>VLOOKUP(B73,'Train Runs'!$A$13:$A$99945,1,FALSE)</f>
        <v>#N/A</v>
      </c>
    </row>
    <row r="74" spans="1:10" x14ac:dyDescent="0.25">
      <c r="A74" s="185"/>
      <c r="B74" s="43" t="str">
        <f>A74&amp;"-"&amp;IF(DAY(Variables!$A$2)&lt;10,0,"")&amp;DAY(Variables!$A$2)</f>
        <v>-22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4" s="30" t="e">
        <f>VLOOKUP(B74,'Train Runs'!$A$13:$A$99945,1,FALSE)</f>
        <v>#N/A</v>
      </c>
    </row>
    <row r="75" spans="1:10" x14ac:dyDescent="0.25">
      <c r="A75" s="185"/>
      <c r="B75" s="43" t="str">
        <f>A75&amp;"-"&amp;IF(DAY(Variables!$A$2)&lt;10,0,"")&amp;DAY(Variables!$A$2)</f>
        <v>-22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5" s="30" t="e">
        <f>VLOOKUP(B75,'Train Runs'!$A$13:$A$99945,1,FALSE)</f>
        <v>#N/A</v>
      </c>
    </row>
    <row r="76" spans="1:10" x14ac:dyDescent="0.25">
      <c r="A76" s="185"/>
      <c r="B76" s="43" t="str">
        <f>A76&amp;"-"&amp;IF(DAY(Variables!$A$2)&lt;10,0,"")&amp;DAY(Variables!$A$2)</f>
        <v>-22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6" s="30" t="e">
        <f>VLOOKUP(B76,'Train Runs'!$A$13:$A$99945,1,FALSE)</f>
        <v>#N/A</v>
      </c>
    </row>
    <row r="77" spans="1:10" x14ac:dyDescent="0.25">
      <c r="A77" s="185"/>
      <c r="B77" s="43" t="str">
        <f>A77&amp;"-"&amp;IF(DAY(Variables!$A$2)&lt;10,0,"")&amp;DAY(Variables!$A$2)</f>
        <v>-22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7" s="30" t="e">
        <f>VLOOKUP(B77,'Train Runs'!$A$13:$A$99945,1,FALSE)</f>
        <v>#N/A</v>
      </c>
    </row>
    <row r="78" spans="1:10" x14ac:dyDescent="0.25">
      <c r="A78" s="185"/>
      <c r="B78" s="43" t="str">
        <f>A78&amp;"-"&amp;IF(DAY(Variables!$A$2)&lt;10,0,"")&amp;DAY(Variables!$A$2)</f>
        <v>-22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8" s="30" t="e">
        <f>VLOOKUP(B78,'Train Runs'!$A$13:$A$99945,1,FALSE)</f>
        <v>#N/A</v>
      </c>
    </row>
    <row r="79" spans="1:10" x14ac:dyDescent="0.25">
      <c r="A79" s="185"/>
      <c r="B79" s="43" t="str">
        <f>A79&amp;"-"&amp;IF(DAY(Variables!$A$2)&lt;10,0,"")&amp;DAY(Variables!$A$2)</f>
        <v>-22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9" s="30" t="e">
        <f>VLOOKUP(B79,'Train Runs'!$A$13:$A$99945,1,FALSE)</f>
        <v>#N/A</v>
      </c>
    </row>
    <row r="80" spans="1:10" x14ac:dyDescent="0.25">
      <c r="A80" s="185"/>
      <c r="B80" s="43" t="str">
        <f>A80&amp;"-"&amp;IF(DAY(Variables!$A$2)&lt;10,0,"")&amp;DAY(Variables!$A$2)</f>
        <v>-22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0" s="30" t="e">
        <f>VLOOKUP(B80,'Train Runs'!$A$13:$A$99945,1,FALSE)</f>
        <v>#N/A</v>
      </c>
    </row>
    <row r="81" spans="1:10" x14ac:dyDescent="0.25">
      <c r="A81" s="185"/>
      <c r="B81" s="43" t="str">
        <f>A81&amp;"-"&amp;IF(DAY(Variables!$A$2)&lt;10,0,"")&amp;DAY(Variables!$A$2)</f>
        <v>-22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1" s="30" t="e">
        <f>VLOOKUP(B81,'Train Runs'!$A$13:$A$99945,1,FALSE)</f>
        <v>#N/A</v>
      </c>
    </row>
    <row r="82" spans="1:10" x14ac:dyDescent="0.25">
      <c r="A82" s="185"/>
      <c r="B82" s="43" t="str">
        <f>A82&amp;"-"&amp;IF(DAY(Variables!$A$2)&lt;10,0,"")&amp;DAY(Variables!$A$2)</f>
        <v>-22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2" s="30" t="e">
        <f>VLOOKUP(B82,'Train Runs'!$A$13:$A$99945,1,FALSE)</f>
        <v>#N/A</v>
      </c>
    </row>
    <row r="83" spans="1:10" x14ac:dyDescent="0.25">
      <c r="A83" s="185"/>
      <c r="B83" s="43" t="str">
        <f>A83&amp;"-"&amp;IF(DAY(Variables!$A$2)&lt;10,0,"")&amp;DAY(Variables!$A$2)</f>
        <v>-22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3" s="30" t="e">
        <f>VLOOKUP(B83,'Train Runs'!$A$13:$A$99945,1,FALSE)</f>
        <v>#N/A</v>
      </c>
    </row>
    <row r="84" spans="1:10" x14ac:dyDescent="0.25">
      <c r="A84" s="185"/>
      <c r="B84" s="43" t="str">
        <f>A84&amp;"-"&amp;IF(DAY(Variables!$A$2)&lt;10,0,"")&amp;DAY(Variables!$A$2)</f>
        <v>-22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4" s="30" t="e">
        <f>VLOOKUP(B84,'Train Runs'!$A$13:$A$99945,1,FALSE)</f>
        <v>#N/A</v>
      </c>
    </row>
    <row r="85" spans="1:10" x14ac:dyDescent="0.25">
      <c r="A85" s="185"/>
      <c r="B85" s="43" t="str">
        <f>A85&amp;"-"&amp;IF(DAY(Variables!$A$2)&lt;10,0,"")&amp;DAY(Variables!$A$2)</f>
        <v>-22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5" s="30" t="e">
        <f>VLOOKUP(B85,'Train Runs'!$A$13:$A$99945,1,FALSE)</f>
        <v>#N/A</v>
      </c>
    </row>
    <row r="86" spans="1:10" x14ac:dyDescent="0.25">
      <c r="A86" s="185"/>
      <c r="B86" s="43" t="str">
        <f>A86&amp;"-"&amp;IF(DAY(Variables!$A$2)&lt;10,0,"")&amp;DAY(Variables!$A$2)</f>
        <v>-22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6" s="30" t="e">
        <f>VLOOKUP(B86,'Train Runs'!$A$13:$A$99945,1,FALSE)</f>
        <v>#N/A</v>
      </c>
    </row>
    <row r="87" spans="1:10" x14ac:dyDescent="0.25">
      <c r="A87" s="185"/>
      <c r="B87" s="43" t="str">
        <f>A87&amp;"-"&amp;IF(DAY(Variables!$A$2)&lt;10,0,"")&amp;DAY(Variables!$A$2)</f>
        <v>-22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7" s="30" t="e">
        <f>VLOOKUP(B87,'Train Runs'!$A$13:$A$99945,1,FALSE)</f>
        <v>#N/A</v>
      </c>
    </row>
    <row r="88" spans="1:10" x14ac:dyDescent="0.25">
      <c r="A88" s="185"/>
      <c r="B88" s="43" t="str">
        <f>A88&amp;"-"&amp;IF(DAY(Variables!$A$2)&lt;10,0,"")&amp;DAY(Variables!$A$2)</f>
        <v>-22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8" s="30" t="e">
        <f>VLOOKUP(B88,'Train Runs'!$A$13:$A$99945,1,FALSE)</f>
        <v>#N/A</v>
      </c>
    </row>
    <row r="89" spans="1:10" x14ac:dyDescent="0.25">
      <c r="A89" s="185"/>
      <c r="B89" s="43" t="str">
        <f>A89&amp;"-"&amp;IF(DAY(Variables!$A$2)&lt;10,0,"")&amp;DAY(Variables!$A$2)</f>
        <v>-22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9" s="30" t="e">
        <f>VLOOKUP(B89,'Train Runs'!$A$13:$A$99945,1,FALSE)</f>
        <v>#N/A</v>
      </c>
    </row>
  </sheetData>
  <autoFilter ref="A2:J89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202" bestFit="1" customWidth="1"/>
    <col min="2" max="2" width="26.5703125" style="208" customWidth="1"/>
    <col min="3" max="3" width="8.85546875" style="198" customWidth="1"/>
    <col min="4" max="4" width="10.5703125" style="212" customWidth="1"/>
    <col min="5" max="5" width="39.5703125" bestFit="1" customWidth="1"/>
    <col min="6" max="6" width="16.5703125" style="212" customWidth="1"/>
    <col min="7" max="7" width="7" style="216" customWidth="1"/>
    <col min="8" max="8" width="6.5703125" style="218" customWidth="1"/>
    <col min="9" max="9" width="6.5703125" style="214" customWidth="1"/>
    <col min="10" max="10" width="9.42578125" style="210" bestFit="1" customWidth="1"/>
    <col min="11" max="11" width="9.42578125" style="210" customWidth="1"/>
    <col min="12" max="12" width="10.140625" style="206" customWidth="1"/>
    <col min="13" max="13" width="6.42578125" style="206" customWidth="1"/>
    <col min="14" max="15" width="6" style="206" customWidth="1"/>
    <col min="16" max="16" width="6.28515625" style="206" customWidth="1"/>
    <col min="17" max="17" width="7.28515625" style="205" customWidth="1"/>
  </cols>
  <sheetData>
    <row r="1" spans="1:17" s="195" customFormat="1" ht="35.25" customHeight="1" x14ac:dyDescent="0.25">
      <c r="A1" s="200" t="s">
        <v>362</v>
      </c>
      <c r="B1" s="207" t="s">
        <v>363</v>
      </c>
      <c r="C1" s="199" t="s">
        <v>371</v>
      </c>
      <c r="D1" s="211" t="s">
        <v>58</v>
      </c>
      <c r="E1" s="196" t="s">
        <v>24</v>
      </c>
      <c r="F1" s="211" t="s">
        <v>377</v>
      </c>
      <c r="G1" s="215" t="s">
        <v>94</v>
      </c>
      <c r="H1" s="217" t="s">
        <v>381</v>
      </c>
      <c r="I1" s="213" t="s">
        <v>380</v>
      </c>
      <c r="J1" s="209" t="s">
        <v>84</v>
      </c>
      <c r="K1" s="209" t="s">
        <v>376</v>
      </c>
      <c r="L1" s="204" t="s">
        <v>373</v>
      </c>
      <c r="M1" s="204" t="s">
        <v>364</v>
      </c>
      <c r="N1" s="204" t="s">
        <v>366</v>
      </c>
      <c r="O1" s="204" t="s">
        <v>367</v>
      </c>
      <c r="P1" s="204" t="s">
        <v>368</v>
      </c>
      <c r="Q1" s="203" t="s">
        <v>365</v>
      </c>
    </row>
    <row r="2" spans="1:17" x14ac:dyDescent="0.25">
      <c r="A2" s="201">
        <v>42800.21875</v>
      </c>
      <c r="B2" s="208" t="s">
        <v>370</v>
      </c>
      <c r="C2" s="198" t="s">
        <v>372</v>
      </c>
      <c r="D2" s="212">
        <v>104</v>
      </c>
      <c r="E2" s="30" t="s">
        <v>375</v>
      </c>
      <c r="G2" s="216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/stypes="*4028*201703061*" /stext=" 11:.+((SYSTEM_STATE.+slice.+state.+changed )|(ment ac)|(multiple cpu faults)|(system.+state.+changed )|(\[timeout)|(PRM\|1\|D)|(kpr)|(kdp)|(\|loc)|(penalty)|(\|PRM\|1\|D)|(crossing.((167)|(168)|(199)|(200))))"</v>
      </c>
      <c r="H2" s="218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"%USERPROFILE%\AppData\Local\Temp\OnboardLogs"\RTDC4028\*4028*201703061*</v>
      </c>
      <c r="I2" s="214" t="str">
        <f>IF(VLOOKUP(K2,'Train Runs'!$A$13:$V$1001,1,TRUE)=K2,VLOOKUP(K2,'Train Runs'!$A$13:$V$1001,22,TRUE),NA())</f>
        <v>https://d0f6bd738d7f1b3e5a7ca70fe4ff75f0.us-east-1.aws.found.io/app/kibana#/discover/Steve-Slow-Train-Analysis-(2080s-and-2083s)?_g=(refreshInterval:(display:Off,pause:!f,section:0,value:0),time:(from:'2017-03-22T03:33:02-0600',mode:absolute,to:'2017-03-22T06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2" s="210">
        <f t="shared" ref="J2:J35" si="2">A2-utc_offset/24</f>
        <v>42800.46875</v>
      </c>
      <c r="K2" s="210" t="str">
        <f>D2&amp;"-"&amp;IF(DAY(Variables!$A$2)&lt;10,0,"")&amp;DAY(Variables!$A$2)</f>
        <v>104-22</v>
      </c>
      <c r="L2" s="206">
        <f>IF(VLOOKUP(K2,'Train Runs'!$A$12:$B$1001,1,TRUE)=K2,VLOOKUP(K2,'Train Runs'!$A$12:$B$1001,2,TRUE),NA())</f>
        <v>4028</v>
      </c>
      <c r="M2" s="206">
        <f>VLOOKUP(B2,Variables!$T$2:$X$99,2,FALSE)</f>
        <v>167</v>
      </c>
      <c r="N2" s="206">
        <f>VLOOKUP(B2,Variables!$T$2:$X$99,3,FALSE)</f>
        <v>168</v>
      </c>
      <c r="O2" s="206">
        <f>VLOOKUP(B2,Variables!$T$2:$X$99,4,FALSE)</f>
        <v>199</v>
      </c>
      <c r="P2" s="206">
        <f>VLOOKUP(B2,Variables!$T$2:$X$99,5,FALSE)</f>
        <v>200</v>
      </c>
      <c r="Q2" s="205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201">
        <v>42800.343055555553</v>
      </c>
      <c r="B3" s="208" t="s">
        <v>370</v>
      </c>
      <c r="C3" s="198" t="s">
        <v>372</v>
      </c>
      <c r="D3" s="212">
        <v>126</v>
      </c>
      <c r="E3" s="30" t="s">
        <v>374</v>
      </c>
      <c r="F3" s="212" t="b">
        <v>1</v>
      </c>
      <c r="G3" s="216" t="str">
        <f t="shared" si="0"/>
        <v>"C:\Program Files (x86)\AstroGrep\AstroGrep.exe" /e /r /s /spath="%USERPROFILE%\AppData\Local\Temp\OnboardLogs" /stypes="*4017*201703061*" /stext=" 14:.+((SYSTEM_STATE.+slice.+state.+changed )|(ment ac)|(multiple cpu faults)|(system.+state.+changed )|(\[timeout)|(PRM\|1\|D)|(kpr)|(kdp)|(\|lc)|(penalty)|(\|PRM\|1\|D)|(crossing.((167)|(168)|(199)|(200))))"</v>
      </c>
      <c r="H3" s="218" t="str">
        <f t="shared" si="1"/>
        <v>grep -hSE " 14:.+((\|PRM\|1\|D)|(crossing.((167)|(168)|(199)|(200))))" "%USERPROFILE%\AppData\Local\Temp\OnboardLogs"\RTDC4017\*4017*201703061*</v>
      </c>
      <c r="I3" s="214" t="str">
        <f>IF(VLOOKUP(K3,'Train Runs'!$A$13:$V$1001,1,TRUE)=K3,VLOOKUP(K3,'Train Runs'!$A$13:$V$1001,22,TRUE),NA())</f>
        <v>https://d0f6bd738d7f1b3e5a7ca70fe4ff75f0.us-east-1.aws.found.io/app/kibana#/discover/Steve-Slow-Train-Analysis-(2080s-and-2083s)?_g=(refreshInterval:(display:Off,pause:!f,section:0,value:0),time:(from:'2017-03-22T06:38:25-0600',mode:absolute,to:'2017-03-22T09:18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3" s="210">
        <f t="shared" si="2"/>
        <v>42800.593055555553</v>
      </c>
      <c r="K3" s="210" t="str">
        <f>D3&amp;"-"&amp;IF(DAY(Variables!$A$2)&lt;10,0,"")&amp;DAY(Variables!$A$2)</f>
        <v>126-22</v>
      </c>
      <c r="L3" s="206">
        <f>IF(VLOOKUP(K3,'Train Runs'!$A$12:$B$1001,1,TRUE)=K3,VLOOKUP(K3,'Train Runs'!$A$12:$B$1001,2,TRUE),NA())</f>
        <v>4017</v>
      </c>
      <c r="M3" s="206">
        <f>VLOOKUP(B3,Variables!$T$2:$X$99,2,FALSE)</f>
        <v>167</v>
      </c>
      <c r="N3" s="206">
        <f>VLOOKUP(B3,Variables!$T$2:$X$99,3,FALSE)</f>
        <v>168</v>
      </c>
      <c r="O3" s="206">
        <f>VLOOKUP(B3,Variables!$T$2:$X$99,4,FALSE)</f>
        <v>199</v>
      </c>
      <c r="P3" s="206">
        <f>VLOOKUP(B3,Variables!$T$2:$X$99,5,FALSE)</f>
        <v>200</v>
      </c>
      <c r="Q3" s="205" t="str">
        <f t="shared" si="3"/>
        <v>(\|PRM\|1\|D)|(crossing.((167)|(168)|(199)|(200)))</v>
      </c>
    </row>
    <row r="4" spans="1:17" x14ac:dyDescent="0.25">
      <c r="A4" s="201">
        <v>42800.354861111111</v>
      </c>
      <c r="B4" s="208" t="s">
        <v>370</v>
      </c>
      <c r="C4" s="198" t="s">
        <v>372</v>
      </c>
      <c r="D4" s="212">
        <v>128</v>
      </c>
      <c r="E4" s="30" t="s">
        <v>374</v>
      </c>
      <c r="F4" s="212" t="b">
        <v>1</v>
      </c>
      <c r="G4" s="216" t="str">
        <f t="shared" si="0"/>
        <v>"C:\Program Files (x86)\AstroGrep\AstroGrep.exe" /e /r /s /spath="%USERPROFILE%\AppData\Local\Temp\OnboardLogs" /stypes="*4012*201703061*" /stext=" 14:.+((SYSTEM_STATE.+slice.+state.+changed )|(ment ac)|(multiple cpu faults)|(system.+state.+changed )|(\[timeout)|(PRM\|1\|D)|(kpr)|(kdp)|(\|lc)|(penalty)|(\|PRM\|1\|D)|(crossing.((167)|(168)|(199)|(200))))"</v>
      </c>
      <c r="H4" s="218" t="str">
        <f t="shared" si="1"/>
        <v>grep -hSE " 14:.+((\|PRM\|1\|D)|(crossing.((167)|(168)|(199)|(200))))" "%USERPROFILE%\AppData\Local\Temp\OnboardLogs"\RTDC4012\*4012*201703061*</v>
      </c>
      <c r="I4" s="214" t="str">
        <f>IF(VLOOKUP(K4,'Train Runs'!$A$13:$V$1001,1,TRUE)=K4,VLOOKUP(K4,'Train Runs'!$A$13:$V$1001,22,TRUE),NA())</f>
        <v>https://d0f6bd738d7f1b3e5a7ca70fe4ff75f0.us-east-1.aws.found.io/app/kibana#/discover/Steve-Slow-Train-Analysis-(2080s-and-2083s)?_g=(refreshInterval:(display:Off,pause:!f,section:0,value:0),time:(from:'2017-03-22T06:46:39-0600',mode:absolute,to:'2017-03-22T09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J4" s="210">
        <f t="shared" si="2"/>
        <v>42800.604861111111</v>
      </c>
      <c r="K4" s="210" t="str">
        <f>D4&amp;"-"&amp;IF(DAY(Variables!$A$2)&lt;10,0,"")&amp;DAY(Variables!$A$2)</f>
        <v>128-22</v>
      </c>
      <c r="L4" s="206">
        <f>IF(VLOOKUP(K4,'Train Runs'!$A$12:$B$1001,1,TRUE)=K4,VLOOKUP(K4,'Train Runs'!$A$12:$B$1001,2,TRUE),NA())</f>
        <v>4012</v>
      </c>
      <c r="M4" s="206">
        <f>VLOOKUP(B4,Variables!$T$2:$X$99,2,FALSE)</f>
        <v>167</v>
      </c>
      <c r="N4" s="206">
        <f>VLOOKUP(B4,Variables!$T$2:$X$99,3,FALSE)</f>
        <v>168</v>
      </c>
      <c r="O4" s="206">
        <f>VLOOKUP(B4,Variables!$T$2:$X$99,4,FALSE)</f>
        <v>199</v>
      </c>
      <c r="P4" s="206">
        <f>VLOOKUP(B4,Variables!$T$2:$X$99,5,FALSE)</f>
        <v>200</v>
      </c>
      <c r="Q4" s="205" t="str">
        <f t="shared" si="3"/>
        <v>(\|PRM\|1\|D)|(crossing.((167)|(168)|(199)|(200)))</v>
      </c>
    </row>
    <row r="5" spans="1:17" x14ac:dyDescent="0.25">
      <c r="A5" s="201">
        <v>42800.364583333336</v>
      </c>
      <c r="B5" s="208" t="s">
        <v>370</v>
      </c>
      <c r="C5" s="198" t="s">
        <v>372</v>
      </c>
      <c r="D5" s="212">
        <f>D4+2</f>
        <v>130</v>
      </c>
      <c r="E5" s="30" t="s">
        <v>374</v>
      </c>
      <c r="F5" s="212" t="b">
        <v>1</v>
      </c>
      <c r="G5" s="216" t="str">
        <f t="shared" si="0"/>
        <v>"C:\Program Files (x86)\AstroGrep\AstroGrep.exe" /e /r /s /spath="%USERPROFILE%\AppData\Local\Temp\OnboardLogs" /stypes="*4004*201703061*" /stext=" 14:.+((SYSTEM_STATE.+slice.+state.+changed )|(ment ac)|(multiple cpu faults)|(system.+state.+changed )|(\[timeout)|(PRM\|1\|D)|(kpr)|(kdp)|(\|lc)|(penalty)|(\|PRM\|1\|D)|(crossing.((167)|(168)|(199)|(200))))"</v>
      </c>
      <c r="H5" s="218" t="str">
        <f t="shared" si="1"/>
        <v>grep -hSE " 14:.+((\|PRM\|1\|D)|(crossing.((167)|(168)|(199)|(200))))" "%USERPROFILE%\AppData\Local\Temp\OnboardLogs"\RTDC4004\*4004*201703061*</v>
      </c>
      <c r="I5" s="214" t="str">
        <f>IF(VLOOKUP(K5,'Train Runs'!$A$13:$V$1001,1,TRUE)=K5,VLOOKUP(K5,'Train Runs'!$A$13:$V$1001,22,TRUE),NA())</f>
        <v>https://d0f6bd738d7f1b3e5a7ca70fe4ff75f0.us-east-1.aws.found.io/app/kibana#/discover/Steve-Slow-Train-Analysis-(2080s-and-2083s)?_g=(refreshInterval:(display:Off,pause:!f,section:0,value:0),time:(from:'2017-03-22T07:07:52-0600',mode:absolute,to:'2017-03-22T09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5" s="210">
        <f t="shared" si="2"/>
        <v>42800.614583333336</v>
      </c>
      <c r="K5" s="210" t="str">
        <f>D5&amp;"-"&amp;IF(DAY(Variables!$A$2)&lt;10,0,"")&amp;DAY(Variables!$A$2)</f>
        <v>130-22</v>
      </c>
      <c r="L5" s="206">
        <f>IF(VLOOKUP(K5,'Train Runs'!$A$12:$B$1001,1,TRUE)=K5,VLOOKUP(K5,'Train Runs'!$A$12:$B$1001,2,TRUE),NA())</f>
        <v>4004</v>
      </c>
      <c r="M5" s="206">
        <f>VLOOKUP(B5,Variables!$T$2:$X$99,2,FALSE)</f>
        <v>167</v>
      </c>
      <c r="N5" s="206">
        <f>VLOOKUP(B5,Variables!$T$2:$X$99,3,FALSE)</f>
        <v>168</v>
      </c>
      <c r="O5" s="206">
        <f>VLOOKUP(B5,Variables!$T$2:$X$99,4,FALSE)</f>
        <v>199</v>
      </c>
      <c r="P5" s="206">
        <f>VLOOKUP(B5,Variables!$T$2:$X$99,5,FALSE)</f>
        <v>200</v>
      </c>
      <c r="Q5" s="205" t="str">
        <f t="shared" si="3"/>
        <v>(\|PRM\|1\|D)|(crossing.((167)|(168)|(199)|(200)))</v>
      </c>
    </row>
    <row r="6" spans="1:17" x14ac:dyDescent="0.25">
      <c r="A6" s="201">
        <v>42800.375</v>
      </c>
      <c r="B6" s="208" t="s">
        <v>370</v>
      </c>
      <c r="C6" s="198" t="s">
        <v>372</v>
      </c>
      <c r="D6" s="212">
        <f>D5+2</f>
        <v>132</v>
      </c>
      <c r="E6" s="30" t="s">
        <v>374</v>
      </c>
      <c r="F6" s="212" t="b">
        <v>1</v>
      </c>
      <c r="G6" s="216" t="str">
        <f t="shared" si="0"/>
        <v>"C:\Program Files (x86)\AstroGrep\AstroGrep.exe" /e /r /s /spath="%USERPROFILE%\AppData\Local\Temp\OnboardLogs" /stypes="*4028*201703061*" /stext=" 15:.+((SYSTEM_STATE.+slice.+state.+changed )|(ment ac)|(multiple cpu faults)|(system.+state.+changed )|(\[timeout)|(PRM\|1\|D)|(kpr)|(kdp)|(\|lc)|(penalty)|(\|PRM\|1\|D)|(crossing.((167)|(168)|(199)|(200))))"</v>
      </c>
      <c r="H6" s="218" t="str">
        <f t="shared" si="1"/>
        <v>grep -hSE " 15:.+((\|PRM\|1\|D)|(crossing.((167)|(168)|(199)|(200))))" "%USERPROFILE%\AppData\Local\Temp\OnboardLogs"\RTDC4028\*4028*201703061*</v>
      </c>
      <c r="I6" s="214" t="str">
        <f>IF(VLOOKUP(K6,'Train Runs'!$A$13:$V$1001,1,TRUE)=K6,VLOOKUP(K6,'Train Runs'!$A$13:$V$1001,22,TRUE),NA())</f>
        <v>https://d0f6bd738d7f1b3e5a7ca70fe4ff75f0.us-east-1.aws.found.io/app/kibana#/discover/Steve-Slow-Train-Analysis-(2080s-and-2083s)?_g=(refreshInterval:(display:Off,pause:!f,section:0,value:0),time:(from:'2017-03-22T07:16:21-0600',mode:absolute,to:'2017-03-22T10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6" s="210">
        <f t="shared" si="2"/>
        <v>42800.625</v>
      </c>
      <c r="K6" s="210" t="str">
        <f>D6&amp;"-"&amp;IF(DAY(Variables!$A$2)&lt;10,0,"")&amp;DAY(Variables!$A$2)</f>
        <v>132-22</v>
      </c>
      <c r="L6" s="206">
        <f>IF(VLOOKUP(K6,'Train Runs'!$A$12:$B$1001,1,TRUE)=K6,VLOOKUP(K6,'Train Runs'!$A$12:$B$1001,2,TRUE),NA())</f>
        <v>4028</v>
      </c>
      <c r="M6" s="206">
        <f>VLOOKUP(B6,Variables!$T$2:$X$99,2,FALSE)</f>
        <v>167</v>
      </c>
      <c r="N6" s="206">
        <f>VLOOKUP(B6,Variables!$T$2:$X$99,3,FALSE)</f>
        <v>168</v>
      </c>
      <c r="O6" s="206">
        <f>VLOOKUP(B6,Variables!$T$2:$X$99,4,FALSE)</f>
        <v>199</v>
      </c>
      <c r="P6" s="206">
        <f>VLOOKUP(B6,Variables!$T$2:$X$99,5,FALSE)</f>
        <v>200</v>
      </c>
      <c r="Q6" s="205" t="str">
        <f t="shared" si="3"/>
        <v>(\|PRM\|1\|D)|(crossing.((167)|(168)|(199)|(200)))</v>
      </c>
    </row>
    <row r="7" spans="1:17" x14ac:dyDescent="0.25">
      <c r="A7" s="201">
        <v>42800.383333333331</v>
      </c>
      <c r="B7" s="208" t="s">
        <v>370</v>
      </c>
      <c r="C7" s="198" t="s">
        <v>372</v>
      </c>
      <c r="D7" s="212">
        <f t="shared" ref="D7:D11" si="4">D6+2</f>
        <v>134</v>
      </c>
      <c r="E7" s="30" t="s">
        <v>374</v>
      </c>
      <c r="F7" s="212" t="b">
        <v>1</v>
      </c>
      <c r="G7" s="216" t="str">
        <f t="shared" si="0"/>
        <v>"C:\Program Files (x86)\AstroGrep\AstroGrep.exe" /e /r /s /spath="%USERPROFILE%\AppData\Local\Temp\OnboardLogs" /stypes="*4039*201703061*" /stext=" 15:.+((SYSTEM_STATE.+slice.+state.+changed )|(ment ac)|(multiple cpu faults)|(system.+state.+changed )|(\[timeout)|(PRM\|1\|D)|(kpr)|(kdp)|(\|lc)|(penalty)|(\|PRM\|1\|D)|(crossing.((167)|(168)|(199)|(200))))"</v>
      </c>
      <c r="H7" s="218" t="str">
        <f t="shared" si="1"/>
        <v>grep -hSE " 15:.+((\|PRM\|1\|D)|(crossing.((167)|(168)|(199)|(200))))" "%USERPROFILE%\AppData\Local\Temp\OnboardLogs"\RTDC4039\*4039*201703061*</v>
      </c>
      <c r="I7" s="214" t="str">
        <f>IF(VLOOKUP(K7,'Train Runs'!$A$13:$V$1001,1,TRUE)=K7,VLOOKUP(K7,'Train Runs'!$A$13:$V$1001,22,TRUE),NA())</f>
        <v>https://d0f6bd738d7f1b3e5a7ca70fe4ff75f0.us-east-1.aws.found.io/app/kibana#/discover/Steve-Slow-Train-Analysis-(2080s-and-2083s)?_g=(refreshInterval:(display:Off,pause:!f,section:0,value:0),time:(from:'2017-03-22T08:11:08-0600',mode:absolute,to:'2017-03-22T10:22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7" s="210">
        <f t="shared" si="2"/>
        <v>42800.633333333331</v>
      </c>
      <c r="K7" s="210" t="str">
        <f>D7&amp;"-"&amp;IF(DAY(Variables!$A$2)&lt;10,0,"")&amp;DAY(Variables!$A$2)</f>
        <v>134-22</v>
      </c>
      <c r="L7" s="206">
        <f>IF(VLOOKUP(K7,'Train Runs'!$A$12:$B$1001,1,TRUE)=K7,VLOOKUP(K7,'Train Runs'!$A$12:$B$1001,2,TRUE),NA())</f>
        <v>4039</v>
      </c>
      <c r="M7" s="206">
        <f>VLOOKUP(B7,Variables!$T$2:$X$99,2,FALSE)</f>
        <v>167</v>
      </c>
      <c r="N7" s="206">
        <f>VLOOKUP(B7,Variables!$T$2:$X$99,3,FALSE)</f>
        <v>168</v>
      </c>
      <c r="O7" s="206">
        <f>VLOOKUP(B7,Variables!$T$2:$X$99,4,FALSE)</f>
        <v>199</v>
      </c>
      <c r="P7" s="206">
        <f>VLOOKUP(B7,Variables!$T$2:$X$99,5,FALSE)</f>
        <v>200</v>
      </c>
      <c r="Q7" s="205" t="str">
        <f t="shared" si="3"/>
        <v>(\|PRM\|1\|D)|(crossing.((167)|(168)|(199)|(200)))</v>
      </c>
    </row>
    <row r="8" spans="1:17" x14ac:dyDescent="0.25">
      <c r="A8" s="201">
        <v>42800.393750000003</v>
      </c>
      <c r="B8" s="208" t="s">
        <v>370</v>
      </c>
      <c r="C8" s="198" t="s">
        <v>372</v>
      </c>
      <c r="D8" s="212">
        <f t="shared" si="4"/>
        <v>136</v>
      </c>
      <c r="E8" s="30" t="s">
        <v>374</v>
      </c>
      <c r="F8" s="212" t="b">
        <v>1</v>
      </c>
      <c r="G8" s="216" t="str">
        <f t="shared" si="0"/>
        <v>"C:\Program Files (x86)\AstroGrep\AstroGrep.exe" /e /r /s /spath="%USERPROFILE%\AppData\Local\Temp\OnboardLogs" /stypes="*4019*201703061*" /stext=" 15:.+((SYSTEM_STATE.+slice.+state.+changed )|(ment ac)|(multiple cpu faults)|(system.+state.+changed )|(\[timeout)|(PRM\|1\|D)|(kpr)|(kdp)|(\|lc)|(penalty)|(\|PRM\|1\|D)|(crossing.((167)|(168)|(199)|(200))))"</v>
      </c>
      <c r="H8" s="218" t="str">
        <f t="shared" si="1"/>
        <v>grep -hSE " 15:.+((\|PRM\|1\|D)|(crossing.((167)|(168)|(199)|(200))))" "%USERPROFILE%\AppData\Local\Temp\OnboardLogs"\RTDC4019\*4019*201703061*</v>
      </c>
      <c r="I8" s="214" t="str">
        <f>IF(VLOOKUP(K8,'Train Runs'!$A$13:$V$1001,1,TRUE)=K8,VLOOKUP(K8,'Train Runs'!$A$13:$V$1001,22,TRUE),NA())</f>
        <v>https://d0f6bd738d7f1b3e5a7ca70fe4ff75f0.us-east-1.aws.found.io/app/kibana#/discover/Steve-Slow-Train-Analysis-(2080s-and-2083s)?_g=(refreshInterval:(display:Off,pause:!f,section:0,value:0),time:(from:'2017-03-22T07:46:50-0600',mode:absolute,to:'2017-03-22T10:38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8" s="210">
        <f t="shared" si="2"/>
        <v>42800.643750000003</v>
      </c>
      <c r="K8" s="210" t="str">
        <f>D8&amp;"-"&amp;IF(DAY(Variables!$A$2)&lt;10,0,"")&amp;DAY(Variables!$A$2)</f>
        <v>136-22</v>
      </c>
      <c r="L8" s="206">
        <f>IF(VLOOKUP(K8,'Train Runs'!$A$12:$B$1001,1,TRUE)=K8,VLOOKUP(K8,'Train Runs'!$A$12:$B$1001,2,TRUE),NA())</f>
        <v>4019</v>
      </c>
      <c r="M8" s="206">
        <f>VLOOKUP(B8,Variables!$T$2:$X$99,2,FALSE)</f>
        <v>167</v>
      </c>
      <c r="N8" s="206">
        <f>VLOOKUP(B8,Variables!$T$2:$X$99,3,FALSE)</f>
        <v>168</v>
      </c>
      <c r="O8" s="206">
        <f>VLOOKUP(B8,Variables!$T$2:$X$99,4,FALSE)</f>
        <v>199</v>
      </c>
      <c r="P8" s="206">
        <f>VLOOKUP(B8,Variables!$T$2:$X$99,5,FALSE)</f>
        <v>200</v>
      </c>
      <c r="Q8" s="205" t="str">
        <f t="shared" si="3"/>
        <v>(\|PRM\|1\|D)|(crossing.((167)|(168)|(199)|(200)))</v>
      </c>
    </row>
    <row r="9" spans="1:17" x14ac:dyDescent="0.25">
      <c r="A9" s="201">
        <v>42800.404861111114</v>
      </c>
      <c r="B9" s="208" t="s">
        <v>370</v>
      </c>
      <c r="C9" s="198" t="s">
        <v>372</v>
      </c>
      <c r="D9" s="212">
        <f t="shared" si="4"/>
        <v>138</v>
      </c>
      <c r="E9" s="30" t="s">
        <v>374</v>
      </c>
      <c r="F9" s="212" t="b">
        <v>1</v>
      </c>
      <c r="G9" s="216" t="str">
        <f t="shared" si="0"/>
        <v>"C:\Program Files (x86)\AstroGrep\AstroGrep.exe" /e /r /s /spath="%USERPROFILE%\AppData\Local\Temp\OnboardLogs" /stypes="*4041*201703061*" /stext=" 15:.+((SYSTEM_STATE.+slice.+state.+changed )|(ment ac)|(multiple cpu faults)|(system.+state.+changed )|(\[timeout)|(PRM\|1\|D)|(kpr)|(kdp)|(\|lc)|(penalty)|(\|PRM\|1\|D)|(crossing.((167)|(168)|(199)|(200))))"</v>
      </c>
      <c r="H9" s="218" t="str">
        <f t="shared" si="1"/>
        <v>grep -hSE " 15:.+((\|PRM\|1\|D)|(crossing.((167)|(168)|(199)|(200))))" "%USERPROFILE%\AppData\Local\Temp\OnboardLogs"\RTDC4041\*4041*201703061*</v>
      </c>
      <c r="I9" s="214" t="str">
        <f>IF(VLOOKUP(K9,'Train Runs'!$A$13:$V$1001,1,TRUE)=K9,VLOOKUP(K9,'Train Runs'!$A$13:$V$1001,22,TRUE),NA())</f>
        <v>https://d0f6bd738d7f1b3e5a7ca70fe4ff75f0.us-east-1.aws.found.io/app/kibana#/discover/Steve-Slow-Train-Analysis-(2080s-and-2083s)?_g=(refreshInterval:(display:Off,pause:!f,section:0,value:0),time:(from:'2017-03-22T07:54:36-0600',mode:absolute,to:'2017-03-22T10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9" s="210">
        <f t="shared" si="2"/>
        <v>42800.654861111114</v>
      </c>
      <c r="K9" s="210" t="str">
        <f>D9&amp;"-"&amp;IF(DAY(Variables!$A$2)&lt;10,0,"")&amp;DAY(Variables!$A$2)</f>
        <v>138-22</v>
      </c>
      <c r="L9" s="206">
        <f>IF(VLOOKUP(K9,'Train Runs'!$A$12:$B$1001,1,TRUE)=K9,VLOOKUP(K9,'Train Runs'!$A$12:$B$1001,2,TRUE),NA())</f>
        <v>4041</v>
      </c>
      <c r="M9" s="206">
        <f>VLOOKUP(B9,Variables!$T$2:$X$99,2,FALSE)</f>
        <v>167</v>
      </c>
      <c r="N9" s="206">
        <f>VLOOKUP(B9,Variables!$T$2:$X$99,3,FALSE)</f>
        <v>168</v>
      </c>
      <c r="O9" s="206">
        <f>VLOOKUP(B9,Variables!$T$2:$X$99,4,FALSE)</f>
        <v>199</v>
      </c>
      <c r="P9" s="206">
        <f>VLOOKUP(B9,Variables!$T$2:$X$99,5,FALSE)</f>
        <v>200</v>
      </c>
      <c r="Q9" s="205" t="str">
        <f t="shared" si="3"/>
        <v>(\|PRM\|1\|D)|(crossing.((167)|(168)|(199)|(200)))</v>
      </c>
    </row>
    <row r="10" spans="1:17" x14ac:dyDescent="0.25">
      <c r="A10" s="201">
        <v>42800.415972222225</v>
      </c>
      <c r="B10" s="208" t="s">
        <v>370</v>
      </c>
      <c r="C10" s="198" t="s">
        <v>372</v>
      </c>
      <c r="D10" s="212">
        <f t="shared" si="4"/>
        <v>140</v>
      </c>
      <c r="E10" s="30" t="s">
        <v>374</v>
      </c>
      <c r="F10" s="212" t="b">
        <v>1</v>
      </c>
      <c r="G10" s="216" t="str">
        <f t="shared" si="0"/>
        <v>"C:\Program Files (x86)\AstroGrep\AstroGrep.exe" /e /r /s /spath="%USERPROFILE%\AppData\Local\Temp\OnboardLogs" /stypes="*4017*201703061*" /stext=" 15:.+((SYSTEM_STATE.+slice.+state.+changed )|(ment ac)|(multiple cpu faults)|(system.+state.+changed )|(\[timeout)|(PRM\|1\|D)|(kpr)|(kdp)|(\|lc)|(penalty)|(\|PRM\|1\|D)|(crossing.((167)|(168)|(199)|(200))))"</v>
      </c>
      <c r="H10" s="218" t="str">
        <f t="shared" si="1"/>
        <v>grep -hSE " 15:.+((\|PRM\|1\|D)|(crossing.((167)|(168)|(199)|(200))))" "%USERPROFILE%\AppData\Local\Temp\OnboardLogs"\RTDC4017\*4017*201703061*</v>
      </c>
      <c r="I10" s="214" t="str">
        <f>IF(VLOOKUP(K10,'Train Runs'!$A$13:$V$1001,1,TRUE)=K10,VLOOKUP(K10,'Train Runs'!$A$13:$V$1001,22,TRUE),NA())</f>
        <v>https://d0f6bd738d7f1b3e5a7ca70fe4ff75f0.us-east-1.aws.found.io/app/kibana#/discover/Steve-Slow-Train-Analysis-(2080s-and-2083s)?_g=(refreshInterval:(display:Off,pause:!f,section:0,value:0),time:(from:'2017-03-22T08:22:33-0600',mode:absolute,to:'2017-03-22T11:09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10" s="210">
        <f t="shared" si="2"/>
        <v>42800.665972222225</v>
      </c>
      <c r="K10" s="210" t="str">
        <f>D10&amp;"-"&amp;IF(DAY(Variables!$A$2)&lt;10,0,"")&amp;DAY(Variables!$A$2)</f>
        <v>140-22</v>
      </c>
      <c r="L10" s="206">
        <f>IF(VLOOKUP(K10,'Train Runs'!$A$12:$B$1001,1,TRUE)=K10,VLOOKUP(K10,'Train Runs'!$A$12:$B$1001,2,TRUE),NA())</f>
        <v>4017</v>
      </c>
      <c r="M10" s="206">
        <f>VLOOKUP(B10,Variables!$T$2:$X$99,2,FALSE)</f>
        <v>167</v>
      </c>
      <c r="N10" s="206">
        <f>VLOOKUP(B10,Variables!$T$2:$X$99,3,FALSE)</f>
        <v>168</v>
      </c>
      <c r="O10" s="206">
        <f>VLOOKUP(B10,Variables!$T$2:$X$99,4,FALSE)</f>
        <v>199</v>
      </c>
      <c r="P10" s="206">
        <f>VLOOKUP(B10,Variables!$T$2:$X$99,5,FALSE)</f>
        <v>200</v>
      </c>
      <c r="Q10" s="205" t="str">
        <f t="shared" si="3"/>
        <v>(\|PRM\|1\|D)|(crossing.((167)|(168)|(199)|(200)))</v>
      </c>
    </row>
    <row r="11" spans="1:17" x14ac:dyDescent="0.25">
      <c r="A11" s="201">
        <v>42800.425000000003</v>
      </c>
      <c r="B11" s="208" t="s">
        <v>370</v>
      </c>
      <c r="C11" s="198" t="s">
        <v>372</v>
      </c>
      <c r="D11" s="212">
        <f t="shared" si="4"/>
        <v>142</v>
      </c>
      <c r="E11" s="30" t="s">
        <v>374</v>
      </c>
      <c r="F11" s="212" t="b">
        <v>1</v>
      </c>
      <c r="G11" s="216" t="str">
        <f t="shared" si="0"/>
        <v>"C:\Program Files (x86)\AstroGrep\AstroGrep.exe" /e /r /s /spath="%USERPROFILE%\AppData\Local\Temp\OnboardLogs" /stypes="*4012*201703061*" /stext=" 16:.+((SYSTEM_STATE.+slice.+state.+changed )|(ment ac)|(multiple cpu faults)|(system.+state.+changed )|(\[timeout)|(PRM\|1\|D)|(kpr)|(kdp)|(\|lc)|(penalty)|(\|PRM\|1\|D)|(crossing.((167)|(168)|(199)|(200))))"</v>
      </c>
      <c r="H11" s="218" t="str">
        <f t="shared" si="1"/>
        <v>grep -hSE " 16:.+((\|PRM\|1\|D)|(crossing.((167)|(168)|(199)|(200))))" "%USERPROFILE%\AppData\Local\Temp\OnboardLogs"\RTDC4012\*4012*201703061*</v>
      </c>
      <c r="I11" s="214" t="str">
        <f>IF(VLOOKUP(K11,'Train Runs'!$A$13:$V$1001,1,TRUE)=K11,VLOOKUP(K11,'Train Runs'!$A$13:$V$1001,22,TRUE),NA())</f>
        <v>https://d0f6bd738d7f1b3e5a7ca70fe4ff75f0.us-east-1.aws.found.io/app/kibana#/discover/Steve-Slow-Train-Analysis-(2080s-and-2083s)?_g=(refreshInterval:(display:Off,pause:!f,section:0,value:0),time:(from:'2017-03-22T08:29:19-0600',mode:absolute,to:'2017-03-22T11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J11" s="210">
        <f t="shared" si="2"/>
        <v>42800.675000000003</v>
      </c>
      <c r="K11" s="210" t="str">
        <f>D11&amp;"-"&amp;IF(DAY(Variables!$A$2)&lt;10,0,"")&amp;DAY(Variables!$A$2)</f>
        <v>142-22</v>
      </c>
      <c r="L11" s="206">
        <f>IF(VLOOKUP(K11,'Train Runs'!$A$12:$B$1001,1,TRUE)=K11,VLOOKUP(K11,'Train Runs'!$A$12:$B$1001,2,TRUE),NA())</f>
        <v>4012</v>
      </c>
      <c r="M11" s="206">
        <f>VLOOKUP(B11,Variables!$T$2:$X$99,2,FALSE)</f>
        <v>167</v>
      </c>
      <c r="N11" s="206">
        <f>VLOOKUP(B11,Variables!$T$2:$X$99,3,FALSE)</f>
        <v>168</v>
      </c>
      <c r="O11" s="206">
        <f>VLOOKUP(B11,Variables!$T$2:$X$99,4,FALSE)</f>
        <v>199</v>
      </c>
      <c r="P11" s="206">
        <f>VLOOKUP(B11,Variables!$T$2:$X$99,5,FALSE)</f>
        <v>200</v>
      </c>
      <c r="Q11" s="205" t="str">
        <f t="shared" si="3"/>
        <v>(\|PRM\|1\|D)|(crossing.((167)|(168)|(199)|(200)))</v>
      </c>
    </row>
    <row r="12" spans="1:17" x14ac:dyDescent="0.25">
      <c r="A12" s="201">
        <v>42800.435416666667</v>
      </c>
      <c r="B12" s="208" t="s">
        <v>370</v>
      </c>
      <c r="C12" s="198" t="s">
        <v>372</v>
      </c>
      <c r="D12" s="212">
        <v>144</v>
      </c>
      <c r="E12" s="30" t="s">
        <v>374</v>
      </c>
      <c r="F12" s="212" t="b">
        <v>1</v>
      </c>
      <c r="G12" s="216" t="str">
        <f t="shared" si="0"/>
        <v>"C:\Program Files (x86)\AstroGrep\AstroGrep.exe" /e /r /s /spath="%USERPROFILE%\AppData\Local\Temp\OnboardLogs" /stypes="*4004*201703061*" /stext=" 16:.+((SYSTEM_STATE.+slice.+state.+changed )|(ment ac)|(multiple cpu faults)|(system.+state.+changed )|(\[timeout)|(PRM\|1\|D)|(kpr)|(kdp)|(\|lc)|(penalty)|(\|PRM\|1\|D)|(crossing.((167)|(168)|(199)|(200))))"</v>
      </c>
      <c r="H12" s="218" t="str">
        <f t="shared" si="1"/>
        <v>grep -hSE " 16:.+((\|PRM\|1\|D)|(crossing.((167)|(168)|(199)|(200))))" "%USERPROFILE%\AppData\Local\Temp\OnboardLogs"\RTDC4004\*4004*201703061*</v>
      </c>
      <c r="I12" s="214" t="str">
        <f>IF(VLOOKUP(K12,'Train Runs'!$A$13:$V$1001,1,TRUE)=K12,VLOOKUP(K12,'Train Runs'!$A$13:$V$1001,22,TRUE),NA())</f>
        <v>https://d0f6bd738d7f1b3e5a7ca70fe4ff75f0.us-east-1.aws.found.io/app/kibana#/discover/Steve-Slow-Train-Analysis-(2080s-and-2083s)?_g=(refreshInterval:(display:Off,pause:!f,section:0,value:0),time:(from:'2017-03-22T08:53:50-0600',mode:absolute,to:'2017-03-22T11:38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12" s="210">
        <f t="shared" si="2"/>
        <v>42800.685416666667</v>
      </c>
      <c r="K12" s="210" t="str">
        <f>D12&amp;"-"&amp;IF(DAY(Variables!$A$2)&lt;10,0,"")&amp;DAY(Variables!$A$2)</f>
        <v>144-22</v>
      </c>
      <c r="L12" s="206">
        <f>IF(VLOOKUP(K12,'Train Runs'!$A$12:$B$1001,1,TRUE)=K12,VLOOKUP(K12,'Train Runs'!$A$12:$B$1001,2,TRUE),NA())</f>
        <v>4004</v>
      </c>
      <c r="M12" s="206">
        <f>VLOOKUP(B12,Variables!$T$2:$X$99,2,FALSE)</f>
        <v>167</v>
      </c>
      <c r="N12" s="206">
        <f>VLOOKUP(B12,Variables!$T$2:$X$99,3,FALSE)</f>
        <v>168</v>
      </c>
      <c r="O12" s="206">
        <f>VLOOKUP(B12,Variables!$T$2:$X$99,4,FALSE)</f>
        <v>199</v>
      </c>
      <c r="P12" s="206">
        <f>VLOOKUP(B12,Variables!$T$2:$X$99,5,FALSE)</f>
        <v>200</v>
      </c>
      <c r="Q12" s="205" t="str">
        <f t="shared" si="3"/>
        <v>(\|PRM\|1\|D)|(crossing.((167)|(168)|(199)|(200)))</v>
      </c>
    </row>
    <row r="13" spans="1:17" x14ac:dyDescent="0.25">
      <c r="A13" s="201">
        <v>42800.445833333331</v>
      </c>
      <c r="B13" s="208" t="s">
        <v>370</v>
      </c>
      <c r="C13" s="198" t="s">
        <v>372</v>
      </c>
      <c r="D13" s="212">
        <v>146</v>
      </c>
      <c r="E13" s="30" t="s">
        <v>374</v>
      </c>
      <c r="F13" s="212" t="b">
        <v>1</v>
      </c>
      <c r="G13" s="216" t="str">
        <f t="shared" si="0"/>
        <v>"C:\Program Files (x86)\AstroGrep\AstroGrep.exe" /e /r /s /spath="%USERPROFILE%\AppData\Local\Temp\OnboardLogs" /stypes="*4028*201703061*" /stext=" 16:.+((SYSTEM_STATE.+slice.+state.+changed )|(ment ac)|(multiple cpu faults)|(system.+state.+changed )|(\[timeout)|(PRM\|1\|D)|(kpr)|(kdp)|(\|lc)|(penalty)|(\|PRM\|1\|D)|(crossing.((167)|(168)|(199)|(200))))"</v>
      </c>
      <c r="H13" s="218" t="str">
        <f t="shared" si="1"/>
        <v>grep -hSE " 16:.+((\|PRM\|1\|D)|(crossing.((167)|(168)|(199)|(200))))" "%USERPROFILE%\AppData\Local\Temp\OnboardLogs"\RTDC4028\*4028*201703061*</v>
      </c>
      <c r="I13" s="214" t="str">
        <f>IF(VLOOKUP(K13,'Train Runs'!$A$13:$V$1001,1,TRUE)=K13,VLOOKUP(K13,'Train Runs'!$A$13:$V$1001,22,TRUE),NA())</f>
        <v>https://d0f6bd738d7f1b3e5a7ca70fe4ff75f0.us-east-1.aws.found.io/app/kibana#/discover/Steve-Slow-Train-Analysis-(2080s-and-2083s)?_g=(refreshInterval:(display:Off,pause:!f,section:0,value:0),time:(from:'2017-03-22T09:01:09-0600',mode:absolute,to:'2017-03-22T11:50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13" s="210">
        <f t="shared" si="2"/>
        <v>42800.695833333331</v>
      </c>
      <c r="K13" s="210" t="str">
        <f>D13&amp;"-"&amp;IF(DAY(Variables!$A$2)&lt;10,0,"")&amp;DAY(Variables!$A$2)</f>
        <v>146-22</v>
      </c>
      <c r="L13" s="206">
        <f>IF(VLOOKUP(K13,'Train Runs'!$A$12:$B$1001,1,TRUE)=K13,VLOOKUP(K13,'Train Runs'!$A$12:$B$1001,2,TRUE),NA())</f>
        <v>4028</v>
      </c>
      <c r="M13" s="206">
        <f>VLOOKUP(B13,Variables!$T$2:$X$99,2,FALSE)</f>
        <v>167</v>
      </c>
      <c r="N13" s="206">
        <f>VLOOKUP(B13,Variables!$T$2:$X$99,3,FALSE)</f>
        <v>168</v>
      </c>
      <c r="O13" s="206">
        <f>VLOOKUP(B13,Variables!$T$2:$X$99,4,FALSE)</f>
        <v>199</v>
      </c>
      <c r="P13" s="206">
        <f>VLOOKUP(B13,Variables!$T$2:$X$99,5,FALSE)</f>
        <v>200</v>
      </c>
      <c r="Q13" s="205" t="str">
        <f t="shared" si="3"/>
        <v>(\|PRM\|1\|D)|(crossing.((167)|(168)|(199)|(200)))</v>
      </c>
    </row>
    <row r="14" spans="1:17" x14ac:dyDescent="0.25">
      <c r="A14" s="201">
        <v>42800.456944444442</v>
      </c>
      <c r="B14" s="208" t="s">
        <v>370</v>
      </c>
      <c r="C14" s="198" t="s">
        <v>372</v>
      </c>
      <c r="D14" s="212">
        <v>148</v>
      </c>
      <c r="E14" s="30" t="s">
        <v>378</v>
      </c>
      <c r="F14" s="212" t="b">
        <v>1</v>
      </c>
      <c r="G14" s="216" t="str">
        <f t="shared" si="0"/>
        <v>"C:\Program Files (x86)\AstroGrep\AstroGrep.exe" /e /r /s /spath="%USERPROFILE%\AppData\Local\Temp\OnboardLogs" /stypes="*4039*201703061*" /stext=" 16:.+((SYSTEM_STATE.+slice.+state.+changed )|(ment ac)|(multiple cpu faults)|(system.+state.+changed )|(\[timeout)|(PRM\|1\|D)|(kpr)|(kdp)|(\|lc)|(penalty)|(\|PRM\|1\|D)|(crossing.((167)|(168)|(199)|(200))))"</v>
      </c>
      <c r="H14" s="218" t="str">
        <f t="shared" si="1"/>
        <v>grep -hSE " 16:.+((\|PRM\|1\|D)|(crossing.((167)|(168)|(199)|(200))))" "%USERPROFILE%\AppData\Local\Temp\OnboardLogs"\RTDC4039\*4039*201703061*</v>
      </c>
      <c r="I14" s="214" t="str">
        <f>IF(VLOOKUP(K14,'Train Runs'!$A$13:$V$1001,1,TRUE)=K14,VLOOKUP(K14,'Train Runs'!$A$13:$V$1001,22,TRUE),NA())</f>
        <v>https://d0f6bd738d7f1b3e5a7ca70fe4ff75f0.us-east-1.aws.found.io/app/kibana#/discover/Steve-Slow-Train-Analysis-(2080s-and-2083s)?_g=(refreshInterval:(display:Off,pause:!f,section:0,value:0),time:(from:'2017-03-22T09:17:43-0600',mode:absolute,to:'2017-03-22T12:04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14" s="210">
        <f t="shared" si="2"/>
        <v>42800.706944444442</v>
      </c>
      <c r="K14" s="210" t="str">
        <f>D14&amp;"-"&amp;IF(DAY(Variables!$A$2)&lt;10,0,"")&amp;DAY(Variables!$A$2)</f>
        <v>148-22</v>
      </c>
      <c r="L14" s="206">
        <f>IF(VLOOKUP(K14,'Train Runs'!$A$12:$B$1001,1,TRUE)=K14,VLOOKUP(K14,'Train Runs'!$A$12:$B$1001,2,TRUE),NA())</f>
        <v>4039</v>
      </c>
      <c r="M14" s="206">
        <f>VLOOKUP(B14,Variables!$T$2:$X$99,2,FALSE)</f>
        <v>167</v>
      </c>
      <c r="N14" s="206">
        <f>VLOOKUP(B14,Variables!$T$2:$X$99,3,FALSE)</f>
        <v>168</v>
      </c>
      <c r="O14" s="206">
        <f>VLOOKUP(B14,Variables!$T$2:$X$99,4,FALSE)</f>
        <v>199</v>
      </c>
      <c r="P14" s="206">
        <f>VLOOKUP(B14,Variables!$T$2:$X$99,5,FALSE)</f>
        <v>200</v>
      </c>
      <c r="Q14" s="205" t="str">
        <f t="shared" si="3"/>
        <v>(\|PRM\|1\|D)|(crossing.((167)|(168)|(199)|(200)))</v>
      </c>
    </row>
    <row r="15" spans="1:17" x14ac:dyDescent="0.25">
      <c r="A15" s="201">
        <v>42800.614583333336</v>
      </c>
      <c r="B15" s="208" t="s">
        <v>370</v>
      </c>
      <c r="C15" s="198" t="s">
        <v>372</v>
      </c>
      <c r="D15" s="212">
        <v>178</v>
      </c>
      <c r="E15" s="30" t="s">
        <v>379</v>
      </c>
      <c r="F15" s="212" t="b">
        <v>1</v>
      </c>
      <c r="G15" s="216" t="str">
        <f t="shared" si="0"/>
        <v>"C:\Program Files (x86)\AstroGrep\AstroGrep.exe" /e /r /s /spath="%USERPROFILE%\AppData\Local\Temp\OnboardLogs" /stypes="*4019*201703062*" /stext=" 20:.+((SYSTEM_STATE.+slice.+state.+changed )|(ment ac)|(multiple cpu faults)|(system.+state.+changed )|(\[timeout)|(PRM\|1\|D)|(kpr)|(kdp)|(\|lc)|(penalty)|(\|PRM\|1\|D)|(crossing.((167)|(168)|(199)|(200))))"</v>
      </c>
      <c r="H15" s="218" t="str">
        <f t="shared" si="1"/>
        <v>grep -hSE " 20:.+((\|PRM\|1\|D)|(crossing.((167)|(168)|(199)|(200))))" "%USERPROFILE%\AppData\Local\Temp\OnboardLogs"\RTDC4019\*4019*201703062*</v>
      </c>
      <c r="I15" s="214" t="str">
        <f>IF(VLOOKUP(K15,'Train Runs'!$A$13:$V$1001,1,TRUE)=K15,VLOOKUP(K15,'Train Runs'!$A$13:$V$1001,22,TRUE),NA())</f>
        <v>https://d0f6bd738d7f1b3e5a7ca70fe4ff75f0.us-east-1.aws.found.io/app/kibana#/discover/Steve-Slow-Train-Analysis-(2080s-and-2083s)?_g=(refreshInterval:(display:Off,pause:!f,section:0,value:0),time:(from:'2017-03-22T13:03:28-0600',mode:absolute,to:'2017-03-22T15:52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15" s="210">
        <f t="shared" si="2"/>
        <v>42800.864583333336</v>
      </c>
      <c r="K15" s="210" t="str">
        <f>D15&amp;"-"&amp;IF(DAY(Variables!$A$2)&lt;10,0,"")&amp;DAY(Variables!$A$2)</f>
        <v>178-22</v>
      </c>
      <c r="L15" s="206">
        <f>IF(VLOOKUP(K15,'Train Runs'!$A$12:$B$1001,1,TRUE)=K15,VLOOKUP(K15,'Train Runs'!$A$12:$B$1001,2,TRUE),NA())</f>
        <v>4019</v>
      </c>
      <c r="M15" s="206">
        <f>VLOOKUP(B15,Variables!$T$2:$X$99,2,FALSE)</f>
        <v>167</v>
      </c>
      <c r="N15" s="206">
        <f>VLOOKUP(B15,Variables!$T$2:$X$99,3,FALSE)</f>
        <v>168</v>
      </c>
      <c r="O15" s="206">
        <f>VLOOKUP(B15,Variables!$T$2:$X$99,4,FALSE)</f>
        <v>199</v>
      </c>
      <c r="P15" s="206">
        <f>VLOOKUP(B15,Variables!$T$2:$X$99,5,FALSE)</f>
        <v>200</v>
      </c>
      <c r="Q15" s="205" t="str">
        <f t="shared" si="3"/>
        <v>(\|PRM\|1\|D)|(crossing.((167)|(168)|(199)|(200)))</v>
      </c>
    </row>
    <row r="16" spans="1:17" x14ac:dyDescent="0.25">
      <c r="A16" s="201">
        <v>42800.699305555558</v>
      </c>
      <c r="B16" s="208" t="s">
        <v>370</v>
      </c>
      <c r="C16" s="198" t="s">
        <v>372</v>
      </c>
      <c r="D16" s="212">
        <v>194</v>
      </c>
      <c r="E16" s="30" t="s">
        <v>379</v>
      </c>
      <c r="F16" s="212" t="b">
        <v>1</v>
      </c>
      <c r="G16" s="216" t="str">
        <f t="shared" si="0"/>
        <v>"C:\Program Files (x86)\AstroGrep\AstroGrep.exe" /e /r /s /spath="%USERPROFILE%\AppData\Local\Temp\OnboardLogs" /stypes="*4041*201703062*" /stext=" 22:.+((SYSTEM_STATE.+slice.+state.+changed )|(ment ac)|(multiple cpu faults)|(system.+state.+changed )|(\[timeout)|(PRM\|1\|D)|(kpr)|(kdp)|(\|lc)|(penalty)|(\|PRM\|1\|D)|(crossing.((167)|(168)|(199)|(200))))"</v>
      </c>
      <c r="H16" s="218" t="str">
        <f t="shared" si="1"/>
        <v>grep -hSE " 22:.+((\|PRM\|1\|D)|(crossing.((167)|(168)|(199)|(200))))" "%USERPROFILE%\AppData\Local\Temp\OnboardLogs"\RTDC4041\*4041*201703062*</v>
      </c>
      <c r="I16" s="214" t="str">
        <f>IF(VLOOKUP(K16,'Train Runs'!$A$13:$V$1001,1,TRUE)=K16,VLOOKUP(K16,'Train Runs'!$A$13:$V$1001,22,TRUE),NA())</f>
        <v>https://d0f6bd738d7f1b3e5a7ca70fe4ff75f0.us-east-1.aws.found.io/app/kibana#/discover/Steve-Slow-Train-Analysis-(2080s-and-2083s)?_g=(refreshInterval:(display:Off,pause:!f,section:0,value:0),time:(from:'2017-03-22T15:06:43-0600',mode:absolute,to:'2017-03-22T17:50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16" s="210">
        <f t="shared" si="2"/>
        <v>42800.949305555558</v>
      </c>
      <c r="K16" s="210" t="str">
        <f>D16&amp;"-"&amp;IF(DAY(Variables!$A$2)&lt;10,0,"")&amp;DAY(Variables!$A$2)</f>
        <v>194-22</v>
      </c>
      <c r="L16" s="206">
        <f>IF(VLOOKUP(K16,'Train Runs'!$A$12:$B$1001,1,TRUE)=K16,VLOOKUP(K16,'Train Runs'!$A$12:$B$1001,2,TRUE),NA())</f>
        <v>4041</v>
      </c>
      <c r="M16" s="206">
        <f>VLOOKUP(B16,Variables!$T$2:$X$99,2,FALSE)</f>
        <v>167</v>
      </c>
      <c r="N16" s="206">
        <f>VLOOKUP(B16,Variables!$T$2:$X$99,3,FALSE)</f>
        <v>168</v>
      </c>
      <c r="O16" s="206">
        <f>VLOOKUP(B16,Variables!$T$2:$X$99,4,FALSE)</f>
        <v>199</v>
      </c>
      <c r="P16" s="206">
        <f>VLOOKUP(B16,Variables!$T$2:$X$99,5,FALSE)</f>
        <v>200</v>
      </c>
      <c r="Q16" s="205" t="str">
        <f t="shared" si="3"/>
        <v>(\|PRM\|1\|D)|(crossing.((167)|(168)|(199)|(200)))</v>
      </c>
    </row>
    <row r="17" spans="1:17" x14ac:dyDescent="0.25">
      <c r="A17" s="201">
        <v>42800.771527777775</v>
      </c>
      <c r="B17" s="208" t="s">
        <v>370</v>
      </c>
      <c r="C17" s="198" t="s">
        <v>372</v>
      </c>
      <c r="D17" s="212">
        <v>206</v>
      </c>
      <c r="E17" s="30" t="s">
        <v>374</v>
      </c>
      <c r="F17" s="212" t="b">
        <v>1</v>
      </c>
      <c r="G17" s="216" t="str">
        <f t="shared" si="0"/>
        <v>"C:\Program Files (x86)\AstroGrep\AstroGrep.exe" /e /r /s /spath="%USERPROFILE%\AppData\Local\Temp\OnboardLogs" /stypes="*4045*201703070*" /stext=" 00:.+((SYSTEM_STATE.+slice.+state.+changed )|(ment ac)|(multiple cpu faults)|(system.+state.+changed )|(\[timeout)|(PRM\|1\|D)|(kpr)|(kdp)|(\|lc)|(penalty)|(\|PRM\|1\|D)|(crossing.((167)|(168)|(199)|(200))))"</v>
      </c>
      <c r="H17" s="218" t="str">
        <f t="shared" si="1"/>
        <v>grep -hSE " 00:.+((\|PRM\|1\|D)|(crossing.((167)|(168)|(199)|(200))))" "%USERPROFILE%\AppData\Local\Temp\OnboardLogs"\RTDC4045\*4045*201703070*</v>
      </c>
      <c r="I17" s="214" t="str">
        <f>IF(VLOOKUP(K17,'Train Runs'!$A$13:$V$1001,1,TRUE)=K17,VLOOKUP(K17,'Train Runs'!$A$13:$V$1001,22,TRUE),NA())</f>
        <v>https://d0f6bd738d7f1b3e5a7ca70fe4ff75f0.us-east-1.aws.found.io/app/kibana#/discover/Steve-Slow-Train-Analysis-(2080s-and-2083s)?_g=(refreshInterval:(display:Off,pause:!f,section:0,value:0),time:(from:'2017-03-22T16:31:51-0600',mode:absolute,to:'2017-03-22T19:24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17" s="210">
        <f t="shared" si="2"/>
        <v>42801.021527777775</v>
      </c>
      <c r="K17" s="210" t="str">
        <f>D17&amp;"-"&amp;IF(DAY(Variables!$A$2)&lt;10,0,"")&amp;DAY(Variables!$A$2)</f>
        <v>206-22</v>
      </c>
      <c r="L17" s="206">
        <f>IF(VLOOKUP(K17,'Train Runs'!$A$12:$B$1001,1,TRUE)=K17,VLOOKUP(K17,'Train Runs'!$A$12:$B$1001,2,TRUE),NA())</f>
        <v>4045</v>
      </c>
      <c r="M17" s="206">
        <f>VLOOKUP(B17,Variables!$T$2:$X$99,2,FALSE)</f>
        <v>167</v>
      </c>
      <c r="N17" s="206">
        <f>VLOOKUP(B17,Variables!$T$2:$X$99,3,FALSE)</f>
        <v>168</v>
      </c>
      <c r="O17" s="206">
        <f>VLOOKUP(B17,Variables!$T$2:$X$99,4,FALSE)</f>
        <v>199</v>
      </c>
      <c r="P17" s="206">
        <f>VLOOKUP(B17,Variables!$T$2:$X$99,5,FALSE)</f>
        <v>200</v>
      </c>
      <c r="Q17" s="205" t="str">
        <f t="shared" si="3"/>
        <v>(\|PRM\|1\|D)|(crossing.((167)|(168)|(199)|(200)))</v>
      </c>
    </row>
    <row r="18" spans="1:17" x14ac:dyDescent="0.25">
      <c r="A18" s="201">
        <v>42800.784722222219</v>
      </c>
      <c r="B18" s="208" t="s">
        <v>370</v>
      </c>
      <c r="C18" s="198" t="s">
        <v>372</v>
      </c>
      <c r="D18" s="212">
        <v>210</v>
      </c>
      <c r="E18" s="30" t="s">
        <v>374</v>
      </c>
      <c r="F18" s="212" t="b">
        <v>1</v>
      </c>
      <c r="G18" s="216" t="str">
        <f t="shared" si="0"/>
        <v>"C:\Program Files (x86)\AstroGrep\AstroGrep.exe" /e /r /s /spath="%USERPROFILE%\AppData\Local\Temp\OnboardLogs" /stypes="*4017*201703070*" /stext=" 00:.+((SYSTEM_STATE.+slice.+state.+changed )|(ment ac)|(multiple cpu faults)|(system.+state.+changed )|(\[timeout)|(PRM\|1\|D)|(kpr)|(kdp)|(\|lc)|(penalty)|(\|PRM\|1\|D)|(crossing.((167)|(168)|(199)|(200))))"</v>
      </c>
      <c r="H18" s="218" t="str">
        <f t="shared" si="1"/>
        <v>grep -hSE " 00:.+((\|PRM\|1\|D)|(crossing.((167)|(168)|(199)|(200))))" "%USERPROFILE%\AppData\Local\Temp\OnboardLogs"\RTDC4017\*4017*201703070*</v>
      </c>
      <c r="I18" s="214" t="str">
        <f>IF(VLOOKUP(K18,'Train Runs'!$A$13:$V$1001,1,TRUE)=K18,VLOOKUP(K18,'Train Runs'!$A$13:$V$1001,22,TRUE),NA())</f>
        <v>https://d0f6bd738d7f1b3e5a7ca70fe4ff75f0.us-east-1.aws.found.io/app/kibana#/discover/Steve-Slow-Train-Analysis-(2080s-and-2083s)?_g=(refreshInterval:(display:Off,pause:!f,section:0,value:0),time:(from:'2017-03-22T16:59:12-0600',mode:absolute,to:'2017-03-22T19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18" s="210">
        <f t="shared" si="2"/>
        <v>42801.034722222219</v>
      </c>
      <c r="K18" s="210" t="str">
        <f>D18&amp;"-"&amp;IF(DAY(Variables!$A$2)&lt;10,0,"")&amp;DAY(Variables!$A$2)</f>
        <v>210-22</v>
      </c>
      <c r="L18" s="206">
        <f>IF(VLOOKUP(K18,'Train Runs'!$A$12:$B$1001,1,TRUE)=K18,VLOOKUP(K18,'Train Runs'!$A$12:$B$1001,2,TRUE),NA())</f>
        <v>4017</v>
      </c>
      <c r="M18" s="206">
        <f>VLOOKUP(B18,Variables!$T$2:$X$99,2,FALSE)</f>
        <v>167</v>
      </c>
      <c r="N18" s="206">
        <f>VLOOKUP(B18,Variables!$T$2:$X$99,3,FALSE)</f>
        <v>168</v>
      </c>
      <c r="O18" s="206">
        <f>VLOOKUP(B18,Variables!$T$2:$X$99,4,FALSE)</f>
        <v>199</v>
      </c>
      <c r="P18" s="206">
        <f>VLOOKUP(B18,Variables!$T$2:$X$99,5,FALSE)</f>
        <v>200</v>
      </c>
      <c r="Q18" s="205" t="str">
        <f t="shared" si="3"/>
        <v>(\|PRM\|1\|D)|(crossing.((167)|(168)|(199)|(200)))</v>
      </c>
    </row>
    <row r="19" spans="1:17" x14ac:dyDescent="0.25">
      <c r="A19" s="201">
        <v>42800.790277777778</v>
      </c>
      <c r="B19" s="208" t="s">
        <v>370</v>
      </c>
      <c r="C19" s="198" t="s">
        <v>372</v>
      </c>
      <c r="D19" s="212">
        <f>D18+2</f>
        <v>212</v>
      </c>
      <c r="E19" s="30" t="s">
        <v>374</v>
      </c>
      <c r="F19" s="212" t="b">
        <v>1</v>
      </c>
      <c r="G19" s="216" t="str">
        <f t="shared" si="0"/>
        <v>"C:\Program Files (x86)\AstroGrep\AstroGrep.exe" /e /r /s /spath="%USERPROFILE%\AppData\Local\Temp\OnboardLogs" /stypes="*4012*201703070*" /stext=" 00:.+((SYSTEM_STATE.+slice.+state.+changed )|(ment ac)|(multiple cpu faults)|(system.+state.+changed )|(\[timeout)|(PRM\|1\|D)|(kpr)|(kdp)|(\|lc)|(penalty)|(\|PRM\|1\|D)|(crossing.((167)|(168)|(199)|(200))))"</v>
      </c>
      <c r="H19" s="218" t="str">
        <f t="shared" si="1"/>
        <v>grep -hSE " 00:.+((\|PRM\|1\|D)|(crossing.((167)|(168)|(199)|(200))))" "%USERPROFILE%\AppData\Local\Temp\OnboardLogs"\RTDC4012\*4012*201703070*</v>
      </c>
      <c r="I19" s="214" t="str">
        <f>IF(VLOOKUP(K19,'Train Runs'!$A$13:$V$1001,1,TRUE)=K19,VLOOKUP(K19,'Train Runs'!$A$13:$V$1001,22,TRUE),NA())</f>
        <v>https://d0f6bd738d7f1b3e5a7ca70fe4ff75f0.us-east-1.aws.found.io/app/kibana#/discover/Steve-Slow-Train-Analysis-(2080s-and-2083s)?_g=(refreshInterval:(display:Off,pause:!f,section:0,value:0),time:(from:'2017-03-22T16:21:59-0600',mode:absolute,to:'2017-03-22T19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J19" s="210">
        <f t="shared" si="2"/>
        <v>42801.040277777778</v>
      </c>
      <c r="K19" s="210" t="str">
        <f>D19&amp;"-"&amp;IF(DAY(Variables!$A$2)&lt;10,0,"")&amp;DAY(Variables!$A$2)</f>
        <v>212-22</v>
      </c>
      <c r="L19" s="206">
        <f>IF(VLOOKUP(K19,'Train Runs'!$A$12:$B$1001,1,TRUE)=K19,VLOOKUP(K19,'Train Runs'!$A$12:$B$1001,2,TRUE),NA())</f>
        <v>4012</v>
      </c>
      <c r="M19" s="206">
        <f>VLOOKUP(B19,Variables!$T$2:$X$99,2,FALSE)</f>
        <v>167</v>
      </c>
      <c r="N19" s="206">
        <f>VLOOKUP(B19,Variables!$T$2:$X$99,3,FALSE)</f>
        <v>168</v>
      </c>
      <c r="O19" s="206">
        <f>VLOOKUP(B19,Variables!$T$2:$X$99,4,FALSE)</f>
        <v>199</v>
      </c>
      <c r="P19" s="206">
        <f>VLOOKUP(B19,Variables!$T$2:$X$99,5,FALSE)</f>
        <v>200</v>
      </c>
      <c r="Q19" s="205" t="str">
        <f t="shared" si="3"/>
        <v>(\|PRM\|1\|D)|(crossing.((167)|(168)|(199)|(200)))</v>
      </c>
    </row>
    <row r="20" spans="1:17" x14ac:dyDescent="0.25">
      <c r="A20" s="201">
        <v>42800.803472222222</v>
      </c>
      <c r="B20" s="208" t="s">
        <v>370</v>
      </c>
      <c r="C20" s="198" t="s">
        <v>372</v>
      </c>
      <c r="D20" s="212">
        <v>214</v>
      </c>
      <c r="E20" s="30" t="s">
        <v>374</v>
      </c>
      <c r="F20" s="212" t="b">
        <v>1</v>
      </c>
      <c r="G20" s="216" t="str">
        <f t="shared" si="0"/>
        <v>"C:\Program Files (x86)\AstroGrep\AstroGrep.exe" /e /r /s /spath="%USERPROFILE%\AppData\Local\Temp\OnboardLogs" /stypes="*4004*201703070*" /stext=" 01:.+((SYSTEM_STATE.+slice.+state.+changed )|(ment ac)|(multiple cpu faults)|(system.+state.+changed )|(\[timeout)|(PRM\|1\|D)|(kpr)|(kdp)|(\|lc)|(penalty)|(\|PRM\|1\|D)|(crossing.((167)|(168)|(199)|(200))))"</v>
      </c>
      <c r="H20" s="218" t="str">
        <f t="shared" si="1"/>
        <v>grep -hSE " 01:.+((\|PRM\|1\|D)|(crossing.((167)|(168)|(199)|(200))))" "%USERPROFILE%\AppData\Local\Temp\OnboardLogs"\RTDC4004\*4004*201703070*</v>
      </c>
      <c r="I20" s="214" t="str">
        <f>IF(VLOOKUP(K20,'Train Runs'!$A$13:$V$1001,1,TRUE)=K20,VLOOKUP(K20,'Train Runs'!$A$13:$V$1001,22,TRUE),NA())</f>
        <v>https://d0f6bd738d7f1b3e5a7ca70fe4ff75f0.us-east-1.aws.found.io/app/kibana#/discover/Steve-Slow-Train-Analysis-(2080s-and-2083s)?_g=(refreshInterval:(display:Off,pause:!f,section:0,value:0),time:(from:'2017-03-22T17:34:53-0600',mode:absolute,to:'2017-03-22T20:19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20" s="210">
        <f t="shared" si="2"/>
        <v>42801.053472222222</v>
      </c>
      <c r="K20" s="210" t="str">
        <f>D20&amp;"-"&amp;IF(DAY(Variables!$A$2)&lt;10,0,"")&amp;DAY(Variables!$A$2)</f>
        <v>214-22</v>
      </c>
      <c r="L20" s="206">
        <f>IF(VLOOKUP(K20,'Train Runs'!$A$12:$B$1001,1,TRUE)=K20,VLOOKUP(K20,'Train Runs'!$A$12:$B$1001,2,TRUE),NA())</f>
        <v>4004</v>
      </c>
      <c r="M20" s="206">
        <f>VLOOKUP(B20,Variables!$T$2:$X$99,2,FALSE)</f>
        <v>167</v>
      </c>
      <c r="N20" s="206">
        <f>VLOOKUP(B20,Variables!$T$2:$X$99,3,FALSE)</f>
        <v>168</v>
      </c>
      <c r="O20" s="206">
        <f>VLOOKUP(B20,Variables!$T$2:$X$99,4,FALSE)</f>
        <v>199</v>
      </c>
      <c r="P20" s="206">
        <f>VLOOKUP(B20,Variables!$T$2:$X$99,5,FALSE)</f>
        <v>200</v>
      </c>
      <c r="Q20" s="205" t="str">
        <f t="shared" si="3"/>
        <v>(\|PRM\|1\|D)|(crossing.((167)|(168)|(199)|(200)))</v>
      </c>
    </row>
    <row r="21" spans="1:17" x14ac:dyDescent="0.25">
      <c r="A21" s="201">
        <v>42800.819444444445</v>
      </c>
      <c r="B21" s="208" t="s">
        <v>370</v>
      </c>
      <c r="C21" s="198" t="s">
        <v>372</v>
      </c>
      <c r="D21" s="212">
        <v>216</v>
      </c>
      <c r="E21" s="30" t="s">
        <v>374</v>
      </c>
      <c r="F21" s="212" t="b">
        <v>1</v>
      </c>
      <c r="G21" s="216" t="str">
        <f t="shared" si="0"/>
        <v>"C:\Program Files (x86)\AstroGrep\AstroGrep.exe" /e /r /s /spath="%USERPROFILE%\AppData\Local\Temp\OnboardLogs" /stypes="*4028*201703070*" /stext=" 01:.+((SYSTEM_STATE.+slice.+state.+changed )|(ment ac)|(multiple cpu faults)|(system.+state.+changed )|(\[timeout)|(PRM\|1\|D)|(kpr)|(kdp)|(\|lc)|(penalty)|(\|PRM\|1\|D)|(crossing.((167)|(168)|(199)|(200))))"</v>
      </c>
      <c r="H21" s="218" t="str">
        <f t="shared" si="1"/>
        <v>grep -hSE " 01:.+((\|PRM\|1\|D)|(crossing.((167)|(168)|(199)|(200))))" "%USERPROFILE%\AppData\Local\Temp\OnboardLogs"\RTDC4028\*4028*201703070*</v>
      </c>
      <c r="I21" s="214" t="str">
        <f>IF(VLOOKUP(K21,'Train Runs'!$A$13:$V$1001,1,TRUE)=K21,VLOOKUP(K21,'Train Runs'!$A$13:$V$1001,22,TRUE),NA())</f>
        <v>https://d0f6bd738d7f1b3e5a7ca70fe4ff75f0.us-east-1.aws.found.io/app/kibana#/discover/Steve-Slow-Train-Analysis-(2080s-and-2083s)?_g=(refreshInterval:(display:Off,pause:!f,section:0,value:0),time:(from:'2017-03-22T17:43:38-0600',mode:absolute,to:'2017-03-22T20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21" s="210">
        <f t="shared" si="2"/>
        <v>42801.069444444445</v>
      </c>
      <c r="K21" s="210" t="str">
        <f>D21&amp;"-"&amp;IF(DAY(Variables!$A$2)&lt;10,0,"")&amp;DAY(Variables!$A$2)</f>
        <v>216-22</v>
      </c>
      <c r="L21" s="206">
        <f>IF(VLOOKUP(K21,'Train Runs'!$A$12:$B$1001,1,TRUE)=K21,VLOOKUP(K21,'Train Runs'!$A$12:$B$1001,2,TRUE),NA())</f>
        <v>4028</v>
      </c>
      <c r="M21" s="206">
        <f>VLOOKUP(B21,Variables!$T$2:$X$99,2,FALSE)</f>
        <v>167</v>
      </c>
      <c r="N21" s="206">
        <f>VLOOKUP(B21,Variables!$T$2:$X$99,3,FALSE)</f>
        <v>168</v>
      </c>
      <c r="O21" s="206">
        <f>VLOOKUP(B21,Variables!$T$2:$X$99,4,FALSE)</f>
        <v>199</v>
      </c>
      <c r="P21" s="206">
        <f>VLOOKUP(B21,Variables!$T$2:$X$99,5,FALSE)</f>
        <v>200</v>
      </c>
      <c r="Q21" s="205" t="str">
        <f t="shared" si="3"/>
        <v>(\|PRM\|1\|D)|(crossing.((167)|(168)|(199)|(200)))</v>
      </c>
    </row>
    <row r="22" spans="1:17" x14ac:dyDescent="0.25">
      <c r="A22" s="201">
        <v>42800.828472222223</v>
      </c>
      <c r="B22" s="208" t="s">
        <v>370</v>
      </c>
      <c r="C22" s="198" t="s">
        <v>372</v>
      </c>
      <c r="D22" s="212">
        <f>D21+2</f>
        <v>218</v>
      </c>
      <c r="E22" s="30" t="s">
        <v>374</v>
      </c>
      <c r="F22" s="212" t="b">
        <v>1</v>
      </c>
      <c r="G22" s="216" t="str">
        <f t="shared" si="0"/>
        <v>"C:\Program Files (x86)\AstroGrep\AstroGrep.exe" /e /r /s /spath="%USERPROFILE%\AppData\Local\Temp\OnboardLogs" /stypes="*4039*201703070*" /stext=" 01:.+((SYSTEM_STATE.+slice.+state.+changed )|(ment ac)|(multiple cpu faults)|(system.+state.+changed )|(\[timeout)|(PRM\|1\|D)|(kpr)|(kdp)|(\|lc)|(penalty)|(\|PRM\|1\|D)|(crossing.((167)|(168)|(199)|(200))))"</v>
      </c>
      <c r="H22" s="218" t="str">
        <f t="shared" si="1"/>
        <v>grep -hSE " 01:.+((\|PRM\|1\|D)|(crossing.((167)|(168)|(199)|(200))))" "%USERPROFILE%\AppData\Local\Temp\OnboardLogs"\RTDC4039\*4039*201703070*</v>
      </c>
      <c r="I22" s="214" t="str">
        <f>IF(VLOOKUP(K22,'Train Runs'!$A$13:$V$1001,1,TRUE)=K22,VLOOKUP(K22,'Train Runs'!$A$13:$V$1001,22,TRUE),NA())</f>
        <v>https://d0f6bd738d7f1b3e5a7ca70fe4ff75f0.us-east-1.aws.found.io/app/kibana#/discover/Steve-Slow-Train-Analysis-(2080s-and-2083s)?_g=(refreshInterval:(display:Off,pause:!f,section:0,value:0),time:(from:'2017-03-22T18:07:19-0600',mode:absolute,to:'2017-03-22T20:50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22" s="210">
        <f t="shared" si="2"/>
        <v>42801.078472222223</v>
      </c>
      <c r="K22" s="210" t="str">
        <f>D22&amp;"-"&amp;IF(DAY(Variables!$A$2)&lt;10,0,"")&amp;DAY(Variables!$A$2)</f>
        <v>218-22</v>
      </c>
      <c r="L22" s="206">
        <f>IF(VLOOKUP(K22,'Train Runs'!$A$12:$B$1001,1,TRUE)=K22,VLOOKUP(K22,'Train Runs'!$A$12:$B$1001,2,TRUE),NA())</f>
        <v>4039</v>
      </c>
      <c r="M22" s="206">
        <f>VLOOKUP(B22,Variables!$T$2:$X$99,2,FALSE)</f>
        <v>167</v>
      </c>
      <c r="N22" s="206">
        <f>VLOOKUP(B22,Variables!$T$2:$X$99,3,FALSE)</f>
        <v>168</v>
      </c>
      <c r="O22" s="206">
        <f>VLOOKUP(B22,Variables!$T$2:$X$99,4,FALSE)</f>
        <v>199</v>
      </c>
      <c r="P22" s="206">
        <f>VLOOKUP(B22,Variables!$T$2:$X$99,5,FALSE)</f>
        <v>200</v>
      </c>
      <c r="Q22" s="205" t="str">
        <f t="shared" si="3"/>
        <v>(\|PRM\|1\|D)|(crossing.((167)|(168)|(199)|(200)))</v>
      </c>
    </row>
    <row r="23" spans="1:17" x14ac:dyDescent="0.25">
      <c r="A23" s="201">
        <v>42800.835416666669</v>
      </c>
      <c r="B23" s="208" t="s">
        <v>370</v>
      </c>
      <c r="C23" s="198" t="s">
        <v>372</v>
      </c>
      <c r="D23" s="212">
        <f>D22+2</f>
        <v>220</v>
      </c>
      <c r="E23" s="30" t="s">
        <v>374</v>
      </c>
      <c r="F23" s="212" t="b">
        <v>1</v>
      </c>
      <c r="G23" s="216" t="str">
        <f t="shared" si="0"/>
        <v>"C:\Program Files (x86)\AstroGrep\AstroGrep.exe" /e /r /s /spath="%USERPROFILE%\AppData\Local\Temp\OnboardLogs" /stypes="*4045*201703070*" /stext=" 02:.+((SYSTEM_STATE.+slice.+state.+changed )|(ment ac)|(multiple cpu faults)|(system.+state.+changed )|(\[timeout)|(PRM\|1\|D)|(kpr)|(kdp)|(\|lc)|(penalty)|(\|PRM\|1\|D)|(crossing.((167)|(168)|(199)|(200))))"</v>
      </c>
      <c r="H23" s="218" t="str">
        <f t="shared" si="1"/>
        <v>grep -hSE " 02:.+((\|PRM\|1\|D)|(crossing.((167)|(168)|(199)|(200))))" "%USERPROFILE%\AppData\Local\Temp\OnboardLogs"\RTDC4045\*4045*201703070*</v>
      </c>
      <c r="I23" s="214" t="str">
        <f>IF(VLOOKUP(K23,'Train Runs'!$A$13:$V$1001,1,TRUE)=K23,VLOOKUP(K23,'Train Runs'!$A$13:$V$1001,22,TRUE),NA())</f>
        <v>https://d0f6bd738d7f1b3e5a7ca70fe4ff75f0.us-east-1.aws.found.io/app/kibana#/discover/Steve-Slow-Train-Analysis-(2080s-and-2083s)?_g=(refreshInterval:(display:Off,pause:!f,section:0,value:0),time:(from:'2017-03-22T18:13:14-0600',mode:absolute,to:'2017-03-22T21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23" s="210">
        <f t="shared" si="2"/>
        <v>42801.085416666669</v>
      </c>
      <c r="K23" s="210" t="str">
        <f>D23&amp;"-"&amp;IF(DAY(Variables!$A$2)&lt;10,0,"")&amp;DAY(Variables!$A$2)</f>
        <v>220-22</v>
      </c>
      <c r="L23" s="206">
        <f>IF(VLOOKUP(K23,'Train Runs'!$A$12:$B$1001,1,TRUE)=K23,VLOOKUP(K23,'Train Runs'!$A$12:$B$1001,2,TRUE),NA())</f>
        <v>4045</v>
      </c>
      <c r="M23" s="206">
        <f>VLOOKUP(B23,Variables!$T$2:$X$99,2,FALSE)</f>
        <v>167</v>
      </c>
      <c r="N23" s="206">
        <f>VLOOKUP(B23,Variables!$T$2:$X$99,3,FALSE)</f>
        <v>168</v>
      </c>
      <c r="O23" s="206">
        <f>VLOOKUP(B23,Variables!$T$2:$X$99,4,FALSE)</f>
        <v>199</v>
      </c>
      <c r="P23" s="206">
        <f>VLOOKUP(B23,Variables!$T$2:$X$99,5,FALSE)</f>
        <v>200</v>
      </c>
      <c r="Q23" s="205" t="str">
        <f t="shared" si="3"/>
        <v>(\|PRM\|1\|D)|(crossing.((167)|(168)|(199)|(200)))</v>
      </c>
    </row>
    <row r="24" spans="1:17" x14ac:dyDescent="0.25">
      <c r="A24" s="201">
        <v>42800.854166666664</v>
      </c>
      <c r="B24" s="208" t="s">
        <v>370</v>
      </c>
      <c r="C24" s="198" t="s">
        <v>372</v>
      </c>
      <c r="D24" s="212">
        <f>D23+2</f>
        <v>222</v>
      </c>
      <c r="E24" s="30" t="s">
        <v>374</v>
      </c>
      <c r="F24" s="212" t="b">
        <v>1</v>
      </c>
      <c r="G24" s="216" t="str">
        <f t="shared" si="0"/>
        <v>"C:\Program Files (x86)\AstroGrep\AstroGrep.exe" /e /r /s /spath="%USERPROFILE%\AppData\Local\Temp\OnboardLogs" /stypes="*4017*201703070*" /stext=" 02:.+((SYSTEM_STATE.+slice.+state.+changed )|(ment ac)|(multiple cpu faults)|(system.+state.+changed )|(\[timeout)|(PRM\|1\|D)|(kpr)|(kdp)|(\|lc)|(penalty)|(\|PRM\|1\|D)|(crossing.((167)|(168)|(199)|(200))))"</v>
      </c>
      <c r="H24" s="218" t="str">
        <f t="shared" si="1"/>
        <v>grep -hSE " 02:.+((\|PRM\|1\|D)|(crossing.((167)|(168)|(199)|(200))))" "%USERPROFILE%\AppData\Local\Temp\OnboardLogs"\RTDC4017\*4017*201703070*</v>
      </c>
      <c r="I24" s="214" t="str">
        <f>IF(VLOOKUP(K24,'Train Runs'!$A$13:$V$1001,1,TRUE)=K24,VLOOKUP(K24,'Train Runs'!$A$13:$V$1001,22,TRUE),NA())</f>
        <v>https://d0f6bd738d7f1b3e5a7ca70fe4ff75f0.us-east-1.aws.found.io/app/kibana#/discover/Steve-Slow-Train-Analysis-(2080s-and-2083s)?_g=(refreshInterval:(display:Off,pause:!f,section:0,value:0),time:(from:'2017-03-22T18:42:23-0600',mode:absolute,to:'2017-03-22T21:37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24" s="210">
        <f t="shared" si="2"/>
        <v>42801.104166666664</v>
      </c>
      <c r="K24" s="210" t="str">
        <f>D24&amp;"-"&amp;IF(DAY(Variables!$A$2)&lt;10,0,"")&amp;DAY(Variables!$A$2)</f>
        <v>222-22</v>
      </c>
      <c r="L24" s="206">
        <f>IF(VLOOKUP(K24,'Train Runs'!$A$12:$B$1001,1,TRUE)=K24,VLOOKUP(K24,'Train Runs'!$A$12:$B$1001,2,TRUE),NA())</f>
        <v>4017</v>
      </c>
      <c r="M24" s="206">
        <f>VLOOKUP(B24,Variables!$T$2:$X$99,2,FALSE)</f>
        <v>167</v>
      </c>
      <c r="N24" s="206">
        <f>VLOOKUP(B24,Variables!$T$2:$X$99,3,FALSE)</f>
        <v>168</v>
      </c>
      <c r="O24" s="206">
        <f>VLOOKUP(B24,Variables!$T$2:$X$99,4,FALSE)</f>
        <v>199</v>
      </c>
      <c r="P24" s="206">
        <f>VLOOKUP(B24,Variables!$T$2:$X$99,5,FALSE)</f>
        <v>200</v>
      </c>
      <c r="Q24" s="205" t="str">
        <f t="shared" si="3"/>
        <v>(\|PRM\|1\|D)|(crossing.((167)|(168)|(199)|(200)))</v>
      </c>
    </row>
    <row r="25" spans="1:17" x14ac:dyDescent="0.25">
      <c r="A25" s="201">
        <v>42800.872916666667</v>
      </c>
      <c r="B25" s="208" t="s">
        <v>370</v>
      </c>
      <c r="C25" s="198" t="s">
        <v>372</v>
      </c>
      <c r="D25" s="212">
        <f>D24+2</f>
        <v>224</v>
      </c>
      <c r="E25" s="30" t="s">
        <v>374</v>
      </c>
      <c r="F25" s="212" t="b">
        <v>1</v>
      </c>
      <c r="G25" s="216" t="str">
        <f t="shared" si="0"/>
        <v>"C:\Program Files (x86)\AstroGrep\AstroGrep.exe" /e /r /s /spath="%USERPROFILE%\AppData\Local\Temp\OnboardLogs" /stypes="*4004*201703070*" /stext=" 02:.+((SYSTEM_STATE.+slice.+state.+changed )|(ment ac)|(multiple cpu faults)|(system.+state.+changed )|(\[timeout)|(PRM\|1\|D)|(kpr)|(kdp)|(\|lc)|(penalty)|(\|PRM\|1\|D)|(crossing.((167)|(168)|(199)|(200))))"</v>
      </c>
      <c r="H25" s="218" t="str">
        <f t="shared" si="1"/>
        <v>grep -hSE " 02:.+((\|PRM\|1\|D)|(crossing.((167)|(168)|(199)|(200))))" "%USERPROFILE%\AppData\Local\Temp\OnboardLogs"\RTDC4004\*4004*201703070*</v>
      </c>
      <c r="I25" s="214" t="str">
        <f>IF(VLOOKUP(K25,'Train Runs'!$A$13:$V$1001,1,TRUE)=K25,VLOOKUP(K25,'Train Runs'!$A$13:$V$1001,22,TRUE),NA())</f>
        <v>https://d0f6bd738d7f1b3e5a7ca70fe4ff75f0.us-east-1.aws.found.io/app/kibana#/discover/Steve-Slow-Train-Analysis-(2080s-and-2083s)?_g=(refreshInterval:(display:Off,pause:!f,section:0,value:0),time:(from:'2017-03-22T19:09:06-0600',mode:absolute,to:'2017-03-22T22:03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25" s="210">
        <f t="shared" si="2"/>
        <v>42801.122916666667</v>
      </c>
      <c r="K25" s="210" t="str">
        <f>D25&amp;"-"&amp;IF(DAY(Variables!$A$2)&lt;10,0,"")&amp;DAY(Variables!$A$2)</f>
        <v>224-22</v>
      </c>
      <c r="L25" s="206">
        <f>IF(VLOOKUP(K25,'Train Runs'!$A$12:$B$1001,1,TRUE)=K25,VLOOKUP(K25,'Train Runs'!$A$12:$B$1001,2,TRUE),NA())</f>
        <v>4004</v>
      </c>
      <c r="M25" s="206">
        <f>VLOOKUP(B25,Variables!$T$2:$X$99,2,FALSE)</f>
        <v>167</v>
      </c>
      <c r="N25" s="206">
        <f>VLOOKUP(B25,Variables!$T$2:$X$99,3,FALSE)</f>
        <v>168</v>
      </c>
      <c r="O25" s="206">
        <f>VLOOKUP(B25,Variables!$T$2:$X$99,4,FALSE)</f>
        <v>199</v>
      </c>
      <c r="P25" s="206">
        <f>VLOOKUP(B25,Variables!$T$2:$X$99,5,FALSE)</f>
        <v>200</v>
      </c>
      <c r="Q25" s="205" t="str">
        <f t="shared" si="3"/>
        <v>(\|PRM\|1\|D)|(crossing.((167)|(168)|(199)|(200)))</v>
      </c>
    </row>
    <row r="26" spans="1:17" x14ac:dyDescent="0.25">
      <c r="A26" s="201">
        <v>42800.895138888889</v>
      </c>
      <c r="B26" s="208" t="s">
        <v>370</v>
      </c>
      <c r="C26" s="198" t="s">
        <v>372</v>
      </c>
      <c r="D26" s="212">
        <f>D25+2</f>
        <v>226</v>
      </c>
      <c r="E26" s="30" t="s">
        <v>374</v>
      </c>
      <c r="F26" s="212" t="b">
        <v>1</v>
      </c>
      <c r="G26" s="216" t="str">
        <f t="shared" si="0"/>
        <v>"C:\Program Files (x86)\AstroGrep\AstroGrep.exe" /e /r /s /spath="%USERPROFILE%\AppData\Local\Temp\OnboardLogs" /stypes="*4039*201703070*" /stext=" 03:.+((SYSTEM_STATE.+slice.+state.+changed )|(ment ac)|(multiple cpu faults)|(system.+state.+changed )|(\[timeout)|(PRM\|1\|D)|(kpr)|(kdp)|(\|lc)|(penalty)|(\|PRM\|1\|D)|(crossing.((167)|(168)|(199)|(200))))"</v>
      </c>
      <c r="H26" s="218" t="str">
        <f t="shared" si="1"/>
        <v>grep -hSE " 03:.+((\|PRM\|1\|D)|(crossing.((167)|(168)|(199)|(200))))" "%USERPROFILE%\AppData\Local\Temp\OnboardLogs"\RTDC4039\*4039*201703070*</v>
      </c>
      <c r="I26" s="214" t="str">
        <f>IF(VLOOKUP(K26,'Train Runs'!$A$13:$V$1001,1,TRUE)=K26,VLOOKUP(K26,'Train Runs'!$A$13:$V$1001,22,TRUE),NA())</f>
        <v>https://d0f6bd738d7f1b3e5a7ca70fe4ff75f0.us-east-1.aws.found.io/app/kibana#/discover/Steve-Slow-Train-Analysis-(2080s-and-2083s)?_g=(refreshInterval:(display:Off,pause:!f,section:0,value:0),time:(from:'2017-03-22T19:52:39-0600',mode:absolute,to:'2017-03-22T22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26" s="210">
        <f t="shared" si="2"/>
        <v>42801.145138888889</v>
      </c>
      <c r="K26" s="210" t="str">
        <f>D26&amp;"-"&amp;IF(DAY(Variables!$A$2)&lt;10,0,"")&amp;DAY(Variables!$A$2)</f>
        <v>226-22</v>
      </c>
      <c r="L26" s="206">
        <f>IF(VLOOKUP(K26,'Train Runs'!$A$12:$B$1001,1,TRUE)=K26,VLOOKUP(K26,'Train Runs'!$A$12:$B$1001,2,TRUE),NA())</f>
        <v>4039</v>
      </c>
      <c r="M26" s="206">
        <f>VLOOKUP(B26,Variables!$T$2:$X$99,2,FALSE)</f>
        <v>167</v>
      </c>
      <c r="N26" s="206">
        <f>VLOOKUP(B26,Variables!$T$2:$X$99,3,FALSE)</f>
        <v>168</v>
      </c>
      <c r="O26" s="206">
        <f>VLOOKUP(B26,Variables!$T$2:$X$99,4,FALSE)</f>
        <v>199</v>
      </c>
      <c r="P26" s="206">
        <f>VLOOKUP(B26,Variables!$T$2:$X$99,5,FALSE)</f>
        <v>200</v>
      </c>
      <c r="Q26" s="205" t="str">
        <f t="shared" si="3"/>
        <v>(\|PRM\|1\|D)|(crossing.((167)|(168)|(199)|(200)))</v>
      </c>
    </row>
    <row r="27" spans="1:17" x14ac:dyDescent="0.25">
      <c r="A27" s="201">
        <v>42800.916666666664</v>
      </c>
      <c r="B27" s="208" t="s">
        <v>370</v>
      </c>
      <c r="C27" s="198" t="s">
        <v>372</v>
      </c>
      <c r="D27" s="212">
        <f t="shared" ref="D27:D33" si="5">D26+2</f>
        <v>228</v>
      </c>
      <c r="E27" s="30" t="s">
        <v>374</v>
      </c>
      <c r="F27" s="212" t="b">
        <v>1</v>
      </c>
      <c r="G27" s="216" t="str">
        <f t="shared" si="0"/>
        <v>"C:\Program Files (x86)\AstroGrep\AstroGrep.exe" /e /r /s /spath="%USERPROFILE%\AppData\Local\Temp\OnboardLogs" /stypes="*4045*201703070*" /stext=" 04:.+((SYSTEM_STATE.+slice.+state.+changed )|(ment ac)|(multiple cpu faults)|(system.+state.+changed )|(\[timeout)|(PRM\|1\|D)|(kpr)|(kdp)|(\|lc)|(penalty)|(\|PRM\|1\|D)|(crossing.((167)|(168)|(199)|(200))))"</v>
      </c>
      <c r="H27" s="218" t="str">
        <f t="shared" si="1"/>
        <v>grep -hSE " 04:.+((\|PRM\|1\|D)|(crossing.((167)|(168)|(199)|(200))))" "%USERPROFILE%\AppData\Local\Temp\OnboardLogs"\RTDC4045\*4045*201703070*</v>
      </c>
      <c r="I27" s="214" t="str">
        <f>IF(VLOOKUP(K27,'Train Runs'!$A$13:$V$1001,1,TRUE)=K27,VLOOKUP(K27,'Train Runs'!$A$13:$V$1001,22,TRUE),NA())</f>
        <v>https://d0f6bd738d7f1b3e5a7ca70fe4ff75f0.us-east-1.aws.found.io/app/kibana#/discover/Steve-Slow-Train-Analysis-(2080s-and-2083s)?_g=(refreshInterval:(display:Off,pause:!f,section:0,value:0),time:(from:'2017-03-22T20:09:33-0600',mode:absolute,to:'2017-03-22T23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27" s="210">
        <f t="shared" si="2"/>
        <v>42801.166666666664</v>
      </c>
      <c r="K27" s="210" t="str">
        <f>D27&amp;"-"&amp;IF(DAY(Variables!$A$2)&lt;10,0,"")&amp;DAY(Variables!$A$2)</f>
        <v>228-22</v>
      </c>
      <c r="L27" s="206">
        <f>IF(VLOOKUP(K27,'Train Runs'!$A$12:$B$1001,1,TRUE)=K27,VLOOKUP(K27,'Train Runs'!$A$12:$B$1001,2,TRUE),NA())</f>
        <v>4045</v>
      </c>
      <c r="M27" s="206">
        <f>VLOOKUP(B27,Variables!$T$2:$X$99,2,FALSE)</f>
        <v>167</v>
      </c>
      <c r="N27" s="206">
        <f>VLOOKUP(B27,Variables!$T$2:$X$99,3,FALSE)</f>
        <v>168</v>
      </c>
      <c r="O27" s="206">
        <f>VLOOKUP(B27,Variables!$T$2:$X$99,4,FALSE)</f>
        <v>199</v>
      </c>
      <c r="P27" s="206">
        <f>VLOOKUP(B27,Variables!$T$2:$X$99,5,FALSE)</f>
        <v>200</v>
      </c>
      <c r="Q27" s="205" t="str">
        <f t="shared" si="3"/>
        <v>(\|PRM\|1\|D)|(crossing.((167)|(168)|(199)|(200)))</v>
      </c>
    </row>
    <row r="28" spans="1:17" x14ac:dyDescent="0.25">
      <c r="A28" s="201">
        <v>42800.939583333333</v>
      </c>
      <c r="B28" s="208" t="s">
        <v>370</v>
      </c>
      <c r="C28" s="198" t="s">
        <v>372</v>
      </c>
      <c r="D28" s="212">
        <f t="shared" si="5"/>
        <v>230</v>
      </c>
      <c r="E28" s="30" t="s">
        <v>374</v>
      </c>
      <c r="F28" s="212" t="b">
        <v>1</v>
      </c>
      <c r="G28" s="216" t="str">
        <f t="shared" si="0"/>
        <v>"C:\Program Files (x86)\AstroGrep\AstroGrep.exe" /e /r /s /spath="%USERPROFILE%\AppData\Local\Temp\OnboardLogs" /stypes="*4017*201703070*" /stext=" 04:.+((SYSTEM_STATE.+slice.+state.+changed )|(ment ac)|(multiple cpu faults)|(system.+state.+changed )|(\[timeout)|(PRM\|1\|D)|(kpr)|(kdp)|(\|lc)|(penalty)|(\|PRM\|1\|D)|(crossing.((167)|(168)|(199)|(200))))"</v>
      </c>
      <c r="H28" s="218" t="str">
        <f t="shared" si="1"/>
        <v>grep -hSE " 04:.+((\|PRM\|1\|D)|(crossing.((167)|(168)|(199)|(200))))" "%USERPROFILE%\AppData\Local\Temp\OnboardLogs"\RTDC4017\*4017*201703070*</v>
      </c>
      <c r="I28" s="214" t="str">
        <f>IF(VLOOKUP(K28,'Train Runs'!$A$13:$V$1001,1,TRUE)=K28,VLOOKUP(K28,'Train Runs'!$A$13:$V$1001,22,TRUE),NA())</f>
        <v>https://d0f6bd738d7f1b3e5a7ca70fe4ff75f0.us-east-1.aws.found.io/app/kibana#/discover/Steve-Slow-Train-Analysis-(2080s-and-2083s)?_g=(refreshInterval:(display:Off,pause:!f,section:0,value:0),time:(from:'2017-03-22T20:43:33-0600',mode:absolute,to:'2017-03-22T23:38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28" s="210">
        <f t="shared" si="2"/>
        <v>42801.189583333333</v>
      </c>
      <c r="K28" s="210" t="str">
        <f>D28&amp;"-"&amp;IF(DAY(Variables!$A$2)&lt;10,0,"")&amp;DAY(Variables!$A$2)</f>
        <v>230-22</v>
      </c>
      <c r="L28" s="206">
        <f>IF(VLOOKUP(K28,'Train Runs'!$A$12:$B$1001,1,TRUE)=K28,VLOOKUP(K28,'Train Runs'!$A$12:$B$1001,2,TRUE),NA())</f>
        <v>4017</v>
      </c>
      <c r="M28" s="206">
        <f>VLOOKUP(B28,Variables!$T$2:$X$99,2,FALSE)</f>
        <v>167</v>
      </c>
      <c r="N28" s="206">
        <f>VLOOKUP(B28,Variables!$T$2:$X$99,3,FALSE)</f>
        <v>168</v>
      </c>
      <c r="O28" s="206">
        <f>VLOOKUP(B28,Variables!$T$2:$X$99,4,FALSE)</f>
        <v>199</v>
      </c>
      <c r="P28" s="206">
        <f>VLOOKUP(B28,Variables!$T$2:$X$99,5,FALSE)</f>
        <v>200</v>
      </c>
      <c r="Q28" s="205" t="str">
        <f t="shared" si="3"/>
        <v>(\|PRM\|1\|D)|(crossing.((167)|(168)|(199)|(200)))</v>
      </c>
    </row>
    <row r="29" spans="1:17" x14ac:dyDescent="0.25">
      <c r="A29" s="201">
        <v>42800.957638888889</v>
      </c>
      <c r="B29" s="208" t="s">
        <v>370</v>
      </c>
      <c r="C29" s="198" t="s">
        <v>372</v>
      </c>
      <c r="D29" s="212">
        <f t="shared" si="5"/>
        <v>232</v>
      </c>
      <c r="E29" s="30" t="s">
        <v>374</v>
      </c>
      <c r="F29" s="212" t="b">
        <v>1</v>
      </c>
      <c r="G29" s="216" t="str">
        <f t="shared" si="0"/>
        <v>"C:\Program Files (x86)\AstroGrep\AstroGrep.exe" /e /r /s /spath="%USERPROFILE%\AppData\Local\Temp\OnboardLogs" /stypes="*4004*201703070*" /stext=" 04:.+((SYSTEM_STATE.+slice.+state.+changed )|(ment ac)|(multiple cpu faults)|(system.+state.+changed )|(\[timeout)|(PRM\|1\|D)|(kpr)|(kdp)|(\|lc)|(penalty)|(\|PRM\|1\|D)|(crossing.((167)|(168)|(199)|(200))))"</v>
      </c>
      <c r="H29" s="218" t="str">
        <f t="shared" si="1"/>
        <v>grep -hSE " 04:.+((\|PRM\|1\|D)|(crossing.((167)|(168)|(199)|(200))))" "%USERPROFILE%\AppData\Local\Temp\OnboardLogs"\RTDC4004\*4004*201703070*</v>
      </c>
      <c r="I29" s="214" t="str">
        <f>IF(VLOOKUP(K29,'Train Runs'!$A$13:$V$1001,1,TRUE)=K29,VLOOKUP(K29,'Train Runs'!$A$13:$V$1001,22,TRUE),NA())</f>
        <v>https://d0f6bd738d7f1b3e5a7ca70fe4ff75f0.us-east-1.aws.found.io/app/kibana#/discover/Steve-Slow-Train-Analysis-(2080s-and-2083s)?_g=(refreshInterval:(display:Off,pause:!f,section:0,value:0),time:(from:'2017-03-22T21:10:50-0600',mode:absolute,to:'2017-03-23T00:04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29" s="210">
        <f t="shared" si="2"/>
        <v>42801.207638888889</v>
      </c>
      <c r="K29" s="210" t="str">
        <f>D29&amp;"-"&amp;IF(DAY(Variables!$A$2)&lt;10,0,"")&amp;DAY(Variables!$A$2)</f>
        <v>232-22</v>
      </c>
      <c r="L29" s="206">
        <f>IF(VLOOKUP(K29,'Train Runs'!$A$12:$B$1001,1,TRUE)=K29,VLOOKUP(K29,'Train Runs'!$A$12:$B$1001,2,TRUE),NA())</f>
        <v>4004</v>
      </c>
      <c r="M29" s="206">
        <f>VLOOKUP(B29,Variables!$T$2:$X$99,2,FALSE)</f>
        <v>167</v>
      </c>
      <c r="N29" s="206">
        <f>VLOOKUP(B29,Variables!$T$2:$X$99,3,FALSE)</f>
        <v>168</v>
      </c>
      <c r="O29" s="206">
        <f>VLOOKUP(B29,Variables!$T$2:$X$99,4,FALSE)</f>
        <v>199</v>
      </c>
      <c r="P29" s="206">
        <f>VLOOKUP(B29,Variables!$T$2:$X$99,5,FALSE)</f>
        <v>200</v>
      </c>
      <c r="Q29" s="205" t="str">
        <f t="shared" si="3"/>
        <v>(\|PRM\|1\|D)|(crossing.((167)|(168)|(199)|(200)))</v>
      </c>
    </row>
    <row r="30" spans="1:17" x14ac:dyDescent="0.25">
      <c r="A30" s="201">
        <v>42800.96875</v>
      </c>
      <c r="B30" s="208" t="s">
        <v>370</v>
      </c>
      <c r="C30" s="198" t="s">
        <v>372</v>
      </c>
      <c r="D30" s="212">
        <f t="shared" si="5"/>
        <v>234</v>
      </c>
      <c r="E30" s="30" t="s">
        <v>374</v>
      </c>
      <c r="F30" s="212" t="b">
        <v>1</v>
      </c>
      <c r="G30" s="216" t="str">
        <f t="shared" si="0"/>
        <v>"C:\Program Files (x86)\AstroGrep\AstroGrep.exe" /e /r /s /spath="%USERPROFILE%\AppData\Local\Temp\OnboardLogs" /stypes="*4039*201703070*" /stext=" 05:.+((SYSTEM_STATE.+slice.+state.+changed )|(ment ac)|(multiple cpu faults)|(system.+state.+changed )|(\[timeout)|(PRM\|1\|D)|(kpr)|(kdp)|(\|lc)|(penalty)|(\|PRM\|1\|D)|(crossing.((167)|(168)|(199)|(200))))"</v>
      </c>
      <c r="H30" s="218" t="str">
        <f t="shared" si="1"/>
        <v>grep -hSE " 05:.+((\|PRM\|1\|D)|(crossing.((167)|(168)|(199)|(200))))" "%USERPROFILE%\AppData\Local\Temp\OnboardLogs"\RTDC4039\*4039*201703070*</v>
      </c>
      <c r="I30" s="214" t="str">
        <f>IF(VLOOKUP(K30,'Train Runs'!$A$13:$V$1001,1,TRUE)=K30,VLOOKUP(K30,'Train Runs'!$A$13:$V$1001,22,TRUE),NA())</f>
        <v>https://d0f6bd738d7f1b3e5a7ca70fe4ff75f0.us-east-1.aws.found.io/app/kibana#/discover/Steve-Slow-Train-Analysis-(2080s-and-2083s)?_g=(refreshInterval:(display:Off,pause:!f,section:0,value:0),time:(from:'2017-03-22T21:51:30-0600',mode:absolute,to:'2017-03-23T00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30" s="210">
        <f t="shared" si="2"/>
        <v>42801.21875</v>
      </c>
      <c r="K30" s="210" t="str">
        <f>D30&amp;"-"&amp;IF(DAY(Variables!$A$2)&lt;10,0,"")&amp;DAY(Variables!$A$2)</f>
        <v>234-22</v>
      </c>
      <c r="L30" s="206">
        <f>IF(VLOOKUP(K30,'Train Runs'!$A$12:$B$1001,1,TRUE)=K30,VLOOKUP(K30,'Train Runs'!$A$12:$B$1001,2,TRUE),NA())</f>
        <v>4039</v>
      </c>
      <c r="M30" s="206">
        <f>VLOOKUP(B30,Variables!$T$2:$X$99,2,FALSE)</f>
        <v>167</v>
      </c>
      <c r="N30" s="206">
        <f>VLOOKUP(B30,Variables!$T$2:$X$99,3,FALSE)</f>
        <v>168</v>
      </c>
      <c r="O30" s="206">
        <f>VLOOKUP(B30,Variables!$T$2:$X$99,4,FALSE)</f>
        <v>199</v>
      </c>
      <c r="P30" s="206">
        <f>VLOOKUP(B30,Variables!$T$2:$X$99,5,FALSE)</f>
        <v>200</v>
      </c>
      <c r="Q30" s="205" t="str">
        <f t="shared" si="3"/>
        <v>(\|PRM\|1\|D)|(crossing.((167)|(168)|(199)|(200)))</v>
      </c>
    </row>
    <row r="31" spans="1:17" x14ac:dyDescent="0.25">
      <c r="A31" s="201">
        <v>42800.979861111111</v>
      </c>
      <c r="B31" s="208" t="s">
        <v>370</v>
      </c>
      <c r="C31" s="198" t="s">
        <v>372</v>
      </c>
      <c r="D31" s="212">
        <f t="shared" si="5"/>
        <v>236</v>
      </c>
      <c r="E31" s="30" t="s">
        <v>374</v>
      </c>
      <c r="F31" s="212" t="b">
        <v>1</v>
      </c>
      <c r="G31" s="216" t="str">
        <f t="shared" si="0"/>
        <v>"C:\Program Files (x86)\AstroGrep\AstroGrep.exe" /e /r /s /spath="%USERPROFILE%\AppData\Local\Temp\OnboardLogs" /stypes="*4045*201703070*" /stext=" 05:.+((SYSTEM_STATE.+slice.+state.+changed )|(ment ac)|(multiple cpu faults)|(system.+state.+changed )|(\[timeout)|(PRM\|1\|D)|(kpr)|(kdp)|(\|lc)|(penalty)|(\|PRM\|1\|D)|(crossing.((167)|(168)|(199)|(200))))"</v>
      </c>
      <c r="H31" s="218" t="str">
        <f t="shared" si="1"/>
        <v>grep -hSE " 05:.+((\|PRM\|1\|D)|(crossing.((167)|(168)|(199)|(200))))" "%USERPROFILE%\AppData\Local\Temp\OnboardLogs"\RTDC4045\*4045*201703070*</v>
      </c>
      <c r="I31" s="214" t="str">
        <f>IF(VLOOKUP(K31,'Train Runs'!$A$13:$V$1001,1,TRUE)=K31,VLOOKUP(K31,'Train Runs'!$A$13:$V$1001,22,TRUE),NA())</f>
        <v>https://d0f6bd738d7f1b3e5a7ca70fe4ff75f0.us-east-1.aws.found.io/app/kibana#/discover/Steve-Slow-Train-Analysis-(2080s-and-2083s)?_g=(refreshInterval:(display:Off,pause:!f,section:0,value:0),time:(from:'2017-03-22T22:22:41-0600',mode:absolute,to:'2017-03-23T01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31" s="210">
        <f t="shared" si="2"/>
        <v>42801.229861111111</v>
      </c>
      <c r="K31" s="210" t="str">
        <f>D31&amp;"-"&amp;IF(DAY(Variables!$A$2)&lt;10,0,"")&amp;DAY(Variables!$A$2)</f>
        <v>236-22</v>
      </c>
      <c r="L31" s="206">
        <f>IF(VLOOKUP(K31,'Train Runs'!$A$12:$B$1001,1,TRUE)=K31,VLOOKUP(K31,'Train Runs'!$A$12:$B$1001,2,TRUE),NA())</f>
        <v>4045</v>
      </c>
      <c r="M31" s="206">
        <f>VLOOKUP(B31,Variables!$T$2:$X$99,2,FALSE)</f>
        <v>167</v>
      </c>
      <c r="N31" s="206">
        <f>VLOOKUP(B31,Variables!$T$2:$X$99,3,FALSE)</f>
        <v>168</v>
      </c>
      <c r="O31" s="206">
        <f>VLOOKUP(B31,Variables!$T$2:$X$99,4,FALSE)</f>
        <v>199</v>
      </c>
      <c r="P31" s="206">
        <f>VLOOKUP(B31,Variables!$T$2:$X$99,5,FALSE)</f>
        <v>200</v>
      </c>
      <c r="Q31" s="205" t="str">
        <f t="shared" si="3"/>
        <v>(\|PRM\|1\|D)|(crossing.((167)|(168)|(199)|(200)))</v>
      </c>
    </row>
    <row r="32" spans="1:17" x14ac:dyDescent="0.25">
      <c r="A32" s="201">
        <v>42800.999305555553</v>
      </c>
      <c r="B32" s="208" t="s">
        <v>370</v>
      </c>
      <c r="C32" s="198" t="s">
        <v>372</v>
      </c>
      <c r="D32" s="212">
        <f t="shared" si="5"/>
        <v>238</v>
      </c>
      <c r="E32" s="30" t="s">
        <v>374</v>
      </c>
      <c r="F32" s="212" t="b">
        <v>1</v>
      </c>
      <c r="G32" s="216" t="str">
        <f t="shared" si="0"/>
        <v>"C:\Program Files (x86)\AstroGrep\AstroGrep.exe" /e /r /s /spath="%USERPROFILE%\AppData\Local\Temp\OnboardLogs" /stypes="*4017*201703070*" /stext=" 05:.+((SYSTEM_STATE.+slice.+state.+changed )|(ment ac)|(multiple cpu faults)|(system.+state.+changed )|(\[timeout)|(PRM\|1\|D)|(kpr)|(kdp)|(\|lc)|(penalty)|(\|PRM\|1\|D)|(crossing.((167)|(168)|(199)|(200))))"</v>
      </c>
      <c r="H32" s="218" t="str">
        <f t="shared" si="1"/>
        <v>grep -hSE " 05:.+((\|PRM\|1\|D)|(crossing.((167)|(168)|(199)|(200))))" "%USERPROFILE%\AppData\Local\Temp\OnboardLogs"\RTDC4017\*4017*201703070*</v>
      </c>
      <c r="I32" s="214" t="str">
        <f>IF(VLOOKUP(K32,'Train Runs'!$A$13:$V$1001,1,TRUE)=K32,VLOOKUP(K32,'Train Runs'!$A$13:$V$1001,22,TRUE),NA())</f>
        <v>https://d0f6bd738d7f1b3e5a7ca70fe4ff75f0.us-east-1.aws.found.io/app/kibana#/discover/Steve-Slow-Train-Analysis-(2080s-and-2083s)?_g=(refreshInterval:(display:Off,pause:!f,section:0,value:0),time:(from:'2017-03-22T22:46:03-0600',mode:absolute,to:'2017-03-23T01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32" s="210">
        <f t="shared" si="2"/>
        <v>42801.249305555553</v>
      </c>
      <c r="K32" s="210" t="str">
        <f>D32&amp;"-"&amp;IF(DAY(Variables!$A$2)&lt;10,0,"")&amp;DAY(Variables!$A$2)</f>
        <v>238-22</v>
      </c>
      <c r="L32" s="206">
        <f>IF(VLOOKUP(K32,'Train Runs'!$A$12:$B$1001,1,TRUE)=K32,VLOOKUP(K32,'Train Runs'!$A$12:$B$1001,2,TRUE),NA())</f>
        <v>4017</v>
      </c>
      <c r="M32" s="206">
        <f>VLOOKUP(B32,Variables!$T$2:$X$99,2,FALSE)</f>
        <v>167</v>
      </c>
      <c r="N32" s="206">
        <f>VLOOKUP(B32,Variables!$T$2:$X$99,3,FALSE)</f>
        <v>168</v>
      </c>
      <c r="O32" s="206">
        <f>VLOOKUP(B32,Variables!$T$2:$X$99,4,FALSE)</f>
        <v>199</v>
      </c>
      <c r="P32" s="206">
        <f>VLOOKUP(B32,Variables!$T$2:$X$99,5,FALSE)</f>
        <v>200</v>
      </c>
      <c r="Q32" s="205" t="str">
        <f t="shared" si="3"/>
        <v>(\|PRM\|1\|D)|(crossing.((167)|(168)|(199)|(200)))</v>
      </c>
    </row>
    <row r="33" spans="1:17" x14ac:dyDescent="0.25">
      <c r="A33" s="202">
        <v>42801.022222222222</v>
      </c>
      <c r="B33" s="208" t="s">
        <v>370</v>
      </c>
      <c r="C33" s="198" t="s">
        <v>372</v>
      </c>
      <c r="D33" s="212">
        <f t="shared" si="5"/>
        <v>240</v>
      </c>
      <c r="E33" s="30" t="s">
        <v>374</v>
      </c>
      <c r="F33" s="212" t="b">
        <v>1</v>
      </c>
      <c r="G33" s="216" t="str">
        <f t="shared" si="0"/>
        <v>"C:\Program Files (x86)\AstroGrep\AstroGrep.exe" /e /r /s /spath="%USERPROFILE%\AppData\Local\Temp\OnboardLogs" /stypes="*4004*201703070*" /stext=" 06:.+((SYSTEM_STATE.+slice.+state.+changed )|(ment ac)|(multiple cpu faults)|(system.+state.+changed )|(\[timeout)|(PRM\|1\|D)|(kpr)|(kdp)|(\|lc)|(penalty)|(\|PRM\|1\|D)|(crossing.((167)|(168)|(199)|(200))))"</v>
      </c>
      <c r="H33" s="218" t="str">
        <f t="shared" si="1"/>
        <v>grep -hSE " 06:.+((\|PRM\|1\|D)|(crossing.((167)|(168)|(199)|(200))))" "%USERPROFILE%\AppData\Local\Temp\OnboardLogs"\RTDC4004\*4004*201703070*</v>
      </c>
      <c r="I33" s="214" t="str">
        <f>IF(VLOOKUP(K33,'Train Runs'!$A$13:$V$1001,1,TRUE)=K33,VLOOKUP(K33,'Train Runs'!$A$13:$V$1001,22,TRUE),NA())</f>
        <v>https://d0f6bd738d7f1b3e5a7ca70fe4ff75f0.us-east-1.aws.found.io/app/kibana#/discover/Steve-Slow-Train-Analysis-(2080s-and-2083s)?_g=(refreshInterval:(display:Off,pause:!f,section:0,value:0),time:(from:'2017-03-22T23:56:38-0600',mode:absolute,to:'2017-03-23T02:08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33" s="210">
        <f t="shared" si="2"/>
        <v>42801.272222222222</v>
      </c>
      <c r="K33" s="210" t="str">
        <f>D33&amp;"-"&amp;IF(DAY(Variables!$A$2)&lt;10,0,"")&amp;DAY(Variables!$A$2)</f>
        <v>240-22</v>
      </c>
      <c r="L33" s="206">
        <f>IF(VLOOKUP(K33,'Train Runs'!$A$12:$B$1001,1,TRUE)=K33,VLOOKUP(K33,'Train Runs'!$A$12:$B$1001,2,TRUE),NA())</f>
        <v>4004</v>
      </c>
      <c r="M33" s="206">
        <f>VLOOKUP(B33,Variables!$T$2:$X$99,2,FALSE)</f>
        <v>167</v>
      </c>
      <c r="N33" s="206">
        <f>VLOOKUP(B33,Variables!$T$2:$X$99,3,FALSE)</f>
        <v>168</v>
      </c>
      <c r="O33" s="206">
        <f>VLOOKUP(B33,Variables!$T$2:$X$99,4,FALSE)</f>
        <v>199</v>
      </c>
      <c r="P33" s="206">
        <f>VLOOKUP(B33,Variables!$T$2:$X$99,5,FALSE)</f>
        <v>200</v>
      </c>
      <c r="Q33" s="205" t="str">
        <f t="shared" si="3"/>
        <v>(\|PRM\|1\|D)|(crossing.((167)|(168)|(199)|(200)))</v>
      </c>
    </row>
    <row r="34" spans="1:17" x14ac:dyDescent="0.25">
      <c r="A34" s="202">
        <v>42801.040277777778</v>
      </c>
      <c r="B34" s="208" t="s">
        <v>370</v>
      </c>
      <c r="C34" s="198" t="s">
        <v>372</v>
      </c>
      <c r="D34" s="212">
        <v>240</v>
      </c>
      <c r="E34" s="30" t="s">
        <v>374</v>
      </c>
      <c r="F34" s="212" t="b">
        <v>1</v>
      </c>
      <c r="G34" s="216" t="str">
        <f t="shared" si="0"/>
        <v>"C:\Program Files (x86)\AstroGrep\AstroGrep.exe" /e /r /s /spath="%USERPROFILE%\AppData\Local\Temp\OnboardLogs" /stypes="*4004*201703070*" /stext=" 06:.+((SYSTEM_STATE.+slice.+state.+changed )|(ment ac)|(multiple cpu faults)|(system.+state.+changed )|(\[timeout)|(PRM\|1\|D)|(kpr)|(kdp)|(\|lc)|(penalty)|(\|PRM\|1\|D)|(crossing.((167)|(168)|(199)|(200))))"</v>
      </c>
      <c r="H34" s="218" t="str">
        <f t="shared" si="1"/>
        <v>grep -hSE " 06:.+((\|PRM\|1\|D)|(crossing.((167)|(168)|(199)|(200))))" "%USERPROFILE%\AppData\Local\Temp\OnboardLogs"\RTDC4004\*4004*201703070*</v>
      </c>
      <c r="I34" s="214" t="str">
        <f>IF(VLOOKUP(K34,'Train Runs'!$A$13:$V$1001,1,TRUE)=K34,VLOOKUP(K34,'Train Runs'!$A$13:$V$1001,22,TRUE),NA())</f>
        <v>https://d0f6bd738d7f1b3e5a7ca70fe4ff75f0.us-east-1.aws.found.io/app/kibana#/discover/Steve-Slow-Train-Analysis-(2080s-and-2083s)?_g=(refreshInterval:(display:Off,pause:!f,section:0,value:0),time:(from:'2017-03-22T23:56:38-0600',mode:absolute,to:'2017-03-23T02:08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34" s="210">
        <f t="shared" si="2"/>
        <v>42801.290277777778</v>
      </c>
      <c r="K34" s="210" t="str">
        <f>D34&amp;"-"&amp;IF(DAY(Variables!$A$2)&lt;10,0,"")&amp;DAY(Variables!$A$2)</f>
        <v>240-22</v>
      </c>
      <c r="L34" s="206">
        <f>IF(VLOOKUP(K34,'Train Runs'!$A$12:$B$1001,1,TRUE)=K34,VLOOKUP(K34,'Train Runs'!$A$12:$B$1001,2,TRUE),NA())</f>
        <v>4004</v>
      </c>
      <c r="M34" s="206">
        <f>VLOOKUP(B34,Variables!$T$2:$X$99,2,FALSE)</f>
        <v>167</v>
      </c>
      <c r="N34" s="206">
        <f>VLOOKUP(B34,Variables!$T$2:$X$99,3,FALSE)</f>
        <v>168</v>
      </c>
      <c r="O34" s="206">
        <f>VLOOKUP(B34,Variables!$T$2:$X$99,4,FALSE)</f>
        <v>199</v>
      </c>
      <c r="P34" s="206">
        <f>VLOOKUP(B34,Variables!$T$2:$X$99,5,FALSE)</f>
        <v>200</v>
      </c>
      <c r="Q34" s="205" t="str">
        <f t="shared" si="3"/>
        <v>(\|PRM\|1\|D)|(crossing.((167)|(168)|(199)|(200)))</v>
      </c>
    </row>
    <row r="35" spans="1:17" x14ac:dyDescent="0.25">
      <c r="A35" s="202">
        <v>42801.061805555553</v>
      </c>
      <c r="B35" s="208" t="s">
        <v>370</v>
      </c>
      <c r="C35" s="198" t="s">
        <v>372</v>
      </c>
      <c r="D35" s="212">
        <v>242</v>
      </c>
      <c r="E35" s="30" t="s">
        <v>374</v>
      </c>
      <c r="F35" s="212" t="b">
        <v>1</v>
      </c>
      <c r="G35" s="216" t="str">
        <f t="shared" si="0"/>
        <v>"C:\Program Files (x86)\AstroGrep\AstroGrep.exe" /e /r /s /spath="%USERPROFILE%\AppData\Local\Temp\OnboardLogs" /stypes="*4039*201703070*" /stext=" 07:.+((SYSTEM_STATE.+slice.+state.+changed )|(ment ac)|(multiple cpu faults)|(system.+state.+changed )|(\[timeout)|(PRM\|1\|D)|(kpr)|(kdp)|(\|lc)|(penalty)|(\|PRM\|1\|D)|(crossing.((167)|(168)|(199)|(200))))"</v>
      </c>
      <c r="H35" s="218" t="str">
        <f t="shared" si="1"/>
        <v>grep -hSE " 07:.+((\|PRM\|1\|D)|(crossing.((167)|(168)|(199)|(200))))" "%USERPROFILE%\AppData\Local\Temp\OnboardLogs"\RTDC4039\*4039*201703070*</v>
      </c>
      <c r="I35" s="214" t="str">
        <f>IF(VLOOKUP(K35,'Train Runs'!$A$13:$V$1001,1,TRUE)=K35,VLOOKUP(K35,'Train Runs'!$A$13:$V$1001,22,TRUE),NA())</f>
        <v>https://d0f6bd738d7f1b3e5a7ca70fe4ff75f0.us-east-1.aws.found.io/app/kibana#/discover/Steve-Slow-Train-Analysis-(2080s-and-2083s)?_g=(refreshInterval:(display:Off,pause:!f,section:0,value:0),time:(from:'2017-03-22T23:41:59-0600',mode:absolute,to:'2017-03-23T02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35" s="210">
        <f t="shared" si="2"/>
        <v>42801.311805555553</v>
      </c>
      <c r="K35" s="210" t="str">
        <f>D35&amp;"-"&amp;IF(DAY(Variables!$A$2)&lt;10,0,"")&amp;DAY(Variables!$A$2)</f>
        <v>242-22</v>
      </c>
      <c r="L35" s="206">
        <f>IF(VLOOKUP(K35,'Train Runs'!$A$12:$B$1001,1,TRUE)=K35,VLOOKUP(K35,'Train Runs'!$A$12:$B$1001,2,TRUE),NA())</f>
        <v>4039</v>
      </c>
      <c r="M35" s="206">
        <f>VLOOKUP(B35,Variables!$T$2:$X$99,2,FALSE)</f>
        <v>167</v>
      </c>
      <c r="N35" s="206">
        <f>VLOOKUP(B35,Variables!$T$2:$X$99,3,FALSE)</f>
        <v>168</v>
      </c>
      <c r="O35" s="206">
        <f>VLOOKUP(B35,Variables!$T$2:$X$99,4,FALSE)</f>
        <v>199</v>
      </c>
      <c r="P35" s="206">
        <f>VLOOKUP(B35,Variables!$T$2:$X$99,5,FALSE)</f>
        <v>200</v>
      </c>
      <c r="Q35" s="205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197</v>
      </c>
      <c r="G1" s="8" t="s">
        <v>196</v>
      </c>
    </row>
    <row r="2" spans="1:7" x14ac:dyDescent="0.25">
      <c r="A2" s="8">
        <v>42816.032592592594</v>
      </c>
      <c r="B2" s="20" t="s">
        <v>393</v>
      </c>
      <c r="C2" s="20" t="s">
        <v>544</v>
      </c>
      <c r="D2" s="150">
        <v>1740000</v>
      </c>
      <c r="E2" s="20" t="s">
        <v>512</v>
      </c>
      <c r="F2" s="20" t="s">
        <v>513</v>
      </c>
      <c r="G2" s="8" t="str">
        <f>E2&amp;" "&amp;F2</f>
        <v>STORY SAMANTHA</v>
      </c>
    </row>
    <row r="3" spans="1:7" x14ac:dyDescent="0.25">
      <c r="A3" s="8">
        <v>42816.047407407408</v>
      </c>
      <c r="B3" s="20" t="s">
        <v>393</v>
      </c>
      <c r="C3" s="20" t="s">
        <v>544</v>
      </c>
      <c r="D3" s="150">
        <v>1740000</v>
      </c>
      <c r="E3" s="20" t="s">
        <v>512</v>
      </c>
      <c r="F3" s="20" t="s">
        <v>513</v>
      </c>
      <c r="G3" s="8" t="str">
        <f t="shared" ref="G3:G66" si="0">E3&amp;" "&amp;F3</f>
        <v>STORY SAMANTHA</v>
      </c>
    </row>
    <row r="4" spans="1:7" x14ac:dyDescent="0.25">
      <c r="A4" s="8">
        <v>42816.048877314817</v>
      </c>
      <c r="B4" s="20" t="s">
        <v>413</v>
      </c>
      <c r="C4" s="20" t="s">
        <v>546</v>
      </c>
      <c r="D4" s="150">
        <v>1810000</v>
      </c>
      <c r="E4" s="20" t="s">
        <v>481</v>
      </c>
      <c r="F4" s="20" t="s">
        <v>195</v>
      </c>
      <c r="G4" s="8" t="str">
        <f t="shared" si="0"/>
        <v>NEWELL JAMES</v>
      </c>
    </row>
    <row r="5" spans="1:7" x14ac:dyDescent="0.25">
      <c r="A5" s="8">
        <v>42816.058182870373</v>
      </c>
      <c r="B5" s="20" t="s">
        <v>529</v>
      </c>
      <c r="C5" s="20" t="s">
        <v>547</v>
      </c>
      <c r="D5" s="150">
        <v>2000000</v>
      </c>
      <c r="E5" s="20" t="s">
        <v>391</v>
      </c>
      <c r="F5" s="20" t="s">
        <v>195</v>
      </c>
      <c r="G5" s="8" t="str">
        <f t="shared" si="0"/>
        <v>STAMBAUGH JAMES</v>
      </c>
    </row>
    <row r="6" spans="1:7" x14ac:dyDescent="0.25">
      <c r="A6" s="8">
        <v>42816.072013888886</v>
      </c>
      <c r="B6" s="20" t="s">
        <v>394</v>
      </c>
      <c r="C6" s="20" t="s">
        <v>544</v>
      </c>
      <c r="D6" s="150">
        <v>1740000</v>
      </c>
      <c r="E6" s="20" t="s">
        <v>512</v>
      </c>
      <c r="F6" s="20" t="s">
        <v>513</v>
      </c>
      <c r="G6" s="8" t="str">
        <f t="shared" si="0"/>
        <v>STORY SAMANTHA</v>
      </c>
    </row>
    <row r="7" spans="1:7" x14ac:dyDescent="0.25">
      <c r="A7" s="8">
        <v>42816.072557870371</v>
      </c>
      <c r="B7" s="20" t="s">
        <v>394</v>
      </c>
      <c r="C7" s="20" t="s">
        <v>548</v>
      </c>
      <c r="D7" s="150">
        <v>1740000</v>
      </c>
      <c r="E7" s="20" t="s">
        <v>512</v>
      </c>
      <c r="F7" s="20" t="s">
        <v>513</v>
      </c>
      <c r="G7" s="8" t="str">
        <f t="shared" si="0"/>
        <v>STORY SAMANTHA</v>
      </c>
    </row>
    <row r="8" spans="1:7" x14ac:dyDescent="0.25">
      <c r="A8" s="8">
        <v>42816.087754629632</v>
      </c>
      <c r="B8" s="20" t="s">
        <v>527</v>
      </c>
      <c r="C8" s="20" t="s">
        <v>549</v>
      </c>
      <c r="D8" s="150">
        <v>2000000</v>
      </c>
      <c r="E8" s="20" t="s">
        <v>391</v>
      </c>
      <c r="F8" s="20" t="s">
        <v>195</v>
      </c>
      <c r="G8" s="8" t="str">
        <f t="shared" si="0"/>
        <v>STAMBAUGH JAMES</v>
      </c>
    </row>
    <row r="9" spans="1:7" ht="15.75" thickBot="1" x14ac:dyDescent="0.3">
      <c r="A9" s="24">
        <v>42816.114722222221</v>
      </c>
      <c r="B9" s="20" t="s">
        <v>526</v>
      </c>
      <c r="C9" s="20" t="s">
        <v>645</v>
      </c>
      <c r="D9" s="150">
        <v>2550000</v>
      </c>
      <c r="E9" s="20" t="s">
        <v>646</v>
      </c>
      <c r="F9" s="20" t="s">
        <v>647</v>
      </c>
      <c r="G9" s="8" t="str">
        <f t="shared" si="0"/>
        <v>BADERTSCHER DIANE</v>
      </c>
    </row>
    <row r="10" spans="1:7" x14ac:dyDescent="0.25">
      <c r="A10" s="8">
        <v>42816.127870370372</v>
      </c>
      <c r="B10" s="20" t="s">
        <v>408</v>
      </c>
      <c r="C10" s="20" t="s">
        <v>593</v>
      </c>
      <c r="D10" s="150">
        <v>2550000</v>
      </c>
      <c r="E10" s="20" t="s">
        <v>646</v>
      </c>
      <c r="F10" s="20" t="s">
        <v>647</v>
      </c>
      <c r="G10" s="8" t="str">
        <f t="shared" si="0"/>
        <v>BADERTSCHER DIANE</v>
      </c>
    </row>
    <row r="11" spans="1:7" x14ac:dyDescent="0.25">
      <c r="A11" s="8">
        <v>42816.138958333337</v>
      </c>
      <c r="B11" s="20" t="s">
        <v>389</v>
      </c>
      <c r="C11" s="20" t="s">
        <v>648</v>
      </c>
      <c r="D11" s="150">
        <v>2010000</v>
      </c>
      <c r="E11" s="20" t="s">
        <v>427</v>
      </c>
      <c r="F11" s="20" t="s">
        <v>428</v>
      </c>
      <c r="G11" s="8" t="str">
        <f t="shared" si="0"/>
        <v>MAELZER KURT</v>
      </c>
    </row>
    <row r="12" spans="1:7" x14ac:dyDescent="0.25">
      <c r="A12" s="8">
        <v>42816.144328703704</v>
      </c>
      <c r="B12" s="20" t="s">
        <v>408</v>
      </c>
      <c r="C12" s="20" t="s">
        <v>593</v>
      </c>
      <c r="D12" s="150">
        <v>2550000</v>
      </c>
      <c r="E12" s="20" t="s">
        <v>646</v>
      </c>
      <c r="F12" s="20" t="s">
        <v>647</v>
      </c>
      <c r="G12" s="8" t="str">
        <f t="shared" si="0"/>
        <v>BADERTSCHER DIANE</v>
      </c>
    </row>
    <row r="13" spans="1:7" x14ac:dyDescent="0.25">
      <c r="A13" s="8">
        <v>42816.153680555559</v>
      </c>
      <c r="B13" s="20" t="s">
        <v>469</v>
      </c>
      <c r="C13" s="20" t="s">
        <v>594</v>
      </c>
      <c r="D13" s="150">
        <v>2010000</v>
      </c>
      <c r="E13" s="20" t="s">
        <v>427</v>
      </c>
      <c r="F13" s="20" t="s">
        <v>428</v>
      </c>
      <c r="G13" s="8" t="str">
        <f t="shared" si="0"/>
        <v>MAELZER KURT</v>
      </c>
    </row>
    <row r="14" spans="1:7" x14ac:dyDescent="0.25">
      <c r="A14" s="8">
        <v>42816.161249999997</v>
      </c>
      <c r="B14" s="20" t="s">
        <v>649</v>
      </c>
      <c r="C14" s="20" t="s">
        <v>650</v>
      </c>
      <c r="D14" s="150">
        <v>1100000</v>
      </c>
      <c r="E14" s="20" t="s">
        <v>651</v>
      </c>
      <c r="F14" s="20" t="s">
        <v>652</v>
      </c>
      <c r="G14" s="8" t="str">
        <f t="shared" si="0"/>
        <v>GEBRETEKLE DAGNEW</v>
      </c>
    </row>
    <row r="15" spans="1:7" x14ac:dyDescent="0.25">
      <c r="A15" s="8">
        <v>42816.169432870367</v>
      </c>
      <c r="B15" s="20" t="s">
        <v>602</v>
      </c>
      <c r="C15" s="20" t="s">
        <v>653</v>
      </c>
      <c r="D15" s="150">
        <v>2970000</v>
      </c>
      <c r="E15" s="20" t="s">
        <v>499</v>
      </c>
      <c r="F15" s="20" t="s">
        <v>500</v>
      </c>
      <c r="G15" s="8" t="str">
        <f t="shared" si="0"/>
        <v>GUZMAN DANNY</v>
      </c>
    </row>
    <row r="16" spans="1:7" x14ac:dyDescent="0.25">
      <c r="A16" s="8">
        <v>42816.172164351854</v>
      </c>
      <c r="B16" s="20" t="s">
        <v>604</v>
      </c>
      <c r="C16" s="20" t="s">
        <v>654</v>
      </c>
      <c r="D16" s="150">
        <v>1100000</v>
      </c>
      <c r="E16" s="20" t="s">
        <v>651</v>
      </c>
      <c r="F16" s="20" t="s">
        <v>652</v>
      </c>
      <c r="G16" s="8" t="str">
        <f t="shared" si="0"/>
        <v>GEBRETEKLE DAGNEW</v>
      </c>
    </row>
    <row r="17" spans="1:7" x14ac:dyDescent="0.25">
      <c r="A17" s="8">
        <v>42816.175393518519</v>
      </c>
      <c r="B17" s="20" t="s">
        <v>526</v>
      </c>
      <c r="C17" s="20" t="s">
        <v>655</v>
      </c>
      <c r="D17" s="150">
        <v>2550000</v>
      </c>
      <c r="E17" s="20" t="s">
        <v>646</v>
      </c>
      <c r="F17" s="20" t="s">
        <v>647</v>
      </c>
      <c r="G17" s="8" t="str">
        <f t="shared" si="0"/>
        <v>BADERTSCHER DIANE</v>
      </c>
    </row>
    <row r="18" spans="1:7" x14ac:dyDescent="0.25">
      <c r="A18" s="8">
        <v>42816.1796875</v>
      </c>
      <c r="B18" s="20" t="s">
        <v>610</v>
      </c>
      <c r="C18" s="20" t="s">
        <v>656</v>
      </c>
      <c r="D18" s="150">
        <v>2970000</v>
      </c>
      <c r="E18" s="20" t="s">
        <v>499</v>
      </c>
      <c r="F18" s="20" t="s">
        <v>500</v>
      </c>
      <c r="G18" s="8" t="str">
        <f t="shared" si="0"/>
        <v>GUZMAN DANNY</v>
      </c>
    </row>
    <row r="19" spans="1:7" x14ac:dyDescent="0.25">
      <c r="A19" s="8">
        <v>42816.183715277781</v>
      </c>
      <c r="B19" s="20" t="s">
        <v>472</v>
      </c>
      <c r="C19" s="20" t="s">
        <v>657</v>
      </c>
      <c r="D19" s="150">
        <v>1360000</v>
      </c>
      <c r="E19" s="20" t="s">
        <v>425</v>
      </c>
      <c r="F19" s="20" t="s">
        <v>426</v>
      </c>
      <c r="G19" s="8" t="str">
        <f t="shared" si="0"/>
        <v>SANTIZO D. EDY</v>
      </c>
    </row>
    <row r="20" spans="1:7" x14ac:dyDescent="0.25">
      <c r="A20" s="8">
        <v>42816.18482638889</v>
      </c>
      <c r="B20" s="20" t="s">
        <v>472</v>
      </c>
      <c r="C20" s="20" t="s">
        <v>658</v>
      </c>
      <c r="D20" s="150">
        <v>1360000</v>
      </c>
      <c r="E20" s="20" t="s">
        <v>425</v>
      </c>
      <c r="F20" s="20" t="s">
        <v>426</v>
      </c>
      <c r="G20" s="8" t="str">
        <f t="shared" si="0"/>
        <v>SANTIZO D. EDY</v>
      </c>
    </row>
    <row r="21" spans="1:7" x14ac:dyDescent="0.25">
      <c r="A21" s="8">
        <v>42816.19</v>
      </c>
      <c r="B21" s="20" t="s">
        <v>389</v>
      </c>
      <c r="C21" s="20" t="s">
        <v>659</v>
      </c>
      <c r="D21" s="150">
        <v>2010000</v>
      </c>
      <c r="E21" s="20" t="s">
        <v>427</v>
      </c>
      <c r="F21" s="20" t="s">
        <v>428</v>
      </c>
      <c r="G21" s="8" t="str">
        <f t="shared" si="0"/>
        <v>MAELZER KURT</v>
      </c>
    </row>
    <row r="22" spans="1:7" x14ac:dyDescent="0.25">
      <c r="A22" s="26">
        <v>42816.194004629629</v>
      </c>
      <c r="B22" s="20" t="s">
        <v>475</v>
      </c>
      <c r="C22" s="20" t="s">
        <v>657</v>
      </c>
      <c r="D22" s="150">
        <v>1360000</v>
      </c>
      <c r="E22" s="20" t="s">
        <v>425</v>
      </c>
      <c r="F22" s="20" t="s">
        <v>426</v>
      </c>
      <c r="G22" s="8" t="str">
        <f t="shared" si="0"/>
        <v>SANTIZO D. EDY</v>
      </c>
    </row>
    <row r="23" spans="1:7" x14ac:dyDescent="0.25">
      <c r="A23" s="8">
        <v>42816.195671296293</v>
      </c>
      <c r="B23" s="20" t="s">
        <v>643</v>
      </c>
      <c r="C23" s="20" t="s">
        <v>660</v>
      </c>
      <c r="D23" s="150">
        <v>1340000</v>
      </c>
      <c r="E23" s="20" t="s">
        <v>534</v>
      </c>
      <c r="F23" s="20" t="s">
        <v>535</v>
      </c>
      <c r="G23" s="8" t="str">
        <f t="shared" si="0"/>
        <v>BEAM ROSS</v>
      </c>
    </row>
    <row r="24" spans="1:7" x14ac:dyDescent="0.25">
      <c r="A24" s="8">
        <v>42816.202372685184</v>
      </c>
      <c r="B24" s="20" t="s">
        <v>404</v>
      </c>
      <c r="C24" s="20" t="s">
        <v>661</v>
      </c>
      <c r="D24" s="150">
        <v>1830000</v>
      </c>
      <c r="E24" s="20" t="s">
        <v>530</v>
      </c>
      <c r="F24" s="20" t="s">
        <v>531</v>
      </c>
      <c r="G24" s="8" t="str">
        <f t="shared" si="0"/>
        <v>YORK EDGAR</v>
      </c>
    </row>
    <row r="25" spans="1:7" x14ac:dyDescent="0.25">
      <c r="A25" s="8">
        <v>42816.203622685185</v>
      </c>
      <c r="B25" s="20" t="s">
        <v>480</v>
      </c>
      <c r="C25" s="20" t="s">
        <v>662</v>
      </c>
      <c r="D25" s="150">
        <v>3010000</v>
      </c>
      <c r="E25" s="20" t="s">
        <v>506</v>
      </c>
      <c r="F25" s="20" t="s">
        <v>507</v>
      </c>
      <c r="G25" s="8" t="str">
        <f t="shared" si="0"/>
        <v>SULLIVAN BRANDON</v>
      </c>
    </row>
    <row r="26" spans="1:7" x14ac:dyDescent="0.25">
      <c r="A26" s="8">
        <v>42816.211319444446</v>
      </c>
      <c r="B26" s="20" t="s">
        <v>649</v>
      </c>
      <c r="C26" s="20" t="s">
        <v>663</v>
      </c>
      <c r="D26" s="150">
        <v>1100000</v>
      </c>
      <c r="E26" s="20" t="s">
        <v>651</v>
      </c>
      <c r="F26" s="20" t="s">
        <v>652</v>
      </c>
      <c r="G26" s="8" t="str">
        <f t="shared" si="0"/>
        <v>GEBRETEKLE DAGNEW</v>
      </c>
    </row>
    <row r="27" spans="1:7" x14ac:dyDescent="0.25">
      <c r="A27" s="8">
        <v>42816.212175925924</v>
      </c>
      <c r="B27" s="20" t="s">
        <v>403</v>
      </c>
      <c r="C27" s="20" t="s">
        <v>664</v>
      </c>
      <c r="D27" s="150">
        <v>1830000</v>
      </c>
      <c r="E27" s="20" t="s">
        <v>530</v>
      </c>
      <c r="F27" s="20" t="s">
        <v>531</v>
      </c>
      <c r="G27" s="8" t="str">
        <f t="shared" si="0"/>
        <v>YORK EDGAR</v>
      </c>
    </row>
    <row r="28" spans="1:7" x14ac:dyDescent="0.25">
      <c r="A28" s="8">
        <v>42816.22115740741</v>
      </c>
      <c r="B28" s="20" t="s">
        <v>602</v>
      </c>
      <c r="C28" s="20" t="s">
        <v>665</v>
      </c>
      <c r="D28" s="150">
        <v>2970000</v>
      </c>
      <c r="E28" s="20" t="s">
        <v>499</v>
      </c>
      <c r="F28" s="20" t="s">
        <v>500</v>
      </c>
      <c r="G28" s="8" t="str">
        <f t="shared" si="0"/>
        <v>GUZMAN DANNY</v>
      </c>
    </row>
    <row r="29" spans="1:7" x14ac:dyDescent="0.25">
      <c r="A29" s="8">
        <v>42816.222719907404</v>
      </c>
      <c r="B29" s="20" t="s">
        <v>408</v>
      </c>
      <c r="C29" s="20" t="s">
        <v>595</v>
      </c>
      <c r="D29" s="150">
        <v>2550000</v>
      </c>
      <c r="E29" s="20" t="s">
        <v>646</v>
      </c>
      <c r="F29" s="20" t="s">
        <v>647</v>
      </c>
      <c r="G29" s="8" t="str">
        <f t="shared" si="0"/>
        <v>BADERTSCHER DIANE</v>
      </c>
    </row>
    <row r="30" spans="1:7" x14ac:dyDescent="0.25">
      <c r="A30" s="8">
        <v>42816.22552083333</v>
      </c>
      <c r="B30" s="20" t="s">
        <v>472</v>
      </c>
      <c r="C30" s="20" t="s">
        <v>596</v>
      </c>
      <c r="D30" s="150">
        <v>1360000</v>
      </c>
      <c r="E30" s="20" t="s">
        <v>425</v>
      </c>
      <c r="F30" s="20" t="s">
        <v>426</v>
      </c>
      <c r="G30" s="8" t="str">
        <f t="shared" si="0"/>
        <v>SANTIZO D. EDY</v>
      </c>
    </row>
    <row r="31" spans="1:7" x14ac:dyDescent="0.25">
      <c r="A31" s="8">
        <v>42816.226087962961</v>
      </c>
      <c r="B31" s="20" t="s">
        <v>469</v>
      </c>
      <c r="C31" s="20" t="s">
        <v>666</v>
      </c>
      <c r="D31" s="150">
        <v>1110000</v>
      </c>
      <c r="E31" s="20" t="s">
        <v>497</v>
      </c>
      <c r="F31" s="20" t="s">
        <v>498</v>
      </c>
      <c r="G31" s="8" t="str">
        <f t="shared" si="0"/>
        <v>STARKS ANGELINA</v>
      </c>
    </row>
    <row r="32" spans="1:7" x14ac:dyDescent="0.25">
      <c r="A32" s="8">
        <v>42816.226817129631</v>
      </c>
      <c r="B32" s="20" t="s">
        <v>390</v>
      </c>
      <c r="C32" s="20" t="s">
        <v>667</v>
      </c>
      <c r="D32" s="150">
        <v>2010000</v>
      </c>
      <c r="E32" s="20" t="s">
        <v>427</v>
      </c>
      <c r="F32" s="20" t="s">
        <v>428</v>
      </c>
      <c r="G32" s="8" t="str">
        <f t="shared" si="0"/>
        <v>MAELZER KURT</v>
      </c>
    </row>
    <row r="33" spans="1:7" x14ac:dyDescent="0.25">
      <c r="A33" s="8">
        <v>42816.227372685185</v>
      </c>
      <c r="B33" s="20" t="s">
        <v>390</v>
      </c>
      <c r="C33" s="20" t="s">
        <v>667</v>
      </c>
      <c r="D33" s="150">
        <v>2010000</v>
      </c>
      <c r="E33" s="20" t="s">
        <v>427</v>
      </c>
      <c r="F33" s="20" t="s">
        <v>428</v>
      </c>
      <c r="G33" s="8" t="str">
        <f t="shared" si="0"/>
        <v>MAELZER KURT</v>
      </c>
    </row>
    <row r="34" spans="1:7" x14ac:dyDescent="0.25">
      <c r="A34" s="8">
        <v>42816.229062500002</v>
      </c>
      <c r="B34" s="20" t="s">
        <v>390</v>
      </c>
      <c r="C34" s="20" t="s">
        <v>667</v>
      </c>
      <c r="D34" s="150">
        <v>2010000</v>
      </c>
      <c r="E34" s="20" t="s">
        <v>427</v>
      </c>
      <c r="F34" s="20" t="s">
        <v>428</v>
      </c>
      <c r="G34" s="8" t="str">
        <f t="shared" si="0"/>
        <v>MAELZER KURT</v>
      </c>
    </row>
    <row r="35" spans="1:7" x14ac:dyDescent="0.25">
      <c r="A35" s="8">
        <v>42816.230833333335</v>
      </c>
      <c r="B35" s="20" t="s">
        <v>404</v>
      </c>
      <c r="C35" s="20" t="s">
        <v>668</v>
      </c>
      <c r="D35" s="150">
        <v>1830000</v>
      </c>
      <c r="E35" s="20" t="s">
        <v>530</v>
      </c>
      <c r="F35" s="20" t="s">
        <v>531</v>
      </c>
      <c r="G35" s="8" t="str">
        <f t="shared" si="0"/>
        <v>YORK EDGAR</v>
      </c>
    </row>
    <row r="36" spans="1:7" x14ac:dyDescent="0.25">
      <c r="A36" s="8">
        <v>42816.231631944444</v>
      </c>
      <c r="B36" s="20" t="s">
        <v>408</v>
      </c>
      <c r="C36" s="20" t="s">
        <v>595</v>
      </c>
      <c r="D36" s="150">
        <v>2550000</v>
      </c>
      <c r="E36" s="20" t="s">
        <v>646</v>
      </c>
      <c r="F36" s="20" t="s">
        <v>647</v>
      </c>
      <c r="G36" s="8" t="str">
        <f t="shared" si="0"/>
        <v>BADERTSCHER DIANE</v>
      </c>
    </row>
    <row r="37" spans="1:7" x14ac:dyDescent="0.25">
      <c r="A37" s="8">
        <v>42816.235578703701</v>
      </c>
      <c r="B37" s="20" t="s">
        <v>397</v>
      </c>
      <c r="C37" s="20" t="s">
        <v>669</v>
      </c>
      <c r="D37" s="150">
        <v>1340000</v>
      </c>
      <c r="E37" s="20" t="s">
        <v>534</v>
      </c>
      <c r="F37" s="20" t="s">
        <v>535</v>
      </c>
      <c r="G37" s="8" t="str">
        <f t="shared" si="0"/>
        <v>BEAM ROSS</v>
      </c>
    </row>
    <row r="38" spans="1:7" x14ac:dyDescent="0.25">
      <c r="A38" s="8">
        <v>42816.247083333335</v>
      </c>
      <c r="B38" s="20" t="s">
        <v>604</v>
      </c>
      <c r="C38" s="20" t="s">
        <v>670</v>
      </c>
      <c r="D38" s="150">
        <v>1100000</v>
      </c>
      <c r="E38" s="20" t="s">
        <v>651</v>
      </c>
      <c r="F38" s="20" t="s">
        <v>652</v>
      </c>
      <c r="G38" s="8" t="str">
        <f t="shared" si="0"/>
        <v>GEBRETEKLE DAGNEW</v>
      </c>
    </row>
    <row r="39" spans="1:7" x14ac:dyDescent="0.25">
      <c r="A39" s="8">
        <v>42816.247534722221</v>
      </c>
      <c r="B39" s="20" t="s">
        <v>470</v>
      </c>
      <c r="C39" s="20" t="s">
        <v>671</v>
      </c>
      <c r="D39" s="150">
        <v>3010000</v>
      </c>
      <c r="E39" s="20" t="s">
        <v>506</v>
      </c>
      <c r="F39" s="20" t="s">
        <v>507</v>
      </c>
      <c r="G39" s="8" t="str">
        <f t="shared" si="0"/>
        <v>SULLIVAN BRANDON</v>
      </c>
    </row>
    <row r="40" spans="1:7" x14ac:dyDescent="0.25">
      <c r="A40" s="8">
        <v>42816.255532407406</v>
      </c>
      <c r="B40" s="25" t="s">
        <v>412</v>
      </c>
      <c r="C40" s="20" t="s">
        <v>599</v>
      </c>
      <c r="D40" s="150">
        <v>1290000</v>
      </c>
      <c r="E40" s="20" t="s">
        <v>672</v>
      </c>
      <c r="F40" s="20" t="s">
        <v>673</v>
      </c>
      <c r="G40" s="8" t="str">
        <f t="shared" si="0"/>
        <v>COOLAHAN JOHN</v>
      </c>
    </row>
    <row r="41" spans="1:7" x14ac:dyDescent="0.25">
      <c r="A41" s="8">
        <v>42816.256284722222</v>
      </c>
      <c r="B41" s="20" t="s">
        <v>403</v>
      </c>
      <c r="C41" s="20" t="s">
        <v>597</v>
      </c>
      <c r="D41" s="150">
        <v>1830000</v>
      </c>
      <c r="E41" s="20" t="s">
        <v>530</v>
      </c>
      <c r="F41" s="20" t="s">
        <v>531</v>
      </c>
      <c r="G41" s="8" t="str">
        <f t="shared" si="0"/>
        <v>YORK EDGAR</v>
      </c>
    </row>
    <row r="42" spans="1:7" x14ac:dyDescent="0.25">
      <c r="A42" s="8">
        <v>42816.256388888891</v>
      </c>
      <c r="B42" s="20" t="s">
        <v>505</v>
      </c>
      <c r="C42" s="20" t="s">
        <v>674</v>
      </c>
      <c r="D42" s="150">
        <v>890000</v>
      </c>
      <c r="E42" s="20" t="s">
        <v>532</v>
      </c>
      <c r="F42" s="20" t="s">
        <v>533</v>
      </c>
      <c r="G42" s="8" t="str">
        <f t="shared" si="0"/>
        <v>LOZA FIDEL</v>
      </c>
    </row>
    <row r="43" spans="1:7" x14ac:dyDescent="0.25">
      <c r="A43" s="8">
        <v>42816.256608796299</v>
      </c>
      <c r="B43" s="20" t="s">
        <v>610</v>
      </c>
      <c r="C43" s="20" t="s">
        <v>675</v>
      </c>
      <c r="D43" s="150">
        <v>2970000</v>
      </c>
      <c r="E43" s="20" t="s">
        <v>499</v>
      </c>
      <c r="F43" s="20" t="s">
        <v>500</v>
      </c>
      <c r="G43" s="8" t="str">
        <f t="shared" si="0"/>
        <v>GUZMAN DANNY</v>
      </c>
    </row>
    <row r="44" spans="1:7" x14ac:dyDescent="0.25">
      <c r="A44" s="8">
        <v>42816.261087962965</v>
      </c>
      <c r="B44" s="20" t="s">
        <v>643</v>
      </c>
      <c r="C44" s="20" t="s">
        <v>676</v>
      </c>
      <c r="D44" s="150">
        <v>1340000</v>
      </c>
      <c r="E44" s="20" t="s">
        <v>534</v>
      </c>
      <c r="F44" s="20" t="s">
        <v>535</v>
      </c>
      <c r="G44" s="8" t="str">
        <f t="shared" si="0"/>
        <v>BEAM ROSS</v>
      </c>
    </row>
    <row r="45" spans="1:7" x14ac:dyDescent="0.25">
      <c r="A45" s="8">
        <v>42816.264351851853</v>
      </c>
      <c r="B45" s="20" t="s">
        <v>467</v>
      </c>
      <c r="C45" s="20" t="s">
        <v>677</v>
      </c>
      <c r="D45" s="150">
        <v>1110000</v>
      </c>
      <c r="E45" s="20" t="s">
        <v>497</v>
      </c>
      <c r="F45" s="20" t="s">
        <v>498</v>
      </c>
      <c r="G45" s="8" t="str">
        <f t="shared" si="0"/>
        <v>STARKS ANGELINA</v>
      </c>
    </row>
    <row r="46" spans="1:7" x14ac:dyDescent="0.25">
      <c r="A46" s="8">
        <v>42816.264641203707</v>
      </c>
      <c r="B46" s="20" t="s">
        <v>536</v>
      </c>
      <c r="C46" s="20" t="s">
        <v>678</v>
      </c>
      <c r="D46" s="150">
        <v>890000</v>
      </c>
      <c r="E46" s="20" t="s">
        <v>532</v>
      </c>
      <c r="F46" s="20" t="s">
        <v>533</v>
      </c>
      <c r="G46" s="8" t="str">
        <f t="shared" si="0"/>
        <v>LOZA FIDEL</v>
      </c>
    </row>
    <row r="47" spans="1:7" x14ac:dyDescent="0.25">
      <c r="A47" s="8">
        <v>42816.2653587963</v>
      </c>
      <c r="B47" s="20" t="s">
        <v>475</v>
      </c>
      <c r="C47" s="20" t="s">
        <v>598</v>
      </c>
      <c r="D47" s="150">
        <v>1360000</v>
      </c>
      <c r="E47" s="20" t="s">
        <v>425</v>
      </c>
      <c r="F47" s="20" t="s">
        <v>426</v>
      </c>
      <c r="G47" s="8" t="str">
        <f t="shared" si="0"/>
        <v>SANTIZO D. EDY</v>
      </c>
    </row>
    <row r="48" spans="1:7" x14ac:dyDescent="0.25">
      <c r="A48" s="8">
        <v>42816.269444444442</v>
      </c>
      <c r="B48" s="20" t="s">
        <v>404</v>
      </c>
      <c r="C48" s="20" t="s">
        <v>679</v>
      </c>
      <c r="D48" s="150">
        <v>1830000</v>
      </c>
      <c r="E48" s="20" t="s">
        <v>530</v>
      </c>
      <c r="F48" s="20" t="s">
        <v>531</v>
      </c>
      <c r="G48" s="8" t="str">
        <f t="shared" si="0"/>
        <v>YORK EDGAR</v>
      </c>
    </row>
    <row r="49" spans="1:7" x14ac:dyDescent="0.25">
      <c r="A49" s="8">
        <v>42816.274456018517</v>
      </c>
      <c r="B49" s="20" t="s">
        <v>389</v>
      </c>
      <c r="C49" s="20" t="s">
        <v>680</v>
      </c>
      <c r="D49" s="150">
        <v>2010000</v>
      </c>
      <c r="E49" s="20" t="s">
        <v>427</v>
      </c>
      <c r="F49" s="20" t="s">
        <v>428</v>
      </c>
      <c r="G49" s="8" t="str">
        <f t="shared" si="0"/>
        <v>MAELZER KURT</v>
      </c>
    </row>
    <row r="50" spans="1:7" x14ac:dyDescent="0.25">
      <c r="A50" s="8">
        <v>42816.275960648149</v>
      </c>
      <c r="B50" s="20" t="s">
        <v>505</v>
      </c>
      <c r="C50" s="20" t="s">
        <v>681</v>
      </c>
      <c r="D50" s="150">
        <v>890000</v>
      </c>
      <c r="E50" s="20" t="s">
        <v>532</v>
      </c>
      <c r="F50" s="20" t="s">
        <v>533</v>
      </c>
      <c r="G50" s="8" t="str">
        <f t="shared" si="0"/>
        <v>LOZA FIDEL</v>
      </c>
    </row>
    <row r="51" spans="1:7" x14ac:dyDescent="0.25">
      <c r="A51" s="8">
        <v>42816.279143518521</v>
      </c>
      <c r="B51" s="20" t="s">
        <v>480</v>
      </c>
      <c r="C51" s="20" t="s">
        <v>682</v>
      </c>
      <c r="D51" s="150">
        <v>3010000</v>
      </c>
      <c r="E51" s="20" t="s">
        <v>506</v>
      </c>
      <c r="F51" s="20" t="s">
        <v>507</v>
      </c>
      <c r="G51" s="8" t="str">
        <f t="shared" si="0"/>
        <v>SULLIVAN BRANDON</v>
      </c>
    </row>
    <row r="52" spans="1:7" x14ac:dyDescent="0.25">
      <c r="A52" s="8">
        <v>42816.28365740741</v>
      </c>
      <c r="B52" s="20" t="s">
        <v>608</v>
      </c>
      <c r="C52" s="20" t="s">
        <v>683</v>
      </c>
      <c r="D52" s="150">
        <v>1100000</v>
      </c>
      <c r="E52" s="20" t="s">
        <v>651</v>
      </c>
      <c r="F52" s="20" t="s">
        <v>652</v>
      </c>
      <c r="G52" s="8" t="str">
        <f t="shared" si="0"/>
        <v>GEBRETEKLE DAGNEW</v>
      </c>
    </row>
    <row r="53" spans="1:7" x14ac:dyDescent="0.25">
      <c r="A53" s="8">
        <v>42816.287708333337</v>
      </c>
      <c r="B53" s="20" t="s">
        <v>408</v>
      </c>
      <c r="C53" s="20" t="s">
        <v>684</v>
      </c>
      <c r="D53" s="150">
        <v>1290000</v>
      </c>
      <c r="E53" s="20" t="s">
        <v>672</v>
      </c>
      <c r="F53" s="20" t="s">
        <v>673</v>
      </c>
      <c r="G53" s="8" t="str">
        <f t="shared" si="0"/>
        <v>COOLAHAN JOHN</v>
      </c>
    </row>
    <row r="54" spans="1:7" x14ac:dyDescent="0.25">
      <c r="A54" s="8">
        <v>42816.293726851851</v>
      </c>
      <c r="B54" s="20" t="s">
        <v>602</v>
      </c>
      <c r="C54" s="20" t="s">
        <v>603</v>
      </c>
      <c r="D54" s="150">
        <v>2970000</v>
      </c>
      <c r="E54" s="20" t="s">
        <v>499</v>
      </c>
      <c r="F54" s="20" t="s">
        <v>500</v>
      </c>
      <c r="G54" s="8" t="str">
        <f t="shared" si="0"/>
        <v>GUZMAN DANNY</v>
      </c>
    </row>
    <row r="55" spans="1:7" x14ac:dyDescent="0.25">
      <c r="A55" s="8">
        <v>42816.296064814815</v>
      </c>
      <c r="B55" s="20" t="s">
        <v>403</v>
      </c>
      <c r="C55" s="20" t="s">
        <v>685</v>
      </c>
      <c r="D55" s="150">
        <v>1830000</v>
      </c>
      <c r="E55" s="20" t="s">
        <v>530</v>
      </c>
      <c r="F55" s="20" t="s">
        <v>531</v>
      </c>
      <c r="G55" s="8" t="str">
        <f t="shared" si="0"/>
        <v>YORK EDGAR</v>
      </c>
    </row>
    <row r="56" spans="1:7" x14ac:dyDescent="0.25">
      <c r="A56" s="8">
        <v>42816.298750000002</v>
      </c>
      <c r="B56" s="20" t="s">
        <v>469</v>
      </c>
      <c r="C56" s="20" t="s">
        <v>686</v>
      </c>
      <c r="D56" s="150">
        <v>1110000</v>
      </c>
      <c r="E56" s="20" t="s">
        <v>497</v>
      </c>
      <c r="F56" s="20" t="s">
        <v>498</v>
      </c>
      <c r="G56" s="8" t="str">
        <f t="shared" si="0"/>
        <v>STARKS ANGELINA</v>
      </c>
    </row>
    <row r="57" spans="1:7" x14ac:dyDescent="0.25">
      <c r="A57" s="8">
        <v>42816.300856481481</v>
      </c>
      <c r="B57" s="20" t="s">
        <v>472</v>
      </c>
      <c r="C57" s="20" t="s">
        <v>687</v>
      </c>
      <c r="D57" s="150">
        <v>1360000</v>
      </c>
      <c r="E57" s="20" t="s">
        <v>425</v>
      </c>
      <c r="F57" s="20" t="s">
        <v>426</v>
      </c>
      <c r="G57" s="8" t="str">
        <f t="shared" si="0"/>
        <v>SANTIZO D. EDY</v>
      </c>
    </row>
    <row r="58" spans="1:7" x14ac:dyDescent="0.25">
      <c r="A58" s="8">
        <v>42816.305358796293</v>
      </c>
      <c r="B58" s="20" t="s">
        <v>536</v>
      </c>
      <c r="C58" s="20" t="s">
        <v>600</v>
      </c>
      <c r="D58" s="150">
        <v>3040000</v>
      </c>
      <c r="E58" s="20" t="s">
        <v>501</v>
      </c>
      <c r="F58" s="20" t="s">
        <v>502</v>
      </c>
      <c r="G58" s="8" t="str">
        <f t="shared" si="0"/>
        <v>WILLIAMS DONTE</v>
      </c>
    </row>
    <row r="59" spans="1:7" x14ac:dyDescent="0.25">
      <c r="A59" s="8">
        <v>42816.30846064815</v>
      </c>
      <c r="B59" s="20" t="s">
        <v>390</v>
      </c>
      <c r="C59" s="20" t="s">
        <v>688</v>
      </c>
      <c r="D59" s="150">
        <v>2010000</v>
      </c>
      <c r="E59" s="20" t="s">
        <v>427</v>
      </c>
      <c r="F59" s="20" t="s">
        <v>428</v>
      </c>
      <c r="G59" s="8" t="str">
        <f t="shared" si="0"/>
        <v>MAELZER KURT</v>
      </c>
    </row>
    <row r="60" spans="1:7" x14ac:dyDescent="0.25">
      <c r="A60" s="8">
        <v>42816.310868055552</v>
      </c>
      <c r="B60" s="20" t="s">
        <v>404</v>
      </c>
      <c r="C60" s="20" t="s">
        <v>689</v>
      </c>
      <c r="D60" s="150">
        <v>1830000</v>
      </c>
      <c r="E60" s="20" t="s">
        <v>530</v>
      </c>
      <c r="F60" s="20" t="s">
        <v>531</v>
      </c>
      <c r="G60" s="8" t="str">
        <f t="shared" si="0"/>
        <v>YORK EDGAR</v>
      </c>
    </row>
    <row r="61" spans="1:7" x14ac:dyDescent="0.25">
      <c r="A61" s="8">
        <v>42816.31863425926</v>
      </c>
      <c r="B61" s="20" t="s">
        <v>470</v>
      </c>
      <c r="C61" s="20" t="s">
        <v>690</v>
      </c>
      <c r="D61" s="150">
        <v>3010000</v>
      </c>
      <c r="E61" s="20" t="s">
        <v>506</v>
      </c>
      <c r="F61" s="20" t="s">
        <v>507</v>
      </c>
      <c r="G61" s="8" t="str">
        <f t="shared" si="0"/>
        <v>SULLIVAN BRANDON</v>
      </c>
    </row>
    <row r="62" spans="1:7" x14ac:dyDescent="0.25">
      <c r="A62" s="8">
        <v>42816.319502314815</v>
      </c>
      <c r="B62" s="20" t="s">
        <v>505</v>
      </c>
      <c r="C62" s="20" t="s">
        <v>601</v>
      </c>
      <c r="D62" s="150">
        <v>3040000</v>
      </c>
      <c r="E62" s="20" t="s">
        <v>501</v>
      </c>
      <c r="F62" s="20" t="s">
        <v>502</v>
      </c>
      <c r="G62" s="8" t="str">
        <f t="shared" si="0"/>
        <v>WILLIAMS DONTE</v>
      </c>
    </row>
    <row r="63" spans="1:7" x14ac:dyDescent="0.25">
      <c r="A63" s="8">
        <v>42816.319907407407</v>
      </c>
      <c r="B63" s="20" t="s">
        <v>604</v>
      </c>
      <c r="C63" s="20" t="s">
        <v>605</v>
      </c>
      <c r="D63" s="150">
        <v>1100000</v>
      </c>
      <c r="E63" s="20" t="s">
        <v>651</v>
      </c>
      <c r="F63" s="20" t="s">
        <v>652</v>
      </c>
      <c r="G63" s="8" t="str">
        <f t="shared" si="0"/>
        <v>GEBRETEKLE DAGNEW</v>
      </c>
    </row>
    <row r="64" spans="1:7" x14ac:dyDescent="0.25">
      <c r="A64" s="26">
        <v>42816.324664351851</v>
      </c>
      <c r="B64" s="20" t="s">
        <v>412</v>
      </c>
      <c r="C64" s="20" t="s">
        <v>691</v>
      </c>
      <c r="D64" s="150">
        <v>1290000</v>
      </c>
      <c r="E64" s="20" t="s">
        <v>672</v>
      </c>
      <c r="F64" s="20" t="s">
        <v>673</v>
      </c>
      <c r="G64" s="8" t="str">
        <f t="shared" si="0"/>
        <v>COOLAHAN JOHN</v>
      </c>
    </row>
    <row r="65" spans="1:7" x14ac:dyDescent="0.25">
      <c r="A65" s="8">
        <v>42816.328506944446</v>
      </c>
      <c r="B65" s="20" t="s">
        <v>610</v>
      </c>
      <c r="C65" s="20" t="s">
        <v>692</v>
      </c>
      <c r="D65" s="150">
        <v>2970000</v>
      </c>
      <c r="E65" s="20" t="s">
        <v>499</v>
      </c>
      <c r="F65" s="20" t="s">
        <v>500</v>
      </c>
      <c r="G65" s="8" t="str">
        <f t="shared" si="0"/>
        <v>GUZMAN DANNY</v>
      </c>
    </row>
    <row r="66" spans="1:7" x14ac:dyDescent="0.25">
      <c r="A66" s="8">
        <v>42816.337858796294</v>
      </c>
      <c r="B66" s="20" t="s">
        <v>403</v>
      </c>
      <c r="C66" s="20" t="s">
        <v>693</v>
      </c>
      <c r="D66" s="150">
        <v>1830000</v>
      </c>
      <c r="E66" s="20" t="s">
        <v>530</v>
      </c>
      <c r="F66" s="20" t="s">
        <v>531</v>
      </c>
      <c r="G66" s="8" t="str">
        <f t="shared" si="0"/>
        <v>YORK EDGAR</v>
      </c>
    </row>
    <row r="67" spans="1:7" x14ac:dyDescent="0.25">
      <c r="A67" s="8">
        <v>42816.339131944442</v>
      </c>
      <c r="B67" s="20" t="s">
        <v>467</v>
      </c>
      <c r="C67" s="20" t="s">
        <v>606</v>
      </c>
      <c r="D67" s="150">
        <v>1110000</v>
      </c>
      <c r="E67" s="20" t="s">
        <v>497</v>
      </c>
      <c r="F67" s="20" t="s">
        <v>498</v>
      </c>
      <c r="G67" s="8" t="str">
        <f t="shared" ref="G67:G130" si="1">E67&amp;" "&amp;F67</f>
        <v>STARKS ANGELINA</v>
      </c>
    </row>
    <row r="68" spans="1:7" x14ac:dyDescent="0.25">
      <c r="A68" s="8">
        <v>42816.339525462965</v>
      </c>
      <c r="B68" s="20" t="s">
        <v>475</v>
      </c>
      <c r="C68" s="20" t="s">
        <v>694</v>
      </c>
      <c r="D68" s="150">
        <v>1360000</v>
      </c>
      <c r="E68" s="20" t="s">
        <v>425</v>
      </c>
      <c r="F68" s="20" t="s">
        <v>426</v>
      </c>
      <c r="G68" s="8" t="str">
        <f t="shared" si="1"/>
        <v>SANTIZO D. EDY</v>
      </c>
    </row>
    <row r="69" spans="1:7" x14ac:dyDescent="0.25">
      <c r="A69" s="8">
        <v>42816.345000000001</v>
      </c>
      <c r="B69" s="20" t="s">
        <v>389</v>
      </c>
      <c r="C69" s="20" t="s">
        <v>695</v>
      </c>
      <c r="D69" s="150">
        <v>2010000</v>
      </c>
      <c r="E69" s="20" t="s">
        <v>427</v>
      </c>
      <c r="F69" s="20" t="s">
        <v>428</v>
      </c>
      <c r="G69" s="8" t="str">
        <f t="shared" si="1"/>
        <v>MAELZER KURT</v>
      </c>
    </row>
    <row r="70" spans="1:7" x14ac:dyDescent="0.25">
      <c r="A70" s="8">
        <v>42816.345902777779</v>
      </c>
      <c r="B70" s="20" t="s">
        <v>536</v>
      </c>
      <c r="C70" s="20" t="s">
        <v>696</v>
      </c>
      <c r="D70" s="150">
        <v>890000</v>
      </c>
      <c r="E70" s="20" t="s">
        <v>532</v>
      </c>
      <c r="F70" s="20" t="s">
        <v>533</v>
      </c>
      <c r="G70" s="8" t="str">
        <f t="shared" si="1"/>
        <v>LOZA FIDEL</v>
      </c>
    </row>
    <row r="71" spans="1:7" x14ac:dyDescent="0.25">
      <c r="A71" s="8">
        <v>42816.352118055554</v>
      </c>
      <c r="B71" s="20" t="s">
        <v>404</v>
      </c>
      <c r="C71" s="20" t="s">
        <v>697</v>
      </c>
      <c r="D71" s="150">
        <v>1830000</v>
      </c>
      <c r="E71" s="20" t="s">
        <v>530</v>
      </c>
      <c r="F71" s="20" t="s">
        <v>531</v>
      </c>
      <c r="G71" s="8" t="str">
        <f t="shared" si="1"/>
        <v>YORK EDGAR</v>
      </c>
    </row>
    <row r="72" spans="1:7" x14ac:dyDescent="0.25">
      <c r="A72" s="8">
        <v>42816.353750000002</v>
      </c>
      <c r="B72" s="20" t="s">
        <v>480</v>
      </c>
      <c r="C72" s="20" t="s">
        <v>698</v>
      </c>
      <c r="D72" s="150">
        <v>3010000</v>
      </c>
      <c r="E72" s="20" t="s">
        <v>506</v>
      </c>
      <c r="F72" s="20" t="s">
        <v>507</v>
      </c>
      <c r="G72" s="8" t="str">
        <f t="shared" si="1"/>
        <v>SULLIVAN BRANDON</v>
      </c>
    </row>
    <row r="73" spans="1:7" x14ac:dyDescent="0.25">
      <c r="A73" s="8">
        <v>42816.35832175926</v>
      </c>
      <c r="B73" s="20" t="s">
        <v>608</v>
      </c>
      <c r="C73" s="20" t="s">
        <v>609</v>
      </c>
      <c r="D73" s="150">
        <v>1100000</v>
      </c>
      <c r="E73" s="20" t="s">
        <v>651</v>
      </c>
      <c r="F73" s="20" t="s">
        <v>652</v>
      </c>
      <c r="G73" s="8" t="str">
        <f t="shared" si="1"/>
        <v>GEBRETEKLE DAGNEW</v>
      </c>
    </row>
    <row r="74" spans="1:7" x14ac:dyDescent="0.25">
      <c r="A74" s="8">
        <v>42816.358634259261</v>
      </c>
      <c r="B74" s="20" t="s">
        <v>505</v>
      </c>
      <c r="C74" s="20" t="s">
        <v>699</v>
      </c>
      <c r="D74" s="150">
        <v>890000</v>
      </c>
      <c r="E74" s="20" t="s">
        <v>532</v>
      </c>
      <c r="F74" s="20" t="s">
        <v>533</v>
      </c>
      <c r="G74" s="8" t="str">
        <f t="shared" si="1"/>
        <v>LOZA FIDEL</v>
      </c>
    </row>
    <row r="75" spans="1:7" x14ac:dyDescent="0.25">
      <c r="A75" s="8">
        <v>42816.361203703702</v>
      </c>
      <c r="B75" s="20" t="s">
        <v>408</v>
      </c>
      <c r="C75" s="20" t="s">
        <v>700</v>
      </c>
      <c r="D75" s="150">
        <v>1140000</v>
      </c>
      <c r="E75" s="20" t="s">
        <v>701</v>
      </c>
      <c r="F75" s="20" t="s">
        <v>702</v>
      </c>
      <c r="G75" s="8" t="str">
        <f t="shared" si="1"/>
        <v>YOUNG ELIZABETH</v>
      </c>
    </row>
    <row r="76" spans="1:7" x14ac:dyDescent="0.25">
      <c r="A76" s="8">
        <v>42816.366226851853</v>
      </c>
      <c r="B76" s="20" t="s">
        <v>602</v>
      </c>
      <c r="C76" s="20" t="s">
        <v>703</v>
      </c>
      <c r="D76" s="150">
        <v>2970000</v>
      </c>
      <c r="E76" s="20" t="s">
        <v>499</v>
      </c>
      <c r="F76" s="20" t="s">
        <v>500</v>
      </c>
      <c r="G76" s="8" t="str">
        <f t="shared" si="1"/>
        <v>GUZMAN DANNY</v>
      </c>
    </row>
    <row r="77" spans="1:7" x14ac:dyDescent="0.25">
      <c r="A77" s="8">
        <v>42816.371770833335</v>
      </c>
      <c r="B77" s="20" t="s">
        <v>472</v>
      </c>
      <c r="C77" s="20" t="s">
        <v>704</v>
      </c>
      <c r="D77" s="150">
        <v>1360000</v>
      </c>
      <c r="E77" s="20" t="s">
        <v>425</v>
      </c>
      <c r="F77" s="20" t="s">
        <v>426</v>
      </c>
      <c r="G77" s="8" t="str">
        <f t="shared" si="1"/>
        <v>SANTIZO D. EDY</v>
      </c>
    </row>
    <row r="78" spans="1:7" x14ac:dyDescent="0.25">
      <c r="A78" s="8">
        <v>42816.372685185182</v>
      </c>
      <c r="B78" s="20" t="s">
        <v>469</v>
      </c>
      <c r="C78" s="20" t="s">
        <v>607</v>
      </c>
      <c r="D78" s="150">
        <v>1110000</v>
      </c>
      <c r="E78" s="20" t="s">
        <v>497</v>
      </c>
      <c r="F78" s="20" t="s">
        <v>498</v>
      </c>
      <c r="G78" s="8" t="str">
        <f t="shared" si="1"/>
        <v>STARKS ANGELINA</v>
      </c>
    </row>
    <row r="79" spans="1:7" x14ac:dyDescent="0.25">
      <c r="A79" s="8">
        <v>42816.381145833337</v>
      </c>
      <c r="B79" s="20" t="s">
        <v>390</v>
      </c>
      <c r="C79" s="20" t="s">
        <v>705</v>
      </c>
      <c r="D79" s="150">
        <v>2010000</v>
      </c>
      <c r="E79" s="20" t="s">
        <v>427</v>
      </c>
      <c r="F79" s="20" t="s">
        <v>428</v>
      </c>
      <c r="G79" s="8" t="str">
        <f t="shared" si="1"/>
        <v>MAELZER KURT</v>
      </c>
    </row>
    <row r="80" spans="1:7" x14ac:dyDescent="0.25">
      <c r="A80" s="8">
        <v>42816.382905092592</v>
      </c>
      <c r="B80" s="20" t="s">
        <v>608</v>
      </c>
      <c r="C80" s="20" t="s">
        <v>609</v>
      </c>
      <c r="D80" s="150">
        <v>1100000</v>
      </c>
      <c r="E80" s="20" t="s">
        <v>651</v>
      </c>
      <c r="F80" s="20" t="s">
        <v>652</v>
      </c>
      <c r="G80" s="8" t="str">
        <f t="shared" si="1"/>
        <v>GEBRETEKLE DAGNEW</v>
      </c>
    </row>
    <row r="81" spans="1:7" x14ac:dyDescent="0.25">
      <c r="A81" s="8">
        <v>42816.384594907409</v>
      </c>
      <c r="B81" s="20" t="s">
        <v>536</v>
      </c>
      <c r="C81" s="20" t="s">
        <v>706</v>
      </c>
      <c r="D81" s="150">
        <v>3040000</v>
      </c>
      <c r="E81" s="20" t="s">
        <v>501</v>
      </c>
      <c r="F81" s="20" t="s">
        <v>502</v>
      </c>
      <c r="G81" s="8" t="str">
        <f t="shared" si="1"/>
        <v>WILLIAMS DONTE</v>
      </c>
    </row>
    <row r="82" spans="1:7" x14ac:dyDescent="0.25">
      <c r="A82" s="8">
        <v>42816.391006944446</v>
      </c>
      <c r="B82" s="20" t="s">
        <v>470</v>
      </c>
      <c r="C82" s="20" t="s">
        <v>707</v>
      </c>
      <c r="D82" s="150">
        <v>3010000</v>
      </c>
      <c r="E82" s="20" t="s">
        <v>506</v>
      </c>
      <c r="F82" s="20" t="s">
        <v>507</v>
      </c>
      <c r="G82" s="8" t="str">
        <f t="shared" si="1"/>
        <v>SULLIVAN BRANDON</v>
      </c>
    </row>
    <row r="83" spans="1:7" x14ac:dyDescent="0.25">
      <c r="A83" s="8">
        <v>42816.392824074072</v>
      </c>
      <c r="B83" s="20" t="s">
        <v>604</v>
      </c>
      <c r="C83" s="20" t="s">
        <v>708</v>
      </c>
      <c r="D83" s="150">
        <v>1100000</v>
      </c>
      <c r="E83" s="20" t="s">
        <v>651</v>
      </c>
      <c r="F83" s="20" t="s">
        <v>652</v>
      </c>
      <c r="G83" s="8" t="str">
        <f t="shared" si="1"/>
        <v>GEBRETEKLE DAGNEW</v>
      </c>
    </row>
    <row r="84" spans="1:7" x14ac:dyDescent="0.25">
      <c r="A84" s="8">
        <v>42816.396053240744</v>
      </c>
      <c r="B84" s="20" t="s">
        <v>412</v>
      </c>
      <c r="C84" s="20" t="s">
        <v>709</v>
      </c>
      <c r="D84" s="150">
        <v>1140000</v>
      </c>
      <c r="E84" s="20" t="s">
        <v>701</v>
      </c>
      <c r="F84" s="20" t="s">
        <v>702</v>
      </c>
      <c r="G84" s="8" t="str">
        <f t="shared" si="1"/>
        <v>YOUNG ELIZABETH</v>
      </c>
    </row>
    <row r="85" spans="1:7" x14ac:dyDescent="0.25">
      <c r="A85" s="8">
        <v>42816.401400462964</v>
      </c>
      <c r="B85" s="20" t="s">
        <v>505</v>
      </c>
      <c r="C85" s="20" t="s">
        <v>710</v>
      </c>
      <c r="D85" s="150">
        <v>3040000</v>
      </c>
      <c r="E85" s="20" t="s">
        <v>501</v>
      </c>
      <c r="F85" s="20" t="s">
        <v>502</v>
      </c>
      <c r="G85" s="8" t="str">
        <f t="shared" si="1"/>
        <v>WILLIAMS DONTE</v>
      </c>
    </row>
    <row r="86" spans="1:7" x14ac:dyDescent="0.25">
      <c r="A86" s="8">
        <v>42816.404016203705</v>
      </c>
      <c r="B86" s="20" t="s">
        <v>610</v>
      </c>
      <c r="C86" s="20" t="s">
        <v>611</v>
      </c>
      <c r="D86" s="150">
        <v>2970000</v>
      </c>
      <c r="E86" s="20" t="s">
        <v>499</v>
      </c>
      <c r="F86" s="20" t="s">
        <v>500</v>
      </c>
      <c r="G86" s="8" t="str">
        <f t="shared" si="1"/>
        <v>GUZMAN DANNY</v>
      </c>
    </row>
    <row r="87" spans="1:7" x14ac:dyDescent="0.25">
      <c r="A87" s="8">
        <v>42816.412731481483</v>
      </c>
      <c r="B87" s="20" t="s">
        <v>467</v>
      </c>
      <c r="C87" s="20" t="s">
        <v>612</v>
      </c>
      <c r="D87" s="150">
        <v>1110000</v>
      </c>
      <c r="E87" s="20" t="s">
        <v>497</v>
      </c>
      <c r="F87" s="20" t="s">
        <v>498</v>
      </c>
      <c r="G87" s="8" t="str">
        <f t="shared" si="1"/>
        <v>STARKS ANGELINA</v>
      </c>
    </row>
    <row r="88" spans="1:7" x14ac:dyDescent="0.25">
      <c r="A88" s="8">
        <v>42816.415625000001</v>
      </c>
      <c r="B88" s="20" t="s">
        <v>475</v>
      </c>
      <c r="C88" s="20" t="s">
        <v>711</v>
      </c>
      <c r="D88" s="150">
        <v>1360000</v>
      </c>
      <c r="E88" s="20" t="s">
        <v>425</v>
      </c>
      <c r="F88" s="20" t="s">
        <v>426</v>
      </c>
      <c r="G88" s="8" t="str">
        <f t="shared" si="1"/>
        <v>SANTIZO D. EDY</v>
      </c>
    </row>
    <row r="89" spans="1:7" x14ac:dyDescent="0.25">
      <c r="A89" s="8">
        <v>42816.41642361111</v>
      </c>
      <c r="B89" s="20" t="s">
        <v>536</v>
      </c>
      <c r="C89" s="20" t="s">
        <v>712</v>
      </c>
      <c r="D89" s="150">
        <v>3040000</v>
      </c>
      <c r="E89" s="20" t="s">
        <v>501</v>
      </c>
      <c r="F89" s="20" t="s">
        <v>502</v>
      </c>
      <c r="G89" s="8" t="str">
        <f t="shared" si="1"/>
        <v>WILLIAMS DONTE</v>
      </c>
    </row>
    <row r="90" spans="1:7" x14ac:dyDescent="0.25">
      <c r="A90" s="8">
        <v>42816.417731481481</v>
      </c>
      <c r="B90" s="20" t="s">
        <v>389</v>
      </c>
      <c r="C90" s="20" t="s">
        <v>713</v>
      </c>
      <c r="D90" s="150">
        <v>2010000</v>
      </c>
      <c r="E90" s="20" t="s">
        <v>427</v>
      </c>
      <c r="F90" s="20" t="s">
        <v>428</v>
      </c>
      <c r="G90" s="8" t="str">
        <f t="shared" si="1"/>
        <v>MAELZER KURT</v>
      </c>
    </row>
    <row r="91" spans="1:7" x14ac:dyDescent="0.25">
      <c r="A91" s="8">
        <v>42816.426701388889</v>
      </c>
      <c r="B91" s="20" t="s">
        <v>480</v>
      </c>
      <c r="C91" s="20" t="s">
        <v>714</v>
      </c>
      <c r="D91" s="150">
        <v>3010000</v>
      </c>
      <c r="E91" s="20" t="s">
        <v>506</v>
      </c>
      <c r="F91" s="20" t="s">
        <v>507</v>
      </c>
      <c r="G91" s="8" t="str">
        <f t="shared" si="1"/>
        <v>SULLIVAN BRANDON</v>
      </c>
    </row>
    <row r="92" spans="1:7" x14ac:dyDescent="0.25">
      <c r="A92" s="8">
        <v>42816.429247685184</v>
      </c>
      <c r="B92" s="20" t="s">
        <v>608</v>
      </c>
      <c r="C92" s="20" t="s">
        <v>715</v>
      </c>
      <c r="D92" s="150">
        <v>1100000</v>
      </c>
      <c r="E92" s="20" t="s">
        <v>651</v>
      </c>
      <c r="F92" s="20" t="s">
        <v>652</v>
      </c>
      <c r="G92" s="8" t="str">
        <f t="shared" si="1"/>
        <v>GEBRETEKLE DAGNEW</v>
      </c>
    </row>
    <row r="93" spans="1:7" x14ac:dyDescent="0.25">
      <c r="A93" s="8">
        <v>42816.429571759261</v>
      </c>
      <c r="B93" s="20" t="s">
        <v>468</v>
      </c>
      <c r="C93" s="20" t="s">
        <v>613</v>
      </c>
      <c r="D93" s="150">
        <v>1780000</v>
      </c>
      <c r="E93" s="20" t="s">
        <v>716</v>
      </c>
      <c r="F93" s="20" t="s">
        <v>717</v>
      </c>
      <c r="G93" s="8" t="str">
        <f t="shared" si="1"/>
        <v>DE LA ROSA ALEX</v>
      </c>
    </row>
    <row r="94" spans="1:7" x14ac:dyDescent="0.25">
      <c r="A94" s="8">
        <v>42816.435567129629</v>
      </c>
      <c r="B94" s="20" t="s">
        <v>408</v>
      </c>
      <c r="C94" s="20" t="s">
        <v>718</v>
      </c>
      <c r="D94" s="150">
        <v>1830000</v>
      </c>
      <c r="E94" s="20" t="s">
        <v>530</v>
      </c>
      <c r="F94" s="20" t="s">
        <v>531</v>
      </c>
      <c r="G94" s="8" t="str">
        <f t="shared" si="1"/>
        <v>YORK EDGAR</v>
      </c>
    </row>
    <row r="95" spans="1:7" x14ac:dyDescent="0.25">
      <c r="A95" s="8">
        <v>42816.43849537037</v>
      </c>
      <c r="B95" s="20" t="s">
        <v>602</v>
      </c>
      <c r="C95" s="20" t="s">
        <v>615</v>
      </c>
      <c r="D95" s="150">
        <v>2970000</v>
      </c>
      <c r="E95" s="20" t="s">
        <v>499</v>
      </c>
      <c r="F95" s="20" t="s">
        <v>500</v>
      </c>
      <c r="G95" s="8" t="str">
        <f t="shared" si="1"/>
        <v>GUZMAN DANNY</v>
      </c>
    </row>
    <row r="96" spans="1:7" x14ac:dyDescent="0.25">
      <c r="A96" s="8">
        <v>42816.442928240744</v>
      </c>
      <c r="B96" s="20" t="s">
        <v>505</v>
      </c>
      <c r="C96" s="20" t="s">
        <v>614</v>
      </c>
      <c r="D96" s="150">
        <v>3040000</v>
      </c>
      <c r="E96" s="20" t="s">
        <v>501</v>
      </c>
      <c r="F96" s="20" t="s">
        <v>502</v>
      </c>
      <c r="G96" s="8" t="str">
        <f t="shared" si="1"/>
        <v>WILLIAMS DONTE</v>
      </c>
    </row>
    <row r="97" spans="1:7" x14ac:dyDescent="0.25">
      <c r="A97" s="8">
        <v>42816.444189814814</v>
      </c>
      <c r="B97" s="20" t="s">
        <v>472</v>
      </c>
      <c r="C97" s="20" t="s">
        <v>719</v>
      </c>
      <c r="D97" s="150">
        <v>1360000</v>
      </c>
      <c r="E97" s="20" t="s">
        <v>425</v>
      </c>
      <c r="F97" s="20" t="s">
        <v>426</v>
      </c>
      <c r="G97" s="8" t="str">
        <f t="shared" si="1"/>
        <v>SANTIZO D. EDY</v>
      </c>
    </row>
    <row r="98" spans="1:7" x14ac:dyDescent="0.25">
      <c r="A98" s="8">
        <v>42816.445752314816</v>
      </c>
      <c r="B98" s="20" t="s">
        <v>469</v>
      </c>
      <c r="C98" s="20" t="s">
        <v>720</v>
      </c>
      <c r="D98" s="150">
        <v>1110000</v>
      </c>
      <c r="E98" s="20" t="s">
        <v>497</v>
      </c>
      <c r="F98" s="20" t="s">
        <v>498</v>
      </c>
      <c r="G98" s="8" t="str">
        <f t="shared" si="1"/>
        <v>STARKS ANGELINA</v>
      </c>
    </row>
    <row r="99" spans="1:7" x14ac:dyDescent="0.25">
      <c r="A99" s="8">
        <v>42816.45412037037</v>
      </c>
      <c r="B99" s="20" t="s">
        <v>390</v>
      </c>
      <c r="C99" s="20" t="s">
        <v>721</v>
      </c>
      <c r="D99" s="150">
        <v>930000</v>
      </c>
      <c r="E99" s="20" t="s">
        <v>508</v>
      </c>
      <c r="F99" s="20" t="s">
        <v>509</v>
      </c>
      <c r="G99" s="8" t="str">
        <f t="shared" si="1"/>
        <v>CLARK KATHLEEN</v>
      </c>
    </row>
    <row r="100" spans="1:7" x14ac:dyDescent="0.25">
      <c r="A100" s="8">
        <v>42816.463055555556</v>
      </c>
      <c r="B100" s="20" t="s">
        <v>412</v>
      </c>
      <c r="C100" s="20" t="s">
        <v>722</v>
      </c>
      <c r="D100" s="150">
        <v>1830000</v>
      </c>
      <c r="E100" s="20" t="s">
        <v>530</v>
      </c>
      <c r="F100" s="20" t="s">
        <v>531</v>
      </c>
      <c r="G100" s="8" t="str">
        <f t="shared" si="1"/>
        <v>YORK EDGAR</v>
      </c>
    </row>
    <row r="101" spans="1:7" x14ac:dyDescent="0.25">
      <c r="A101" s="8">
        <v>42816.465324074074</v>
      </c>
      <c r="B101" s="20" t="s">
        <v>470</v>
      </c>
      <c r="C101" s="20" t="s">
        <v>617</v>
      </c>
      <c r="D101" s="150">
        <v>3010000</v>
      </c>
      <c r="E101" s="20" t="s">
        <v>506</v>
      </c>
      <c r="F101" s="20" t="s">
        <v>507</v>
      </c>
      <c r="G101" s="8" t="str">
        <f t="shared" si="1"/>
        <v>SULLIVAN BRANDON</v>
      </c>
    </row>
    <row r="102" spans="1:7" x14ac:dyDescent="0.25">
      <c r="A102" s="8">
        <v>42816.465462962966</v>
      </c>
      <c r="B102" s="20" t="s">
        <v>604</v>
      </c>
      <c r="C102" s="20" t="s">
        <v>723</v>
      </c>
      <c r="D102" s="150">
        <v>920000</v>
      </c>
      <c r="E102" s="20" t="s">
        <v>424</v>
      </c>
      <c r="F102" s="20" t="s">
        <v>198</v>
      </c>
      <c r="G102" s="8" t="str">
        <f t="shared" si="1"/>
        <v>DAVIS MICHAEL</v>
      </c>
    </row>
    <row r="103" spans="1:7" x14ac:dyDescent="0.25">
      <c r="A103" s="8">
        <v>42816.465590277781</v>
      </c>
      <c r="B103" s="20" t="s">
        <v>471</v>
      </c>
      <c r="C103" s="20" t="s">
        <v>724</v>
      </c>
      <c r="D103" s="150">
        <v>2010000</v>
      </c>
      <c r="E103" s="20" t="s">
        <v>427</v>
      </c>
      <c r="F103" s="20" t="s">
        <v>428</v>
      </c>
      <c r="G103" s="8" t="str">
        <f t="shared" si="1"/>
        <v>MAELZER KURT</v>
      </c>
    </row>
    <row r="104" spans="1:7" x14ac:dyDescent="0.25">
      <c r="A104" s="8">
        <v>42816.470358796294</v>
      </c>
      <c r="B104" s="20" t="s">
        <v>536</v>
      </c>
      <c r="C104" s="20" t="s">
        <v>725</v>
      </c>
      <c r="D104" s="150">
        <v>890000</v>
      </c>
      <c r="E104" s="20" t="s">
        <v>532</v>
      </c>
      <c r="F104" s="20" t="s">
        <v>533</v>
      </c>
      <c r="G104" s="8" t="str">
        <f t="shared" si="1"/>
        <v>LOZA FIDEL</v>
      </c>
    </row>
    <row r="105" spans="1:7" x14ac:dyDescent="0.25">
      <c r="A105" s="8">
        <v>42816.476180555554</v>
      </c>
      <c r="B105" s="20" t="s">
        <v>610</v>
      </c>
      <c r="C105" s="20" t="s">
        <v>616</v>
      </c>
      <c r="D105" s="150">
        <v>3020000</v>
      </c>
      <c r="E105" s="20" t="s">
        <v>503</v>
      </c>
      <c r="F105" s="20" t="s">
        <v>504</v>
      </c>
      <c r="G105" s="8" t="str">
        <f t="shared" si="1"/>
        <v>MENGES BRAD</v>
      </c>
    </row>
    <row r="106" spans="1:7" x14ac:dyDescent="0.25">
      <c r="A106" s="8">
        <v>42816.483437499999</v>
      </c>
      <c r="B106" s="20" t="s">
        <v>505</v>
      </c>
      <c r="C106" s="20" t="s">
        <v>726</v>
      </c>
      <c r="D106" s="150">
        <v>890000</v>
      </c>
      <c r="E106" s="20" t="s">
        <v>532</v>
      </c>
      <c r="F106" s="20" t="s">
        <v>533</v>
      </c>
      <c r="G106" s="8" t="str">
        <f t="shared" si="1"/>
        <v>LOZA FIDEL</v>
      </c>
    </row>
    <row r="107" spans="1:7" x14ac:dyDescent="0.25">
      <c r="A107" s="8">
        <v>42816.485069444447</v>
      </c>
      <c r="B107" s="20" t="s">
        <v>467</v>
      </c>
      <c r="C107" s="20" t="s">
        <v>727</v>
      </c>
      <c r="D107" s="150">
        <v>1110000</v>
      </c>
      <c r="E107" s="20" t="s">
        <v>497</v>
      </c>
      <c r="F107" s="20" t="s">
        <v>498</v>
      </c>
      <c r="G107" s="8" t="str">
        <f t="shared" si="1"/>
        <v>STARKS ANGELINA</v>
      </c>
    </row>
    <row r="108" spans="1:7" x14ac:dyDescent="0.25">
      <c r="A108" s="8">
        <v>42816.485405092593</v>
      </c>
      <c r="B108" s="20" t="s">
        <v>475</v>
      </c>
      <c r="C108" s="20" t="s">
        <v>728</v>
      </c>
      <c r="D108" s="150">
        <v>1540000</v>
      </c>
      <c r="E108" s="20" t="s">
        <v>398</v>
      </c>
      <c r="F108" s="20" t="s">
        <v>399</v>
      </c>
      <c r="G108" s="8" t="str">
        <f t="shared" si="1"/>
        <v>HELVIE ADAM</v>
      </c>
    </row>
    <row r="109" spans="1:7" x14ac:dyDescent="0.25">
      <c r="A109" s="8">
        <v>42816.494212962964</v>
      </c>
      <c r="B109" s="20" t="s">
        <v>389</v>
      </c>
      <c r="C109" s="20" t="s">
        <v>729</v>
      </c>
      <c r="D109" s="150">
        <v>930000</v>
      </c>
      <c r="E109" s="20" t="s">
        <v>508</v>
      </c>
      <c r="F109" s="20" t="s">
        <v>509</v>
      </c>
      <c r="G109" s="8" t="str">
        <f t="shared" si="1"/>
        <v>CLARK KATHLEEN</v>
      </c>
    </row>
    <row r="110" spans="1:7" x14ac:dyDescent="0.25">
      <c r="A110" s="8">
        <v>42816.495046296295</v>
      </c>
      <c r="B110" s="20" t="s">
        <v>480</v>
      </c>
      <c r="C110" s="20" t="s">
        <v>730</v>
      </c>
      <c r="D110" s="150">
        <v>1120000</v>
      </c>
      <c r="E110" s="20" t="s">
        <v>476</v>
      </c>
      <c r="F110" s="20" t="s">
        <v>477</v>
      </c>
      <c r="G110" s="8" t="str">
        <f t="shared" si="1"/>
        <v>LOCKLEAR TRAVIS</v>
      </c>
    </row>
    <row r="111" spans="1:7" x14ac:dyDescent="0.25">
      <c r="A111" s="8">
        <v>42816.500509259262</v>
      </c>
      <c r="B111" s="20" t="s">
        <v>536</v>
      </c>
      <c r="C111" s="20" t="s">
        <v>731</v>
      </c>
      <c r="D111" s="150">
        <v>3040000</v>
      </c>
      <c r="E111" s="20" t="s">
        <v>501</v>
      </c>
      <c r="F111" s="20" t="s">
        <v>502</v>
      </c>
      <c r="G111" s="8" t="str">
        <f t="shared" si="1"/>
        <v>WILLIAMS DONTE</v>
      </c>
    </row>
    <row r="112" spans="1:7" x14ac:dyDescent="0.25">
      <c r="A112" s="8">
        <v>42816.50640046296</v>
      </c>
      <c r="B112" s="20" t="s">
        <v>608</v>
      </c>
      <c r="C112" s="20" t="s">
        <v>618</v>
      </c>
      <c r="D112" s="150">
        <v>920000</v>
      </c>
      <c r="E112" s="20" t="s">
        <v>424</v>
      </c>
      <c r="F112" s="20" t="s">
        <v>198</v>
      </c>
      <c r="G112" s="8" t="str">
        <f t="shared" si="1"/>
        <v>DAVIS MICHAEL</v>
      </c>
    </row>
    <row r="113" spans="1:7" x14ac:dyDescent="0.25">
      <c r="A113" s="8">
        <v>42816.507384259261</v>
      </c>
      <c r="B113" s="20" t="s">
        <v>408</v>
      </c>
      <c r="C113" s="20" t="s">
        <v>732</v>
      </c>
      <c r="D113" s="150">
        <v>2040000</v>
      </c>
      <c r="E113" s="20" t="s">
        <v>733</v>
      </c>
      <c r="F113" s="20" t="s">
        <v>734</v>
      </c>
      <c r="G113" s="8" t="str">
        <f t="shared" si="1"/>
        <v>MOSES BRADLEY</v>
      </c>
    </row>
    <row r="114" spans="1:7" x14ac:dyDescent="0.25">
      <c r="A114" s="8">
        <v>42816.512499999997</v>
      </c>
      <c r="B114" s="20" t="s">
        <v>602</v>
      </c>
      <c r="C114" s="20" t="s">
        <v>735</v>
      </c>
      <c r="D114" s="150">
        <v>3020000</v>
      </c>
      <c r="E114" s="20" t="s">
        <v>503</v>
      </c>
      <c r="F114" s="20" t="s">
        <v>504</v>
      </c>
      <c r="G114" s="8" t="str">
        <f t="shared" si="1"/>
        <v>MENGES BRAD</v>
      </c>
    </row>
    <row r="115" spans="1:7" x14ac:dyDescent="0.25">
      <c r="A115" s="8">
        <v>42816.518437500003</v>
      </c>
      <c r="B115" s="20" t="s">
        <v>469</v>
      </c>
      <c r="C115" s="20" t="s">
        <v>736</v>
      </c>
      <c r="D115" s="150">
        <v>1760000</v>
      </c>
      <c r="E115" s="20" t="s">
        <v>537</v>
      </c>
      <c r="F115" s="20" t="s">
        <v>538</v>
      </c>
      <c r="G115" s="8" t="str">
        <f t="shared" si="1"/>
        <v>STRICKLAND EVAN</v>
      </c>
    </row>
    <row r="116" spans="1:7" x14ac:dyDescent="0.25">
      <c r="A116" s="8">
        <v>42816.526412037034</v>
      </c>
      <c r="B116" s="20" t="s">
        <v>472</v>
      </c>
      <c r="C116" s="20" t="s">
        <v>737</v>
      </c>
      <c r="D116" s="150">
        <v>1540000</v>
      </c>
      <c r="E116" s="20" t="s">
        <v>398</v>
      </c>
      <c r="F116" s="20" t="s">
        <v>399</v>
      </c>
      <c r="G116" s="8" t="str">
        <f t="shared" si="1"/>
        <v>HELVIE ADAM</v>
      </c>
    </row>
    <row r="117" spans="1:7" x14ac:dyDescent="0.25">
      <c r="A117" s="8">
        <v>42816.52648148148</v>
      </c>
      <c r="B117" s="20" t="s">
        <v>505</v>
      </c>
      <c r="C117" s="20" t="s">
        <v>738</v>
      </c>
      <c r="D117" s="150">
        <v>3040000</v>
      </c>
      <c r="E117" s="20" t="s">
        <v>501</v>
      </c>
      <c r="F117" s="20" t="s">
        <v>502</v>
      </c>
      <c r="G117" s="8" t="str">
        <f t="shared" si="1"/>
        <v>WILLIAMS DONTE</v>
      </c>
    </row>
    <row r="118" spans="1:7" x14ac:dyDescent="0.25">
      <c r="A118" s="8">
        <v>42816.530034722222</v>
      </c>
      <c r="B118" s="20" t="s">
        <v>390</v>
      </c>
      <c r="C118" s="20" t="s">
        <v>739</v>
      </c>
      <c r="D118" s="150">
        <v>930000</v>
      </c>
      <c r="E118" s="20" t="s">
        <v>508</v>
      </c>
      <c r="F118" s="20" t="s">
        <v>509</v>
      </c>
      <c r="G118" s="8" t="str">
        <f t="shared" si="1"/>
        <v>CLARK KATHLEEN</v>
      </c>
    </row>
    <row r="119" spans="1:7" x14ac:dyDescent="0.25">
      <c r="A119" s="8">
        <v>42816.535983796297</v>
      </c>
      <c r="B119" s="20" t="s">
        <v>470</v>
      </c>
      <c r="C119" s="20" t="s">
        <v>740</v>
      </c>
      <c r="D119" s="150">
        <v>1120000</v>
      </c>
      <c r="E119" s="20" t="s">
        <v>476</v>
      </c>
      <c r="F119" s="20" t="s">
        <v>477</v>
      </c>
      <c r="G119" s="8" t="str">
        <f t="shared" si="1"/>
        <v>LOCKLEAR TRAVIS</v>
      </c>
    </row>
    <row r="120" spans="1:7" x14ac:dyDescent="0.25">
      <c r="A120" s="8">
        <v>42816.538495370369</v>
      </c>
      <c r="B120" s="20" t="s">
        <v>604</v>
      </c>
      <c r="C120" s="20" t="s">
        <v>741</v>
      </c>
      <c r="D120" s="150">
        <v>2370000</v>
      </c>
      <c r="E120" s="20" t="s">
        <v>742</v>
      </c>
      <c r="F120" s="20" t="s">
        <v>743</v>
      </c>
      <c r="G120" s="8" t="str">
        <f t="shared" si="1"/>
        <v>DELGADO DIANAH</v>
      </c>
    </row>
    <row r="121" spans="1:7" x14ac:dyDescent="0.25">
      <c r="A121" s="8">
        <v>42816.543020833335</v>
      </c>
      <c r="B121" s="20" t="s">
        <v>412</v>
      </c>
      <c r="C121" s="20" t="s">
        <v>744</v>
      </c>
      <c r="D121" s="150">
        <v>2040000</v>
      </c>
      <c r="E121" s="20" t="s">
        <v>733</v>
      </c>
      <c r="F121" s="20" t="s">
        <v>734</v>
      </c>
      <c r="G121" s="8" t="str">
        <f t="shared" si="1"/>
        <v>MOSES BRADLEY</v>
      </c>
    </row>
    <row r="122" spans="1:7" x14ac:dyDescent="0.25">
      <c r="A122" s="8">
        <v>42816.549074074072</v>
      </c>
      <c r="B122" s="25" t="s">
        <v>610</v>
      </c>
      <c r="C122" s="20" t="s">
        <v>745</v>
      </c>
      <c r="D122" s="150">
        <v>3020000</v>
      </c>
      <c r="E122" s="20" t="s">
        <v>503</v>
      </c>
      <c r="F122" s="20" t="s">
        <v>504</v>
      </c>
      <c r="G122" s="8" t="str">
        <f t="shared" si="1"/>
        <v>MENGES BRAD</v>
      </c>
    </row>
    <row r="123" spans="1:7" x14ac:dyDescent="0.25">
      <c r="A123" s="8">
        <v>42816.549988425926</v>
      </c>
      <c r="B123" s="20" t="s">
        <v>536</v>
      </c>
      <c r="C123" s="20" t="s">
        <v>746</v>
      </c>
      <c r="D123" s="150">
        <v>3000000</v>
      </c>
      <c r="E123" s="20" t="s">
        <v>510</v>
      </c>
      <c r="F123" s="20" t="s">
        <v>511</v>
      </c>
      <c r="G123" s="8" t="str">
        <f t="shared" si="1"/>
        <v>FORTUNATO FRANK</v>
      </c>
    </row>
    <row r="124" spans="1:7" x14ac:dyDescent="0.25">
      <c r="A124" s="8">
        <v>42816.549988425926</v>
      </c>
      <c r="B124" s="20" t="s">
        <v>467</v>
      </c>
      <c r="C124" s="20" t="s">
        <v>747</v>
      </c>
      <c r="D124" s="150">
        <v>1760000</v>
      </c>
      <c r="E124" s="20" t="s">
        <v>537</v>
      </c>
      <c r="F124" s="20" t="s">
        <v>538</v>
      </c>
      <c r="G124" s="8" t="str">
        <f t="shared" si="1"/>
        <v>STRICKLAND EVAN</v>
      </c>
    </row>
    <row r="125" spans="1:7" x14ac:dyDescent="0.25">
      <c r="A125" s="8">
        <v>42816.560381944444</v>
      </c>
      <c r="B125" s="20" t="s">
        <v>475</v>
      </c>
      <c r="C125" s="20" t="s">
        <v>619</v>
      </c>
      <c r="D125" s="150">
        <v>1540000</v>
      </c>
      <c r="E125" s="20" t="s">
        <v>398</v>
      </c>
      <c r="F125" s="20" t="s">
        <v>399</v>
      </c>
      <c r="G125" s="8" t="str">
        <f t="shared" si="1"/>
        <v>HELVIE ADAM</v>
      </c>
    </row>
    <row r="126" spans="1:7" x14ac:dyDescent="0.25">
      <c r="A126" s="8">
        <v>42816.566840277781</v>
      </c>
      <c r="B126" s="20" t="s">
        <v>389</v>
      </c>
      <c r="C126" s="20" t="s">
        <v>620</v>
      </c>
      <c r="D126" s="150">
        <v>930000</v>
      </c>
      <c r="E126" s="20" t="s">
        <v>508</v>
      </c>
      <c r="F126" s="20" t="s">
        <v>509</v>
      </c>
      <c r="G126" s="8" t="str">
        <f t="shared" si="1"/>
        <v>CLARK KATHLEEN</v>
      </c>
    </row>
    <row r="127" spans="1:7" x14ac:dyDescent="0.25">
      <c r="A127" s="8">
        <v>42816.568148148152</v>
      </c>
      <c r="B127" s="20" t="s">
        <v>505</v>
      </c>
      <c r="C127" s="20" t="s">
        <v>748</v>
      </c>
      <c r="D127" s="150">
        <v>3000000</v>
      </c>
      <c r="E127" s="20" t="s">
        <v>510</v>
      </c>
      <c r="F127" s="20" t="s">
        <v>511</v>
      </c>
      <c r="G127" s="8" t="str">
        <f t="shared" si="1"/>
        <v>FORTUNATO FRANK</v>
      </c>
    </row>
    <row r="128" spans="1:7" x14ac:dyDescent="0.25">
      <c r="A128" s="8">
        <v>42816.5703587963</v>
      </c>
      <c r="B128" s="20" t="s">
        <v>480</v>
      </c>
      <c r="C128" s="20" t="s">
        <v>749</v>
      </c>
      <c r="D128" s="150">
        <v>1120000</v>
      </c>
      <c r="E128" s="20" t="s">
        <v>476</v>
      </c>
      <c r="F128" s="20" t="s">
        <v>477</v>
      </c>
      <c r="G128" s="8" t="str">
        <f t="shared" si="1"/>
        <v>LOCKLEAR TRAVIS</v>
      </c>
    </row>
    <row r="129" spans="1:7" x14ac:dyDescent="0.25">
      <c r="A129" s="8">
        <v>42816.578912037039</v>
      </c>
      <c r="B129" s="20" t="s">
        <v>408</v>
      </c>
      <c r="C129" s="20" t="s">
        <v>750</v>
      </c>
      <c r="D129" s="150">
        <v>1300000</v>
      </c>
      <c r="E129" s="20" t="s">
        <v>751</v>
      </c>
      <c r="F129" s="20" t="s">
        <v>752</v>
      </c>
      <c r="G129" s="8" t="str">
        <f t="shared" si="1"/>
        <v>LEVIN SCOTT</v>
      </c>
    </row>
    <row r="130" spans="1:7" x14ac:dyDescent="0.25">
      <c r="A130" s="8">
        <v>42816.580821759257</v>
      </c>
      <c r="B130" s="20" t="s">
        <v>608</v>
      </c>
      <c r="C130" s="20" t="s">
        <v>621</v>
      </c>
      <c r="D130" s="150">
        <v>2370000</v>
      </c>
      <c r="E130" s="20" t="s">
        <v>742</v>
      </c>
      <c r="F130" s="20" t="s">
        <v>743</v>
      </c>
      <c r="G130" s="8" t="str">
        <f t="shared" si="1"/>
        <v>DELGADO DIANAH</v>
      </c>
    </row>
    <row r="131" spans="1:7" x14ac:dyDescent="0.25">
      <c r="A131" s="8">
        <v>42816.586180555554</v>
      </c>
      <c r="B131" s="20" t="s">
        <v>602</v>
      </c>
      <c r="C131" s="20" t="s">
        <v>623</v>
      </c>
      <c r="D131" s="150">
        <v>3020000</v>
      </c>
      <c r="E131" s="20" t="s">
        <v>503</v>
      </c>
      <c r="F131" s="20" t="s">
        <v>504</v>
      </c>
      <c r="G131" s="8" t="str">
        <f t="shared" ref="G131:G194" si="2">E131&amp;" "&amp;F131</f>
        <v>MENGES BRAD</v>
      </c>
    </row>
    <row r="132" spans="1:7" x14ac:dyDescent="0.25">
      <c r="A132" s="8">
        <v>42816.59070601852</v>
      </c>
      <c r="B132" s="20" t="s">
        <v>469</v>
      </c>
      <c r="C132" s="20" t="s">
        <v>753</v>
      </c>
      <c r="D132" s="150">
        <v>1760000</v>
      </c>
      <c r="E132" s="20" t="s">
        <v>537</v>
      </c>
      <c r="F132" s="20" t="s">
        <v>538</v>
      </c>
      <c r="G132" s="8" t="str">
        <f t="shared" si="2"/>
        <v>STRICKLAND EVAN</v>
      </c>
    </row>
    <row r="133" spans="1:7" x14ac:dyDescent="0.25">
      <c r="A133" s="8">
        <v>42816.594467592593</v>
      </c>
      <c r="B133" s="20" t="s">
        <v>536</v>
      </c>
      <c r="C133" s="20" t="s">
        <v>622</v>
      </c>
      <c r="D133" s="150">
        <v>3000000</v>
      </c>
      <c r="E133" s="20" t="s">
        <v>510</v>
      </c>
      <c r="F133" s="20" t="s">
        <v>511</v>
      </c>
      <c r="G133" s="8" t="str">
        <f t="shared" si="2"/>
        <v>FORTUNATO FRANK</v>
      </c>
    </row>
    <row r="134" spans="1:7" x14ac:dyDescent="0.25">
      <c r="A134" s="8">
        <v>42816.6</v>
      </c>
      <c r="B134" s="20" t="s">
        <v>472</v>
      </c>
      <c r="C134" s="20" t="s">
        <v>624</v>
      </c>
      <c r="D134" s="150">
        <v>1540000</v>
      </c>
      <c r="E134" s="20" t="s">
        <v>398</v>
      </c>
      <c r="F134" s="20" t="s">
        <v>399</v>
      </c>
      <c r="G134" s="8" t="str">
        <f t="shared" si="2"/>
        <v>HELVIE ADAM</v>
      </c>
    </row>
    <row r="135" spans="1:7" x14ac:dyDescent="0.25">
      <c r="A135" s="8">
        <v>42816.601446759261</v>
      </c>
      <c r="B135" s="20" t="s">
        <v>390</v>
      </c>
      <c r="C135" s="20" t="s">
        <v>754</v>
      </c>
      <c r="D135" s="150">
        <v>930000</v>
      </c>
      <c r="E135" s="20" t="s">
        <v>508</v>
      </c>
      <c r="F135" s="20" t="s">
        <v>509</v>
      </c>
      <c r="G135" s="8" t="str">
        <f t="shared" si="2"/>
        <v>CLARK KATHLEEN</v>
      </c>
    </row>
    <row r="136" spans="1:7" x14ac:dyDescent="0.25">
      <c r="A136" s="8">
        <v>42816.609398148146</v>
      </c>
      <c r="B136" s="20" t="s">
        <v>505</v>
      </c>
      <c r="C136" s="20" t="s">
        <v>755</v>
      </c>
      <c r="D136" s="150">
        <v>3000000</v>
      </c>
      <c r="E136" s="20" t="s">
        <v>510</v>
      </c>
      <c r="F136" s="20" t="s">
        <v>511</v>
      </c>
      <c r="G136" s="8" t="str">
        <f t="shared" si="2"/>
        <v>FORTUNATO FRANK</v>
      </c>
    </row>
    <row r="137" spans="1:7" x14ac:dyDescent="0.25">
      <c r="A137" s="8">
        <v>42816.61010416667</v>
      </c>
      <c r="B137" s="20" t="s">
        <v>470</v>
      </c>
      <c r="C137" s="20" t="s">
        <v>756</v>
      </c>
      <c r="D137" s="150">
        <v>1120000</v>
      </c>
      <c r="E137" s="20" t="s">
        <v>476</v>
      </c>
      <c r="F137" s="20" t="s">
        <v>477</v>
      </c>
      <c r="G137" s="8" t="str">
        <f t="shared" si="2"/>
        <v>LOCKLEAR TRAVIS</v>
      </c>
    </row>
    <row r="138" spans="1:7" x14ac:dyDescent="0.25">
      <c r="A138" s="8">
        <v>42816.611134259256</v>
      </c>
      <c r="B138" s="20" t="s">
        <v>604</v>
      </c>
      <c r="C138" s="20" t="s">
        <v>757</v>
      </c>
      <c r="D138" s="150">
        <v>2370000</v>
      </c>
      <c r="E138" s="20" t="s">
        <v>742</v>
      </c>
      <c r="F138" s="20" t="s">
        <v>743</v>
      </c>
      <c r="G138" s="8" t="str">
        <f t="shared" si="2"/>
        <v>DELGADO DIANAH</v>
      </c>
    </row>
    <row r="139" spans="1:7" x14ac:dyDescent="0.25">
      <c r="A139" s="8">
        <v>42816.616990740738</v>
      </c>
      <c r="B139" s="20" t="s">
        <v>412</v>
      </c>
      <c r="C139" s="20" t="s">
        <v>758</v>
      </c>
      <c r="D139" s="150">
        <v>1300000</v>
      </c>
      <c r="E139" s="20" t="s">
        <v>751</v>
      </c>
      <c r="F139" s="20" t="s">
        <v>752</v>
      </c>
      <c r="G139" s="8" t="str">
        <f t="shared" si="2"/>
        <v>LEVIN SCOTT</v>
      </c>
    </row>
    <row r="140" spans="1:7" x14ac:dyDescent="0.25">
      <c r="A140" s="8">
        <v>42816.622928240744</v>
      </c>
      <c r="B140" s="20" t="s">
        <v>397</v>
      </c>
      <c r="C140" s="20" t="s">
        <v>759</v>
      </c>
      <c r="D140" s="150">
        <v>3020000</v>
      </c>
      <c r="E140" s="20" t="s">
        <v>503</v>
      </c>
      <c r="F140" s="20" t="s">
        <v>504</v>
      </c>
      <c r="G140" s="8" t="str">
        <f t="shared" si="2"/>
        <v>MENGES BRAD</v>
      </c>
    </row>
    <row r="141" spans="1:7" x14ac:dyDescent="0.25">
      <c r="A141" s="8">
        <v>42816.624143518522</v>
      </c>
      <c r="B141" s="20" t="s">
        <v>467</v>
      </c>
      <c r="C141" s="20" t="s">
        <v>760</v>
      </c>
      <c r="D141" s="150">
        <v>1760000</v>
      </c>
      <c r="E141" s="20" t="s">
        <v>537</v>
      </c>
      <c r="F141" s="20" t="s">
        <v>538</v>
      </c>
      <c r="G141" s="8" t="str">
        <f t="shared" si="2"/>
        <v>STRICKLAND EVAN</v>
      </c>
    </row>
    <row r="142" spans="1:7" x14ac:dyDescent="0.25">
      <c r="A142" s="8">
        <v>42816.632719907408</v>
      </c>
      <c r="B142" s="20" t="s">
        <v>475</v>
      </c>
      <c r="C142" s="20" t="s">
        <v>761</v>
      </c>
      <c r="D142" s="150">
        <v>1540000</v>
      </c>
      <c r="E142" s="20" t="s">
        <v>398</v>
      </c>
      <c r="F142" s="20" t="s">
        <v>399</v>
      </c>
      <c r="G142" s="8" t="str">
        <f t="shared" si="2"/>
        <v>HELVIE ADAM</v>
      </c>
    </row>
    <row r="143" spans="1:7" x14ac:dyDescent="0.25">
      <c r="A143" s="8">
        <v>42816.637361111112</v>
      </c>
      <c r="B143" s="20" t="s">
        <v>536</v>
      </c>
      <c r="C143" s="20" t="s">
        <v>762</v>
      </c>
      <c r="D143" s="150">
        <v>3000000</v>
      </c>
      <c r="E143" s="20" t="s">
        <v>510</v>
      </c>
      <c r="F143" s="20" t="s">
        <v>511</v>
      </c>
      <c r="G143" s="8" t="str">
        <f t="shared" si="2"/>
        <v>FORTUNATO FRANK</v>
      </c>
    </row>
    <row r="144" spans="1:7" x14ac:dyDescent="0.25">
      <c r="A144" s="8">
        <v>42816.639143518521</v>
      </c>
      <c r="B144" s="20" t="s">
        <v>389</v>
      </c>
      <c r="C144" s="20" t="s">
        <v>763</v>
      </c>
      <c r="D144" s="150">
        <v>930000</v>
      </c>
      <c r="E144" s="20" t="s">
        <v>508</v>
      </c>
      <c r="F144" s="20" t="s">
        <v>509</v>
      </c>
      <c r="G144" s="8" t="str">
        <f t="shared" si="2"/>
        <v>CLARK KATHLEEN</v>
      </c>
    </row>
    <row r="145" spans="1:7" x14ac:dyDescent="0.25">
      <c r="A145" s="8">
        <v>42816.64230324074</v>
      </c>
      <c r="B145" s="20" t="s">
        <v>480</v>
      </c>
      <c r="C145" s="20" t="s">
        <v>764</v>
      </c>
      <c r="D145" s="150">
        <v>1120000</v>
      </c>
      <c r="E145" s="20" t="s">
        <v>476</v>
      </c>
      <c r="F145" s="20" t="s">
        <v>477</v>
      </c>
      <c r="G145" s="8" t="str">
        <f t="shared" si="2"/>
        <v>LOCKLEAR TRAVIS</v>
      </c>
    </row>
    <row r="146" spans="1:7" x14ac:dyDescent="0.25">
      <c r="A146" s="8">
        <v>42816.643159722225</v>
      </c>
      <c r="B146" s="20" t="s">
        <v>608</v>
      </c>
      <c r="C146" s="20" t="s">
        <v>765</v>
      </c>
      <c r="D146" s="150">
        <v>2370000</v>
      </c>
      <c r="E146" s="20" t="s">
        <v>742</v>
      </c>
      <c r="F146" s="20" t="s">
        <v>743</v>
      </c>
      <c r="G146" s="8" t="str">
        <f t="shared" si="2"/>
        <v>DELGADO DIANAH</v>
      </c>
    </row>
    <row r="147" spans="1:7" x14ac:dyDescent="0.25">
      <c r="A147" s="8">
        <v>42816.643541666665</v>
      </c>
      <c r="B147" s="20" t="s">
        <v>403</v>
      </c>
      <c r="C147" s="20" t="s">
        <v>625</v>
      </c>
      <c r="D147" s="150">
        <v>1800000</v>
      </c>
      <c r="E147" s="20" t="s">
        <v>478</v>
      </c>
      <c r="F147" s="20" t="s">
        <v>479</v>
      </c>
      <c r="G147" s="8" t="str">
        <f t="shared" si="2"/>
        <v>CHANDLER KELVIN</v>
      </c>
    </row>
    <row r="148" spans="1:7" x14ac:dyDescent="0.25">
      <c r="A148" s="8">
        <v>42816.644212962965</v>
      </c>
      <c r="B148" s="20" t="s">
        <v>412</v>
      </c>
      <c r="C148" s="20" t="s">
        <v>758</v>
      </c>
      <c r="D148" s="150">
        <v>1300000</v>
      </c>
      <c r="E148" s="20" t="s">
        <v>751</v>
      </c>
      <c r="F148" s="20" t="s">
        <v>752</v>
      </c>
      <c r="G148" s="8" t="str">
        <f t="shared" si="2"/>
        <v>LEVIN SCOTT</v>
      </c>
    </row>
    <row r="149" spans="1:7" x14ac:dyDescent="0.25">
      <c r="A149" s="8">
        <v>42816.652303240742</v>
      </c>
      <c r="B149" s="20" t="s">
        <v>505</v>
      </c>
      <c r="C149" s="20" t="s">
        <v>766</v>
      </c>
      <c r="D149" s="150">
        <v>3000000</v>
      </c>
      <c r="E149" s="20" t="s">
        <v>510</v>
      </c>
      <c r="F149" s="20" t="s">
        <v>511</v>
      </c>
      <c r="G149" s="8" t="str">
        <f t="shared" si="2"/>
        <v>FORTUNATO FRANK</v>
      </c>
    </row>
    <row r="150" spans="1:7" x14ac:dyDescent="0.25">
      <c r="A150" s="8">
        <v>42816.654085648152</v>
      </c>
      <c r="B150" s="20" t="s">
        <v>408</v>
      </c>
      <c r="C150" s="20" t="s">
        <v>767</v>
      </c>
      <c r="D150" s="150">
        <v>1300000</v>
      </c>
      <c r="E150" s="20" t="s">
        <v>751</v>
      </c>
      <c r="F150" s="20" t="s">
        <v>752</v>
      </c>
      <c r="G150" s="8" t="str">
        <f t="shared" si="2"/>
        <v>LEVIN SCOTT</v>
      </c>
    </row>
    <row r="151" spans="1:7" x14ac:dyDescent="0.25">
      <c r="A151" s="8">
        <v>42816.658483796295</v>
      </c>
      <c r="B151" s="20" t="s">
        <v>643</v>
      </c>
      <c r="C151" s="20" t="s">
        <v>768</v>
      </c>
      <c r="D151" s="150">
        <v>3020000</v>
      </c>
      <c r="E151" s="20" t="s">
        <v>503</v>
      </c>
      <c r="F151" s="20" t="s">
        <v>504</v>
      </c>
      <c r="G151" s="8" t="str">
        <f t="shared" si="2"/>
        <v>MENGES BRAD</v>
      </c>
    </row>
    <row r="152" spans="1:7" x14ac:dyDescent="0.25">
      <c r="A152" s="8">
        <v>42816.660277777781</v>
      </c>
      <c r="B152" s="20" t="s">
        <v>404</v>
      </c>
      <c r="C152" s="20" t="s">
        <v>628</v>
      </c>
      <c r="D152" s="150">
        <v>1800000</v>
      </c>
      <c r="E152" s="20" t="s">
        <v>478</v>
      </c>
      <c r="F152" s="20" t="s">
        <v>479</v>
      </c>
      <c r="G152" s="8" t="str">
        <f t="shared" si="2"/>
        <v>CHANDLER KELVIN</v>
      </c>
    </row>
    <row r="153" spans="1:7" x14ac:dyDescent="0.25">
      <c r="A153" s="8">
        <v>42816.664375</v>
      </c>
      <c r="B153" s="20" t="s">
        <v>469</v>
      </c>
      <c r="C153" s="20" t="s">
        <v>769</v>
      </c>
      <c r="D153" s="150">
        <v>1760000</v>
      </c>
      <c r="E153" s="20" t="s">
        <v>537</v>
      </c>
      <c r="F153" s="20" t="s">
        <v>538</v>
      </c>
      <c r="G153" s="8" t="str">
        <f t="shared" si="2"/>
        <v>STRICKLAND EVAN</v>
      </c>
    </row>
    <row r="154" spans="1:7" x14ac:dyDescent="0.25">
      <c r="A154" s="8">
        <v>42816.667453703703</v>
      </c>
      <c r="B154" s="20" t="s">
        <v>536</v>
      </c>
      <c r="C154" s="20" t="s">
        <v>770</v>
      </c>
      <c r="D154" s="150">
        <v>3000000</v>
      </c>
      <c r="E154" s="20" t="s">
        <v>510</v>
      </c>
      <c r="F154" s="20" t="s">
        <v>511</v>
      </c>
      <c r="G154" s="8" t="str">
        <f t="shared" si="2"/>
        <v>FORTUNATO FRANK</v>
      </c>
    </row>
    <row r="155" spans="1:7" x14ac:dyDescent="0.25">
      <c r="A155" s="8">
        <v>42816.672453703701</v>
      </c>
      <c r="B155" s="20" t="s">
        <v>472</v>
      </c>
      <c r="C155" s="20" t="s">
        <v>771</v>
      </c>
      <c r="D155" s="150">
        <v>1540000</v>
      </c>
      <c r="E155" s="20" t="s">
        <v>398</v>
      </c>
      <c r="F155" s="20" t="s">
        <v>399</v>
      </c>
      <c r="G155" s="8" t="str">
        <f t="shared" si="2"/>
        <v>HELVIE ADAM</v>
      </c>
    </row>
    <row r="156" spans="1:7" x14ac:dyDescent="0.25">
      <c r="A156" s="8">
        <v>42816.673530092594</v>
      </c>
      <c r="B156" s="20" t="s">
        <v>390</v>
      </c>
      <c r="C156" s="20" t="s">
        <v>772</v>
      </c>
      <c r="D156" s="150">
        <v>930000</v>
      </c>
      <c r="E156" s="20" t="s">
        <v>508</v>
      </c>
      <c r="F156" s="20" t="s">
        <v>509</v>
      </c>
      <c r="G156" s="8" t="str">
        <f t="shared" si="2"/>
        <v>CLARK KATHLEEN</v>
      </c>
    </row>
    <row r="157" spans="1:7" x14ac:dyDescent="0.25">
      <c r="A157" s="8">
        <v>42816.676134259258</v>
      </c>
      <c r="B157" s="20" t="s">
        <v>403</v>
      </c>
      <c r="C157" s="20" t="s">
        <v>773</v>
      </c>
      <c r="D157" s="150">
        <v>1800000</v>
      </c>
      <c r="E157" s="20" t="s">
        <v>478</v>
      </c>
      <c r="F157" s="20" t="s">
        <v>479</v>
      </c>
      <c r="G157" s="8" t="str">
        <f t="shared" si="2"/>
        <v>CHANDLER KELVIN</v>
      </c>
    </row>
    <row r="158" spans="1:7" x14ac:dyDescent="0.25">
      <c r="A158" s="8">
        <v>42816.681759259256</v>
      </c>
      <c r="B158" s="20" t="s">
        <v>470</v>
      </c>
      <c r="C158" s="20" t="s">
        <v>774</v>
      </c>
      <c r="D158" s="150">
        <v>1120000</v>
      </c>
      <c r="E158" s="20" t="s">
        <v>476</v>
      </c>
      <c r="F158" s="20" t="s">
        <v>477</v>
      </c>
      <c r="G158" s="8" t="str">
        <f t="shared" si="2"/>
        <v>LOCKLEAR TRAVIS</v>
      </c>
    </row>
    <row r="159" spans="1:7" x14ac:dyDescent="0.25">
      <c r="A159" s="8">
        <v>42816.684363425928</v>
      </c>
      <c r="B159" s="20" t="s">
        <v>604</v>
      </c>
      <c r="C159" s="20" t="s">
        <v>629</v>
      </c>
      <c r="D159" s="150">
        <v>920000</v>
      </c>
      <c r="E159" s="20" t="s">
        <v>424</v>
      </c>
      <c r="F159" s="20" t="s">
        <v>198</v>
      </c>
      <c r="G159" s="8" t="str">
        <f t="shared" si="2"/>
        <v>DAVIS MICHAEL</v>
      </c>
    </row>
    <row r="160" spans="1:7" x14ac:dyDescent="0.25">
      <c r="A160" s="8">
        <v>42816.685312499998</v>
      </c>
      <c r="B160" s="20" t="s">
        <v>403</v>
      </c>
      <c r="C160" s="20" t="s">
        <v>773</v>
      </c>
      <c r="D160" s="150">
        <v>1800000</v>
      </c>
      <c r="E160" s="20" t="s">
        <v>478</v>
      </c>
      <c r="F160" s="20" t="s">
        <v>479</v>
      </c>
      <c r="G160" s="8" t="str">
        <f t="shared" si="2"/>
        <v>CHANDLER KELVIN</v>
      </c>
    </row>
    <row r="161" spans="1:7" x14ac:dyDescent="0.25">
      <c r="A161" s="8">
        <v>42816.691238425927</v>
      </c>
      <c r="B161" s="20" t="s">
        <v>412</v>
      </c>
      <c r="C161" s="20" t="s">
        <v>631</v>
      </c>
      <c r="D161" s="150">
        <v>1300000</v>
      </c>
      <c r="E161" s="20" t="s">
        <v>751</v>
      </c>
      <c r="F161" s="20" t="s">
        <v>752</v>
      </c>
      <c r="G161" s="8" t="str">
        <f t="shared" si="2"/>
        <v>LEVIN SCOTT</v>
      </c>
    </row>
    <row r="162" spans="1:7" x14ac:dyDescent="0.25">
      <c r="A162" s="8">
        <v>42816.694004629629</v>
      </c>
      <c r="B162" s="20" t="s">
        <v>397</v>
      </c>
      <c r="C162" s="20" t="s">
        <v>775</v>
      </c>
      <c r="D162" s="150">
        <v>3020000</v>
      </c>
      <c r="E162" s="20" t="s">
        <v>503</v>
      </c>
      <c r="F162" s="20" t="s">
        <v>504</v>
      </c>
      <c r="G162" s="8" t="str">
        <f t="shared" si="2"/>
        <v>MENGES BRAD</v>
      </c>
    </row>
    <row r="163" spans="1:7" x14ac:dyDescent="0.25">
      <c r="A163" s="8">
        <v>42816.694027777776</v>
      </c>
      <c r="B163" s="20" t="s">
        <v>505</v>
      </c>
      <c r="C163" s="20" t="s">
        <v>630</v>
      </c>
      <c r="D163" s="150">
        <v>3000000</v>
      </c>
      <c r="E163" s="20" t="s">
        <v>510</v>
      </c>
      <c r="F163" s="20" t="s">
        <v>511</v>
      </c>
      <c r="G163" s="8" t="str">
        <f t="shared" si="2"/>
        <v>FORTUNATO FRANK</v>
      </c>
    </row>
    <row r="164" spans="1:7" x14ac:dyDescent="0.25">
      <c r="A164" s="8">
        <v>42816.695289351854</v>
      </c>
      <c r="B164" s="20" t="s">
        <v>470</v>
      </c>
      <c r="C164" s="20" t="s">
        <v>774</v>
      </c>
      <c r="D164" s="150">
        <v>1120000</v>
      </c>
      <c r="E164" s="20" t="s">
        <v>476</v>
      </c>
      <c r="F164" s="20" t="s">
        <v>477</v>
      </c>
      <c r="G164" s="8" t="str">
        <f t="shared" si="2"/>
        <v>LOCKLEAR TRAVIS</v>
      </c>
    </row>
    <row r="165" spans="1:7" x14ac:dyDescent="0.25">
      <c r="A165" s="8">
        <v>42816.698078703703</v>
      </c>
      <c r="B165" s="20" t="s">
        <v>467</v>
      </c>
      <c r="C165" s="20" t="s">
        <v>633</v>
      </c>
      <c r="D165" s="150">
        <v>1760000</v>
      </c>
      <c r="E165" s="20" t="s">
        <v>537</v>
      </c>
      <c r="F165" s="20" t="s">
        <v>538</v>
      </c>
      <c r="G165" s="8" t="str">
        <f t="shared" si="2"/>
        <v>STRICKLAND EVAN</v>
      </c>
    </row>
    <row r="166" spans="1:7" x14ac:dyDescent="0.25">
      <c r="A166" s="8">
        <v>42816.701342592591</v>
      </c>
      <c r="B166" s="20" t="s">
        <v>404</v>
      </c>
      <c r="C166" s="20" t="s">
        <v>632</v>
      </c>
      <c r="D166" s="150">
        <v>1800000</v>
      </c>
      <c r="E166" s="20" t="s">
        <v>478</v>
      </c>
      <c r="F166" s="20" t="s">
        <v>479</v>
      </c>
      <c r="G166" s="8" t="str">
        <f t="shared" si="2"/>
        <v>CHANDLER KELVIN</v>
      </c>
    </row>
    <row r="167" spans="1:7" x14ac:dyDescent="0.25">
      <c r="A167" s="8">
        <v>42816.705069444448</v>
      </c>
      <c r="B167" s="20" t="s">
        <v>475</v>
      </c>
      <c r="C167" s="20" t="s">
        <v>776</v>
      </c>
      <c r="D167" s="150">
        <v>1540000</v>
      </c>
      <c r="E167" s="20" t="s">
        <v>398</v>
      </c>
      <c r="F167" s="20" t="s">
        <v>399</v>
      </c>
      <c r="G167" s="8" t="str">
        <f t="shared" si="2"/>
        <v>HELVIE ADAM</v>
      </c>
    </row>
    <row r="168" spans="1:7" x14ac:dyDescent="0.25">
      <c r="A168" s="8">
        <v>42816.708865740744</v>
      </c>
      <c r="B168" s="20" t="s">
        <v>536</v>
      </c>
      <c r="C168" s="20" t="s">
        <v>777</v>
      </c>
      <c r="D168" s="150">
        <v>3000000</v>
      </c>
      <c r="E168" s="20" t="s">
        <v>510</v>
      </c>
      <c r="F168" s="20" t="s">
        <v>511</v>
      </c>
      <c r="G168" s="8" t="str">
        <f t="shared" si="2"/>
        <v>FORTUNATO FRANK</v>
      </c>
    </row>
    <row r="169" spans="1:7" x14ac:dyDescent="0.25">
      <c r="A169" s="8">
        <v>42816.712199074071</v>
      </c>
      <c r="B169" s="20" t="s">
        <v>389</v>
      </c>
      <c r="C169" s="20" t="s">
        <v>778</v>
      </c>
      <c r="D169" s="150">
        <v>930000</v>
      </c>
      <c r="E169" s="20" t="s">
        <v>508</v>
      </c>
      <c r="F169" s="20" t="s">
        <v>509</v>
      </c>
      <c r="G169" s="8" t="str">
        <f t="shared" si="2"/>
        <v>CLARK KATHLEEN</v>
      </c>
    </row>
    <row r="170" spans="1:7" x14ac:dyDescent="0.25">
      <c r="A170" s="8">
        <v>42816.719270833331</v>
      </c>
      <c r="B170" s="20" t="s">
        <v>480</v>
      </c>
      <c r="C170" s="20" t="s">
        <v>779</v>
      </c>
      <c r="D170" s="150">
        <v>2150000</v>
      </c>
      <c r="E170" s="20" t="s">
        <v>385</v>
      </c>
      <c r="F170" s="20" t="s">
        <v>386</v>
      </c>
      <c r="G170" s="8" t="str">
        <f t="shared" si="2"/>
        <v>SWANSON BRYCE</v>
      </c>
    </row>
    <row r="171" spans="1:7" x14ac:dyDescent="0.25">
      <c r="A171" s="8">
        <v>42816.722824074073</v>
      </c>
      <c r="B171" s="20" t="s">
        <v>403</v>
      </c>
      <c r="C171" s="20" t="s">
        <v>780</v>
      </c>
      <c r="D171" s="150">
        <v>1800000</v>
      </c>
      <c r="E171" s="20" t="s">
        <v>478</v>
      </c>
      <c r="F171" s="20" t="s">
        <v>479</v>
      </c>
      <c r="G171" s="8" t="str">
        <f t="shared" si="2"/>
        <v>CHANDLER KELVIN</v>
      </c>
    </row>
    <row r="172" spans="1:7" x14ac:dyDescent="0.25">
      <c r="A172" s="8">
        <v>42816.724004629628</v>
      </c>
      <c r="B172" s="20" t="s">
        <v>408</v>
      </c>
      <c r="C172" s="20" t="s">
        <v>781</v>
      </c>
      <c r="D172" s="150">
        <v>1120000</v>
      </c>
      <c r="E172" s="20" t="s">
        <v>476</v>
      </c>
      <c r="F172" s="20" t="s">
        <v>477</v>
      </c>
      <c r="G172" s="8" t="str">
        <f t="shared" si="2"/>
        <v>LOCKLEAR TRAVIS</v>
      </c>
    </row>
    <row r="173" spans="1:7" x14ac:dyDescent="0.25">
      <c r="A173" s="8">
        <v>42816.726550925923</v>
      </c>
      <c r="B173" s="20" t="s">
        <v>608</v>
      </c>
      <c r="C173" s="20" t="s">
        <v>782</v>
      </c>
      <c r="D173" s="150">
        <v>920000</v>
      </c>
      <c r="E173" s="20" t="s">
        <v>424</v>
      </c>
      <c r="F173" s="20" t="s">
        <v>198</v>
      </c>
      <c r="G173" s="8" t="str">
        <f t="shared" si="2"/>
        <v>DAVIS MICHAEL</v>
      </c>
    </row>
    <row r="174" spans="1:7" x14ac:dyDescent="0.25">
      <c r="A174" s="8">
        <v>42816.72859953704</v>
      </c>
      <c r="B174" s="20" t="s">
        <v>610</v>
      </c>
      <c r="C174" s="20" t="s">
        <v>783</v>
      </c>
      <c r="D174" s="150">
        <v>1780000</v>
      </c>
      <c r="E174" s="20" t="s">
        <v>716</v>
      </c>
      <c r="F174" s="20" t="s">
        <v>717</v>
      </c>
      <c r="G174" s="8" t="str">
        <f t="shared" si="2"/>
        <v>DE LA ROSA ALEX</v>
      </c>
    </row>
    <row r="175" spans="1:7" x14ac:dyDescent="0.25">
      <c r="A175" s="8">
        <v>42816.731157407405</v>
      </c>
      <c r="B175" s="20" t="s">
        <v>643</v>
      </c>
      <c r="C175" s="20" t="s">
        <v>784</v>
      </c>
      <c r="D175" s="150">
        <v>3020000</v>
      </c>
      <c r="E175" s="20" t="s">
        <v>503</v>
      </c>
      <c r="F175" s="20" t="s">
        <v>504</v>
      </c>
      <c r="G175" s="8" t="str">
        <f t="shared" si="2"/>
        <v>MENGES BRAD</v>
      </c>
    </row>
    <row r="176" spans="1:7" x14ac:dyDescent="0.25">
      <c r="A176" s="8">
        <v>42816.736273148148</v>
      </c>
      <c r="B176" s="20" t="s">
        <v>505</v>
      </c>
      <c r="C176" s="20" t="s">
        <v>634</v>
      </c>
      <c r="D176" s="150">
        <v>3000000</v>
      </c>
      <c r="E176" s="20" t="s">
        <v>510</v>
      </c>
      <c r="F176" s="20" t="s">
        <v>511</v>
      </c>
      <c r="G176" s="8" t="str">
        <f t="shared" si="2"/>
        <v>FORTUNATO FRANK</v>
      </c>
    </row>
    <row r="177" spans="1:7" x14ac:dyDescent="0.25">
      <c r="A177" s="8">
        <v>42816.738344907404</v>
      </c>
      <c r="B177" s="20" t="s">
        <v>469</v>
      </c>
      <c r="C177" s="20" t="s">
        <v>785</v>
      </c>
      <c r="D177" s="150">
        <v>2530000</v>
      </c>
      <c r="E177" s="20" t="s">
        <v>473</v>
      </c>
      <c r="F177" s="20" t="s">
        <v>474</v>
      </c>
      <c r="G177" s="8" t="str">
        <f t="shared" si="2"/>
        <v>LALONDE GREGORY</v>
      </c>
    </row>
    <row r="178" spans="1:7" x14ac:dyDescent="0.25">
      <c r="A178" s="8">
        <v>42816.739837962959</v>
      </c>
      <c r="B178" s="20" t="s">
        <v>468</v>
      </c>
      <c r="C178" s="20" t="s">
        <v>786</v>
      </c>
      <c r="D178" s="150">
        <v>2270000</v>
      </c>
      <c r="E178" s="20" t="s">
        <v>210</v>
      </c>
      <c r="F178" s="20" t="s">
        <v>211</v>
      </c>
      <c r="G178" s="8" t="str">
        <f t="shared" si="2"/>
        <v>BROWN JACOB</v>
      </c>
    </row>
    <row r="179" spans="1:7" x14ac:dyDescent="0.25">
      <c r="A179" s="8">
        <v>42816.745115740741</v>
      </c>
      <c r="B179" s="20" t="s">
        <v>472</v>
      </c>
      <c r="C179" s="20" t="s">
        <v>637</v>
      </c>
      <c r="D179" s="150">
        <v>1540000</v>
      </c>
      <c r="E179" s="20" t="s">
        <v>398</v>
      </c>
      <c r="F179" s="20" t="s">
        <v>399</v>
      </c>
      <c r="G179" s="8" t="str">
        <f t="shared" si="2"/>
        <v>HELVIE ADAM</v>
      </c>
    </row>
    <row r="180" spans="1:7" x14ac:dyDescent="0.25">
      <c r="A180" s="8">
        <v>42816.747916666667</v>
      </c>
      <c r="B180" s="20" t="s">
        <v>390</v>
      </c>
      <c r="C180" s="20" t="s">
        <v>787</v>
      </c>
      <c r="D180" s="150">
        <v>1760000</v>
      </c>
      <c r="E180" s="20" t="s">
        <v>537</v>
      </c>
      <c r="F180" s="20" t="s">
        <v>538</v>
      </c>
      <c r="G180" s="8" t="str">
        <f t="shared" si="2"/>
        <v>STRICKLAND EVAN</v>
      </c>
    </row>
    <row r="181" spans="1:7" x14ac:dyDescent="0.25">
      <c r="A181" s="8">
        <v>42816.749942129631</v>
      </c>
      <c r="B181" s="20" t="s">
        <v>470</v>
      </c>
      <c r="C181" s="20" t="s">
        <v>788</v>
      </c>
      <c r="D181" s="150">
        <v>2150000</v>
      </c>
      <c r="E181" s="20" t="s">
        <v>385</v>
      </c>
      <c r="F181" s="20" t="s">
        <v>386</v>
      </c>
      <c r="G181" s="8" t="str">
        <f t="shared" si="2"/>
        <v>SWANSON BRYCE</v>
      </c>
    </row>
    <row r="182" spans="1:7" x14ac:dyDescent="0.25">
      <c r="A182" s="8">
        <v>42816.751157407409</v>
      </c>
      <c r="B182" s="20" t="s">
        <v>536</v>
      </c>
      <c r="C182" s="20" t="s">
        <v>789</v>
      </c>
      <c r="D182" s="150">
        <v>3000000</v>
      </c>
      <c r="E182" s="20" t="s">
        <v>510</v>
      </c>
      <c r="F182" s="20" t="s">
        <v>511</v>
      </c>
      <c r="G182" s="8" t="str">
        <f t="shared" si="2"/>
        <v>FORTUNATO FRANK</v>
      </c>
    </row>
    <row r="183" spans="1:7" x14ac:dyDescent="0.25">
      <c r="A183" s="8">
        <v>42816.754305555558</v>
      </c>
      <c r="B183" s="20" t="s">
        <v>393</v>
      </c>
      <c r="C183" s="20" t="s">
        <v>636</v>
      </c>
      <c r="D183" s="150">
        <v>2540000</v>
      </c>
      <c r="E183" s="20" t="s">
        <v>790</v>
      </c>
      <c r="F183" s="20" t="s">
        <v>791</v>
      </c>
      <c r="G183" s="8" t="str">
        <f t="shared" si="2"/>
        <v>MCREYNOLDS KYLE</v>
      </c>
    </row>
    <row r="184" spans="1:7" x14ac:dyDescent="0.25">
      <c r="A184" s="8">
        <v>42816.758252314816</v>
      </c>
      <c r="B184" s="20" t="s">
        <v>403</v>
      </c>
      <c r="C184" s="20" t="s">
        <v>792</v>
      </c>
      <c r="D184" s="150">
        <v>1800000</v>
      </c>
      <c r="E184" s="20" t="s">
        <v>478</v>
      </c>
      <c r="F184" s="20" t="s">
        <v>479</v>
      </c>
      <c r="G184" s="8" t="str">
        <f t="shared" si="2"/>
        <v>CHANDLER KELVIN</v>
      </c>
    </row>
    <row r="185" spans="1:7" x14ac:dyDescent="0.25">
      <c r="A185" s="8">
        <v>42816.75885416667</v>
      </c>
      <c r="B185" s="20" t="s">
        <v>604</v>
      </c>
      <c r="C185" s="20" t="s">
        <v>635</v>
      </c>
      <c r="D185" s="150">
        <v>2270000</v>
      </c>
      <c r="E185" s="20" t="s">
        <v>210</v>
      </c>
      <c r="F185" s="20" t="s">
        <v>211</v>
      </c>
      <c r="G185" s="8" t="str">
        <f t="shared" si="2"/>
        <v>BROWN JACOB</v>
      </c>
    </row>
    <row r="186" spans="1:7" x14ac:dyDescent="0.25">
      <c r="A186" s="8">
        <v>42816.762430555558</v>
      </c>
      <c r="B186" s="20" t="s">
        <v>471</v>
      </c>
      <c r="C186" s="20" t="s">
        <v>793</v>
      </c>
      <c r="D186" s="150">
        <v>920000</v>
      </c>
      <c r="E186" s="20" t="s">
        <v>424</v>
      </c>
      <c r="F186" s="20" t="s">
        <v>198</v>
      </c>
      <c r="G186" s="8" t="str">
        <f t="shared" si="2"/>
        <v>DAVIS MICHAEL</v>
      </c>
    </row>
    <row r="187" spans="1:7" x14ac:dyDescent="0.25">
      <c r="A187" s="8">
        <v>42816.764479166668</v>
      </c>
      <c r="B187" s="20" t="s">
        <v>412</v>
      </c>
      <c r="C187" s="20" t="s">
        <v>794</v>
      </c>
      <c r="D187" s="150">
        <v>1120000</v>
      </c>
      <c r="E187" s="20" t="s">
        <v>476</v>
      </c>
      <c r="F187" s="20" t="s">
        <v>477</v>
      </c>
      <c r="G187" s="8" t="str">
        <f t="shared" si="2"/>
        <v>LOCKLEAR TRAVIS</v>
      </c>
    </row>
    <row r="188" spans="1:7" x14ac:dyDescent="0.25">
      <c r="A188" s="8">
        <v>42816.769780092596</v>
      </c>
      <c r="B188" s="20" t="s">
        <v>397</v>
      </c>
      <c r="C188" s="20" t="s">
        <v>795</v>
      </c>
      <c r="D188" s="150">
        <v>1810000</v>
      </c>
      <c r="E188" s="20" t="s">
        <v>481</v>
      </c>
      <c r="F188" s="20" t="s">
        <v>195</v>
      </c>
      <c r="G188" s="8" t="str">
        <f t="shared" si="2"/>
        <v>NEWELL JAMES</v>
      </c>
    </row>
    <row r="189" spans="1:7" x14ac:dyDescent="0.25">
      <c r="A189" s="8">
        <v>42816.77553240741</v>
      </c>
      <c r="B189" s="20" t="s">
        <v>467</v>
      </c>
      <c r="C189" s="20" t="s">
        <v>796</v>
      </c>
      <c r="D189" s="150">
        <v>2530000</v>
      </c>
      <c r="E189" s="20" t="s">
        <v>473</v>
      </c>
      <c r="F189" s="20" t="s">
        <v>474</v>
      </c>
      <c r="G189" s="8" t="str">
        <f t="shared" si="2"/>
        <v>LALONDE GREGORY</v>
      </c>
    </row>
    <row r="190" spans="1:7" x14ac:dyDescent="0.25">
      <c r="A190" s="8">
        <v>42816.776712962965</v>
      </c>
      <c r="B190" s="20" t="s">
        <v>505</v>
      </c>
      <c r="C190" s="20" t="s">
        <v>797</v>
      </c>
      <c r="D190" s="150">
        <v>3000000</v>
      </c>
      <c r="E190" s="20" t="s">
        <v>510</v>
      </c>
      <c r="F190" s="20" t="s">
        <v>511</v>
      </c>
      <c r="G190" s="8" t="str">
        <f t="shared" si="2"/>
        <v>FORTUNATO FRANK</v>
      </c>
    </row>
    <row r="191" spans="1:7" x14ac:dyDescent="0.25">
      <c r="A191" s="8">
        <v>42816.781469907408</v>
      </c>
      <c r="B191" s="20" t="s">
        <v>389</v>
      </c>
      <c r="C191" s="20" t="s">
        <v>638</v>
      </c>
      <c r="D191" s="150">
        <v>1760000</v>
      </c>
      <c r="E191" s="20" t="s">
        <v>537</v>
      </c>
      <c r="F191" s="20" t="s">
        <v>538</v>
      </c>
      <c r="G191" s="8" t="str">
        <f t="shared" si="2"/>
        <v>STRICKLAND EVAN</v>
      </c>
    </row>
    <row r="192" spans="1:7" x14ac:dyDescent="0.25">
      <c r="A192" s="8">
        <v>42816.782638888886</v>
      </c>
      <c r="B192" s="20" t="s">
        <v>475</v>
      </c>
      <c r="C192" s="20" t="s">
        <v>798</v>
      </c>
      <c r="D192" s="150">
        <v>1540000</v>
      </c>
      <c r="E192" s="20" t="s">
        <v>398</v>
      </c>
      <c r="F192" s="20" t="s">
        <v>399</v>
      </c>
      <c r="G192" s="8" t="str">
        <f t="shared" si="2"/>
        <v>HELVIE ADAM</v>
      </c>
    </row>
    <row r="193" spans="1:7" x14ac:dyDescent="0.25">
      <c r="A193" s="8">
        <v>42816.785879629628</v>
      </c>
      <c r="B193" s="20" t="s">
        <v>404</v>
      </c>
      <c r="C193" s="20" t="s">
        <v>799</v>
      </c>
      <c r="D193" s="150">
        <v>1800000</v>
      </c>
      <c r="E193" s="20" t="s">
        <v>478</v>
      </c>
      <c r="F193" s="20" t="s">
        <v>479</v>
      </c>
      <c r="G193" s="8" t="str">
        <f t="shared" si="2"/>
        <v>CHANDLER KELVIN</v>
      </c>
    </row>
    <row r="194" spans="1:7" x14ac:dyDescent="0.25">
      <c r="A194" s="8">
        <v>42816.788206018522</v>
      </c>
      <c r="B194" s="20" t="s">
        <v>480</v>
      </c>
      <c r="C194" s="20" t="s">
        <v>639</v>
      </c>
      <c r="D194" s="150">
        <v>2150000</v>
      </c>
      <c r="E194" s="20" t="s">
        <v>385</v>
      </c>
      <c r="F194" s="20" t="s">
        <v>386</v>
      </c>
      <c r="G194" s="8" t="str">
        <f t="shared" si="2"/>
        <v>SWANSON BRYCE</v>
      </c>
    </row>
    <row r="195" spans="1:7" x14ac:dyDescent="0.25">
      <c r="A195" s="8">
        <v>42816.794212962966</v>
      </c>
      <c r="B195" s="20" t="s">
        <v>536</v>
      </c>
      <c r="C195" s="20" t="s">
        <v>800</v>
      </c>
      <c r="D195" s="150">
        <v>3000000</v>
      </c>
      <c r="E195" s="20" t="s">
        <v>510</v>
      </c>
      <c r="F195" s="20" t="s">
        <v>511</v>
      </c>
      <c r="G195" s="8" t="str">
        <f t="shared" ref="G195:G258" si="3">E195&amp;" "&amp;F195</f>
        <v>FORTUNATO FRANK</v>
      </c>
    </row>
    <row r="196" spans="1:7" x14ac:dyDescent="0.25">
      <c r="A196" s="8">
        <v>42816.796018518522</v>
      </c>
      <c r="B196" s="20" t="s">
        <v>408</v>
      </c>
      <c r="C196" s="20" t="s">
        <v>801</v>
      </c>
      <c r="D196" s="150">
        <v>1120000</v>
      </c>
      <c r="E196" s="20" t="s">
        <v>476</v>
      </c>
      <c r="F196" s="20" t="s">
        <v>477</v>
      </c>
      <c r="G196" s="8" t="str">
        <f t="shared" si="3"/>
        <v>LOCKLEAR TRAVIS</v>
      </c>
    </row>
    <row r="197" spans="1:7" x14ac:dyDescent="0.25">
      <c r="A197" s="8">
        <v>42816.797222222223</v>
      </c>
      <c r="B197" s="20" t="s">
        <v>608</v>
      </c>
      <c r="C197" s="20" t="s">
        <v>802</v>
      </c>
      <c r="D197" s="150">
        <v>2270000</v>
      </c>
      <c r="E197" s="20" t="s">
        <v>210</v>
      </c>
      <c r="F197" s="20" t="s">
        <v>211</v>
      </c>
      <c r="G197" s="8" t="str">
        <f t="shared" si="3"/>
        <v>BROWN JACOB</v>
      </c>
    </row>
    <row r="198" spans="1:7" x14ac:dyDescent="0.25">
      <c r="A198" s="8">
        <v>42816.799155092594</v>
      </c>
      <c r="B198" s="20" t="s">
        <v>403</v>
      </c>
      <c r="C198" s="20" t="s">
        <v>803</v>
      </c>
      <c r="D198" s="150">
        <v>1800000</v>
      </c>
      <c r="E198" s="20" t="s">
        <v>478</v>
      </c>
      <c r="F198" s="20" t="s">
        <v>479</v>
      </c>
      <c r="G198" s="8" t="str">
        <f t="shared" si="3"/>
        <v>CHANDLER KELVIN</v>
      </c>
    </row>
    <row r="199" spans="1:7" x14ac:dyDescent="0.25">
      <c r="A199" s="8">
        <v>42816.801342592589</v>
      </c>
      <c r="B199" s="20" t="s">
        <v>643</v>
      </c>
      <c r="C199" s="20" t="s">
        <v>804</v>
      </c>
      <c r="D199" s="150">
        <v>1810000</v>
      </c>
      <c r="E199" s="20" t="s">
        <v>481</v>
      </c>
      <c r="F199" s="20" t="s">
        <v>195</v>
      </c>
      <c r="G199" s="8" t="str">
        <f t="shared" si="3"/>
        <v>NEWELL JAMES</v>
      </c>
    </row>
    <row r="200" spans="1:7" x14ac:dyDescent="0.25">
      <c r="A200" s="8">
        <v>42816.807534722226</v>
      </c>
      <c r="B200" s="20" t="s">
        <v>469</v>
      </c>
      <c r="C200" s="20" t="s">
        <v>805</v>
      </c>
      <c r="D200" s="150">
        <v>2530000</v>
      </c>
      <c r="E200" s="20" t="s">
        <v>473</v>
      </c>
      <c r="F200" s="20" t="s">
        <v>474</v>
      </c>
      <c r="G200" s="8" t="str">
        <f t="shared" si="3"/>
        <v>LALONDE GREGORY</v>
      </c>
    </row>
    <row r="201" spans="1:7" x14ac:dyDescent="0.25">
      <c r="A201" s="8">
        <v>42816.817662037036</v>
      </c>
      <c r="B201" s="20" t="s">
        <v>505</v>
      </c>
      <c r="C201" s="20" t="s">
        <v>640</v>
      </c>
      <c r="D201" s="150">
        <v>3000000</v>
      </c>
      <c r="E201" s="20" t="s">
        <v>510</v>
      </c>
      <c r="F201" s="20" t="s">
        <v>511</v>
      </c>
      <c r="G201" s="8" t="str">
        <f t="shared" si="3"/>
        <v>FORTUNATO FRANK</v>
      </c>
    </row>
    <row r="202" spans="1:7" x14ac:dyDescent="0.25">
      <c r="A202" s="26">
        <v>42816.820243055554</v>
      </c>
      <c r="B202" s="20" t="s">
        <v>390</v>
      </c>
      <c r="C202" s="20" t="s">
        <v>806</v>
      </c>
      <c r="D202" s="150">
        <v>1760000</v>
      </c>
      <c r="E202" s="20" t="s">
        <v>537</v>
      </c>
      <c r="F202" s="20" t="s">
        <v>538</v>
      </c>
      <c r="G202" s="8" t="str">
        <f t="shared" si="3"/>
        <v>STRICKLAND EVAN</v>
      </c>
    </row>
    <row r="203" spans="1:7" x14ac:dyDescent="0.25">
      <c r="A203" s="8">
        <v>42816.821539351855</v>
      </c>
      <c r="B203" s="20" t="s">
        <v>470</v>
      </c>
      <c r="C203" s="20" t="s">
        <v>807</v>
      </c>
      <c r="D203" s="150">
        <v>2150000</v>
      </c>
      <c r="E203" s="20" t="s">
        <v>385</v>
      </c>
      <c r="F203" s="20" t="s">
        <v>386</v>
      </c>
      <c r="G203" s="8" t="str">
        <f t="shared" si="3"/>
        <v>SWANSON BRYCE</v>
      </c>
    </row>
    <row r="204" spans="1:7" x14ac:dyDescent="0.25">
      <c r="A204" s="8">
        <v>42816.830254629633</v>
      </c>
      <c r="B204" s="20" t="s">
        <v>604</v>
      </c>
      <c r="C204" s="20" t="s">
        <v>641</v>
      </c>
      <c r="D204" s="150">
        <v>2270000</v>
      </c>
      <c r="E204" s="20" t="s">
        <v>210</v>
      </c>
      <c r="F204" s="20" t="s">
        <v>211</v>
      </c>
      <c r="G204" s="8" t="str">
        <f t="shared" si="3"/>
        <v>BROWN JACOB</v>
      </c>
    </row>
    <row r="205" spans="1:7" x14ac:dyDescent="0.25">
      <c r="A205" s="8">
        <v>42816.83394675926</v>
      </c>
      <c r="B205" s="20" t="s">
        <v>536</v>
      </c>
      <c r="C205" s="20" t="s">
        <v>808</v>
      </c>
      <c r="D205" s="150">
        <v>3000000</v>
      </c>
      <c r="E205" s="20" t="s">
        <v>510</v>
      </c>
      <c r="F205" s="20" t="s">
        <v>511</v>
      </c>
      <c r="G205" s="8" t="str">
        <f t="shared" si="3"/>
        <v>FORTUNATO FRANK</v>
      </c>
    </row>
    <row r="206" spans="1:7" x14ac:dyDescent="0.25">
      <c r="A206" s="8">
        <v>42816.840138888889</v>
      </c>
      <c r="B206" s="20" t="s">
        <v>467</v>
      </c>
      <c r="C206" s="20" t="s">
        <v>809</v>
      </c>
      <c r="D206" s="150">
        <v>2530000</v>
      </c>
      <c r="E206" s="20" t="s">
        <v>473</v>
      </c>
      <c r="F206" s="20" t="s">
        <v>474</v>
      </c>
      <c r="G206" s="8" t="str">
        <f t="shared" si="3"/>
        <v>LALONDE GREGORY</v>
      </c>
    </row>
    <row r="207" spans="1:7" x14ac:dyDescent="0.25">
      <c r="A207" s="8">
        <v>42816.84034722222</v>
      </c>
      <c r="B207" s="20" t="s">
        <v>397</v>
      </c>
      <c r="C207" s="20" t="s">
        <v>810</v>
      </c>
      <c r="D207" s="150">
        <v>1810000</v>
      </c>
      <c r="E207" s="20" t="s">
        <v>481</v>
      </c>
      <c r="F207" s="20" t="s">
        <v>195</v>
      </c>
      <c r="G207" s="8" t="str">
        <f t="shared" si="3"/>
        <v>NEWELL JAMES</v>
      </c>
    </row>
    <row r="208" spans="1:7" x14ac:dyDescent="0.25">
      <c r="A208" s="8">
        <v>42816.860162037039</v>
      </c>
      <c r="B208" s="20" t="s">
        <v>505</v>
      </c>
      <c r="C208" s="20" t="s">
        <v>811</v>
      </c>
      <c r="D208" s="150">
        <v>3000000</v>
      </c>
      <c r="E208" s="20" t="s">
        <v>510</v>
      </c>
      <c r="F208" s="20" t="s">
        <v>511</v>
      </c>
      <c r="G208" s="8" t="str">
        <f t="shared" si="3"/>
        <v>FORTUNATO FRANK</v>
      </c>
    </row>
    <row r="209" spans="1:7" x14ac:dyDescent="0.25">
      <c r="A209" s="8">
        <v>42816.861041666663</v>
      </c>
      <c r="B209" s="20" t="s">
        <v>480</v>
      </c>
      <c r="C209" s="20" t="s">
        <v>812</v>
      </c>
      <c r="D209" s="150">
        <v>2150000</v>
      </c>
      <c r="E209" s="20" t="s">
        <v>385</v>
      </c>
      <c r="F209" s="20" t="s">
        <v>386</v>
      </c>
      <c r="G209" s="8" t="str">
        <f t="shared" si="3"/>
        <v>SWANSON BRYCE</v>
      </c>
    </row>
    <row r="210" spans="1:7" x14ac:dyDescent="0.25">
      <c r="A210" s="8">
        <v>42816.87023148148</v>
      </c>
      <c r="B210" s="20" t="s">
        <v>608</v>
      </c>
      <c r="C210" s="20" t="s">
        <v>813</v>
      </c>
      <c r="D210" s="150">
        <v>2270000</v>
      </c>
      <c r="E210" s="20" t="s">
        <v>210</v>
      </c>
      <c r="F210" s="20" t="s">
        <v>211</v>
      </c>
      <c r="G210" s="8" t="str">
        <f t="shared" si="3"/>
        <v>BROWN JACOB</v>
      </c>
    </row>
    <row r="211" spans="1:7" x14ac:dyDescent="0.25">
      <c r="A211" s="8">
        <v>42816.880844907406</v>
      </c>
      <c r="B211" s="20" t="s">
        <v>469</v>
      </c>
      <c r="C211" s="20" t="s">
        <v>814</v>
      </c>
      <c r="D211" s="150">
        <v>2530000</v>
      </c>
      <c r="E211" s="20" t="s">
        <v>473</v>
      </c>
      <c r="F211" s="20" t="s">
        <v>474</v>
      </c>
      <c r="G211" s="8" t="str">
        <f t="shared" si="3"/>
        <v>LALONDE GREGORY</v>
      </c>
    </row>
    <row r="212" spans="1:7" x14ac:dyDescent="0.25">
      <c r="A212" s="8">
        <v>42816.882199074076</v>
      </c>
      <c r="B212" s="20" t="s">
        <v>643</v>
      </c>
      <c r="C212" s="20" t="s">
        <v>644</v>
      </c>
      <c r="D212" s="150">
        <v>1810000</v>
      </c>
      <c r="E212" s="20" t="s">
        <v>481</v>
      </c>
      <c r="F212" s="20" t="s">
        <v>195</v>
      </c>
      <c r="G212" s="8" t="str">
        <f t="shared" si="3"/>
        <v>NEWELL JAMES</v>
      </c>
    </row>
    <row r="213" spans="1:7" x14ac:dyDescent="0.25">
      <c r="A213" s="8">
        <v>42816.885706018518</v>
      </c>
      <c r="B213" s="20" t="s">
        <v>536</v>
      </c>
      <c r="C213" s="20" t="s">
        <v>642</v>
      </c>
      <c r="D213" s="150">
        <v>970000</v>
      </c>
      <c r="E213" s="20" t="s">
        <v>815</v>
      </c>
      <c r="F213" s="20" t="s">
        <v>816</v>
      </c>
      <c r="G213" s="8" t="str">
        <f t="shared" si="3"/>
        <v>JACKSON WILLIAM</v>
      </c>
    </row>
    <row r="214" spans="1:7" x14ac:dyDescent="0.25">
      <c r="A214" s="8">
        <v>42816.904583333337</v>
      </c>
      <c r="B214" s="20" t="s">
        <v>505</v>
      </c>
      <c r="C214" s="20" t="s">
        <v>817</v>
      </c>
      <c r="D214" s="150">
        <v>970000</v>
      </c>
      <c r="E214" s="20" t="s">
        <v>815</v>
      </c>
      <c r="F214" s="20" t="s">
        <v>816</v>
      </c>
      <c r="G214" s="8" t="str">
        <f t="shared" si="3"/>
        <v>JACKSON WILLIAM</v>
      </c>
    </row>
    <row r="215" spans="1:7" x14ac:dyDescent="0.25">
      <c r="A215" s="8">
        <v>42816.905601851853</v>
      </c>
      <c r="B215" s="20" t="s">
        <v>470</v>
      </c>
      <c r="C215" s="20" t="s">
        <v>818</v>
      </c>
      <c r="D215" s="150">
        <v>2150000</v>
      </c>
      <c r="E215" s="20" t="s">
        <v>385</v>
      </c>
      <c r="F215" s="20" t="s">
        <v>386</v>
      </c>
      <c r="G215" s="8" t="str">
        <f t="shared" si="3"/>
        <v>SWANSON BRYCE</v>
      </c>
    </row>
    <row r="216" spans="1:7" x14ac:dyDescent="0.25">
      <c r="A216" s="8">
        <v>42816.908726851849</v>
      </c>
      <c r="B216" s="20" t="s">
        <v>604</v>
      </c>
      <c r="C216" s="20" t="s">
        <v>819</v>
      </c>
      <c r="D216" s="150">
        <v>2270000</v>
      </c>
      <c r="E216" s="20" t="s">
        <v>210</v>
      </c>
      <c r="F216" s="20" t="s">
        <v>211</v>
      </c>
      <c r="G216" s="8" t="str">
        <f t="shared" si="3"/>
        <v>BROWN JACOB</v>
      </c>
    </row>
    <row r="217" spans="1:7" x14ac:dyDescent="0.25">
      <c r="A217" s="8">
        <v>42816.923437500001</v>
      </c>
      <c r="B217" s="20" t="s">
        <v>397</v>
      </c>
      <c r="C217" s="20" t="s">
        <v>820</v>
      </c>
      <c r="D217" s="150">
        <v>1810000</v>
      </c>
      <c r="E217" s="20" t="s">
        <v>481</v>
      </c>
      <c r="F217" s="20" t="s">
        <v>195</v>
      </c>
      <c r="G217" s="8" t="str">
        <f t="shared" si="3"/>
        <v>NEWELL JAMES</v>
      </c>
    </row>
    <row r="218" spans="1:7" x14ac:dyDescent="0.25">
      <c r="A218" s="8">
        <v>42816.92459490741</v>
      </c>
      <c r="B218" s="20" t="s">
        <v>467</v>
      </c>
      <c r="C218" s="20" t="s">
        <v>821</v>
      </c>
      <c r="D218" s="150">
        <v>2530000</v>
      </c>
      <c r="E218" s="20" t="s">
        <v>473</v>
      </c>
      <c r="F218" s="20" t="s">
        <v>474</v>
      </c>
      <c r="G218" s="8" t="str">
        <f t="shared" si="3"/>
        <v>LALONDE GREGORY</v>
      </c>
    </row>
    <row r="219" spans="1:7" x14ac:dyDescent="0.25">
      <c r="A219" s="8">
        <v>42816.931354166663</v>
      </c>
      <c r="B219" s="20" t="s">
        <v>536</v>
      </c>
      <c r="C219" s="20" t="s">
        <v>822</v>
      </c>
      <c r="D219" s="150">
        <v>1800000</v>
      </c>
      <c r="E219" s="20" t="s">
        <v>478</v>
      </c>
      <c r="F219" s="20" t="s">
        <v>479</v>
      </c>
      <c r="G219" s="8" t="str">
        <f t="shared" si="3"/>
        <v>CHANDLER KELVIN</v>
      </c>
    </row>
    <row r="220" spans="1:7" x14ac:dyDescent="0.25">
      <c r="A220" s="8">
        <v>42816.944340277776</v>
      </c>
      <c r="B220" s="20" t="s">
        <v>505</v>
      </c>
      <c r="C220" s="20" t="s">
        <v>823</v>
      </c>
      <c r="D220" s="150">
        <v>1800000</v>
      </c>
      <c r="E220" s="20" t="s">
        <v>478</v>
      </c>
      <c r="F220" s="20" t="s">
        <v>479</v>
      </c>
      <c r="G220" s="8" t="str">
        <f t="shared" si="3"/>
        <v>CHANDLER KELVIN</v>
      </c>
    </row>
    <row r="221" spans="1:7" x14ac:dyDescent="0.25">
      <c r="A221" s="8">
        <v>42816.945798611108</v>
      </c>
      <c r="B221" s="20" t="s">
        <v>480</v>
      </c>
      <c r="C221" s="20" t="s">
        <v>824</v>
      </c>
      <c r="D221" s="150">
        <v>2150000</v>
      </c>
      <c r="E221" s="20" t="s">
        <v>385</v>
      </c>
      <c r="F221" s="20" t="s">
        <v>386</v>
      </c>
      <c r="G221" s="8" t="str">
        <f t="shared" si="3"/>
        <v>SWANSON BRYCE</v>
      </c>
    </row>
    <row r="222" spans="1:7" x14ac:dyDescent="0.25">
      <c r="A222" s="8">
        <v>42816.952835648146</v>
      </c>
      <c r="B222" s="20" t="s">
        <v>608</v>
      </c>
      <c r="C222" s="20" t="s">
        <v>825</v>
      </c>
      <c r="D222" s="150">
        <v>2270000</v>
      </c>
      <c r="E222" s="20" t="s">
        <v>210</v>
      </c>
      <c r="F222" s="20" t="s">
        <v>211</v>
      </c>
      <c r="G222" s="8" t="str">
        <f t="shared" si="3"/>
        <v>BROWN JACOB</v>
      </c>
    </row>
    <row r="223" spans="1:7" x14ac:dyDescent="0.25">
      <c r="A223" s="8">
        <v>42816.96434027778</v>
      </c>
      <c r="B223" s="20" t="s">
        <v>469</v>
      </c>
      <c r="C223" s="20" t="s">
        <v>826</v>
      </c>
      <c r="D223" s="150">
        <v>2530000</v>
      </c>
      <c r="E223" s="20" t="s">
        <v>473</v>
      </c>
      <c r="F223" s="20" t="s">
        <v>474</v>
      </c>
      <c r="G223" s="8" t="str">
        <f t="shared" si="3"/>
        <v>LALONDE GREGORY</v>
      </c>
    </row>
    <row r="224" spans="1:7" x14ac:dyDescent="0.25">
      <c r="A224" s="8">
        <v>42816.97451388889</v>
      </c>
      <c r="B224" t="s">
        <v>643</v>
      </c>
      <c r="C224" t="s">
        <v>827</v>
      </c>
      <c r="D224" s="150">
        <v>1810000</v>
      </c>
      <c r="E224" t="s">
        <v>481</v>
      </c>
      <c r="F224" s="20" t="s">
        <v>195</v>
      </c>
      <c r="G224" s="8" t="str">
        <f t="shared" si="3"/>
        <v>NEWELL JAMES</v>
      </c>
    </row>
    <row r="225" spans="1:7" x14ac:dyDescent="0.25">
      <c r="A225" s="8">
        <v>42816.990671296298</v>
      </c>
      <c r="B225" t="s">
        <v>470</v>
      </c>
      <c r="C225" t="s">
        <v>828</v>
      </c>
      <c r="D225" s="150">
        <v>2150000</v>
      </c>
      <c r="E225" t="s">
        <v>385</v>
      </c>
      <c r="F225" s="20" t="s">
        <v>386</v>
      </c>
      <c r="G225" s="8" t="str">
        <f t="shared" si="3"/>
        <v>SWANSON BRYCE</v>
      </c>
    </row>
    <row r="226" spans="1:7" x14ac:dyDescent="0.25">
      <c r="A226" s="8">
        <v>42816.993043981478</v>
      </c>
      <c r="B226" t="s">
        <v>604</v>
      </c>
      <c r="C226" t="s">
        <v>829</v>
      </c>
      <c r="D226" s="150">
        <v>2270000</v>
      </c>
      <c r="E226" t="s">
        <v>210</v>
      </c>
      <c r="F226" s="20" t="s">
        <v>211</v>
      </c>
      <c r="G226" s="8" t="str">
        <f t="shared" si="3"/>
        <v>BROWN JACOB</v>
      </c>
    </row>
    <row r="227" spans="1:7" x14ac:dyDescent="0.25">
      <c r="A227" s="8">
        <v>42817.006550925929</v>
      </c>
      <c r="B227" t="s">
        <v>467</v>
      </c>
      <c r="C227" t="s">
        <v>830</v>
      </c>
      <c r="D227" s="150">
        <v>2530000</v>
      </c>
      <c r="E227" t="s">
        <v>473</v>
      </c>
      <c r="F227" s="20" t="s">
        <v>474</v>
      </c>
      <c r="G227" s="8" t="str">
        <f t="shared" si="3"/>
        <v>LALONDE GREGORY</v>
      </c>
    </row>
    <row r="228" spans="1:7" x14ac:dyDescent="0.25">
      <c r="A228" s="8">
        <v>42817.015069444446</v>
      </c>
      <c r="B228" t="s">
        <v>397</v>
      </c>
      <c r="C228" t="s">
        <v>831</v>
      </c>
      <c r="D228" s="150">
        <v>1810000</v>
      </c>
      <c r="E228" t="s">
        <v>481</v>
      </c>
      <c r="F228" s="20" t="s">
        <v>195</v>
      </c>
      <c r="G228" s="8" t="str">
        <f t="shared" si="3"/>
        <v>NEWELL JAMES</v>
      </c>
    </row>
    <row r="229" spans="1:7" x14ac:dyDescent="0.25">
      <c r="A229" s="8">
        <v>42817.028784722221</v>
      </c>
      <c r="B229" t="s">
        <v>480</v>
      </c>
      <c r="C229" t="s">
        <v>832</v>
      </c>
      <c r="D229" s="150">
        <v>2150000</v>
      </c>
      <c r="E229" t="s">
        <v>385</v>
      </c>
      <c r="F229" s="20" t="s">
        <v>386</v>
      </c>
      <c r="G229" s="8" t="str">
        <f t="shared" si="3"/>
        <v>SWANSON BRYCE</v>
      </c>
    </row>
    <row r="230" spans="1:7" x14ac:dyDescent="0.25">
      <c r="A230" s="8">
        <v>42817.029745370368</v>
      </c>
      <c r="B230" t="s">
        <v>608</v>
      </c>
      <c r="C230" t="s">
        <v>833</v>
      </c>
      <c r="D230" s="150">
        <v>2270000</v>
      </c>
      <c r="E230" t="s">
        <v>210</v>
      </c>
      <c r="F230" s="20" t="s">
        <v>211</v>
      </c>
      <c r="G230" s="8" t="str">
        <f t="shared" si="3"/>
        <v>BROWN JACOB</v>
      </c>
    </row>
    <row r="231" spans="1:7" x14ac:dyDescent="0.25">
      <c r="A231" s="8">
        <v>42817.030624999999</v>
      </c>
      <c r="B231" t="s">
        <v>480</v>
      </c>
      <c r="C231" t="s">
        <v>832</v>
      </c>
      <c r="D231" s="150">
        <v>2150000</v>
      </c>
      <c r="E231" t="s">
        <v>385</v>
      </c>
      <c r="F231" s="20" t="s">
        <v>386</v>
      </c>
      <c r="G231" s="8" t="str">
        <f t="shared" si="3"/>
        <v>SWANSON BRYCE</v>
      </c>
    </row>
    <row r="232" spans="1:7" x14ac:dyDescent="0.25">
      <c r="A232" s="8">
        <v>42817.039583333331</v>
      </c>
      <c r="B232" t="s">
        <v>467</v>
      </c>
      <c r="C232" t="s">
        <v>830</v>
      </c>
      <c r="D232" s="150">
        <v>2530000</v>
      </c>
      <c r="E232" t="s">
        <v>473</v>
      </c>
      <c r="F232" s="20" t="s">
        <v>474</v>
      </c>
      <c r="G232" s="8" t="str">
        <f t="shared" si="3"/>
        <v>LALONDE GREGORY</v>
      </c>
    </row>
    <row r="233" spans="1:7" x14ac:dyDescent="0.25">
      <c r="A233" s="8">
        <v>42817.049675925926</v>
      </c>
      <c r="B233" t="s">
        <v>469</v>
      </c>
      <c r="C233" t="s">
        <v>834</v>
      </c>
      <c r="D233" s="150">
        <v>2530000</v>
      </c>
      <c r="E233" t="s">
        <v>473</v>
      </c>
      <c r="F233" s="20" t="s">
        <v>474</v>
      </c>
      <c r="G233" s="8" t="str">
        <f t="shared" si="3"/>
        <v>LALONDE GREGORY</v>
      </c>
    </row>
    <row r="234" spans="1:7" x14ac:dyDescent="0.25">
      <c r="A234" s="8">
        <v>42817.057592592595</v>
      </c>
      <c r="B234" t="s">
        <v>643</v>
      </c>
      <c r="C234" t="s">
        <v>835</v>
      </c>
      <c r="D234" s="150">
        <v>1810000</v>
      </c>
      <c r="E234" t="s">
        <v>481</v>
      </c>
      <c r="F234" s="20" t="s">
        <v>195</v>
      </c>
      <c r="G234" s="8" t="str">
        <f t="shared" si="3"/>
        <v>NEWELL JAMES</v>
      </c>
    </row>
    <row r="235" spans="1:7" x14ac:dyDescent="0.25">
      <c r="A235" s="8">
        <v>42817.070960648147</v>
      </c>
      <c r="B235" t="s">
        <v>604</v>
      </c>
      <c r="C235" t="s">
        <v>836</v>
      </c>
      <c r="D235" s="150">
        <v>2270000</v>
      </c>
      <c r="E235" t="s">
        <v>210</v>
      </c>
      <c r="F235" s="20" t="s">
        <v>211</v>
      </c>
      <c r="G235" s="8" t="str">
        <f t="shared" si="3"/>
        <v>BROWN JACOB</v>
      </c>
    </row>
    <row r="236" spans="1:7" x14ac:dyDescent="0.25">
      <c r="A236" s="8">
        <v>42817.088738425926</v>
      </c>
      <c r="B236" t="s">
        <v>397</v>
      </c>
      <c r="C236" t="s">
        <v>837</v>
      </c>
      <c r="D236" s="150">
        <v>1810000</v>
      </c>
      <c r="E236" t="s">
        <v>481</v>
      </c>
      <c r="F236" s="20" t="s">
        <v>195</v>
      </c>
      <c r="G236" s="8" t="str">
        <f t="shared" si="3"/>
        <v>NEWELL JAMES</v>
      </c>
    </row>
    <row r="237" spans="1:7" x14ac:dyDescent="0.25">
      <c r="A237" s="8">
        <v>42817.113715277781</v>
      </c>
      <c r="B237" t="s">
        <v>403</v>
      </c>
      <c r="C237" t="s">
        <v>838</v>
      </c>
      <c r="D237" s="150">
        <v>2550000</v>
      </c>
      <c r="E237" t="s">
        <v>646</v>
      </c>
      <c r="F237" s="20" t="s">
        <v>647</v>
      </c>
      <c r="G237" s="8" t="str">
        <f t="shared" si="3"/>
        <v>BADERTSCHER DIANE</v>
      </c>
    </row>
    <row r="238" spans="1:7" x14ac:dyDescent="0.25">
      <c r="A238" s="8">
        <v>42817.114398148151</v>
      </c>
      <c r="B238" t="s">
        <v>403</v>
      </c>
      <c r="C238" t="s">
        <v>838</v>
      </c>
      <c r="D238" s="150">
        <v>2550000</v>
      </c>
      <c r="E238" t="s">
        <v>646</v>
      </c>
      <c r="F238" s="20" t="s">
        <v>647</v>
      </c>
      <c r="G238" s="8" t="str">
        <f t="shared" si="3"/>
        <v>BADERTSCHER DIANE</v>
      </c>
    </row>
    <row r="239" spans="1:7" x14ac:dyDescent="0.25">
      <c r="A239" s="8">
        <v>42815.975173611114</v>
      </c>
      <c r="B239" t="s">
        <v>529</v>
      </c>
      <c r="C239" t="s">
        <v>539</v>
      </c>
      <c r="D239" s="150">
        <v>2000000</v>
      </c>
      <c r="E239" t="s">
        <v>391</v>
      </c>
      <c r="F239" s="20" t="s">
        <v>195</v>
      </c>
      <c r="G239" s="8" t="str">
        <f t="shared" si="3"/>
        <v>STAMBAUGH JAMES</v>
      </c>
    </row>
    <row r="240" spans="1:7" x14ac:dyDescent="0.25">
      <c r="A240" s="8">
        <v>42815.977118055554</v>
      </c>
      <c r="B240" t="s">
        <v>413</v>
      </c>
      <c r="C240" t="s">
        <v>540</v>
      </c>
      <c r="D240" s="150">
        <v>1810000</v>
      </c>
      <c r="E240" t="s">
        <v>481</v>
      </c>
      <c r="F240" s="20" t="s">
        <v>195</v>
      </c>
      <c r="G240" s="8" t="str">
        <f t="shared" si="3"/>
        <v>NEWELL JAMES</v>
      </c>
    </row>
    <row r="241" spans="1:7" x14ac:dyDescent="0.25">
      <c r="A241" s="8">
        <v>42815.985486111109</v>
      </c>
      <c r="B241" t="s">
        <v>413</v>
      </c>
      <c r="C241" t="s">
        <v>540</v>
      </c>
      <c r="D241" s="150">
        <v>1810000</v>
      </c>
      <c r="E241" t="s">
        <v>481</v>
      </c>
      <c r="F241" s="20" t="s">
        <v>195</v>
      </c>
      <c r="G241" s="8" t="str">
        <f t="shared" si="3"/>
        <v>NEWELL JAMES</v>
      </c>
    </row>
    <row r="242" spans="1:7" x14ac:dyDescent="0.25">
      <c r="A242" s="8">
        <v>42815.99150462963</v>
      </c>
      <c r="B242" t="s">
        <v>394</v>
      </c>
      <c r="C242" t="s">
        <v>541</v>
      </c>
      <c r="D242" s="150">
        <v>1740000</v>
      </c>
      <c r="E242" t="s">
        <v>512</v>
      </c>
      <c r="F242" s="20" t="s">
        <v>513</v>
      </c>
      <c r="G242" s="8" t="str">
        <f t="shared" si="3"/>
        <v>STORY SAMANTHA</v>
      </c>
    </row>
    <row r="243" spans="1:7" x14ac:dyDescent="0.25">
      <c r="A243" s="8">
        <v>42815.993993055556</v>
      </c>
      <c r="B243" t="s">
        <v>411</v>
      </c>
      <c r="C243" t="s">
        <v>542</v>
      </c>
      <c r="D243" s="150">
        <v>1800000</v>
      </c>
      <c r="E243" t="s">
        <v>478</v>
      </c>
      <c r="F243" s="20" t="s">
        <v>479</v>
      </c>
      <c r="G243" s="8" t="str">
        <f t="shared" si="3"/>
        <v>CHANDLER KELVIN</v>
      </c>
    </row>
    <row r="244" spans="1:7" x14ac:dyDescent="0.25">
      <c r="A244" s="8">
        <v>42816.005347222221</v>
      </c>
      <c r="B244" t="s">
        <v>527</v>
      </c>
      <c r="C244" t="s">
        <v>543</v>
      </c>
      <c r="D244" s="150">
        <v>2000000</v>
      </c>
      <c r="E244" t="s">
        <v>391</v>
      </c>
      <c r="F244" s="20" t="s">
        <v>195</v>
      </c>
      <c r="G244" s="8" t="str">
        <f t="shared" si="3"/>
        <v>STAMBAUGH JAMES</v>
      </c>
    </row>
    <row r="245" spans="1:7" x14ac:dyDescent="0.25">
      <c r="A245" s="8">
        <v>42816.013553240744</v>
      </c>
      <c r="B245" t="s">
        <v>409</v>
      </c>
      <c r="C245" t="s">
        <v>528</v>
      </c>
      <c r="D245" s="150">
        <v>1810000</v>
      </c>
      <c r="E245" t="s">
        <v>481</v>
      </c>
      <c r="F245" s="20" t="s">
        <v>195</v>
      </c>
      <c r="G245" s="8" t="str">
        <f t="shared" si="3"/>
        <v>NEWELL JAMES</v>
      </c>
    </row>
    <row r="246" spans="1:7" x14ac:dyDescent="0.25">
      <c r="A246" s="8">
        <v>42816.028900462959</v>
      </c>
      <c r="B246" t="s">
        <v>393</v>
      </c>
      <c r="C246" t="s">
        <v>544</v>
      </c>
      <c r="D246" s="150">
        <v>1740000</v>
      </c>
      <c r="E246" t="s">
        <v>512</v>
      </c>
      <c r="F246" s="20" t="s">
        <v>513</v>
      </c>
      <c r="G246" s="8" t="str">
        <f t="shared" si="3"/>
        <v>STORY SAMANTHA</v>
      </c>
    </row>
    <row r="247" spans="1:7" x14ac:dyDescent="0.25">
      <c r="A247" s="8">
        <v>42816.029004629629</v>
      </c>
      <c r="B247" t="s">
        <v>410</v>
      </c>
      <c r="C247" t="s">
        <v>545</v>
      </c>
      <c r="D247" s="150">
        <v>1800000</v>
      </c>
      <c r="E247" t="s">
        <v>478</v>
      </c>
      <c r="F247" s="20" t="s">
        <v>479</v>
      </c>
      <c r="G247" s="8" t="str">
        <f t="shared" si="3"/>
        <v>CHANDLER KELVIN</v>
      </c>
    </row>
    <row r="248" spans="1:7" x14ac:dyDescent="0.25">
      <c r="A248" s="8">
        <v>42816.032592592594</v>
      </c>
      <c r="B248" t="s">
        <v>393</v>
      </c>
      <c r="C248" t="s">
        <v>544</v>
      </c>
      <c r="D248" s="150">
        <v>1740000</v>
      </c>
      <c r="E248" t="s">
        <v>512</v>
      </c>
      <c r="F248" s="20" t="s">
        <v>513</v>
      </c>
      <c r="G248" s="8" t="str">
        <f t="shared" si="3"/>
        <v>STORY SAMANTHA</v>
      </c>
    </row>
    <row r="249" spans="1:7" x14ac:dyDescent="0.25">
      <c r="A249" s="8">
        <v>42816.047407407408</v>
      </c>
      <c r="B249" t="s">
        <v>393</v>
      </c>
      <c r="C249" t="s">
        <v>544</v>
      </c>
      <c r="D249" s="150">
        <v>1740000</v>
      </c>
      <c r="E249" t="s">
        <v>512</v>
      </c>
      <c r="F249" s="20" t="s">
        <v>513</v>
      </c>
      <c r="G249" s="8" t="str">
        <f t="shared" si="3"/>
        <v>STORY SAMANTHA</v>
      </c>
    </row>
    <row r="250" spans="1:7" x14ac:dyDescent="0.25">
      <c r="A250" s="8">
        <v>42816.048877314817</v>
      </c>
      <c r="B250" t="s">
        <v>413</v>
      </c>
      <c r="C250" t="s">
        <v>546</v>
      </c>
      <c r="D250" s="150">
        <v>1810000</v>
      </c>
      <c r="E250" t="s">
        <v>481</v>
      </c>
      <c r="F250" s="20" t="s">
        <v>195</v>
      </c>
      <c r="G250" s="8" t="str">
        <f t="shared" si="3"/>
        <v>NEWELL JAMES</v>
      </c>
    </row>
    <row r="251" spans="1:7" x14ac:dyDescent="0.25">
      <c r="A251" s="8">
        <v>42816.058182870373</v>
      </c>
      <c r="B251" t="s">
        <v>529</v>
      </c>
      <c r="C251" t="s">
        <v>547</v>
      </c>
      <c r="D251" s="150">
        <v>2000000</v>
      </c>
      <c r="E251" t="s">
        <v>391</v>
      </c>
      <c r="F251" s="20" t="s">
        <v>195</v>
      </c>
      <c r="G251" s="8" t="str">
        <f t="shared" si="3"/>
        <v>STAMBAUGH JAMES</v>
      </c>
    </row>
    <row r="252" spans="1:7" x14ac:dyDescent="0.25">
      <c r="A252" s="8">
        <v>42816.072013888886</v>
      </c>
      <c r="B252" t="s">
        <v>394</v>
      </c>
      <c r="C252" t="s">
        <v>544</v>
      </c>
      <c r="D252" s="150">
        <v>1740000</v>
      </c>
      <c r="E252" t="s">
        <v>512</v>
      </c>
      <c r="F252" s="20" t="s">
        <v>513</v>
      </c>
      <c r="G252" s="8" t="str">
        <f t="shared" si="3"/>
        <v>STORY SAMANTHA</v>
      </c>
    </row>
    <row r="253" spans="1:7" x14ac:dyDescent="0.25">
      <c r="A253" s="8">
        <v>42816.072557870371</v>
      </c>
      <c r="B253" t="s">
        <v>394</v>
      </c>
      <c r="C253" t="s">
        <v>548</v>
      </c>
      <c r="D253" s="150">
        <v>1740000</v>
      </c>
      <c r="E253" t="s">
        <v>512</v>
      </c>
      <c r="F253" s="20" t="s">
        <v>513</v>
      </c>
      <c r="G253" s="8" t="str">
        <f t="shared" si="3"/>
        <v>STORY SAMANTHA</v>
      </c>
    </row>
    <row r="254" spans="1:7" x14ac:dyDescent="0.25">
      <c r="A254" s="8">
        <v>42816.087754629632</v>
      </c>
      <c r="B254" t="s">
        <v>527</v>
      </c>
      <c r="C254" t="s">
        <v>549</v>
      </c>
      <c r="D254" s="150">
        <v>2000000</v>
      </c>
      <c r="E254" t="s">
        <v>391</v>
      </c>
      <c r="F254" s="20" t="s">
        <v>195</v>
      </c>
      <c r="G254" s="8" t="str">
        <f t="shared" si="3"/>
        <v>STAMBAUGH JAMES</v>
      </c>
    </row>
    <row r="255" spans="1:7" x14ac:dyDescent="0.25">
      <c r="A255" s="8">
        <v>42812.881689814814</v>
      </c>
      <c r="B255" t="s">
        <v>408</v>
      </c>
      <c r="C255" t="s">
        <v>431</v>
      </c>
      <c r="D255" s="150">
        <v>2150000</v>
      </c>
      <c r="E255" t="s">
        <v>385</v>
      </c>
      <c r="F255" s="20" t="s">
        <v>386</v>
      </c>
      <c r="G255" s="8" t="str">
        <f t="shared" si="3"/>
        <v>SWANSON BRYCE</v>
      </c>
    </row>
    <row r="256" spans="1:7" x14ac:dyDescent="0.25">
      <c r="A256" s="8">
        <v>42812.886805555558</v>
      </c>
      <c r="B256" t="s">
        <v>411</v>
      </c>
      <c r="C256" t="s">
        <v>432</v>
      </c>
      <c r="D256" s="150">
        <v>2560000</v>
      </c>
      <c r="E256" t="s">
        <v>429</v>
      </c>
      <c r="F256" s="20" t="s">
        <v>430</v>
      </c>
      <c r="G256" s="8" t="str">
        <f t="shared" si="3"/>
        <v>MACDONALD THOMAS</v>
      </c>
    </row>
    <row r="257" spans="1:7" x14ac:dyDescent="0.25">
      <c r="A257" s="8">
        <v>42812.88863425926</v>
      </c>
      <c r="B257" t="s">
        <v>404</v>
      </c>
      <c r="C257" t="s">
        <v>433</v>
      </c>
      <c r="D257" s="150">
        <v>1540000</v>
      </c>
      <c r="E257" t="s">
        <v>398</v>
      </c>
      <c r="F257" s="20" t="s">
        <v>399</v>
      </c>
      <c r="G257" s="8" t="str">
        <f t="shared" si="3"/>
        <v>HELVIE ADAM</v>
      </c>
    </row>
    <row r="258" spans="1:7" x14ac:dyDescent="0.25">
      <c r="A258" s="8">
        <v>42812.889756944445</v>
      </c>
      <c r="B258" t="s">
        <v>411</v>
      </c>
      <c r="C258" t="s">
        <v>434</v>
      </c>
      <c r="D258" s="150">
        <v>2560000</v>
      </c>
      <c r="E258" t="s">
        <v>429</v>
      </c>
      <c r="F258" s="20" t="s">
        <v>430</v>
      </c>
      <c r="G258" s="8" t="str">
        <f t="shared" si="3"/>
        <v>MACDONALD THOMAS</v>
      </c>
    </row>
    <row r="259" spans="1:7" x14ac:dyDescent="0.25">
      <c r="A259" s="8">
        <v>42812.890347222223</v>
      </c>
      <c r="B259" t="s">
        <v>411</v>
      </c>
      <c r="C259" t="s">
        <v>434</v>
      </c>
      <c r="D259" s="150">
        <v>2560000</v>
      </c>
      <c r="E259" t="s">
        <v>429</v>
      </c>
      <c r="F259" s="20" t="s">
        <v>430</v>
      </c>
      <c r="G259" s="8" t="str">
        <f t="shared" ref="G259:G322" si="4">E259&amp;" "&amp;F259</f>
        <v>MACDONALD THOMAS</v>
      </c>
    </row>
    <row r="260" spans="1:7" x14ac:dyDescent="0.25">
      <c r="A260" s="8">
        <v>42812.891099537039</v>
      </c>
      <c r="B260" t="s">
        <v>411</v>
      </c>
      <c r="C260" t="s">
        <v>434</v>
      </c>
      <c r="D260" s="150">
        <v>2560000</v>
      </c>
      <c r="E260" t="s">
        <v>429</v>
      </c>
      <c r="F260" s="20" t="s">
        <v>430</v>
      </c>
      <c r="G260" s="8" t="str">
        <f t="shared" si="4"/>
        <v>MACDONALD THOMAS</v>
      </c>
    </row>
    <row r="261" spans="1:7" x14ac:dyDescent="0.25">
      <c r="A261" s="8">
        <v>42812.892951388887</v>
      </c>
      <c r="B261" t="s">
        <v>411</v>
      </c>
      <c r="C261" t="s">
        <v>434</v>
      </c>
      <c r="D261" s="150">
        <v>2560000</v>
      </c>
      <c r="E261" t="s">
        <v>429</v>
      </c>
      <c r="F261" s="20" t="s">
        <v>430</v>
      </c>
      <c r="G261" s="8" t="str">
        <f t="shared" si="4"/>
        <v>MACDONALD THOMAS</v>
      </c>
    </row>
    <row r="262" spans="1:7" x14ac:dyDescent="0.25">
      <c r="A262" s="8">
        <v>42812.901053240741</v>
      </c>
      <c r="B262" t="s">
        <v>403</v>
      </c>
      <c r="C262" t="s">
        <v>435</v>
      </c>
      <c r="D262" s="150">
        <v>1540000</v>
      </c>
      <c r="E262" t="s">
        <v>398</v>
      </c>
      <c r="F262" s="20" t="s">
        <v>399</v>
      </c>
      <c r="G262" s="8" t="str">
        <f t="shared" si="4"/>
        <v>HELVIE ADAM</v>
      </c>
    </row>
    <row r="263" spans="1:7" x14ac:dyDescent="0.25">
      <c r="A263" s="8">
        <v>42812.901053240741</v>
      </c>
      <c r="B263" t="s">
        <v>201</v>
      </c>
      <c r="C263" t="s">
        <v>436</v>
      </c>
      <c r="D263" s="150">
        <v>2230000</v>
      </c>
      <c r="E263" t="s">
        <v>405</v>
      </c>
      <c r="F263" s="20" t="s">
        <v>198</v>
      </c>
      <c r="G263" s="8" t="str">
        <f t="shared" si="4"/>
        <v>SMITH MICHAEL</v>
      </c>
    </row>
    <row r="264" spans="1:7" x14ac:dyDescent="0.25">
      <c r="A264" s="8">
        <v>42812.911840277775</v>
      </c>
      <c r="B264" t="s">
        <v>390</v>
      </c>
      <c r="C264" t="s">
        <v>437</v>
      </c>
      <c r="D264" s="150">
        <v>2270000</v>
      </c>
      <c r="E264" t="s">
        <v>210</v>
      </c>
      <c r="F264" s="20" t="s">
        <v>211</v>
      </c>
      <c r="G264" s="8" t="str">
        <f t="shared" si="4"/>
        <v>BROWN JACOB</v>
      </c>
    </row>
    <row r="265" spans="1:7" x14ac:dyDescent="0.25">
      <c r="A265" s="8">
        <v>42812.926099537035</v>
      </c>
      <c r="B265" t="s">
        <v>404</v>
      </c>
      <c r="C265" t="s">
        <v>438</v>
      </c>
      <c r="D265" s="150">
        <v>1540000</v>
      </c>
      <c r="E265" t="s">
        <v>398</v>
      </c>
      <c r="F265" s="20" t="s">
        <v>399</v>
      </c>
      <c r="G265" s="8" t="str">
        <f t="shared" si="4"/>
        <v>HELVIE ADAM</v>
      </c>
    </row>
    <row r="266" spans="1:7" x14ac:dyDescent="0.25">
      <c r="A266" s="8">
        <v>42812.931909722225</v>
      </c>
      <c r="B266" t="s">
        <v>411</v>
      </c>
      <c r="C266" t="s">
        <v>434</v>
      </c>
      <c r="D266" s="150">
        <v>2560000</v>
      </c>
      <c r="E266" t="s">
        <v>429</v>
      </c>
      <c r="F266" s="20" t="s">
        <v>430</v>
      </c>
      <c r="G266" s="8" t="str">
        <f t="shared" si="4"/>
        <v>MACDONALD THOMAS</v>
      </c>
    </row>
    <row r="267" spans="1:7" x14ac:dyDescent="0.25">
      <c r="A267" s="8">
        <v>42812.935150462959</v>
      </c>
      <c r="B267" t="s">
        <v>412</v>
      </c>
      <c r="C267" t="s">
        <v>439</v>
      </c>
      <c r="D267" s="150">
        <v>2150000</v>
      </c>
      <c r="E267" t="s">
        <v>385</v>
      </c>
      <c r="F267" s="20" t="s">
        <v>386</v>
      </c>
      <c r="G267" s="8" t="str">
        <f t="shared" si="4"/>
        <v>SWANSON BRYCE</v>
      </c>
    </row>
    <row r="268" spans="1:7" x14ac:dyDescent="0.25">
      <c r="A268" s="8">
        <v>42812.938842592594</v>
      </c>
      <c r="B268" t="s">
        <v>394</v>
      </c>
      <c r="C268" t="s">
        <v>440</v>
      </c>
      <c r="D268" s="150">
        <v>2000000</v>
      </c>
      <c r="E268" t="s">
        <v>391</v>
      </c>
      <c r="F268" s="20" t="s">
        <v>195</v>
      </c>
      <c r="G268" s="8" t="str">
        <f t="shared" si="4"/>
        <v>STAMBAUGH JAMES</v>
      </c>
    </row>
    <row r="269" spans="1:7" x14ac:dyDescent="0.25">
      <c r="A269" s="8">
        <v>42812.942025462966</v>
      </c>
      <c r="B269" t="s">
        <v>403</v>
      </c>
      <c r="C269" t="s">
        <v>441</v>
      </c>
      <c r="D269" s="150">
        <v>1540000</v>
      </c>
      <c r="E269" t="s">
        <v>398</v>
      </c>
      <c r="F269" s="20" t="s">
        <v>399</v>
      </c>
      <c r="G269" s="8" t="str">
        <f t="shared" si="4"/>
        <v>HELVIE ADAM</v>
      </c>
    </row>
    <row r="270" spans="1:7" x14ac:dyDescent="0.25">
      <c r="A270" s="8">
        <v>42812.965555555558</v>
      </c>
      <c r="B270" t="s">
        <v>404</v>
      </c>
      <c r="C270" t="s">
        <v>442</v>
      </c>
      <c r="D270" s="150">
        <v>2630000</v>
      </c>
      <c r="E270" t="s">
        <v>414</v>
      </c>
      <c r="F270" s="20" t="s">
        <v>415</v>
      </c>
      <c r="G270" s="8" t="str">
        <f t="shared" si="4"/>
        <v>SAFIEF AEIMEN</v>
      </c>
    </row>
    <row r="271" spans="1:7" x14ac:dyDescent="0.25">
      <c r="A271" s="8">
        <v>42812.968553240738</v>
      </c>
      <c r="B271" t="s">
        <v>394</v>
      </c>
      <c r="C271" t="s">
        <v>440</v>
      </c>
      <c r="D271" s="150">
        <v>2000000</v>
      </c>
      <c r="E271" t="s">
        <v>391</v>
      </c>
      <c r="F271" s="20" t="s">
        <v>195</v>
      </c>
      <c r="G271" s="8" t="str">
        <f t="shared" si="4"/>
        <v>STAMBAUGH JAMES</v>
      </c>
    </row>
    <row r="272" spans="1:7" x14ac:dyDescent="0.25">
      <c r="A272" s="8">
        <v>42812.978981481479</v>
      </c>
      <c r="B272" t="s">
        <v>201</v>
      </c>
      <c r="C272" t="s">
        <v>436</v>
      </c>
      <c r="D272" s="150">
        <v>2230000</v>
      </c>
      <c r="E272" t="s">
        <v>405</v>
      </c>
      <c r="F272" s="20" t="s">
        <v>198</v>
      </c>
      <c r="G272" s="8" t="str">
        <f t="shared" si="4"/>
        <v>SMITH MICHAEL</v>
      </c>
    </row>
    <row r="273" spans="1:7" x14ac:dyDescent="0.25">
      <c r="A273" s="8">
        <v>42812.988240740742</v>
      </c>
      <c r="B273" t="s">
        <v>389</v>
      </c>
      <c r="C273" t="s">
        <v>422</v>
      </c>
      <c r="D273" s="150">
        <v>2270000</v>
      </c>
      <c r="E273" t="s">
        <v>210</v>
      </c>
      <c r="F273" s="20" t="s">
        <v>211</v>
      </c>
      <c r="G273" s="8" t="str">
        <f t="shared" si="4"/>
        <v>BROWN JACOB</v>
      </c>
    </row>
    <row r="274" spans="1:7" x14ac:dyDescent="0.25">
      <c r="A274" s="8">
        <v>42812.990706018521</v>
      </c>
      <c r="B274" t="s">
        <v>403</v>
      </c>
      <c r="C274" t="s">
        <v>443</v>
      </c>
      <c r="D274" s="150">
        <v>2630000</v>
      </c>
      <c r="E274" t="s">
        <v>414</v>
      </c>
      <c r="F274" s="20" t="s">
        <v>415</v>
      </c>
      <c r="G274" s="8" t="str">
        <f t="shared" si="4"/>
        <v>SAFIEF AEIMEN</v>
      </c>
    </row>
    <row r="275" spans="1:7" x14ac:dyDescent="0.25">
      <c r="A275" s="8">
        <v>42812.991481481484</v>
      </c>
      <c r="B275" t="s">
        <v>389</v>
      </c>
      <c r="C275" t="s">
        <v>422</v>
      </c>
      <c r="D275" s="150">
        <v>2270000</v>
      </c>
      <c r="E275" t="s">
        <v>210</v>
      </c>
      <c r="F275" s="20" t="s">
        <v>211</v>
      </c>
      <c r="G275" s="8" t="str">
        <f t="shared" si="4"/>
        <v>BROWN JACOB</v>
      </c>
    </row>
    <row r="276" spans="1:7" x14ac:dyDescent="0.25">
      <c r="A276" s="8">
        <v>42812.992361111108</v>
      </c>
      <c r="B276" t="s">
        <v>389</v>
      </c>
      <c r="C276" t="s">
        <v>422</v>
      </c>
      <c r="D276" s="150">
        <v>2270000</v>
      </c>
      <c r="E276" t="s">
        <v>210</v>
      </c>
      <c r="F276" s="20" t="s">
        <v>211</v>
      </c>
      <c r="G276" s="8" t="str">
        <f t="shared" si="4"/>
        <v>BROWN JACOB</v>
      </c>
    </row>
    <row r="277" spans="1:7" x14ac:dyDescent="0.25">
      <c r="A277" s="8">
        <v>42813.001851851855</v>
      </c>
      <c r="B277" t="s">
        <v>421</v>
      </c>
      <c r="C277" t="s">
        <v>444</v>
      </c>
      <c r="D277" s="150">
        <v>2230000</v>
      </c>
      <c r="E277" t="s">
        <v>405</v>
      </c>
      <c r="F277" s="20" t="s">
        <v>198</v>
      </c>
      <c r="G277" s="8" t="str">
        <f t="shared" si="4"/>
        <v>SMITH MICHAEL</v>
      </c>
    </row>
    <row r="278" spans="1:7" x14ac:dyDescent="0.25">
      <c r="A278" s="8">
        <v>42813.005509259259</v>
      </c>
      <c r="B278" t="s">
        <v>421</v>
      </c>
      <c r="C278" t="s">
        <v>445</v>
      </c>
      <c r="D278" s="150">
        <v>2230000</v>
      </c>
      <c r="E278" t="s">
        <v>405</v>
      </c>
      <c r="F278" s="20" t="s">
        <v>198</v>
      </c>
      <c r="G278" s="8" t="str">
        <f t="shared" si="4"/>
        <v>SMITH MICHAEL</v>
      </c>
    </row>
    <row r="279" spans="1:7" x14ac:dyDescent="0.25">
      <c r="A279" s="8">
        <v>42813.01185185185</v>
      </c>
      <c r="B279" t="s">
        <v>408</v>
      </c>
      <c r="C279" t="s">
        <v>423</v>
      </c>
      <c r="D279" s="150">
        <v>2150000</v>
      </c>
      <c r="E279" t="s">
        <v>385</v>
      </c>
      <c r="F279" s="20" t="s">
        <v>386</v>
      </c>
      <c r="G279" s="8" t="str">
        <f t="shared" si="4"/>
        <v>SWANSON BRYCE</v>
      </c>
    </row>
    <row r="280" spans="1:7" x14ac:dyDescent="0.25">
      <c r="A280" s="8">
        <v>42813.013032407405</v>
      </c>
      <c r="B280" t="s">
        <v>408</v>
      </c>
      <c r="C280" t="s">
        <v>423</v>
      </c>
      <c r="D280" s="150">
        <v>2150000</v>
      </c>
      <c r="E280" t="s">
        <v>385</v>
      </c>
      <c r="F280" s="20" t="s">
        <v>386</v>
      </c>
      <c r="G280" s="8" t="str">
        <f t="shared" si="4"/>
        <v>SWANSON BRYCE</v>
      </c>
    </row>
    <row r="281" spans="1:7" x14ac:dyDescent="0.25">
      <c r="A281" s="8">
        <v>42813.014224537037</v>
      </c>
      <c r="B281" t="s">
        <v>421</v>
      </c>
      <c r="C281" t="s">
        <v>445</v>
      </c>
      <c r="D281" s="150">
        <v>2230000</v>
      </c>
      <c r="E281" t="s">
        <v>405</v>
      </c>
      <c r="F281" s="20" t="s">
        <v>198</v>
      </c>
      <c r="G281" s="8" t="str">
        <f t="shared" si="4"/>
        <v>SMITH MICHAEL</v>
      </c>
    </row>
    <row r="282" spans="1:7" x14ac:dyDescent="0.25">
      <c r="A282" s="8">
        <v>42813.014872685184</v>
      </c>
      <c r="B282" t="s">
        <v>393</v>
      </c>
      <c r="C282" t="s">
        <v>446</v>
      </c>
      <c r="D282" s="150">
        <v>2000000</v>
      </c>
      <c r="E282" t="s">
        <v>391</v>
      </c>
      <c r="F282" s="20" t="s">
        <v>195</v>
      </c>
      <c r="G282" s="8" t="str">
        <f t="shared" si="4"/>
        <v>STAMBAUGH JAMES</v>
      </c>
    </row>
    <row r="283" spans="1:7" x14ac:dyDescent="0.25">
      <c r="A283" s="8">
        <v>42813.014965277776</v>
      </c>
      <c r="B283" t="s">
        <v>421</v>
      </c>
      <c r="C283" t="s">
        <v>445</v>
      </c>
      <c r="D283" s="150">
        <v>2230000</v>
      </c>
      <c r="E283" t="s">
        <v>405</v>
      </c>
      <c r="F283" s="20" t="s">
        <v>198</v>
      </c>
      <c r="G283" s="8" t="str">
        <f t="shared" si="4"/>
        <v>SMITH MICHAEL</v>
      </c>
    </row>
    <row r="284" spans="1:7" x14ac:dyDescent="0.25">
      <c r="A284" s="8">
        <v>42813.018391203703</v>
      </c>
      <c r="B284" t="s">
        <v>410</v>
      </c>
      <c r="C284" t="s">
        <v>447</v>
      </c>
      <c r="D284" s="150">
        <v>2560000</v>
      </c>
      <c r="E284" t="s">
        <v>429</v>
      </c>
      <c r="F284" s="20" t="s">
        <v>430</v>
      </c>
      <c r="G284" s="8" t="str">
        <f t="shared" si="4"/>
        <v>MACDONALD THOMAS</v>
      </c>
    </row>
    <row r="285" spans="1:7" x14ac:dyDescent="0.25">
      <c r="A285" s="8">
        <v>42813.020914351851</v>
      </c>
      <c r="B285" t="s">
        <v>421</v>
      </c>
      <c r="C285" t="s">
        <v>445</v>
      </c>
      <c r="D285" s="150">
        <v>2230000</v>
      </c>
      <c r="E285" t="s">
        <v>405</v>
      </c>
      <c r="F285" s="20" t="s">
        <v>198</v>
      </c>
      <c r="G285" s="8" t="str">
        <f t="shared" si="4"/>
        <v>SMITH MICHAEL</v>
      </c>
    </row>
    <row r="286" spans="1:7" x14ac:dyDescent="0.25">
      <c r="A286" s="8">
        <v>42813.032476851855</v>
      </c>
      <c r="B286" t="s">
        <v>390</v>
      </c>
      <c r="C286" t="s">
        <v>448</v>
      </c>
      <c r="D286" s="150">
        <v>2270000</v>
      </c>
      <c r="E286" t="s">
        <v>210</v>
      </c>
      <c r="F286" s="20" t="s">
        <v>211</v>
      </c>
      <c r="G286" s="8" t="str">
        <f t="shared" si="4"/>
        <v>BROWN JACOB</v>
      </c>
    </row>
    <row r="287" spans="1:7" x14ac:dyDescent="0.25">
      <c r="A287" s="8">
        <v>42813.04420138889</v>
      </c>
      <c r="B287" t="s">
        <v>201</v>
      </c>
      <c r="C287" t="s">
        <v>449</v>
      </c>
      <c r="D287" s="150">
        <v>2230000</v>
      </c>
      <c r="E287" t="s">
        <v>405</v>
      </c>
      <c r="F287" s="20" t="s">
        <v>198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394</v>
      </c>
      <c r="C288" t="s">
        <v>450</v>
      </c>
      <c r="D288" s="150">
        <v>2000000</v>
      </c>
      <c r="E288" t="s">
        <v>391</v>
      </c>
      <c r="F288" s="20" t="s">
        <v>195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412</v>
      </c>
      <c r="C289" t="s">
        <v>451</v>
      </c>
      <c r="D289" s="150">
        <v>2150000</v>
      </c>
      <c r="E289" t="s">
        <v>385</v>
      </c>
      <c r="F289" s="20" t="s">
        <v>386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412</v>
      </c>
      <c r="C290" t="s">
        <v>451</v>
      </c>
      <c r="D290" s="150">
        <v>2150000</v>
      </c>
      <c r="E290" t="s">
        <v>385</v>
      </c>
      <c r="F290" s="20" t="s">
        <v>386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412</v>
      </c>
      <c r="C291" t="s">
        <v>451</v>
      </c>
      <c r="D291" s="150">
        <v>2150000</v>
      </c>
      <c r="E291" t="s">
        <v>385</v>
      </c>
      <c r="F291" s="20" t="s">
        <v>386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421</v>
      </c>
      <c r="C292" t="s">
        <v>452</v>
      </c>
      <c r="D292" s="150">
        <v>2230000</v>
      </c>
      <c r="E292" t="s">
        <v>405</v>
      </c>
      <c r="F292" s="20" t="s">
        <v>198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389</v>
      </c>
      <c r="C293" t="s">
        <v>453</v>
      </c>
      <c r="D293" s="150">
        <v>2270000</v>
      </c>
      <c r="E293" t="s">
        <v>210</v>
      </c>
      <c r="F293" s="20" t="s">
        <v>211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389</v>
      </c>
      <c r="C294" t="s">
        <v>453</v>
      </c>
      <c r="D294" s="150">
        <v>2270000</v>
      </c>
      <c r="E294" t="s">
        <v>210</v>
      </c>
      <c r="F294" s="20" t="s">
        <v>211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389</v>
      </c>
      <c r="C295" t="s">
        <v>453</v>
      </c>
      <c r="D295" s="150">
        <v>2270000</v>
      </c>
      <c r="E295" t="s">
        <v>210</v>
      </c>
      <c r="F295" s="20" t="s">
        <v>211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404</v>
      </c>
      <c r="C296" t="s">
        <v>454</v>
      </c>
      <c r="D296" s="150">
        <v>2150000</v>
      </c>
      <c r="E296" t="s">
        <v>385</v>
      </c>
      <c r="F296" s="20" t="s">
        <v>386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390</v>
      </c>
      <c r="C297" t="s">
        <v>455</v>
      </c>
      <c r="D297" s="150">
        <v>2270000</v>
      </c>
      <c r="E297" t="s">
        <v>210</v>
      </c>
      <c r="F297" s="20" t="s">
        <v>211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activeCell="P20" sqref="P20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90" t="s">
        <v>162</v>
      </c>
      <c r="B1" s="190" t="s">
        <v>165</v>
      </c>
      <c r="C1" s="190" t="s">
        <v>158</v>
      </c>
      <c r="D1" s="148" t="s">
        <v>170</v>
      </c>
      <c r="E1" s="190" t="s">
        <v>159</v>
      </c>
      <c r="F1" s="190" t="s">
        <v>157</v>
      </c>
      <c r="G1" s="190" t="s">
        <v>155</v>
      </c>
      <c r="H1" s="190" t="s">
        <v>168</v>
      </c>
      <c r="I1" s="190" t="s">
        <v>169</v>
      </c>
      <c r="J1" s="190" t="s">
        <v>163</v>
      </c>
      <c r="K1" s="190" t="s">
        <v>161</v>
      </c>
      <c r="L1" s="190" t="s">
        <v>156</v>
      </c>
      <c r="M1" s="190" t="s">
        <v>166</v>
      </c>
      <c r="N1" s="190" t="s">
        <v>160</v>
      </c>
      <c r="O1" s="190" t="s">
        <v>167</v>
      </c>
      <c r="P1" s="190" t="s">
        <v>164</v>
      </c>
      <c r="Q1"/>
      <c r="R1"/>
    </row>
    <row r="2" spans="1:18" x14ac:dyDescent="0.25">
      <c r="A2" s="168">
        <v>49.54</v>
      </c>
      <c r="B2" s="168">
        <v>0.52</v>
      </c>
      <c r="C2" s="168">
        <v>34.96</v>
      </c>
      <c r="D2" s="8">
        <v>42816</v>
      </c>
      <c r="E2" s="168">
        <v>0.56999999999999995</v>
      </c>
      <c r="F2" s="168" t="s">
        <v>839</v>
      </c>
      <c r="G2" s="168">
        <v>279.57</v>
      </c>
      <c r="H2" s="168">
        <v>0</v>
      </c>
      <c r="I2" s="168">
        <v>0</v>
      </c>
      <c r="J2" s="168">
        <v>1017.03</v>
      </c>
      <c r="K2" s="168" t="s">
        <v>840</v>
      </c>
      <c r="L2" s="168">
        <v>49.54</v>
      </c>
      <c r="M2" s="168">
        <v>1490162400</v>
      </c>
      <c r="N2" s="168">
        <v>1.1000000000000001</v>
      </c>
      <c r="O2" s="168">
        <v>147</v>
      </c>
      <c r="P2" s="168">
        <v>0.78</v>
      </c>
      <c r="Q2"/>
      <c r="R2"/>
    </row>
    <row r="3" spans="1:18" x14ac:dyDescent="0.25">
      <c r="A3" s="168">
        <v>47.1</v>
      </c>
      <c r="B3" s="168">
        <v>0.44</v>
      </c>
      <c r="C3" s="168">
        <v>34.049999999999997</v>
      </c>
      <c r="D3" s="8">
        <v>42816.041666666664</v>
      </c>
      <c r="E3" s="168">
        <v>0.6</v>
      </c>
      <c r="F3" s="168" t="s">
        <v>839</v>
      </c>
      <c r="G3" s="168">
        <v>279.82</v>
      </c>
      <c r="H3" s="168">
        <v>0</v>
      </c>
      <c r="I3" s="168">
        <v>0</v>
      </c>
      <c r="J3" s="168">
        <v>1016.85</v>
      </c>
      <c r="K3" s="168" t="s">
        <v>840</v>
      </c>
      <c r="L3" s="168">
        <v>47.1</v>
      </c>
      <c r="M3" s="168">
        <v>1490166000</v>
      </c>
      <c r="N3" s="168">
        <v>1.1000000000000001</v>
      </c>
      <c r="O3" s="168">
        <v>212</v>
      </c>
      <c r="P3" s="168">
        <v>0.99</v>
      </c>
      <c r="Q3"/>
      <c r="R3"/>
    </row>
    <row r="4" spans="1:18" x14ac:dyDescent="0.25">
      <c r="A4" s="168">
        <v>46.36</v>
      </c>
      <c r="B4" s="168">
        <v>0.28999999999999998</v>
      </c>
      <c r="C4" s="168">
        <v>33.93</v>
      </c>
      <c r="D4" s="8">
        <v>42816.083333333336</v>
      </c>
      <c r="E4" s="168">
        <v>0.62</v>
      </c>
      <c r="F4" s="168" t="s">
        <v>839</v>
      </c>
      <c r="G4" s="168">
        <v>280.07</v>
      </c>
      <c r="H4" s="168">
        <v>0</v>
      </c>
      <c r="I4" s="168">
        <v>0</v>
      </c>
      <c r="J4" s="168">
        <v>1016.68</v>
      </c>
      <c r="K4" s="168" t="s">
        <v>840</v>
      </c>
      <c r="L4" s="168">
        <v>46.36</v>
      </c>
      <c r="M4" s="168">
        <v>1490169600</v>
      </c>
      <c r="N4" s="168">
        <v>1.1000000000000001</v>
      </c>
      <c r="O4" s="168">
        <v>211</v>
      </c>
      <c r="P4" s="168">
        <v>0.84</v>
      </c>
      <c r="Q4"/>
      <c r="R4"/>
    </row>
    <row r="5" spans="1:18" x14ac:dyDescent="0.25">
      <c r="A5" s="168">
        <v>45.15</v>
      </c>
      <c r="B5" s="168">
        <v>0.27</v>
      </c>
      <c r="C5" s="168">
        <v>34.11</v>
      </c>
      <c r="D5" s="8">
        <v>42816.125</v>
      </c>
      <c r="E5" s="168">
        <v>0.65</v>
      </c>
      <c r="F5" s="168" t="s">
        <v>839</v>
      </c>
      <c r="G5" s="168">
        <v>280.32</v>
      </c>
      <c r="H5" s="168">
        <v>0</v>
      </c>
      <c r="I5" s="168">
        <v>0</v>
      </c>
      <c r="J5" s="168">
        <v>1016.52</v>
      </c>
      <c r="K5" s="168" t="s">
        <v>840</v>
      </c>
      <c r="L5" s="168">
        <v>45.15</v>
      </c>
      <c r="M5" s="168">
        <v>1490173200</v>
      </c>
      <c r="N5" s="168">
        <v>1.1000000000000001</v>
      </c>
      <c r="O5" s="168">
        <v>274</v>
      </c>
      <c r="P5" s="168">
        <v>1.42</v>
      </c>
      <c r="Q5"/>
      <c r="R5"/>
    </row>
    <row r="6" spans="1:18" x14ac:dyDescent="0.25">
      <c r="A6" s="168">
        <v>43.42</v>
      </c>
      <c r="B6" s="168">
        <v>0.21</v>
      </c>
      <c r="C6" s="168">
        <v>34.94</v>
      </c>
      <c r="D6" s="8">
        <v>42816.166666666664</v>
      </c>
      <c r="E6" s="168">
        <v>0.72</v>
      </c>
      <c r="F6" s="168" t="s">
        <v>839</v>
      </c>
      <c r="G6" s="168">
        <v>280.60000000000002</v>
      </c>
      <c r="H6" s="168">
        <v>0</v>
      </c>
      <c r="I6" s="168">
        <v>0</v>
      </c>
      <c r="J6" s="168">
        <v>1016.72</v>
      </c>
      <c r="K6" s="168" t="s">
        <v>840</v>
      </c>
      <c r="L6" s="168">
        <v>43.42</v>
      </c>
      <c r="M6" s="168">
        <v>1490176800</v>
      </c>
      <c r="N6" s="168">
        <v>1.1000000000000001</v>
      </c>
      <c r="O6" s="168">
        <v>265</v>
      </c>
      <c r="P6" s="168">
        <v>1.78</v>
      </c>
      <c r="Q6"/>
      <c r="R6"/>
    </row>
    <row r="7" spans="1:18" x14ac:dyDescent="0.25">
      <c r="A7" s="168">
        <v>41.31</v>
      </c>
      <c r="B7" s="168">
        <v>0.2</v>
      </c>
      <c r="C7" s="168">
        <v>33.61</v>
      </c>
      <c r="D7" s="8">
        <v>42816.208333333336</v>
      </c>
      <c r="E7" s="168">
        <v>0.74</v>
      </c>
      <c r="F7" s="168" t="s">
        <v>839</v>
      </c>
      <c r="G7" s="168">
        <v>280.83999999999997</v>
      </c>
      <c r="H7" s="168">
        <v>0</v>
      </c>
      <c r="I7" s="168">
        <v>0</v>
      </c>
      <c r="J7" s="168">
        <v>1017.06</v>
      </c>
      <c r="K7" s="168" t="s">
        <v>840</v>
      </c>
      <c r="L7" s="168">
        <v>41.31</v>
      </c>
      <c r="M7" s="168">
        <v>1490180400</v>
      </c>
      <c r="N7" s="168">
        <v>1.1000000000000001</v>
      </c>
      <c r="O7" s="168">
        <v>277</v>
      </c>
      <c r="P7" s="168">
        <v>0.56000000000000005</v>
      </c>
      <c r="Q7"/>
      <c r="R7"/>
    </row>
    <row r="8" spans="1:18" x14ac:dyDescent="0.25">
      <c r="A8" s="168">
        <v>40.28</v>
      </c>
      <c r="B8" s="168">
        <v>0.21</v>
      </c>
      <c r="C8" s="168">
        <v>32.47</v>
      </c>
      <c r="D8" s="8">
        <v>42816.25</v>
      </c>
      <c r="E8" s="168">
        <v>0.73</v>
      </c>
      <c r="F8" s="168" t="s">
        <v>839</v>
      </c>
      <c r="G8" s="168">
        <v>280.68</v>
      </c>
      <c r="H8" s="168">
        <v>0</v>
      </c>
      <c r="I8" s="168">
        <v>0</v>
      </c>
      <c r="J8" s="168">
        <v>1017.12</v>
      </c>
      <c r="K8" s="168" t="s">
        <v>840</v>
      </c>
      <c r="L8" s="168">
        <v>40.28</v>
      </c>
      <c r="M8" s="168">
        <v>1490184000</v>
      </c>
      <c r="N8" s="168">
        <v>1.1000000000000001</v>
      </c>
      <c r="O8" s="168">
        <v>328</v>
      </c>
      <c r="P8" s="168">
        <v>1.39</v>
      </c>
      <c r="Q8"/>
      <c r="R8"/>
    </row>
    <row r="9" spans="1:18" x14ac:dyDescent="0.25">
      <c r="A9" s="168">
        <v>39.28</v>
      </c>
      <c r="B9" s="168">
        <v>0.34</v>
      </c>
      <c r="C9" s="168">
        <v>32.909999999999997</v>
      </c>
      <c r="D9" s="8">
        <v>42816.291666666664</v>
      </c>
      <c r="E9" s="168">
        <v>0.78</v>
      </c>
      <c r="F9" s="168" t="s">
        <v>354</v>
      </c>
      <c r="G9" s="168">
        <v>279.76</v>
      </c>
      <c r="H9" s="168">
        <v>0</v>
      </c>
      <c r="I9" s="168">
        <v>0</v>
      </c>
      <c r="J9" s="168">
        <v>1016.52</v>
      </c>
      <c r="K9" s="168" t="s">
        <v>355</v>
      </c>
      <c r="L9" s="168">
        <v>39.28</v>
      </c>
      <c r="M9" s="168">
        <v>1490187600</v>
      </c>
      <c r="N9" s="168"/>
      <c r="O9" s="168">
        <v>346</v>
      </c>
      <c r="P9" s="168">
        <v>1.37</v>
      </c>
      <c r="Q9"/>
      <c r="R9"/>
    </row>
    <row r="10" spans="1:18" x14ac:dyDescent="0.25">
      <c r="A10" s="168">
        <v>40.51</v>
      </c>
      <c r="B10" s="168">
        <v>0.35</v>
      </c>
      <c r="C10" s="168">
        <v>34.049999999999997</v>
      </c>
      <c r="D10" s="8">
        <v>42816.333333333336</v>
      </c>
      <c r="E10" s="168">
        <v>0.78</v>
      </c>
      <c r="F10" s="168" t="s">
        <v>839</v>
      </c>
      <c r="G10" s="168">
        <v>278.43</v>
      </c>
      <c r="H10" s="168">
        <v>0</v>
      </c>
      <c r="I10" s="168">
        <v>0</v>
      </c>
      <c r="J10" s="168">
        <v>1015.51</v>
      </c>
      <c r="K10" s="168" t="s">
        <v>840</v>
      </c>
      <c r="L10" s="168">
        <v>40.51</v>
      </c>
      <c r="M10" s="168">
        <v>1490191200</v>
      </c>
      <c r="N10" s="168">
        <v>1.1000000000000001</v>
      </c>
      <c r="O10" s="168">
        <v>329</v>
      </c>
      <c r="P10" s="168">
        <v>0.65</v>
      </c>
      <c r="Q10"/>
      <c r="R10"/>
    </row>
    <row r="11" spans="1:18" x14ac:dyDescent="0.25">
      <c r="A11" s="168">
        <v>43.32</v>
      </c>
      <c r="B11" s="168">
        <v>0.36</v>
      </c>
      <c r="C11" s="168">
        <v>36.06</v>
      </c>
      <c r="D11" s="8">
        <v>42816.375</v>
      </c>
      <c r="E11" s="168">
        <v>0.75</v>
      </c>
      <c r="F11" s="168" t="s">
        <v>839</v>
      </c>
      <c r="G11" s="168">
        <v>277.48</v>
      </c>
      <c r="H11" s="168">
        <v>0</v>
      </c>
      <c r="I11" s="168">
        <v>0</v>
      </c>
      <c r="J11" s="168">
        <v>1014.42</v>
      </c>
      <c r="K11" s="168" t="s">
        <v>840</v>
      </c>
      <c r="L11" s="168">
        <v>43.32</v>
      </c>
      <c r="M11" s="168">
        <v>1490194800</v>
      </c>
      <c r="N11" s="168">
        <v>1.1000000000000001</v>
      </c>
      <c r="O11" s="168">
        <v>336</v>
      </c>
      <c r="P11" s="168">
        <v>1.06</v>
      </c>
      <c r="Q11"/>
      <c r="R11"/>
    </row>
    <row r="12" spans="1:18" x14ac:dyDescent="0.25">
      <c r="A12" s="168">
        <v>47.31</v>
      </c>
      <c r="B12" s="168">
        <v>0.36</v>
      </c>
      <c r="C12" s="168">
        <v>36.01</v>
      </c>
      <c r="D12" s="8">
        <v>42816.416666666664</v>
      </c>
      <c r="E12" s="168">
        <v>0.65</v>
      </c>
      <c r="F12" s="168" t="s">
        <v>839</v>
      </c>
      <c r="G12" s="168">
        <v>277.27999999999997</v>
      </c>
      <c r="H12" s="168">
        <v>0</v>
      </c>
      <c r="I12" s="168">
        <v>0</v>
      </c>
      <c r="J12" s="168">
        <v>1013.35</v>
      </c>
      <c r="K12" s="168" t="s">
        <v>840</v>
      </c>
      <c r="L12" s="168">
        <v>47.31</v>
      </c>
      <c r="M12" s="168">
        <v>1490198400</v>
      </c>
      <c r="N12" s="168">
        <v>1.1000000000000001</v>
      </c>
      <c r="O12" s="168">
        <v>347</v>
      </c>
      <c r="P12" s="168">
        <v>1.83</v>
      </c>
      <c r="Q12"/>
      <c r="R12"/>
    </row>
    <row r="13" spans="1:18" x14ac:dyDescent="0.25">
      <c r="A13" s="168">
        <v>51.94</v>
      </c>
      <c r="B13" s="168">
        <v>0.41</v>
      </c>
      <c r="C13" s="168">
        <v>35.36</v>
      </c>
      <c r="D13" s="8">
        <v>42816.458333333336</v>
      </c>
      <c r="E13" s="168">
        <v>0.53</v>
      </c>
      <c r="F13" s="168" t="s">
        <v>839</v>
      </c>
      <c r="G13" s="168">
        <v>277.45999999999998</v>
      </c>
      <c r="H13" s="168">
        <v>0</v>
      </c>
      <c r="I13" s="168">
        <v>0</v>
      </c>
      <c r="J13" s="168">
        <v>1012.22</v>
      </c>
      <c r="K13" s="168" t="s">
        <v>840</v>
      </c>
      <c r="L13" s="168">
        <v>51.94</v>
      </c>
      <c r="M13" s="168">
        <v>1490202000</v>
      </c>
      <c r="N13" s="168">
        <v>1.1000000000000001</v>
      </c>
      <c r="O13" s="168">
        <v>19</v>
      </c>
      <c r="P13" s="168">
        <v>2.78</v>
      </c>
      <c r="Q13"/>
      <c r="R13"/>
    </row>
    <row r="14" spans="1:18" x14ac:dyDescent="0.25">
      <c r="A14" s="168">
        <v>56.81</v>
      </c>
      <c r="B14" s="168">
        <v>0.42</v>
      </c>
      <c r="C14" s="168">
        <v>36.869999999999997</v>
      </c>
      <c r="D14" s="8">
        <v>42816.5</v>
      </c>
      <c r="E14" s="168">
        <v>0.47</v>
      </c>
      <c r="F14" s="168" t="s">
        <v>839</v>
      </c>
      <c r="G14" s="168">
        <v>277.62</v>
      </c>
      <c r="H14" s="168">
        <v>0</v>
      </c>
      <c r="I14" s="168">
        <v>0</v>
      </c>
      <c r="J14" s="168">
        <v>1011.04</v>
      </c>
      <c r="K14" s="168" t="s">
        <v>840</v>
      </c>
      <c r="L14" s="168">
        <v>56.81</v>
      </c>
      <c r="M14" s="168">
        <v>1490205600</v>
      </c>
      <c r="N14" s="168">
        <v>1.1000000000000001</v>
      </c>
      <c r="O14" s="168">
        <v>12</v>
      </c>
      <c r="P14" s="168">
        <v>3.79</v>
      </c>
      <c r="Q14"/>
      <c r="R14"/>
    </row>
    <row r="15" spans="1:18" x14ac:dyDescent="0.25">
      <c r="A15" s="168">
        <v>60.51</v>
      </c>
      <c r="B15" s="168">
        <v>0.47</v>
      </c>
      <c r="C15" s="168">
        <v>34.97</v>
      </c>
      <c r="D15" s="8">
        <v>42816.541666666664</v>
      </c>
      <c r="E15" s="168">
        <v>0.38</v>
      </c>
      <c r="F15" s="168" t="s">
        <v>356</v>
      </c>
      <c r="G15" s="168">
        <v>277.62</v>
      </c>
      <c r="H15" s="168">
        <v>0</v>
      </c>
      <c r="I15" s="168">
        <v>0</v>
      </c>
      <c r="J15" s="168">
        <v>1009.74</v>
      </c>
      <c r="K15" s="168" t="s">
        <v>355</v>
      </c>
      <c r="L15" s="168">
        <v>60.51</v>
      </c>
      <c r="M15" s="168">
        <v>1490209200</v>
      </c>
      <c r="N15" s="168"/>
      <c r="O15" s="168">
        <v>15</v>
      </c>
      <c r="P15" s="168">
        <v>2.92</v>
      </c>
      <c r="Q15"/>
      <c r="R15"/>
    </row>
    <row r="16" spans="1:18" x14ac:dyDescent="0.25">
      <c r="A16" s="168">
        <v>63.44</v>
      </c>
      <c r="B16" s="168">
        <v>0.5</v>
      </c>
      <c r="C16" s="168">
        <v>35.130000000000003</v>
      </c>
      <c r="D16" s="8">
        <v>42816.583333333336</v>
      </c>
      <c r="E16" s="168">
        <v>0.35</v>
      </c>
      <c r="F16" s="168" t="s">
        <v>839</v>
      </c>
      <c r="G16" s="168">
        <v>277.60000000000002</v>
      </c>
      <c r="H16" s="168">
        <v>0</v>
      </c>
      <c r="I16" s="168">
        <v>0</v>
      </c>
      <c r="J16" s="168">
        <v>1008.44</v>
      </c>
      <c r="K16" s="168" t="s">
        <v>840</v>
      </c>
      <c r="L16" s="168">
        <v>63.44</v>
      </c>
      <c r="M16" s="168">
        <v>1490212800</v>
      </c>
      <c r="N16" s="168">
        <v>1.1000000000000001</v>
      </c>
      <c r="O16" s="168">
        <v>3</v>
      </c>
      <c r="P16" s="168">
        <v>5.0999999999999996</v>
      </c>
      <c r="Q16"/>
      <c r="R16"/>
    </row>
    <row r="17" spans="1:18" x14ac:dyDescent="0.25">
      <c r="A17" s="168">
        <v>67.25</v>
      </c>
      <c r="B17" s="168">
        <v>0.38</v>
      </c>
      <c r="C17" s="168">
        <v>34.549999999999997</v>
      </c>
      <c r="D17" s="8">
        <v>42816.625</v>
      </c>
      <c r="E17" s="168">
        <v>0.3</v>
      </c>
      <c r="F17" s="168" t="s">
        <v>356</v>
      </c>
      <c r="G17" s="168">
        <v>277.67</v>
      </c>
      <c r="H17" s="168">
        <v>0</v>
      </c>
      <c r="I17" s="168">
        <v>0</v>
      </c>
      <c r="J17" s="168">
        <v>1007.41</v>
      </c>
      <c r="K17" s="168" t="s">
        <v>355</v>
      </c>
      <c r="L17" s="168">
        <v>67.25</v>
      </c>
      <c r="M17" s="168">
        <v>1490216400</v>
      </c>
      <c r="N17" s="168">
        <v>3.03</v>
      </c>
      <c r="O17" s="168">
        <v>13</v>
      </c>
      <c r="P17" s="168">
        <v>3.81</v>
      </c>
      <c r="Q17"/>
      <c r="R17"/>
    </row>
    <row r="18" spans="1:18" x14ac:dyDescent="0.25">
      <c r="A18" s="168">
        <v>69.05</v>
      </c>
      <c r="B18" s="168">
        <v>0.51</v>
      </c>
      <c r="C18" s="168">
        <v>34.409999999999997</v>
      </c>
      <c r="D18" s="8">
        <v>42816.666666666664</v>
      </c>
      <c r="E18" s="168">
        <v>0.28000000000000003</v>
      </c>
      <c r="F18" s="168" t="s">
        <v>356</v>
      </c>
      <c r="G18" s="168">
        <v>278</v>
      </c>
      <c r="H18" s="168">
        <v>0</v>
      </c>
      <c r="I18" s="168">
        <v>0</v>
      </c>
      <c r="J18" s="168">
        <v>1006.78</v>
      </c>
      <c r="K18" s="168" t="s">
        <v>355</v>
      </c>
      <c r="L18" s="168">
        <v>69.05</v>
      </c>
      <c r="M18" s="168">
        <v>1490220000</v>
      </c>
      <c r="N18" s="168">
        <v>3.04</v>
      </c>
      <c r="O18" s="168">
        <v>349</v>
      </c>
      <c r="P18" s="168">
        <v>4.9400000000000004</v>
      </c>
      <c r="Q18"/>
      <c r="R18"/>
    </row>
    <row r="19" spans="1:18" x14ac:dyDescent="0.25">
      <c r="A19" s="168">
        <v>68.900000000000006</v>
      </c>
      <c r="B19" s="168">
        <v>0.69</v>
      </c>
      <c r="C19" s="168">
        <v>35.24</v>
      </c>
      <c r="D19" s="8">
        <v>42816.708333333336</v>
      </c>
      <c r="E19" s="168">
        <v>0.28999999999999998</v>
      </c>
      <c r="F19" s="168" t="s">
        <v>356</v>
      </c>
      <c r="G19" s="168">
        <v>278.41000000000003</v>
      </c>
      <c r="H19" s="168">
        <v>0</v>
      </c>
      <c r="I19" s="168">
        <v>0</v>
      </c>
      <c r="J19" s="168">
        <v>1006.39</v>
      </c>
      <c r="K19" s="168" t="s">
        <v>482</v>
      </c>
      <c r="L19" s="168">
        <v>68.900000000000006</v>
      </c>
      <c r="M19" s="168">
        <v>1490223600</v>
      </c>
      <c r="N19" s="168">
        <v>5.46</v>
      </c>
      <c r="O19" s="168">
        <v>347</v>
      </c>
      <c r="P19" s="168">
        <v>4.6900000000000004</v>
      </c>
      <c r="Q19"/>
      <c r="R19"/>
    </row>
    <row r="20" spans="1:18" x14ac:dyDescent="0.25">
      <c r="A20" s="168">
        <v>65.55</v>
      </c>
      <c r="B20" s="168">
        <v>0.92</v>
      </c>
      <c r="C20" s="168">
        <v>33.71</v>
      </c>
      <c r="D20" s="8">
        <v>42816.75</v>
      </c>
      <c r="E20" s="168">
        <v>0.31</v>
      </c>
      <c r="F20" s="168" t="s">
        <v>356</v>
      </c>
      <c r="G20" s="168">
        <v>278.47000000000003</v>
      </c>
      <c r="H20" s="168">
        <v>0</v>
      </c>
      <c r="I20" s="168">
        <v>0</v>
      </c>
      <c r="J20" s="168">
        <v>1006.19</v>
      </c>
      <c r="K20" s="168" t="s">
        <v>482</v>
      </c>
      <c r="L20" s="168">
        <v>65.55</v>
      </c>
      <c r="M20" s="168">
        <v>1490227200</v>
      </c>
      <c r="N20" s="168">
        <v>5.68</v>
      </c>
      <c r="O20" s="168">
        <v>343</v>
      </c>
      <c r="P20" s="168">
        <v>2.96</v>
      </c>
      <c r="Q20"/>
      <c r="R20"/>
    </row>
    <row r="21" spans="1:18" x14ac:dyDescent="0.25">
      <c r="A21" s="168">
        <v>62.9</v>
      </c>
      <c r="B21" s="168">
        <v>0.88</v>
      </c>
      <c r="C21" s="168">
        <v>33.28</v>
      </c>
      <c r="D21" s="8">
        <v>42816.791666666664</v>
      </c>
      <c r="E21" s="168">
        <v>0.33</v>
      </c>
      <c r="F21" s="168" t="s">
        <v>356</v>
      </c>
      <c r="G21" s="168">
        <v>277.89999999999998</v>
      </c>
      <c r="H21" s="168">
        <v>0</v>
      </c>
      <c r="I21" s="168">
        <v>0</v>
      </c>
      <c r="J21" s="168">
        <v>1005.73</v>
      </c>
      <c r="K21" s="168" t="s">
        <v>482</v>
      </c>
      <c r="L21" s="168">
        <v>62.9</v>
      </c>
      <c r="M21" s="168">
        <v>1490230800</v>
      </c>
      <c r="N21" s="168">
        <v>6.25</v>
      </c>
      <c r="O21" s="168">
        <v>315</v>
      </c>
      <c r="P21" s="168">
        <v>1.45</v>
      </c>
      <c r="Q21"/>
      <c r="R21"/>
    </row>
    <row r="22" spans="1:18" x14ac:dyDescent="0.25">
      <c r="A22" s="168">
        <v>60.56</v>
      </c>
      <c r="B22" s="168">
        <v>0.72</v>
      </c>
      <c r="C22" s="168">
        <v>33.29</v>
      </c>
      <c r="D22" s="8">
        <v>42816.833333333336</v>
      </c>
      <c r="E22" s="168">
        <v>0.36</v>
      </c>
      <c r="F22" s="168" t="s">
        <v>354</v>
      </c>
      <c r="G22" s="168">
        <v>276.98</v>
      </c>
      <c r="H22" s="168">
        <v>0</v>
      </c>
      <c r="I22" s="168">
        <v>0</v>
      </c>
      <c r="J22" s="168">
        <v>1005.76</v>
      </c>
      <c r="K22" s="168" t="s">
        <v>482</v>
      </c>
      <c r="L22" s="168">
        <v>60.56</v>
      </c>
      <c r="M22" s="168">
        <v>1490234400</v>
      </c>
      <c r="N22" s="168">
        <v>7.28</v>
      </c>
      <c r="O22" s="168">
        <v>238</v>
      </c>
      <c r="P22" s="168">
        <v>1.3</v>
      </c>
      <c r="Q22"/>
      <c r="R22"/>
    </row>
    <row r="23" spans="1:18" x14ac:dyDescent="0.25">
      <c r="A23" s="168">
        <v>57.83</v>
      </c>
      <c r="B23" s="168">
        <v>0.63</v>
      </c>
      <c r="C23" s="168">
        <v>32.68</v>
      </c>
      <c r="D23" s="8">
        <v>42816.875</v>
      </c>
      <c r="E23" s="168">
        <v>0.38</v>
      </c>
      <c r="F23" s="168" t="s">
        <v>354</v>
      </c>
      <c r="G23" s="168">
        <v>276.16000000000003</v>
      </c>
      <c r="H23" s="168">
        <v>0</v>
      </c>
      <c r="I23" s="168">
        <v>0</v>
      </c>
      <c r="J23" s="168">
        <v>1005.84</v>
      </c>
      <c r="K23" s="168" t="s">
        <v>482</v>
      </c>
      <c r="L23" s="168">
        <v>57.83</v>
      </c>
      <c r="M23" s="168">
        <v>1490238000</v>
      </c>
      <c r="N23" s="168">
        <v>6.95</v>
      </c>
      <c r="O23" s="168">
        <v>206</v>
      </c>
      <c r="P23" s="168">
        <v>1.32</v>
      </c>
      <c r="Q23"/>
      <c r="R23"/>
    </row>
    <row r="24" spans="1:18" x14ac:dyDescent="0.25">
      <c r="A24" s="168">
        <v>55.77</v>
      </c>
      <c r="B24" s="168">
        <v>0.56999999999999995</v>
      </c>
      <c r="C24" s="168">
        <v>32.18</v>
      </c>
      <c r="D24" s="8">
        <v>42816.916666666664</v>
      </c>
      <c r="E24" s="168">
        <v>0.41</v>
      </c>
      <c r="F24" s="168" t="s">
        <v>354</v>
      </c>
      <c r="G24" s="168">
        <v>275.51</v>
      </c>
      <c r="H24" s="168">
        <v>0</v>
      </c>
      <c r="I24" s="168">
        <v>0</v>
      </c>
      <c r="J24" s="168">
        <v>1005.73</v>
      </c>
      <c r="K24" s="168" t="s">
        <v>355</v>
      </c>
      <c r="L24" s="168">
        <v>55.77</v>
      </c>
      <c r="M24" s="168">
        <v>1490241600</v>
      </c>
      <c r="N24" s="168">
        <v>5.8</v>
      </c>
      <c r="O24" s="168">
        <v>215</v>
      </c>
      <c r="P24" s="168">
        <v>3.05</v>
      </c>
      <c r="Q24"/>
      <c r="R24"/>
    </row>
    <row r="25" spans="1:18" x14ac:dyDescent="0.25">
      <c r="A25" s="168">
        <v>54.13</v>
      </c>
      <c r="B25" s="168">
        <v>0.48</v>
      </c>
      <c r="C25" s="168">
        <v>32.049999999999997</v>
      </c>
      <c r="D25" s="8">
        <v>42816.958333333336</v>
      </c>
      <c r="E25" s="168">
        <v>0.43</v>
      </c>
      <c r="F25" s="168" t="s">
        <v>354</v>
      </c>
      <c r="G25" s="168">
        <v>274.95</v>
      </c>
      <c r="H25" s="168">
        <v>0</v>
      </c>
      <c r="I25" s="168">
        <v>0</v>
      </c>
      <c r="J25" s="168">
        <v>1005.51</v>
      </c>
      <c r="K25" s="168" t="s">
        <v>355</v>
      </c>
      <c r="L25" s="168">
        <v>54.13</v>
      </c>
      <c r="M25" s="168">
        <v>1490245200</v>
      </c>
      <c r="N25" s="168">
        <v>5.49</v>
      </c>
      <c r="O25" s="168">
        <v>213</v>
      </c>
      <c r="P25" s="168">
        <v>3.28</v>
      </c>
      <c r="Q25"/>
      <c r="R25"/>
    </row>
    <row r="26" spans="1:18" x14ac:dyDescent="0.25">
      <c r="A26" s="168">
        <v>51.2</v>
      </c>
      <c r="B26" s="168">
        <v>0.34</v>
      </c>
      <c r="C26" s="168">
        <v>30.76</v>
      </c>
      <c r="D26" s="8">
        <v>42817</v>
      </c>
      <c r="E26" s="168">
        <v>0.45</v>
      </c>
      <c r="F26" s="168" t="s">
        <v>354</v>
      </c>
      <c r="G26" s="168">
        <v>274.76</v>
      </c>
      <c r="H26" s="168">
        <v>0</v>
      </c>
      <c r="I26" s="168">
        <v>0</v>
      </c>
      <c r="J26" s="168">
        <v>1005.24</v>
      </c>
      <c r="K26" s="168" t="s">
        <v>355</v>
      </c>
      <c r="L26" s="168">
        <v>51.2</v>
      </c>
      <c r="M26" s="168">
        <v>1490248800</v>
      </c>
      <c r="N26" s="168">
        <v>10</v>
      </c>
      <c r="O26" s="168">
        <v>214</v>
      </c>
      <c r="P26" s="168">
        <v>4.1900000000000004</v>
      </c>
      <c r="Q26"/>
      <c r="R26"/>
    </row>
    <row r="27" spans="1:18" x14ac:dyDescent="0.25">
      <c r="A27" s="168">
        <v>51.07</v>
      </c>
      <c r="B27" s="168">
        <v>0.31</v>
      </c>
      <c r="C27" s="168">
        <v>31.06</v>
      </c>
      <c r="D27" s="8">
        <v>42817.041666666664</v>
      </c>
      <c r="E27" s="168">
        <v>0.46</v>
      </c>
      <c r="F27" s="168" t="s">
        <v>354</v>
      </c>
      <c r="G27" s="168">
        <v>275.39999999999998</v>
      </c>
      <c r="H27" s="168">
        <v>0</v>
      </c>
      <c r="I27" s="168">
        <v>0</v>
      </c>
      <c r="J27" s="168">
        <v>1005</v>
      </c>
      <c r="K27" s="168" t="s">
        <v>355</v>
      </c>
      <c r="L27" s="168">
        <v>51.07</v>
      </c>
      <c r="M27" s="168">
        <v>1490252400</v>
      </c>
      <c r="N27" s="168">
        <v>5.85</v>
      </c>
      <c r="O27" s="168">
        <v>196</v>
      </c>
      <c r="P27" s="168">
        <v>4.33</v>
      </c>
      <c r="Q27"/>
      <c r="R27"/>
    </row>
    <row r="28" spans="1:18" x14ac:dyDescent="0.25">
      <c r="A28" s="168">
        <v>51.16</v>
      </c>
      <c r="B28" s="168">
        <v>0.4</v>
      </c>
      <c r="C28" s="168">
        <v>30.41</v>
      </c>
      <c r="D28" s="8">
        <v>42817.083333333336</v>
      </c>
      <c r="E28" s="168">
        <v>0.45</v>
      </c>
      <c r="F28" s="168" t="s">
        <v>354</v>
      </c>
      <c r="G28" s="168">
        <v>276.04000000000002</v>
      </c>
      <c r="H28" s="168">
        <v>0</v>
      </c>
      <c r="I28" s="168">
        <v>0</v>
      </c>
      <c r="J28" s="168">
        <v>1004.71</v>
      </c>
      <c r="K28" s="168" t="s">
        <v>355</v>
      </c>
      <c r="L28" s="168">
        <v>51.16</v>
      </c>
      <c r="M28" s="168">
        <v>1490256000</v>
      </c>
      <c r="N28" s="168">
        <v>5.52</v>
      </c>
      <c r="O28" s="168">
        <v>176</v>
      </c>
      <c r="P28" s="168">
        <v>3.35</v>
      </c>
      <c r="Q28"/>
      <c r="R28"/>
    </row>
    <row r="29" spans="1:18" x14ac:dyDescent="0.25">
      <c r="A29" s="168">
        <v>51.05</v>
      </c>
      <c r="B29" s="168">
        <v>0.35</v>
      </c>
      <c r="C29" s="168">
        <v>32.659999999999997</v>
      </c>
      <c r="D29" s="8">
        <v>42817.125</v>
      </c>
      <c r="E29" s="168">
        <v>0.49</v>
      </c>
      <c r="F29" s="168" t="s">
        <v>354</v>
      </c>
      <c r="G29" s="168">
        <v>276.67</v>
      </c>
      <c r="H29" s="168">
        <v>0</v>
      </c>
      <c r="I29" s="168">
        <v>0</v>
      </c>
      <c r="J29" s="168">
        <v>1004.41</v>
      </c>
      <c r="K29" s="168" t="s">
        <v>355</v>
      </c>
      <c r="L29" s="168">
        <v>51.05</v>
      </c>
      <c r="M29" s="168">
        <v>1490259600</v>
      </c>
      <c r="N29" s="168">
        <v>4.08</v>
      </c>
      <c r="O29" s="168">
        <v>207</v>
      </c>
      <c r="P29" s="168">
        <v>2.93</v>
      </c>
      <c r="Q29"/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188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41"/>
  <sheetViews>
    <sheetView workbookViewId="0">
      <selection activeCell="M29" sqref="M29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68" bestFit="1" customWidth="1"/>
    <col min="14" max="17" width="9.140625" style="152"/>
    <col min="20" max="24" width="9.140625" style="168"/>
  </cols>
  <sheetData>
    <row r="1" spans="1:24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  <c r="T1" s="219" t="s">
        <v>369</v>
      </c>
      <c r="U1" s="219"/>
      <c r="V1" s="219"/>
      <c r="W1" s="219"/>
      <c r="X1" s="219"/>
    </row>
    <row r="2" spans="1:24" ht="15.75" thickBot="1" x14ac:dyDescent="0.3">
      <c r="A2" s="12">
        <v>42816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  <c r="T2" s="197" t="s">
        <v>370</v>
      </c>
      <c r="U2" s="197">
        <v>167</v>
      </c>
      <c r="V2" s="197">
        <v>168</v>
      </c>
      <c r="W2" s="197">
        <v>199</v>
      </c>
      <c r="X2" s="197">
        <v>200</v>
      </c>
    </row>
    <row r="3" spans="1:24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68">
        <f t="shared" ref="M3:M14" si="0">AVERAGE(K3:L3)</f>
        <v>2.7201</v>
      </c>
      <c r="O3" s="152" t="s">
        <v>103</v>
      </c>
      <c r="P3" s="152">
        <f>AVERAGE(1.0714,1.1016)</f>
        <v>1.0865</v>
      </c>
      <c r="T3" s="197" t="s">
        <v>382</v>
      </c>
      <c r="U3" s="197">
        <v>174</v>
      </c>
      <c r="V3" s="197">
        <v>176</v>
      </c>
      <c r="W3" s="197">
        <v>207</v>
      </c>
      <c r="X3" s="197">
        <v>210</v>
      </c>
    </row>
    <row r="4" spans="1:24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68">
        <f t="shared" si="0"/>
        <v>3.09</v>
      </c>
      <c r="T4" s="197" t="s">
        <v>383</v>
      </c>
      <c r="U4" s="197">
        <v>173</v>
      </c>
      <c r="V4" s="197">
        <v>175</v>
      </c>
      <c r="W4" s="197">
        <v>208</v>
      </c>
      <c r="X4" s="197">
        <v>209</v>
      </c>
    </row>
    <row r="5" spans="1:24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68">
        <f t="shared" si="0"/>
        <v>3.3196500000000002</v>
      </c>
      <c r="T5" s="197" t="s">
        <v>384</v>
      </c>
      <c r="U5" s="197">
        <v>187</v>
      </c>
      <c r="V5" s="197">
        <v>188</v>
      </c>
      <c r="W5" s="197">
        <v>223</v>
      </c>
      <c r="X5" s="197">
        <v>224</v>
      </c>
    </row>
    <row r="6" spans="1:24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68">
        <f t="shared" si="0"/>
        <v>4.2869999999999999</v>
      </c>
      <c r="T6" s="197"/>
      <c r="U6" s="197"/>
      <c r="V6" s="197"/>
      <c r="W6" s="197"/>
      <c r="X6" s="197"/>
    </row>
    <row r="7" spans="1:24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68">
        <f t="shared" si="0"/>
        <v>4.7956500000000002</v>
      </c>
      <c r="T7" s="197"/>
      <c r="U7" s="197"/>
      <c r="V7" s="197"/>
      <c r="W7" s="197"/>
      <c r="X7" s="197"/>
    </row>
    <row r="8" spans="1:24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68">
        <f t="shared" si="0"/>
        <v>5.3216000000000001</v>
      </c>
      <c r="T8" s="197"/>
      <c r="U8" s="197"/>
      <c r="V8" s="197"/>
      <c r="W8" s="197"/>
      <c r="X8" s="197"/>
    </row>
    <row r="9" spans="1:24" x14ac:dyDescent="0.25">
      <c r="C9" s="64"/>
      <c r="J9" s="160" t="s">
        <v>74</v>
      </c>
      <c r="K9" s="161">
        <v>5.8117000000000001</v>
      </c>
      <c r="L9" s="161">
        <v>5.8300999999999998</v>
      </c>
      <c r="M9" s="168">
        <f t="shared" si="0"/>
        <v>5.8209</v>
      </c>
      <c r="T9" s="197"/>
      <c r="U9" s="197"/>
      <c r="V9" s="197"/>
      <c r="W9" s="197"/>
      <c r="X9" s="197"/>
    </row>
    <row r="10" spans="1:24" x14ac:dyDescent="0.25">
      <c r="C10" s="64"/>
      <c r="J10" s="160" t="s">
        <v>75</v>
      </c>
      <c r="K10" s="161">
        <v>5.8783000000000003</v>
      </c>
      <c r="L10" s="161">
        <v>5.8903999999999996</v>
      </c>
      <c r="M10" s="168">
        <f t="shared" si="0"/>
        <v>5.8843499999999995</v>
      </c>
      <c r="T10" s="197"/>
      <c r="U10" s="197"/>
      <c r="V10" s="197"/>
      <c r="W10" s="197"/>
      <c r="X10" s="197"/>
    </row>
    <row r="11" spans="1:24" x14ac:dyDescent="0.25">
      <c r="C11" s="64"/>
      <c r="J11" s="160" t="s">
        <v>76</v>
      </c>
      <c r="K11" s="161">
        <v>6.3068</v>
      </c>
      <c r="L11" s="161">
        <v>6.3308999999999997</v>
      </c>
      <c r="M11" s="168">
        <f t="shared" si="0"/>
        <v>6.3188499999999994</v>
      </c>
      <c r="T11" s="197"/>
      <c r="U11" s="197"/>
      <c r="V11" s="197"/>
      <c r="W11" s="197"/>
      <c r="X11" s="197"/>
    </row>
    <row r="12" spans="1:24" x14ac:dyDescent="0.25">
      <c r="C12" s="64"/>
      <c r="J12" s="160" t="s">
        <v>77</v>
      </c>
      <c r="K12" s="161">
        <v>7.8349000000000002</v>
      </c>
      <c r="L12" s="161">
        <v>7.8468999999999998</v>
      </c>
      <c r="M12" s="168">
        <f t="shared" si="0"/>
        <v>7.8408999999999995</v>
      </c>
      <c r="T12" s="197"/>
      <c r="U12" s="197"/>
      <c r="V12" s="197"/>
      <c r="W12" s="197"/>
      <c r="X12" s="197"/>
    </row>
    <row r="13" spans="1:24" x14ac:dyDescent="0.25">
      <c r="C13" s="64"/>
      <c r="J13" s="160" t="s">
        <v>78</v>
      </c>
      <c r="K13" s="161">
        <v>10.373799999999999</v>
      </c>
      <c r="L13" s="161">
        <v>10.38</v>
      </c>
      <c r="M13" s="168">
        <f t="shared" si="0"/>
        <v>10.376899999999999</v>
      </c>
      <c r="T13" s="197"/>
      <c r="U13" s="197"/>
      <c r="V13" s="197"/>
      <c r="W13" s="197"/>
      <c r="X13" s="197"/>
    </row>
    <row r="14" spans="1:24" x14ac:dyDescent="0.25">
      <c r="C14" s="64"/>
      <c r="J14" s="160" t="s">
        <v>79</v>
      </c>
      <c r="K14" s="161">
        <v>10.8954</v>
      </c>
      <c r="L14" s="161">
        <v>10.913500000000001</v>
      </c>
      <c r="M14" s="168">
        <f t="shared" si="0"/>
        <v>10.904450000000001</v>
      </c>
      <c r="T14" s="197"/>
      <c r="U14" s="197"/>
      <c r="V14" s="197"/>
      <c r="W14" s="197"/>
      <c r="X14" s="197"/>
    </row>
    <row r="15" spans="1:24" x14ac:dyDescent="0.25">
      <c r="C15" s="64"/>
      <c r="J15" s="160"/>
      <c r="K15" s="161"/>
      <c r="L15" s="161"/>
      <c r="T15" s="197"/>
      <c r="U15" s="197"/>
      <c r="V15" s="197"/>
      <c r="W15" s="197"/>
      <c r="X15" s="197"/>
    </row>
    <row r="16" spans="1:24" x14ac:dyDescent="0.25">
      <c r="C16" s="64"/>
      <c r="J16" s="160"/>
      <c r="K16" s="161"/>
      <c r="L16" s="161"/>
      <c r="T16" s="197"/>
      <c r="U16" s="197"/>
      <c r="V16" s="197"/>
      <c r="W16" s="197"/>
      <c r="X16" s="197"/>
    </row>
    <row r="17" spans="3:24" x14ac:dyDescent="0.25">
      <c r="C17" s="149" t="s">
        <v>189</v>
      </c>
      <c r="J17" s="160"/>
      <c r="K17" s="161"/>
      <c r="L17" s="161"/>
      <c r="T17" s="197"/>
      <c r="U17" s="197"/>
      <c r="V17" s="197"/>
      <c r="W17" s="197"/>
      <c r="X17" s="197"/>
    </row>
    <row r="18" spans="3:24" x14ac:dyDescent="0.25">
      <c r="C18" t="s">
        <v>1021</v>
      </c>
      <c r="J18" s="160" t="s">
        <v>85</v>
      </c>
      <c r="K18" s="161"/>
      <c r="L18" s="161"/>
      <c r="M18" s="168" t="str">
        <f>"""C:\Program Files (x86)\AstroGrep\AstroGrep.exe"""</f>
        <v>"C:\Program Files (x86)\AstroGrep\AstroGrep.exe"</v>
      </c>
      <c r="T18" s="197"/>
      <c r="U18" s="197"/>
      <c r="V18" s="197"/>
      <c r="W18" s="197"/>
      <c r="X18" s="197"/>
    </row>
    <row r="19" spans="3:24" x14ac:dyDescent="0.25">
      <c r="C19" t="s">
        <v>1022</v>
      </c>
      <c r="J19" s="160" t="s">
        <v>86</v>
      </c>
      <c r="K19" s="161"/>
      <c r="L19" s="161"/>
      <c r="M19" s="168" t="s">
        <v>112</v>
      </c>
      <c r="T19" s="197"/>
      <c r="U19" s="197"/>
      <c r="V19" s="197"/>
      <c r="W19" s="197"/>
      <c r="X19" s="197"/>
    </row>
    <row r="20" spans="3:24" x14ac:dyDescent="0.25">
      <c r="C20" t="s">
        <v>1023</v>
      </c>
      <c r="J20" s="152" t="s">
        <v>87</v>
      </c>
      <c r="M20" s="168" t="s">
        <v>361</v>
      </c>
      <c r="N20" s="168" t="s">
        <v>361</v>
      </c>
      <c r="T20" s="197"/>
      <c r="U20" s="197"/>
      <c r="V20" s="197"/>
      <c r="W20" s="197"/>
      <c r="X20" s="197"/>
    </row>
    <row r="21" spans="3:24" x14ac:dyDescent="0.25">
      <c r="C21" t="s">
        <v>1024</v>
      </c>
      <c r="J21" s="152" t="s">
        <v>90</v>
      </c>
      <c r="K21" s="152" t="s">
        <v>91</v>
      </c>
      <c r="M21" s="168" t="s">
        <v>178</v>
      </c>
      <c r="T21" s="197"/>
      <c r="U21" s="197"/>
      <c r="V21" s="197"/>
      <c r="W21" s="197"/>
      <c r="X21" s="197"/>
    </row>
    <row r="22" spans="3:24" x14ac:dyDescent="0.25">
      <c r="C22" t="s">
        <v>1025</v>
      </c>
      <c r="J22" s="152" t="s">
        <v>92</v>
      </c>
      <c r="K22" s="152" t="s">
        <v>93</v>
      </c>
      <c r="M22" s="168" t="s">
        <v>111</v>
      </c>
      <c r="T22" s="197"/>
      <c r="U22" s="197"/>
      <c r="V22" s="197"/>
      <c r="W22" s="197"/>
      <c r="X22" s="197"/>
    </row>
    <row r="23" spans="3:24" x14ac:dyDescent="0.25">
      <c r="C23" t="s">
        <v>1026</v>
      </c>
      <c r="J23" s="162" t="s">
        <v>95</v>
      </c>
      <c r="M23" s="168" t="str">
        <f>"-06"</f>
        <v>-06</v>
      </c>
      <c r="T23" s="197"/>
      <c r="U23" s="197"/>
      <c r="V23" s="197"/>
      <c r="W23" s="197"/>
      <c r="X23" s="197"/>
    </row>
    <row r="24" spans="3:24" x14ac:dyDescent="0.25">
      <c r="C24" t="s">
        <v>1027</v>
      </c>
      <c r="J24" s="152" t="s">
        <v>108</v>
      </c>
      <c r="M24" s="168" t="s">
        <v>110</v>
      </c>
      <c r="T24" s="197"/>
      <c r="U24" s="197"/>
      <c r="V24" s="197"/>
      <c r="W24" s="197"/>
      <c r="X24" s="197"/>
    </row>
    <row r="25" spans="3:24" x14ac:dyDescent="0.25">
      <c r="C25" t="s">
        <v>1028</v>
      </c>
      <c r="J25" s="152" t="s">
        <v>150</v>
      </c>
      <c r="M25" s="168" t="b">
        <v>1</v>
      </c>
    </row>
    <row r="26" spans="3:24" x14ac:dyDescent="0.25">
      <c r="C26" t="s">
        <v>1029</v>
      </c>
      <c r="J26" s="152" t="s">
        <v>151</v>
      </c>
      <c r="M26" s="168" t="str">
        <f>"C:\Users\stu\Documents\GitHub\eaglep3-reporting\EC\"&amp;TEXT(A2,"yyyy-mm-dd")&amp;"-refined-times.txt"</f>
        <v>C:\Users\stu\Documents\GitHub\eaglep3-reporting\EC\2017-03-22-refined-times.txt</v>
      </c>
    </row>
    <row r="27" spans="3:24" x14ac:dyDescent="0.25">
      <c r="C27" t="s">
        <v>1030</v>
      </c>
      <c r="J27" s="152" t="s">
        <v>180</v>
      </c>
      <c r="M27" s="168" t="str">
        <f>"C:\Users\stu\Documents\GitHub\eaglep3-reporting\EC\"&amp;TEXT(A2,"YYYY-MM-DD")&amp;"-Enforcements.txt"</f>
        <v>C:\Users\stu\Documents\GitHub\eaglep3-reporting\EC\2017-03-22-Enforcements.txt</v>
      </c>
    </row>
    <row r="28" spans="3:24" x14ac:dyDescent="0.25">
      <c r="C28" t="s">
        <v>1031</v>
      </c>
      <c r="J28" s="152" t="s">
        <v>181</v>
      </c>
      <c r="M28" s="168" t="str">
        <f>"C:\Users\stu\Documents\GitHub\eaglep3-reporting\EC\"&amp;TEXT(A2,"YYYY-MM-DD")&amp;"-Runs-refined.txt"</f>
        <v>C:\Users\stu\Documents\GitHub\eaglep3-reporting\EC\2017-03-22-Runs-refined.txt</v>
      </c>
    </row>
    <row r="29" spans="3:24" x14ac:dyDescent="0.25">
      <c r="C29" t="s">
        <v>1032</v>
      </c>
      <c r="J29" s="152" t="s">
        <v>182</v>
      </c>
      <c r="M29" s="168" t="str">
        <f>"C:\Users\stu\Documents\GitHub\eaglep3-reporting\EC\"&amp;TEXT(A2,"YYYY-MM-DD")&amp;"-Trips.txt"</f>
        <v>C:\Users\stu\Documents\GitHub\eaglep3-reporting\EC\2017-03-22-Trips.txt</v>
      </c>
    </row>
    <row r="30" spans="3:24" x14ac:dyDescent="0.25">
      <c r="C30" t="s">
        <v>1033</v>
      </c>
      <c r="J30" s="152" t="s">
        <v>183</v>
      </c>
      <c r="M30" s="168" t="str">
        <f>"C:\Users\stu\Documents\GitHub\eaglep3-reporting\EC\"&amp;TEXT(A2,"YYYY-MM-DD")&amp;"-Weather.txt"</f>
        <v>C:\Users\stu\Documents\GitHub\eaglep3-reporting\EC\2017-03-22-Weather.txt</v>
      </c>
    </row>
    <row r="31" spans="3:24" x14ac:dyDescent="0.25">
      <c r="C31" t="s">
        <v>1034</v>
      </c>
      <c r="J31" s="152" t="s">
        <v>203</v>
      </c>
      <c r="M31" s="168" t="s">
        <v>204</v>
      </c>
    </row>
    <row r="32" spans="3:24" x14ac:dyDescent="0.25">
      <c r="C32" t="s">
        <v>1035</v>
      </c>
    </row>
    <row r="33" spans="3:3" x14ac:dyDescent="0.25">
      <c r="C33" t="s">
        <v>1036</v>
      </c>
    </row>
    <row r="34" spans="3:3" x14ac:dyDescent="0.25">
      <c r="C34" t="s">
        <v>1037</v>
      </c>
    </row>
    <row r="35" spans="3:3" x14ac:dyDescent="0.25">
      <c r="C35" t="s">
        <v>1038</v>
      </c>
    </row>
    <row r="36" spans="3:3" x14ac:dyDescent="0.25">
      <c r="C36" t="s">
        <v>1039</v>
      </c>
    </row>
    <row r="37" spans="3:3" x14ac:dyDescent="0.25">
      <c r="C37" t="s">
        <v>1040</v>
      </c>
    </row>
    <row r="38" spans="3:3" x14ac:dyDescent="0.25">
      <c r="C38" t="s">
        <v>1041</v>
      </c>
    </row>
    <row r="39" spans="3:3" x14ac:dyDescent="0.25">
      <c r="C39" t="s">
        <v>1042</v>
      </c>
    </row>
    <row r="40" spans="3:3" x14ac:dyDescent="0.25">
      <c r="C40" t="s">
        <v>1043</v>
      </c>
    </row>
    <row r="41" spans="3:3" x14ac:dyDescent="0.25">
      <c r="C41" t="s">
        <v>1044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190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224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225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226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227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228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229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230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231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232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233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234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235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236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237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238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239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240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241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242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243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244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245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246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247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248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249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250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251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252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253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254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255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256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257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258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259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260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261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262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263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264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265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266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267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268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269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270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271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272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273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274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275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276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277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278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279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280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281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282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283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284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285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286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287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288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289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290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291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292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293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294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295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296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297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298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299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300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301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302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303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304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305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306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307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308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309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310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311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312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313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314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315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316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317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318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319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320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321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322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323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324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325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326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327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328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329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330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331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332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333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334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335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336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337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338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339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340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341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342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343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344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345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346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347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348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349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350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351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352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353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size="30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2017-03-28T15:31:10Z</dcterms:modified>
</cp:coreProperties>
</file>