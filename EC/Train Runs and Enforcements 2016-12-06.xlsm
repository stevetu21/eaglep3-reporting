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9" i="1" l="1"/>
  <c r="X160" i="1"/>
  <c r="X161" i="1"/>
  <c r="X162" i="1"/>
  <c r="M28" i="5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S17" i="3" s="1"/>
  <c r="Y17" i="1"/>
  <c r="Z17" i="1"/>
  <c r="AB17" i="1"/>
  <c r="AC17" i="1"/>
  <c r="AD17" i="1"/>
  <c r="T17" i="1" s="1"/>
  <c r="AE17" i="1"/>
  <c r="R17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R18" i="3" s="1"/>
  <c r="AF25" i="1"/>
  <c r="AH25" i="1"/>
  <c r="K26" i="1"/>
  <c r="L26" i="1"/>
  <c r="M26" i="1"/>
  <c r="N26" i="1" s="1"/>
  <c r="V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S11" i="3" s="1"/>
  <c r="Y27" i="1"/>
  <c r="Z27" i="1"/>
  <c r="AB27" i="1"/>
  <c r="AC27" i="1"/>
  <c r="AD27" i="1"/>
  <c r="T27" i="1" s="1"/>
  <c r="AE27" i="1"/>
  <c r="R12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K31" i="1"/>
  <c r="L31" i="1"/>
  <c r="M31" i="1"/>
  <c r="N31" i="1" s="1"/>
  <c r="V31" i="1"/>
  <c r="S10" i="3" s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T34" i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S22" i="3" s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I42" i="1"/>
  <c r="K43" i="1"/>
  <c r="L43" i="1"/>
  <c r="M43" i="1"/>
  <c r="N43" i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R19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P63" i="1" s="1"/>
  <c r="V63" i="1"/>
  <c r="Y63" i="1"/>
  <c r="Z63" i="1"/>
  <c r="AA63" i="1" s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P65" i="1" s="1"/>
  <c r="V65" i="1"/>
  <c r="Y65" i="1"/>
  <c r="Z65" i="1"/>
  <c r="AA65" i="1" s="1"/>
  <c r="AB65" i="1"/>
  <c r="AC65" i="1"/>
  <c r="AD65" i="1"/>
  <c r="T65" i="1" s="1"/>
  <c r="AE65" i="1"/>
  <c r="AF65" i="1"/>
  <c r="AH65" i="1"/>
  <c r="K66" i="1"/>
  <c r="L66" i="1"/>
  <c r="M66" i="1"/>
  <c r="V66" i="1"/>
  <c r="S15" i="3" s="1"/>
  <c r="Y66" i="1"/>
  <c r="Z66" i="1"/>
  <c r="AA66" i="1" s="1"/>
  <c r="AB66" i="1"/>
  <c r="AC66" i="1"/>
  <c r="AD66" i="1"/>
  <c r="T66" i="1" s="1"/>
  <c r="AE66" i="1"/>
  <c r="R7" i="3" s="1"/>
  <c r="AF66" i="1"/>
  <c r="AH66" i="1"/>
  <c r="K67" i="1"/>
  <c r="L67" i="1"/>
  <c r="M67" i="1"/>
  <c r="V67" i="1"/>
  <c r="Y67" i="1"/>
  <c r="Z67" i="1"/>
  <c r="AA67" i="1" s="1"/>
  <c r="AB67" i="1"/>
  <c r="AC67" i="1"/>
  <c r="AD67" i="1"/>
  <c r="T67" i="1" s="1"/>
  <c r="AE67" i="1"/>
  <c r="AF67" i="1"/>
  <c r="AH67" i="1"/>
  <c r="K68" i="1"/>
  <c r="L68" i="1"/>
  <c r="M68" i="1"/>
  <c r="P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S25" i="3" s="1"/>
  <c r="Y71" i="1"/>
  <c r="Z71" i="1"/>
  <c r="AA71" i="1" s="1"/>
  <c r="AB71" i="1"/>
  <c r="AC71" i="1"/>
  <c r="AD71" i="1"/>
  <c r="T71" i="1" s="1"/>
  <c r="AE71" i="1"/>
  <c r="AF71" i="1"/>
  <c r="AH71" i="1"/>
  <c r="K72" i="1"/>
  <c r="L72" i="1"/>
  <c r="M72" i="1"/>
  <c r="N72" i="1" s="1"/>
  <c r="T72" i="1"/>
  <c r="V72" i="1"/>
  <c r="Y72" i="1"/>
  <c r="Z72" i="1"/>
  <c r="AA72" i="1" s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X73" i="1"/>
  <c r="Y73" i="1"/>
  <c r="Z73" i="1"/>
  <c r="AB73" i="1"/>
  <c r="AC73" i="1"/>
  <c r="AD73" i="1"/>
  <c r="T73" i="1" s="1"/>
  <c r="AE73" i="1"/>
  <c r="AF73" i="1"/>
  <c r="AG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V77" i="1"/>
  <c r="Y77" i="1"/>
  <c r="Z77" i="1"/>
  <c r="AA77" i="1" s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T79" i="1"/>
  <c r="V79" i="1"/>
  <c r="Y79" i="1"/>
  <c r="Z79" i="1"/>
  <c r="AA79" i="1" s="1"/>
  <c r="AB79" i="1"/>
  <c r="AC79" i="1"/>
  <c r="AD79" i="1"/>
  <c r="AE79" i="1"/>
  <c r="AF79" i="1"/>
  <c r="AG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V86" i="1"/>
  <c r="Y86" i="1"/>
  <c r="Z86" i="1"/>
  <c r="AB86" i="1"/>
  <c r="AC86" i="1"/>
  <c r="AD86" i="1"/>
  <c r="AE86" i="1"/>
  <c r="AF86" i="1"/>
  <c r="AH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S23" i="3" s="1"/>
  <c r="Y88" i="1"/>
  <c r="Z88" i="1"/>
  <c r="AB88" i="1"/>
  <c r="AC88" i="1"/>
  <c r="AD88" i="1"/>
  <c r="T88" i="1" s="1"/>
  <c r="AE88" i="1"/>
  <c r="R23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A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K98" i="1"/>
  <c r="L98" i="1"/>
  <c r="M98" i="1"/>
  <c r="N98" i="1" s="1"/>
  <c r="T98" i="1"/>
  <c r="V98" i="1"/>
  <c r="X98" i="1"/>
  <c r="Y98" i="1"/>
  <c r="Z98" i="1"/>
  <c r="AB98" i="1"/>
  <c r="AC98" i="1"/>
  <c r="AD98" i="1"/>
  <c r="AE98" i="1"/>
  <c r="AF98" i="1"/>
  <c r="AG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I107" i="1" s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I111" i="1" s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T114" i="1"/>
  <c r="V114" i="1"/>
  <c r="S20" i="3" s="1"/>
  <c r="Y114" i="1"/>
  <c r="Z114" i="1"/>
  <c r="AB114" i="1"/>
  <c r="AC114" i="1"/>
  <c r="AD114" i="1"/>
  <c r="X114" i="1" s="1"/>
  <c r="AE114" i="1"/>
  <c r="R20" i="3" s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R16" i="3" s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X126" i="1"/>
  <c r="Y126" i="1"/>
  <c r="Z126" i="1"/>
  <c r="AB126" i="1"/>
  <c r="AC126" i="1"/>
  <c r="AD126" i="1"/>
  <c r="T126" i="1" s="1"/>
  <c r="AE126" i="1"/>
  <c r="AF126" i="1"/>
  <c r="AG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R13" i="3" s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21" i="3" s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S29" i="3" s="1"/>
  <c r="Y149" i="1"/>
  <c r="Z149" i="1"/>
  <c r="AB149" i="1"/>
  <c r="AC149" i="1"/>
  <c r="AD149" i="1"/>
  <c r="AE149" i="1"/>
  <c r="R29" i="3" s="1"/>
  <c r="AF149" i="1"/>
  <c r="AH149" i="1"/>
  <c r="K150" i="1"/>
  <c r="L150" i="1"/>
  <c r="M150" i="1"/>
  <c r="N150" i="1" s="1"/>
  <c r="V150" i="1"/>
  <c r="S8" i="3" s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K201" i="1"/>
  <c r="L201" i="1"/>
  <c r="M201" i="1"/>
  <c r="N201" i="1" s="1"/>
  <c r="V201" i="1"/>
  <c r="S44" i="3" s="1"/>
  <c r="Y201" i="1"/>
  <c r="Z201" i="1"/>
  <c r="AB201" i="1"/>
  <c r="AC201" i="1"/>
  <c r="AD201" i="1"/>
  <c r="AE201" i="1"/>
  <c r="AF201" i="1"/>
  <c r="AH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S45" i="3" s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K208" i="1"/>
  <c r="L208" i="1"/>
  <c r="M208" i="1"/>
  <c r="N208" i="1" s="1"/>
  <c r="T208" i="1"/>
  <c r="V208" i="1"/>
  <c r="Y208" i="1"/>
  <c r="Z208" i="1"/>
  <c r="AB208" i="1"/>
  <c r="AC208" i="1"/>
  <c r="AD208" i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K217" i="1"/>
  <c r="L217" i="1"/>
  <c r="M217" i="1"/>
  <c r="N217" i="1" s="1"/>
  <c r="V217" i="1"/>
  <c r="S46" i="3" s="1"/>
  <c r="Y217" i="1"/>
  <c r="Z217" i="1"/>
  <c r="AB217" i="1"/>
  <c r="AC217" i="1"/>
  <c r="AD217" i="1"/>
  <c r="AE217" i="1"/>
  <c r="R46" i="3" s="1"/>
  <c r="AF217" i="1"/>
  <c r="AH164" i="1"/>
  <c r="K218" i="1"/>
  <c r="L218" i="1"/>
  <c r="M218" i="1"/>
  <c r="N218" i="1" s="1"/>
  <c r="T218" i="1"/>
  <c r="V218" i="1"/>
  <c r="Y218" i="1"/>
  <c r="Z218" i="1"/>
  <c r="AB218" i="1"/>
  <c r="AC218" i="1"/>
  <c r="AD218" i="1"/>
  <c r="AE218" i="1"/>
  <c r="AF218" i="1"/>
  <c r="AH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74" i="1"/>
  <c r="K155" i="1"/>
  <c r="L155" i="1"/>
  <c r="M155" i="1"/>
  <c r="N155" i="1" s="1"/>
  <c r="V155" i="1"/>
  <c r="Z155" i="1"/>
  <c r="AA155" i="1" s="1"/>
  <c r="AB155" i="1"/>
  <c r="AC155" i="1"/>
  <c r="AD155" i="1"/>
  <c r="T155" i="1" s="1"/>
  <c r="AE155" i="1"/>
  <c r="AF155" i="1"/>
  <c r="AH17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76" i="1"/>
  <c r="K157" i="1"/>
  <c r="L157" i="1"/>
  <c r="M157" i="1"/>
  <c r="N157" i="1" s="1"/>
  <c r="T157" i="1"/>
  <c r="V157" i="1"/>
  <c r="Y157" i="1"/>
  <c r="Z157" i="1"/>
  <c r="AA157" i="1" s="1"/>
  <c r="AB157" i="1"/>
  <c r="AC157" i="1"/>
  <c r="AD157" i="1"/>
  <c r="AE157" i="1"/>
  <c r="AF157" i="1"/>
  <c r="AH177" i="1"/>
  <c r="K158" i="1"/>
  <c r="L158" i="1"/>
  <c r="M158" i="1"/>
  <c r="N158" i="1" s="1"/>
  <c r="V158" i="1"/>
  <c r="S37" i="3" s="1"/>
  <c r="Y158" i="1"/>
  <c r="Z158" i="1"/>
  <c r="AA158" i="1" s="1"/>
  <c r="AB158" i="1"/>
  <c r="AC158" i="1"/>
  <c r="AD158" i="1"/>
  <c r="T158" i="1" s="1"/>
  <c r="AE158" i="1"/>
  <c r="R38" i="3" s="1"/>
  <c r="AF158" i="1"/>
  <c r="AH178" i="1"/>
  <c r="AH17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1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2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3" i="1"/>
  <c r="K163" i="1"/>
  <c r="L163" i="1"/>
  <c r="M163" i="1"/>
  <c r="N163" i="1" s="1"/>
  <c r="V163" i="1"/>
  <c r="Y163" i="1"/>
  <c r="Z163" i="1"/>
  <c r="AB163" i="1"/>
  <c r="AC163" i="1"/>
  <c r="AD163" i="1"/>
  <c r="AE163" i="1"/>
  <c r="R43" i="3" s="1"/>
  <c r="AF163" i="1"/>
  <c r="AH18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39" i="3" s="1"/>
  <c r="AF164" i="1"/>
  <c r="AH18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6" i="1"/>
  <c r="K166" i="1"/>
  <c r="L166" i="1"/>
  <c r="M166" i="1"/>
  <c r="N166" i="1" s="1"/>
  <c r="V166" i="1"/>
  <c r="S32" i="3" s="1"/>
  <c r="Y166" i="1"/>
  <c r="Z166" i="1"/>
  <c r="AB166" i="1"/>
  <c r="AC166" i="1"/>
  <c r="AD166" i="1"/>
  <c r="T166" i="1" s="1"/>
  <c r="AE166" i="1"/>
  <c r="AF166" i="1"/>
  <c r="AH187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88" i="1"/>
  <c r="K168" i="1"/>
  <c r="L168" i="1"/>
  <c r="M168" i="1"/>
  <c r="N168" i="1" s="1"/>
  <c r="V168" i="1"/>
  <c r="S40" i="3" s="1"/>
  <c r="Y168" i="1"/>
  <c r="Z168" i="1"/>
  <c r="AB168" i="1"/>
  <c r="AC168" i="1"/>
  <c r="AD168" i="1"/>
  <c r="T168" i="1" s="1"/>
  <c r="AE168" i="1"/>
  <c r="R40" i="3" s="1"/>
  <c r="AF168" i="1"/>
  <c r="AH189" i="1"/>
  <c r="K169" i="1"/>
  <c r="L169" i="1"/>
  <c r="M169" i="1"/>
  <c r="N169" i="1"/>
  <c r="V169" i="1"/>
  <c r="S35" i="3" s="1"/>
  <c r="Y169" i="1"/>
  <c r="Z169" i="1"/>
  <c r="AB169" i="1"/>
  <c r="AC169" i="1"/>
  <c r="AD169" i="1"/>
  <c r="T169" i="1" s="1"/>
  <c r="AE169" i="1"/>
  <c r="AF169" i="1"/>
  <c r="AH19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2" i="1"/>
  <c r="K172" i="1"/>
  <c r="L172" i="1"/>
  <c r="M172" i="1"/>
  <c r="N172" i="1" s="1"/>
  <c r="V172" i="1"/>
  <c r="S33" i="3" s="1"/>
  <c r="Y172" i="1"/>
  <c r="Z172" i="1"/>
  <c r="AB172" i="1"/>
  <c r="AC172" i="1"/>
  <c r="AD172" i="1"/>
  <c r="T172" i="1" s="1"/>
  <c r="AE172" i="1"/>
  <c r="AF172" i="1"/>
  <c r="AH19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6" i="1"/>
  <c r="K176" i="1"/>
  <c r="L176" i="1"/>
  <c r="M176" i="1"/>
  <c r="N176" i="1" s="1"/>
  <c r="V176" i="1"/>
  <c r="S36" i="3" s="1"/>
  <c r="Y176" i="1"/>
  <c r="Z176" i="1"/>
  <c r="AB176" i="1"/>
  <c r="AC176" i="1"/>
  <c r="AD176" i="1"/>
  <c r="AE176" i="1"/>
  <c r="R36" i="3" s="1"/>
  <c r="AF176" i="1"/>
  <c r="AH197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K185" i="1"/>
  <c r="L185" i="1"/>
  <c r="M185" i="1"/>
  <c r="N185" i="1" s="1"/>
  <c r="V185" i="1"/>
  <c r="S31" i="3" s="1"/>
  <c r="Y185" i="1"/>
  <c r="Z185" i="1"/>
  <c r="AB185" i="1"/>
  <c r="AC185" i="1"/>
  <c r="AD185" i="1"/>
  <c r="T185" i="1" s="1"/>
  <c r="AE185" i="1"/>
  <c r="R31" i="3" s="1"/>
  <c r="AF185" i="1"/>
  <c r="AH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2" i="1"/>
  <c r="K192" i="1"/>
  <c r="L192" i="1"/>
  <c r="M192" i="1"/>
  <c r="N192" i="1" s="1"/>
  <c r="V192" i="1"/>
  <c r="Y192" i="1"/>
  <c r="AA192" i="1" s="1"/>
  <c r="Z192" i="1"/>
  <c r="AB192" i="1"/>
  <c r="AC192" i="1"/>
  <c r="AD192" i="1"/>
  <c r="T192" i="1" s="1"/>
  <c r="AE192" i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4" i="1"/>
  <c r="K194" i="1"/>
  <c r="L194" i="1"/>
  <c r="M194" i="1"/>
  <c r="N194" i="1" s="1"/>
  <c r="V194" i="1"/>
  <c r="S41" i="3" s="1"/>
  <c r="Y194" i="1"/>
  <c r="Z194" i="1"/>
  <c r="AB194" i="1"/>
  <c r="AC194" i="1"/>
  <c r="AD194" i="1"/>
  <c r="AE194" i="1"/>
  <c r="AF194" i="1"/>
  <c r="AH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8" i="1"/>
  <c r="K198" i="1"/>
  <c r="L198" i="1"/>
  <c r="M198" i="1"/>
  <c r="N198" i="1" s="1"/>
  <c r="V198" i="1"/>
  <c r="S42" i="3" s="1"/>
  <c r="Y198" i="1"/>
  <c r="Z198" i="1"/>
  <c r="AB198" i="1"/>
  <c r="AC198" i="1"/>
  <c r="AD198" i="1"/>
  <c r="T198" i="1" s="1"/>
  <c r="AE198" i="1"/>
  <c r="R42" i="3" s="1"/>
  <c r="AF198" i="1"/>
  <c r="AH21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22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2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24" i="1"/>
  <c r="K215" i="1"/>
  <c r="L215" i="1"/>
  <c r="M215" i="1"/>
  <c r="N215" i="1" s="1"/>
  <c r="V215" i="1"/>
  <c r="S47" i="3" s="1"/>
  <c r="Y215" i="1"/>
  <c r="Z215" i="1"/>
  <c r="AB215" i="1"/>
  <c r="AC215" i="1"/>
  <c r="AD215" i="1"/>
  <c r="T215" i="1" s="1"/>
  <c r="AE215" i="1"/>
  <c r="AF215" i="1"/>
  <c r="AH22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6" i="1"/>
  <c r="M17" i="3"/>
  <c r="U17" i="3"/>
  <c r="T17" i="3" s="1"/>
  <c r="V17" i="3"/>
  <c r="W17" i="3"/>
  <c r="Y17" i="3" s="1"/>
  <c r="X17" i="3"/>
  <c r="M37" i="3"/>
  <c r="R37" i="3"/>
  <c r="U37" i="3"/>
  <c r="T37" i="3" s="1"/>
  <c r="V37" i="3"/>
  <c r="W37" i="3"/>
  <c r="X37" i="3"/>
  <c r="AC37" i="3"/>
  <c r="M38" i="3"/>
  <c r="U38" i="3"/>
  <c r="T38" i="3" s="1"/>
  <c r="V38" i="3"/>
  <c r="W38" i="3"/>
  <c r="X38" i="3"/>
  <c r="AC38" i="3"/>
  <c r="M18" i="3"/>
  <c r="S18" i="3"/>
  <c r="U18" i="3"/>
  <c r="T18" i="3" s="1"/>
  <c r="V18" i="3"/>
  <c r="W18" i="3"/>
  <c r="X18" i="3"/>
  <c r="M12" i="3"/>
  <c r="S12" i="3"/>
  <c r="U12" i="3"/>
  <c r="T12" i="3" s="1"/>
  <c r="V12" i="3"/>
  <c r="W12" i="3"/>
  <c r="X12" i="3"/>
  <c r="AC12" i="3"/>
  <c r="M11" i="3"/>
  <c r="U11" i="3"/>
  <c r="T11" i="3" s="1"/>
  <c r="V11" i="3"/>
  <c r="W11" i="3"/>
  <c r="X11" i="3"/>
  <c r="AC11" i="3"/>
  <c r="M10" i="3"/>
  <c r="R10" i="3"/>
  <c r="U10" i="3"/>
  <c r="T10" i="3" s="1"/>
  <c r="V10" i="3"/>
  <c r="W10" i="3"/>
  <c r="X10" i="3"/>
  <c r="AC10" i="3"/>
  <c r="M43" i="3"/>
  <c r="S43" i="3"/>
  <c r="U43" i="3"/>
  <c r="T43" i="3" s="1"/>
  <c r="V43" i="3"/>
  <c r="W43" i="3"/>
  <c r="X43" i="3"/>
  <c r="AC43" i="3"/>
  <c r="M24" i="3"/>
  <c r="R24" i="3"/>
  <c r="S24" i="3"/>
  <c r="U24" i="3"/>
  <c r="T24" i="3" s="1"/>
  <c r="V24" i="3"/>
  <c r="W24" i="3"/>
  <c r="X24" i="3"/>
  <c r="AC24" i="3"/>
  <c r="M39" i="3"/>
  <c r="S39" i="3"/>
  <c r="U39" i="3"/>
  <c r="T39" i="3" s="1"/>
  <c r="V39" i="3"/>
  <c r="W39" i="3"/>
  <c r="Y39" i="3" s="1"/>
  <c r="X39" i="3"/>
  <c r="AC39" i="3"/>
  <c r="M34" i="3"/>
  <c r="S34" i="3"/>
  <c r="U34" i="3"/>
  <c r="T34" i="3" s="1"/>
  <c r="V34" i="3"/>
  <c r="W34" i="3"/>
  <c r="X34" i="3"/>
  <c r="AC34" i="3"/>
  <c r="M22" i="3"/>
  <c r="R22" i="3"/>
  <c r="U22" i="3"/>
  <c r="T22" i="3" s="1"/>
  <c r="V22" i="3"/>
  <c r="W22" i="3"/>
  <c r="X22" i="3"/>
  <c r="AC22" i="3"/>
  <c r="M32" i="3"/>
  <c r="U32" i="3"/>
  <c r="T32" i="3" s="1"/>
  <c r="V32" i="3"/>
  <c r="W32" i="3"/>
  <c r="X32" i="3"/>
  <c r="AC32" i="3"/>
  <c r="M40" i="3"/>
  <c r="U40" i="3"/>
  <c r="T40" i="3" s="1"/>
  <c r="V40" i="3"/>
  <c r="W40" i="3"/>
  <c r="X40" i="3"/>
  <c r="AC40" i="3"/>
  <c r="M19" i="3"/>
  <c r="S19" i="3"/>
  <c r="U19" i="3"/>
  <c r="T19" i="3" s="1"/>
  <c r="V19" i="3"/>
  <c r="W19" i="3"/>
  <c r="X19" i="3"/>
  <c r="AC19" i="3"/>
  <c r="M35" i="3"/>
  <c r="R35" i="3"/>
  <c r="U35" i="3"/>
  <c r="T35" i="3" s="1"/>
  <c r="V35" i="3"/>
  <c r="W35" i="3"/>
  <c r="X35" i="3"/>
  <c r="AC35" i="3"/>
  <c r="M7" i="3"/>
  <c r="U7" i="3"/>
  <c r="T7" i="3" s="1"/>
  <c r="V7" i="3"/>
  <c r="W7" i="3"/>
  <c r="X7" i="3"/>
  <c r="M46" i="3"/>
  <c r="U46" i="3"/>
  <c r="T46" i="3" s="1"/>
  <c r="V46" i="3"/>
  <c r="W46" i="3"/>
  <c r="X46" i="3"/>
  <c r="AC46" i="3"/>
  <c r="M15" i="3"/>
  <c r="U15" i="3"/>
  <c r="T15" i="3" s="1"/>
  <c r="V15" i="3"/>
  <c r="W15" i="3"/>
  <c r="X15" i="3"/>
  <c r="AC15" i="3"/>
  <c r="M14" i="3"/>
  <c r="S14" i="3"/>
  <c r="U14" i="3"/>
  <c r="T14" i="3" s="1"/>
  <c r="V14" i="3"/>
  <c r="W14" i="3"/>
  <c r="X14" i="3"/>
  <c r="AC14" i="3"/>
  <c r="M33" i="3"/>
  <c r="R33" i="3"/>
  <c r="U33" i="3"/>
  <c r="T33" i="3" s="1"/>
  <c r="V33" i="3"/>
  <c r="W33" i="3"/>
  <c r="X33" i="3"/>
  <c r="AC33" i="3"/>
  <c r="M25" i="3"/>
  <c r="R25" i="3"/>
  <c r="U25" i="3"/>
  <c r="T25" i="3" s="1"/>
  <c r="V25" i="3"/>
  <c r="W25" i="3"/>
  <c r="X25" i="3"/>
  <c r="AC25" i="3"/>
  <c r="M26" i="3"/>
  <c r="R26" i="3"/>
  <c r="U26" i="3"/>
  <c r="T26" i="3" s="1"/>
  <c r="V26" i="3"/>
  <c r="W26" i="3"/>
  <c r="X26" i="3"/>
  <c r="M36" i="3"/>
  <c r="U36" i="3"/>
  <c r="T36" i="3" s="1"/>
  <c r="V36" i="3"/>
  <c r="W36" i="3"/>
  <c r="X36" i="3"/>
  <c r="AC36" i="3"/>
  <c r="M23" i="3"/>
  <c r="U23" i="3"/>
  <c r="T23" i="3" s="1"/>
  <c r="V23" i="3"/>
  <c r="W23" i="3"/>
  <c r="X23" i="3"/>
  <c r="AC23" i="3"/>
  <c r="M27" i="3"/>
  <c r="S27" i="3"/>
  <c r="U27" i="3"/>
  <c r="T27" i="3" s="1"/>
  <c r="V27" i="3"/>
  <c r="W27" i="3"/>
  <c r="X27" i="3"/>
  <c r="AC27" i="3"/>
  <c r="M28" i="3"/>
  <c r="S28" i="3"/>
  <c r="U28" i="3"/>
  <c r="T28" i="3" s="1"/>
  <c r="V28" i="3"/>
  <c r="W28" i="3"/>
  <c r="X28" i="3"/>
  <c r="AC28" i="3"/>
  <c r="M47" i="3"/>
  <c r="R47" i="3"/>
  <c r="U47" i="3"/>
  <c r="T47" i="3" s="1"/>
  <c r="V47" i="3"/>
  <c r="W47" i="3"/>
  <c r="Y47" i="3" s="1"/>
  <c r="X47" i="3"/>
  <c r="AC47" i="3"/>
  <c r="M31" i="3"/>
  <c r="U31" i="3"/>
  <c r="T31" i="3" s="1"/>
  <c r="V31" i="3"/>
  <c r="W31" i="3"/>
  <c r="X31" i="3"/>
  <c r="AC31" i="3"/>
  <c r="M20" i="3"/>
  <c r="U20" i="3"/>
  <c r="T20" i="3" s="1"/>
  <c r="V20" i="3"/>
  <c r="W20" i="3"/>
  <c r="X20" i="3"/>
  <c r="AC20" i="3"/>
  <c r="M16" i="3"/>
  <c r="S16" i="3"/>
  <c r="U16" i="3"/>
  <c r="T16" i="3" s="1"/>
  <c r="V16" i="3"/>
  <c r="W16" i="3"/>
  <c r="X16" i="3"/>
  <c r="AC16" i="3"/>
  <c r="M13" i="3"/>
  <c r="S13" i="3"/>
  <c r="U13" i="3"/>
  <c r="T13" i="3" s="1"/>
  <c r="V13" i="3"/>
  <c r="W13" i="3"/>
  <c r="X13" i="3"/>
  <c r="AC13" i="3"/>
  <c r="M44" i="3"/>
  <c r="R44" i="3"/>
  <c r="U44" i="3"/>
  <c r="T44" i="3" s="1"/>
  <c r="V44" i="3"/>
  <c r="W44" i="3"/>
  <c r="X44" i="3"/>
  <c r="AC44" i="3"/>
  <c r="M41" i="3"/>
  <c r="R41" i="3"/>
  <c r="U41" i="3"/>
  <c r="T41" i="3" s="1"/>
  <c r="V41" i="3"/>
  <c r="W41" i="3"/>
  <c r="X41" i="3"/>
  <c r="AC41" i="3"/>
  <c r="M45" i="3"/>
  <c r="R45" i="3"/>
  <c r="U45" i="3"/>
  <c r="T45" i="3" s="1"/>
  <c r="V45" i="3"/>
  <c r="W45" i="3"/>
  <c r="X45" i="3"/>
  <c r="AC45" i="3"/>
  <c r="M42" i="3"/>
  <c r="U42" i="3"/>
  <c r="T42" i="3" s="1"/>
  <c r="V42" i="3"/>
  <c r="W42" i="3"/>
  <c r="X42" i="3"/>
  <c r="AC42" i="3"/>
  <c r="M29" i="3"/>
  <c r="U29" i="3"/>
  <c r="T29" i="3" s="1"/>
  <c r="V29" i="3"/>
  <c r="W29" i="3"/>
  <c r="X29" i="3"/>
  <c r="AC29" i="3"/>
  <c r="M30" i="3"/>
  <c r="R30" i="3"/>
  <c r="U30" i="3"/>
  <c r="T30" i="3" s="1"/>
  <c r="V30" i="3"/>
  <c r="W30" i="3"/>
  <c r="X30" i="3"/>
  <c r="AC30" i="3"/>
  <c r="M21" i="3"/>
  <c r="R21" i="3"/>
  <c r="U21" i="3"/>
  <c r="T21" i="3" s="1"/>
  <c r="V21" i="3"/>
  <c r="W21" i="3"/>
  <c r="X21" i="3"/>
  <c r="AC21" i="3"/>
  <c r="M8" i="3"/>
  <c r="R8" i="3"/>
  <c r="U8" i="3"/>
  <c r="T8" i="3" s="1"/>
  <c r="V8" i="3"/>
  <c r="W8" i="3"/>
  <c r="Y8" i="3" s="1"/>
  <c r="X8" i="3"/>
  <c r="AC8" i="3"/>
  <c r="Y13" i="3" l="1"/>
  <c r="Y46" i="3"/>
  <c r="Y11" i="3"/>
  <c r="Y42" i="3"/>
  <c r="Y36" i="3"/>
  <c r="Y25" i="3"/>
  <c r="Y40" i="3"/>
  <c r="Y37" i="3"/>
  <c r="T78" i="1"/>
  <c r="X78" i="1"/>
  <c r="X168" i="1"/>
  <c r="AG148" i="1"/>
  <c r="AA111" i="1"/>
  <c r="AG106" i="1"/>
  <c r="AI106" i="1" s="1"/>
  <c r="X106" i="1"/>
  <c r="AG87" i="1"/>
  <c r="AI77" i="1"/>
  <c r="P66" i="1"/>
  <c r="X61" i="1"/>
  <c r="AG155" i="1"/>
  <c r="S7" i="3"/>
  <c r="AA196" i="1"/>
  <c r="AA194" i="1"/>
  <c r="W194" i="1" s="1"/>
  <c r="AA193" i="1"/>
  <c r="AA190" i="1"/>
  <c r="AA189" i="1"/>
  <c r="AA188" i="1"/>
  <c r="W188" i="1" s="1"/>
  <c r="AG186" i="1"/>
  <c r="AG162" i="1"/>
  <c r="AA154" i="1"/>
  <c r="AA226" i="1"/>
  <c r="W226" i="1" s="1"/>
  <c r="X208" i="1"/>
  <c r="AA150" i="1"/>
  <c r="AA148" i="1"/>
  <c r="AA147" i="1"/>
  <c r="AA146" i="1"/>
  <c r="AG144" i="1"/>
  <c r="AG114" i="1"/>
  <c r="AI114" i="1" s="1"/>
  <c r="AA112" i="1"/>
  <c r="AA107" i="1"/>
  <c r="P86" i="1"/>
  <c r="X79" i="1"/>
  <c r="AA78" i="1"/>
  <c r="W78" i="1" s="1"/>
  <c r="AA62" i="1"/>
  <c r="AA42" i="1"/>
  <c r="W42" i="1" s="1"/>
  <c r="AA41" i="1"/>
  <c r="AA16" i="1"/>
  <c r="W16" i="1" s="1"/>
  <c r="AA15" i="1"/>
  <c r="AA14" i="1"/>
  <c r="X226" i="1"/>
  <c r="P152" i="1"/>
  <c r="X146" i="1"/>
  <c r="X87" i="1"/>
  <c r="AG16" i="1"/>
  <c r="U16" i="1" s="1"/>
  <c r="S16" i="1" s="1"/>
  <c r="T188" i="1"/>
  <c r="U188" i="1" s="1"/>
  <c r="S188" i="1" s="1"/>
  <c r="AG125" i="1"/>
  <c r="AA94" i="1"/>
  <c r="T80" i="1"/>
  <c r="X80" i="1"/>
  <c r="AG72" i="1"/>
  <c r="R11" i="3"/>
  <c r="AA216" i="1"/>
  <c r="AG195" i="1"/>
  <c r="U195" i="1" s="1"/>
  <c r="S195" i="1" s="1"/>
  <c r="X195" i="1"/>
  <c r="AA184" i="1"/>
  <c r="AA183" i="1"/>
  <c r="AG178" i="1"/>
  <c r="U178" i="1" s="1"/>
  <c r="S178" i="1" s="1"/>
  <c r="X175" i="1"/>
  <c r="AA174" i="1"/>
  <c r="AA173" i="1"/>
  <c r="AA170" i="1"/>
  <c r="AA169" i="1"/>
  <c r="AA160" i="1"/>
  <c r="AA159" i="1"/>
  <c r="AA224" i="1"/>
  <c r="AA223" i="1"/>
  <c r="AA222" i="1"/>
  <c r="AI151" i="1"/>
  <c r="AA132" i="1"/>
  <c r="W132" i="1" s="1"/>
  <c r="AA131" i="1"/>
  <c r="AA130" i="1"/>
  <c r="AA120" i="1"/>
  <c r="AI119" i="1"/>
  <c r="P77" i="1"/>
  <c r="AA54" i="1"/>
  <c r="AA53" i="1"/>
  <c r="W53" i="1" s="1"/>
  <c r="AA51" i="1"/>
  <c r="AG46" i="1"/>
  <c r="X46" i="1"/>
  <c r="AA45" i="1"/>
  <c r="T45" i="1"/>
  <c r="AA37" i="1"/>
  <c r="T37" i="1"/>
  <c r="AA30" i="1"/>
  <c r="AA29" i="1"/>
  <c r="S26" i="3"/>
  <c r="X196" i="1"/>
  <c r="X192" i="1"/>
  <c r="AA178" i="1"/>
  <c r="W178" i="1" s="1"/>
  <c r="AA177" i="1"/>
  <c r="T175" i="1"/>
  <c r="AA168" i="1"/>
  <c r="AA167" i="1"/>
  <c r="AA166" i="1"/>
  <c r="AA165" i="1"/>
  <c r="AA164" i="1"/>
  <c r="AA209" i="1"/>
  <c r="AG132" i="1"/>
  <c r="AA99" i="1"/>
  <c r="T91" i="1"/>
  <c r="U91" i="1" s="1"/>
  <c r="S91" i="1" s="1"/>
  <c r="X76" i="1"/>
  <c r="AA61" i="1"/>
  <c r="AA60" i="1"/>
  <c r="AA50" i="1"/>
  <c r="W50" i="1" s="1"/>
  <c r="AG45" i="1"/>
  <c r="W45" i="1" s="1"/>
  <c r="AA44" i="1"/>
  <c r="AA43" i="1"/>
  <c r="X41" i="1"/>
  <c r="AG37" i="1"/>
  <c r="U37" i="1" s="1"/>
  <c r="AA36" i="1"/>
  <c r="AA35" i="1"/>
  <c r="AA175" i="1"/>
  <c r="T159" i="1"/>
  <c r="W125" i="1"/>
  <c r="W107" i="1"/>
  <c r="T29" i="1"/>
  <c r="T176" i="1"/>
  <c r="X176" i="1"/>
  <c r="X217" i="1"/>
  <c r="T217" i="1"/>
  <c r="T101" i="1"/>
  <c r="U101" i="1" s="1"/>
  <c r="S101" i="1" s="1"/>
  <c r="AG101" i="1"/>
  <c r="AG99" i="1"/>
  <c r="X99" i="1"/>
  <c r="T160" i="1"/>
  <c r="X225" i="1"/>
  <c r="T225" i="1"/>
  <c r="X122" i="1"/>
  <c r="AG122" i="1"/>
  <c r="T122" i="1"/>
  <c r="U122" i="1" s="1"/>
  <c r="S122" i="1" s="1"/>
  <c r="AG115" i="1"/>
  <c r="U115" i="1" s="1"/>
  <c r="S115" i="1" s="1"/>
  <c r="X115" i="1"/>
  <c r="T115" i="1"/>
  <c r="R27" i="3"/>
  <c r="R28" i="3"/>
  <c r="X90" i="1"/>
  <c r="T90" i="1"/>
  <c r="T216" i="1"/>
  <c r="X216" i="1"/>
  <c r="AG216" i="1"/>
  <c r="W216" i="1" s="1"/>
  <c r="T184" i="1"/>
  <c r="X184" i="1"/>
  <c r="X199" i="1"/>
  <c r="T199" i="1"/>
  <c r="X191" i="1"/>
  <c r="T191" i="1"/>
  <c r="AG204" i="1"/>
  <c r="U204" i="1" s="1"/>
  <c r="T204" i="1"/>
  <c r="T140" i="1"/>
  <c r="AG140" i="1"/>
  <c r="T138" i="1"/>
  <c r="X138" i="1"/>
  <c r="T32" i="1"/>
  <c r="AG32" i="1"/>
  <c r="AG215" i="1"/>
  <c r="U215" i="1" s="1"/>
  <c r="X215" i="1"/>
  <c r="T179" i="1"/>
  <c r="X179" i="1"/>
  <c r="AG179" i="1"/>
  <c r="AI179" i="1" s="1"/>
  <c r="T150" i="1"/>
  <c r="AG150" i="1"/>
  <c r="AI150" i="1" s="1"/>
  <c r="T129" i="1"/>
  <c r="AG129" i="1"/>
  <c r="AI129" i="1" s="1"/>
  <c r="S38" i="3"/>
  <c r="T194" i="1"/>
  <c r="AG194" i="1"/>
  <c r="AA176" i="1"/>
  <c r="AG172" i="1"/>
  <c r="U172" i="1" s="1"/>
  <c r="S172" i="1" s="1"/>
  <c r="T109" i="1"/>
  <c r="AG109" i="1"/>
  <c r="AI109" i="1" s="1"/>
  <c r="X49" i="1"/>
  <c r="T49" i="1"/>
  <c r="X25" i="1"/>
  <c r="AG25" i="1"/>
  <c r="AI25" i="1" s="1"/>
  <c r="T25" i="1"/>
  <c r="AI155" i="1"/>
  <c r="U148" i="1"/>
  <c r="W144" i="1"/>
  <c r="W111" i="1"/>
  <c r="AA215" i="1"/>
  <c r="AA191" i="1"/>
  <c r="AA186" i="1"/>
  <c r="W186" i="1" s="1"/>
  <c r="AA185" i="1"/>
  <c r="AA180" i="1"/>
  <c r="W180" i="1" s="1"/>
  <c r="AA172" i="1"/>
  <c r="AG170" i="1"/>
  <c r="U170" i="1" s="1"/>
  <c r="S170" i="1" s="1"/>
  <c r="T167" i="1"/>
  <c r="AA225" i="1"/>
  <c r="AG220" i="1"/>
  <c r="U220" i="1" s="1"/>
  <c r="S220" i="1" s="1"/>
  <c r="X218" i="1"/>
  <c r="AA217" i="1"/>
  <c r="AA204" i="1"/>
  <c r="AG153" i="1"/>
  <c r="U153" i="1" s="1"/>
  <c r="AA140" i="1"/>
  <c r="W140" i="1" s="1"/>
  <c r="AA139" i="1"/>
  <c r="AA138" i="1"/>
  <c r="AG136" i="1"/>
  <c r="AI136" i="1" s="1"/>
  <c r="X130" i="1"/>
  <c r="AA129" i="1"/>
  <c r="AA126" i="1"/>
  <c r="W126" i="1" s="1"/>
  <c r="AG118" i="1"/>
  <c r="U118" i="1" s="1"/>
  <c r="X118" i="1"/>
  <c r="AA116" i="1"/>
  <c r="AA115" i="1"/>
  <c r="AA110" i="1"/>
  <c r="AA109" i="1"/>
  <c r="W109" i="1" s="1"/>
  <c r="AA101" i="1"/>
  <c r="W101" i="1" s="1"/>
  <c r="AA100" i="1"/>
  <c r="X95" i="1"/>
  <c r="AA90" i="1"/>
  <c r="AA87" i="1"/>
  <c r="W87" i="1" s="1"/>
  <c r="AA85" i="1"/>
  <c r="AA80" i="1"/>
  <c r="W80" i="1" s="1"/>
  <c r="T60" i="1"/>
  <c r="U60" i="1" s="1"/>
  <c r="S60" i="1" s="1"/>
  <c r="AA49" i="1"/>
  <c r="AA46" i="1"/>
  <c r="W46" i="1" s="1"/>
  <c r="AA32" i="1"/>
  <c r="W32" i="1" s="1"/>
  <c r="AA31" i="1"/>
  <c r="T30" i="1"/>
  <c r="AA25" i="1"/>
  <c r="AA220" i="1"/>
  <c r="W220" i="1" s="1"/>
  <c r="AA219" i="1"/>
  <c r="X209" i="1"/>
  <c r="AA208" i="1"/>
  <c r="AA153" i="1"/>
  <c r="W153" i="1" s="1"/>
  <c r="AA136" i="1"/>
  <c r="AA135" i="1"/>
  <c r="AA134" i="1"/>
  <c r="AA91" i="1"/>
  <c r="W91" i="1" s="1"/>
  <c r="AA76" i="1"/>
  <c r="AA73" i="1"/>
  <c r="W73" i="1" s="1"/>
  <c r="AA59" i="1"/>
  <c r="AA38" i="1"/>
  <c r="U45" i="1"/>
  <c r="AG38" i="1"/>
  <c r="X38" i="1"/>
  <c r="AA21" i="1"/>
  <c r="AG222" i="1"/>
  <c r="W222" i="1" s="1"/>
  <c r="X222" i="1"/>
  <c r="X142" i="1"/>
  <c r="AG142" i="1"/>
  <c r="X84" i="1"/>
  <c r="T84" i="1"/>
  <c r="AG84" i="1"/>
  <c r="T20" i="1"/>
  <c r="AG20" i="1"/>
  <c r="AI20" i="1" s="1"/>
  <c r="AG198" i="1"/>
  <c r="U198" i="1" s="1"/>
  <c r="AG199" i="1"/>
  <c r="AG196" i="1"/>
  <c r="T190" i="1"/>
  <c r="U190" i="1" s="1"/>
  <c r="S190" i="1" s="1"/>
  <c r="AG190" i="1"/>
  <c r="W190" i="1" s="1"/>
  <c r="AG187" i="1"/>
  <c r="U187" i="1" s="1"/>
  <c r="S187" i="1" s="1"/>
  <c r="X187" i="1"/>
  <c r="T174" i="1"/>
  <c r="AG174" i="1"/>
  <c r="W174" i="1" s="1"/>
  <c r="W172" i="1"/>
  <c r="AG171" i="1"/>
  <c r="U171" i="1" s="1"/>
  <c r="S171" i="1" s="1"/>
  <c r="X171" i="1"/>
  <c r="AG157" i="1"/>
  <c r="U157" i="1" s="1"/>
  <c r="S157" i="1" s="1"/>
  <c r="X157" i="1"/>
  <c r="T222" i="1"/>
  <c r="X200" i="1"/>
  <c r="AG200" i="1"/>
  <c r="U200" i="1" s="1"/>
  <c r="AA200" i="1"/>
  <c r="AA197" i="1"/>
  <c r="T196" i="1"/>
  <c r="X188" i="1"/>
  <c r="X183" i="1"/>
  <c r="AA182" i="1"/>
  <c r="AA181" i="1"/>
  <c r="T180" i="1"/>
  <c r="X172" i="1"/>
  <c r="R34" i="3"/>
  <c r="R32" i="3"/>
  <c r="X156" i="1"/>
  <c r="AG156" i="1"/>
  <c r="AI156" i="1" s="1"/>
  <c r="T156" i="1"/>
  <c r="T207" i="1"/>
  <c r="AG207" i="1"/>
  <c r="AI207" i="1" s="1"/>
  <c r="U126" i="1"/>
  <c r="S126" i="1" s="1"/>
  <c r="AI126" i="1"/>
  <c r="T110" i="1"/>
  <c r="X111" i="1"/>
  <c r="X110" i="1"/>
  <c r="AG110" i="1"/>
  <c r="W110" i="1" s="1"/>
  <c r="X57" i="1"/>
  <c r="AG57" i="1"/>
  <c r="T57" i="1"/>
  <c r="AG164" i="1"/>
  <c r="U164" i="1" s="1"/>
  <c r="S164" i="1" s="1"/>
  <c r="X164" i="1"/>
  <c r="X134" i="1"/>
  <c r="AG134" i="1"/>
  <c r="T128" i="1"/>
  <c r="X129" i="1"/>
  <c r="AG128" i="1"/>
  <c r="AI122" i="1"/>
  <c r="R15" i="3"/>
  <c r="R14" i="3"/>
  <c r="X212" i="1"/>
  <c r="AG212" i="1"/>
  <c r="U212" i="1" s="1"/>
  <c r="AA212" i="1"/>
  <c r="X163" i="1"/>
  <c r="AG163" i="1"/>
  <c r="AI163" i="1" s="1"/>
  <c r="T163" i="1"/>
  <c r="AI226" i="1"/>
  <c r="X221" i="1"/>
  <c r="AG221" i="1"/>
  <c r="AI221" i="1" s="1"/>
  <c r="T221" i="1"/>
  <c r="T211" i="1"/>
  <c r="AG211" i="1"/>
  <c r="T203" i="1"/>
  <c r="AG203" i="1"/>
  <c r="X204" i="1"/>
  <c r="T201" i="1"/>
  <c r="AG201" i="1"/>
  <c r="AI201" i="1" s="1"/>
  <c r="X149" i="1"/>
  <c r="AG149" i="1"/>
  <c r="X150" i="1"/>
  <c r="T149" i="1"/>
  <c r="X141" i="1"/>
  <c r="AG141" i="1"/>
  <c r="T141" i="1"/>
  <c r="X133" i="1"/>
  <c r="AG133" i="1"/>
  <c r="T133" i="1"/>
  <c r="T124" i="1"/>
  <c r="AG124" i="1"/>
  <c r="U124" i="1" s="1"/>
  <c r="S124" i="1" s="1"/>
  <c r="X125" i="1"/>
  <c r="T89" i="1"/>
  <c r="AG89" i="1"/>
  <c r="X69" i="1"/>
  <c r="AG69" i="1"/>
  <c r="W69" i="1" s="1"/>
  <c r="T69" i="1"/>
  <c r="T182" i="1"/>
  <c r="AG182" i="1"/>
  <c r="U182" i="1" s="1"/>
  <c r="AG180" i="1"/>
  <c r="T142" i="1"/>
  <c r="T134" i="1"/>
  <c r="U38" i="1"/>
  <c r="S38" i="1" s="1"/>
  <c r="AG166" i="1"/>
  <c r="W166" i="1" s="1"/>
  <c r="W162" i="1"/>
  <c r="T226" i="1"/>
  <c r="U226" i="1" s="1"/>
  <c r="S226" i="1" s="1"/>
  <c r="AA218" i="1"/>
  <c r="AG217" i="1"/>
  <c r="S30" i="3"/>
  <c r="AG214" i="1"/>
  <c r="W214" i="1" s="1"/>
  <c r="AA199" i="1"/>
  <c r="AA198" i="1"/>
  <c r="AA195" i="1"/>
  <c r="AG192" i="1"/>
  <c r="U192" i="1" s="1"/>
  <c r="S192" i="1" s="1"/>
  <c r="AG191" i="1"/>
  <c r="AI191" i="1" s="1"/>
  <c r="AA187" i="1"/>
  <c r="AG184" i="1"/>
  <c r="U184" i="1" s="1"/>
  <c r="S184" i="1" s="1"/>
  <c r="AG183" i="1"/>
  <c r="U183" i="1" s="1"/>
  <c r="AA179" i="1"/>
  <c r="AG176" i="1"/>
  <c r="AG175" i="1"/>
  <c r="U175" i="1" s="1"/>
  <c r="S175" i="1" s="1"/>
  <c r="AA171" i="1"/>
  <c r="AG168" i="1"/>
  <c r="U168" i="1" s="1"/>
  <c r="S168" i="1" s="1"/>
  <c r="AG167" i="1"/>
  <c r="AA163" i="1"/>
  <c r="W163" i="1" s="1"/>
  <c r="AG160" i="1"/>
  <c r="AG159" i="1"/>
  <c r="AA156" i="1"/>
  <c r="AG225" i="1"/>
  <c r="U225" i="1" s="1"/>
  <c r="S225" i="1" s="1"/>
  <c r="AA221" i="1"/>
  <c r="W221" i="1" s="1"/>
  <c r="AG218" i="1"/>
  <c r="U218" i="1" s="1"/>
  <c r="S218" i="1" s="1"/>
  <c r="AA211" i="1"/>
  <c r="AA210" i="1"/>
  <c r="AG209" i="1"/>
  <c r="AI209" i="1" s="1"/>
  <c r="AA207" i="1"/>
  <c r="AA206" i="1"/>
  <c r="AG205" i="1"/>
  <c r="AI205" i="1" s="1"/>
  <c r="X205" i="1"/>
  <c r="AA203" i="1"/>
  <c r="AG202" i="1"/>
  <c r="AA201" i="1"/>
  <c r="AG152" i="1"/>
  <c r="U152" i="1" s="1"/>
  <c r="S152" i="1" s="1"/>
  <c r="AA151" i="1"/>
  <c r="W151" i="1" s="1"/>
  <c r="AG146" i="1"/>
  <c r="AG145" i="1"/>
  <c r="U145" i="1" s="1"/>
  <c r="S145" i="1" s="1"/>
  <c r="X145" i="1"/>
  <c r="AA141" i="1"/>
  <c r="AG138" i="1"/>
  <c r="AG137" i="1"/>
  <c r="U137" i="1" s="1"/>
  <c r="S137" i="1" s="1"/>
  <c r="X137" i="1"/>
  <c r="AA133" i="1"/>
  <c r="AG130" i="1"/>
  <c r="U125" i="1"/>
  <c r="AA124" i="1"/>
  <c r="AA123" i="1"/>
  <c r="AA122" i="1"/>
  <c r="W122" i="1" s="1"/>
  <c r="AG121" i="1"/>
  <c r="X121" i="1"/>
  <c r="AA114" i="1"/>
  <c r="W114" i="1" s="1"/>
  <c r="AG113" i="1"/>
  <c r="U113" i="1" s="1"/>
  <c r="S113" i="1" s="1"/>
  <c r="X107" i="1"/>
  <c r="T105" i="1"/>
  <c r="AG105" i="1"/>
  <c r="U105" i="1" s="1"/>
  <c r="T99" i="1"/>
  <c r="AG94" i="1"/>
  <c r="AI94" i="1" s="1"/>
  <c r="X94" i="1"/>
  <c r="W93" i="1"/>
  <c r="U87" i="1"/>
  <c r="AI87" i="1"/>
  <c r="AA84" i="1"/>
  <c r="U80" i="1"/>
  <c r="S80" i="1" s="1"/>
  <c r="AI80" i="1"/>
  <c r="W77" i="1"/>
  <c r="W57" i="1"/>
  <c r="T48" i="1"/>
  <c r="AG48" i="1"/>
  <c r="AI48" i="1" s="1"/>
  <c r="X21" i="1"/>
  <c r="AA205" i="1"/>
  <c r="AA202" i="1"/>
  <c r="AA152" i="1"/>
  <c r="AA145" i="1"/>
  <c r="AA137" i="1"/>
  <c r="T130" i="1"/>
  <c r="AA119" i="1"/>
  <c r="W119" i="1" s="1"/>
  <c r="T107" i="1"/>
  <c r="U107" i="1" s="1"/>
  <c r="S107" i="1" s="1"/>
  <c r="X102" i="1"/>
  <c r="AG102" i="1"/>
  <c r="U102" i="1" s="1"/>
  <c r="AA102" i="1"/>
  <c r="T97" i="1"/>
  <c r="AG97" i="1"/>
  <c r="W97" i="1" s="1"/>
  <c r="U73" i="1"/>
  <c r="S73" i="1" s="1"/>
  <c r="AI73" i="1"/>
  <c r="T68" i="1"/>
  <c r="AG68" i="1"/>
  <c r="X65" i="1"/>
  <c r="AG65" i="1"/>
  <c r="T56" i="1"/>
  <c r="AG56" i="1"/>
  <c r="T40" i="1"/>
  <c r="AG40" i="1"/>
  <c r="W155" i="1"/>
  <c r="AG224" i="1"/>
  <c r="AG208" i="1"/>
  <c r="U208" i="1" s="1"/>
  <c r="U129" i="1"/>
  <c r="S129" i="1" s="1"/>
  <c r="AG103" i="1"/>
  <c r="AI103" i="1" s="1"/>
  <c r="X103" i="1"/>
  <c r="X91" i="1"/>
  <c r="AG90" i="1"/>
  <c r="X83" i="1"/>
  <c r="AG83" i="1"/>
  <c r="AI83" i="1" s="1"/>
  <c r="T75" i="1"/>
  <c r="AG75" i="1"/>
  <c r="T64" i="1"/>
  <c r="AG64" i="1"/>
  <c r="AI64" i="1" s="1"/>
  <c r="U46" i="1"/>
  <c r="S46" i="1" s="1"/>
  <c r="AI46" i="1"/>
  <c r="X33" i="1"/>
  <c r="AG33" i="1"/>
  <c r="AI33" i="1" s="1"/>
  <c r="T33" i="1"/>
  <c r="T28" i="1"/>
  <c r="AG28" i="1"/>
  <c r="AG26" i="1"/>
  <c r="X26" i="1"/>
  <c r="T26" i="1"/>
  <c r="AA128" i="1"/>
  <c r="W128" i="1" s="1"/>
  <c r="AA127" i="1"/>
  <c r="AA118" i="1"/>
  <c r="W118" i="1" s="1"/>
  <c r="AA113" i="1"/>
  <c r="T111" i="1"/>
  <c r="U111" i="1" s="1"/>
  <c r="S111" i="1" s="1"/>
  <c r="AA108" i="1"/>
  <c r="AA106" i="1"/>
  <c r="W106" i="1" s="1"/>
  <c r="AA98" i="1"/>
  <c r="W98" i="1" s="1"/>
  <c r="T95" i="1"/>
  <c r="AA89" i="1"/>
  <c r="AA88" i="1"/>
  <c r="AA82" i="1"/>
  <c r="W82" i="1" s="1"/>
  <c r="AA81" i="1"/>
  <c r="AG78" i="1"/>
  <c r="U78" i="1" s="1"/>
  <c r="S78" i="1" s="1"/>
  <c r="X77" i="1"/>
  <c r="AA75" i="1"/>
  <c r="AA74" i="1"/>
  <c r="AA68" i="1"/>
  <c r="AA64" i="1"/>
  <c r="AG61" i="1"/>
  <c r="AA56" i="1"/>
  <c r="AG53" i="1"/>
  <c r="AI53" i="1" s="1"/>
  <c r="X50" i="1"/>
  <c r="AA48" i="1"/>
  <c r="AA47" i="1"/>
  <c r="AG44" i="1"/>
  <c r="W44" i="1" s="1"/>
  <c r="X42" i="1"/>
  <c r="AA40" i="1"/>
  <c r="AA39" i="1"/>
  <c r="AG36" i="1"/>
  <c r="U36" i="1" s="1"/>
  <c r="AA33" i="1"/>
  <c r="AG30" i="1"/>
  <c r="AI30" i="1" s="1"/>
  <c r="AA28" i="1"/>
  <c r="W28" i="1" s="1"/>
  <c r="AA27" i="1"/>
  <c r="AA26" i="1"/>
  <c r="W26" i="1" s="1"/>
  <c r="AG24" i="1"/>
  <c r="W24" i="1" s="1"/>
  <c r="AA20" i="1"/>
  <c r="AA19" i="1"/>
  <c r="AA18" i="1"/>
  <c r="AG17" i="1"/>
  <c r="U17" i="1" s="1"/>
  <c r="S17" i="1" s="1"/>
  <c r="X17" i="1"/>
  <c r="T77" i="1"/>
  <c r="U77" i="1" s="1"/>
  <c r="S77" i="1" s="1"/>
  <c r="W61" i="1"/>
  <c r="W60" i="1"/>
  <c r="T50" i="1"/>
  <c r="U50" i="1" s="1"/>
  <c r="S50" i="1" s="1"/>
  <c r="T42" i="1"/>
  <c r="U42" i="1" s="1"/>
  <c r="S42" i="1" s="1"/>
  <c r="AA34" i="1"/>
  <c r="AA17" i="1"/>
  <c r="W79" i="1"/>
  <c r="AG76" i="1"/>
  <c r="W72" i="1"/>
  <c r="AG49" i="1"/>
  <c r="U49" i="1" s="1"/>
  <c r="AG41" i="1"/>
  <c r="U41" i="1" s="1"/>
  <c r="S41" i="1" s="1"/>
  <c r="AG34" i="1"/>
  <c r="AI34" i="1" s="1"/>
  <c r="AG29" i="1"/>
  <c r="U29" i="1" s="1"/>
  <c r="S29" i="1" s="1"/>
  <c r="AG21" i="1"/>
  <c r="U186" i="1"/>
  <c r="S186" i="1" s="1"/>
  <c r="U162" i="1"/>
  <c r="S162" i="1" s="1"/>
  <c r="U155" i="1"/>
  <c r="S155" i="1" s="1"/>
  <c r="X214" i="1"/>
  <c r="AG213" i="1"/>
  <c r="AI213" i="1" s="1"/>
  <c r="AI220" i="1"/>
  <c r="T197" i="1"/>
  <c r="X197" i="1"/>
  <c r="AG197" i="1"/>
  <c r="AI197" i="1" s="1"/>
  <c r="U211" i="1"/>
  <c r="S211" i="1" s="1"/>
  <c r="X213" i="1"/>
  <c r="U174" i="1"/>
  <c r="S174" i="1" s="1"/>
  <c r="S212" i="1"/>
  <c r="X198" i="1"/>
  <c r="X194" i="1"/>
  <c r="AG193" i="1"/>
  <c r="AI193" i="1" s="1"/>
  <c r="X190" i="1"/>
  <c r="AG189" i="1"/>
  <c r="AI189" i="1" s="1"/>
  <c r="AI208" i="1"/>
  <c r="X186" i="1"/>
  <c r="AG185" i="1"/>
  <c r="AI185" i="1" s="1"/>
  <c r="S183" i="1"/>
  <c r="X182" i="1"/>
  <c r="AG181" i="1"/>
  <c r="AI181" i="1" s="1"/>
  <c r="X178" i="1"/>
  <c r="AG177" i="1"/>
  <c r="AI177" i="1" s="1"/>
  <c r="X174" i="1"/>
  <c r="AG173" i="1"/>
  <c r="AI173" i="1" s="1"/>
  <c r="X170" i="1"/>
  <c r="AG169" i="1"/>
  <c r="AI169" i="1" s="1"/>
  <c r="AI188" i="1"/>
  <c r="X166" i="1"/>
  <c r="AG165" i="1"/>
  <c r="AI165" i="1" s="1"/>
  <c r="AG161" i="1"/>
  <c r="AI161" i="1" s="1"/>
  <c r="AI180" i="1"/>
  <c r="AG158" i="1"/>
  <c r="AI158" i="1" s="1"/>
  <c r="AI176" i="1"/>
  <c r="X155" i="1"/>
  <c r="AG154" i="1"/>
  <c r="AI154" i="1" s="1"/>
  <c r="AI172" i="1"/>
  <c r="X224" i="1"/>
  <c r="AG223" i="1"/>
  <c r="X220" i="1"/>
  <c r="AG219" i="1"/>
  <c r="AI219" i="1" s="1"/>
  <c r="X211" i="1"/>
  <c r="AG210" i="1"/>
  <c r="S208" i="1"/>
  <c r="X207" i="1"/>
  <c r="AG206" i="1"/>
  <c r="W206" i="1" s="1"/>
  <c r="AI157" i="1"/>
  <c r="X203" i="1"/>
  <c r="U202" i="1"/>
  <c r="S202" i="1" s="1"/>
  <c r="AI153" i="1"/>
  <c r="X152" i="1"/>
  <c r="X193" i="1"/>
  <c r="AI211" i="1"/>
  <c r="X189" i="1"/>
  <c r="X185" i="1"/>
  <c r="X181" i="1"/>
  <c r="AI199" i="1"/>
  <c r="X177" i="1"/>
  <c r="X173" i="1"/>
  <c r="X169" i="1"/>
  <c r="AI187" i="1"/>
  <c r="X165" i="1"/>
  <c r="X158" i="1"/>
  <c r="X154" i="1"/>
  <c r="X223" i="1"/>
  <c r="AI167" i="1"/>
  <c r="X219" i="1"/>
  <c r="X210" i="1"/>
  <c r="U209" i="1"/>
  <c r="S209" i="1" s="1"/>
  <c r="X206" i="1"/>
  <c r="X202" i="1"/>
  <c r="W148" i="1"/>
  <c r="X201" i="1"/>
  <c r="AA149" i="1"/>
  <c r="U121" i="1"/>
  <c r="X153" i="1"/>
  <c r="T151" i="1"/>
  <c r="U151" i="1" s="1"/>
  <c r="S151" i="1" s="1"/>
  <c r="X151" i="1"/>
  <c r="S148" i="1"/>
  <c r="AI148" i="1"/>
  <c r="U144" i="1"/>
  <c r="S144" i="1" s="1"/>
  <c r="U132" i="1"/>
  <c r="S132" i="1" s="1"/>
  <c r="U128" i="1"/>
  <c r="S128" i="1" s="1"/>
  <c r="T120" i="1"/>
  <c r="X120" i="1"/>
  <c r="X119" i="1"/>
  <c r="S105" i="1"/>
  <c r="T104" i="1"/>
  <c r="X104" i="1"/>
  <c r="AG104" i="1"/>
  <c r="W104" i="1" s="1"/>
  <c r="U95" i="1"/>
  <c r="S95" i="1" s="1"/>
  <c r="AI95" i="1"/>
  <c r="X148" i="1"/>
  <c r="AG147" i="1"/>
  <c r="X144" i="1"/>
  <c r="AG143" i="1"/>
  <c r="X140" i="1"/>
  <c r="AG139" i="1"/>
  <c r="X136" i="1"/>
  <c r="AG135" i="1"/>
  <c r="X132" i="1"/>
  <c r="AG131" i="1"/>
  <c r="X128" i="1"/>
  <c r="AG127" i="1"/>
  <c r="AI125" i="1"/>
  <c r="S125" i="1"/>
  <c r="X124" i="1"/>
  <c r="AG123" i="1"/>
  <c r="AA121" i="1"/>
  <c r="AG120" i="1"/>
  <c r="AI118" i="1"/>
  <c r="AA117" i="1"/>
  <c r="W117" i="1" s="1"/>
  <c r="T116" i="1"/>
  <c r="X116" i="1"/>
  <c r="AG116" i="1"/>
  <c r="AI91" i="1"/>
  <c r="X147" i="1"/>
  <c r="AI144" i="1"/>
  <c r="X143" i="1"/>
  <c r="AI140" i="1"/>
  <c r="X139" i="1"/>
  <c r="X135" i="1"/>
  <c r="AI132" i="1"/>
  <c r="X131" i="1"/>
  <c r="AI128" i="1"/>
  <c r="X127" i="1"/>
  <c r="X123" i="1"/>
  <c r="T117" i="1"/>
  <c r="U117" i="1" s="1"/>
  <c r="S117" i="1" s="1"/>
  <c r="X117" i="1"/>
  <c r="T112" i="1"/>
  <c r="X112" i="1"/>
  <c r="AG112" i="1"/>
  <c r="U103" i="1"/>
  <c r="S103" i="1" s="1"/>
  <c r="T119" i="1"/>
  <c r="U119" i="1" s="1"/>
  <c r="S119" i="1" s="1"/>
  <c r="S118" i="1"/>
  <c r="AI117" i="1"/>
  <c r="T108" i="1"/>
  <c r="X108" i="1"/>
  <c r="AG108" i="1"/>
  <c r="W95" i="1"/>
  <c r="U106" i="1"/>
  <c r="S106" i="1" s="1"/>
  <c r="U98" i="1"/>
  <c r="S98" i="1" s="1"/>
  <c r="U94" i="1"/>
  <c r="S94" i="1" s="1"/>
  <c r="AA86" i="1"/>
  <c r="T85" i="1"/>
  <c r="X85" i="1"/>
  <c r="AG85" i="1"/>
  <c r="T82" i="1"/>
  <c r="U82" i="1" s="1"/>
  <c r="S82" i="1" s="1"/>
  <c r="X82" i="1"/>
  <c r="U97" i="1"/>
  <c r="S97" i="1" s="1"/>
  <c r="U93" i="1"/>
  <c r="S93" i="1" s="1"/>
  <c r="T86" i="1"/>
  <c r="X86" i="1"/>
  <c r="AI82" i="1"/>
  <c r="X113" i="1"/>
  <c r="X109" i="1"/>
  <c r="X105" i="1"/>
  <c r="X101" i="1"/>
  <c r="AG100" i="1"/>
  <c r="W100" i="1" s="1"/>
  <c r="AI98" i="1"/>
  <c r="X97" i="1"/>
  <c r="AG96" i="1"/>
  <c r="W96" i="1" s="1"/>
  <c r="X93" i="1"/>
  <c r="AG92" i="1"/>
  <c r="X89" i="1"/>
  <c r="AG88" i="1"/>
  <c r="AG86" i="1"/>
  <c r="AI101" i="1"/>
  <c r="X100" i="1"/>
  <c r="AI97" i="1"/>
  <c r="X96" i="1"/>
  <c r="AI93" i="1"/>
  <c r="X92" i="1"/>
  <c r="AI89" i="1"/>
  <c r="X88" i="1"/>
  <c r="AA83" i="1"/>
  <c r="U83" i="1"/>
  <c r="S83" i="1" s="1"/>
  <c r="U79" i="1"/>
  <c r="S79" i="1" s="1"/>
  <c r="U76" i="1"/>
  <c r="S76" i="1" s="1"/>
  <c r="U72" i="1"/>
  <c r="S72" i="1" s="1"/>
  <c r="U68" i="1"/>
  <c r="S68" i="1" s="1"/>
  <c r="U56" i="1"/>
  <c r="S56" i="1" s="1"/>
  <c r="T52" i="1"/>
  <c r="X52" i="1"/>
  <c r="AG71" i="1"/>
  <c r="X68" i="1"/>
  <c r="AG67" i="1"/>
  <c r="X64" i="1"/>
  <c r="AG63" i="1"/>
  <c r="X60" i="1"/>
  <c r="AG59" i="1"/>
  <c r="W59" i="1" s="1"/>
  <c r="X56" i="1"/>
  <c r="AG55" i="1"/>
  <c r="W55" i="1" s="1"/>
  <c r="AG52" i="1"/>
  <c r="AI26" i="1"/>
  <c r="AG81" i="1"/>
  <c r="AI79" i="1"/>
  <c r="AI76" i="1"/>
  <c r="X75" i="1"/>
  <c r="AG74" i="1"/>
  <c r="AI72" i="1"/>
  <c r="X71" i="1"/>
  <c r="AG70" i="1"/>
  <c r="W70" i="1" s="1"/>
  <c r="AI68" i="1"/>
  <c r="X67" i="1"/>
  <c r="AG66" i="1"/>
  <c r="X63" i="1"/>
  <c r="AG62" i="1"/>
  <c r="W62" i="1" s="1"/>
  <c r="AI60" i="1"/>
  <c r="X59" i="1"/>
  <c r="AG58" i="1"/>
  <c r="AI56" i="1"/>
  <c r="X55" i="1"/>
  <c r="AG54" i="1"/>
  <c r="X81" i="1"/>
  <c r="X74" i="1"/>
  <c r="X70" i="1"/>
  <c r="X66" i="1"/>
  <c r="X62" i="1"/>
  <c r="X58" i="1"/>
  <c r="X54" i="1"/>
  <c r="X53" i="1"/>
  <c r="AA52" i="1"/>
  <c r="T51" i="1"/>
  <c r="X51" i="1"/>
  <c r="AG51" i="1"/>
  <c r="X48" i="1"/>
  <c r="AG47" i="1"/>
  <c r="X44" i="1"/>
  <c r="AG43" i="1"/>
  <c r="W43" i="1" s="1"/>
  <c r="AI41" i="1"/>
  <c r="X40" i="1"/>
  <c r="AG39" i="1"/>
  <c r="W39" i="1" s="1"/>
  <c r="AI37" i="1"/>
  <c r="X36" i="1"/>
  <c r="AG35" i="1"/>
  <c r="X32" i="1"/>
  <c r="AG31" i="1"/>
  <c r="X28" i="1"/>
  <c r="AG27" i="1"/>
  <c r="X24" i="1"/>
  <c r="AG23" i="1"/>
  <c r="X20" i="1"/>
  <c r="AG19" i="1"/>
  <c r="X16" i="1"/>
  <c r="AG15" i="1"/>
  <c r="W15" i="1" s="1"/>
  <c r="X47" i="1"/>
  <c r="X43" i="1"/>
  <c r="AI40" i="1"/>
  <c r="X39" i="1"/>
  <c r="X35" i="1"/>
  <c r="AI32" i="1"/>
  <c r="X31" i="1"/>
  <c r="AI28" i="1"/>
  <c r="X27" i="1"/>
  <c r="X23" i="1"/>
  <c r="AG22" i="1"/>
  <c r="W22" i="1" s="1"/>
  <c r="X19" i="1"/>
  <c r="AG18" i="1"/>
  <c r="X15" i="1"/>
  <c r="AG14" i="1"/>
  <c r="W14" i="1" s="1"/>
  <c r="X22" i="1"/>
  <c r="X18" i="1"/>
  <c r="AC18" i="3"/>
  <c r="Y30" i="3"/>
  <c r="Y41" i="3"/>
  <c r="Y20" i="3"/>
  <c r="Y27" i="3"/>
  <c r="Y35" i="3"/>
  <c r="Y22" i="3"/>
  <c r="Y43" i="3"/>
  <c r="Y18" i="3"/>
  <c r="Y14" i="3"/>
  <c r="AD17" i="3"/>
  <c r="AD8" i="3"/>
  <c r="AD30" i="3"/>
  <c r="AD42" i="3"/>
  <c r="AD41" i="3"/>
  <c r="AD13" i="3"/>
  <c r="AD20" i="3"/>
  <c r="AD47" i="3"/>
  <c r="AD27" i="3"/>
  <c r="AD36" i="3"/>
  <c r="AD25" i="3"/>
  <c r="AD14" i="3"/>
  <c r="AD46" i="3"/>
  <c r="AD35" i="3"/>
  <c r="AD40" i="3"/>
  <c r="AD22" i="3"/>
  <c r="AD39" i="3"/>
  <c r="AD43" i="3"/>
  <c r="AD11" i="3"/>
  <c r="AD18" i="3"/>
  <c r="Y44" i="3"/>
  <c r="Y16" i="3"/>
  <c r="Y28" i="3"/>
  <c r="Y23" i="3"/>
  <c r="Y26" i="3"/>
  <c r="Y19" i="3"/>
  <c r="Y32" i="3"/>
  <c r="Y34" i="3"/>
  <c r="Y24" i="3"/>
  <c r="Y10" i="3"/>
  <c r="Y12" i="3"/>
  <c r="Y38" i="3"/>
  <c r="AC26" i="3"/>
  <c r="AC7" i="3"/>
  <c r="Y21" i="3"/>
  <c r="Y29" i="3"/>
  <c r="Y45" i="3"/>
  <c r="Y31" i="3"/>
  <c r="Y33" i="3"/>
  <c r="Y15" i="3"/>
  <c r="Y7" i="3"/>
  <c r="AD21" i="3"/>
  <c r="AD29" i="3"/>
  <c r="AD45" i="3"/>
  <c r="AD44" i="3"/>
  <c r="AD16" i="3"/>
  <c r="AD31" i="3"/>
  <c r="AD28" i="3"/>
  <c r="AD23" i="3"/>
  <c r="AD26" i="3"/>
  <c r="AD33" i="3"/>
  <c r="AD15" i="3"/>
  <c r="AD7" i="3"/>
  <c r="AD19" i="3"/>
  <c r="AD32" i="3"/>
  <c r="AD34" i="3"/>
  <c r="AD24" i="3"/>
  <c r="AD10" i="3"/>
  <c r="AD12" i="3"/>
  <c r="AD38" i="3"/>
  <c r="AC17" i="3"/>
  <c r="M9" i="3"/>
  <c r="R9" i="3"/>
  <c r="S9" i="3"/>
  <c r="U9" i="3"/>
  <c r="T9" i="3" s="1"/>
  <c r="V9" i="3"/>
  <c r="W9" i="3"/>
  <c r="X9" i="3"/>
  <c r="U24" i="1" l="1"/>
  <c r="S24" i="1" s="1"/>
  <c r="AI110" i="1"/>
  <c r="W17" i="1"/>
  <c r="W195" i="1"/>
  <c r="AI16" i="1"/>
  <c r="U30" i="1"/>
  <c r="S30" i="1" s="1"/>
  <c r="U114" i="1"/>
  <c r="S114" i="1" s="1"/>
  <c r="W121" i="1"/>
  <c r="U136" i="1"/>
  <c r="S136" i="1" s="1"/>
  <c r="AI24" i="1"/>
  <c r="AI17" i="1"/>
  <c r="AI29" i="1"/>
  <c r="AI45" i="1"/>
  <c r="W112" i="1"/>
  <c r="AI195" i="1"/>
  <c r="AI215" i="1"/>
  <c r="AI212" i="1"/>
  <c r="W56" i="1"/>
  <c r="U40" i="1"/>
  <c r="S40" i="1" s="1"/>
  <c r="AI115" i="1"/>
  <c r="U159" i="1"/>
  <c r="S159" i="1" s="1"/>
  <c r="W179" i="1"/>
  <c r="W199" i="1"/>
  <c r="W157" i="1"/>
  <c r="AI164" i="1"/>
  <c r="W68" i="1"/>
  <c r="W89" i="1"/>
  <c r="W156" i="1"/>
  <c r="W187" i="1"/>
  <c r="W115" i="1"/>
  <c r="S204" i="1"/>
  <c r="W25" i="1"/>
  <c r="W37" i="1"/>
  <c r="W94" i="1"/>
  <c r="W215" i="1"/>
  <c r="U160" i="1"/>
  <c r="S160" i="1" s="1"/>
  <c r="W212" i="1"/>
  <c r="U34" i="1"/>
  <c r="S34" i="1" s="1"/>
  <c r="AI216" i="1"/>
  <c r="U194" i="1"/>
  <c r="S194" i="1" s="1"/>
  <c r="W76" i="1"/>
  <c r="W20" i="1"/>
  <c r="W170" i="1"/>
  <c r="U199" i="1"/>
  <c r="S199" i="1" s="1"/>
  <c r="W204" i="1"/>
  <c r="U140" i="1"/>
  <c r="S140" i="1" s="1"/>
  <c r="U99" i="1"/>
  <c r="S99" i="1" s="1"/>
  <c r="W18" i="1"/>
  <c r="S37" i="1"/>
  <c r="S45" i="1"/>
  <c r="S49" i="1"/>
  <c r="W88" i="1"/>
  <c r="AI159" i="1"/>
  <c r="AI168" i="1"/>
  <c r="AI200" i="1"/>
  <c r="AI204" i="1"/>
  <c r="S215" i="1"/>
  <c r="S200" i="1"/>
  <c r="W48" i="1"/>
  <c r="U75" i="1"/>
  <c r="S75" i="1" s="1"/>
  <c r="W90" i="1"/>
  <c r="W152" i="1"/>
  <c r="W159" i="1"/>
  <c r="W211" i="1"/>
  <c r="W167" i="1"/>
  <c r="U176" i="1"/>
  <c r="S176" i="1" s="1"/>
  <c r="U180" i="1"/>
  <c r="S180" i="1" s="1"/>
  <c r="U89" i="1"/>
  <c r="S89" i="1" s="1"/>
  <c r="U141" i="1"/>
  <c r="S141" i="1" s="1"/>
  <c r="U149" i="1"/>
  <c r="S149" i="1" s="1"/>
  <c r="W200" i="1"/>
  <c r="W176" i="1"/>
  <c r="W38" i="1"/>
  <c r="W129" i="1"/>
  <c r="W185" i="1"/>
  <c r="W19" i="1"/>
  <c r="AI49" i="1"/>
  <c r="AI44" i="1"/>
  <c r="U64" i="1"/>
  <c r="S64" i="1" s="1"/>
  <c r="AI102" i="1"/>
  <c r="AI99" i="1"/>
  <c r="W99" i="1"/>
  <c r="W149" i="1"/>
  <c r="AI183" i="1"/>
  <c r="AI149" i="1"/>
  <c r="W52" i="1"/>
  <c r="AI113" i="1"/>
  <c r="U201" i="1"/>
  <c r="S201" i="1" s="1"/>
  <c r="W169" i="1"/>
  <c r="W30" i="1"/>
  <c r="W33" i="1"/>
  <c r="W64" i="1"/>
  <c r="W145" i="1"/>
  <c r="W209" i="1"/>
  <c r="U191" i="1"/>
  <c r="S191" i="1" s="1"/>
  <c r="AI38" i="1"/>
  <c r="U150" i="1"/>
  <c r="S150" i="1" s="1"/>
  <c r="U203" i="1"/>
  <c r="S203" i="1" s="1"/>
  <c r="U156" i="1"/>
  <c r="S156" i="1" s="1"/>
  <c r="W150" i="1"/>
  <c r="U32" i="1"/>
  <c r="S32" i="1" s="1"/>
  <c r="U44" i="1"/>
  <c r="W83" i="1"/>
  <c r="W177" i="1"/>
  <c r="W193" i="1"/>
  <c r="U53" i="1"/>
  <c r="S53" i="1" s="1"/>
  <c r="W36" i="1"/>
  <c r="S121" i="1"/>
  <c r="W201" i="1"/>
  <c r="S182" i="1"/>
  <c r="U133" i="1"/>
  <c r="S133" i="1" s="1"/>
  <c r="W164" i="1"/>
  <c r="W136" i="1"/>
  <c r="U25" i="1"/>
  <c r="S25" i="1" s="1"/>
  <c r="U109" i="1"/>
  <c r="S109" i="1" s="1"/>
  <c r="AI152" i="1"/>
  <c r="AI160" i="1"/>
  <c r="AI192" i="1"/>
  <c r="U166" i="1"/>
  <c r="S166" i="1" s="1"/>
  <c r="U214" i="1"/>
  <c r="S214" i="1" s="1"/>
  <c r="W113" i="1"/>
  <c r="U26" i="1"/>
  <c r="S26" i="1" s="1"/>
  <c r="W160" i="1"/>
  <c r="W41" i="1"/>
  <c r="U167" i="1"/>
  <c r="S167" i="1" s="1"/>
  <c r="U196" i="1"/>
  <c r="S196" i="1" s="1"/>
  <c r="U179" i="1"/>
  <c r="S179" i="1" s="1"/>
  <c r="U216" i="1"/>
  <c r="S216" i="1" s="1"/>
  <c r="U57" i="1"/>
  <c r="S57" i="1" s="1"/>
  <c r="AI57" i="1"/>
  <c r="U142" i="1"/>
  <c r="S142" i="1" s="1"/>
  <c r="AI142" i="1"/>
  <c r="AI75" i="1"/>
  <c r="S44" i="1"/>
  <c r="W27" i="1"/>
  <c r="AI78" i="1"/>
  <c r="AI90" i="1"/>
  <c r="U110" i="1"/>
  <c r="S110" i="1" s="1"/>
  <c r="S102" i="1"/>
  <c r="AI105" i="1"/>
  <c r="AI171" i="1"/>
  <c r="AI203" i="1"/>
  <c r="U207" i="1"/>
  <c r="S207" i="1" s="1"/>
  <c r="AI225" i="1"/>
  <c r="U21" i="1"/>
  <c r="S21" i="1" s="1"/>
  <c r="AI21" i="1"/>
  <c r="W34" i="1"/>
  <c r="W21" i="1"/>
  <c r="U28" i="1"/>
  <c r="S28" i="1" s="1"/>
  <c r="W49" i="1"/>
  <c r="U65" i="1"/>
  <c r="S65" i="1" s="1"/>
  <c r="AI65" i="1"/>
  <c r="W102" i="1"/>
  <c r="W137" i="1"/>
  <c r="W205" i="1"/>
  <c r="W124" i="1"/>
  <c r="W171" i="1"/>
  <c r="W218" i="1"/>
  <c r="W29" i="1"/>
  <c r="W142" i="1"/>
  <c r="W182" i="1"/>
  <c r="W192" i="1"/>
  <c r="W65" i="1"/>
  <c r="U222" i="1"/>
  <c r="S222" i="1" s="1"/>
  <c r="AI222" i="1"/>
  <c r="W175" i="1"/>
  <c r="S36" i="1"/>
  <c r="AI124" i="1"/>
  <c r="U205" i="1"/>
  <c r="S205" i="1" s="1"/>
  <c r="AI184" i="1"/>
  <c r="AI196" i="1"/>
  <c r="U224" i="1"/>
  <c r="S224" i="1" s="1"/>
  <c r="AI224" i="1"/>
  <c r="S198" i="1"/>
  <c r="W225" i="1"/>
  <c r="W84" i="1"/>
  <c r="U130" i="1"/>
  <c r="S130" i="1" s="1"/>
  <c r="AI130" i="1"/>
  <c r="U138" i="1"/>
  <c r="S138" i="1" s="1"/>
  <c r="AI138" i="1"/>
  <c r="U146" i="1"/>
  <c r="S146" i="1" s="1"/>
  <c r="AI146" i="1"/>
  <c r="W198" i="1"/>
  <c r="U69" i="1"/>
  <c r="S69" i="1" s="1"/>
  <c r="AI69" i="1"/>
  <c r="U163" i="1"/>
  <c r="S163" i="1" s="1"/>
  <c r="W183" i="1"/>
  <c r="U20" i="1"/>
  <c r="S20" i="1" s="1"/>
  <c r="W184" i="1"/>
  <c r="W224" i="1"/>
  <c r="U84" i="1"/>
  <c r="S84" i="1" s="1"/>
  <c r="AI84" i="1"/>
  <c r="AI121" i="1"/>
  <c r="AI133" i="1"/>
  <c r="AI137" i="1"/>
  <c r="AI141" i="1"/>
  <c r="AI145" i="1"/>
  <c r="AI36" i="1"/>
  <c r="U90" i="1"/>
  <c r="S90" i="1" s="1"/>
  <c r="AI175" i="1"/>
  <c r="W154" i="1"/>
  <c r="W40" i="1"/>
  <c r="U61" i="1"/>
  <c r="S61" i="1" s="1"/>
  <c r="AI61" i="1"/>
  <c r="W75" i="1"/>
  <c r="U33" i="1"/>
  <c r="S33" i="1" s="1"/>
  <c r="W105" i="1"/>
  <c r="W103" i="1"/>
  <c r="W202" i="1"/>
  <c r="U48" i="1"/>
  <c r="S48" i="1" s="1"/>
  <c r="W133" i="1"/>
  <c r="W141" i="1"/>
  <c r="W203" i="1"/>
  <c r="W207" i="1"/>
  <c r="U217" i="1"/>
  <c r="S217" i="1" s="1"/>
  <c r="AI217" i="1"/>
  <c r="W191" i="1"/>
  <c r="W130" i="1"/>
  <c r="W138" i="1"/>
  <c r="W146" i="1"/>
  <c r="W208" i="1"/>
  <c r="U221" i="1"/>
  <c r="S221" i="1" s="1"/>
  <c r="U134" i="1"/>
  <c r="S134" i="1" s="1"/>
  <c r="AI134" i="1"/>
  <c r="W168" i="1"/>
  <c r="W134" i="1"/>
  <c r="W217" i="1"/>
  <c r="W196" i="1"/>
  <c r="U116" i="1"/>
  <c r="S116" i="1" s="1"/>
  <c r="AI116" i="1"/>
  <c r="AI123" i="1"/>
  <c r="U123" i="1"/>
  <c r="S123" i="1" s="1"/>
  <c r="AI127" i="1"/>
  <c r="U127" i="1"/>
  <c r="S127" i="1" s="1"/>
  <c r="AI131" i="1"/>
  <c r="U131" i="1"/>
  <c r="S131" i="1" s="1"/>
  <c r="AI135" i="1"/>
  <c r="U135" i="1"/>
  <c r="S135" i="1" s="1"/>
  <c r="AI139" i="1"/>
  <c r="U139" i="1"/>
  <c r="S139" i="1" s="1"/>
  <c r="AI143" i="1"/>
  <c r="U143" i="1"/>
  <c r="S143" i="1" s="1"/>
  <c r="AI147" i="1"/>
  <c r="U147" i="1"/>
  <c r="S147" i="1" s="1"/>
  <c r="AI223" i="1"/>
  <c r="U213" i="1"/>
  <c r="S213" i="1" s="1"/>
  <c r="AI67" i="1"/>
  <c r="U67" i="1"/>
  <c r="U100" i="1"/>
  <c r="S100" i="1" s="1"/>
  <c r="AI100" i="1"/>
  <c r="U51" i="1"/>
  <c r="S51" i="1" s="1"/>
  <c r="AI51" i="1"/>
  <c r="W51" i="1"/>
  <c r="U58" i="1"/>
  <c r="S58" i="1" s="1"/>
  <c r="AI58" i="1"/>
  <c r="U74" i="1"/>
  <c r="S74" i="1" s="1"/>
  <c r="AI74" i="1"/>
  <c r="AI52" i="1"/>
  <c r="U52" i="1"/>
  <c r="S52" i="1" s="1"/>
  <c r="U96" i="1"/>
  <c r="S96" i="1" s="1"/>
  <c r="AI96" i="1"/>
  <c r="W74" i="1"/>
  <c r="W86" i="1"/>
  <c r="U112" i="1"/>
  <c r="S112" i="1" s="1"/>
  <c r="AI112" i="1"/>
  <c r="AI120" i="1"/>
  <c r="U120" i="1"/>
  <c r="S120" i="1" s="1"/>
  <c r="U104" i="1"/>
  <c r="S104" i="1" s="1"/>
  <c r="AI104" i="1"/>
  <c r="W120" i="1"/>
  <c r="W131" i="1"/>
  <c r="W147" i="1"/>
  <c r="W127" i="1"/>
  <c r="W143" i="1"/>
  <c r="U206" i="1"/>
  <c r="S206" i="1" s="1"/>
  <c r="AI162" i="1"/>
  <c r="U210" i="1"/>
  <c r="S210" i="1" s="1"/>
  <c r="AI166" i="1"/>
  <c r="U219" i="1"/>
  <c r="S219" i="1" s="1"/>
  <c r="AI170" i="1"/>
  <c r="U223" i="1"/>
  <c r="S223" i="1" s="1"/>
  <c r="AI174" i="1"/>
  <c r="U154" i="1"/>
  <c r="S154" i="1" s="1"/>
  <c r="AI178" i="1"/>
  <c r="U158" i="1"/>
  <c r="S158" i="1" s="1"/>
  <c r="AI182" i="1"/>
  <c r="U161" i="1"/>
  <c r="S161" i="1" s="1"/>
  <c r="AI186" i="1"/>
  <c r="U165" i="1"/>
  <c r="S165" i="1" s="1"/>
  <c r="AI190" i="1"/>
  <c r="U169" i="1"/>
  <c r="S169" i="1" s="1"/>
  <c r="AI194" i="1"/>
  <c r="U173" i="1"/>
  <c r="S173" i="1" s="1"/>
  <c r="AI198" i="1"/>
  <c r="U177" i="1"/>
  <c r="S177" i="1" s="1"/>
  <c r="AI202" i="1"/>
  <c r="U181" i="1"/>
  <c r="S181" i="1" s="1"/>
  <c r="AI206" i="1"/>
  <c r="U185" i="1"/>
  <c r="S185" i="1" s="1"/>
  <c r="AI210" i="1"/>
  <c r="U189" i="1"/>
  <c r="S189" i="1" s="1"/>
  <c r="AI214" i="1"/>
  <c r="U193" i="1"/>
  <c r="S193" i="1" s="1"/>
  <c r="AI218" i="1"/>
  <c r="U197" i="1"/>
  <c r="S197" i="1" s="1"/>
  <c r="W223" i="1"/>
  <c r="W165" i="1"/>
  <c r="W181" i="1"/>
  <c r="W197" i="1"/>
  <c r="S23" i="1"/>
  <c r="AI23" i="1"/>
  <c r="U23" i="1"/>
  <c r="AI27" i="1"/>
  <c r="U27" i="1"/>
  <c r="S27" i="1" s="1"/>
  <c r="AI31" i="1"/>
  <c r="U31" i="1"/>
  <c r="S31" i="1" s="1"/>
  <c r="AI35" i="1"/>
  <c r="U35" i="1"/>
  <c r="S35" i="1" s="1"/>
  <c r="AI39" i="1"/>
  <c r="U39" i="1"/>
  <c r="S39" i="1" s="1"/>
  <c r="AI43" i="1"/>
  <c r="U43" i="1"/>
  <c r="S43" i="1" s="1"/>
  <c r="AI47" i="1"/>
  <c r="U47" i="1"/>
  <c r="S47" i="1" s="1"/>
  <c r="W23" i="1"/>
  <c r="U54" i="1"/>
  <c r="S54" i="1" s="1"/>
  <c r="AI54" i="1"/>
  <c r="U70" i="1"/>
  <c r="S70" i="1" s="1"/>
  <c r="AI70" i="1"/>
  <c r="AI55" i="1"/>
  <c r="U55" i="1"/>
  <c r="S55" i="1" s="1"/>
  <c r="AI63" i="1"/>
  <c r="U63" i="1"/>
  <c r="S63" i="1" s="1"/>
  <c r="AI71" i="1"/>
  <c r="U71" i="1"/>
  <c r="S71" i="1" s="1"/>
  <c r="W47" i="1"/>
  <c r="W54" i="1"/>
  <c r="U86" i="1"/>
  <c r="S86" i="1" s="1"/>
  <c r="AI86" i="1"/>
  <c r="U92" i="1"/>
  <c r="S92" i="1" s="1"/>
  <c r="AI92" i="1"/>
  <c r="W63" i="1"/>
  <c r="W71" i="1"/>
  <c r="U85" i="1"/>
  <c r="S85" i="1" s="1"/>
  <c r="AI85" i="1"/>
  <c r="W92" i="1"/>
  <c r="U108" i="1"/>
  <c r="S108" i="1" s="1"/>
  <c r="AI108" i="1"/>
  <c r="W85" i="1"/>
  <c r="W210" i="1"/>
  <c r="W219" i="1"/>
  <c r="W161" i="1"/>
  <c r="U62" i="1"/>
  <c r="S62" i="1" s="1"/>
  <c r="AI62" i="1"/>
  <c r="AI59" i="1"/>
  <c r="U59" i="1"/>
  <c r="S59" i="1" s="1"/>
  <c r="W67" i="1"/>
  <c r="AI14" i="1"/>
  <c r="U14" i="1"/>
  <c r="S14" i="1" s="1"/>
  <c r="AI18" i="1"/>
  <c r="U18" i="1"/>
  <c r="S18" i="1" s="1"/>
  <c r="AI22" i="1"/>
  <c r="U22" i="1"/>
  <c r="S22" i="1" s="1"/>
  <c r="AI15" i="1"/>
  <c r="U15" i="1"/>
  <c r="S15" i="1" s="1"/>
  <c r="AI19" i="1"/>
  <c r="U19" i="1"/>
  <c r="S19" i="1" s="1"/>
  <c r="W31" i="1"/>
  <c r="W35" i="1"/>
  <c r="U66" i="1"/>
  <c r="S66" i="1" s="1"/>
  <c r="AI66" i="1"/>
  <c r="U81" i="1"/>
  <c r="S81" i="1" s="1"/>
  <c r="AI81" i="1"/>
  <c r="U88" i="1"/>
  <c r="S88" i="1" s="1"/>
  <c r="AI88" i="1"/>
  <c r="W66" i="1"/>
  <c r="W58" i="1"/>
  <c r="W81" i="1"/>
  <c r="W108" i="1"/>
  <c r="W116" i="1"/>
  <c r="W123" i="1"/>
  <c r="W139" i="1"/>
  <c r="W135" i="1"/>
  <c r="W158" i="1"/>
  <c r="W173" i="1"/>
  <c r="W189" i="1"/>
  <c r="W213" i="1"/>
  <c r="AD37" i="3"/>
  <c r="AC9" i="3"/>
  <c r="Y9" i="3"/>
  <c r="B53" i="9" l="1"/>
  <c r="B54" i="9"/>
  <c r="C54" i="9" s="1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77" i="9" l="1"/>
  <c r="C73" i="9"/>
  <c r="C69" i="9"/>
  <c r="C65" i="9"/>
  <c r="C61" i="9"/>
  <c r="C57" i="9"/>
  <c r="AD9" i="3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1" i="3" l="1"/>
  <c r="N42" i="3"/>
  <c r="N41" i="3"/>
  <c r="N31" i="3"/>
  <c r="N36" i="3"/>
  <c r="N7" i="3"/>
  <c r="N15" i="3"/>
  <c r="N14" i="3"/>
  <c r="N10" i="3"/>
  <c r="N12" i="3"/>
  <c r="N11" i="3"/>
  <c r="N17" i="3"/>
  <c r="N20" i="3"/>
  <c r="N28" i="3"/>
  <c r="N27" i="3"/>
  <c r="N23" i="3"/>
  <c r="N40" i="3"/>
  <c r="N39" i="3"/>
  <c r="N18" i="3"/>
  <c r="N8" i="3"/>
  <c r="N29" i="3"/>
  <c r="N30" i="3"/>
  <c r="N44" i="3"/>
  <c r="N13" i="3"/>
  <c r="N16" i="3"/>
  <c r="N45" i="3"/>
  <c r="N25" i="3"/>
  <c r="N26" i="3"/>
  <c r="N46" i="3"/>
  <c r="N32" i="3"/>
  <c r="N34" i="3"/>
  <c r="N22" i="3"/>
  <c r="N33" i="3"/>
  <c r="N35" i="3"/>
  <c r="N47" i="3"/>
  <c r="N19" i="3"/>
  <c r="N43" i="3"/>
  <c r="N24" i="3"/>
  <c r="N37" i="3"/>
  <c r="N38" i="3"/>
  <c r="N9" i="3"/>
  <c r="L13" i="1"/>
  <c r="B5" i="6" l="1"/>
  <c r="H5" i="6" s="1"/>
  <c r="K5" i="6"/>
  <c r="B6" i="6"/>
  <c r="F6" i="6" s="1"/>
  <c r="K6" i="6"/>
  <c r="B7" i="6"/>
  <c r="G7" i="6" s="1"/>
  <c r="K7" i="6"/>
  <c r="B8" i="6"/>
  <c r="H8" i="6" s="1"/>
  <c r="K8" i="6"/>
  <c r="B9" i="6"/>
  <c r="H9" i="6" s="1"/>
  <c r="K9" i="6"/>
  <c r="F7" i="6" l="1"/>
  <c r="J8" i="6"/>
  <c r="I5" i="6"/>
  <c r="G9" i="6"/>
  <c r="J9" i="6"/>
  <c r="F9" i="6"/>
  <c r="I8" i="6"/>
  <c r="G5" i="6"/>
  <c r="G8" i="6"/>
  <c r="J7" i="6"/>
  <c r="J5" i="6"/>
  <c r="F5" i="6"/>
  <c r="I9" i="6"/>
  <c r="F8" i="6"/>
  <c r="I7" i="6"/>
  <c r="I6" i="6"/>
  <c r="H6" i="6"/>
  <c r="H7" i="6"/>
  <c r="G6" i="6"/>
  <c r="J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K4" i="6"/>
  <c r="I4" i="6" l="1"/>
  <c r="F3" i="6"/>
  <c r="J3" i="6"/>
  <c r="J4" i="6"/>
  <c r="F4" i="6"/>
  <c r="I3" i="6"/>
  <c r="M30" i="5" l="1"/>
  <c r="M29" i="5"/>
  <c r="M27" i="5"/>
  <c r="G3" i="6" l="1"/>
  <c r="G4" i="6" l="1"/>
  <c r="H3" i="6"/>
  <c r="H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<sst xmlns="http://schemas.openxmlformats.org/spreadsheetml/2006/main" count="3607" uniqueCount="931">
  <si>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</si>
  <si>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</si>
  <si>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</si>
  <si>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</si>
  <si>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</si>
  <si>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</si>
  <si>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</si>
  <si>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</si>
  <si>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</si>
  <si>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</si>
  <si>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</si>
  <si>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</si>
  <si>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</si>
  <si>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</si>
  <si>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</si>
  <si>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</si>
  <si>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</si>
  <si>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</si>
  <si>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</si>
  <si>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</si>
  <si>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</si>
  <si>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</si>
  <si>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</si>
  <si>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</si>
  <si>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</si>
  <si>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</si>
  <si>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</si>
  <si>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</si>
  <si>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</si>
  <si>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</si>
  <si>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</si>
  <si>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</si>
  <si>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</si>
  <si>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</si>
  <si>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</si>
  <si>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</si>
  <si>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</si>
  <si>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</si>
  <si>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</si>
  <si>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</si>
  <si>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</si>
  <si>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</si>
  <si>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</si>
  <si>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</si>
  <si>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</si>
  <si>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</si>
  <si>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</si>
  <si>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</si>
  <si>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</si>
  <si>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</si>
  <si>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</si>
  <si>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</si>
  <si>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</si>
  <si>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</si>
  <si>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</si>
  <si>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</si>
  <si>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</si>
  <si>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</si>
  <si>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</si>
  <si>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</si>
  <si>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</si>
  <si>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</si>
  <si>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</si>
  <si>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</si>
  <si>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</si>
  <si>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</si>
  <si>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</si>
  <si>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</si>
  <si>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</si>
  <si>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</si>
  <si>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</si>
  <si>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</si>
  <si>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</si>
  <si>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</si>
  <si>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</si>
  <si>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</si>
  <si>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</si>
  <si>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</si>
  <si>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</si>
  <si>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</si>
  <si>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</si>
  <si>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</si>
  <si>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</si>
  <si>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</si>
  <si>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</si>
  <si>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</si>
  <si>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</si>
  <si>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</si>
  <si>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</si>
  <si>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</si>
  <si>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</si>
  <si>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</si>
  <si>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</si>
  <si>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</si>
  <si>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</si>
  <si>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</si>
  <si>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</si>
  <si>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</si>
  <si>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</si>
  <si>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</si>
  <si>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</si>
  <si>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</si>
  <si>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</si>
  <si>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</si>
  <si>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</si>
  <si>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</si>
  <si>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</si>
  <si>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</si>
  <si>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</si>
  <si>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</si>
  <si>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</si>
  <si>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</si>
  <si>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</si>
  <si>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</si>
  <si>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</si>
  <si>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</si>
  <si>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</si>
  <si>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</si>
  <si>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</si>
  <si>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</si>
  <si>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</si>
  <si>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</si>
  <si>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</si>
  <si>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</si>
  <si>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</si>
  <si>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</si>
  <si>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</si>
  <si>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</si>
  <si>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</si>
  <si>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</si>
  <si>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</si>
  <si>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</si>
  <si>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</si>
  <si>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</si>
  <si>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</si>
  <si>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</si>
  <si>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</si>
  <si>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</si>
  <si>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</si>
  <si>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</si>
  <si>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</si>
  <si>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</si>
  <si>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</si>
  <si>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</si>
  <si>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</si>
  <si>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</si>
  <si>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</si>
  <si>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</si>
  <si>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</si>
  <si>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</si>
  <si>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</si>
  <si>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</si>
  <si>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</si>
  <si>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</si>
  <si>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</si>
  <si>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</si>
  <si>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</si>
  <si>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</si>
  <si>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</si>
  <si>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</si>
  <si>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</si>
  <si>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</si>
  <si>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</si>
  <si>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</si>
  <si>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</si>
  <si>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</si>
  <si>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</si>
  <si>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</si>
  <si>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</si>
  <si>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</si>
  <si>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</si>
  <si>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</si>
  <si>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</si>
  <si>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</si>
  <si>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</si>
  <si>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</si>
  <si>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</si>
  <si>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</si>
  <si>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</si>
  <si>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</si>
  <si>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</si>
  <si>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</si>
  <si>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</si>
  <si>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</si>
  <si>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</si>
  <si>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</si>
  <si>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</si>
  <si>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</si>
  <si>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</si>
  <si>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</si>
  <si>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</si>
  <si>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</si>
  <si>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</si>
  <si>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</si>
  <si>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</si>
  <si>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</si>
  <si>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</si>
  <si>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</si>
  <si>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</si>
  <si>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</si>
  <si>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</si>
  <si>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</si>
  <si>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</si>
  <si>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</si>
  <si>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</si>
  <si>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</si>
  <si>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</si>
  <si>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</si>
  <si>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</si>
  <si>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</si>
  <si>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</si>
  <si>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</si>
  <si>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</si>
  <si>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</si>
  <si>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</si>
  <si>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</si>
  <si>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</si>
  <si>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</si>
  <si>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</si>
  <si>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</si>
  <si>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</si>
  <si>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</si>
  <si>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</si>
  <si>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</si>
  <si>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</si>
  <si>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</si>
  <si>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</si>
  <si>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</si>
  <si>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</si>
  <si>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</si>
  <si>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</si>
  <si>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</si>
  <si>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</si>
  <si>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</si>
  <si>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</si>
  <si>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</si>
  <si>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</si>
  <si>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</si>
  <si>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</si>
  <si>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</si>
  <si>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</si>
  <si>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</si>
  <si>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</si>
  <si>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</si>
  <si>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</si>
  <si>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</si>
  <si>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</si>
  <si>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</si>
  <si>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</si>
  <si>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</si>
  <si>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</si>
  <si>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</si>
  <si>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</si>
  <si>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</si>
  <si>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</si>
  <si>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</si>
  <si>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</si>
  <si>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</si>
  <si>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</si>
  <si>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</si>
  <si>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</si>
  <si>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</si>
  <si>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</si>
  <si>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</si>
  <si>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</si>
  <si>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</si>
  <si>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</si>
  <si>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</si>
  <si>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</si>
  <si>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</si>
  <si>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</si>
  <si>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</si>
  <si>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</si>
  <si>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</si>
  <si>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</si>
  <si>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</si>
  <si>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</si>
  <si>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</si>
  <si>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</si>
  <si>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</si>
  <si>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</si>
  <si>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</si>
  <si>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300:58623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</si>
  <si>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</si>
  <si>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</si>
  <si>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</si>
  <si>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</si>
  <si>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</si>
  <si>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</si>
  <si>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</si>
  <si>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</si>
  <si>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</si>
  <si>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</si>
  <si>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204:233015</t>
  </si>
  <si>
    <t>204:232991</t>
  </si>
  <si>
    <t>JOHN</t>
  </si>
  <si>
    <t>IAN</t>
  </si>
  <si>
    <t>MICHAEL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</si>
  <si>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</si>
  <si>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</si>
  <si>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</si>
  <si>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</si>
  <si>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</si>
  <si>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</si>
  <si>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</si>
  <si>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rtdc.l.rtdc.4028:itc</t>
  </si>
  <si>
    <t>rtdc.l.rtdc.4027:itc</t>
  </si>
  <si>
    <t>rtdc.l.rtdc.4019:itc</t>
  </si>
  <si>
    <t>rtdc.l.rtdc.4020:itc</t>
  </si>
  <si>
    <t>rtdc.l.rtdc.4018:itc</t>
  </si>
  <si>
    <t>204:469</t>
  </si>
  <si>
    <t>204:233282</t>
  </si>
  <si>
    <t>204:232978</t>
  </si>
  <si>
    <t>204:232967</t>
  </si>
  <si>
    <t>300:58619</t>
  </si>
  <si>
    <t>KELVIN</t>
  </si>
  <si>
    <t>KILLION</t>
  </si>
  <si>
    <t>CLARK</t>
  </si>
  <si>
    <t>KATHLEEN</t>
  </si>
  <si>
    <t>STEWART</t>
  </si>
  <si>
    <t>BARTLETT</t>
  </si>
  <si>
    <t>KIANDRA</t>
  </si>
  <si>
    <t>BRUDER</t>
  </si>
  <si>
    <t>RICHARD</t>
  </si>
  <si>
    <t>HAITHCOX</t>
  </si>
  <si>
    <t>NEWELL</t>
  </si>
  <si>
    <t>204:453</t>
  </si>
  <si>
    <t>204:444</t>
  </si>
  <si>
    <t>204:233315</t>
  </si>
  <si>
    <t>204:232986</t>
  </si>
  <si>
    <t>204:233291</t>
  </si>
  <si>
    <t>204:475</t>
  </si>
  <si>
    <t>204:233293</t>
  </si>
  <si>
    <t>204:440</t>
  </si>
  <si>
    <t>204:233295</t>
  </si>
  <si>
    <t>204:689</t>
  </si>
  <si>
    <t>STARKS</t>
  </si>
  <si>
    <t>ANGELINA</t>
  </si>
  <si>
    <t>ROMERO</t>
  </si>
  <si>
    <t>CHAD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</si>
  <si>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</si>
  <si>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</si>
  <si>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</si>
  <si>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</si>
  <si>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</si>
  <si>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</si>
  <si>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</si>
  <si>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</si>
  <si>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</si>
  <si>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</si>
  <si>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300:58958</t>
  </si>
  <si>
    <t>300:58624</t>
  </si>
  <si>
    <t>300:58939</t>
  </si>
  <si>
    <t>204:680</t>
  </si>
  <si>
    <t>300:58941</t>
  </si>
  <si>
    <t>204:232994</t>
  </si>
  <si>
    <t>204:233284</t>
  </si>
  <si>
    <t>204:233280</t>
  </si>
  <si>
    <t>204:232972</t>
  </si>
  <si>
    <t>204:233281</t>
  </si>
  <si>
    <t>300:22843</t>
  </si>
  <si>
    <t>rtdc.l.rtdc.4015:itc</t>
  </si>
  <si>
    <t>SWITCH UNKNOWN</t>
  </si>
  <si>
    <t>Track device (7)</t>
  </si>
  <si>
    <t>rtdc.l.rtdc.4007:itc</t>
  </si>
  <si>
    <t>MAGEE</t>
  </si>
  <si>
    <t>KENYA</t>
  </si>
  <si>
    <t>DAVIS</t>
  </si>
  <si>
    <t>WENDY</t>
  </si>
  <si>
    <t>AEIMEN</t>
  </si>
  <si>
    <t>rtdc.l.rtdc.4008:itc</t>
  </si>
  <si>
    <t>BONDS</t>
  </si>
  <si>
    <t>REYNALDO</t>
  </si>
  <si>
    <t>HELVIE</t>
  </si>
  <si>
    <t>ADAM</t>
  </si>
  <si>
    <t>KAMDEN</t>
  </si>
  <si>
    <t>DELGADO</t>
  </si>
  <si>
    <t>DIANAH</t>
  </si>
  <si>
    <t>242-05</t>
  </si>
  <si>
    <t>311-05</t>
  </si>
  <si>
    <t>244-05</t>
  </si>
  <si>
    <t>313-05</t>
  </si>
  <si>
    <t>315-05</t>
  </si>
  <si>
    <t>204:232668</t>
  </si>
  <si>
    <t>204:232974</t>
  </si>
  <si>
    <t>204:233309</t>
  </si>
  <si>
    <t>204:232976</t>
  </si>
  <si>
    <t>204:489</t>
  </si>
  <si>
    <t>204:462</t>
  </si>
  <si>
    <t>204:233319</t>
  </si>
  <si>
    <t>204:232996</t>
  </si>
  <si>
    <t>204:233288</t>
  </si>
  <si>
    <t>204:232992</t>
  </si>
  <si>
    <t>204:488</t>
  </si>
  <si>
    <t>204:233005</t>
  </si>
  <si>
    <t>204:233327</t>
  </si>
  <si>
    <t>204:233009</t>
  </si>
  <si>
    <t>204:232957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</si>
  <si>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</si>
  <si>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</si>
  <si>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</si>
  <si>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</si>
  <si>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</si>
  <si>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</si>
  <si>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</si>
  <si>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</si>
  <si>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300:58924</t>
  </si>
  <si>
    <t>300:58600</t>
  </si>
  <si>
    <t>204:962</t>
  </si>
  <si>
    <t>204:964</t>
  </si>
  <si>
    <t>204:694</t>
  </si>
  <si>
    <t>300:58935</t>
  </si>
  <si>
    <t>204:678</t>
  </si>
  <si>
    <t>204:960</t>
  </si>
  <si>
    <t>300:58929</t>
  </si>
  <si>
    <t>204:699</t>
  </si>
  <si>
    <t>204:691</t>
  </si>
  <si>
    <t>204:967</t>
  </si>
  <si>
    <t>300:58613</t>
  </si>
  <si>
    <t>204:666</t>
  </si>
  <si>
    <t>204:677</t>
  </si>
  <si>
    <t>105-06</t>
  </si>
  <si>
    <t>106-06</t>
  </si>
  <si>
    <t>804-06</t>
  </si>
  <si>
    <t>114-06</t>
  </si>
  <si>
    <t>116-06</t>
  </si>
  <si>
    <t>120-06</t>
  </si>
  <si>
    <t>809-06</t>
  </si>
  <si>
    <t>131-06</t>
  </si>
  <si>
    <t>810-06</t>
  </si>
  <si>
    <t>TEMPORARY SPEED RESTRICTION</t>
  </si>
  <si>
    <t>812-06</t>
  </si>
  <si>
    <t>130-06</t>
  </si>
  <si>
    <t>814-06</t>
  </si>
  <si>
    <t>140-06</t>
  </si>
  <si>
    <t>815-06</t>
  </si>
  <si>
    <t>155-06</t>
  </si>
  <si>
    <t>rtdc.l.rtdc.4045:itc</t>
  </si>
  <si>
    <t>50-06</t>
  </si>
  <si>
    <t>818-06</t>
  </si>
  <si>
    <t>161-06</t>
  </si>
  <si>
    <t>822-06</t>
  </si>
  <si>
    <t>180-06</t>
  </si>
  <si>
    <t>187-06</t>
  </si>
  <si>
    <t>904-06</t>
  </si>
  <si>
    <t>831-06</t>
  </si>
  <si>
    <t>206-06</t>
  </si>
  <si>
    <t>208-06</t>
  </si>
  <si>
    <t>219-06</t>
  </si>
  <si>
    <t>303-06</t>
  </si>
  <si>
    <t>840-06</t>
  </si>
  <si>
    <t>307-06</t>
  </si>
  <si>
    <t>844-06</t>
  </si>
  <si>
    <t>241-06</t>
  </si>
  <si>
    <t>240-06</t>
  </si>
  <si>
    <t>242-06</t>
  </si>
  <si>
    <t>302-06</t>
  </si>
  <si>
    <t>101-06</t>
  </si>
  <si>
    <t>304-06</t>
  </si>
  <si>
    <t>103-06</t>
  </si>
  <si>
    <t>306-06</t>
  </si>
  <si>
    <t>308-06</t>
  </si>
  <si>
    <t>102-06</t>
  </si>
  <si>
    <t>107-06</t>
  </si>
  <si>
    <t>310-06</t>
  </si>
  <si>
    <t>104-06</t>
  </si>
  <si>
    <t>109-06</t>
  </si>
  <si>
    <t>901-06</t>
  </si>
  <si>
    <t>111-06</t>
  </si>
  <si>
    <t>GEBRETEKLE</t>
  </si>
  <si>
    <t>DAGNEW</t>
  </si>
  <si>
    <t>113-06</t>
  </si>
  <si>
    <t>800-06</t>
  </si>
  <si>
    <t>108-06</t>
  </si>
  <si>
    <t>115-06</t>
  </si>
  <si>
    <t>ROCHA</t>
  </si>
  <si>
    <t>YAOTL</t>
  </si>
  <si>
    <t>117-06</t>
  </si>
  <si>
    <t>110-06</t>
  </si>
  <si>
    <t>902-06</t>
  </si>
  <si>
    <t>801-06</t>
  </si>
  <si>
    <t>112-06</t>
  </si>
  <si>
    <t>119-06</t>
  </si>
  <si>
    <t>802-06</t>
  </si>
  <si>
    <t>121-06</t>
  </si>
  <si>
    <t>803-06</t>
  </si>
  <si>
    <t>123-06</t>
  </si>
  <si>
    <t>118-06</t>
  </si>
  <si>
    <t>125-06</t>
  </si>
  <si>
    <t>805-06</t>
  </si>
  <si>
    <t>127-06</t>
  </si>
  <si>
    <t>122-06</t>
  </si>
  <si>
    <t>806-06</t>
  </si>
  <si>
    <t>129-06</t>
  </si>
  <si>
    <t>SANTIZO</t>
  </si>
  <si>
    <t>D. EDY</t>
  </si>
  <si>
    <t>807-06</t>
  </si>
  <si>
    <t>124-06</t>
  </si>
  <si>
    <t>126-06</t>
  </si>
  <si>
    <t>808-06</t>
  </si>
  <si>
    <t>133-06</t>
  </si>
  <si>
    <t>128-06</t>
  </si>
  <si>
    <t>135-06</t>
  </si>
  <si>
    <t>137-06</t>
  </si>
  <si>
    <t>811-06</t>
  </si>
  <si>
    <t>132-06</t>
  </si>
  <si>
    <t>139-06</t>
  </si>
  <si>
    <t>134-06</t>
  </si>
  <si>
    <t>903-06</t>
  </si>
  <si>
    <t>141-06</t>
  </si>
  <si>
    <t>136-06</t>
  </si>
  <si>
    <t>143-06</t>
  </si>
  <si>
    <t>138-06</t>
  </si>
  <si>
    <t>145-06</t>
  </si>
  <si>
    <t>813-06</t>
  </si>
  <si>
    <t>147-06</t>
  </si>
  <si>
    <t>142-06</t>
  </si>
  <si>
    <t>149-06</t>
  </si>
  <si>
    <t>144-06</t>
  </si>
  <si>
    <t>151-06</t>
  </si>
  <si>
    <t>146-06</t>
  </si>
  <si>
    <t>153-06</t>
  </si>
  <si>
    <t>148-06</t>
  </si>
  <si>
    <t>150-06</t>
  </si>
  <si>
    <t>816-06</t>
  </si>
  <si>
    <t>157-06</t>
  </si>
  <si>
    <t>152-06</t>
  </si>
  <si>
    <t>159-06</t>
  </si>
  <si>
    <t>52-06</t>
  </si>
  <si>
    <t>154-06</t>
  </si>
  <si>
    <t>53-06</t>
  </si>
  <si>
    <t>HAUSER</t>
  </si>
  <si>
    <t>FRANK</t>
  </si>
  <si>
    <t>817-06</t>
  </si>
  <si>
    <t>165-06</t>
  </si>
  <si>
    <t>158-06</t>
  </si>
  <si>
    <t>156-06</t>
  </si>
  <si>
    <t>162-06</t>
  </si>
  <si>
    <t>819-06</t>
  </si>
  <si>
    <t>169-06</t>
  </si>
  <si>
    <t>164-06</t>
  </si>
  <si>
    <t>166-06</t>
  </si>
  <si>
    <t>171-06</t>
  </si>
  <si>
    <t>STORY</t>
  </si>
  <si>
    <t>SAMANTHA</t>
  </si>
  <si>
    <t>820-06</t>
  </si>
  <si>
    <t>168-06</t>
  </si>
  <si>
    <t>175-06</t>
  </si>
  <si>
    <t>170-06</t>
  </si>
  <si>
    <t>55-06</t>
  </si>
  <si>
    <t>177-06</t>
  </si>
  <si>
    <t>MAHAN</t>
  </si>
  <si>
    <t>DUANE</t>
  </si>
  <si>
    <t>821-06</t>
  </si>
  <si>
    <t>51-06</t>
  </si>
  <si>
    <t>172-06</t>
  </si>
  <si>
    <t>179-06</t>
  </si>
  <si>
    <t>174-06</t>
  </si>
  <si>
    <t>181-06</t>
  </si>
  <si>
    <t>183-06</t>
  </si>
  <si>
    <t>176-06</t>
  </si>
  <si>
    <t>64-06</t>
  </si>
  <si>
    <t>178-06</t>
  </si>
  <si>
    <t>185-06</t>
  </si>
  <si>
    <t>823-06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</si>
  <si>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</si>
  <si>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</si>
  <si>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</si>
  <si>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</si>
  <si>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</si>
  <si>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</si>
  <si>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</si>
  <si>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</si>
  <si>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188-06</t>
  </si>
  <si>
    <t>195-06</t>
  </si>
  <si>
    <t>827-06</t>
  </si>
  <si>
    <t>190-06</t>
  </si>
  <si>
    <t>826-06</t>
  </si>
  <si>
    <t>197-06</t>
  </si>
  <si>
    <t>192-06</t>
  </si>
  <si>
    <t>194-06</t>
  </si>
  <si>
    <t>199-06</t>
  </si>
  <si>
    <t>828-06</t>
  </si>
  <si>
    <t>201-06</t>
  </si>
  <si>
    <t>829-06</t>
  </si>
  <si>
    <t>196-06</t>
  </si>
  <si>
    <t>198-06</t>
  </si>
  <si>
    <t>203-06</t>
  </si>
  <si>
    <t>830-06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</si>
  <si>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</si>
  <si>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</si>
  <si>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</si>
  <si>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</si>
  <si>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</si>
  <si>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</si>
  <si>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</si>
  <si>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</si>
  <si>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</si>
  <si>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835-06</t>
  </si>
  <si>
    <t>65-06</t>
  </si>
  <si>
    <t>BERLING</t>
  </si>
  <si>
    <t>GARY</t>
  </si>
  <si>
    <t>834-06</t>
  </si>
  <si>
    <t>213-06</t>
  </si>
  <si>
    <t>70-06</t>
  </si>
  <si>
    <t>MCREYNOLDS</t>
  </si>
  <si>
    <t>KYLE</t>
  </si>
  <si>
    <t>215-06</t>
  </si>
  <si>
    <t>210-06</t>
  </si>
  <si>
    <t>836-06</t>
  </si>
  <si>
    <t>217-06</t>
  </si>
  <si>
    <t>212-06</t>
  </si>
  <si>
    <t>837-06</t>
  </si>
  <si>
    <t>214-06</t>
  </si>
  <si>
    <t>839-06</t>
  </si>
  <si>
    <t>838-06</t>
  </si>
  <si>
    <t>216-06</t>
  </si>
  <si>
    <t>218-06</t>
  </si>
  <si>
    <t>221-06</t>
  </si>
  <si>
    <t>906-06</t>
  </si>
  <si>
    <t>305-06</t>
  </si>
  <si>
    <t>841-06</t>
  </si>
  <si>
    <t>223-06</t>
  </si>
  <si>
    <t>220-06</t>
  </si>
  <si>
    <t>222-06</t>
  </si>
  <si>
    <t>225-06</t>
  </si>
  <si>
    <t>843-06</t>
  </si>
  <si>
    <t>224-06</t>
  </si>
  <si>
    <t>228-06</t>
  </si>
  <si>
    <t>227-06</t>
  </si>
  <si>
    <t>842-06</t>
  </si>
  <si>
    <t>226-06</t>
  </si>
  <si>
    <t>229-06</t>
  </si>
  <si>
    <t>845-06</t>
  </si>
  <si>
    <t>231-06</t>
  </si>
  <si>
    <t>233-06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</si>
  <si>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</si>
  <si>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</si>
  <si>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</si>
  <si>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</si>
  <si>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</si>
  <si>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</si>
  <si>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</si>
  <si>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</si>
  <si>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</si>
  <si>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</si>
  <si>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</si>
  <si>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</si>
  <si>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</si>
  <si>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</si>
  <si>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</si>
  <si>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</si>
  <si>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</si>
  <si>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</si>
  <si>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</si>
  <si>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</si>
  <si>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</si>
  <si>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Heavy Snow</t>
  </si>
  <si>
    <t>204:232655</t>
  </si>
  <si>
    <t>204:772</t>
  </si>
  <si>
    <t>204:752</t>
  </si>
  <si>
    <t>204:232670</t>
  </si>
  <si>
    <t>204:233305</t>
  </si>
  <si>
    <t>204:233002</t>
  </si>
  <si>
    <t>204:116</t>
  </si>
  <si>
    <t>204:1309</t>
  </si>
  <si>
    <t>204:232984</t>
  </si>
  <si>
    <t>204:743</t>
  </si>
  <si>
    <t>204:230498</t>
  </si>
  <si>
    <t>204:232965</t>
  </si>
  <si>
    <t>204:232979</t>
  </si>
  <si>
    <t>204:766</t>
  </si>
  <si>
    <t>204:754</t>
  </si>
  <si>
    <t>204:232998</t>
  </si>
  <si>
    <t>204:1023</t>
  </si>
  <si>
    <t>204:233000</t>
  </si>
  <si>
    <t>204:170</t>
  </si>
  <si>
    <t>204:233311</t>
  </si>
  <si>
    <t>204:429</t>
  </si>
  <si>
    <t>204:233006</t>
  </si>
  <si>
    <t>204:280</t>
  </si>
  <si>
    <t>204:482</t>
  </si>
  <si>
    <t>204:129</t>
  </si>
  <si>
    <t>204:233286</t>
  </si>
  <si>
    <t>204:604</t>
  </si>
  <si>
    <t>204:233023</t>
  </si>
  <si>
    <t>204:233010</t>
  </si>
  <si>
    <t>204:154410</t>
  </si>
  <si>
    <t>204:118560</t>
  </si>
  <si>
    <t>204:103163</t>
  </si>
  <si>
    <t>204:233259</t>
  </si>
  <si>
    <t>204:172</t>
  </si>
  <si>
    <t>204:37173</t>
  </si>
  <si>
    <t>204:233351</t>
  </si>
  <si>
    <t>204:233353</t>
  </si>
  <si>
    <t>204:233255</t>
  </si>
  <si>
    <t>204:232950</t>
  </si>
  <si>
    <t>204:64605</t>
  </si>
  <si>
    <t>204:86368</t>
  </si>
  <si>
    <t>204:233340</t>
  </si>
  <si>
    <t>204:233053</t>
  </si>
  <si>
    <t>204:1050</t>
  </si>
  <si>
    <t>204:431</t>
  </si>
  <si>
    <t>204:233164</t>
  </si>
  <si>
    <t>204:232849</t>
  </si>
  <si>
    <t>204:422</t>
  </si>
  <si>
    <t>204:233283</t>
  </si>
  <si>
    <t>204:233380</t>
  </si>
  <si>
    <t>204:233072</t>
  </si>
  <si>
    <t>204:477</t>
  </si>
  <si>
    <t>204:233314</t>
  </si>
  <si>
    <t>204:225555</t>
  </si>
  <si>
    <t>204:233038</t>
  </si>
  <si>
    <t>204:497</t>
  </si>
  <si>
    <t>204:424</t>
  </si>
  <si>
    <t>204:232980</t>
  </si>
  <si>
    <t>204:185</t>
  </si>
  <si>
    <t>204:233323</t>
  </si>
  <si>
    <t>204:110</t>
  </si>
  <si>
    <t>204:233336</t>
  </si>
  <si>
    <t>204:233349</t>
  </si>
  <si>
    <t>204:233338</t>
  </si>
  <si>
    <t>204:233272</t>
  </si>
  <si>
    <t>204:88</t>
  </si>
  <si>
    <t>204:93</t>
  </si>
  <si>
    <t>204:398</t>
  </si>
  <si>
    <t>204:135</t>
  </si>
  <si>
    <t>204:233074</t>
  </si>
  <si>
    <t>204:91</t>
  </si>
  <si>
    <t>204:233274</t>
  </si>
  <si>
    <t>204:63729</t>
  </si>
  <si>
    <t>204:36773</t>
  </si>
  <si>
    <t>204:420</t>
  </si>
  <si>
    <t>300:23306</t>
  </si>
  <si>
    <t>300:22382</t>
  </si>
  <si>
    <t>300:23314</t>
  </si>
  <si>
    <t>300:23510</t>
  </si>
  <si>
    <t>204:132</t>
  </si>
  <si>
    <t>300:22572</t>
  </si>
  <si>
    <t>300:23338</t>
  </si>
  <si>
    <t>204:399</t>
  </si>
  <si>
    <t>300:23332</t>
  </si>
  <si>
    <t>204:435</t>
  </si>
  <si>
    <t>300:23304</t>
  </si>
  <si>
    <t>204:381</t>
  </si>
  <si>
    <t>300:23113</t>
  </si>
  <si>
    <t>204:383</t>
  </si>
  <si>
    <t>300:22846</t>
  </si>
  <si>
    <t>300:21950</t>
  </si>
  <si>
    <t>204:64</t>
  </si>
  <si>
    <t>204:385</t>
  </si>
  <si>
    <t>300:24224</t>
  </si>
  <si>
    <t>300:21935</t>
  </si>
  <si>
    <t>204:703</t>
  </si>
  <si>
    <t>300:24197</t>
  </si>
  <si>
    <t>204:1324</t>
  </si>
  <si>
    <t>300:23302</t>
  </si>
  <si>
    <t>300:58912</t>
  </si>
  <si>
    <t>300:21786</t>
  </si>
  <si>
    <t>204:140</t>
  </si>
  <si>
    <t>300:28765</t>
  </si>
  <si>
    <t>204:1160</t>
  </si>
  <si>
    <t>300:22060</t>
  </si>
  <si>
    <t>204:1462</t>
  </si>
  <si>
    <t>300:58659</t>
  </si>
  <si>
    <t>204:3443</t>
  </si>
  <si>
    <t>300:58960</t>
  </si>
  <si>
    <t>300:58658</t>
  </si>
  <si>
    <t>204:713</t>
  </si>
  <si>
    <t>204:986</t>
  </si>
  <si>
    <t>300:58916</t>
  </si>
  <si>
    <t>300:57983</t>
  </si>
  <si>
    <t>204:724</t>
  </si>
  <si>
    <t>204:1007</t>
  </si>
  <si>
    <t>300:58651</t>
  </si>
  <si>
    <t>204:757</t>
  </si>
  <si>
    <t>204:1002</t>
  </si>
  <si>
    <t>300:58926</t>
  </si>
  <si>
    <t>300:58609</t>
  </si>
  <si>
    <t>204:726</t>
  </si>
  <si>
    <t>204:1042</t>
  </si>
  <si>
    <t>204:850</t>
  </si>
  <si>
    <t>204:1000</t>
  </si>
  <si>
    <t>300:58615</t>
  </si>
  <si>
    <t>204:983</t>
  </si>
  <si>
    <t>300:58918</t>
  </si>
  <si>
    <t>300:58611</t>
  </si>
  <si>
    <t>204:717</t>
  </si>
  <si>
    <t>204:1011</t>
  </si>
  <si>
    <t>300:58617</t>
  </si>
  <si>
    <t>204:993</t>
  </si>
  <si>
    <t>300:58608</t>
  </si>
  <si>
    <t>300:58931</t>
  </si>
  <si>
    <t>204:715</t>
  </si>
  <si>
    <t>204:1006</t>
  </si>
  <si>
    <t>204:696</t>
  </si>
  <si>
    <t>204:972</t>
  </si>
  <si>
    <t>300:58933</t>
  </si>
  <si>
    <t>204:981</t>
  </si>
  <si>
    <t>300:58604</t>
  </si>
  <si>
    <t>204:687</t>
  </si>
  <si>
    <t>300:58630</t>
  </si>
  <si>
    <t>204:740</t>
  </si>
  <si>
    <t>300:58952</t>
  </si>
  <si>
    <t>204:1020</t>
  </si>
  <si>
    <t>300:29311</t>
  </si>
  <si>
    <t>300:32460</t>
  </si>
  <si>
    <t>300:30729</t>
  </si>
  <si>
    <t>204:1133</t>
  </si>
  <si>
    <t>300:24205</t>
  </si>
  <si>
    <t>300:23353</t>
  </si>
  <si>
    <t>300:21575</t>
  </si>
  <si>
    <t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t>
  </si>
  <si>
    <t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t>
  </si>
  <si>
    <t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t>
  </si>
  <si>
    <t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t>
  </si>
  <si>
    <t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t>
  </si>
  <si>
    <t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t>
  </si>
  <si>
    <t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</si>
  <si>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</si>
  <si>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t>
  </si>
  <si>
    <t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</si>
  <si>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</si>
  <si>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t>
  </si>
  <si>
    <t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t>
  </si>
  <si>
    <t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t>
  </si>
  <si>
    <t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t>
  </si>
  <si>
    <t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t>
  </si>
  <si>
    <t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t>
  </si>
  <si>
    <t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t>
  </si>
  <si>
    <t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t>
  </si>
  <si>
    <t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t>
  </si>
  <si>
    <t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</si>
  <si>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</si>
  <si>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Doors failed to open</t>
  </si>
  <si>
    <t>Hour-long Wi-MAX outage (Onboard)</t>
  </si>
  <si>
    <t>An hourlong Wi-MAX outage with this train, something funky occurred Onboard I think:  http://stevetu21.github.io/eaglep3/load_kml.html?kml=http://rtdc.gmaps-snips.s3.amazonaws.com/9e9d9064-8247-4f56-8980-87c666be9fdd.kml</t>
  </si>
  <si>
    <t>BPP was reading 83 entire time after init</t>
  </si>
  <si>
    <t>Chambers switch out of correspondence</t>
  </si>
  <si>
    <t>Repeated consist issues and then dispatcher cut out, then repeated init attempts unsuccessful. Conclusion: CCROC/crew/equipment mismatch</t>
  </si>
  <si>
    <t>Onboard in-route failure</t>
  </si>
  <si>
    <t>Stop test, no issue</t>
  </si>
  <si>
    <t>Operator error - phase break</t>
  </si>
  <si>
    <t>Cancelled?</t>
  </si>
  <si>
    <t>Early arrival</t>
  </si>
  <si>
    <t>Went active too close to signal</t>
  </si>
  <si>
    <t>Early arrival (41st)</t>
  </si>
  <si>
    <t>SYS :2016/12/06 12:52:15.990:ENFORCEMENT:Predictive Enforcement Action:  Target Number: 00001004  Target Speed:   0.0  Current Speed:   3.7</t>
  </si>
  <si>
    <t>SYS :2016/12/06 12:52:16.168:ENFORCEMENT:Predictive Enforcement Action:  Target Number: 00001004  Target Speed:   0.0  Current Speed:   3.7</t>
  </si>
  <si>
    <t>SYS :2016/12/06 12:52:16.182:ENFORCEMENT:Predictive Enforcement Action:  Target Number: 00001004  Target Speed:   0.0  Current Speed:   3.7</t>
  </si>
  <si>
    <t>SYS :2016/12/06 13:38:37.578:ENFORCEMENT:Reactive Enforcement Action:  Target Number: 00006026  Target Speed:   0.0  Current Speed:  13.1</t>
  </si>
  <si>
    <t>SYS :2016/12/06 13:38:37.597:ENFORCEMENT:Reactive Enforcement Action:  Target Number: 0000400F  Target Speed:   0.0  Current Speed:  13.1</t>
  </si>
  <si>
    <t>SYS :2016/12/06 13:38:37.726:ENFORCEMENT:Reactive Enforcement Action:  Target Number: 00006027  Target Speed:   0.0  Current Speed:  13.1</t>
  </si>
  <si>
    <t>SYS :2016/12/06 13:38:37.747:ENFORCEMENT:Reactive Enforcement Action:  Target Number: 0000400F  Target Speed:   0.0  Current Speed:  13.1</t>
  </si>
  <si>
    <t>SYS :2016/12/06 13:38:38.227:ENFORCEMENT:Reactive Enforcement Action:  Target Number: 00006027  Target Speed:   0.0  Current Speed:  13.1</t>
  </si>
  <si>
    <t>SYS :2016/12/06 13:38:38.247:ENFORCEMENT:Reactive Enforcement Action:  Target Number: 0000400F  Target Speed:   0.0  Current Speed:  13.1</t>
  </si>
  <si>
    <t>SYS :2016/12/06 13:42:02.562:ENFORCEMENT:Reactive Enforcement Action:  Target Number: 00006026  Target Speed:   0.0  Current Speed:   0.2</t>
  </si>
  <si>
    <t>SYS :2016/12/06 13:42:02.581:ENFORCEMENT:Reactive Enforcement Action:  Target Number: 00006038  Target Speed:   0.0  Current Speed:   0.2</t>
  </si>
  <si>
    <t>SYS :2016/12/06 13:42:02.711:ENFORCEMENT:Reactive Enforcement Action:  Target Number: 00006027  Target Speed:   0.0  Current Speed:   0.2</t>
  </si>
  <si>
    <t>SYS :2016/12/06 13:42:02.732:ENFORCEMENT:Reactive Enforcement Action:  Target Number: 00006039  Target Speed:   0.0  Current Speed:   0.2</t>
  </si>
  <si>
    <t>SYS :2016/12/06 13:42:03.203:ENFORCEMENT:Reactive Enforcement Action:  Target Number: 00006027  Target Speed:   0.0  Current Speed:   0.2</t>
  </si>
  <si>
    <t>SYS :2016/12/06 13:42:03.223:ENFORCEMENT:Reactive Enforcement Action:  Target Number: 00006039  Target Speed:   0.0  Current Speed:   0.2</t>
  </si>
  <si>
    <t>SYS :2016/12/06 13:58:03.145:ENFORCEMENT:Predictive Enforcement Action:  Target Number: 000101DB  Target Speed:  30.0  Current Speed:  38.9</t>
  </si>
  <si>
    <t>SYS :2016/12/06 13:58:03.503:ENFORCEMENT:Predictive Enforcement Action:  Target Number: 0001002B  Target Speed:  30.0  Current Speed:  37.8</t>
  </si>
  <si>
    <t>SYS :2016/12/06 13:58:03.651:ENFORCEMENT:Predictive Enforcement Action:  Target Number: 000101DB  Target Speed:  30.0  Current Speed:  37.8</t>
  </si>
  <si>
    <t>SYS :2016/12/06 14:02:39.142:ENFORCEMENT:Predictive Enforcement Action:  Target Number: 000101E1  Target Speed:  15.0  Current Speed:  20.7</t>
  </si>
  <si>
    <t>SYS :2016/12/06 14:02:39.499:ENFORCEMENT:Predictive Enforcement Action:  Target Number: 00010031  Target Speed:  15.0  Current Speed:  20.5</t>
  </si>
  <si>
    <t>SYS :2016/12/06 14:02:39.652:ENFORCEMENT:Predictive Enforcement Action:  Target Number: 000101E1  Target Speed:  15.0  Current Speed:  20.5</t>
  </si>
  <si>
    <t>SYS :2016/12/06 14:14:00.575:ENFORCEMENT:Predictive Enforcement Action:  Target Number: 000170F7  Target Speed:   0.0  Current Speed:  63.3</t>
  </si>
  <si>
    <t>SYS :2016/12/06 14:14:01.050:ENFORCEMENT:Predictive Enforcement Action:  Target Number: 0001710E  Target Speed:   0.0  Current Speed:  63.9</t>
  </si>
  <si>
    <t>SYS :2016/12/06 14:58:33.709:ENFORCEMENT:Predictive Enforcement Action:  Target Number: 00010273  Target Speed:  50.0  Current Speed:  60.7</t>
  </si>
  <si>
    <t>SYS :2016/12/06 15:05:01.681:ENFORCEMENT:Predictive Enforcement Action:  Target Number: 00001025  Target Speed:   0.0  Current Speed:   4.3</t>
  </si>
  <si>
    <t>SYS :2016/12/06 15:05:02.954:ENFORCEMENT:Predictive Enforcement Action:  Target Number: 00001026  Target Speed:   0.0  Current Speed:   4.1</t>
  </si>
  <si>
    <t>SYS :2016/12/06 15:24:28.885:ENFORCEMENT:Reactive Enforcement Action:  Target Number: 0000A00C  Target Speed:  10.0  Current Speed:  15.0</t>
  </si>
  <si>
    <t>SYS :2016/12/06 15:24:29.359:ENFORCEMENT:Reactive Enforcement Action:  Target Number: 0000A00E  Target Speed:  10.0  Current Speed:  15.0</t>
  </si>
  <si>
    <t>SYS :2016/12/06 15:24:30.147:ENFORCEMENT:Reactive Enforcement Action:  Target Number: 0000A00E  Target Speed:  10.0  Current Speed:  15.0</t>
  </si>
  <si>
    <t>SYS :2016/12/06 15:48:08.235:ENFORCEMENT:Predictive Enforcement Action:  Target Number: 00010069  Target Speed:  30.0  Current Speed:  35.1</t>
  </si>
  <si>
    <t>SYS :2016/12/06 15:48:08.591:ENFORCEMENT:Predictive Enforcement Action:  Target Number: 00010069  Target Speed:  30.0  Current Speed:  35.1</t>
  </si>
  <si>
    <t>SYS :2016/12/06 15:48:08.738:ENFORCEMENT:Predictive Enforcement Action:  Target Number: 0001006A  Target Speed:  30.0  Current Speed:  35.1</t>
  </si>
  <si>
    <t>SYS :2016/12/06 15:49:58.491:ENFORCEMENT:Predictive Enforcement Action:  Target Number: 00001007  Target Speed:   0.0  Current Speed:   7.8</t>
  </si>
  <si>
    <t>SYS :2016/12/06 15:49:58.638:ENFORCEMENT:Predictive Enforcement Action:  Target Number: 0000101F  Target Speed:   0.0  Current Speed:   7.8</t>
  </si>
  <si>
    <t>SYS :2016/12/06 15:49:59.139:ENFORCEMENT:Predictive Enforcement Action:  Target Number: 0000101F  Target Speed:   0.0  Current Speed:   7.8</t>
  </si>
  <si>
    <t>SYS :2016/12/06 15:50:18.576:ENFORCEMENT:Predictive Enforcement Action:  Target Number: 0001700A  Target Speed:   0.0  Current Speed:  29.6</t>
  </si>
  <si>
    <t>SYS :2016/12/06 15:50:18.720:ENFORCEMENT:Predictive Enforcement Action:  Target Number: 0001700A  Target Speed:   0.0  Current Speed:  29.6</t>
  </si>
  <si>
    <t>SYS :2016/12/06 15:50:19.212:ENFORCEMENT:Predictive Enforcement Action:  Target Number: 0001700A  Target Speed:   0.0  Current Speed:  28.2</t>
  </si>
  <si>
    <t>SYS :2016/12/06 16:54:35.575:ENFORCEMENT:Predictive Enforcement Action:  Target Number: 00001010  Target Speed:   0.0  Current Speed:   4.7</t>
  </si>
  <si>
    <t>SYS :2016/12/06 16:54:35.729:ENFORCEMENT:Predictive Enforcement Action:  Target Number: 00001010  Target Speed:   0.0  Current Speed:   4.7</t>
  </si>
  <si>
    <t>SYS :2016/12/06 16:54:36.213:ENFORCEMENT:Predictive Enforcement Action:  Target Number: 00001010  Target Speed:   0.0  Current Speed:   4.7</t>
  </si>
  <si>
    <t>SYS :2016/12/06 17:07:25.924:ENFORCEMENT:Predictive Enforcement Action:  Target Number: 0000105E  Target Speed:   0.0  Current Speed:   9.7</t>
  </si>
  <si>
    <t>SYS :2016/12/06 17:07:26.371:ENFORCEMENT:Predictive Enforcement Action:  Target Number: 00001039  Target Speed:   0.0  Current Speed:   9.7</t>
  </si>
  <si>
    <t>SYS :2016/12/06 17:07:26.395:ENFORCEMENT:Predictive Enforcement Action:  Target Number: 00001023  Target Speed:   0.0  Current Speed:   9.7</t>
  </si>
  <si>
    <t>SYS :2016/12/06 17:38:53.034:ENFORCEMENT:Reactive Enforcement Action:  Target Number: 0001716D  Target Speed:  19.0  Current Speed:  24.0</t>
  </si>
  <si>
    <t>SYS :2016/12/06 17:38:53.692:ENFORCEMENT:Reactive Enforcement Action:  Target Number: 0001716D  Target Speed:  19.0  Current Speed:  24.0</t>
  </si>
  <si>
    <t>SYS :2016/12/06 18:00:54.027:ENFORCEMENT:Predictive Enforcement Action:  Target Number: 000041B1  Target Speed:   0.0  Current Speed:   3.8</t>
  </si>
  <si>
    <t>SYS :2016/12/06 18:00:54.680:ENFORCEMENT:Predictive Enforcement Action:  Target Number: 000041A2  Target Speed:   0.0  Current Speed:   3.7</t>
  </si>
  <si>
    <t>SYS :2016/12/06 18:36:33.026:ENFORCEMENT:Predictive Enforcement Action:  Target Number: 00006549  Target Speed:   0.0  Current Speed:   6.9</t>
  </si>
  <si>
    <t>SYS :2016/12/06 18:36:33.677:ENFORCEMENT:Predictive Enforcement Action:  Target Number: 0000651D  Target Speed:   0.0  Current Speed:   6.7</t>
  </si>
  <si>
    <t>SYS :2016/12/06 18:51:57.743:ENFORCEMENT:Predictive Enforcement Action:  Target Number: 00017011  Target Speed:  36.0  Current Speed:  42.6</t>
  </si>
  <si>
    <t>SYS :2016/12/06 18:51:58.224:ENFORCEMENT:Predictive Enforcement Action:  Target Number: 00017011  Target Speed:  36.0  Current Speed:  42.6</t>
  </si>
  <si>
    <t>SYS :2016/12/06 18:51:58.591:ENFORCEMENT:Predictive Enforcement Action:  Target Number: 00017011  Target Speed:  36.0  Current Speed:  42.6</t>
  </si>
  <si>
    <t>SYS :2016/12/06 20:43:16.602:ENFORCEMENT:Reactive Enforcement Action:  Target Number: 000100D8  Target Speed:  15.0  Current Speed:  20.2</t>
  </si>
  <si>
    <t>SYS :2016/12/06 20:43:16.750:ENFORCEMENT:Reactive Enforcement Action:  Target Number: 000100D9  Target Speed:  15.0  Current Speed:  20.2</t>
  </si>
  <si>
    <t>SYS :2016/12/06 20:43:17.239:ENFORCEMENT:Reactive Enforcement Action:  Target Number: 000100D4  Target Speed:  15.0  Current Speed:  20.2</t>
  </si>
  <si>
    <t>SYS :2016/12/06 22:04:44.977:ENFORCEMENT:Predictive Enforcement Action:  Target Number: 00001014  Target Speed:   0.0  Current Speed:   7.6</t>
  </si>
  <si>
    <t>SYS :2016/12/06 22:04:45.314:ENFORCEMENT:Predictive Enforcement Action:  Target Number: 00001014  Target Speed:   0.0  Current Speed:   7.6</t>
  </si>
  <si>
    <t>SYS :2016/12/06 22:04:45.432:ENFORCEMENT:Predictive Enforcement Action:  Target Number: 00001014  Target Speed:   0.0  Current Speed:   7.6</t>
  </si>
  <si>
    <t>SYS :2016/12/06 22:06:41.181:ENFORCEMENT:Predictive Enforcement Action:  Target Number: 0000105E  Target Speed:   0.0  Current Speed:  12.8</t>
  </si>
  <si>
    <t>SYS :2016/12/06 22:06:41.338:ENFORCEMENT:Predictive Enforcement Action:  Target Number: 0000105D  Target Speed:   0.0  Current Speed:  12.8</t>
  </si>
  <si>
    <t>SYS :2016/12/06 22:07:20.176:ENFORCEMENT:Predictive Enforcement Action:  Target Number: 0000105E  Target Speed:   0.0  Current Speed:   5.8</t>
  </si>
  <si>
    <t>SYS :2016/12/06 22:07:20.339:ENFORCEMENT:Predictive Enforcement Action:  Target Number: 0000105D  Target Speed:   0.0  Current Speed:   5.7</t>
  </si>
  <si>
    <t>SYS :2016/12/06 23:54:15.704:ENFORCEMENT:Predictive Enforcement Action:  Target Number: 00017120  Target Speed:   9.0  Current Speed:  31.6</t>
  </si>
  <si>
    <t>SYS :2016/12/07 01:27:36.546:ENFORCEMENT:Reactive Enforcement Action:  Target Number: 0000A02E  Target Speed:  15.0  Current Speed:  20.0</t>
  </si>
  <si>
    <t>SYS :2016/12/07 01:27:36.564:ENFORCEMENT:Reactive Enforcement Action:  Target Number: 0000A02E  Target Speed:  15.0  Current Speed:  20.0</t>
  </si>
  <si>
    <t>SYS :2016/12/07 01:27:36.838:ENFORCEMENT:Reactive Enforcement Action:  Target Number: 0000A003  Target Speed:  15.0  Current Speed:  20.0</t>
  </si>
  <si>
    <t>SYS :2016/12/07 01:35:07.521:ENFORCEMENT:Predictive Enforcement Action:  Target Number: 0000106D  Target Speed:   0.0  Current Speed:   6.5</t>
  </si>
  <si>
    <t>SYS :2016/12/07 02:55:54.721:ENFORCEMENT:Predictive Enforcement Action:  Target Number: 00001032  Target Speed:   0.0  Current Speed:   3.1</t>
  </si>
  <si>
    <t>SYS :2016/12/07 02:55:55.208:ENFORCEMENT:Predictive Enforcement Action:  Target Number: 00001031  Target Speed:   0.0  Current Speed:   3.1</t>
  </si>
  <si>
    <t>SYS :2016/12/07 02:55:55.570:ENFORCEMENT:Predictive Enforcement Action:  Target Number: 00001033  Target Speed:   0.0  Current Speed:   3.1</t>
  </si>
  <si>
    <t>SYS :2016/12/07 04:54:27.575:ENFORCEMENT:Predictive Enforcement Action:  Target Number: 00001039  Target Speed:   0.0  Current Speed:   5.4</t>
  </si>
  <si>
    <t>SYS :2016/12/07 04:54:27.717:ENFORCEMENT:Predictive Enforcement Action:  Target Number: 0000103A  Target Speed:   0.0  Current Speed:   5.4</t>
  </si>
  <si>
    <t>SYS :2016/12/07 04:54:28.208:ENFORCEMENT:Predictive Enforcement Action:  Target Number: 00001039  Target Speed:   0.0  Current Speed:   5.4</t>
  </si>
  <si>
    <t>SYS :2016/12/07 07:40:26.099:ENFORCEMENT:Predictive Enforcement Action:  Target Number: 00001004  Target Speed:   0.0  Current Speed:  13.8</t>
  </si>
  <si>
    <t>SYS :2016/12/07 07:40:26.903:ENFORCEMENT:Predictive Enforcement Action:  Target Number: 00001004  Target Speed:   0.0  Current Speed:  13.8</t>
  </si>
  <si>
    <t>SYS :2016/12/07 07:41:21.901:ENFORCEMENT:Predictive Enforcement Action:  Target Number: 00001004  Target Speed:   0.0  Current Speed:   7.7</t>
  </si>
  <si>
    <t>SYS :2016/12/07 08:21:27.375:ENFORCEMENT:Predictive Enforcement Action:  Target Number: 000171E9  Target Speed:  57.0  Current Speed:  62.5</t>
  </si>
  <si>
    <t>SYS :2016/12/07 08:21:27.508:ENFORCEMENT:Predictive Enforcement Action:  Target Number: 0001724A  Target Speed:  57.0  Current Speed:  62.3</t>
  </si>
  <si>
    <t>SYS :2016/12/07 08:21:27.899:ENFORCEMENT:Predictive Enforcement Action:  Target Number: 0001724A  Target Speed:  57.0  Current Speed:  62.3</t>
  </si>
  <si>
    <t>Early arrival, banner without braking</t>
  </si>
  <si>
    <t>Banner without braking</t>
  </si>
  <si>
    <t>Delayed. Went active too close to signal… then Cut out buttons didn't work… Onboard team investigating</t>
  </si>
  <si>
    <t>Delayed. Went active too close to signal… then Crt oun buttons didn't work… Onboard team investigating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</si>
</sst>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42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2"/>
  <sheetViews>
    <sheetView tabSelected="1" topLeftCell="A145" zoomScaleNormal="100" workbookViewId="0">
      <selection activeCell="R159" sqref="R159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138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COUNTIFS($N$13:$N$9366,"&gt;0",$AG$13:$AG$9366,I1)</f>
        <v>131</v>
      </c>
      <c r="K5" s="44"/>
      <c r="L5" s="44"/>
      <c r="M5" s="45">
        <f>AVERAGEIFS($N$13:$N$9366,$AG$13:$AG$9366,I1)</f>
        <v>39.384096692598831</v>
      </c>
      <c r="N5" s="43">
        <f t="array" ref="N5">MIN(IF($AG$13:$AG$9366=I1,IF(ISNUMBER($N$13:$N$9366),IF($N$13:$N$9366&gt;0,$N$13:$N$9366))))</f>
        <v>33.65000000805594</v>
      </c>
      <c r="O5" s="3">
        <f t="array" ref="O5">MAX(IF($AG$13:$AG$9366=I1,IF(ISNUMBER($N$13:$N$9366),IF($N$13:$N$9366&gt;0,$N$13:$N$9366))))</f>
        <v>92.716666662599891</v>
      </c>
      <c r="P5" s="2"/>
      <c r="R5" s="80" t="s">
        <v>17</v>
      </c>
      <c r="S5" s="55">
        <f>COUNTIFS($N$13:$N$9366,"&gt;0",$AG$13:$AG$9366,R1)</f>
        <v>47</v>
      </c>
      <c r="T5" s="44"/>
      <c r="U5" s="169"/>
      <c r="V5" s="45">
        <f>AVERAGEIFS($N$13:$N$9366,$AG$13:$AG$9366,R1)</f>
        <v>15.334042552883361</v>
      </c>
      <c r="W5" s="43">
        <f t="array" ref="W5">MIN(IF($AG$13:$AG$9366=R1,IF(ISNUMBER($N$13:$N$9366),IF($N$13:$N$9366&gt;0,$N$13:$N$9366))))</f>
        <v>12.416666666977108</v>
      </c>
      <c r="X5" s="173">
        <f t="array" ref="X5">MAX(IF($AG$13:$AG$9366=R1,IF(ISNUMBER($N$13:$N$9366),IF($N$13:$N$9366&gt;0,$N$13:$N$9366))))</f>
        <v>21.849999994738027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COUNT($O$13:$O$152)</f>
        <v>0</v>
      </c>
      <c r="K6" s="44"/>
      <c r="L6" s="44"/>
      <c r="M6" s="45">
        <f>IFERROR(AVERAGE($O$13:$O$152),0)</f>
        <v>0</v>
      </c>
      <c r="N6" s="43">
        <f>MIN($O$13:$O$152)</f>
        <v>0</v>
      </c>
      <c r="O6" s="3">
        <f>MAX($O$13:$O$152)</f>
        <v>0</v>
      </c>
      <c r="P6" s="2"/>
      <c r="R6" s="81" t="s">
        <v>43</v>
      </c>
      <c r="S6" s="55">
        <f>COUNT($O$13:$O$152)</f>
        <v>0</v>
      </c>
      <c r="T6" s="44"/>
      <c r="U6" s="169"/>
      <c r="V6" s="45">
        <f>IFERROR(AVERAGE($O$13:$O$152),0)</f>
        <v>0</v>
      </c>
      <c r="W6" s="43">
        <f>MIN($O$13:$O$152)</f>
        <v>0</v>
      </c>
      <c r="X6" s="173">
        <f>MAX($O$13:$O$152)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COUNTIFS($P$13:$P$9366,"&gt;0",$AG$13:$AG$9366,I1)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COUNTIFS($P$13:$P$9366,"&gt;0",$AG$13:$AG$9366,R1)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131</v>
      </c>
      <c r="K8" s="44"/>
      <c r="L8" s="44"/>
      <c r="M8" s="45">
        <f>M5</f>
        <v>39.384096692598831</v>
      </c>
      <c r="N8" s="43">
        <f>N5</f>
        <v>33.65000000805594</v>
      </c>
      <c r="O8" s="3">
        <f>O5</f>
        <v>92.716666662599891</v>
      </c>
      <c r="P8" s="2"/>
      <c r="R8" s="80" t="s">
        <v>16</v>
      </c>
      <c r="S8" s="55">
        <f>S5</f>
        <v>47</v>
      </c>
      <c r="T8" s="44"/>
      <c r="U8" s="169"/>
      <c r="V8" s="45">
        <f>V5</f>
        <v>15.334042552883361</v>
      </c>
      <c r="W8" s="43">
        <f>W5</f>
        <v>12.416666666977108</v>
      </c>
      <c r="X8" s="173">
        <f>X5</f>
        <v>21.849999994738027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0.94927536231884058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- 2016-12-06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AVERAGE(S13:S103)</f>
        <v>0.98314606741573052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462</v>
      </c>
      <c r="B13" s="7">
        <v>4019</v>
      </c>
      <c r="C13" s="22" t="s">
        <v>207</v>
      </c>
      <c r="D13" s="22" t="s">
        <v>658</v>
      </c>
      <c r="E13" s="13">
        <v>42710.168391203704</v>
      </c>
      <c r="F13" s="13">
        <v>42710.17454861111</v>
      </c>
      <c r="G13" s="7">
        <v>1</v>
      </c>
      <c r="H13" s="22" t="s">
        <v>214</v>
      </c>
      <c r="I13" s="13">
        <v>42710.202349537038</v>
      </c>
      <c r="J13" s="7">
        <v>0</v>
      </c>
      <c r="K13" s="109" t="str">
        <f t="shared" ref="K13:K76" si="0">IF(ISEVEN(B13),(B13-1)&amp;"/"&amp;B13,B13&amp;"/"&amp;(B13+1))</f>
        <v>4019/4020</v>
      </c>
      <c r="L13" s="22" t="str">
        <f>VLOOKUP(A13,'Trips&amp;Operators'!$C$1:$G$99999,5,FALSE)</f>
        <v>KILLION DAVID</v>
      </c>
      <c r="M13" s="6">
        <f t="shared" ref="M13:M76" si="1">I13-F13</f>
        <v>2.7800925927294884E-2</v>
      </c>
      <c r="N13" s="7">
        <f t="shared" ref="N13:N44" si="2">24*60*SUM($M13:$M13)</f>
        <v>40.033333335304633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Southbound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https://search-rtdc-monitor-bjffxe2xuh6vdkpspy63sjmuny.us-east-1.es.amazonaws.com/_plugin/kibana/#/discover/Steve-Slow-Train-Analysis-(2080s-and-2083s)?_g=(refreshInterval:(display:Off,section:0,value:0),time:(from:'2016-12-06 03:02:29-700',mode:absolute,to:'2016-12-06 05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23.265499999999999</v>
      </c>
      <c r="Z13" s="67">
        <f t="shared" ref="Z13:Z76" si="9">RIGHT(H13,LEN(H13)-4)/10000</f>
        <v>1.4999999999999999E-2</v>
      </c>
      <c r="AA13" s="67">
        <f t="shared" ref="AA13:AA76" si="10">ABS(Z13-Y13)</f>
        <v>23.250499999999999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0102-06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/stypes="app*4019*20161206*"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102-06 --locoid 4019 --swversion DE.1.0.8.0 --startMP 204:232655 --initTime 2016-12-06T04:02:29 --startdatetime 2016-12-06T04:11:21 --delay 1 --endMP 204:150 --enddatetime 2016-12-06T04:51:23 --enforcementcount 0 &gt;&gt;C:\Users\stu\Documents\GitHub\eaglep3-reporting\EC\2016-12-06-refined-times.txt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ID","value":"102-06"},{"id":16,"name":"Locomotive ID","value":"4019"},{"id":130,"name":"Impact","value":""},{"id":150,"name":"Time of Event (Mountain Time)","value":"04:51:23"},{"id":151,"name":"Denver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459</v>
      </c>
      <c r="B14" s="7">
        <v>4027</v>
      </c>
      <c r="C14" s="22" t="s">
        <v>207</v>
      </c>
      <c r="D14" s="22" t="s">
        <v>659</v>
      </c>
      <c r="E14" s="13">
        <v>42710.150081018517</v>
      </c>
      <c r="F14" s="13">
        <v>42710.156527777777</v>
      </c>
      <c r="G14" s="7">
        <v>1</v>
      </c>
      <c r="H14" s="22" t="s">
        <v>399</v>
      </c>
      <c r="I14" s="13">
        <v>42710.183067129627</v>
      </c>
      <c r="J14" s="7">
        <v>0</v>
      </c>
      <c r="K14" s="109" t="str">
        <f t="shared" si="0"/>
        <v>4027/4028</v>
      </c>
      <c r="L14" s="22" t="str">
        <f>VLOOKUP(A14,'Trips&amp;Operators'!$C$1:$G$99999,5,FALSE)</f>
        <v>MAGEE KENYA</v>
      </c>
      <c r="M14" s="6">
        <f t="shared" si="1"/>
        <v>2.6539351849351078E-2</v>
      </c>
      <c r="N14" s="7">
        <f t="shared" si="2"/>
        <v>38.216666663065553</v>
      </c>
      <c r="O14" s="7"/>
      <c r="P14" s="7"/>
      <c r="Q14" s="23"/>
      <c r="R14" s="23"/>
      <c r="S14" s="35">
        <f t="shared" si="3"/>
        <v>1</v>
      </c>
      <c r="T14" s="50" t="str">
        <f t="shared" si="4"/>
        <v>NorthBound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02:36:07-700',mode:absolute,to:'2016-12-06 05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7.7200000000000005E-2</v>
      </c>
      <c r="Z14" s="67">
        <f t="shared" si="9"/>
        <v>23.3306</v>
      </c>
      <c r="AA14" s="67">
        <f t="shared" si="10"/>
        <v>23.253399999999999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0103-06</v>
      </c>
      <c r="AE14" s="91" t="str">
        <f t="shared" si="12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14" s="88" t="str">
        <f t="shared" si="13"/>
        <v>"C:\Program Files (x86)\AstroGrep\AstroGrep.exe" /spath="%USERPROFILE%\AppData\Local\Temp\OnboardLogs" /stypes="app*4027*20161206*"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103-06 --locoid 4027 --swversion DE.1.0.8.0 --startMP 204:772 --initTime 2016-12-06T03:36:07 --startdatetime 2016-12-06T03:45:24 --delay 1 --endMP 204:233306 --enddatetime 2016-12-06T04:23:37 --enforcementcount 0 &gt;&gt;C:\Users\stu\Documents\GitHub\eaglep3-reporting\EC\2016-12-06-refined-times.txt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{"issue":{"subject":"","project_id":79,"tracker_id":40,"status_id":1,"priority_id":2,"assigned_to_id":23,"start_date":"2016-12-06","description":"","custom_fields":[{"id":1,"name":"Subdivision","value":"EC"},{"id":4,"name":"Milepost","value":"23.3306"},{"id":17,"name":"Train ID","value":"103-06"},{"id":16,"name":"Locomotive ID","value":"4027"},{"id":130,"name":"Impact","value":""},{"id":150,"name":"Time of Event (Mountain Time)","value":"04:23:37"},{"id":151,"name":"Denver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465</v>
      </c>
      <c r="B15" s="7">
        <v>4043</v>
      </c>
      <c r="C15" s="22" t="s">
        <v>207</v>
      </c>
      <c r="D15" s="22" t="s">
        <v>383</v>
      </c>
      <c r="E15" s="13">
        <v>42710.186111111114</v>
      </c>
      <c r="F15" s="13">
        <v>42710.195347222223</v>
      </c>
      <c r="G15" s="7">
        <v>1</v>
      </c>
      <c r="H15" s="22" t="s">
        <v>268</v>
      </c>
      <c r="I15" s="13">
        <v>42710.225416666668</v>
      </c>
      <c r="J15" s="7">
        <v>0</v>
      </c>
      <c r="K15" s="109" t="str">
        <f t="shared" si="0"/>
        <v>4043/4044</v>
      </c>
      <c r="L15" s="22" t="str">
        <f>VLOOKUP(A15,'Trips&amp;Operators'!$C$1:$G$99999,5,FALSE)</f>
        <v>MAGEE KENYA</v>
      </c>
      <c r="M15" s="6">
        <f t="shared" si="1"/>
        <v>3.0069444444961846E-2</v>
      </c>
      <c r="N15" s="7">
        <f t="shared" si="2"/>
        <v>43.300000000745058</v>
      </c>
      <c r="O15" s="7"/>
      <c r="P15" s="7"/>
      <c r="Q15" s="23"/>
      <c r="R15" s="23"/>
      <c r="S15" s="35">
        <f t="shared" si="3"/>
        <v>1</v>
      </c>
      <c r="T15" s="50" t="str">
        <f t="shared" si="4"/>
        <v>Southbound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03:28:00-700',mode:absolute,to:'2016-12-06 06:24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23.2668</v>
      </c>
      <c r="Z15" s="67">
        <f t="shared" si="9"/>
        <v>1.6E-2</v>
      </c>
      <c r="AA15" s="67">
        <f t="shared" si="10"/>
        <v>23.250800000000002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0104-06</v>
      </c>
      <c r="AE15" s="91" t="str">
        <f t="shared" si="1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15" s="88" t="str">
        <f t="shared" si="13"/>
        <v>"C:\Program Files (x86)\AstroGrep\AstroGrep.exe" /spath="%USERPROFILE%\AppData\Local\Temp\OnboardLogs" /stypes="app*4043*20161206*" /stext=" 12:.+((SYSTEM_STATE.+slice.+state.+changed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104-06 --locoid 4043 --swversion DE.1.0.8.0 --startMP 204:232668 --initTime 2016-12-06T04:28:00 --startdatetime 2016-12-06T04:41:18 --delay 1 --endMP 204:160 --enddatetime 2016-12-06T05:24:36 --enforcementcount 0 &gt;&gt;C:\Users\stu\Documents\GitHub\eaglep3-reporting\EC\2016-12-06-refined-times.txt</v>
      </c>
      <c r="AI1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ID","value":"104-06"},{"id":16,"name":"Locomotive ID","value":"4043"},{"id":130,"name":"Impact","value":""},{"id":150,"name":"Time of Event (Mountain Time)","value":"05:24:36"},{"id":151,"name":"Denver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421</v>
      </c>
      <c r="B16" s="7">
        <v>4029</v>
      </c>
      <c r="C16" s="22" t="s">
        <v>207</v>
      </c>
      <c r="D16" s="22" t="s">
        <v>660</v>
      </c>
      <c r="E16" s="13">
        <v>42710.172974537039</v>
      </c>
      <c r="F16" s="13">
        <v>42710.177337962959</v>
      </c>
      <c r="G16" s="7">
        <v>1</v>
      </c>
      <c r="H16" s="22" t="s">
        <v>254</v>
      </c>
      <c r="I16" s="13">
        <v>42710.205347222225</v>
      </c>
      <c r="J16" s="7">
        <v>0</v>
      </c>
      <c r="K16" s="109" t="str">
        <f t="shared" si="0"/>
        <v>4029/4030</v>
      </c>
      <c r="L16" s="22" t="str">
        <f>VLOOKUP(A16,'Trips&amp;Operators'!$C$1:$G$99999,5,FALSE)</f>
        <v>DAVIDSON DAVID</v>
      </c>
      <c r="M16" s="6">
        <f t="shared" si="1"/>
        <v>2.8009259265672881E-2</v>
      </c>
      <c r="N16" s="7">
        <f t="shared" si="2"/>
        <v>40.333333342568949</v>
      </c>
      <c r="O16" s="7"/>
      <c r="P16" s="7"/>
      <c r="Q16" s="23"/>
      <c r="R16" s="23"/>
      <c r="S16" s="35">
        <f t="shared" si="3"/>
        <v>1</v>
      </c>
      <c r="T16" s="50" t="str">
        <f t="shared" si="4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7.5200000000000003E-2</v>
      </c>
      <c r="Z16" s="67">
        <f t="shared" si="9"/>
        <v>23.329799999999999</v>
      </c>
      <c r="AA16" s="67">
        <f t="shared" si="10"/>
        <v>23.2546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 t="shared" si="11"/>
        <v>0105-06</v>
      </c>
      <c r="AE16" s="91" t="str">
        <f t="shared" si="1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6" s="88" t="str">
        <f t="shared" si="13"/>
        <v>"C:\Program Files (x86)\AstroGrep\AstroGrep.exe" /spath="%USERPROFILE%\AppData\Local\Temp\OnboardLogs" /stypes="app*4029*20161206*" /stext=" 11:.+((SYSTEM_STATE.+slice.+state.+changed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105-06 --locoid 4029 --swversion DE.1.0.8.0 --startMP 204:752 --initTime 2016-12-06T04:09:05 --startdatetime 2016-12-06T04:15:22 --delay 1 --endMP 204:233298 --enddatetime 2016-12-06T04:55:42 --enforcementcount 0 &gt;&gt;C:\Users\stu\Documents\GitHub\eaglep3-reporting\EC\2016-12-06-refined-times.txt</v>
      </c>
      <c r="AI1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ID","value":"105-06"},{"id":16,"name":"Locomotive ID","value":"4029"},{"id":130,"name":"Impact","value":""},{"id":150,"name":"Time of Event (Mountain Time)","value":"04:55:42"},{"id":151,"name":"Denver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422</v>
      </c>
      <c r="B17" s="7">
        <v>4012</v>
      </c>
      <c r="C17" s="22" t="s">
        <v>207</v>
      </c>
      <c r="D17" s="22" t="s">
        <v>661</v>
      </c>
      <c r="E17" s="13">
        <v>42710.207499999997</v>
      </c>
      <c r="F17" s="13">
        <v>42710.216192129628</v>
      </c>
      <c r="G17" s="7">
        <v>1</v>
      </c>
      <c r="H17" s="22" t="s">
        <v>274</v>
      </c>
      <c r="I17" s="13">
        <v>42710.244722222225</v>
      </c>
      <c r="J17" s="7">
        <v>0</v>
      </c>
      <c r="K17" s="109" t="str">
        <f t="shared" si="0"/>
        <v>4011/4012</v>
      </c>
      <c r="L17" s="22" t="str">
        <f>VLOOKUP(A17,'Trips&amp;Operators'!$C$1:$G$99999,5,FALSE)</f>
        <v>DAVIDSON DAVID</v>
      </c>
      <c r="M17" s="6">
        <f t="shared" si="1"/>
        <v>2.8530092597065959E-2</v>
      </c>
      <c r="N17" s="7">
        <f t="shared" si="2"/>
        <v>41.083333339774981</v>
      </c>
      <c r="O17" s="7"/>
      <c r="P17" s="7"/>
      <c r="Q17" s="23"/>
      <c r="R17" s="23"/>
      <c r="S17" s="35">
        <f t="shared" si="3"/>
        <v>1</v>
      </c>
      <c r="T17" s="50" t="str">
        <f t="shared" si="4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23.266999999999999</v>
      </c>
      <c r="Z17" s="67">
        <f t="shared" si="9"/>
        <v>1.6299999999999999E-2</v>
      </c>
      <c r="AA17" s="67">
        <f t="shared" si="10"/>
        <v>23.250699999999998</v>
      </c>
      <c r="AB17" s="64" t="str">
        <f>VLOOKUP(A17,Enforcements!$C$7:$K$20,8,0)</f>
        <v>Form based authority (4)</v>
      </c>
      <c r="AC17" s="60" t="str">
        <f>VLOOKUP(A17,Enforcements!$C$7:$E$20,3,0)</f>
        <v>TRACK WARRANT AUTHORITY</v>
      </c>
      <c r="AD17" s="61" t="str">
        <f t="shared" si="11"/>
        <v>0106-06</v>
      </c>
      <c r="AE17" s="91" t="str">
        <f t="shared" si="12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7" s="88" t="str">
        <f t="shared" si="13"/>
        <v>"C:\Program Files (x86)\AstroGrep\AstroGrep.exe" /spath="%USERPROFILE%\AppData\Local\Temp\OnboardLogs" /stypes="app*4012*20161206*" /stext=" 12:.+((SYSTEM_STATE.+slice.+state.+changed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106-06 --locoid 4012 --swversion DE.1.0.8.0 --startMP 204:232670 --initTime 2016-12-06T04:58:48 --startdatetime 2016-12-06T05:11:19 --delay 1 --endMP 204:163 --enddatetime 2016-12-06T05:52:24 --enforcementcount 0 &gt;&gt;C:\Users\stu\Documents\GitHub\eaglep3-reporting\EC\2016-12-06-refined-times.txt</v>
      </c>
      <c r="AI1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ID","value":"106-06"},{"id":16,"name":"Locomotive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463</v>
      </c>
      <c r="B18" s="7">
        <v>4018</v>
      </c>
      <c r="C18" s="22" t="s">
        <v>207</v>
      </c>
      <c r="D18" s="22" t="s">
        <v>348</v>
      </c>
      <c r="E18" s="13">
        <v>42710.179270833331</v>
      </c>
      <c r="F18" s="13">
        <v>42710.187777777777</v>
      </c>
      <c r="G18" s="7">
        <v>1</v>
      </c>
      <c r="H18" s="22" t="s">
        <v>662</v>
      </c>
      <c r="I18" s="13">
        <v>42710.213634259257</v>
      </c>
      <c r="J18" s="7">
        <v>0</v>
      </c>
      <c r="K18" s="109" t="str">
        <f t="shared" si="0"/>
        <v>4017/4018</v>
      </c>
      <c r="L18" s="22" t="str">
        <f>VLOOKUP(A18,'Trips&amp;Operators'!$C$1:$G$99999,5,FALSE)</f>
        <v>HAITHCOX MICHAEL</v>
      </c>
      <c r="M18" s="6">
        <f t="shared" si="1"/>
        <v>2.5856481479422655E-2</v>
      </c>
      <c r="N18" s="7">
        <f t="shared" si="2"/>
        <v>37.233333330368623</v>
      </c>
      <c r="O18" s="7"/>
      <c r="P18" s="7"/>
      <c r="Q18" s="23"/>
      <c r="R18" s="23"/>
      <c r="S18" s="35">
        <f t="shared" si="3"/>
        <v>1</v>
      </c>
      <c r="T18" s="50" t="str">
        <f t="shared" si="4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03:18:09-700',mode:absolute,to:'2016-12-06 06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4.7300000000000002E-2</v>
      </c>
      <c r="Z18" s="67">
        <f t="shared" si="9"/>
        <v>23.330500000000001</v>
      </c>
      <c r="AA18" s="67">
        <f t="shared" si="10"/>
        <v>23.283200000000001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0107-06</v>
      </c>
      <c r="AE18" s="91" t="str">
        <f t="shared" si="12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8" s="88" t="str">
        <f t="shared" si="13"/>
        <v>"C:\Program Files (x86)\AstroGrep\AstroGrep.exe" /spath="%USERPROFILE%\AppData\Local\Temp\OnboardLogs" /stypes="app*4018*20161206*"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107-06 --locoid 4018 --swversion DE.1.0.8.0 --startMP 204:473 --initTime 2016-12-06T04:18:09 --startdatetime 2016-12-06T04:30:24 --delay 1 --endMP 204:233305 --enddatetime 2016-12-06T05:07:38 --enforcementcount 0 &gt;&gt;C:\Users\stu\Documents\GitHub\eaglep3-reporting\EC\2016-12-06-refined-times.txt</v>
      </c>
      <c r="AI18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ID","value":"107-06"},{"id":16,"name":"Locomotive ID","value":"4018"},{"id":130,"name":"Impact","value":""},{"id":150,"name":"Time of Event (Mountain Time)","value":"05:07:38"},{"id":151,"name":"Denver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473</v>
      </c>
      <c r="B19" s="7">
        <v>4017</v>
      </c>
      <c r="C19" s="22" t="s">
        <v>207</v>
      </c>
      <c r="D19" s="22" t="s">
        <v>312</v>
      </c>
      <c r="E19" s="13">
        <v>42710.218078703707</v>
      </c>
      <c r="F19" s="13">
        <v>42710.226689814815</v>
      </c>
      <c r="G19" s="7">
        <v>1</v>
      </c>
      <c r="H19" s="22" t="s">
        <v>401</v>
      </c>
      <c r="I19" s="13">
        <v>42710.256944444445</v>
      </c>
      <c r="J19" s="7">
        <v>0</v>
      </c>
      <c r="K19" s="109" t="str">
        <f t="shared" si="0"/>
        <v>4017/4018</v>
      </c>
      <c r="L19" s="22" t="str">
        <f>VLOOKUP(A19,'Trips&amp;Operators'!$C$1:$G$99999,5,FALSE)</f>
        <v>HAITHCOX MICHAEL</v>
      </c>
      <c r="M19" s="6">
        <f t="shared" si="1"/>
        <v>3.0254629629780538E-2</v>
      </c>
      <c r="N19" s="7">
        <f t="shared" si="2"/>
        <v>43.566666666883975</v>
      </c>
      <c r="O19" s="7"/>
      <c r="P19" s="7"/>
      <c r="Q19" s="23"/>
      <c r="R19" s="23"/>
      <c r="S19" s="35">
        <f t="shared" si="3"/>
        <v>1</v>
      </c>
      <c r="T19" s="50" t="str">
        <f t="shared" si="4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04:14:02-700',mode:absolute,to:'2016-12-06 07:10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23.297799999999999</v>
      </c>
      <c r="Z19" s="67">
        <f t="shared" si="9"/>
        <v>4.3700000000000003E-2</v>
      </c>
      <c r="AA19" s="67">
        <f t="shared" si="10"/>
        <v>23.254099999999998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0108-06</v>
      </c>
      <c r="AE19" s="91" t="str">
        <f t="shared" si="12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9" s="88" t="str">
        <f t="shared" si="13"/>
        <v>"C:\Program Files (x86)\AstroGrep\AstroGrep.exe" /spath="%USERPROFILE%\AppData\Local\Temp\OnboardLogs" /stypes="app*4017*20161206*" /stext=" 13:.+((SYSTEM_STATE.+slice.+state.+changed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108-06 --locoid 4017 --swversion DE.1.0.8.0 --startMP 204:232978 --initTime 2016-12-06T05:14:02 --startdatetime 2016-12-06T05:26:26 --delay 1 --endMP 204:437 --enddatetime 2016-12-06T06:10:00 --enforcementcount 0 &gt;&gt;C:\Users\stu\Documents\GitHub\eaglep3-reporting\EC\2016-12-06-refined-times.txt</v>
      </c>
      <c r="AI1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{"issue":{"subject":"","project_id":79,"tracker_id":40,"status_id":1,"priority_id":2,"assigned_to_id":23,"start_date":"2016-12-06","description":"","custom_fields":[{"id":1,"name":"Subdivision","value":"EC"},{"id":4,"name":"Milepost","value":"0.0437"},{"id":17,"name":"Train ID","value":"108-06"},{"id":16,"name":"Locomotive ID","value":"4017"},{"id":130,"name":"Impact","value":""},{"id":150,"name":"Time of Event (Mountain Time)","value":"06:10:00"},{"id":151,"name":"Denver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466</v>
      </c>
      <c r="B20" s="7">
        <v>4014</v>
      </c>
      <c r="C20" s="22" t="s">
        <v>207</v>
      </c>
      <c r="D20" s="22" t="s">
        <v>269</v>
      </c>
      <c r="E20" s="13">
        <v>42710.195706018516</v>
      </c>
      <c r="F20" s="13">
        <v>42710.198055555556</v>
      </c>
      <c r="G20" s="7">
        <v>1</v>
      </c>
      <c r="H20" s="22" t="s">
        <v>289</v>
      </c>
      <c r="I20" s="13">
        <v>42710.223981481482</v>
      </c>
      <c r="J20" s="7">
        <v>0</v>
      </c>
      <c r="K20" s="109" t="str">
        <f t="shared" si="0"/>
        <v>4013/4014</v>
      </c>
      <c r="L20" s="22" t="str">
        <f>VLOOKUP(A20,'Trips&amp;Operators'!$C$1:$G$99999,5,FALSE)</f>
        <v>DAVIS WENDY</v>
      </c>
      <c r="M20" s="6">
        <f t="shared" si="1"/>
        <v>2.5925925925548654E-2</v>
      </c>
      <c r="N20" s="7">
        <f t="shared" si="2"/>
        <v>37.333333332790062</v>
      </c>
      <c r="O20" s="7"/>
      <c r="P20" s="7"/>
      <c r="Q20" s="23"/>
      <c r="R20" s="23"/>
      <c r="S20" s="35">
        <f t="shared" si="3"/>
        <v>1</v>
      </c>
      <c r="T20" s="50" t="str">
        <f t="shared" si="4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03:41:49-700',mode:absolute,to:'2016-12-06 06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4.58E-2</v>
      </c>
      <c r="Z20" s="67">
        <f t="shared" si="9"/>
        <v>23.331</v>
      </c>
      <c r="AA20" s="67">
        <f t="shared" si="10"/>
        <v>23.2852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0109-06</v>
      </c>
      <c r="AE20" s="91" t="str">
        <f t="shared" si="12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20" s="88" t="str">
        <f t="shared" si="13"/>
        <v>"C:\Program Files (x86)\AstroGrep\AstroGrep.exe" /spath="%USERPROFILE%\AppData\Local\Temp\OnboardLogs" /stypes="app*4014*20161206*" /stext=" 12:.+((SYSTEM_STATE.+slice.+state.+changed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109-06 --locoid 4014 --swversion DE.1.0.8.0 --startMP 204:458 --initTime 2016-12-06T04:41:49 --startdatetime 2016-12-06T04:45:12 --delay 1 --endMP 204:233310 --enddatetime 2016-12-06T05:22:32 --enforcementcount 0 &gt;&gt;C:\Users\stu\Documents\GitHub\eaglep3-reporting\EC\2016-12-06-refined-times.txt</v>
      </c>
      <c r="AI20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ID","value":"109-06"},{"id":16,"name":"Locomotive ID","value":"4014"},{"id":130,"name":"Impact","value":""},{"id":150,"name":"Time of Event (Mountain Time)","value":"05:22:32"},{"id":151,"name":"Denver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478</v>
      </c>
      <c r="B21" s="7">
        <v>4013</v>
      </c>
      <c r="C21" s="22" t="s">
        <v>207</v>
      </c>
      <c r="D21" s="22" t="s">
        <v>663</v>
      </c>
      <c r="E21" s="13">
        <v>42710.230752314812</v>
      </c>
      <c r="F21" s="13">
        <v>42710.236990740741</v>
      </c>
      <c r="G21" s="7">
        <v>1</v>
      </c>
      <c r="H21" s="22" t="s">
        <v>664</v>
      </c>
      <c r="I21" s="13">
        <v>42710.263912037037</v>
      </c>
      <c r="J21" s="7">
        <v>0</v>
      </c>
      <c r="K21" s="109" t="str">
        <f t="shared" si="0"/>
        <v>4013/4014</v>
      </c>
      <c r="L21" s="22" t="str">
        <f>VLOOKUP(A21,'Trips&amp;Operators'!$C$1:$G$99999,5,FALSE)</f>
        <v>DAVIS WENDY</v>
      </c>
      <c r="M21" s="6">
        <f t="shared" si="1"/>
        <v>2.6921296295768116E-2</v>
      </c>
      <c r="N21" s="7">
        <f t="shared" si="2"/>
        <v>38.766666665906087</v>
      </c>
      <c r="O21" s="7"/>
      <c r="P21" s="7"/>
      <c r="Q21" s="23"/>
      <c r="R21" s="23"/>
      <c r="S21" s="35">
        <f t="shared" si="3"/>
        <v>1</v>
      </c>
      <c r="T21" s="50" t="str">
        <f t="shared" si="4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04:32:17-700',mode:absolute,to:'2016-12-06 07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23.3002</v>
      </c>
      <c r="Z21" s="67">
        <f t="shared" si="9"/>
        <v>1.1599999999999999E-2</v>
      </c>
      <c r="AA21" s="67">
        <f t="shared" si="10"/>
        <v>23.288599999999999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0110-06</v>
      </c>
      <c r="AE21" s="91" t="str">
        <f t="shared" si="12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1" s="88" t="str">
        <f t="shared" si="13"/>
        <v>"C:\Program Files (x86)\AstroGrep\AstroGrep.exe" /spath="%USERPROFILE%\AppData\Local\Temp\OnboardLogs" /stypes="app*4013*20161206*" /stext=" 13:.+((SYSTEM_STATE.+slice.+state.+changed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110-06 --locoid 4013 --swversion DE.1.0.8.0 --startMP 204:233002 --initTime 2016-12-06T05:32:17 --startdatetime 2016-12-06T05:41:16 --delay 1 --endMP 204:116 --enddatetime 2016-12-06T06:20:02 --enforcementcount 0 &gt;&gt;C:\Users\stu\Documents\GitHub\eaglep3-reporting\EC\2016-12-06-refined-times.txt</v>
      </c>
      <c r="AI21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ID","value":"110-06"},{"id":16,"name":"Locomotive ID","value":"4013"},{"id":130,"name":"Impact","value":""},{"id":150,"name":"Time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468</v>
      </c>
      <c r="B22" s="7">
        <v>4016</v>
      </c>
      <c r="C22" s="22" t="s">
        <v>207</v>
      </c>
      <c r="D22" s="22" t="s">
        <v>665</v>
      </c>
      <c r="E22" s="13">
        <v>42710.205833333333</v>
      </c>
      <c r="F22" s="13">
        <v>42710.20894675926</v>
      </c>
      <c r="G22" s="7">
        <v>4</v>
      </c>
      <c r="H22" s="22" t="s">
        <v>276</v>
      </c>
      <c r="I22" s="13">
        <v>42710.233055555553</v>
      </c>
      <c r="J22" s="7">
        <v>0</v>
      </c>
      <c r="K22" s="109" t="str">
        <f t="shared" si="0"/>
        <v>4015/4016</v>
      </c>
      <c r="L22" s="22" t="str">
        <f>VLOOKUP(A22,'Trips&amp;Operators'!$C$1:$G$99999,5,FALSE)</f>
        <v>GEBRETEKLE DAGNEW</v>
      </c>
      <c r="M22" s="6">
        <f t="shared" si="1"/>
        <v>2.4108796293148771E-2</v>
      </c>
      <c r="N22" s="7">
        <f t="shared" si="2"/>
        <v>34.71666666213423</v>
      </c>
      <c r="O22" s="7"/>
      <c r="P22" s="7"/>
      <c r="Q22" s="23"/>
      <c r="R22" s="23"/>
      <c r="S22" s="35">
        <f t="shared" si="3"/>
        <v>1</v>
      </c>
      <c r="T22" s="50" t="str">
        <f t="shared" si="4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03:56:24-700',mode:absolute,to:'2016-12-06 06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0.13089999999999999</v>
      </c>
      <c r="Z22" s="67">
        <f t="shared" si="9"/>
        <v>23.329699999999999</v>
      </c>
      <c r="AA22" s="67">
        <f t="shared" si="10"/>
        <v>23.198799999999999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0111-06</v>
      </c>
      <c r="AE22" s="91" t="str">
        <f t="shared" si="12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2" s="88" t="str">
        <f t="shared" si="13"/>
        <v>"C:\Program Files (x86)\AstroGrep\AstroGrep.exe" /spath="%USERPROFILE%\AppData\Local\Temp\OnboardLogs" /stypes="app*4016*20161206*" /stext=" 12:.+((SYSTEM_STATE.+slice.+state.+changed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111-06 --locoid 4016 --swversion DE.1.0.8.0 --startMP 204:1309 --initTime 2016-12-06T04:56:24 --startdatetime 2016-12-06T05:00:53 --delay 4 --endMP 204:233297 --enddatetime 2016-12-06T05:35:36 --enforcementcount 0 &gt;&gt;C:\Users\stu\Documents\GitHub\eaglep3-reporting\EC\2016-12-06-refined-times.txt</v>
      </c>
      <c r="AI2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ID","value":"111-06"},{"id":16,"name":"Locomotive ID","value":"4016"},{"id":130,"name":"Impact","value":""},{"id":150,"name":"Time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481</v>
      </c>
      <c r="B23" s="7">
        <v>4015</v>
      </c>
      <c r="C23" s="22" t="s">
        <v>207</v>
      </c>
      <c r="D23" s="22" t="s">
        <v>666</v>
      </c>
      <c r="E23" s="13">
        <v>42710.243888888886</v>
      </c>
      <c r="F23" s="13">
        <v>42710.247418981482</v>
      </c>
      <c r="G23" s="7">
        <v>2</v>
      </c>
      <c r="H23" s="22" t="s">
        <v>205</v>
      </c>
      <c r="I23" s="13">
        <v>42710.273958333331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GEBRETEKLE DAGNEW</v>
      </c>
      <c r="M23" s="6">
        <f t="shared" si="1"/>
        <v>2.6539351849351078E-2</v>
      </c>
      <c r="N23" s="7">
        <f t="shared" si="2"/>
        <v>38.216666663065553</v>
      </c>
      <c r="O23" s="7"/>
      <c r="P23" s="7"/>
      <c r="Q23" s="23"/>
      <c r="R23" s="23"/>
      <c r="S23" s="35">
        <f t="shared" si="3"/>
        <v>1</v>
      </c>
      <c r="T23" s="50" t="str">
        <f t="shared" si="4"/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04:51:12-700',mode:absolute,to:'2016-12-06 07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23.298400000000001</v>
      </c>
      <c r="Z23" s="67">
        <f t="shared" si="9"/>
        <v>1.5599999999999999E-2</v>
      </c>
      <c r="AA23" s="67">
        <f t="shared" si="10"/>
        <v>23.282800000000002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0112-06</v>
      </c>
      <c r="AE23" s="91" t="str">
        <f t="shared" si="12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23" s="88" t="str">
        <f t="shared" si="13"/>
        <v>"C:\Program Files (x86)\AstroGrep\AstroGrep.exe" /spath="%USERPROFILE%\AppData\Local\Temp\OnboardLogs" /stypes="app*4015*20161206*" /stext=" 13:.+((SYSTEM_STATE.+slice.+state.+changed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112-06 --locoid 4015 --swversion DE.1.0.8.0 --startMP 204:232984 --initTime 2016-12-06T05:51:12 --startdatetime 2016-12-06T05:56:17 --delay 2 --endMP 204:156 --enddatetime 2016-12-06T06:34:30 --enforcementcount 0 &gt;&gt;C:\Users\stu\Documents\GitHub\eaglep3-reporting\EC\2016-12-06-refined-times.txt</v>
      </c>
      <c r="AI23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ID","value":"112-06"},{"id":16,"name":"Locomotive ID","value":"4015"},{"id":130,"name":"Impact","value":""},{"id":150,"name":"Time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471</v>
      </c>
      <c r="B24" s="7">
        <v>4020</v>
      </c>
      <c r="C24" s="22" t="s">
        <v>207</v>
      </c>
      <c r="D24" s="22" t="s">
        <v>348</v>
      </c>
      <c r="E24" s="13">
        <v>42710.211689814816</v>
      </c>
      <c r="F24" s="13">
        <v>42710.219189814816</v>
      </c>
      <c r="G24" s="7">
        <v>1</v>
      </c>
      <c r="H24" s="22" t="s">
        <v>332</v>
      </c>
      <c r="I24" s="13">
        <v>42710.24490740741</v>
      </c>
      <c r="J24" s="7">
        <v>0</v>
      </c>
      <c r="K24" s="109" t="str">
        <f t="shared" si="0"/>
        <v>4019/4020</v>
      </c>
      <c r="L24" s="22" t="str">
        <f>VLOOKUP(A24,'Trips&amp;Operators'!$C$1:$G$99999,5,FALSE)</f>
        <v>KILLION DAVID</v>
      </c>
      <c r="M24" s="6">
        <f t="shared" si="1"/>
        <v>2.5717592594446614E-2</v>
      </c>
      <c r="N24" s="7">
        <f t="shared" si="2"/>
        <v>37.033333336003125</v>
      </c>
      <c r="O24" s="7"/>
      <c r="P24" s="7"/>
      <c r="Q24" s="23"/>
      <c r="R24" s="23"/>
      <c r="S24" s="35">
        <f t="shared" si="3"/>
        <v>1</v>
      </c>
      <c r="T24" s="50" t="str">
        <f t="shared" si="4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04:04:50-700',mode:absolute,to:'2016-12-06 06:52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4.7300000000000002E-2</v>
      </c>
      <c r="Z24" s="67">
        <f t="shared" si="9"/>
        <v>23.3293</v>
      </c>
      <c r="AA24" s="67">
        <f t="shared" si="10"/>
        <v>23.282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0113-06</v>
      </c>
      <c r="AE24" s="91" t="str">
        <f t="shared" si="1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24" s="88" t="str">
        <f t="shared" si="13"/>
        <v>"C:\Program Files (x86)\AstroGrep\AstroGrep.exe" /spath="%USERPROFILE%\AppData\Local\Temp\OnboardLogs" /stypes="app*4020*20161206*"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113-06 --locoid 4020 --swversion DE.1.0.8.0 --startMP 204:473 --initTime 2016-12-06T05:04:50 --startdatetime 2016-12-06T05:15:38 --delay 1 --endMP 204:233293 --enddatetime 2016-12-06T05:52:40 --enforcementcount 0 &gt;&gt;C:\Users\stu\Documents\GitHub\eaglep3-reporting\EC\2016-12-06-refined-times.txt</v>
      </c>
      <c r="AI24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ID","value":"113-06"},{"id":16,"name":"Locomotive ID","value":"4020"},{"id":130,"name":"Impact","value":""},{"id":150,"name":"Time of Event (Mountain Time)","value":"05:52:40"},{"id":151,"name":"Denver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424</v>
      </c>
      <c r="B25" s="7">
        <v>4019</v>
      </c>
      <c r="C25" s="22" t="s">
        <v>207</v>
      </c>
      <c r="D25" s="22" t="s">
        <v>386</v>
      </c>
      <c r="E25" s="13">
        <v>42710.25377314815</v>
      </c>
      <c r="F25" s="13">
        <v>42710.257939814815</v>
      </c>
      <c r="G25" s="7">
        <v>1</v>
      </c>
      <c r="H25" s="22" t="s">
        <v>227</v>
      </c>
      <c r="I25" s="13">
        <v>42710.285567129627</v>
      </c>
      <c r="J25" s="7">
        <v>0</v>
      </c>
      <c r="K25" s="109" t="str">
        <f t="shared" si="0"/>
        <v>4019/4020</v>
      </c>
      <c r="L25" s="22" t="str">
        <f>VLOOKUP(A25,'Trips&amp;Operators'!$C$1:$G$99999,5,FALSE)</f>
        <v>KILLION DAVID</v>
      </c>
      <c r="M25" s="6">
        <f t="shared" si="1"/>
        <v>2.7627314811979886E-2</v>
      </c>
      <c r="N25" s="7">
        <f t="shared" si="2"/>
        <v>39.783333329251036</v>
      </c>
      <c r="O25" s="7"/>
      <c r="P25" s="7"/>
      <c r="Q25" s="23"/>
      <c r="R25" s="23"/>
      <c r="S25" s="35">
        <f t="shared" si="3"/>
        <v>1</v>
      </c>
      <c r="T25" s="50" t="str">
        <f t="shared" si="4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23.297599999999999</v>
      </c>
      <c r="Z25" s="67">
        <f t="shared" si="9"/>
        <v>1.54E-2</v>
      </c>
      <c r="AA25" s="67">
        <f t="shared" si="10"/>
        <v>23.2822</v>
      </c>
      <c r="AB25" s="64" t="str">
        <f>VLOOKUP(A25,Enforcements!$C$7:$K$20,8,0)</f>
        <v>Form based authority (4)</v>
      </c>
      <c r="AC25" s="60" t="str">
        <f>VLOOKUP(A25,Enforcements!$C$7:$E$20,3,0)</f>
        <v>TRACK WARRANT AUTHORITY</v>
      </c>
      <c r="AD25" s="61" t="str">
        <f t="shared" si="11"/>
        <v>0114-06</v>
      </c>
      <c r="AE25" s="91" t="str">
        <f t="shared" si="12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25" s="88" t="str">
        <f t="shared" si="13"/>
        <v>"C:\Program Files (x86)\AstroGrep\AstroGrep.exe" /spath="%USERPROFILE%\AppData\Local\Temp\OnboardLogs" /stypes="app*4019*20161206*"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114-06 --locoid 4019 --swversion DE.1.0.8.0 --startMP 204:232976 --initTime 2016-12-06T06:05:26 --startdatetime 2016-12-06T06:11:26 --delay 1 --endMP 204:154 --enddatetime 2016-12-06T06:51:13 --enforcementcount 0 &gt;&gt;C:\Users\stu\Documents\GitHub\eaglep3-reporting\EC\2016-12-06-refined-times.txt</v>
      </c>
      <c r="AI2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ID","value":"114-06"},{"id":16,"name":"Locomotive ID","value":"4019"},{"id":130,"name":"Impact","value":""},{"id":150,"name":"Time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474</v>
      </c>
      <c r="B26" s="7">
        <v>4027</v>
      </c>
      <c r="C26" s="22" t="s">
        <v>207</v>
      </c>
      <c r="D26" s="22" t="s">
        <v>667</v>
      </c>
      <c r="E26" s="13">
        <v>42710.228344907409</v>
      </c>
      <c r="F26" s="13">
        <v>42710.229756944442</v>
      </c>
      <c r="G26" s="7">
        <v>1</v>
      </c>
      <c r="H26" s="22" t="s">
        <v>668</v>
      </c>
      <c r="I26" s="13">
        <v>42710.253125000003</v>
      </c>
      <c r="J26" s="7">
        <v>0</v>
      </c>
      <c r="K26" s="109" t="str">
        <f t="shared" si="0"/>
        <v>4027/4028</v>
      </c>
      <c r="L26" s="22" t="str">
        <f>VLOOKUP(A26,'Trips&amp;Operators'!$C$1:$G$99999,5,FALSE)</f>
        <v>ROCHA YAOTL</v>
      </c>
      <c r="M26" s="6">
        <f t="shared" si="1"/>
        <v>2.3368055561149959E-2</v>
      </c>
      <c r="N26" s="7">
        <f t="shared" si="2"/>
        <v>33.65000000805594</v>
      </c>
      <c r="O26" s="7"/>
      <c r="P26" s="7"/>
      <c r="Q26" s="23"/>
      <c r="R26" s="23"/>
      <c r="S26" s="35">
        <f t="shared" si="3"/>
        <v>1</v>
      </c>
      <c r="T26" s="50" t="str">
        <f t="shared" si="4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04:28:49-700',mode:absolute,to:'2016-12-06 07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6" s="52" t="str">
        <f t="shared" si="6"/>
        <v>N</v>
      </c>
      <c r="X26" s="177">
        <f t="shared" si="7"/>
        <v>1</v>
      </c>
      <c r="Y26" s="67">
        <v>0.04</v>
      </c>
      <c r="Z26" s="67">
        <f t="shared" si="9"/>
        <v>23.049800000000001</v>
      </c>
      <c r="AA26" s="67">
        <f t="shared" si="10"/>
        <v>23.009800000000002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0115-06</v>
      </c>
      <c r="AE26" s="91" t="str">
        <f t="shared" si="12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6" s="88" t="str">
        <f t="shared" si="13"/>
        <v>"C:\Program Files (x86)\AstroGrep\AstroGrep.exe" /spath="%USERPROFILE%\AppData\Local\Temp\OnboardLogs" /stypes="app*4027*20161206*"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115-06 --locoid 4027 --swversion DE.1.0.8.0 --startMP 204:743 --initTime 2016-12-06T05:28:49 --startdatetime 2016-12-06T05:30:51 --delay 1 --endMP 204:230498 --enddatetime 2016-12-06T06:04:30 --enforcementcount 0 &gt;&gt;C:\Users\stu\Documents\GitHub\eaglep3-reporting\EC\2016-12-06-refined-times.txt</v>
      </c>
      <c r="AI2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{"issue":{"subject":"","project_id":79,"tracker_id":40,"status_id":1,"priority_id":2,"assigned_to_id":23,"start_date":"2016-12-06","description":"","custom_fields":[{"id":1,"name":"Subdivision","value":"EC"},{"id":4,"name":"Milepost","value":"23.0498"},{"id":17,"name":"Train ID","value":"115-06"},{"id":16,"name":"Locomotive ID","value":"4027"},{"id":130,"name":"Impact","value":""},{"id":150,"name":"Time of Event (Mountain Time)","value":"06:04:30"},{"id":151,"name":"Denver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425</v>
      </c>
      <c r="B27" s="7">
        <v>4028</v>
      </c>
      <c r="C27" s="22" t="s">
        <v>207</v>
      </c>
      <c r="D27" s="22" t="s">
        <v>669</v>
      </c>
      <c r="E27" s="13">
        <v>42710.267500000002</v>
      </c>
      <c r="F27" s="13">
        <v>42710.269143518519</v>
      </c>
      <c r="G27" s="7">
        <v>1</v>
      </c>
      <c r="H27" s="22" t="s">
        <v>192</v>
      </c>
      <c r="I27" s="13">
        <v>42710.295601851853</v>
      </c>
      <c r="J27" s="7">
        <v>0</v>
      </c>
      <c r="K27" s="109" t="str">
        <f t="shared" si="0"/>
        <v>4027/4028</v>
      </c>
      <c r="L27" s="22" t="str">
        <f>VLOOKUP(A27,'Trips&amp;Operators'!$C$1:$G$99999,5,FALSE)</f>
        <v>ROCHA YAOTL</v>
      </c>
      <c r="M27" s="6">
        <f t="shared" si="1"/>
        <v>2.6458333333721384E-2</v>
      </c>
      <c r="N27" s="7">
        <f t="shared" si="2"/>
        <v>38.100000000558794</v>
      </c>
      <c r="O27" s="7"/>
      <c r="P27" s="7"/>
      <c r="Q27" s="23"/>
      <c r="R27" s="23"/>
      <c r="S27" s="35">
        <f t="shared" si="3"/>
        <v>1</v>
      </c>
      <c r="T27" s="50" t="str">
        <f t="shared" si="4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23.296500000000002</v>
      </c>
      <c r="Z27" s="67">
        <f t="shared" si="9"/>
        <v>1.49E-2</v>
      </c>
      <c r="AA27" s="67">
        <f t="shared" si="10"/>
        <v>23.281600000000001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1"/>
        <v>0116-06</v>
      </c>
      <c r="AE27" s="91" t="str">
        <f t="shared" si="12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7" s="88" t="str">
        <f t="shared" si="13"/>
        <v>"C:\Program Files (x86)\AstroGrep\AstroGrep.exe" /spath="%USERPROFILE%\AppData\Local\Temp\OnboardLogs" /stypes="app*4028*20161206*" /stext=" 14:.+((SYSTEM_STATE.+slice.+state.+changed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116-06 --locoid 4028 --swversion DE.1.0.8.0 --startMP 204:232965 --initTime 2016-12-06T06:25:12 --startdatetime 2016-12-06T06:27:34 --delay 1 --endMP 204:149 --enddatetime 2016-12-06T07:05:40 --enforcementcount 0 &gt;&gt;C:\Users\stu\Documents\GitHub\eaglep3-reporting\EC\2016-12-06-refined-times.txt</v>
      </c>
      <c r="AI2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ID","value":"116-06"},{"id":16,"name":"Locomotive ID","value":"4028"},{"id":130,"name":"Impact","value":""},{"id":150,"name":"Time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477</v>
      </c>
      <c r="B28" s="7">
        <v>4044</v>
      </c>
      <c r="C28" s="22" t="s">
        <v>207</v>
      </c>
      <c r="D28" s="22" t="s">
        <v>388</v>
      </c>
      <c r="E28" s="13">
        <v>42710.232094907406</v>
      </c>
      <c r="F28" s="13">
        <v>42710.24009259259</v>
      </c>
      <c r="G28" s="7">
        <v>0</v>
      </c>
      <c r="H28" s="22" t="s">
        <v>334</v>
      </c>
      <c r="I28" s="13">
        <v>42710.26703703704</v>
      </c>
      <c r="J28" s="7">
        <v>0</v>
      </c>
      <c r="K28" s="109" t="str">
        <f t="shared" si="0"/>
        <v>4043/4044</v>
      </c>
      <c r="L28" s="22" t="str">
        <f>VLOOKUP(A28,'Trips&amp;Operators'!$C$1:$G$99999,5,FALSE)</f>
        <v>MAGEE KENYA</v>
      </c>
      <c r="M28" s="6">
        <f t="shared" si="1"/>
        <v>2.694444444932742E-2</v>
      </c>
      <c r="N28" s="7">
        <f t="shared" si="2"/>
        <v>38.800000007031485</v>
      </c>
      <c r="O28" s="7"/>
      <c r="P28" s="7"/>
      <c r="Q28" s="23"/>
      <c r="R28" s="23"/>
      <c r="S28" s="35">
        <f t="shared" si="3"/>
        <v>1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04:34:13-700',mode:absolute,to:'2016-12-06 07:24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4.6199999999999998E-2</v>
      </c>
      <c r="Z28" s="67">
        <f t="shared" si="9"/>
        <v>23.329499999999999</v>
      </c>
      <c r="AA28" s="67">
        <f t="shared" si="10"/>
        <v>23.283300000000001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0117-06</v>
      </c>
      <c r="AE28" s="91" t="str">
        <f t="shared" si="12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28" s="88" t="str">
        <f t="shared" si="13"/>
        <v>"C:\Program Files (x86)\AstroGrep\AstroGrep.exe" /spath="%USERPROFILE%\AppData\Local\Temp\OnboardLogs" /stypes="app*4044*20161206*"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117-06 --locoid 4044 --swversion DE.1.0.8.0 --startMP 204:462 --initTime 2016-12-06T05:34:13 --startdatetime 2016-12-06T05:45:44 --delay 0 --endMP 204:233295 --enddatetime 2016-12-06T06:24:32 --enforcementcount 0 &gt;&gt;C:\Users\stu\Documents\GitHub\eaglep3-reporting\EC\2016-12-06-refined-times.txt</v>
      </c>
      <c r="AI28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{"issue":{"subject":"","project_id":79,"tracker_id":40,"status_id":1,"priority_id":2,"assigned_to_id":23,"start_date":"2016-12-06","description":"","custom_fields":[{"id":1,"name":"Subdivision","value":"EC"},{"id":4,"name":"Milepost","value":"23.3295"},{"id":17,"name":"Train ID","value":"117-06"},{"id":16,"name":"Locomotive ID","value":"4044"},{"id":130,"name":"Impact","value":""},{"id":150,"name":"Time of Event (Mountain Time)","value":"06:24:32"},{"id":151,"name":"Denver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487</v>
      </c>
      <c r="B29" s="7">
        <v>4043</v>
      </c>
      <c r="C29" s="22" t="s">
        <v>207</v>
      </c>
      <c r="D29" s="22" t="s">
        <v>670</v>
      </c>
      <c r="E29" s="13">
        <v>42710.271423611113</v>
      </c>
      <c r="F29" s="13">
        <v>42710.278668981482</v>
      </c>
      <c r="G29" s="7">
        <v>1</v>
      </c>
      <c r="H29" s="22" t="s">
        <v>240</v>
      </c>
      <c r="I29" s="13">
        <v>42710.30940972222</v>
      </c>
      <c r="J29" s="7">
        <v>0</v>
      </c>
      <c r="K29" s="109" t="str">
        <f t="shared" si="0"/>
        <v>4043/4044</v>
      </c>
      <c r="L29" s="22" t="str">
        <f>VLOOKUP(A29,'Trips&amp;Operators'!$C$1:$G$99999,5,FALSE)</f>
        <v>MAGEE KENYA</v>
      </c>
      <c r="M29" s="6">
        <f t="shared" si="1"/>
        <v>3.0740740738110617E-2</v>
      </c>
      <c r="N29" s="7">
        <f t="shared" si="2"/>
        <v>44.266666662879288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05:30:51-700',mode:absolute,to:'2016-12-06 08:25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23.297899999999998</v>
      </c>
      <c r="Z29" s="67">
        <f t="shared" si="9"/>
        <v>1.61E-2</v>
      </c>
      <c r="AA29" s="67">
        <f t="shared" si="10"/>
        <v>23.281799999999997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0118-06</v>
      </c>
      <c r="AE29" s="91" t="str">
        <f t="shared" si="1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29" s="88" t="str">
        <f t="shared" si="13"/>
        <v>"C:\Program Files (x86)\AstroGrep\AstroGrep.exe" /spath="%USERPROFILE%\AppData\Local\Temp\OnboardLogs" /stypes="app*4043*20161206*"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118-06 --locoid 4043 --swversion DE.1.0.8.0 --startMP 204:232979 --initTime 2016-12-06T06:30:51 --startdatetime 2016-12-06T06:41:17 --delay 1 --endMP 204:161 --enddatetime 2016-12-06T07:25:33 --enforcementcount 0 &gt;&gt;C:\Users\stu\Documents\GitHub\eaglep3-reporting\EC\2016-12-06-refined-times.txt</v>
      </c>
      <c r="AI2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ID","value":"118-06"},{"id":16,"name":"Locomotive ID","value":"4043"},{"id":130,"name":"Impact","value":""},{"id":150,"name":"Time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482</v>
      </c>
      <c r="B30" s="7">
        <v>4029</v>
      </c>
      <c r="C30" s="22" t="s">
        <v>207</v>
      </c>
      <c r="D30" s="22" t="s">
        <v>671</v>
      </c>
      <c r="E30" s="13">
        <v>42710.248912037037</v>
      </c>
      <c r="F30" s="13">
        <v>42710.250810185185</v>
      </c>
      <c r="G30" s="7">
        <v>1</v>
      </c>
      <c r="H30" s="22" t="s">
        <v>248</v>
      </c>
      <c r="I30" s="13">
        <v>42710.274548611109</v>
      </c>
      <c r="J30" s="7">
        <v>0</v>
      </c>
      <c r="K30" s="109" t="str">
        <f t="shared" si="0"/>
        <v>4029/4030</v>
      </c>
      <c r="L30" s="22" t="str">
        <f>VLOOKUP(A30,'Trips&amp;Operators'!$C$1:$G$99999,5,FALSE)</f>
        <v>DAVIDSON DAVID</v>
      </c>
      <c r="M30" s="6">
        <f t="shared" si="1"/>
        <v>2.3738425923511386E-2</v>
      </c>
      <c r="N30" s="7">
        <f t="shared" si="2"/>
        <v>34.183333329856396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04:58:26-700',mode:absolute,to:'2016-12-06 07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7.6600000000000001E-2</v>
      </c>
      <c r="Z30" s="67">
        <f t="shared" si="9"/>
        <v>23.3307</v>
      </c>
      <c r="AA30" s="67">
        <f t="shared" si="10"/>
        <v>23.254100000000001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0119-06</v>
      </c>
      <c r="AE30" s="91" t="str">
        <f t="shared" si="1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30" s="88" t="str">
        <f t="shared" si="13"/>
        <v>"C:\Program Files (x86)\AstroGrep\AstroGrep.exe" /spath="%USERPROFILE%\AppData\Local\Temp\OnboardLogs" /stypes="app*4029*20161206*"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119-06 --locoid 4029 --swversion DE.1.0.8.0 --startMP 204:766 --initTime 2016-12-06T05:58:26 --startdatetime 2016-12-06T06:01:10 --delay 1 --endMP 204:233307 --enddatetime 2016-12-06T06:35:21 --enforcementcount 0 &gt;&gt;C:\Users\stu\Documents\GitHub\eaglep3-reporting\EC\2016-12-06-refined-times.txt</v>
      </c>
      <c r="AI30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{"issue":{"subject":"","project_id":79,"tracker_id":40,"status_id":1,"priority_id":2,"assigned_to_id":23,"start_date":"2016-12-06","description":"","custom_fields":[{"id":1,"name":"Subdivision","value":"EC"},{"id":4,"name":"Milepost","value":"23.3307"},{"id":17,"name":"Train ID","value":"119-06"},{"id":16,"name":"Locomotive ID","value":"4029"},{"id":130,"name":"Impact","value":""},{"id":150,"name":"Time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426</v>
      </c>
      <c r="B31" s="7">
        <v>4030</v>
      </c>
      <c r="C31" s="22" t="s">
        <v>207</v>
      </c>
      <c r="D31" s="22" t="s">
        <v>312</v>
      </c>
      <c r="E31" s="13">
        <v>42710.280243055553</v>
      </c>
      <c r="F31" s="13">
        <v>42710.289039351854</v>
      </c>
      <c r="G31" s="7">
        <v>1</v>
      </c>
      <c r="H31" s="22" t="s">
        <v>192</v>
      </c>
      <c r="I31" s="13">
        <v>42710.316296296296</v>
      </c>
      <c r="J31" s="7">
        <v>0</v>
      </c>
      <c r="K31" s="109" t="str">
        <f t="shared" si="0"/>
        <v>4029/4030</v>
      </c>
      <c r="L31" s="22" t="str">
        <f>VLOOKUP(A31,'Trips&amp;Operators'!$C$1:$G$99999,5,FALSE)</f>
        <v>DAVIDSON DAVID</v>
      </c>
      <c r="M31" s="6">
        <f t="shared" si="1"/>
        <v>2.7256944442342501E-2</v>
      </c>
      <c r="N31" s="7">
        <f t="shared" si="2"/>
        <v>39.249999996973202</v>
      </c>
      <c r="O31" s="7"/>
      <c r="P31" s="7"/>
      <c r="Q31" s="23"/>
      <c r="R31" s="23"/>
      <c r="S31" s="35">
        <f t="shared" si="3"/>
        <v>1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23.297799999999999</v>
      </c>
      <c r="Z31" s="67">
        <f t="shared" si="9"/>
        <v>1.49E-2</v>
      </c>
      <c r="AA31" s="67">
        <f t="shared" si="10"/>
        <v>23.282899999999998</v>
      </c>
      <c r="AB31" s="64" t="str">
        <f>VLOOKUP(A31,Enforcements!$C$7:$K$20,8,0)</f>
        <v>Bulletin (2)</v>
      </c>
      <c r="AC31" s="60" t="str">
        <f>VLOOKUP(A31,Enforcements!$C$7:$E$20,3,0)</f>
        <v>GRADE CROSSING</v>
      </c>
      <c r="AD31" s="61" t="str">
        <f t="shared" si="11"/>
        <v>0120-06</v>
      </c>
      <c r="AE31" s="91" t="str">
        <f t="shared" si="12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31" s="88" t="str">
        <f t="shared" si="13"/>
        <v>"C:\Program Files (x86)\AstroGrep\AstroGrep.exe" /spath="%USERPROFILE%\AppData\Local\Temp\OnboardLogs" /stypes="app*4030*20161206*"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120-06 --locoid 4030 --swversion DE.1.0.8.0 --startMP 204:232978 --initTime 2016-12-06T06:43:33 --startdatetime 2016-12-06T06:56:13 --delay 1 --endMP 204:149 --enddatetime 2016-12-06T07:35:28 --enforcementcount 0 &gt;&gt;C:\Users\stu\Documents\GitHub\eaglep3-reporting\EC\2016-12-06-refined-times.txt</v>
      </c>
      <c r="AI31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ID","value":"120-06"},{"id":16,"name":"Locomotive ID","value":"4030"},{"id":130,"name":"Impact","value":""},{"id":150,"name":"Time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484</v>
      </c>
      <c r="B32" s="7">
        <v>4018</v>
      </c>
      <c r="C32" s="22" t="s">
        <v>207</v>
      </c>
      <c r="D32" s="22" t="s">
        <v>672</v>
      </c>
      <c r="E32" s="13">
        <v>42710.25917824074</v>
      </c>
      <c r="F32" s="13">
        <v>42710.261006944442</v>
      </c>
      <c r="G32" s="7">
        <v>1</v>
      </c>
      <c r="H32" s="22" t="s">
        <v>254</v>
      </c>
      <c r="I32" s="13">
        <v>42710.286516203705</v>
      </c>
      <c r="J32" s="7">
        <v>0</v>
      </c>
      <c r="K32" s="109" t="str">
        <f t="shared" si="0"/>
        <v>4017/4018</v>
      </c>
      <c r="L32" s="22" t="str">
        <f>VLOOKUP(A32,'Trips&amp;Operators'!$C$1:$G$99999,5,FALSE)</f>
        <v>HAITHCOX MICHAEL</v>
      </c>
      <c r="M32" s="6">
        <f t="shared" si="1"/>
        <v>2.5509259263344575E-2</v>
      </c>
      <c r="N32" s="7">
        <f t="shared" si="2"/>
        <v>36.733333339216188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05:13:13-700',mode:absolute,to:'2016-12-06 07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7.5399999999999995E-2</v>
      </c>
      <c r="Z32" s="67">
        <f t="shared" si="9"/>
        <v>23.329799999999999</v>
      </c>
      <c r="AA32" s="67">
        <f t="shared" si="10"/>
        <v>23.2544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0121-06</v>
      </c>
      <c r="AE32" s="91" t="str">
        <f t="shared" si="12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32" s="88" t="str">
        <f t="shared" si="13"/>
        <v>"C:\Program Files (x86)\AstroGrep\AstroGrep.exe" /spath="%USERPROFILE%\AppData\Local\Temp\OnboardLogs" /stypes="app*4018*20161206*"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121-06 --locoid 4018 --swversion DE.1.0.8.0 --startMP 204:754 --initTime 2016-12-06T06:13:13 --startdatetime 2016-12-06T06:15:51 --delay 1 --endMP 204:233298 --enddatetime 2016-12-06T06:52:35 --enforcementcount 0 &gt;&gt;C:\Users\stu\Documents\GitHub\eaglep3-reporting\EC\2016-12-06-refined-times.txt</v>
      </c>
      <c r="AI3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ID","value":"121-06"},{"id":16,"name":"Locomotive ID","value":"4018"},{"id":130,"name":"Impact","value":""},{"id":150,"name":"Time of Event (Mountain Time)","value":"06:52:35"},{"id":151,"name":"Denver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491</v>
      </c>
      <c r="B33" s="7">
        <v>4017</v>
      </c>
      <c r="C33" s="22" t="s">
        <v>207</v>
      </c>
      <c r="D33" s="22" t="s">
        <v>355</v>
      </c>
      <c r="E33" s="13">
        <v>42710.293182870373</v>
      </c>
      <c r="F33" s="13">
        <v>42710.29959490741</v>
      </c>
      <c r="G33" s="7">
        <v>1</v>
      </c>
      <c r="H33" s="22" t="s">
        <v>229</v>
      </c>
      <c r="I33" s="13">
        <v>42710.327499999999</v>
      </c>
      <c r="J33" s="7">
        <v>0</v>
      </c>
      <c r="K33" s="109" t="str">
        <f t="shared" si="0"/>
        <v>4017/4018</v>
      </c>
      <c r="L33" s="22" t="str">
        <f>VLOOKUP(A33,'Trips&amp;Operators'!$C$1:$G$99999,5,FALSE)</f>
        <v>HAITHCOX MICHAEL</v>
      </c>
      <c r="M33" s="6">
        <f t="shared" si="1"/>
        <v>2.7905092589207925E-2</v>
      </c>
      <c r="N33" s="7">
        <f t="shared" si="2"/>
        <v>40.183333328459412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06:02:11-700',mode:absolute,to:'2016-12-06 08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23.299399999999999</v>
      </c>
      <c r="Z33" s="67">
        <f t="shared" si="9"/>
        <v>1.41E-2</v>
      </c>
      <c r="AA33" s="67">
        <f t="shared" si="10"/>
        <v>23.285299999999999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0122-06</v>
      </c>
      <c r="AE33" s="91" t="str">
        <f t="shared" si="12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33" s="88" t="str">
        <f t="shared" si="13"/>
        <v>"C:\Program Files (x86)\AstroGrep\AstroGrep.exe" /spath="%USERPROFILE%\AppData\Local\Temp\OnboardLogs" /stypes="app*4017*20161206*"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122-06 --locoid 4017 --swversion DE.1.0.8.0 --startMP 204:232994 --initTime 2016-12-06T07:02:11 --startdatetime 2016-12-06T07:11:25 --delay 1 --endMP 204:141 --enddatetime 2016-12-06T07:51:36 --enforcementcount 0 &gt;&gt;C:\Users\stu\Documents\GitHub\eaglep3-reporting\EC\2016-12-06-refined-times.txt</v>
      </c>
      <c r="AI33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ID","value":"122-06"},{"id":16,"name":"Locomotive ID","value":"4017"},{"id":130,"name":"Impact","value":""},{"id":150,"name":"Time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486</v>
      </c>
      <c r="B34" s="7">
        <v>4014</v>
      </c>
      <c r="C34" s="22" t="s">
        <v>207</v>
      </c>
      <c r="D34" s="22" t="s">
        <v>280</v>
      </c>
      <c r="E34" s="13">
        <v>42710.265381944446</v>
      </c>
      <c r="F34" s="13">
        <v>42710.271041666667</v>
      </c>
      <c r="G34" s="7">
        <v>1</v>
      </c>
      <c r="H34" s="22" t="s">
        <v>290</v>
      </c>
      <c r="I34" s="13">
        <v>42710.296631944446</v>
      </c>
      <c r="J34" s="7">
        <v>0</v>
      </c>
      <c r="K34" s="109" t="str">
        <f t="shared" si="0"/>
        <v>4013/4014</v>
      </c>
      <c r="L34" s="22" t="str">
        <f>VLOOKUP(A34,'Trips&amp;Operators'!$C$1:$G$99999,5,FALSE)</f>
        <v>DAVIS WENDY</v>
      </c>
      <c r="M34" s="6">
        <f t="shared" si="1"/>
        <v>2.5590277778974269E-2</v>
      </c>
      <c r="N34" s="7">
        <f t="shared" si="2"/>
        <v>36.850000001722947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05:22:09-700',mode:absolute,to:'2016-12-06 08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4.3799999999999999E-2</v>
      </c>
      <c r="Z34" s="67">
        <f t="shared" si="9"/>
        <v>23.331199999999999</v>
      </c>
      <c r="AA34" s="67">
        <f t="shared" si="10"/>
        <v>23.287399999999998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0123-06</v>
      </c>
      <c r="AE34" s="91" t="str">
        <f t="shared" si="12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34" s="88" t="str">
        <f t="shared" si="13"/>
        <v>"C:\Program Files (x86)\AstroGrep\AstroGrep.exe" /spath="%USERPROFILE%\AppData\Local\Temp\OnboardLogs" /stypes="app*4014*20161206*"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123-06 --locoid 4014 --swversion DE.1.0.8.0 --startMP 204:438 --initTime 2016-12-06T06:22:09 --startdatetime 2016-12-06T06:30:18 --delay 1 --endMP 204:233312 --enddatetime 2016-12-06T07:07:09 --enforcementcount 0 &gt;&gt;C:\Users\stu\Documents\GitHub\eaglep3-reporting\EC\2016-12-06-refined-times.txt</v>
      </c>
      <c r="AI34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ID","value":"123-06"},{"id":16,"name":"Locomotive ID","value":"4014"},{"id":130,"name":"Impact","value":""},{"id":150,"name":"Time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497</v>
      </c>
      <c r="B35" s="7">
        <v>4013</v>
      </c>
      <c r="C35" s="22" t="s">
        <v>207</v>
      </c>
      <c r="D35" s="22" t="s">
        <v>329</v>
      </c>
      <c r="E35" s="13">
        <v>42710.307708333334</v>
      </c>
      <c r="F35" s="13">
        <v>42710.309884259259</v>
      </c>
      <c r="G35" s="7">
        <v>1</v>
      </c>
      <c r="H35" s="22" t="s">
        <v>398</v>
      </c>
      <c r="I35" s="13">
        <v>42710.336608796293</v>
      </c>
      <c r="J35" s="7">
        <v>0</v>
      </c>
      <c r="K35" s="109" t="str">
        <f t="shared" si="0"/>
        <v>4013/4014</v>
      </c>
      <c r="L35" s="22" t="str">
        <f>VLOOKUP(A35,'Trips&amp;Operators'!$C$1:$G$99999,5,FALSE)</f>
        <v>DAVIS WENDY</v>
      </c>
      <c r="M35" s="6">
        <f t="shared" si="1"/>
        <v>2.6724537034169771E-2</v>
      </c>
      <c r="N35" s="7">
        <f t="shared" si="2"/>
        <v>38.48333332920447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06:23:06-700',mode:absolute,to:'2016-12-06 09:04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23.2986</v>
      </c>
      <c r="Z35" s="67">
        <f t="shared" si="9"/>
        <v>1.23E-2</v>
      </c>
      <c r="AA35" s="67">
        <f t="shared" si="10"/>
        <v>23.286300000000001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0124-06</v>
      </c>
      <c r="AE35" s="91" t="str">
        <f t="shared" si="12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35" s="88" t="str">
        <f t="shared" si="13"/>
        <v>"C:\Program Files (x86)\AstroGrep\AstroGrep.exe" /spath="%USERPROFILE%\AppData\Local\Temp\OnboardLogs" /stypes="app*4013*20161206*" /stext=" 15:.+((SYSTEM_STATE.+slice.+state.+changed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124-06 --locoid 4013 --swversion DE.1.0.8.0 --startMP 204:232986 --initTime 2016-12-06T07:23:06 --startdatetime 2016-12-06T07:26:14 --delay 1 --endMP 204:123 --enddatetime 2016-12-06T08:04:43 --enforcementcount 0 &gt;&gt;C:\Users\stu\Documents\GitHub\eaglep3-reporting\EC\2016-12-06-refined-times.txt</v>
      </c>
      <c r="AI3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ID","value":"124-06"},{"id":16,"name":"Locomotive ID","value":"4013"},{"id":130,"name":"Impact","value":""},{"id":150,"name":"Time of Event (Mountain Time)","value":"08:04:43"},{"id":151,"name":"Denver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488</v>
      </c>
      <c r="B36" s="7">
        <v>4016</v>
      </c>
      <c r="C36" s="22" t="s">
        <v>207</v>
      </c>
      <c r="D36" s="22" t="s">
        <v>241</v>
      </c>
      <c r="E36" s="13">
        <v>42710.27684027778</v>
      </c>
      <c r="F36" s="13">
        <v>42710.281423611108</v>
      </c>
      <c r="G36" s="7">
        <v>1</v>
      </c>
      <c r="H36" s="22" t="s">
        <v>328</v>
      </c>
      <c r="I36" s="13">
        <v>42710.306932870371</v>
      </c>
      <c r="J36" s="7">
        <v>0</v>
      </c>
      <c r="K36" s="109" t="str">
        <f t="shared" si="0"/>
        <v>4015/4016</v>
      </c>
      <c r="L36" s="22" t="str">
        <f>VLOOKUP(A36,'Trips&amp;Operators'!$C$1:$G$99999,5,FALSE)</f>
        <v>GEBRETEKLE DAGNEW</v>
      </c>
      <c r="M36" s="6">
        <f t="shared" si="1"/>
        <v>2.5509259263344575E-2</v>
      </c>
      <c r="N36" s="7">
        <f t="shared" si="2"/>
        <v>36.733333339216188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05:38:39-700',mode:absolute,to:'2016-12-06 08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4.5999999999999999E-2</v>
      </c>
      <c r="Z36" s="67">
        <f t="shared" si="9"/>
        <v>23.331499999999998</v>
      </c>
      <c r="AA36" s="67">
        <f t="shared" si="10"/>
        <v>23.285499999999999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0125-06</v>
      </c>
      <c r="AE36" s="91" t="str">
        <f t="shared" si="12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36" s="88" t="str">
        <f t="shared" si="13"/>
        <v>"C:\Program Files (x86)\AstroGrep\AstroGrep.exe" /spath="%USERPROFILE%\AppData\Local\Temp\OnboardLogs" /stypes="app*4016*20161206*"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125-06 --locoid 4016 --swversion DE.1.0.8.0 --startMP 204:460 --initTime 2016-12-06T06:38:39 --startdatetime 2016-12-06T06:45:15 --delay 1 --endMP 204:233315 --enddatetime 2016-12-06T07:21:59 --enforcementcount 0 &gt;&gt;C:\Users\stu\Documents\GitHub\eaglep3-reporting\EC\2016-12-06-refined-times.txt</v>
      </c>
      <c r="AI3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ID","value":"125-06"},{"id":16,"name":"Locomotive ID","value":"4016"},{"id":130,"name":"Impact","value":""},{"id":150,"name":"Time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498</v>
      </c>
      <c r="B37" s="7">
        <v>4015</v>
      </c>
      <c r="C37" s="22" t="s">
        <v>207</v>
      </c>
      <c r="D37" s="22" t="s">
        <v>673</v>
      </c>
      <c r="E37" s="13">
        <v>42710.315625000003</v>
      </c>
      <c r="F37" s="13">
        <v>42710.320324074077</v>
      </c>
      <c r="G37" s="7">
        <v>1</v>
      </c>
      <c r="H37" s="22" t="s">
        <v>205</v>
      </c>
      <c r="I37" s="13">
        <v>42710.346134259256</v>
      </c>
      <c r="J37" s="7">
        <v>0</v>
      </c>
      <c r="K37" s="109" t="str">
        <f t="shared" si="0"/>
        <v>4015/4016</v>
      </c>
      <c r="L37" s="22" t="str">
        <f>VLOOKUP(A37,'Trips&amp;Operators'!$C$1:$G$99999,5,FALSE)</f>
        <v>GEBRETEKLE DAGNEW</v>
      </c>
      <c r="M37" s="6">
        <f t="shared" si="1"/>
        <v>2.5810185179580003E-2</v>
      </c>
      <c r="N37" s="7">
        <f t="shared" si="2"/>
        <v>37.166666658595204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06:34:30-700',mode:absolute,to:'2016-12-06 09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23.299800000000001</v>
      </c>
      <c r="Z37" s="67">
        <f t="shared" si="9"/>
        <v>1.5599999999999999E-2</v>
      </c>
      <c r="AA37" s="67">
        <f t="shared" si="10"/>
        <v>23.284200000000002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0126-06</v>
      </c>
      <c r="AE37" s="91" t="str">
        <f t="shared" si="12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37" s="88" t="str">
        <f t="shared" si="13"/>
        <v>"C:\Program Files (x86)\AstroGrep\AstroGrep.exe" /spath="%USERPROFILE%\AppData\Local\Temp\OnboardLogs" /stypes="app*4015*20161206*"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126-06 --locoid 4015 --swversion DE.1.0.8.0 --startMP 204:232998 --initTime 2016-12-06T07:34:30 --startdatetime 2016-12-06T07:41:16 --delay 1 --endMP 204:156 --enddatetime 2016-12-06T08:18:26 --enforcementcount 0 &gt;&gt;C:\Users\stu\Documents\GitHub\eaglep3-reporting\EC\2016-12-06-refined-times.txt</v>
      </c>
      <c r="AI3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ID","value":"126-06"},{"id":16,"name":"Locomotive ID","value":"4015"},{"id":130,"name":"Impact","value":""},{"id":150,"name":"Time of Event (Mountain Time)","value":"08:18:26"},{"id":151,"name":"Denver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490</v>
      </c>
      <c r="B38" s="7">
        <v>4020</v>
      </c>
      <c r="C38" s="22" t="s">
        <v>207</v>
      </c>
      <c r="D38" s="22" t="s">
        <v>292</v>
      </c>
      <c r="E38" s="13">
        <v>42710.288877314815</v>
      </c>
      <c r="F38" s="13">
        <v>42710.291898148149</v>
      </c>
      <c r="G38" s="7">
        <v>1</v>
      </c>
      <c r="H38" s="22" t="s">
        <v>343</v>
      </c>
      <c r="I38" s="13">
        <v>42710.317233796297</v>
      </c>
      <c r="J38" s="7">
        <v>0</v>
      </c>
      <c r="K38" s="109" t="str">
        <f t="shared" si="0"/>
        <v>4019/4020</v>
      </c>
      <c r="L38" s="22" t="str">
        <f>VLOOKUP(A38,'Trips&amp;Operators'!$C$1:$G$99999,5,FALSE)</f>
        <v>KILLION DAVID</v>
      </c>
      <c r="M38" s="6">
        <f t="shared" si="1"/>
        <v>2.5335648148029577E-2</v>
      </c>
      <c r="N38" s="7">
        <f t="shared" si="2"/>
        <v>36.483333333162591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05:55:59-700',mode:absolute,to:'2016-12-06 08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4.4600000000000001E-2</v>
      </c>
      <c r="Z38" s="67">
        <f t="shared" si="9"/>
        <v>23.3278</v>
      </c>
      <c r="AA38" s="67">
        <f t="shared" si="10"/>
        <v>23.283200000000001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0127-06</v>
      </c>
      <c r="AE38" s="91" t="str">
        <f t="shared" si="1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38" s="88" t="str">
        <f t="shared" si="13"/>
        <v>"C:\Program Files (x86)\AstroGrep\AstroGrep.exe" /spath="%USERPROFILE%\AppData\Local\Temp\OnboardLogs" /stypes="app*4020*20161206*"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127-06 --locoid 4020 --swversion DE.1.0.8.0 --startMP 204:446 --initTime 2016-12-06T06:55:59 --startdatetime 2016-12-06T07:00:20 --delay 1 --endMP 204:233278 --enddatetime 2016-12-06T07:36:49 --enforcementcount 0 &gt;&gt;C:\Users\stu\Documents\GitHub\eaglep3-reporting\EC\2016-12-06-refined-times.txt</v>
      </c>
      <c r="AI38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ID","value":"127-06"},{"id":16,"name":"Locomotive ID","value":"4020"},{"id":130,"name":"Impact","value":""},{"id":150,"name":"Time of Event (Mountain Time)","value":"07:36:49"},{"id":151,"name":"Denver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501</v>
      </c>
      <c r="B39" s="7">
        <v>4019</v>
      </c>
      <c r="C39" s="22" t="s">
        <v>207</v>
      </c>
      <c r="D39" s="22" t="s">
        <v>347</v>
      </c>
      <c r="E39" s="13">
        <v>42710.325636574074</v>
      </c>
      <c r="F39" s="13">
        <v>42710.330740740741</v>
      </c>
      <c r="G39" s="7">
        <v>1</v>
      </c>
      <c r="H39" s="22" t="s">
        <v>227</v>
      </c>
      <c r="I39" s="13">
        <v>42710.362928240742</v>
      </c>
      <c r="J39" s="7">
        <v>0</v>
      </c>
      <c r="K39" s="109" t="str">
        <f t="shared" si="0"/>
        <v>4019/4020</v>
      </c>
      <c r="L39" s="22" t="str">
        <f>VLOOKUP(A39,'Trips&amp;Operators'!$C$1:$G$99999,5,FALSE)</f>
        <v>KILLION DAVID</v>
      </c>
      <c r="M39" s="6">
        <f t="shared" si="1"/>
        <v>3.2187500000873115E-2</v>
      </c>
      <c r="N39" s="7">
        <f t="shared" si="2"/>
        <v>46.350000001257285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06:48:55-700',mode:absolute,to:'2016-12-06 09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23.298999999999999</v>
      </c>
      <c r="Z39" s="67">
        <f t="shared" si="9"/>
        <v>1.54E-2</v>
      </c>
      <c r="AA39" s="67">
        <f t="shared" si="10"/>
        <v>23.2836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0128-06</v>
      </c>
      <c r="AE39" s="91" t="str">
        <f t="shared" si="12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39" s="88" t="str">
        <f t="shared" si="13"/>
        <v>"C:\Program Files (x86)\AstroGrep\AstroGrep.exe" /spath="%USERPROFILE%\AppData\Local\Temp\OnboardLogs" /stypes="app*4019*20161206*"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128-06 --locoid 4019 --swversion DE.1.0.8.0 --startMP 204:232990 --initTime 2016-12-06T07:48:55 --startdatetime 2016-12-06T07:56:16 --delay 1 --endMP 204:154 --enddatetime 2016-12-06T08:42:37 --enforcementcount 0 &gt;&gt;C:\Users\stu\Documents\GitHub\eaglep3-reporting\EC\2016-12-06-refined-times.txt</v>
      </c>
      <c r="AI3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ID","value":"128-06"},{"id":16,"name":"Locomotive ID","value":"4019"},{"id":130,"name":"Impact","value":""},{"id":150,"name":"Time of Event (Mountain Time)","value":"08:42:37"},{"id":151,"name":"Denver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493</v>
      </c>
      <c r="B40" s="7">
        <v>4027</v>
      </c>
      <c r="C40" s="22" t="s">
        <v>207</v>
      </c>
      <c r="D40" s="22" t="s">
        <v>310</v>
      </c>
      <c r="E40" s="13">
        <v>42710.29824074074</v>
      </c>
      <c r="F40" s="13">
        <v>42710.30269675926</v>
      </c>
      <c r="G40" s="7">
        <v>2</v>
      </c>
      <c r="H40" s="22" t="s">
        <v>249</v>
      </c>
      <c r="I40" s="13">
        <v>42710.333518518521</v>
      </c>
      <c r="J40" s="7">
        <v>0</v>
      </c>
      <c r="K40" s="109" t="str">
        <f t="shared" si="0"/>
        <v>4027/4028</v>
      </c>
      <c r="L40" s="22" t="str">
        <f>VLOOKUP(A40,'Trips&amp;Operators'!$C$1:$G$99999,5,FALSE)</f>
        <v>SANTIZO D. EDY</v>
      </c>
      <c r="M40" s="6">
        <f t="shared" si="1"/>
        <v>3.0821759261016268E-2</v>
      </c>
      <c r="N40" s="7">
        <f t="shared" si="2"/>
        <v>44.383333335863426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06:09:28-700',mode:absolute,to:'2016-12-06 09:00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4.6899999999999997E-2</v>
      </c>
      <c r="Z40" s="67">
        <f t="shared" si="9"/>
        <v>23.3308</v>
      </c>
      <c r="AA40" s="67">
        <f t="shared" si="10"/>
        <v>23.283899999999999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0129-06</v>
      </c>
      <c r="AE40" s="91" t="str">
        <f t="shared" si="12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40" s="88" t="str">
        <f t="shared" si="13"/>
        <v>"C:\Program Files (x86)\AstroGrep\AstroGrep.exe" /spath="%USERPROFILE%\AppData\Local\Temp\OnboardLogs" /stypes="app*4027*20161206*"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129-06 --locoid 4027 --swversion DE.1.0.8.0 --startMP 204:469 --initTime 2016-12-06T07:09:28 --startdatetime 2016-12-06T07:15:53 --delay 2 --endMP 204:233308 --enddatetime 2016-12-06T08:00:16 --enforcementcount 0 &gt;&gt;C:\Users\stu\Documents\GitHub\eaglep3-reporting\EC\2016-12-06-refined-times.txt</v>
      </c>
      <c r="AI40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{"issue":{"subject":"","project_id":79,"tracker_id":40,"status_id":1,"priority_id":2,"assigned_to_id":23,"start_date":"2016-12-06","description":"","custom_fields":[{"id":1,"name":"Subdivision","value":"EC"},{"id":4,"name":"Milepost","value":"23.3308"},{"id":17,"name":"Train ID","value":"129-06"},{"id":16,"name":"Locomotive ID","value":"4027"},{"id":130,"name":"Impact","value":""},{"id":150,"name":"Time of Event (Mountain Time)","value":"08:00:16"},{"id":151,"name":"Denver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432</v>
      </c>
      <c r="B41" s="7">
        <v>4028</v>
      </c>
      <c r="C41" s="22" t="s">
        <v>207</v>
      </c>
      <c r="D41" s="22" t="s">
        <v>294</v>
      </c>
      <c r="E41" s="13">
        <v>42710.335358796299</v>
      </c>
      <c r="F41" s="13">
        <v>42710.341249999998</v>
      </c>
      <c r="G41" s="7">
        <v>6</v>
      </c>
      <c r="H41" s="22" t="s">
        <v>674</v>
      </c>
      <c r="I41" s="13">
        <v>42710.368148148147</v>
      </c>
      <c r="J41" s="7">
        <v>0</v>
      </c>
      <c r="K41" s="109" t="str">
        <f t="shared" si="0"/>
        <v>4027/4028</v>
      </c>
      <c r="L41" s="22" t="str">
        <f>VLOOKUP(A41,'Trips&amp;Operators'!$C$1:$G$99999,5,FALSE)</f>
        <v>SANTIZO D. EDY</v>
      </c>
      <c r="M41" s="6">
        <f t="shared" si="1"/>
        <v>2.6898148149484769E-2</v>
      </c>
      <c r="N41" s="7">
        <f t="shared" si="2"/>
        <v>38.733333335258067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23.299099999999999</v>
      </c>
      <c r="Z41" s="67">
        <f t="shared" si="9"/>
        <v>0.1023</v>
      </c>
      <c r="AA41" s="67">
        <f t="shared" si="10"/>
        <v>23.1968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0130-06</v>
      </c>
      <c r="AE41" s="91" t="str">
        <f t="shared" si="12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41" s="88" t="str">
        <f t="shared" si="13"/>
        <v>"C:\Program Files (x86)\AstroGrep\AstroGrep.exe" /spath="%USERPROFILE%\AppData\Local\Temp\OnboardLogs" /stypes="app*4028*20161206*"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130-06 --locoid 4028 --swversion DE.1.0.8.0 --startMP 204:232991 --initTime 2016-12-06T08:02:55 --startdatetime 2016-12-06T08:11:24 --delay 6 --endMP 204:1023 --enddatetime 2016-12-06T08:50:08 --enforcementcount 0 &gt;&gt;C:\Users\stu\Documents\GitHub\eaglep3-reporting\EC\2016-12-06-refined-times.txt</v>
      </c>
      <c r="AI41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{"issue":{"subject":"","project_id":79,"tracker_id":40,"status_id":1,"priority_id":2,"assigned_to_id":23,"start_date":"2016-12-06","description":"","custom_fields":[{"id":1,"name":"Subdivision","value":"EC"},{"id":4,"name":"Milepost","value":"0.1023"},{"id":17,"name":"Train ID","value":"130-06"},{"id":16,"name":"Locomotive ID","value":"4028"},{"id":130,"name":"Impact","value":""},{"id":150,"name":"Time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428</v>
      </c>
      <c r="B42" s="7">
        <v>4044</v>
      </c>
      <c r="C42" s="22" t="s">
        <v>207</v>
      </c>
      <c r="D42" s="22" t="s">
        <v>195</v>
      </c>
      <c r="E42" s="13">
        <v>42710.310555555552</v>
      </c>
      <c r="F42" s="13">
        <v>42710.312905092593</v>
      </c>
      <c r="G42" s="7">
        <v>1</v>
      </c>
      <c r="H42" s="22" t="s">
        <v>332</v>
      </c>
      <c r="I42" s="13">
        <v>42710.347581018519</v>
      </c>
      <c r="J42" s="7">
        <v>0</v>
      </c>
      <c r="K42" s="109" t="str">
        <f t="shared" si="0"/>
        <v>4043/4044</v>
      </c>
      <c r="L42" s="22" t="str">
        <f>VLOOKUP(A42,'Trips&amp;Operators'!$C$1:$G$99999,5,FALSE)</f>
        <v>MAGEE KENYA</v>
      </c>
      <c r="M42" s="6">
        <f t="shared" si="1"/>
        <v>3.4675925926421769E-2</v>
      </c>
      <c r="N42" s="7">
        <f t="shared" si="2"/>
        <v>49.933333334047347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4.5100000000000001E-2</v>
      </c>
      <c r="Z42" s="67">
        <f t="shared" si="9"/>
        <v>23.3293</v>
      </c>
      <c r="AA42" s="67">
        <f t="shared" si="10"/>
        <v>23.284199999999998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0131-06</v>
      </c>
      <c r="AE42" s="91" t="str">
        <f t="shared" si="12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42" s="88" t="str">
        <f t="shared" si="13"/>
        <v>"C:\Program Files (x86)\AstroGrep\AstroGrep.exe" /spath="%USERPROFILE%\AppData\Local\Temp\OnboardLogs" /stypes="app*4044*20161206*"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131-06 --locoid 4044 --swversion DE.1.0.8.0 --startMP 204:451 --initTime 2016-12-06T07:27:12 --startdatetime 2016-12-06T07:30:35 --delay 1 --endMP 204:233293 --enddatetime 2016-12-06T08:20:31 --enforcementcount 0 &gt;&gt;C:\Users\stu\Documents\GitHub\eaglep3-reporting\EC\2016-12-06-refined-times.txt</v>
      </c>
      <c r="AI4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ID","value":"131-06"},{"id":16,"name":"Locomotive ID","value":"4044"},{"id":130,"name":"Impact","value":""},{"id":150,"name":"Time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505</v>
      </c>
      <c r="B43" s="7">
        <v>4043</v>
      </c>
      <c r="C43" s="22" t="s">
        <v>207</v>
      </c>
      <c r="D43" s="22" t="s">
        <v>669</v>
      </c>
      <c r="E43" s="13">
        <v>42710.348796296297</v>
      </c>
      <c r="F43" s="13">
        <v>42710.352210648147</v>
      </c>
      <c r="G43" s="7">
        <v>1</v>
      </c>
      <c r="H43" s="22" t="s">
        <v>192</v>
      </c>
      <c r="I43" s="13">
        <v>42710.379675925928</v>
      </c>
      <c r="J43" s="7">
        <v>0</v>
      </c>
      <c r="K43" s="109" t="str">
        <f t="shared" si="0"/>
        <v>4043/4044</v>
      </c>
      <c r="L43" s="22" t="str">
        <f>VLOOKUP(A43,'Trips&amp;Operators'!$C$1:$G$99999,5,FALSE)</f>
        <v>MAGEE KENYA</v>
      </c>
      <c r="M43" s="6">
        <f t="shared" si="1"/>
        <v>2.7465277780720498E-2</v>
      </c>
      <c r="N43" s="7">
        <f t="shared" si="2"/>
        <v>39.550000004237518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07:22:16-700',mode:absolute,to:'2016-12-06 10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23.296500000000002</v>
      </c>
      <c r="Z43" s="67">
        <f t="shared" si="9"/>
        <v>1.49E-2</v>
      </c>
      <c r="AA43" s="67">
        <f t="shared" si="10"/>
        <v>23.281600000000001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0132-06</v>
      </c>
      <c r="AE43" s="91" t="str">
        <f t="shared" si="1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43" s="88" t="str">
        <f t="shared" si="13"/>
        <v>"C:\Program Files (x86)\AstroGrep\AstroGrep.exe" /spath="%USERPROFILE%\AppData\Local\Temp\OnboardLogs" /stypes="app*4043*20161206*" /stext=" 16:.+((SYSTEM_STATE.+slice.+state.+changed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132-06 --locoid 4043 --swversion DE.1.0.8.0 --startMP 204:232965 --initTime 2016-12-06T08:22:16 --startdatetime 2016-12-06T08:27:11 --delay 1 --endMP 204:149 --enddatetime 2016-12-06T09:06:44 --enforcementcount 0 &gt;&gt;C:\Users\stu\Documents\GitHub\eaglep3-reporting\EC\2016-12-06-refined-times.txt</v>
      </c>
      <c r="AI43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ID","value":"132-06"},{"id":16,"name":"Locomotive ID","value":"4043"},{"id":130,"name":"Impact","value":""},{"id":150,"name":"Time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500</v>
      </c>
      <c r="B44" s="7">
        <v>4029</v>
      </c>
      <c r="C44" s="22" t="s">
        <v>207</v>
      </c>
      <c r="D44" s="22" t="s">
        <v>228</v>
      </c>
      <c r="E44" s="13">
        <v>42710.317847222221</v>
      </c>
      <c r="F44" s="13">
        <v>42710.323645833334</v>
      </c>
      <c r="G44" s="7">
        <v>1</v>
      </c>
      <c r="H44" s="22" t="s">
        <v>328</v>
      </c>
      <c r="I44" s="13">
        <v>42710.350439814814</v>
      </c>
      <c r="J44" s="7">
        <v>0</v>
      </c>
      <c r="K44" s="109" t="str">
        <f t="shared" si="0"/>
        <v>4029/4030</v>
      </c>
      <c r="L44" s="22" t="str">
        <f>VLOOKUP(A44,'Trips&amp;Operators'!$C$1:$G$99999,5,FALSE)</f>
        <v>DAVIDSON DAVID</v>
      </c>
      <c r="M44" s="6">
        <f t="shared" si="1"/>
        <v>2.679398148029577E-2</v>
      </c>
      <c r="N44" s="7">
        <f t="shared" si="2"/>
        <v>38.583333331625909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06:37:42-700',mode:absolute,to:'2016-12-06 09:24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4.6600000000000003E-2</v>
      </c>
      <c r="Z44" s="67">
        <f t="shared" si="9"/>
        <v>23.331499999999998</v>
      </c>
      <c r="AA44" s="67">
        <f t="shared" si="10"/>
        <v>23.284899999999997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0133-06</v>
      </c>
      <c r="AE44" s="91" t="str">
        <f t="shared" si="1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44" s="88" t="str">
        <f t="shared" si="13"/>
        <v>"C:\Program Files (x86)\AstroGrep\AstroGrep.exe" /spath="%USERPROFILE%\AppData\Local\Temp\OnboardLogs" /stypes="app*4029*20161206*"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133-06 --locoid 4029 --swversion DE.1.0.8.0 --startMP 204:466 --initTime 2016-12-06T07:37:42 --startdatetime 2016-12-06T07:46:03 --delay 1 --endMP 204:233315 --enddatetime 2016-12-06T08:24:38 --enforcementcount 0 &gt;&gt;C:\Users\stu\Documents\GitHub\eaglep3-reporting\EC\2016-12-06-refined-times.txt</v>
      </c>
      <c r="AI44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ID","value":"133-06"},{"id":16,"name":"Locomotive ID","value":"4029"},{"id":130,"name":"Impact","value":""},{"id":150,"name":"Time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507</v>
      </c>
      <c r="B45" s="7">
        <v>4030</v>
      </c>
      <c r="C45" s="22" t="s">
        <v>207</v>
      </c>
      <c r="D45" s="22" t="s">
        <v>675</v>
      </c>
      <c r="E45" s="13">
        <v>42710.355682870373</v>
      </c>
      <c r="F45" s="13">
        <v>42710.362013888887</v>
      </c>
      <c r="G45" s="7">
        <v>1</v>
      </c>
      <c r="H45" s="22" t="s">
        <v>676</v>
      </c>
      <c r="I45" s="13">
        <v>42710.389641203707</v>
      </c>
      <c r="J45" s="7">
        <v>0</v>
      </c>
      <c r="K45" s="109" t="str">
        <f t="shared" si="0"/>
        <v>4029/4030</v>
      </c>
      <c r="L45" s="22" t="str">
        <f>VLOOKUP(A45,'Trips&amp;Operators'!$C$1:$G$99999,5,FALSE)</f>
        <v>DAVIDSON DAVID</v>
      </c>
      <c r="M45" s="6">
        <f t="shared" si="1"/>
        <v>2.7627314819255844E-2</v>
      </c>
      <c r="N45" s="7">
        <f t="shared" ref="N45:N62" si="19">24*60*SUM($M45:$M45)</f>
        <v>39.783333339728415</v>
      </c>
      <c r="O45" s="7"/>
      <c r="P45" s="7"/>
      <c r="Q45" s="23"/>
      <c r="R45" s="23"/>
      <c r="S45" s="35">
        <f t="shared" ref="S45:S65" si="20">SUM(U45:U45)/IF(AG45="EC",12,1)</f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07:32:11-700',mode:absolute,to:'2016-12-06 10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23.3</v>
      </c>
      <c r="Z45" s="67">
        <f t="shared" si="9"/>
        <v>1.7000000000000001E-2</v>
      </c>
      <c r="AA45" s="67">
        <f t="shared" si="10"/>
        <v>23.283000000000001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0134-06</v>
      </c>
      <c r="AE45" s="91" t="str">
        <f t="shared" si="12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45" s="88" t="str">
        <f t="shared" si="13"/>
        <v>"C:\Program Files (x86)\AstroGrep\AstroGrep.exe" /spath="%USERPROFILE%\AppData\Local\Temp\OnboardLogs" /stypes="app*4030*20161206*"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134-06 --locoid 4030 --swversion DE.1.0.8.0 --startMP 204:233000 --initTime 2016-12-06T08:32:11 --startdatetime 2016-12-06T08:41:18 --delay 1 --endMP 204:170 --enddatetime 2016-12-06T09:21:05 --enforcementcount 0 &gt;&gt;C:\Users\stu\Documents\GitHub\eaglep3-reporting\EC\2016-12-06-refined-times.txt</v>
      </c>
      <c r="AI4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{"issue":{"subject":"","project_id":79,"tracker_id":40,"status_id":1,"priority_id":2,"assigned_to_id":23,"start_date":"2016-12-06","description":"","custom_fields":[{"id":1,"name":"Subdivision","value":"EC"},{"id":4,"name":"Milepost","value":"0.017"},{"id":17,"name":"Train ID","value":"134-06"},{"id":16,"name":"Locomotive ID","value":"4030"},{"id":130,"name":"Impact","value":""},{"id":150,"name":"Time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502</v>
      </c>
      <c r="B46" s="7">
        <v>4018</v>
      </c>
      <c r="C46" s="22" t="s">
        <v>207</v>
      </c>
      <c r="D46" s="22" t="s">
        <v>331</v>
      </c>
      <c r="E46" s="13">
        <v>42710.32912037037</v>
      </c>
      <c r="F46" s="13">
        <v>42710.334120370368</v>
      </c>
      <c r="G46" s="7">
        <v>1</v>
      </c>
      <c r="H46" s="22" t="s">
        <v>677</v>
      </c>
      <c r="I46" s="13">
        <v>42710.359155092592</v>
      </c>
      <c r="J46" s="7">
        <v>0</v>
      </c>
      <c r="K46" s="109" t="str">
        <f t="shared" si="0"/>
        <v>4017/4018</v>
      </c>
      <c r="L46" s="22" t="str">
        <f>VLOOKUP(A46,'Trips&amp;Operators'!$C$1:$G$99999,5,FALSE)</f>
        <v>HAITHCOX MICHAEL</v>
      </c>
      <c r="M46" s="6">
        <f t="shared" si="1"/>
        <v>2.5034722224518191E-2</v>
      </c>
      <c r="N46" s="7">
        <f t="shared" si="19"/>
        <v>36.050000003306195</v>
      </c>
      <c r="O46" s="7"/>
      <c r="P46" s="7"/>
      <c r="Q46" s="23"/>
      <c r="R46" s="23"/>
      <c r="S46" s="35">
        <f t="shared" si="20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06:53:56-700',mode:absolute,to:'2016-12-06 09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4.7500000000000001E-2</v>
      </c>
      <c r="Z46" s="67">
        <f t="shared" si="9"/>
        <v>23.331099999999999</v>
      </c>
      <c r="AA46" s="67">
        <f t="shared" si="10"/>
        <v>23.2836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0135-06</v>
      </c>
      <c r="AE46" s="91" t="str">
        <f t="shared" si="12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46" s="88" t="str">
        <f t="shared" si="13"/>
        <v>"C:\Program Files (x86)\AstroGrep\AstroGrep.exe" /spath="%USERPROFILE%\AppData\Local\Temp\OnboardLogs" /stypes="app*4018*20161206*"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135-06 --locoid 4018 --swversion DE.1.0.8.0 --startMP 204:475 --initTime 2016-12-06T07:53:56 --startdatetime 2016-12-06T08:01:08 --delay 1 --endMP 204:233311 --enddatetime 2016-12-06T08:37:11 --enforcementcount 0 &gt;&gt;C:\Users\stu\Documents\GitHub\eaglep3-reporting\EC\2016-12-06-refined-times.txt</v>
      </c>
      <c r="AI4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{"issue":{"subject":"","project_id":79,"tracker_id":40,"status_id":1,"priority_id":2,"assigned_to_id":23,"start_date":"2016-12-06","description":"","custom_fields":[{"id":1,"name":"Subdivision","value":"EC"},{"id":4,"name":"Milepost","value":"23.3311"},{"id":17,"name":"Train ID","value":"135-06"},{"id":16,"name":"Locomotive ID","value":"4018"},{"id":130,"name":"Impact","value":""},{"id":150,"name":"Time of Event (Mountain Time)","value":"08:37:11"},{"id":151,"name":"Denver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510</v>
      </c>
      <c r="B47" s="7">
        <v>4017</v>
      </c>
      <c r="C47" s="22" t="s">
        <v>207</v>
      </c>
      <c r="D47" s="22" t="s">
        <v>355</v>
      </c>
      <c r="E47" s="13">
        <v>42710.367997685185</v>
      </c>
      <c r="F47" s="13">
        <v>42710.372499999998</v>
      </c>
      <c r="G47" s="7">
        <v>1</v>
      </c>
      <c r="H47" s="22" t="s">
        <v>192</v>
      </c>
      <c r="I47" s="13">
        <v>42710.40221064815</v>
      </c>
      <c r="J47" s="7">
        <v>0</v>
      </c>
      <c r="K47" s="109" t="str">
        <f t="shared" si="0"/>
        <v>4017/4018</v>
      </c>
      <c r="L47" s="22" t="str">
        <f>VLOOKUP(A47,'Trips&amp;Operators'!$C$1:$G$99999,5,FALSE)</f>
        <v>HAITHCOX MICHAEL</v>
      </c>
      <c r="M47" s="6">
        <f t="shared" si="1"/>
        <v>2.9710648152104113E-2</v>
      </c>
      <c r="N47" s="7">
        <f t="shared" si="19"/>
        <v>42.783333339029923</v>
      </c>
      <c r="O47" s="7"/>
      <c r="P47" s="7"/>
      <c r="Q47" s="23"/>
      <c r="R47" s="23"/>
      <c r="S47" s="35">
        <f t="shared" si="20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07:49:55-700',mode:absolute,to:'2016-12-06 10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23.299399999999999</v>
      </c>
      <c r="Z47" s="67">
        <f t="shared" si="9"/>
        <v>1.49E-2</v>
      </c>
      <c r="AA47" s="67">
        <f t="shared" si="10"/>
        <v>23.284499999999998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0136-06</v>
      </c>
      <c r="AE47" s="91" t="str">
        <f t="shared" si="12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47" s="88" t="str">
        <f t="shared" si="13"/>
        <v>"C:\Program Files (x86)\AstroGrep\AstroGrep.exe" /spath="%USERPROFILE%\AppData\Local\Temp\OnboardLogs" /stypes="app*4017*20161206*"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136-06 --locoid 4017 --swversion DE.1.0.8.0 --startMP 204:232994 --initTime 2016-12-06T08:49:55 --startdatetime 2016-12-06T08:56:24 --delay 1 --endMP 204:149 --enddatetime 2016-12-06T09:39:11 --enforcementcount 0 &gt;&gt;C:\Users\stu\Documents\GitHub\eaglep3-reporting\EC\2016-12-06-refined-times.txt</v>
      </c>
      <c r="AI4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ID","value":"136-06"},{"id":16,"name":"Locomotive ID","value":"4017"},{"id":130,"name":"Impact","value":""},{"id":150,"name":"Time of Event (Mountain Time)","value":"09:39:11"},{"id":151,"name":"Denver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503</v>
      </c>
      <c r="B48" s="7">
        <v>4014</v>
      </c>
      <c r="C48" s="22" t="s">
        <v>207</v>
      </c>
      <c r="D48" s="22" t="s">
        <v>678</v>
      </c>
      <c r="E48" s="13">
        <v>42710.337893518517</v>
      </c>
      <c r="F48" s="13">
        <v>42710.343935185185</v>
      </c>
      <c r="G48" s="7">
        <v>2</v>
      </c>
      <c r="H48" s="22" t="s">
        <v>389</v>
      </c>
      <c r="I48" s="13">
        <v>42710.369016203702</v>
      </c>
      <c r="J48" s="7">
        <v>0</v>
      </c>
      <c r="K48" s="109" t="str">
        <f t="shared" si="0"/>
        <v>4013/4014</v>
      </c>
      <c r="L48" s="22" t="str">
        <f>VLOOKUP(A48,'Trips&amp;Operators'!$C$1:$G$99999,5,FALSE)</f>
        <v>DAVIS WENDY</v>
      </c>
      <c r="M48" s="6">
        <f t="shared" si="1"/>
        <v>2.5081018517084885E-2</v>
      </c>
      <c r="N48" s="7">
        <f t="shared" si="19"/>
        <v>36.116666664602235</v>
      </c>
      <c r="O48" s="7"/>
      <c r="P48" s="7"/>
      <c r="Q48" s="23"/>
      <c r="R48" s="23"/>
      <c r="S48" s="35">
        <f t="shared" si="20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07:06:34-700',mode:absolute,to:'2016-12-06 09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4.2900000000000001E-2</v>
      </c>
      <c r="Z48" s="67">
        <f t="shared" si="9"/>
        <v>23.331900000000001</v>
      </c>
      <c r="AA48" s="67">
        <f t="shared" si="10"/>
        <v>23.289000000000001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0137-06</v>
      </c>
      <c r="AE48" s="91" t="str">
        <f t="shared" si="12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48" s="88" t="str">
        <f t="shared" si="13"/>
        <v>"C:\Program Files (x86)\AstroGrep\AstroGrep.exe" /spath="%USERPROFILE%\AppData\Local\Temp\OnboardLogs" /stypes="app*4014*20161206*"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137-06 --locoid 4014 --swversion DE.1.0.8.0 --startMP 204:429 --initTime 2016-12-06T08:06:34 --startdatetime 2016-12-06T08:15:16 --delay 2 --endMP 204:233319 --enddatetime 2016-12-06T08:51:23 --enforcementcount 0 &gt;&gt;C:\Users\stu\Documents\GitHub\eaglep3-reporting\EC\2016-12-06-refined-times.txt</v>
      </c>
      <c r="AI48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{"issue":{"subject":"","project_id":79,"tracker_id":40,"status_id":1,"priority_id":2,"assigned_to_id":23,"start_date":"2016-12-06","description":"","custom_fields":[{"id":1,"name":"Subdivision","value":"EC"},{"id":4,"name":"Milepost","value":"23.3319"},{"id":17,"name":"Train ID","value":"137-06"},{"id":16,"name":"Locomotive ID","value":"4014"},{"id":130,"name":"Impact","value":""},{"id":150,"name":"Time of Event (Mountain Time)","value":"08:51:23"},{"id":151,"name":"Denver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512</v>
      </c>
      <c r="B49" s="7">
        <v>4013</v>
      </c>
      <c r="C49" s="22" t="s">
        <v>207</v>
      </c>
      <c r="D49" s="22" t="s">
        <v>679</v>
      </c>
      <c r="E49" s="13">
        <v>42710.377025462964</v>
      </c>
      <c r="F49" s="13">
        <v>42710.3828125</v>
      </c>
      <c r="G49" s="7">
        <v>1</v>
      </c>
      <c r="H49" s="22" t="s">
        <v>240</v>
      </c>
      <c r="I49" s="13">
        <v>42710.414027777777</v>
      </c>
      <c r="J49" s="7">
        <v>0</v>
      </c>
      <c r="K49" s="109" t="str">
        <f t="shared" si="0"/>
        <v>4013/4014</v>
      </c>
      <c r="L49" s="22" t="str">
        <f>VLOOKUP(A49,'Trips&amp;Operators'!$C$1:$G$99999,5,FALSE)</f>
        <v>DAVIS WENDY</v>
      </c>
      <c r="M49" s="6">
        <f t="shared" si="1"/>
        <v>3.1215277776937E-2</v>
      </c>
      <c r="N49" s="7">
        <f t="shared" si="19"/>
        <v>44.949999998789281</v>
      </c>
      <c r="O49" s="7"/>
      <c r="P49" s="7"/>
      <c r="Q49" s="23"/>
      <c r="R49" s="23"/>
      <c r="S49" s="35">
        <f t="shared" si="20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08:02:55-700',mode:absolute,to:'2016-12-06 10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23.300599999999999</v>
      </c>
      <c r="Z49" s="67">
        <f t="shared" si="9"/>
        <v>1.61E-2</v>
      </c>
      <c r="AA49" s="67">
        <f t="shared" si="10"/>
        <v>23.284499999999998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0138-06</v>
      </c>
      <c r="AE49" s="91" t="str">
        <f t="shared" si="12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49" s="88" t="str">
        <f t="shared" si="13"/>
        <v>"C:\Program Files (x86)\AstroGrep\AstroGrep.exe" /spath="%USERPROFILE%\AppData\Local\Temp\OnboardLogs" /stypes="app*4013*20161206*"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138-06 --locoid 4013 --swversion DE.1.0.8.0 --startMP 204:233006 --initTime 2016-12-06T09:02:55 --startdatetime 2016-12-06T09:11:15 --delay 1 --endMP 204:161 --enddatetime 2016-12-06T09:56:12 --enforcementcount 0 &gt;&gt;C:\Users\stu\Documents\GitHub\eaglep3-reporting\EC\2016-12-06-refined-times.txt</v>
      </c>
      <c r="AI4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ID","value":"138-06"},{"id":16,"name":"Locomotive ID","value":"4013"},{"id":130,"name":"Impact","value":""},{"id":150,"name":"Time of Event (Mountain Time)","value":"09:56:12"},{"id":151,"name":"Denver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506</v>
      </c>
      <c r="B50" s="7">
        <v>4016</v>
      </c>
      <c r="C50" s="22" t="s">
        <v>207</v>
      </c>
      <c r="D50" s="22" t="s">
        <v>344</v>
      </c>
      <c r="E50" s="13">
        <v>42710.350787037038</v>
      </c>
      <c r="F50" s="13">
        <v>42710.35434027778</v>
      </c>
      <c r="G50" s="7">
        <v>5</v>
      </c>
      <c r="H50" s="22" t="s">
        <v>346</v>
      </c>
      <c r="I50" s="13">
        <v>42710.378518518519</v>
      </c>
      <c r="J50" s="7">
        <v>0</v>
      </c>
      <c r="K50" s="109" t="str">
        <f t="shared" si="0"/>
        <v>4015/4016</v>
      </c>
      <c r="L50" s="22" t="str">
        <f>VLOOKUP(A50,'Trips&amp;Operators'!$C$1:$G$99999,5,FALSE)</f>
        <v>GEBRETEKLE DAGNEW</v>
      </c>
      <c r="M50" s="6">
        <f t="shared" si="1"/>
        <v>2.417824073927477E-2</v>
      </c>
      <c r="N50" s="7">
        <f t="shared" si="19"/>
        <v>34.816666664555669</v>
      </c>
      <c r="O50" s="7"/>
      <c r="P50" s="7"/>
      <c r="Q50" s="23"/>
      <c r="R50" s="23"/>
      <c r="S50" s="35">
        <f t="shared" si="20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07:25:08-700',mode:absolute,to:'2016-12-06 10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4.6399999999999997E-2</v>
      </c>
      <c r="Z50" s="67">
        <f t="shared" si="9"/>
        <v>23.3322</v>
      </c>
      <c r="AA50" s="67">
        <f t="shared" si="10"/>
        <v>23.285800000000002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0139-06</v>
      </c>
      <c r="AE50" s="91" t="str">
        <f t="shared" si="12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50" s="88" t="str">
        <f t="shared" si="13"/>
        <v>"C:\Program Files (x86)\AstroGrep\AstroGrep.exe" /spath="%USERPROFILE%\AppData\Local\Temp\OnboardLogs" /stypes="app*4016*20161206*"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139-06 --locoid 4016 --swversion DE.1.0.8.0 --startMP 204:464 --initTime 2016-12-06T08:25:08 --startdatetime 2016-12-06T08:30:15 --delay 5 --endMP 204:233322 --enddatetime 2016-12-06T09:05:04 --enforcementcount 0 &gt;&gt;C:\Users\stu\Documents\GitHub\eaglep3-reporting\EC\2016-12-06-refined-times.txt</v>
      </c>
      <c r="AI50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{"issue":{"subject":"","project_id":79,"tracker_id":40,"status_id":1,"priority_id":2,"assigned_to_id":23,"start_date":"2016-12-06","description":"","custom_fields":[{"id":1,"name":"Subdivision","value":"EC"},{"id":4,"name":"Milepost","value":"23.3322"},{"id":17,"name":"Train ID","value":"139-06"},{"id":16,"name":"Locomotive ID","value":"4016"},{"id":130,"name":"Impact","value":""},{"id":150,"name":"Time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434</v>
      </c>
      <c r="B51" s="7">
        <v>4015</v>
      </c>
      <c r="C51" s="22" t="s">
        <v>207</v>
      </c>
      <c r="D51" s="22" t="s">
        <v>673</v>
      </c>
      <c r="E51" s="13">
        <v>42710.391388888886</v>
      </c>
      <c r="F51" s="13">
        <v>42710.393240740741</v>
      </c>
      <c r="G51" s="7">
        <v>1</v>
      </c>
      <c r="H51" s="22" t="s">
        <v>680</v>
      </c>
      <c r="I51" s="13">
        <v>42710.421898148146</v>
      </c>
      <c r="J51" s="7">
        <v>0</v>
      </c>
      <c r="K51" s="109" t="str">
        <f t="shared" si="0"/>
        <v>4015/4016</v>
      </c>
      <c r="L51" s="22" t="str">
        <f>VLOOKUP(A51,'Trips&amp;Operators'!$C$1:$G$99999,5,FALSE)</f>
        <v>GEBRETEKLE DAGNEW</v>
      </c>
      <c r="M51" s="6">
        <f t="shared" si="1"/>
        <v>2.8657407405262347E-2</v>
      </c>
      <c r="N51" s="7">
        <f t="shared" si="19"/>
        <v>41.26666666357778</v>
      </c>
      <c r="O51" s="7"/>
      <c r="P51" s="7"/>
      <c r="Q51" s="23"/>
      <c r="R51" s="23"/>
      <c r="S51" s="35">
        <f t="shared" si="20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23.299800000000001</v>
      </c>
      <c r="Z51" s="67">
        <f t="shared" si="9"/>
        <v>2.8000000000000001E-2</v>
      </c>
      <c r="AA51" s="67">
        <f t="shared" si="10"/>
        <v>23.271800000000002</v>
      </c>
      <c r="AB51" s="64" t="str">
        <f>VLOOKUP(A51,Enforcements!$C$7:$K$20,8,0)</f>
        <v>Form based authority (4)</v>
      </c>
      <c r="AC51" s="60" t="str">
        <f>VLOOKUP(A51,Enforcements!$C$7:$E$20,3,0)</f>
        <v>TRACK WARRANT AUTHORITY</v>
      </c>
      <c r="AD51" s="61" t="str">
        <f t="shared" si="11"/>
        <v>0140-06</v>
      </c>
      <c r="AE51" s="91" t="str">
        <f t="shared" si="12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51" s="88" t="str">
        <f t="shared" si="13"/>
        <v>"C:\Program Files (x86)\AstroGrep\AstroGrep.exe" /spath="%USERPROFILE%\AppData\Local\Temp\OnboardLogs" /stypes="app*4015*20161206*" /stext=" 17:.+((SYSTEM_STATE.+slice.+state.+changed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140-06 --locoid 4015 --swversion DE.1.0.8.0 --startMP 204:232998 --initTime 2016-12-06T09:23:36 --startdatetime 2016-12-06T09:26:16 --delay 1 --endMP 204:280 --enddatetime 2016-12-06T10:07:32 --enforcementcount 0 &gt;&gt;C:\Users\stu\Documents\GitHub\eaglep3-reporting\EC\2016-12-06-refined-times.txt</v>
      </c>
      <c r="AI51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{"issue":{"subject":"","project_id":79,"tracker_id":40,"status_id":1,"priority_id":2,"assigned_to_id":23,"start_date":"2016-12-06","description":"","custom_fields":[{"id":1,"name":"Subdivision","value":"EC"},{"id":4,"name":"Milepost","value":"0.028"},{"id":17,"name":"Train ID","value":"140-06"},{"id":16,"name":"Locomotive ID","value":"4015"},{"id":130,"name":"Impact","value":""},{"id":150,"name":"Time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509</v>
      </c>
      <c r="B52" s="7">
        <v>4020</v>
      </c>
      <c r="C52" s="22" t="s">
        <v>207</v>
      </c>
      <c r="D52" s="22" t="s">
        <v>681</v>
      </c>
      <c r="E52" s="13">
        <v>42710.364340277774</v>
      </c>
      <c r="F52" s="13">
        <v>42710.369340277779</v>
      </c>
      <c r="G52" s="7">
        <v>1</v>
      </c>
      <c r="H52" s="22" t="s">
        <v>276</v>
      </c>
      <c r="I52" s="13">
        <v>42710.394999999997</v>
      </c>
      <c r="J52" s="7">
        <v>0</v>
      </c>
      <c r="K52" s="109" t="str">
        <f t="shared" si="0"/>
        <v>4019/4020</v>
      </c>
      <c r="L52" s="22" t="str">
        <f>VLOOKUP(A52,'Trips&amp;Operators'!$C$1:$G$99999,5,FALSE)</f>
        <v>KILLION DAVID</v>
      </c>
      <c r="M52" s="6">
        <f t="shared" si="1"/>
        <v>2.565972221782431E-2</v>
      </c>
      <c r="N52" s="7">
        <f t="shared" si="19"/>
        <v>36.949999993667006</v>
      </c>
      <c r="O52" s="7"/>
      <c r="P52" s="7"/>
      <c r="Q52" s="23"/>
      <c r="R52" s="23"/>
      <c r="S52" s="35">
        <f t="shared" si="20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07:44:39-700',mode:absolute,to:'2016-12-06 10:28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4.82E-2</v>
      </c>
      <c r="Z52" s="67">
        <f t="shared" si="9"/>
        <v>23.329699999999999</v>
      </c>
      <c r="AA52" s="67">
        <f t="shared" si="10"/>
        <v>23.281499999999998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0141-06</v>
      </c>
      <c r="AE52" s="91" t="str">
        <f t="shared" si="1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52" s="88" t="str">
        <f t="shared" si="13"/>
        <v>"C:\Program Files (x86)\AstroGrep\AstroGrep.exe" /spath="%USERPROFILE%\AppData\Local\Temp\OnboardLogs" /stypes="app*4020*20161206*"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141-06 --locoid 4020 --swversion DE.1.0.8.0 --startMP 204:482 --initTime 2016-12-06T08:44:39 --startdatetime 2016-12-06T08:51:51 --delay 1 --endMP 204:233297 --enddatetime 2016-12-06T09:28:48 --enforcementcount 0 &gt;&gt;C:\Users\stu\Documents\GitHub\eaglep3-reporting\EC\2016-12-06-refined-times.txt</v>
      </c>
      <c r="AI5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{"issue":{"subject":"","project_id":79,"tracker_id":40,"status_id":1,"priority_id":2,"assigned_to_id":23,"start_date":"2016-12-06","description":"","custom_fields":[{"id":1,"name":"Subdivision","value":"EC"},{"id":4,"name":"Milepost","value":"23.3297"},{"id":17,"name":"Train ID","value":"141-06"},{"id":16,"name":"Locomotive ID","value":"4020"},{"id":130,"name":"Impact","value":""},{"id":150,"name":"Time of Event (Mountain Time)","value":"09:28:48"},{"id":151,"name":"Denver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516</v>
      </c>
      <c r="B53" s="7">
        <v>4019</v>
      </c>
      <c r="C53" s="22" t="s">
        <v>207</v>
      </c>
      <c r="D53" s="22" t="s">
        <v>673</v>
      </c>
      <c r="E53" s="13">
        <v>42710.400821759256</v>
      </c>
      <c r="F53" s="13">
        <v>42710.403958333336</v>
      </c>
      <c r="G53" s="7">
        <v>1</v>
      </c>
      <c r="H53" s="22" t="s">
        <v>252</v>
      </c>
      <c r="I53" s="13">
        <v>42710.431180555555</v>
      </c>
      <c r="J53" s="7">
        <v>0</v>
      </c>
      <c r="K53" s="109" t="str">
        <f t="shared" si="0"/>
        <v>4019/4020</v>
      </c>
      <c r="L53" s="22" t="str">
        <f>VLOOKUP(A53,'Trips&amp;Operators'!$C$1:$G$99999,5,FALSE)</f>
        <v>KILLION DAVID</v>
      </c>
      <c r="M53" s="6">
        <f t="shared" si="1"/>
        <v>2.7222222219279502E-2</v>
      </c>
      <c r="N53" s="7">
        <f t="shared" si="19"/>
        <v>39.199999995762482</v>
      </c>
      <c r="O53" s="7"/>
      <c r="P53" s="7"/>
      <c r="Q53" s="23"/>
      <c r="R53" s="23"/>
      <c r="S53" s="35">
        <f t="shared" si="20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08:37:11-700',mode:absolute,to:'2016-12-06 11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23.299800000000001</v>
      </c>
      <c r="Z53" s="67">
        <f t="shared" si="9"/>
        <v>1.4500000000000001E-2</v>
      </c>
      <c r="AA53" s="67">
        <f t="shared" si="10"/>
        <v>23.285299999999999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0142-06</v>
      </c>
      <c r="AE53" s="91" t="str">
        <f t="shared" si="12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53" s="88" t="str">
        <f t="shared" si="13"/>
        <v>"C:\Program Files (x86)\AstroGrep\AstroGrep.exe" /spath="%USERPROFILE%\AppData\Local\Temp\OnboardLogs" /stypes="app*4019*20161206*"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142-06 --locoid 4019 --swversion DE.1.0.8.0 --startMP 204:232998 --initTime 2016-12-06T09:37:11 --startdatetime 2016-12-06T09:41:42 --delay 1 --endMP 204:145 --enddatetime 2016-12-06T10:20:54 --enforcementcount 0 &gt;&gt;C:\Users\stu\Documents\GitHub\eaglep3-reporting\EC\2016-12-06-refined-times.txt</v>
      </c>
      <c r="AI53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ID","value":"142-06"},{"id":16,"name":"Locomotive ID","value":"4019"},{"id":130,"name":"Impact","value":""},{"id":150,"name":"Time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511</v>
      </c>
      <c r="B54" s="7">
        <v>4011</v>
      </c>
      <c r="C54" s="22" t="s">
        <v>207</v>
      </c>
      <c r="D54" s="22" t="s">
        <v>333</v>
      </c>
      <c r="E54" s="13">
        <v>42710.375509259262</v>
      </c>
      <c r="F54" s="13">
        <v>42710.377314814818</v>
      </c>
      <c r="G54" s="7">
        <v>1</v>
      </c>
      <c r="H54" s="22" t="s">
        <v>311</v>
      </c>
      <c r="I54" s="13">
        <v>42710.404178240744</v>
      </c>
      <c r="J54" s="7">
        <v>0</v>
      </c>
      <c r="K54" s="109" t="str">
        <f t="shared" si="0"/>
        <v>4011/4012</v>
      </c>
      <c r="L54" s="22" t="str">
        <f>VLOOKUP(A54,'Trips&amp;Operators'!$C$1:$G$99999,5,FALSE)</f>
        <v>SAFIEF AEIMEN</v>
      </c>
      <c r="M54" s="6">
        <f t="shared" si="1"/>
        <v>2.6863425926421769E-2</v>
      </c>
      <c r="N54" s="7">
        <f t="shared" si="19"/>
        <v>38.683333334047347</v>
      </c>
      <c r="O54" s="7"/>
      <c r="P54" s="7"/>
      <c r="Q54" s="23"/>
      <c r="R54" s="23"/>
      <c r="S54" s="35">
        <f t="shared" si="20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08:00:44-700',mode:absolute,to:'2016-12-06 10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4.3999999999999997E-2</v>
      </c>
      <c r="Z54" s="67">
        <f t="shared" si="9"/>
        <v>23.328199999999999</v>
      </c>
      <c r="AA54" s="67">
        <f t="shared" si="10"/>
        <v>23.284199999999998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0143-06</v>
      </c>
      <c r="AE54" s="91" t="str">
        <f t="shared" si="12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54" s="88" t="str">
        <f t="shared" si="13"/>
        <v>"C:\Program Files (x86)\AstroGrep\AstroGrep.exe" /spath="%USERPROFILE%\AppData\Local\Temp\OnboardLogs" /stypes="app*4011*20161206*"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143-06 --locoid 4011 --swversion DE.1.0.8.0 --startMP 204:440 --initTime 2016-12-06T09:00:44 --startdatetime 2016-12-06T09:03:20 --delay 1 --endMP 204:233282 --enddatetime 2016-12-06T09:42:01 --enforcementcount 0 &gt;&gt;C:\Users\stu\Documents\GitHub\eaglep3-reporting\EC\2016-12-06-refined-times.txt</v>
      </c>
      <c r="AI54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{"issue":{"subject":"","project_id":79,"tracker_id":40,"status_id":1,"priority_id":2,"assigned_to_id":23,"start_date":"2016-12-06","description":"","custom_fields":[{"id":1,"name":"Subdivision","value":"EC"},{"id":4,"name":"Milepost","value":"23.3282"},{"id":17,"name":"Train ID","value":"143-06"},{"id":16,"name":"Locomotive ID","value":"4011"},{"id":130,"name":"Impact","value":""},{"id":150,"name":"Time of Event (Mountain Time)","value":"09:42:01"},{"id":151,"name":"Denver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518</v>
      </c>
      <c r="B55" s="7">
        <v>4012</v>
      </c>
      <c r="C55" s="22" t="s">
        <v>207</v>
      </c>
      <c r="D55" s="22" t="s">
        <v>312</v>
      </c>
      <c r="E55" s="13">
        <v>42710.407731481479</v>
      </c>
      <c r="F55" s="13">
        <v>42710.414247685185</v>
      </c>
      <c r="G55" s="7">
        <v>1</v>
      </c>
      <c r="H55" s="22" t="s">
        <v>205</v>
      </c>
      <c r="I55" s="13">
        <v>42710.441423611112</v>
      </c>
      <c r="J55" s="7">
        <v>0</v>
      </c>
      <c r="K55" s="109" t="str">
        <f t="shared" si="0"/>
        <v>4011/4012</v>
      </c>
      <c r="L55" s="22" t="str">
        <f>VLOOKUP(A55,'Trips&amp;Operators'!$C$1:$G$99999,5,FALSE)</f>
        <v>SAFIEF AEIMEN</v>
      </c>
      <c r="M55" s="6">
        <f t="shared" si="1"/>
        <v>2.7175925926712807E-2</v>
      </c>
      <c r="N55" s="7">
        <f t="shared" si="19"/>
        <v>39.133333334466442</v>
      </c>
      <c r="O55" s="7"/>
      <c r="P55" s="7"/>
      <c r="Q55" s="23"/>
      <c r="R55" s="23"/>
      <c r="S55" s="35">
        <f t="shared" si="20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08:47:08-700',mode:absolute,to:'2016-12-06 11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23.297799999999999</v>
      </c>
      <c r="Z55" s="67">
        <f t="shared" si="9"/>
        <v>1.5599999999999999E-2</v>
      </c>
      <c r="AA55" s="67">
        <f t="shared" si="10"/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0144-06</v>
      </c>
      <c r="AE55" s="91" t="str">
        <f t="shared" si="12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55" s="88" t="str">
        <f t="shared" si="13"/>
        <v>"C:\Program Files (x86)\AstroGrep\AstroGrep.exe" /spath="%USERPROFILE%\AppData\Local\Temp\OnboardLogs" /stypes="app*4012*20161206*"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144-06 --locoid 4012 --swversion DE.1.0.8.0 --startMP 204:232978 --initTime 2016-12-06T09:47:08 --startdatetime 2016-12-06T09:56:31 --delay 1 --endMP 204:156 --enddatetime 2016-12-06T10:35:39 --enforcementcount 0 &gt;&gt;C:\Users\stu\Documents\GitHub\eaglep3-reporting\EC\2016-12-06-refined-times.txt</v>
      </c>
      <c r="AI5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ID","value":"144-06"},{"id":16,"name":"Locomotive ID","value":"4012"},{"id":130,"name":"Impact","value":""},{"id":150,"name":"Time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513</v>
      </c>
      <c r="B56" s="7">
        <v>4044</v>
      </c>
      <c r="C56" s="22" t="s">
        <v>207</v>
      </c>
      <c r="D56" s="22" t="s">
        <v>194</v>
      </c>
      <c r="E56" s="13">
        <v>42710.381412037037</v>
      </c>
      <c r="F56" s="13">
        <v>42710.385752314818</v>
      </c>
      <c r="G56" s="7">
        <v>1</v>
      </c>
      <c r="H56" s="22" t="s">
        <v>359</v>
      </c>
      <c r="I56" s="13">
        <v>42710.411956018521</v>
      </c>
      <c r="J56" s="7">
        <v>0</v>
      </c>
      <c r="K56" s="109" t="str">
        <f t="shared" si="0"/>
        <v>4043/4044</v>
      </c>
      <c r="L56" s="22" t="str">
        <f>VLOOKUP(A56,'Trips&amp;Operators'!$C$1:$G$99999,5,FALSE)</f>
        <v>MAGEE KENYA</v>
      </c>
      <c r="M56" s="6">
        <f t="shared" si="1"/>
        <v>2.6203703702776693E-2</v>
      </c>
      <c r="N56" s="7">
        <f t="shared" si="19"/>
        <v>37.733333331998438</v>
      </c>
      <c r="O56" s="7"/>
      <c r="P56" s="7"/>
      <c r="Q56" s="23"/>
      <c r="R56" s="23"/>
      <c r="S56" s="35">
        <f t="shared" si="20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08:09:14-700',mode:absolute,to:'2016-12-06 10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4.4699999999999997E-2</v>
      </c>
      <c r="Z56" s="67">
        <f t="shared" si="9"/>
        <v>23.328099999999999</v>
      </c>
      <c r="AA56" s="67">
        <f t="shared" si="10"/>
        <v>23.2834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0145-06</v>
      </c>
      <c r="AE56" s="91" t="str">
        <f t="shared" si="12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56" s="88" t="str">
        <f t="shared" si="13"/>
        <v>"C:\Program Files (x86)\AstroGrep\AstroGrep.exe" /spath="%USERPROFILE%\AppData\Local\Temp\OnboardLogs" /stypes="app*4044*20161206*"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145-06 --locoid 4044 --swversion DE.1.0.8.0 --startMP 204:447 --initTime 2016-12-06T09:09:14 --startdatetime 2016-12-06T09:15:29 --delay 1 --endMP 204:233281 --enddatetime 2016-12-06T09:53:13 --enforcementcount 0 &gt;&gt;C:\Users\stu\Documents\GitHub\eaglep3-reporting\EC\2016-12-06-refined-times.txt</v>
      </c>
      <c r="AI5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{"issue":{"subject":"","project_id":79,"tracker_id":40,"status_id":1,"priority_id":2,"assigned_to_id":23,"start_date":"2016-12-06","description":"","custom_fields":[{"id":1,"name":"Subdivision","value":"EC"},{"id":4,"name":"Milepost","value":"23.3281"},{"id":17,"name":"Train ID","value":"145-06"},{"id":16,"name":"Locomotive ID","value":"4044"},{"id":130,"name":"Impact","value":""},{"id":150,"name":"Time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520</v>
      </c>
      <c r="B57" s="7">
        <v>4043</v>
      </c>
      <c r="C57" s="22" t="s">
        <v>207</v>
      </c>
      <c r="D57" s="22" t="s">
        <v>358</v>
      </c>
      <c r="E57" s="13">
        <v>42710.414710648147</v>
      </c>
      <c r="F57" s="13">
        <v>42710.424756944441</v>
      </c>
      <c r="G57" s="7">
        <v>1</v>
      </c>
      <c r="H57" s="22" t="s">
        <v>214</v>
      </c>
      <c r="I57" s="13">
        <v>42710.451620370368</v>
      </c>
      <c r="J57" s="7">
        <v>0</v>
      </c>
      <c r="K57" s="109" t="str">
        <f t="shared" si="0"/>
        <v>4043/4044</v>
      </c>
      <c r="L57" s="22" t="str">
        <f>VLOOKUP(A57,'Trips&amp;Operators'!$C$1:$G$99999,5,FALSE)</f>
        <v>MAGEE KENYA</v>
      </c>
      <c r="M57" s="6">
        <f t="shared" si="1"/>
        <v>2.6863425926421769E-2</v>
      </c>
      <c r="N57" s="7">
        <f t="shared" si="19"/>
        <v>38.683333334047347</v>
      </c>
      <c r="O57" s="7"/>
      <c r="P57" s="7"/>
      <c r="Q57" s="23"/>
      <c r="R57" s="23"/>
      <c r="S57" s="35">
        <f t="shared" si="20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08:57:11-700',mode:absolute,to:'2016-12-06 11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23.2972</v>
      </c>
      <c r="Z57" s="67">
        <f t="shared" si="9"/>
        <v>1.4999999999999999E-2</v>
      </c>
      <c r="AA57" s="67">
        <f t="shared" si="10"/>
        <v>23.2822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0146-06</v>
      </c>
      <c r="AE57" s="91" t="str">
        <f t="shared" si="1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57" s="88" t="str">
        <f t="shared" si="13"/>
        <v>"C:\Program Files (x86)\AstroGrep\AstroGrep.exe" /spath="%USERPROFILE%\AppData\Local\Temp\OnboardLogs" /stypes="app*4043*20161206*"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146-06 --locoid 4043 --swversion DE.1.0.8.0 --startMP 204:232972 --initTime 2016-12-06T09:57:11 --startdatetime 2016-12-06T10:11:39 --delay 1 --endMP 204:150 --enddatetime 2016-12-06T10:50:20 --enforcementcount 0 &gt;&gt;C:\Users\stu\Documents\GitHub\eaglep3-reporting\EC\2016-12-06-refined-times.txt</v>
      </c>
      <c r="AI5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ID","value":"146-06"},{"id":16,"name":"Locomotive ID","value":"4043"},{"id":130,"name":"Impact","value":""},{"id":150,"name":"Time of Event (Mountain Time)","value":"10:50:20"},{"id":151,"name":"Denver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515</v>
      </c>
      <c r="B58" s="7">
        <v>4029</v>
      </c>
      <c r="C58" s="22" t="s">
        <v>207</v>
      </c>
      <c r="D58" s="22" t="s">
        <v>310</v>
      </c>
      <c r="E58" s="13">
        <v>42710.39099537037</v>
      </c>
      <c r="F58" s="13">
        <v>42710.395983796298</v>
      </c>
      <c r="G58" s="7">
        <v>1</v>
      </c>
      <c r="H58" s="22" t="s">
        <v>662</v>
      </c>
      <c r="I58" s="13">
        <v>42710.420324074075</v>
      </c>
      <c r="J58" s="7">
        <v>0</v>
      </c>
      <c r="K58" s="109" t="str">
        <f t="shared" si="0"/>
        <v>4029/4030</v>
      </c>
      <c r="L58" s="22" t="str">
        <f>VLOOKUP(A58,'Trips&amp;Operators'!$C$1:$G$99999,5,FALSE)</f>
        <v>DAVIDSON DAVID</v>
      </c>
      <c r="M58" s="6">
        <f t="shared" si="1"/>
        <v>2.4340277777810115E-2</v>
      </c>
      <c r="N58" s="7">
        <f t="shared" si="19"/>
        <v>35.050000000046566</v>
      </c>
      <c r="O58" s="7"/>
      <c r="P58" s="7"/>
      <c r="Q58" s="23"/>
      <c r="R58" s="23"/>
      <c r="S58" s="35">
        <f t="shared" si="20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08:23:02-700',mode:absolute,to:'2016-12-06 11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4.6899999999999997E-2</v>
      </c>
      <c r="Z58" s="67">
        <f t="shared" si="9"/>
        <v>23.330500000000001</v>
      </c>
      <c r="AA58" s="67">
        <f t="shared" si="10"/>
        <v>23.2836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0147-06</v>
      </c>
      <c r="AE58" s="91" t="str">
        <f t="shared" si="1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58" s="88" t="str">
        <f t="shared" si="13"/>
        <v>"C:\Program Files (x86)\AstroGrep\AstroGrep.exe" /spath="%USERPROFILE%\AppData\Local\Temp\OnboardLogs" /stypes="app*4029*20161206*"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147-06 --locoid 4029 --swversion DE.1.0.8.0 --startMP 204:469 --initTime 2016-12-06T09:23:02 --startdatetime 2016-12-06T09:30:13 --delay 1 --endMP 204:233305 --enddatetime 2016-12-06T10:05:16 --enforcementcount 0 &gt;&gt;C:\Users\stu\Documents\GitHub\eaglep3-reporting\EC\2016-12-06-refined-times.txt</v>
      </c>
      <c r="AI58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ID","value":"147-06"},{"id":16,"name":"Locomotive ID","value":"4029"},{"id":130,"name":"Impact","value":""},{"id":150,"name":"Time of Event (Mountain Time)","value":"10:05:16"},{"id":151,"name":"Denver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522</v>
      </c>
      <c r="B59" s="7">
        <v>4030</v>
      </c>
      <c r="C59" s="22" t="s">
        <v>207</v>
      </c>
      <c r="D59" s="22" t="s">
        <v>666</v>
      </c>
      <c r="E59" s="13">
        <v>42710.424421296295</v>
      </c>
      <c r="F59" s="13">
        <v>42710.434872685182</v>
      </c>
      <c r="G59" s="7">
        <v>5</v>
      </c>
      <c r="H59" s="22" t="s">
        <v>340</v>
      </c>
      <c r="I59" s="13">
        <v>42710.460706018515</v>
      </c>
      <c r="J59" s="7">
        <v>0</v>
      </c>
      <c r="K59" s="109" t="str">
        <f t="shared" si="0"/>
        <v>4029/4030</v>
      </c>
      <c r="L59" s="22" t="str">
        <f>VLOOKUP(A59,'Trips&amp;Operators'!$C$1:$G$99999,5,FALSE)</f>
        <v>DAVIDSON DAVID</v>
      </c>
      <c r="M59" s="6">
        <f t="shared" si="1"/>
        <v>2.5833333333139308E-2</v>
      </c>
      <c r="N59" s="7">
        <f t="shared" si="19"/>
        <v>37.199999999720603</v>
      </c>
      <c r="O59" s="7"/>
      <c r="P59" s="7"/>
      <c r="Q59" s="23"/>
      <c r="R59" s="23"/>
      <c r="S59" s="35">
        <f t="shared" si="20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09:11:10-700',mode:absolute,to:'2016-12-06 12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23.298400000000001</v>
      </c>
      <c r="Z59" s="67">
        <f t="shared" si="9"/>
        <v>1.52E-2</v>
      </c>
      <c r="AA59" s="67">
        <f t="shared" si="10"/>
        <v>23.283200000000001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0148-06</v>
      </c>
      <c r="AE59" s="91" t="str">
        <f t="shared" si="12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59" s="88" t="str">
        <f t="shared" si="13"/>
        <v>"C:\Program Files (x86)\AstroGrep\AstroGrep.exe" /spath="%USERPROFILE%\AppData\Local\Temp\OnboardLogs" /stypes="app*4030*20161206*" /stext=" 18:.+((SYSTEM_STATE.+slice.+state.+changed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148-06 --locoid 4030 --swversion DE.1.0.8.0 --startMP 204:232984 --initTime 2016-12-06T10:11:10 --startdatetime 2016-12-06T10:26:13 --delay 5 --endMP 204:152 --enddatetime 2016-12-06T11:03:25 --enforcementcount 0 &gt;&gt;C:\Users\stu\Documents\GitHub\eaglep3-reporting\EC\2016-12-06-refined-times.txt</v>
      </c>
      <c r="AI5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ID","value":"148-06"},{"id":16,"name":"Locomotive ID","value":"4030"},{"id":130,"name":"Impact","value":""},{"id":150,"name":"Time of Event (Mountain Time)","value":"11:03:25"},{"id":151,"name":"Denver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517</v>
      </c>
      <c r="B60" s="7">
        <v>4018</v>
      </c>
      <c r="C60" s="22" t="s">
        <v>207</v>
      </c>
      <c r="D60" s="22" t="s">
        <v>242</v>
      </c>
      <c r="E60" s="13">
        <v>42710.40351851852</v>
      </c>
      <c r="F60" s="13">
        <v>42710.406458333331</v>
      </c>
      <c r="G60" s="7">
        <v>1</v>
      </c>
      <c r="H60" s="22" t="s">
        <v>345</v>
      </c>
      <c r="I60" s="13">
        <v>42710.431631944448</v>
      </c>
      <c r="J60" s="7">
        <v>0</v>
      </c>
      <c r="K60" s="109" t="str">
        <f t="shared" si="0"/>
        <v>4017/4018</v>
      </c>
      <c r="L60" s="22" t="str">
        <f>VLOOKUP(A60,'Trips&amp;Operators'!$C$1:$G$99999,5,FALSE)</f>
        <v>HAITHCOX MICHAEL</v>
      </c>
      <c r="M60" s="6">
        <f t="shared" si="1"/>
        <v>2.5173611116770189E-2</v>
      </c>
      <c r="N60" s="7">
        <f t="shared" si="19"/>
        <v>36.250000008149073</v>
      </c>
      <c r="O60" s="7"/>
      <c r="P60" s="7"/>
      <c r="Q60" s="23"/>
      <c r="R60" s="23"/>
      <c r="S60" s="35">
        <f t="shared" si="20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08:41:04-700',mode:absolute,to:'2016-12-06 11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4.5699999999999998E-2</v>
      </c>
      <c r="Z60" s="67">
        <f t="shared" si="9"/>
        <v>23.332100000000001</v>
      </c>
      <c r="AA60" s="67">
        <f t="shared" si="10"/>
        <v>23.2864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0149-06</v>
      </c>
      <c r="AE60" s="91" t="str">
        <f t="shared" si="12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60" s="88" t="str">
        <f t="shared" si="13"/>
        <v>"C:\Program Files (x86)\AstroGrep\AstroGrep.exe" /spath="%USERPROFILE%\AppData\Local\Temp\OnboardLogs" /stypes="app*4018*20161206*"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149-06 --locoid 4018 --swversion DE.1.0.8.0 --startMP 204:457 --initTime 2016-12-06T09:41:04 --startdatetime 2016-12-06T09:45:18 --delay 1 --endMP 204:233321 --enddatetime 2016-12-06T10:21:33 --enforcementcount 0 &gt;&gt;C:\Users\stu\Documents\GitHub\eaglep3-reporting\EC\2016-12-06-refined-times.txt</v>
      </c>
      <c r="AI60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ID","value":"149-06"},{"id":16,"name":"Locomotive ID","value":"4018"},{"id":130,"name":"Impact","value":""},{"id":150,"name":"Time of Event (Mountain Time)","value":"10:21:33"},{"id":151,"name":"Denver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523</v>
      </c>
      <c r="B61" s="7">
        <v>4017</v>
      </c>
      <c r="C61" s="22" t="s">
        <v>207</v>
      </c>
      <c r="D61" s="22" t="s">
        <v>293</v>
      </c>
      <c r="E61" s="13">
        <v>42710.440520833334</v>
      </c>
      <c r="F61" s="13">
        <v>42710.445381944446</v>
      </c>
      <c r="G61" s="7">
        <v>1</v>
      </c>
      <c r="H61" s="22" t="s">
        <v>682</v>
      </c>
      <c r="I61" s="13">
        <v>42710.509768518517</v>
      </c>
      <c r="J61" s="7">
        <v>0</v>
      </c>
      <c r="K61" s="109" t="str">
        <f t="shared" si="0"/>
        <v>4017/4018</v>
      </c>
      <c r="L61" s="22" t="str">
        <f>VLOOKUP(A61,'Trips&amp;Operators'!$C$1:$G$99999,5,FALSE)</f>
        <v>HAITHCOX MICHAEL</v>
      </c>
      <c r="M61" s="6">
        <f t="shared" si="1"/>
        <v>6.4386574071249925E-2</v>
      </c>
      <c r="N61" s="7">
        <f t="shared" si="19"/>
        <v>92.716666662599891</v>
      </c>
      <c r="O61" s="7"/>
      <c r="P61" s="7"/>
      <c r="Q61" s="23"/>
      <c r="R61" s="23" t="s">
        <v>834</v>
      </c>
      <c r="S61" s="35">
        <f t="shared" si="20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09:34:21-700',mode:absolute,to:'2016-12-06 13:14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23.301500000000001</v>
      </c>
      <c r="Z61" s="67">
        <f t="shared" si="9"/>
        <v>1.29E-2</v>
      </c>
      <c r="AA61" s="67">
        <f t="shared" si="10"/>
        <v>23.288600000000002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0150-06</v>
      </c>
      <c r="AE61" s="91" t="str">
        <f t="shared" si="12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61" s="88" t="str">
        <f t="shared" si="13"/>
        <v>"C:\Program Files (x86)\AstroGrep\AstroGrep.exe" /spath="%USERPROFILE%\AppData\Local\Temp\OnboardLogs" /stypes="app*4017*20161206*" /stext=" 19:.+((SYSTEM_STATE.+slice.+state.+changed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150-06 --locoid 4017 --swversion DE.1.0.8.0 --startMP 204:233015 --initTime 2016-12-06T10:34:21 --startdatetime 2016-12-06T10:41:21 --delay 1 --endMP 204:129 --enddatetime 2016-12-06T12:14:04 --enforcementcount 0 &gt;&gt;C:\Users\stu\Documents\GitHub\eaglep3-reporting\EC\2016-12-06-refined-times.txt</v>
      </c>
      <c r="AI61" s="119" t="str">
        <f t="shared" si="18"/>
        <v>echo {"issue":{"subject":"Doors failed to open","project_id":79,"tracker_id":40,"status_id":1,"priority_id":2,"assigned_to_id":23,"start_date":"2016-12-06","description":"","custom_fields":[{"id":1,"name":"Subdivision","value":"EC"},{"id":4,"name":"Milepost","value":"0.0129"},{"id":17,"name":"Train ID","value":"150-06"},{"id":16,"name":"Locomotive ID","value":"4017"},{"id":130,"name":"Impact","value":""},{"id":150,"name":"Time of Event (Mountain Time)","value":"12:14:04"},{"id":151,"name":"Denver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519</v>
      </c>
      <c r="B62" s="7">
        <v>4014</v>
      </c>
      <c r="C62" s="22" t="s">
        <v>207</v>
      </c>
      <c r="D62" s="22" t="s">
        <v>194</v>
      </c>
      <c r="E62" s="13">
        <v>42710.41505787037</v>
      </c>
      <c r="F62" s="13">
        <v>42710.416828703703</v>
      </c>
      <c r="G62" s="7">
        <v>1</v>
      </c>
      <c r="H62" s="22" t="s">
        <v>683</v>
      </c>
      <c r="I62" s="13">
        <v>42710.440925925926</v>
      </c>
      <c r="J62" s="7">
        <v>0</v>
      </c>
      <c r="K62" s="109" t="str">
        <f t="shared" si="0"/>
        <v>4013/4014</v>
      </c>
      <c r="L62" s="22" t="str">
        <f>VLOOKUP(A62,'Trips&amp;Operators'!$C$1:$G$99999,5,FALSE)</f>
        <v>DAVIS WENDY</v>
      </c>
      <c r="M62" s="6">
        <f t="shared" si="1"/>
        <v>2.4097222223645076E-2</v>
      </c>
      <c r="N62" s="7">
        <f t="shared" si="19"/>
        <v>34.70000000204891</v>
      </c>
      <c r="O62" s="7"/>
      <c r="P62" s="7"/>
      <c r="Q62" s="23"/>
      <c r="R62" s="23"/>
      <c r="S62" s="35">
        <f t="shared" si="20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08:57:41-700',mode:absolute,to:'2016-12-06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4.4699999999999997E-2</v>
      </c>
      <c r="Z62" s="67">
        <f t="shared" si="9"/>
        <v>23.328600000000002</v>
      </c>
      <c r="AA62" s="67">
        <f t="shared" si="10"/>
        <v>23.283900000000003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0151-06</v>
      </c>
      <c r="AE62" s="91" t="str">
        <f t="shared" si="12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62" s="88" t="str">
        <f t="shared" si="13"/>
        <v>"C:\Program Files (x86)\AstroGrep\AstroGrep.exe" /spath="%USERPROFILE%\AppData\Local\Temp\OnboardLogs" /stypes="app*4014*20161206*"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151-06 --locoid 4014 --swversion DE.1.0.8.0 --startMP 204:447 --initTime 2016-12-06T09:57:41 --startdatetime 2016-12-06T10:00:14 --delay 1 --endMP 204:233286 --enddatetime 2016-12-06T10:34:56 --enforcementcount 0 &gt;&gt;C:\Users\stu\Documents\GitHub\eaglep3-reporting\EC\2016-12-06-refined-times.txt</v>
      </c>
      <c r="AI6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{"issue":{"subject":"","project_id":79,"tracker_id":40,"status_id":1,"priority_id":2,"assigned_to_id":23,"start_date":"2016-12-06","description":"","custom_fields":[{"id":1,"name":"Subdivision","value":"EC"},{"id":4,"name":"Milepost","value":"23.3286"},{"id":17,"name":"Train ID","value":"151-06"},{"id":16,"name":"Locomotive ID","value":"4014"},{"id":130,"name":"Impact","value":""},{"id":150,"name":"Time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526</v>
      </c>
      <c r="B63" s="7">
        <v>4013</v>
      </c>
      <c r="C63" s="22" t="s">
        <v>207</v>
      </c>
      <c r="D63" s="22" t="s">
        <v>390</v>
      </c>
      <c r="E63" s="13">
        <v>42710.452824074076</v>
      </c>
      <c r="F63" s="13">
        <v>42710.455763888887</v>
      </c>
      <c r="G63" s="7">
        <v>1</v>
      </c>
      <c r="H63" s="22" t="s">
        <v>291</v>
      </c>
      <c r="I63" s="13">
        <v>42710.462326388886</v>
      </c>
      <c r="J63" s="7">
        <v>0</v>
      </c>
      <c r="K63" s="109" t="str">
        <f t="shared" si="0"/>
        <v>4013/4014</v>
      </c>
      <c r="L63" s="22" t="str">
        <f>VLOOKUP(A63,'Trips&amp;Operators'!$C$1:$G$99999,5,FALSE)</f>
        <v>DAVIS WENDY</v>
      </c>
      <c r="M63" s="6">
        <f t="shared" si="1"/>
        <v>6.5624999988358468E-3</v>
      </c>
      <c r="N63" s="7"/>
      <c r="O63" s="7"/>
      <c r="P63" s="7">
        <f>24*60*SUM($M63:$M63)</f>
        <v>9.4499999983236194</v>
      </c>
      <c r="Q63" s="23"/>
      <c r="R63" s="23" t="s">
        <v>835</v>
      </c>
      <c r="S63" s="35">
        <f t="shared" si="20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09:52:04-700',mode:absolute,to:'2016-12-06 12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23.299600000000002</v>
      </c>
      <c r="Z63" s="67">
        <f t="shared" si="9"/>
        <v>1.6899999999999998E-2</v>
      </c>
      <c r="AA63" s="67">
        <f t="shared" si="10"/>
        <v>23.282700000000002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0152-06</v>
      </c>
      <c r="AE63" s="91" t="str">
        <f t="shared" si="12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63" s="88" t="str">
        <f t="shared" si="13"/>
        <v>"C:\Program Files (x86)\AstroGrep\AstroGrep.exe" /spath="%USERPROFILE%\AppData\Local\Temp\OnboardLogs" /stypes="app*4013*20161206*"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152-06 --locoid 4013 --swversion DE.1.0.8.0 --startMP 204:232996 --initTime 2016-12-06T10:52:04 --startdatetime 2016-12-06T10:56:18 --delay 1 --endMP 204:169 --enddatetime 2016-12-06T11:05:45 --enforcementcount 0 &gt;&gt;C:\Users\stu\Documents\GitHub\eaglep3-reporting\EC\2016-12-06-refined-times.txt</v>
      </c>
      <c r="AI63" s="119" t="str">
        <f t="shared" si="18"/>
        <v>echo {"issue":{"subject":"Hour-long Wi-MAX outage (Onboard)","project_id":79,"tracker_id":40,"status_id":1,"priority_id":2,"assigned_to_id":23,"start_date":"2016-12-06","description":"An hourlong Wi-MAX outage with this train, something funky occurred Onboard I think:  http://stevetu21.github.io/eaglep3/load_kml.html?kml=http://rtdc.gmaps-snips.s3.amazonaws.com/9e9d9064-8247-4f56-8980-87c666be9fdd.kml","custom_fields":[{"id":1,"name":"Subdivision","value":"EC"},{"id":4,"name":"Milepost","value":"0.0169"},{"id":17,"name":"Train ID","value":"152-06"},{"id":16,"name":"Locomotive ID","value":"4013"},{"id":130,"name":"Impact","value":"Unexpected Cut-Out or Disengaged"},{"id":150,"name":"Time of Event (Mountain Time)","value":"11:05:45"},{"id":151,"name":"Denver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63" s="53" t="s">
        <v>836</v>
      </c>
      <c r="AK63" s="53" t="s">
        <v>131</v>
      </c>
      <c r="AL63" s="53" t="s">
        <v>138</v>
      </c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521</v>
      </c>
      <c r="B64" s="7">
        <v>4016</v>
      </c>
      <c r="C64" s="22" t="s">
        <v>207</v>
      </c>
      <c r="D64" s="22" t="s">
        <v>684</v>
      </c>
      <c r="E64" s="13">
        <v>42710.423368055555</v>
      </c>
      <c r="F64" s="13">
        <v>42710.42732638889</v>
      </c>
      <c r="G64" s="7">
        <v>1</v>
      </c>
      <c r="H64" s="22" t="s">
        <v>341</v>
      </c>
      <c r="I64" s="13">
        <v>42710.451249999998</v>
      </c>
      <c r="J64" s="7">
        <v>0</v>
      </c>
      <c r="K64" s="109" t="str">
        <f t="shared" si="0"/>
        <v>4015/4016</v>
      </c>
      <c r="L64" s="22" t="str">
        <f>VLOOKUP(A64,'Trips&amp;Operators'!$C$1:$G$99999,5,FALSE)</f>
        <v>GEBRETEKLE DAGNEW</v>
      </c>
      <c r="M64" s="6">
        <f t="shared" si="1"/>
        <v>2.3923611108330078E-2</v>
      </c>
      <c r="N64" s="7">
        <f>24*60*SUM($M64:$M64)</f>
        <v>34.449999995995313</v>
      </c>
      <c r="O64" s="7"/>
      <c r="P64" s="7"/>
      <c r="Q64" s="23"/>
      <c r="R64" s="23"/>
      <c r="S64" s="35">
        <f t="shared" si="20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09:09:39-700',mode:absolute,to:'2016-12-06 11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6.0400000000000002E-2</v>
      </c>
      <c r="Z64" s="67">
        <f t="shared" si="9"/>
        <v>23.330400000000001</v>
      </c>
      <c r="AA64" s="67">
        <f t="shared" si="10"/>
        <v>23.27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0153-06</v>
      </c>
      <c r="AE64" s="91" t="str">
        <f t="shared" si="12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64" s="88" t="str">
        <f t="shared" si="13"/>
        <v>"C:\Program Files (x86)\AstroGrep\AstroGrep.exe" /spath="%USERPROFILE%\AppData\Local\Temp\OnboardLogs" /stypes="app*4016*20161206*"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153-06 --locoid 4016 --swversion DE.1.0.8.0 --startMP 204:604 --initTime 2016-12-06T10:09:39 --startdatetime 2016-12-06T10:15:21 --delay 1 --endMP 204:233304 --enddatetime 2016-12-06T10:49:48 --enforcementcount 0 &gt;&gt;C:\Users\stu\Documents\GitHub\eaglep3-reporting\EC\2016-12-06-refined-times.txt</v>
      </c>
      <c r="AI64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ID","value":"153-06"},{"id":16,"name":"Locomotive ID","value":"4016"},{"id":130,"name":"Impact","value":""},{"id":150,"name":"Time of Event (Mountain Time)","value":"10:49:48"},{"id":151,"name":"Denver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529</v>
      </c>
      <c r="B65" s="7">
        <v>4015</v>
      </c>
      <c r="C65" s="22" t="s">
        <v>207</v>
      </c>
      <c r="D65" s="22" t="s">
        <v>685</v>
      </c>
      <c r="E65" s="13">
        <v>42710.461064814815</v>
      </c>
      <c r="F65" s="13">
        <v>42710.486979166664</v>
      </c>
      <c r="G65" s="7">
        <v>1</v>
      </c>
      <c r="H65" s="22" t="s">
        <v>686</v>
      </c>
      <c r="I65" s="13">
        <v>42710.519259259258</v>
      </c>
      <c r="J65" s="7">
        <v>0</v>
      </c>
      <c r="K65" s="109" t="str">
        <f t="shared" si="0"/>
        <v>4015/4016</v>
      </c>
      <c r="L65" s="22" t="str">
        <f>VLOOKUP(A65,'Trips&amp;Operators'!$C$1:$G$99999,5,FALSE)</f>
        <v>GEBRETEKLE DAGNEW</v>
      </c>
      <c r="M65" s="6">
        <f t="shared" si="1"/>
        <v>3.2280092593282461E-2</v>
      </c>
      <c r="N65" s="7"/>
      <c r="O65" s="7"/>
      <c r="P65" s="7">
        <f>24*60*SUM($M65:$M65)</f>
        <v>46.483333334326744</v>
      </c>
      <c r="Q65" s="23"/>
      <c r="R65" s="23" t="s">
        <v>837</v>
      </c>
      <c r="S65" s="35">
        <f t="shared" si="20"/>
        <v>0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10:03:56-700',mode:absolute,to:'2016-12-06 13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5" s="52" t="str">
        <f t="shared" si="6"/>
        <v>Y</v>
      </c>
      <c r="X65" s="177">
        <f t="shared" si="7"/>
        <v>1</v>
      </c>
      <c r="Y65" s="67">
        <f t="shared" si="8"/>
        <v>23.302299999999999</v>
      </c>
      <c r="Z65" s="67">
        <f t="shared" si="9"/>
        <v>23.300999999999998</v>
      </c>
      <c r="AA65" s="67">
        <f t="shared" si="10"/>
        <v>1.300000000000523E-3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0154-06</v>
      </c>
      <c r="AE65" s="91" t="str">
        <f t="shared" si="12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65" s="88" t="str">
        <f t="shared" si="13"/>
        <v>"C:\Program Files (x86)\AstroGrep\AstroGrep.exe" /spath="%USERPROFILE%\AppData\Local\Temp\OnboardLogs" /stypes="app*4015*20161206*" /stext=" 19:.+((SYSTEM_STATE.+slice.+state.+changed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154-06 --locoid 4015 --swversion DE.1.0.8.0 --startMP 204:233023 --initTime 2016-12-06T11:03:56 --startdatetime 2016-12-06T11:41:15 --delay 1 --endMP 204:233010 --enddatetime 2016-12-06T12:27:44 --enforcementcount 0 &gt;&gt;C:\Users\stu\Documents\GitHub\eaglep3-reporting\EC\2016-12-06-refined-times.txt</v>
      </c>
      <c r="AI65" s="119" t="str">
        <f t="shared" si="18"/>
        <v>echo {"issue":{"subject":"BPP was reading 83 entire time after init","project_id":79,"tracker_id":40,"status_id":1,"priority_id":2,"assigned_to_id":23,"start_date":"2016-12-06","description":"","custom_fields":[{"id":1,"name":"Subdivision","value":"EC"},{"id":4,"name":"Milepost","value":"23.301"},{"id":17,"name":"Train ID","value":"154-06"},{"id":16,"name":"Locomotive ID","value":"4015"},{"id":130,"name":"Impact","value":""},{"id":150,"name":"Time of Event (Mountain Time)","value":"12:27:44"},{"id":151,"name":"Denver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436</v>
      </c>
      <c r="B66" s="7">
        <v>4020</v>
      </c>
      <c r="C66" s="22" t="s">
        <v>207</v>
      </c>
      <c r="D66" s="22" t="s">
        <v>687</v>
      </c>
      <c r="E66" s="13">
        <v>42710.490543981483</v>
      </c>
      <c r="F66" s="13">
        <v>42710.491307870368</v>
      </c>
      <c r="G66" s="7">
        <v>1</v>
      </c>
      <c r="H66" s="22" t="s">
        <v>311</v>
      </c>
      <c r="I66" s="13">
        <v>42710.498333333337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STARKS ANGELINA</v>
      </c>
      <c r="M66" s="6">
        <f t="shared" si="1"/>
        <v>7.0254629681585357E-3</v>
      </c>
      <c r="N66" s="7"/>
      <c r="O66" s="7"/>
      <c r="P66" s="7">
        <f>24*60*SUM($M66:$M67)</f>
        <v>80.850000008940697</v>
      </c>
      <c r="Q66" s="23"/>
      <c r="R66" s="23" t="s">
        <v>838</v>
      </c>
      <c r="S66" s="35">
        <f>SUM(U66:U67)/IF(AG66="EC",12,1)</f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6" s="52" t="str">
        <f t="shared" si="6"/>
        <v>Y</v>
      </c>
      <c r="X66" s="177">
        <f t="shared" si="7"/>
        <v>1</v>
      </c>
      <c r="Y66" s="67">
        <f t="shared" si="8"/>
        <v>15.441000000000001</v>
      </c>
      <c r="Z66" s="67">
        <f t="shared" si="9"/>
        <v>23.328199999999999</v>
      </c>
      <c r="AA66" s="67">
        <f t="shared" si="10"/>
        <v>7.8871999999999982</v>
      </c>
      <c r="AB66" s="64" t="str">
        <f>VLOOKUP(A66,Enforcements!$C$7:$K$20,8,0)</f>
        <v>Bulletin (2)</v>
      </c>
      <c r="AC66" s="60" t="str">
        <f>VLOOKUP(A66,Enforcements!$C$7:$E$20,3,0)</f>
        <v>GRADE CROSSING</v>
      </c>
      <c r="AD66" s="61" t="str">
        <f t="shared" si="11"/>
        <v>0155-06</v>
      </c>
      <c r="AE66" s="91" t="str">
        <f t="shared" si="1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6" s="88" t="str">
        <f t="shared" si="13"/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155-06 --locoid 4020 --swversion DE.1.0.8.0 --startMP 204:154410 --initTime 2016-12-06T11:46:23 --startdatetime 2016-12-06T11:47:29 --delay 1 --endMP 204:233282 --enddatetime 2016-12-06T11:57:36 --enforcementcount 0 &gt;&gt;C:\Users\stu\Documents\GitHub\eaglep3-reporting\EC\2016-12-06-refined-times.txt</v>
      </c>
      <c r="AI66" s="119" t="str">
        <f t="shared" si="18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correspondence","project_id":79,"tracker_id":40,"status_id":1,"priority_id":2,"assigned_to_id":23,"start_date":"2016-12-06","description":"","custom_fields":[{"id":1,"name":"Subdivision","value":"EC"},{"id":4,"name":"Milepost","value":"23.3282"},{"id":17,"name":"Train ID","value":"155-06"},{"id":16,"name":"Locomotive ID","value":"4020"},{"id":130,"name":"Impact","value":""},{"id":150,"name":"Time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436</v>
      </c>
      <c r="B67" s="7">
        <v>4020</v>
      </c>
      <c r="C67" s="22" t="s">
        <v>207</v>
      </c>
      <c r="D67" s="22" t="s">
        <v>387</v>
      </c>
      <c r="E67" s="13">
        <v>42710.433749999997</v>
      </c>
      <c r="F67" s="13">
        <v>42710.434791666667</v>
      </c>
      <c r="G67" s="7">
        <v>1</v>
      </c>
      <c r="H67" s="22" t="s">
        <v>688</v>
      </c>
      <c r="I67" s="13">
        <v>42710.483912037038</v>
      </c>
      <c r="J67" s="7">
        <v>3</v>
      </c>
      <c r="K67" s="109" t="str">
        <f t="shared" si="0"/>
        <v>4019/4020</v>
      </c>
      <c r="L67" s="22" t="str">
        <f>VLOOKUP(A67,'Trips&amp;Operators'!$C$1:$G$99999,5,FALSE)</f>
        <v>STARKS ANGELINA</v>
      </c>
      <c r="M67" s="6">
        <f t="shared" si="1"/>
        <v>4.9120370371383615E-2</v>
      </c>
      <c r="N67" s="7"/>
      <c r="O67" s="7"/>
      <c r="P67" s="7"/>
      <c r="Q67" s="23"/>
      <c r="R67" s="23"/>
      <c r="S67" s="35"/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09:24:36-700',mode:absolute,to:'2016-12-06 12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7" s="52" t="str">
        <f t="shared" si="6"/>
        <v>Y</v>
      </c>
      <c r="X67" s="177">
        <f t="shared" si="7"/>
        <v>0</v>
      </c>
      <c r="Y67" s="67">
        <f t="shared" si="8"/>
        <v>4.8899999999999999E-2</v>
      </c>
      <c r="Z67" s="67">
        <f t="shared" si="9"/>
        <v>11.856</v>
      </c>
      <c r="AA67" s="67">
        <f t="shared" si="10"/>
        <v>11.8071</v>
      </c>
      <c r="AB67" s="64" t="str">
        <f>VLOOKUP(A67,Enforcements!$C$7:$K$20,8,0)</f>
        <v>Bulletin (2)</v>
      </c>
      <c r="AC67" s="60" t="str">
        <f>VLOOKUP(A67,Enforcements!$C$7:$E$20,3,0)</f>
        <v>GRADE CROSSING</v>
      </c>
      <c r="AD67" s="61" t="str">
        <f t="shared" si="11"/>
        <v>0155-06</v>
      </c>
      <c r="AE67" s="91" t="str">
        <f t="shared" si="1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67" s="88" t="str">
        <f t="shared" si="13"/>
        <v>"C:\Program Files (x86)\AstroGrep\AstroGrep.exe" /spath="%USERPROFILE%\AppData\Local\Temp\OnboardLogs" /stypes="app*4020*20161206*"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155-06 --locoid 4020 --swversion DE.1.0.8.0 --startMP 204:489 --initTime 2016-12-06T10:24:36 --startdatetime 2016-12-06T10:26:06 --delay 1 --endMP 204:118560 --enddatetime 2016-12-06T11:36:50 --enforcementcount 3 &gt;&gt;C:\Users\stu\Documents\GitHub\eaglep3-reporting\EC\2016-12-06-refined-times.txt</v>
      </c>
      <c r="AI67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{"issue":{"subject":"","project_id":79,"tracker_id":40,"status_id":1,"priority_id":2,"assigned_to_id":23,"start_date":"2016-12-06","description":"","custom_fields":[{"id":1,"name":"Subdivision","value":"EC"},{"id":4,"name":"Milepost","value":"11.856"},{"id":17,"name":"Train ID","value":"155-06"},{"id":16,"name":"Locomotive ID","value":"4020"},{"id":130,"name":"Impact","value":""},{"id":150,"name":"Time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525</v>
      </c>
      <c r="B68" s="7">
        <v>4011</v>
      </c>
      <c r="C68" s="22" t="s">
        <v>207</v>
      </c>
      <c r="D68" s="22" t="s">
        <v>348</v>
      </c>
      <c r="E68" s="13">
        <v>42710.445289351854</v>
      </c>
      <c r="F68" s="13">
        <v>42710.448182870372</v>
      </c>
      <c r="G68" s="7">
        <v>1</v>
      </c>
      <c r="H68" s="22" t="s">
        <v>689</v>
      </c>
      <c r="I68" s="13">
        <v>42710.461087962962</v>
      </c>
      <c r="J68" s="7">
        <v>0</v>
      </c>
      <c r="K68" s="109" t="str">
        <f t="shared" si="0"/>
        <v>4011/4012</v>
      </c>
      <c r="L68" s="22" t="str">
        <f>VLOOKUP(A68,'Trips&amp;Operators'!$C$1:$G$99999,5,FALSE)</f>
        <v>ROCHA YAOTL</v>
      </c>
      <c r="M68" s="6">
        <f t="shared" si="1"/>
        <v>1.2905092589790002E-2</v>
      </c>
      <c r="N68" s="7"/>
      <c r="O68" s="7"/>
      <c r="P68" s="7">
        <f t="shared" ref="N68:P98" si="21">24*60*SUM($M68:$M68)</f>
        <v>18.583333329297602</v>
      </c>
      <c r="Q68" s="23"/>
      <c r="R68" s="23" t="s">
        <v>838</v>
      </c>
      <c r="S68" s="35">
        <f t="shared" ref="S68:S98" si="22">SUM(U68:U68)/IF(AG68="EC",12,1)</f>
        <v>0.83333333333333337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10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09:41:13-700',mode:absolute,to:'2016-12-06 12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8" s="52" t="str">
        <f t="shared" si="6"/>
        <v>Y</v>
      </c>
      <c r="X68" s="177">
        <f t="shared" si="7"/>
        <v>2</v>
      </c>
      <c r="Y68" s="67">
        <f t="shared" si="8"/>
        <v>4.7300000000000002E-2</v>
      </c>
      <c r="Z68" s="67">
        <f t="shared" si="9"/>
        <v>10.3163</v>
      </c>
      <c r="AA68" s="67">
        <f t="shared" si="10"/>
        <v>10.269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0157-06</v>
      </c>
      <c r="AE68" s="91" t="str">
        <f t="shared" si="12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68" s="88" t="str">
        <f t="shared" si="13"/>
        <v>"C:\Program Files (x86)\AstroGrep\AstroGrep.exe" /spath="%USERPROFILE%\AppData\Local\Temp\OnboardLogs" /stypes="app*4011*20161206*"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157-06 --locoid 4011 --swversion DE.1.0.8.0 --startMP 204:473 --initTime 2016-12-06T10:41:13 --startdatetime 2016-12-06T10:45:23 --delay 1 --endMP 204:103163 --enddatetime 2016-12-06T11:03:58 --enforcementcount 0 &gt;&gt;C:\Users\stu\Documents\GitHub\eaglep3-reporting\EC\2016-12-06-refined-times.txt</v>
      </c>
      <c r="AI68" s="119" t="str">
        <f t="shared" si="18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correspondence","project_id":79,"tracker_id":40,"status_id":1,"priority_id":2,"assigned_to_id":23,"start_date":"2016-12-06","description":"","custom_fields":[{"id":1,"name":"Subdivision","value":"EC"},{"id":4,"name":"Milepost","value":"10.3163"},{"id":17,"name":"Train ID","value":"157-06"},{"id":16,"name":"Locomotive ID","value":"4011"},{"id":130,"name":"Impact","value":""},{"id":150,"name":"Time of Event (Mountain Time)","value":"11:03:58"},{"id":151,"name":"Denver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535</v>
      </c>
      <c r="B69" s="7">
        <v>4015</v>
      </c>
      <c r="C69" s="22" t="s">
        <v>207</v>
      </c>
      <c r="D69" s="22" t="s">
        <v>686</v>
      </c>
      <c r="E69" s="13">
        <v>42710.485821759263</v>
      </c>
      <c r="F69" s="13">
        <v>42710.486979166664</v>
      </c>
      <c r="G69" s="7">
        <v>1</v>
      </c>
      <c r="H69" s="22" t="s">
        <v>340</v>
      </c>
      <c r="I69" s="13">
        <v>42710.519259259258</v>
      </c>
      <c r="J69" s="7">
        <v>0</v>
      </c>
      <c r="K69" s="109" t="str">
        <f t="shared" si="0"/>
        <v>4015/4016</v>
      </c>
      <c r="L69" s="22" t="str">
        <f>VLOOKUP(A69,'Trips&amp;Operators'!$C$1:$G$99999,5,FALSE)</f>
        <v>GEBRETEKLE DAGNEW</v>
      </c>
      <c r="M69" s="6">
        <f t="shared" si="1"/>
        <v>3.2280092593282461E-2</v>
      </c>
      <c r="N69" s="7">
        <f t="shared" si="21"/>
        <v>46.483333334326744</v>
      </c>
      <c r="O69" s="7"/>
      <c r="P69" s="7"/>
      <c r="Q69" s="23"/>
      <c r="R69" s="23"/>
      <c r="S69" s="35">
        <f t="shared" si="22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10:39:35-700',mode:absolute,to:'2016-12-06 13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23.300999999999998</v>
      </c>
      <c r="Z69" s="67">
        <f t="shared" si="9"/>
        <v>1.52E-2</v>
      </c>
      <c r="AA69" s="67">
        <f t="shared" si="10"/>
        <v>23.285799999999998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0158-06</v>
      </c>
      <c r="AE69" s="91" t="str">
        <f t="shared" si="12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69" s="88" t="str">
        <f t="shared" si="13"/>
        <v>"C:\Program Files (x86)\AstroGrep\AstroGrep.exe" /spath="%USERPROFILE%\AppData\Local\Temp\OnboardLogs" /stypes="app*4015*20161206*"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158-06 --locoid 4015 --swversion DE.1.0.8.0 --startMP 204:233010 --initTime 2016-12-06T11:39:35 --startdatetime 2016-12-06T11:41:15 --delay 1 --endMP 204:152 --enddatetime 2016-12-06T12:27:44 --enforcementcount 0 &gt;&gt;C:\Users\stu\Documents\GitHub\eaglep3-reporting\EC\2016-12-06-refined-times.txt</v>
      </c>
      <c r="AI69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ID","value":"158-06"},{"id":16,"name":"Locomotive ID","value":"4015"},{"id":130,"name":"Impact","value":""},{"id":150,"name":"Time of Event (Mountain Time)","value":"12:27:44"},{"id":151,"name":"Denver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527</v>
      </c>
      <c r="B70" s="7">
        <v>4044</v>
      </c>
      <c r="C70" s="22" t="s">
        <v>207</v>
      </c>
      <c r="D70" s="22" t="s">
        <v>326</v>
      </c>
      <c r="E70" s="13">
        <v>42710.454236111109</v>
      </c>
      <c r="F70" s="13">
        <v>42710.458506944444</v>
      </c>
      <c r="G70" s="7">
        <v>1</v>
      </c>
      <c r="H70" s="22" t="s">
        <v>356</v>
      </c>
      <c r="I70" s="13">
        <v>42710.512395833335</v>
      </c>
      <c r="J70" s="7">
        <v>0</v>
      </c>
      <c r="K70" s="109" t="str">
        <f t="shared" si="0"/>
        <v>4043/4044</v>
      </c>
      <c r="L70" s="22" t="str">
        <f>VLOOKUP(A70,'Trips&amp;Operators'!$C$1:$G$99999,5,FALSE)</f>
        <v>BARTLETT KIANDRA</v>
      </c>
      <c r="M70" s="6">
        <f t="shared" si="1"/>
        <v>5.3888888891378883E-2</v>
      </c>
      <c r="N70" s="7">
        <f t="shared" si="21"/>
        <v>77.600000003585592</v>
      </c>
      <c r="O70" s="7"/>
      <c r="P70" s="7"/>
      <c r="Q70" s="23"/>
      <c r="R70" s="23" t="s">
        <v>838</v>
      </c>
      <c r="S70" s="35">
        <f t="shared" si="22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09:54:06-700',mode:absolute,to:'2016-12-06 13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4.53E-2</v>
      </c>
      <c r="Z70" s="67">
        <f t="shared" si="9"/>
        <v>23.328399999999998</v>
      </c>
      <c r="AA70" s="67">
        <f t="shared" si="10"/>
        <v>23.283099999999997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0159-06</v>
      </c>
      <c r="AE70" s="91" t="str">
        <f t="shared" si="12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70" s="88" t="str">
        <f t="shared" si="13"/>
        <v>"C:\Program Files (x86)\AstroGrep\AstroGrep.exe" /spath="%USERPROFILE%\AppData\Local\Temp\OnboardLogs" /stypes="app*4044*20161206*"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159-06 --locoid 4044 --swversion DE.1.0.8.0 --startMP 204:453 --initTime 2016-12-06T10:54:06 --startdatetime 2016-12-06T11:00:15 --delay 1 --endMP 204:233284 --enddatetime 2016-12-06T12:17:51 --enforcementcount 0 &gt;&gt;C:\Users\stu\Documents\GitHub\eaglep3-reporting\EC\2016-12-06-refined-times.txt</v>
      </c>
      <c r="AI70" s="119" t="str">
        <f t="shared" si="18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correspondence","project_id":79,"tracker_id":40,"status_id":1,"priority_id":2,"assigned_to_id":23,"start_date":"2016-12-06","description":"","custom_fields":[{"id":1,"name":"Subdivision","value":"EC"},{"id":4,"name":"Milepost","value":"23.3284"},{"id":17,"name":"Train ID","value":"159-06"},{"id":16,"name":"Locomotive ID","value":"4044"},{"id":130,"name":"Impact","value":""},{"id":150,"name":"Time of Event (Mountain Time)","value":"12:17:51"},{"id":151,"name":"Denver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440</v>
      </c>
      <c r="B71" s="7">
        <v>4029</v>
      </c>
      <c r="C71" s="22" t="s">
        <v>207</v>
      </c>
      <c r="D71" s="22" t="s">
        <v>242</v>
      </c>
      <c r="E71" s="13">
        <v>42710.463993055557</v>
      </c>
      <c r="F71" s="13">
        <v>42710.4690162037</v>
      </c>
      <c r="G71" s="7">
        <v>1</v>
      </c>
      <c r="H71" s="22" t="s">
        <v>330</v>
      </c>
      <c r="I71" s="13">
        <v>42710.521597222221</v>
      </c>
      <c r="J71" s="7">
        <v>0</v>
      </c>
      <c r="K71" s="109" t="str">
        <f t="shared" si="0"/>
        <v>4029/4030</v>
      </c>
      <c r="L71" s="22" t="str">
        <f>VLOOKUP(A71,'Trips&amp;Operators'!$C$1:$G$99999,5,FALSE)</f>
        <v>STEWART MICHAEL</v>
      </c>
      <c r="M71" s="6">
        <f t="shared" si="1"/>
        <v>5.2581018520868383E-2</v>
      </c>
      <c r="N71" s="7">
        <f t="shared" si="21"/>
        <v>75.716666670050472</v>
      </c>
      <c r="O71" s="7"/>
      <c r="P71" s="7"/>
      <c r="Q71" s="23"/>
      <c r="R71" s="23" t="s">
        <v>838</v>
      </c>
      <c r="S71" s="35">
        <f t="shared" si="22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6"/>
        <v>N</v>
      </c>
      <c r="X71" s="177">
        <f t="shared" si="7"/>
        <v>2</v>
      </c>
      <c r="Y71" s="67">
        <f t="shared" si="8"/>
        <v>4.5699999999999998E-2</v>
      </c>
      <c r="Z71" s="67">
        <f t="shared" si="9"/>
        <v>23.3291</v>
      </c>
      <c r="AA71" s="67">
        <f t="shared" si="10"/>
        <v>23.2834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0161-06</v>
      </c>
      <c r="AE71" s="91" t="str">
        <f t="shared" si="1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71" s="88" t="str">
        <f t="shared" si="13"/>
        <v>"C:\Program Files (x86)\AstroGrep\AstroGrep.exe" /spath="%USERPROFILE%\AppData\Local\Temp\OnboardLogs" /stypes="app*4029*20161206*"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161-06 --locoid 4029 --swversion DE.1.0.8.0 --startMP 204:457 --initTime 2016-12-06T11:08:09 --startdatetime 2016-12-06T11:15:23 --delay 1 --endMP 204:233291 --enddatetime 2016-12-06T12:31:06 --enforcementcount 0 &gt;&gt;C:\Users\stu\Documents\GitHub\eaglep3-reporting\EC\2016-12-06-refined-times.txt</v>
      </c>
      <c r="AI71" s="119" t="str">
        <f t="shared" si="18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correspondence","project_id":79,"tracker_id":40,"status_id":1,"priority_id":2,"assigned_to_id":23,"start_date":"2016-12-06","description":"","custom_fields":[{"id":1,"name":"Subdivision","value":"EC"},{"id":4,"name":"Milepost","value":"23.3291"},{"id":17,"name":"Train ID","value":"161-06"},{"id":16,"name":"Locomotive ID","value":"4029"},{"id":130,"name":"Impact","value":""},{"id":150,"name":"Time of Event (Mountain Time)","value":"12:31:06"},{"id":151,"name":"Denver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537</v>
      </c>
      <c r="B72" s="7">
        <v>4019</v>
      </c>
      <c r="C72" s="22" t="s">
        <v>207</v>
      </c>
      <c r="D72" s="22" t="s">
        <v>312</v>
      </c>
      <c r="E72" s="13">
        <v>42710.505381944444</v>
      </c>
      <c r="F72" s="13">
        <v>42710.5078125</v>
      </c>
      <c r="G72" s="7">
        <v>1</v>
      </c>
      <c r="H72" s="22" t="s">
        <v>252</v>
      </c>
      <c r="I72" s="13">
        <v>42710.534490740742</v>
      </c>
      <c r="J72" s="7">
        <v>0</v>
      </c>
      <c r="K72" s="109" t="str">
        <f t="shared" si="0"/>
        <v>4019/4020</v>
      </c>
      <c r="L72" s="22" t="str">
        <f>VLOOKUP(A72,'Trips&amp;Operators'!$C$1:$G$99999,5,FALSE)</f>
        <v>STARKS ANGELINA</v>
      </c>
      <c r="M72" s="6">
        <f t="shared" si="1"/>
        <v>2.6678240741603076E-2</v>
      </c>
      <c r="N72" s="7">
        <f t="shared" si="21"/>
        <v>38.41666666790843</v>
      </c>
      <c r="O72" s="7"/>
      <c r="P72" s="7"/>
      <c r="Q72" s="23"/>
      <c r="R72" s="23"/>
      <c r="S72" s="35">
        <f t="shared" si="22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11:07:45-700',mode:absolute,to:'2016-12-06 13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23.297799999999999</v>
      </c>
      <c r="Z72" s="67">
        <f t="shared" si="9"/>
        <v>1.4500000000000001E-2</v>
      </c>
      <c r="AA72" s="67">
        <f t="shared" si="10"/>
        <v>23.283299999999997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0162-06</v>
      </c>
      <c r="AE72" s="91" t="str">
        <f t="shared" si="12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72" s="88" t="str">
        <f t="shared" si="13"/>
        <v>"C:\Program Files (x86)\AstroGrep\AstroGrep.exe" /spath="%USERPROFILE%\AppData\Local\Temp\OnboardLogs" /stypes="app*4019*20161206*"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162-06 --locoid 4019 --swversion DE.1.0.8.0 --startMP 204:232978 --initTime 2016-12-06T12:07:45 --startdatetime 2016-12-06T12:11:15 --delay 1 --endMP 204:145 --enddatetime 2016-12-06T12:49:40 --enforcementcount 0 &gt;&gt;C:\Users\stu\Documents\GitHub\eaglep3-reporting\EC\2016-12-06-refined-times.txt</v>
      </c>
      <c r="AI72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ID","value":"162-06"},{"id":16,"name":"Locomotive ID","value":"4019"},{"id":130,"name":"Impact","value":""},{"id":150,"name":"Time of Event (Mountain Time)","value":"12:49:40"},{"id":151,"name":"Denver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540</v>
      </c>
      <c r="B73" s="7">
        <v>4012</v>
      </c>
      <c r="C73" s="22" t="s">
        <v>207</v>
      </c>
      <c r="D73" s="22" t="s">
        <v>355</v>
      </c>
      <c r="E73" s="13">
        <v>42710.515428240738</v>
      </c>
      <c r="F73" s="13">
        <v>42710.51835648148</v>
      </c>
      <c r="G73" s="7">
        <v>1</v>
      </c>
      <c r="H73" s="22" t="s">
        <v>229</v>
      </c>
      <c r="I73" s="13">
        <v>42710.54378472222</v>
      </c>
      <c r="J73" s="7">
        <v>0</v>
      </c>
      <c r="K73" s="109" t="str">
        <f t="shared" si="0"/>
        <v>4011/4012</v>
      </c>
      <c r="L73" s="22" t="str">
        <f>VLOOKUP(A73,'Trips&amp;Operators'!$C$1:$G$99999,5,FALSE)</f>
        <v>ROCHA YAOTL</v>
      </c>
      <c r="M73" s="6">
        <f t="shared" si="1"/>
        <v>2.5428240740438923E-2</v>
      </c>
      <c r="N73" s="7">
        <f t="shared" si="21"/>
        <v>36.616666666232049</v>
      </c>
      <c r="O73" s="7"/>
      <c r="P73" s="7"/>
      <c r="Q73" s="23"/>
      <c r="R73" s="23"/>
      <c r="S73" s="35">
        <f t="shared" si="22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11:22:13-700',mode:absolute,to:'2016-12-06 14:03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3" s="52" t="str">
        <f t="shared" si="6"/>
        <v>N</v>
      </c>
      <c r="X73" s="177">
        <f t="shared" si="7"/>
        <v>2</v>
      </c>
      <c r="Y73" s="67">
        <f t="shared" si="8"/>
        <v>23.299399999999999</v>
      </c>
      <c r="Z73" s="67">
        <f t="shared" si="9"/>
        <v>1.41E-2</v>
      </c>
      <c r="AA73" s="67">
        <f t="shared" si="10"/>
        <v>23.285299999999999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0164-06</v>
      </c>
      <c r="AE73" s="91" t="str">
        <f t="shared" si="12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73" s="88" t="str">
        <f t="shared" si="13"/>
        <v>"C:\Program Files (x86)\AstroGrep\AstroGrep.exe" /spath="%USERPROFILE%\AppData\Local\Temp\OnboardLogs" /stypes="app*4012*20161206*" /stext=" 20:.+((SYSTEM_STATE.+slice.+state.+changed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164-06 --locoid 4012 --swversion DE.1.0.8.0 --startMP 204:232994 --initTime 2016-12-06T12:22:13 --startdatetime 2016-12-06T12:26:26 --delay 1 --endMP 204:141 --enddatetime 2016-12-06T13:03:03 --enforcementcount 0 &gt;&gt;C:\Users\stu\Documents\GitHub\eaglep3-reporting\EC\2016-12-06-refined-times.txt</v>
      </c>
      <c r="AI73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{"issue":{"subject":"","project_id":79,"tracker_id":40,"status_id":1,"priority_id":2,"assigned_to_id":23,"start_date":"2016-12-06","description":"","custom_fields":[{"id":1,"name":"Subdivision","value":"EC"},{"id":4,"name":"Milepost","value":"0.0141"},{"id":17,"name":"Train ID","value":"164-06"},{"id":16,"name":"Locomotive ID","value":"4012"},{"id":130,"name":"Impact","value":""},{"id":150,"name":"Time of Event (Mountain Time)","value":"13:03:03"},{"id":151,"name":"Denver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534</v>
      </c>
      <c r="B74" s="7">
        <v>4031</v>
      </c>
      <c r="C74" s="22" t="s">
        <v>207</v>
      </c>
      <c r="D74" s="22" t="s">
        <v>292</v>
      </c>
      <c r="E74" s="13">
        <v>42710.48877314815</v>
      </c>
      <c r="F74" s="13">
        <v>42710.490428240744</v>
      </c>
      <c r="G74" s="7">
        <v>1</v>
      </c>
      <c r="H74" s="22" t="s">
        <v>690</v>
      </c>
      <c r="I74" s="13">
        <v>42710.532256944447</v>
      </c>
      <c r="J74" s="7">
        <v>0</v>
      </c>
      <c r="K74" s="109" t="str">
        <f t="shared" si="0"/>
        <v>4031/4032</v>
      </c>
      <c r="L74" s="22" t="str">
        <f>VLOOKUP(A74,'Trips&amp;Operators'!$C$1:$G$99999,5,FALSE)</f>
        <v>HELVIE ADAM</v>
      </c>
      <c r="M74" s="6">
        <f t="shared" si="1"/>
        <v>4.1828703702776693E-2</v>
      </c>
      <c r="N74" s="7">
        <f t="shared" si="21"/>
        <v>60.233333331998438</v>
      </c>
      <c r="O74" s="7"/>
      <c r="P74" s="7"/>
      <c r="Q74" s="23"/>
      <c r="R74" s="23" t="s">
        <v>838</v>
      </c>
      <c r="S74" s="35">
        <f t="shared" si="22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10:43:50-700',mode:absolute,to:'2016-12-06 13:46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4.4600000000000001E-2</v>
      </c>
      <c r="Z74" s="67">
        <f t="shared" si="9"/>
        <v>23.325900000000001</v>
      </c>
      <c r="AA74" s="67">
        <f t="shared" si="10"/>
        <v>23.281300000000002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0165-06</v>
      </c>
      <c r="AE74" s="91" t="str">
        <f t="shared" si="12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74" s="88" t="str">
        <f t="shared" si="13"/>
        <v>"C:\Program Files (x86)\AstroGrep\AstroGrep.exe" /spath="%USERPROFILE%\AppData\Local\Temp\OnboardLogs" /stypes="app*4031*20161206*"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165-06 --locoid 4031 --swversion DE.1.0.8.0 --startMP 204:446 --initTime 2016-12-06T11:43:50 --startdatetime 2016-12-06T11:46:13 --delay 1 --endMP 204:233259 --enddatetime 2016-12-06T12:46:27 --enforcementcount 0 &gt;&gt;C:\Users\stu\Documents\GitHub\eaglep3-reporting\EC\2016-12-06-refined-times.txt</v>
      </c>
      <c r="AI74" s="119" t="str">
        <f t="shared" si="18"/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correspondence","project_id":79,"tracker_id":40,"status_id":1,"priority_id":2,"assigned_to_id":23,"start_date":"2016-12-06","description":"","custom_fields":[{"id":1,"name":"Subdivision","value":"EC"},{"id":4,"name":"Milepost","value":"23.3259"},{"id":17,"name":"Train ID","value":"165-06"},{"id":16,"name":"Locomotive ID","value":"4031"},{"id":130,"name":"Impact","value":""},{"id":150,"name":"Time of Event (Mountain Time)","value":"12:46:27"},{"id":151,"name":"Denver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541</v>
      </c>
      <c r="B75" s="7">
        <v>4043</v>
      </c>
      <c r="C75" s="22" t="s">
        <v>207</v>
      </c>
      <c r="D75" s="22" t="s">
        <v>329</v>
      </c>
      <c r="E75" s="13">
        <v>42710.516388888886</v>
      </c>
      <c r="F75" s="13">
        <v>42710.528668981482</v>
      </c>
      <c r="G75" s="7">
        <v>1</v>
      </c>
      <c r="H75" s="22" t="s">
        <v>691</v>
      </c>
      <c r="I75" s="13">
        <v>42710.556087962963</v>
      </c>
      <c r="J75" s="7">
        <v>0</v>
      </c>
      <c r="K75" s="109" t="str">
        <f t="shared" si="0"/>
        <v>4043/4044</v>
      </c>
      <c r="L75" s="22" t="str">
        <f>VLOOKUP(A75,'Trips&amp;Operators'!$C$1:$G$99999,5,FALSE)</f>
        <v>BARTLETT KIANDRA</v>
      </c>
      <c r="M75" s="6">
        <f t="shared" si="1"/>
        <v>2.7418981480877846E-2</v>
      </c>
      <c r="N75" s="7">
        <f t="shared" si="21"/>
        <v>39.483333332464099</v>
      </c>
      <c r="O75" s="7"/>
      <c r="P75" s="7"/>
      <c r="Q75" s="23"/>
      <c r="R75" s="23"/>
      <c r="S75" s="35">
        <f t="shared" si="22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11:23:36-700',mode:absolute,to:'2016-12-06 14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23.2986</v>
      </c>
      <c r="Z75" s="67">
        <f t="shared" si="9"/>
        <v>1.72E-2</v>
      </c>
      <c r="AA75" s="67">
        <f t="shared" si="10"/>
        <v>23.281400000000001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0166-06</v>
      </c>
      <c r="AE75" s="91" t="str">
        <f t="shared" si="1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75" s="88" t="str">
        <f t="shared" si="13"/>
        <v>"C:\Program Files (x86)\AstroGrep\AstroGrep.exe" /spath="%USERPROFILE%\AppData\Local\Temp\OnboardLogs" /stypes="app*4043*20161206*" /stext=" 20:.+((SYSTEM_STATE.+slice.+state.+changed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166-06 --locoid 4043 --swversion DE.1.0.8.0 --startMP 204:232986 --initTime 2016-12-06T12:23:36 --startdatetime 2016-12-06T12:41:17 --delay 1 --endMP 204:172 --enddatetime 2016-12-06T13:20:46 --enforcementcount 0 &gt;&gt;C:\Users\stu\Documents\GitHub\eaglep3-reporting\EC\2016-12-06-refined-times.txt</v>
      </c>
      <c r="AI75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{"issue":{"subject":"","project_id":79,"tracker_id":40,"status_id":1,"priority_id":2,"assigned_to_id":23,"start_date":"2016-12-06","description":"","custom_fields":[{"id":1,"name":"Subdivision","value":"EC"},{"id":4,"name":"Milepost","value":"0.0172"},{"id":17,"name":"Train ID","value":"166-06"},{"id":16,"name":"Locomotive ID","value":"4043"},{"id":130,"name":"Impact","value":""},{"id":150,"name":"Time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546</v>
      </c>
      <c r="B76" s="7">
        <v>4030</v>
      </c>
      <c r="C76" s="22" t="s">
        <v>207</v>
      </c>
      <c r="D76" s="22" t="s">
        <v>250</v>
      </c>
      <c r="E76" s="13">
        <v>42710.537569444445</v>
      </c>
      <c r="F76" s="13">
        <v>42710.539305555554</v>
      </c>
      <c r="G76" s="7">
        <v>1</v>
      </c>
      <c r="H76" s="22" t="s">
        <v>205</v>
      </c>
      <c r="I76" s="13">
        <v>42710.566400462965</v>
      </c>
      <c r="J76" s="7">
        <v>0</v>
      </c>
      <c r="K76" s="109" t="str">
        <f t="shared" si="0"/>
        <v>4029/4030</v>
      </c>
      <c r="L76" s="22" t="str">
        <f>VLOOKUP(A76,'Trips&amp;Operators'!$C$1:$G$99999,5,FALSE)</f>
        <v>STEWART MICHAEL</v>
      </c>
      <c r="M76" s="6">
        <f t="shared" si="1"/>
        <v>2.7094907411083113E-2</v>
      </c>
      <c r="N76" s="7">
        <f t="shared" si="21"/>
        <v>39.016666671959683</v>
      </c>
      <c r="O76" s="7"/>
      <c r="P76" s="7"/>
      <c r="Q76" s="23"/>
      <c r="R76" s="23"/>
      <c r="S76" s="35">
        <f t="shared" si="22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https://search-rtdc-monitor-bjffxe2xuh6vdkpspy63sjmuny.us-east-1.es.amazonaws.com/_plugin/kibana/#/discover/Steve-Slow-Train-Analysis-(2080s-and-2083s)?_g=(refreshInterval:(display:Off,section:0,value:0),time:(from:'2016-12-06 11:54:06-700',mode:absolute,to:'2016-12-06 14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6" s="52" t="str">
        <f t="shared" si="6"/>
        <v>N</v>
      </c>
      <c r="X76" s="177">
        <f t="shared" si="7"/>
        <v>2</v>
      </c>
      <c r="Y76" s="67">
        <f t="shared" si="8"/>
        <v>23.2989</v>
      </c>
      <c r="Z76" s="67">
        <f t="shared" si="9"/>
        <v>1.5599999999999999E-2</v>
      </c>
      <c r="AA76" s="67">
        <f t="shared" si="10"/>
        <v>23.283300000000001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0168-06</v>
      </c>
      <c r="AE76" s="91" t="str">
        <f t="shared" si="12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76" s="88" t="str">
        <f t="shared" si="13"/>
        <v>"C:\Program Files (x86)\AstroGrep\AstroGrep.exe" /spath="%USERPROFILE%\AppData\Local\Temp\OnboardLogs" /stypes="app*4030*20161206*"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168-06 --locoid 4030 --swversion DE.1.0.8.0 --startMP 204:232989 --initTime 2016-12-06T12:54:06 --startdatetime 2016-12-06T12:56:36 --delay 1 --endMP 204:156 --enddatetime 2016-12-06T13:35:37 --enforcementcount 0 &gt;&gt;C:\Users\stu\Documents\GitHub\eaglep3-reporting\EC\2016-12-06-refined-times.txt</v>
      </c>
      <c r="AI76" s="119" t="str">
        <f t="shared" si="18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ID","value":"168-06"},{"id":16,"name":"Locomotive ID","value":"4030"},{"id":130,"name":"Impact","value":""},{"id":150,"name":"Time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539</v>
      </c>
      <c r="B77" s="7">
        <v>4018</v>
      </c>
      <c r="C77" s="22" t="s">
        <v>207</v>
      </c>
      <c r="D77" s="22" t="s">
        <v>692</v>
      </c>
      <c r="E77" s="13">
        <v>42710.52548611111</v>
      </c>
      <c r="F77" s="13">
        <v>42710.526782407411</v>
      </c>
      <c r="G77" s="7">
        <v>1</v>
      </c>
      <c r="H77" s="22" t="s">
        <v>693</v>
      </c>
      <c r="I77" s="13">
        <v>42710.547222222223</v>
      </c>
      <c r="J77" s="7">
        <v>0</v>
      </c>
      <c r="K77" s="109" t="str">
        <f t="shared" ref="K77:K139" si="23">IF(ISEVEN(B77),(B77-1)&amp;"/"&amp;B77,B77&amp;"/"&amp;(B77+1))</f>
        <v>4017/4018</v>
      </c>
      <c r="L77" s="22" t="str">
        <f>VLOOKUP(A77,'Trips&amp;Operators'!$C$1:$G$99999,5,FALSE)</f>
        <v>CLARK KATHLEEN</v>
      </c>
      <c r="M77" s="6">
        <f t="shared" ref="M77:M139" si="24">I77-F77</f>
        <v>2.0439814812561963E-2</v>
      </c>
      <c r="N77" s="7"/>
      <c r="O77" s="7"/>
      <c r="P77" s="7">
        <f t="shared" si="21"/>
        <v>29.433333330089226</v>
      </c>
      <c r="Q77" s="23"/>
      <c r="R77" s="23" t="s">
        <v>839</v>
      </c>
      <c r="S77" s="35">
        <f t="shared" si="22"/>
        <v>0.75</v>
      </c>
      <c r="T77" s="50" t="str">
        <f t="shared" ref="T77:T139" si="25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98" t="str">
        <f t="shared" ref="V77:V139" si="26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https://search-rtdc-monitor-bjffxe2xuh6vdkpspy63sjmuny.us-east-1.es.amazonaws.com/_plugin/kibana/#/discover/Steve-Slow-Train-Analysis-(2080s-and-2083s)?_g=(refreshInterval:(display:Off,section:0,value:0),time:(from:'2016-12-06 11:36:42-700',mode:absolute,to:'2016-12-06 14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7" s="52" t="str">
        <f t="shared" ref="W77:W139" si="27">IF(AA77&lt;IF(AG77="EC",23,5.65),"Y","N")</f>
        <v>Y</v>
      </c>
      <c r="X77" s="177">
        <f t="shared" ref="X77:X139" si="28">VALUE(LEFT(AD77,4))-VALUE(LEFT(AD76,4))</f>
        <v>1</v>
      </c>
      <c r="Y77" s="67">
        <f t="shared" ref="Y77:Y139" si="29">RIGHT(D77,LEN(D77)-4)/10000</f>
        <v>3.7172999999999998</v>
      </c>
      <c r="Z77" s="67">
        <f t="shared" ref="Z77:Z139" si="30">RIGHT(H77,LEN(H77)-4)/10000</f>
        <v>23.335100000000001</v>
      </c>
      <c r="AA77" s="67">
        <f t="shared" ref="AA77:AA139" si="31">ABS(Z77-Y77)</f>
        <v>19.617800000000003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39" si="32">IF(LEN(A77)=6,"0"&amp;A77,A77)</f>
        <v>0169-06</v>
      </c>
      <c r="AE77" s="91" t="str">
        <f t="shared" ref="AE77:AE139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77" s="88" t="str">
        <f t="shared" ref="AF77:AF139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/stypes="app*4018*20161206*" /stext=" 20:.+((SYSTEM_STATE.+slice.+state.+changed )|(ment ac)|(multiple cpu faults)|(system.+state.+changed )|(\[timeout)|(PRM\|1\|D)|(kpr)|(kdp)|(\|lc)|(penalty))" /e /r /s</v>
      </c>
      <c r="AG77" s="1" t="str">
        <f t="shared" ref="AG77:AG139" si="35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169-06 --locoid 4018 --swversion DE.1.0.8.0 --startMP 204:37173 --initTime 2016-12-06T12:36:42 --startdatetime 2016-12-06T12:38:34 --delay 1 --endMP 204:233351 --enddatetime 2016-12-06T13:08:00 --enforcementcount 0 &gt;&gt;C:\Users\stu\Documents\GitHub\eaglep3-reporting\EC\2016-12-06-refined-times.txt</v>
      </c>
      <c r="AI77" s="119" t="str">
        <f t="shared" si="18"/>
        <v>echo {"issue":{"subject":"Repeated consist issues and then dispatcher cut out, then repeated init attempts unsuccessful. Conclusion: CCROC/crew/equipment mismatch","project_id":79,"tracker_id":40,"status_id":1,"priority_id":2,"assigned_to_id":23,"start_date":"2016-12-06","description":"","custom_fields":[{"id":1,"name":"Subdivision","value":"EC"},{"id":4,"name":"Milepost","value":"23.3351"},{"id":17,"name":"Train ID","value":"169-06"},{"id":16,"name":"Locomotive ID","value":"4018"},{"id":130,"name":"Impact","value":""},{"id":150,"name":"Time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548</v>
      </c>
      <c r="B78" s="7">
        <v>4032</v>
      </c>
      <c r="C78" s="22" t="s">
        <v>207</v>
      </c>
      <c r="D78" s="22" t="s">
        <v>392</v>
      </c>
      <c r="E78" s="13">
        <v>42710.545289351852</v>
      </c>
      <c r="F78" s="13">
        <v>42710.549664351849</v>
      </c>
      <c r="G78" s="7">
        <v>2</v>
      </c>
      <c r="H78" s="22" t="s">
        <v>268</v>
      </c>
      <c r="I78" s="13">
        <v>42710.575972222221</v>
      </c>
      <c r="J78" s="7">
        <v>0</v>
      </c>
      <c r="K78" s="109" t="str">
        <f t="shared" si="23"/>
        <v>4031/4032</v>
      </c>
      <c r="L78" s="22" t="str">
        <f>VLOOKUP(A78,'Trips&amp;Operators'!$C$1:$G$99999,5,FALSE)</f>
        <v>BONDS REYNALDO</v>
      </c>
      <c r="M78" s="6">
        <f t="shared" si="24"/>
        <v>2.6307870371965691E-2</v>
      </c>
      <c r="N78" s="7">
        <f t="shared" si="21"/>
        <v>37.883333335630596</v>
      </c>
      <c r="O78" s="7"/>
      <c r="P78" s="7"/>
      <c r="Q78" s="23"/>
      <c r="R78" s="23"/>
      <c r="S78" s="35">
        <f t="shared" si="22"/>
        <v>1</v>
      </c>
      <c r="T78" s="50" t="str">
        <f t="shared" si="25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12:05:13-700',mode:absolute,to:'2016-12-06 14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27"/>
        <v>N</v>
      </c>
      <c r="X78" s="177">
        <f t="shared" si="28"/>
        <v>1</v>
      </c>
      <c r="Y78" s="67">
        <f t="shared" si="29"/>
        <v>23.299199999999999</v>
      </c>
      <c r="Z78" s="67">
        <f t="shared" si="30"/>
        <v>1.6E-2</v>
      </c>
      <c r="AA78" s="67">
        <f t="shared" si="31"/>
        <v>23.283200000000001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2"/>
        <v>0170-06</v>
      </c>
      <c r="AE78" s="91" t="str">
        <f t="shared" si="33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78" s="88" t="str">
        <f t="shared" si="34"/>
        <v>"C:\Program Files (x86)\AstroGrep\AstroGrep.exe" /spath="%USERPROFILE%\AppData\Local\Temp\OnboardLogs" /stypes="app*4032*20161206*"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92" t="str">
        <f t="shared" ref="AH78:AH140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170-06 --locoid 4032 --swversion DE.1.0.8.0 --startMP 204:232992 --initTime 2016-12-06T13:05:13 --startdatetime 2016-12-06T13:11:31 --delay 2 --endMP 204:160 --enddatetime 2016-12-06T13:49:24 --enforcementcount 0 &gt;&gt;C:\Users\stu\Documents\GitHub\eaglep3-reporting\EC\2016-12-06-refined-times.txt</v>
      </c>
      <c r="AI78" s="119" t="str">
        <f t="shared" ref="AI78:AI140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ID","value":"170-06"},{"id":16,"name":"Locomotive ID","value":"4032"},{"id":130,"name":"Impact","value":""},{"id":150,"name":"Time of Event (Mountain Time)","value":"13:49:24"},{"id":151,"name":"Denver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542</v>
      </c>
      <c r="B79" s="7">
        <v>4016</v>
      </c>
      <c r="C79" s="22" t="s">
        <v>207</v>
      </c>
      <c r="D79" s="22" t="s">
        <v>242</v>
      </c>
      <c r="E79" s="13">
        <v>42710.522175925929</v>
      </c>
      <c r="F79" s="13">
        <v>42710.523784722223</v>
      </c>
      <c r="G79" s="7">
        <v>1</v>
      </c>
      <c r="H79" s="22" t="s">
        <v>694</v>
      </c>
      <c r="I79" s="13">
        <v>42710.553425925929</v>
      </c>
      <c r="J79" s="7">
        <v>0</v>
      </c>
      <c r="K79" s="109" t="str">
        <f t="shared" si="23"/>
        <v>4015/4016</v>
      </c>
      <c r="L79" s="22" t="str">
        <f>VLOOKUP(A79,'Trips&amp;Operators'!$C$1:$G$99999,5,FALSE)</f>
        <v>STORY SAMANTHA</v>
      </c>
      <c r="M79" s="6">
        <f t="shared" si="24"/>
        <v>2.9641203705978114E-2</v>
      </c>
      <c r="N79" s="7">
        <f t="shared" si="21"/>
        <v>42.683333336608484</v>
      </c>
      <c r="O79" s="7"/>
      <c r="P79" s="7"/>
      <c r="Q79" s="23"/>
      <c r="R79" s="23"/>
      <c r="S79" s="35">
        <f t="shared" si="22"/>
        <v>1</v>
      </c>
      <c r="T79" s="50" t="str">
        <f t="shared" si="25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11:31:56-700',mode:absolute,to:'2016-12-06 14:16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52" t="str">
        <f t="shared" si="27"/>
        <v>N</v>
      </c>
      <c r="X79" s="177">
        <f t="shared" si="28"/>
        <v>1</v>
      </c>
      <c r="Y79" s="67">
        <f t="shared" si="29"/>
        <v>4.5699999999999998E-2</v>
      </c>
      <c r="Z79" s="67">
        <f t="shared" si="30"/>
        <v>23.3353</v>
      </c>
      <c r="AA79" s="67">
        <f t="shared" si="31"/>
        <v>23.2896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2"/>
        <v>0171-06</v>
      </c>
      <c r="AE79" s="91" t="str">
        <f t="shared" si="33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79" s="88" t="str">
        <f t="shared" si="34"/>
        <v>"C:\Program Files (x86)\AstroGrep\AstroGrep.exe" /spath="%USERPROFILE%\AppData\Local\Temp\OnboardLogs" /stypes="app*4016*20161206*"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92" t="str">
        <f t="shared" si="36"/>
        <v>"%USERPROFILE%\Documents\GitHub\eaglep3\Utilities\RefineRTDCRunTimes.py" --tripid 171-06 --locoid 4016 --swversion DE.1.0.8.0 --startMP 204:457 --initTime 2016-12-06T12:31:56 --startdatetime 2016-12-06T12:34:15 --delay 1 --endMP 204:233353 --enddatetime 2016-12-06T13:16:56 --enforcementcount 0 &gt;&gt;C:\Users\stu\Documents\GitHub\eaglep3-reporting\EC\2016-12-06-refined-times.txt</v>
      </c>
      <c r="AI7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{"issue":{"subject":"","project_id":79,"tracker_id":40,"status_id":1,"priority_id":2,"assigned_to_id":23,"start_date":"2016-12-06","description":"","custom_fields":[{"id":1,"name":"Subdivision","value":"EC"},{"id":4,"name":"Milepost","value":"23.3353"},{"id":17,"name":"Train ID","value":"171-06"},{"id":16,"name":"Locomotive ID","value":"4016"},{"id":130,"name":"Impact","value":""},{"id":150,"name":"Time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555</v>
      </c>
      <c r="B80" s="7">
        <v>4017</v>
      </c>
      <c r="C80" s="22" t="s">
        <v>207</v>
      </c>
      <c r="D80" s="22" t="s">
        <v>686</v>
      </c>
      <c r="E80" s="13">
        <v>42710.555</v>
      </c>
      <c r="F80" s="13">
        <v>42710.559953703705</v>
      </c>
      <c r="G80" s="7">
        <v>1</v>
      </c>
      <c r="H80" s="22" t="s">
        <v>235</v>
      </c>
      <c r="I80" s="13">
        <v>42710.588402777779</v>
      </c>
      <c r="J80" s="7">
        <v>0</v>
      </c>
      <c r="K80" s="109" t="str">
        <f t="shared" si="23"/>
        <v>4017/4018</v>
      </c>
      <c r="L80" s="22" t="str">
        <f>VLOOKUP(A80,'Trips&amp;Operators'!$C$1:$G$99999,5,FALSE)</f>
        <v>CLARK KATHLEEN</v>
      </c>
      <c r="M80" s="6">
        <f t="shared" si="24"/>
        <v>2.8449074074160308E-2</v>
      </c>
      <c r="N80" s="7">
        <f t="shared" si="21"/>
        <v>40.966666666790843</v>
      </c>
      <c r="O80" s="7"/>
      <c r="P80" s="7"/>
      <c r="Q80" s="23"/>
      <c r="R80" s="23"/>
      <c r="S80" s="35">
        <f t="shared" si="22"/>
        <v>1</v>
      </c>
      <c r="T80" s="50" t="str">
        <f t="shared" si="25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12:19:12-700',mode:absolute,to:'2016-12-06 15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0" s="52" t="str">
        <f t="shared" si="27"/>
        <v>N</v>
      </c>
      <c r="X80" s="177">
        <f t="shared" si="28"/>
        <v>1</v>
      </c>
      <c r="Y80" s="67">
        <f t="shared" si="29"/>
        <v>23.300999999999998</v>
      </c>
      <c r="Z80" s="67">
        <f t="shared" si="30"/>
        <v>1.6500000000000001E-2</v>
      </c>
      <c r="AA80" s="67">
        <f t="shared" si="31"/>
        <v>23.284499999999998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2"/>
        <v>0172-06</v>
      </c>
      <c r="AE80" s="91" t="str">
        <f t="shared" si="33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80" s="88" t="str">
        <f t="shared" si="34"/>
        <v>"C:\Program Files (x86)\AstroGrep\AstroGrep.exe" /spath="%USERPROFILE%\AppData\Local\Temp\OnboardLogs" /stypes="app*4017*20161206*" /stext=" 21:.+((SYSTEM_STATE.+slice.+state.+changed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92" t="str">
        <f t="shared" si="36"/>
        <v>"%USERPROFILE%\Documents\GitHub\eaglep3\Utilities\RefineRTDCRunTimes.py" --tripid 172-06 --locoid 4017 --swversion DE.1.0.8.0 --startMP 204:233010 --initTime 2016-12-06T13:19:12 --startdatetime 2016-12-06T13:26:20 --delay 1 --endMP 204:165 --enddatetime 2016-12-06T14:07:18 --enforcementcount 0 &gt;&gt;C:\Users\stu\Documents\GitHub\eaglep3-reporting\EC\2016-12-06-refined-times.txt</v>
      </c>
      <c r="AI8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{"issue":{"subject":"","project_id":79,"tracker_id":40,"status_id":1,"priority_id":2,"assigned_to_id":23,"start_date":"2016-12-06","description":"","custom_fields":[{"id":1,"name":"Subdivision","value":"EC"},{"id":4,"name":"Milepost","value":"0.0165"},{"id":17,"name":"Train ID","value":"172-06"},{"id":16,"name":"Locomotive ID","value":"4017"},{"id":130,"name":"Impact","value":""},{"id":150,"name":"Time of Event (Mountain Time)","value":"14:07:18"},{"id":151,"name":"Denver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557</v>
      </c>
      <c r="B81" s="7">
        <v>4015</v>
      </c>
      <c r="C81" s="22" t="s">
        <v>207</v>
      </c>
      <c r="D81" s="22" t="s">
        <v>685</v>
      </c>
      <c r="E81" s="13">
        <v>42710.567256944443</v>
      </c>
      <c r="F81" s="13">
        <v>42710.570381944446</v>
      </c>
      <c r="G81" s="7">
        <v>1</v>
      </c>
      <c r="H81" s="22" t="s">
        <v>252</v>
      </c>
      <c r="I81" s="13">
        <v>42710.598657407405</v>
      </c>
      <c r="J81" s="7">
        <v>0</v>
      </c>
      <c r="K81" s="109" t="str">
        <f t="shared" si="23"/>
        <v>4015/4016</v>
      </c>
      <c r="L81" s="22" t="str">
        <f>VLOOKUP(A81,'Trips&amp;Operators'!$C$1:$G$99999,5,FALSE)</f>
        <v>STORY SAMANTHA</v>
      </c>
      <c r="M81" s="6">
        <f t="shared" si="24"/>
        <v>2.827546295884531E-2</v>
      </c>
      <c r="N81" s="7">
        <f t="shared" si="21"/>
        <v>40.716666660737246</v>
      </c>
      <c r="O81" s="7"/>
      <c r="P81" s="7"/>
      <c r="Q81" s="23"/>
      <c r="R81" s="23"/>
      <c r="S81" s="35">
        <f t="shared" si="22"/>
        <v>1</v>
      </c>
      <c r="T81" s="50" t="str">
        <f t="shared" si="25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12:36:51-700',mode:absolute,to:'2016-12-06 15:22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1" s="52" t="str">
        <f t="shared" si="27"/>
        <v>N</v>
      </c>
      <c r="X81" s="177">
        <f t="shared" si="28"/>
        <v>2</v>
      </c>
      <c r="Y81" s="67">
        <f t="shared" si="29"/>
        <v>23.302299999999999</v>
      </c>
      <c r="Z81" s="67">
        <f t="shared" si="30"/>
        <v>1.4500000000000001E-2</v>
      </c>
      <c r="AA81" s="67">
        <f t="shared" si="31"/>
        <v>23.287799999999997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2"/>
        <v>0174-06</v>
      </c>
      <c r="AE81" s="91" t="str">
        <f t="shared" si="33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81" s="88" t="str">
        <f t="shared" si="34"/>
        <v>"C:\Program Files (x86)\AstroGrep\AstroGrep.exe" /spath="%USERPROFILE%\AppData\Local\Temp\OnboardLogs" /stypes="app*4015*20161206*" /stext=" 21:.+((SYSTEM_STATE.+slice.+state.+changed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92" t="str">
        <f t="shared" si="36"/>
        <v>"%USERPROFILE%\Documents\GitHub\eaglep3\Utilities\RefineRTDCRunTimes.py" --tripid 174-06 --locoid 4015 --swversion DE.1.0.8.0 --startMP 204:233023 --initTime 2016-12-06T13:36:51 --startdatetime 2016-12-06T13:41:21 --delay 1 --endMP 204:145 --enddatetime 2016-12-06T14:22:04 --enforcementcount 0 &gt;&gt;C:\Users\stu\Documents\GitHub\eaglep3-reporting\EC\2016-12-06-refined-times.txt</v>
      </c>
      <c r="AI8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ID","value":"174-06"},{"id":16,"name":"Locomotive ID","value":"4015"},{"id":130,"name":"Impact","value":""},{"id":150,"name":"Time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547</v>
      </c>
      <c r="B82" s="7">
        <v>4020</v>
      </c>
      <c r="C82" s="22" t="s">
        <v>207</v>
      </c>
      <c r="D82" s="22" t="s">
        <v>280</v>
      </c>
      <c r="E82" s="13">
        <v>42710.537824074076</v>
      </c>
      <c r="F82" s="13">
        <v>42710.542118055557</v>
      </c>
      <c r="G82" s="7">
        <v>1</v>
      </c>
      <c r="H82" s="22" t="s">
        <v>332</v>
      </c>
      <c r="I82" s="13">
        <v>42710.565868055557</v>
      </c>
      <c r="J82" s="7">
        <v>0</v>
      </c>
      <c r="K82" s="109" t="str">
        <f t="shared" si="23"/>
        <v>4019/4020</v>
      </c>
      <c r="L82" s="22" t="str">
        <f>VLOOKUP(A82,'Trips&amp;Operators'!$C$1:$G$99999,5,FALSE)</f>
        <v>HELVIE ADAM</v>
      </c>
      <c r="M82" s="6">
        <f t="shared" si="24"/>
        <v>2.3750000000291038E-2</v>
      </c>
      <c r="N82" s="7">
        <f t="shared" si="21"/>
        <v>34.200000000419095</v>
      </c>
      <c r="O82" s="7"/>
      <c r="P82" s="7"/>
      <c r="Q82" s="23"/>
      <c r="R82" s="23"/>
      <c r="S82" s="35">
        <f t="shared" si="22"/>
        <v>1</v>
      </c>
      <c r="T82" s="50" t="str">
        <f t="shared" si="25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11:54:28-700',mode:absolute,to:'2016-12-06 14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2" s="52" t="str">
        <f t="shared" si="27"/>
        <v>N</v>
      </c>
      <c r="X82" s="177">
        <f t="shared" si="28"/>
        <v>1</v>
      </c>
      <c r="Y82" s="67">
        <f t="shared" si="29"/>
        <v>4.3799999999999999E-2</v>
      </c>
      <c r="Z82" s="67">
        <f t="shared" si="30"/>
        <v>23.3293</v>
      </c>
      <c r="AA82" s="67">
        <f t="shared" si="31"/>
        <v>23.285499999999999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2"/>
        <v>0175-06</v>
      </c>
      <c r="AE82" s="91" t="str">
        <f t="shared" si="33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82" s="88" t="str">
        <f t="shared" si="34"/>
        <v>"C:\Program Files (x86)\AstroGrep\AstroGrep.exe" /spath="%USERPROFILE%\AppData\Local\Temp\OnboardLogs" /stypes="app*4020*20161206*"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92" t="str">
        <f t="shared" si="36"/>
        <v>"%USERPROFILE%\Documents\GitHub\eaglep3\Utilities\RefineRTDCRunTimes.py" --tripid 175-06 --locoid 4020 --swversion DE.1.0.8.0 --startMP 204:438 --initTime 2016-12-06T12:54:28 --startdatetime 2016-12-06T13:00:39 --delay 1 --endMP 204:233293 --enddatetime 2016-12-06T13:34:51 --enforcementcount 0 &gt;&gt;C:\Users\stu\Documents\GitHub\eaglep3-reporting\EC\2016-12-06-refined-times.txt</v>
      </c>
      <c r="AI8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ID","value":"175-06"},{"id":16,"name":"Locomotive ID","value":"4020"},{"id":130,"name":"Impact","value":""},{"id":150,"name":"Time of Event (Mountain Time)","value":"13:34:51"},{"id":151,"name":"Denver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560</v>
      </c>
      <c r="B83" s="7">
        <v>4019</v>
      </c>
      <c r="C83" s="22" t="s">
        <v>207</v>
      </c>
      <c r="D83" s="22" t="s">
        <v>384</v>
      </c>
      <c r="E83" s="13">
        <v>42710.577511574076</v>
      </c>
      <c r="F83" s="13">
        <v>42710.58090277778</v>
      </c>
      <c r="G83" s="7">
        <v>4</v>
      </c>
      <c r="H83" s="22" t="s">
        <v>214</v>
      </c>
      <c r="I83" s="13">
        <v>42710.606944444444</v>
      </c>
      <c r="J83" s="7">
        <v>0</v>
      </c>
      <c r="K83" s="109" t="str">
        <f t="shared" si="23"/>
        <v>4019/4020</v>
      </c>
      <c r="L83" s="22" t="str">
        <f>VLOOKUP(A83,'Trips&amp;Operators'!$C$1:$G$99999,5,FALSE)</f>
        <v>HELVIE ADAM</v>
      </c>
      <c r="M83" s="6">
        <f t="shared" si="24"/>
        <v>2.6041666664241347E-2</v>
      </c>
      <c r="N83" s="7">
        <f t="shared" si="21"/>
        <v>37.49999999650754</v>
      </c>
      <c r="O83" s="7"/>
      <c r="P83" s="7"/>
      <c r="Q83" s="23"/>
      <c r="R83" s="23"/>
      <c r="S83" s="35">
        <f t="shared" si="22"/>
        <v>1</v>
      </c>
      <c r="T83" s="50" t="str">
        <f t="shared" si="25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12:51:37-700',mode:absolute,to:'2016-12-06 15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3" s="52" t="str">
        <f t="shared" si="27"/>
        <v>N</v>
      </c>
      <c r="X83" s="177">
        <f t="shared" si="28"/>
        <v>1</v>
      </c>
      <c r="Y83" s="67">
        <f t="shared" si="29"/>
        <v>23.2974</v>
      </c>
      <c r="Z83" s="67">
        <f t="shared" si="30"/>
        <v>1.4999999999999999E-2</v>
      </c>
      <c r="AA83" s="67">
        <f t="shared" si="31"/>
        <v>23.282399999999999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2"/>
        <v>0176-06</v>
      </c>
      <c r="AE83" s="91" t="str">
        <f t="shared" si="33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83" s="88" t="str">
        <f t="shared" si="34"/>
        <v>"C:\Program Files (x86)\AstroGrep\AstroGrep.exe" /spath="%USERPROFILE%\AppData\Local\Temp\OnboardLogs" /stypes="app*4019*20161206*" /stext=" 21:.+((SYSTEM_STATE.+slice.+state.+changed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92" t="str">
        <f t="shared" si="36"/>
        <v>"%USERPROFILE%\Documents\GitHub\eaglep3\Utilities\RefineRTDCRunTimes.py" --tripid 176-06 --locoid 4019 --swversion DE.1.0.8.0 --startMP 204:232974 --initTime 2016-12-06T13:51:37 --startdatetime 2016-12-06T13:56:30 --delay 4 --endMP 204:150 --enddatetime 2016-12-06T14:34:00 --enforcementcount 0 &gt;&gt;C:\Users\stu\Documents\GitHub\eaglep3-reporting\EC\2016-12-06-refined-times.txt</v>
      </c>
      <c r="AI8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ID","value":"176-06"},{"id":16,"name":"Locomotive ID","value":"4019"},{"id":130,"name":"Impact","value":""},{"id":150,"name":"Time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550</v>
      </c>
      <c r="B84" s="7">
        <v>4011</v>
      </c>
      <c r="C84" s="22" t="s">
        <v>207</v>
      </c>
      <c r="D84" s="22" t="s">
        <v>242</v>
      </c>
      <c r="E84" s="13">
        <v>42710.545868055553</v>
      </c>
      <c r="F84" s="13">
        <v>42710.552337962959</v>
      </c>
      <c r="G84" s="7">
        <v>2</v>
      </c>
      <c r="H84" s="22" t="s">
        <v>695</v>
      </c>
      <c r="I84" s="13">
        <v>42710.578113425923</v>
      </c>
      <c r="J84" s="7">
        <v>0</v>
      </c>
      <c r="K84" s="109" t="str">
        <f t="shared" si="23"/>
        <v>4011/4012</v>
      </c>
      <c r="L84" s="22" t="str">
        <f>VLOOKUP(A84,'Trips&amp;Operators'!$C$1:$G$99999,5,FALSE)</f>
        <v>MAHAN DUANE</v>
      </c>
      <c r="M84" s="6">
        <f t="shared" si="24"/>
        <v>2.5775462963792961E-2</v>
      </c>
      <c r="N84" s="7">
        <f t="shared" si="21"/>
        <v>37.116666667861864</v>
      </c>
      <c r="O84" s="7"/>
      <c r="P84" s="7"/>
      <c r="Q84" s="23"/>
      <c r="R84" s="23"/>
      <c r="S84" s="35">
        <f t="shared" si="22"/>
        <v>1</v>
      </c>
      <c r="T84" s="50" t="str">
        <f t="shared" si="25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12:06:03-700',mode:absolute,to:'2016-12-06 14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52" t="str">
        <f t="shared" si="27"/>
        <v>N</v>
      </c>
      <c r="X84" s="177">
        <f t="shared" si="28"/>
        <v>1</v>
      </c>
      <c r="Y84" s="67">
        <f t="shared" si="29"/>
        <v>4.5699999999999998E-2</v>
      </c>
      <c r="Z84" s="67">
        <f t="shared" si="30"/>
        <v>23.325500000000002</v>
      </c>
      <c r="AA84" s="67">
        <f t="shared" si="31"/>
        <v>23.279800000000002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2"/>
        <v>0177-06</v>
      </c>
      <c r="AE84" s="91" t="str">
        <f t="shared" si="33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84" s="88" t="str">
        <f t="shared" si="34"/>
        <v>"C:\Program Files (x86)\AstroGrep\AstroGrep.exe" /spath="%USERPROFILE%\AppData\Local\Temp\OnboardLogs" /stypes="app*4011*20161206*"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92" t="str">
        <f t="shared" si="36"/>
        <v>"%USERPROFILE%\Documents\GitHub\eaglep3\Utilities\RefineRTDCRunTimes.py" --tripid 177-06 --locoid 4011 --swversion DE.1.0.8.0 --startMP 204:457 --initTime 2016-12-06T13:06:03 --startdatetime 2016-12-06T13:15:22 --delay 2 --endMP 204:233255 --enddatetime 2016-12-06T13:52:29 --enforcementcount 0 &gt;&gt;C:\Users\stu\Documents\GitHub\eaglep3-reporting\EC\2016-12-06-refined-times.txt</v>
      </c>
      <c r="AI8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{"issue":{"subject":"","project_id":79,"tracker_id":40,"status_id":1,"priority_id":2,"assigned_to_id":23,"start_date":"2016-12-06","description":"","custom_fields":[{"id":1,"name":"Subdivision","value":"EC"},{"id":4,"name":"Milepost","value":"23.3255"},{"id":17,"name":"Train ID","value":"177-06"},{"id":16,"name":"Locomotive ID","value":"4011"},{"id":130,"name":"Impact","value":""},{"id":150,"name":"Time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562</v>
      </c>
      <c r="B85" s="7">
        <v>4012</v>
      </c>
      <c r="C85" s="22" t="s">
        <v>207</v>
      </c>
      <c r="D85" s="22" t="s">
        <v>696</v>
      </c>
      <c r="E85" s="13">
        <v>42710.58494212963</v>
      </c>
      <c r="F85" s="13">
        <v>42710.591226851851</v>
      </c>
      <c r="G85" s="7">
        <v>2</v>
      </c>
      <c r="H85" s="22" t="s">
        <v>193</v>
      </c>
      <c r="I85" s="13">
        <v>42710.619606481479</v>
      </c>
      <c r="J85" s="7">
        <v>0</v>
      </c>
      <c r="K85" s="109" t="str">
        <f t="shared" si="23"/>
        <v>4011/4012</v>
      </c>
      <c r="L85" s="22" t="str">
        <f>VLOOKUP(A85,'Trips&amp;Operators'!$C$1:$G$99999,5,FALSE)</f>
        <v>MAHAN DUANE</v>
      </c>
      <c r="M85" s="6">
        <f t="shared" si="24"/>
        <v>2.8379629628034309E-2</v>
      </c>
      <c r="N85" s="7">
        <f t="shared" si="21"/>
        <v>40.866666664369404</v>
      </c>
      <c r="O85" s="7"/>
      <c r="P85" s="7"/>
      <c r="Q85" s="23"/>
      <c r="R85" s="23"/>
      <c r="S85" s="35">
        <f t="shared" si="22"/>
        <v>1</v>
      </c>
      <c r="T85" s="50" t="str">
        <f t="shared" si="25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13:02:19-700',mode:absolute,to:'2016-12-06 15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52" t="str">
        <f t="shared" si="27"/>
        <v>N</v>
      </c>
      <c r="X85" s="177">
        <f t="shared" si="28"/>
        <v>1</v>
      </c>
      <c r="Y85" s="67">
        <f t="shared" si="29"/>
        <v>23.295000000000002</v>
      </c>
      <c r="Z85" s="67">
        <f t="shared" si="30"/>
        <v>1.43E-2</v>
      </c>
      <c r="AA85" s="67">
        <f t="shared" si="31"/>
        <v>23.280700000000003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2"/>
        <v>0178-06</v>
      </c>
      <c r="AE85" s="91" t="str">
        <f t="shared" si="33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85" s="88" t="str">
        <f t="shared" si="34"/>
        <v>"C:\Program Files (x86)\AstroGrep\AstroGrep.exe" /spath="%USERPROFILE%\AppData\Local\Temp\OnboardLogs" /stypes="app*4012*20161206*"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92" t="str">
        <f t="shared" si="36"/>
        <v>"%USERPROFILE%\Documents\GitHub\eaglep3\Utilities\RefineRTDCRunTimes.py" --tripid 178-06 --locoid 4012 --swversion DE.1.0.8.0 --startMP 204:232950 --initTime 2016-12-06T14:02:19 --startdatetime 2016-12-06T14:11:22 --delay 2 --endMP 204:143 --enddatetime 2016-12-06T14:52:14 --enforcementcount 0 &gt;&gt;C:\Users\stu\Documents\GitHub\eaglep3-reporting\EC\2016-12-06-refined-times.txt</v>
      </c>
      <c r="AI8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ID","value":"178-06"},{"id":16,"name":"Locomotive ID","value":"4012"},{"id":130,"name":"Impact","value":""},{"id":150,"name":"Time of Event (Mountain Time)","value":"14:52:14"},{"id":151,"name":"Denver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556</v>
      </c>
      <c r="B86" s="7">
        <v>4044</v>
      </c>
      <c r="C86" s="22" t="s">
        <v>207</v>
      </c>
      <c r="D86" s="22" t="s">
        <v>280</v>
      </c>
      <c r="E86" s="13">
        <v>42710.558587962965</v>
      </c>
      <c r="F86" s="13">
        <v>42710.559537037036</v>
      </c>
      <c r="G86" s="7">
        <v>1</v>
      </c>
      <c r="H86" s="22" t="s">
        <v>697</v>
      </c>
      <c r="I86" s="13">
        <v>42710.572233796294</v>
      </c>
      <c r="J86" s="7">
        <v>0</v>
      </c>
      <c r="K86" s="109" t="str">
        <f t="shared" si="23"/>
        <v>4043/4044</v>
      </c>
      <c r="L86" s="22" t="str">
        <f>VLOOKUP(A86,'Trips&amp;Operators'!$C$1:$G$99999,5,FALSE)</f>
        <v>BARTLETT KIANDRA</v>
      </c>
      <c r="M86" s="6">
        <f t="shared" si="24"/>
        <v>1.2696759258687962E-2</v>
      </c>
      <c r="N86" s="7"/>
      <c r="O86" s="7"/>
      <c r="P86" s="7">
        <f>24*60*SUM($M86:$M87)</f>
        <v>38.033333328785375</v>
      </c>
      <c r="Q86" s="23"/>
      <c r="R86" s="23" t="s">
        <v>840</v>
      </c>
      <c r="S86" s="35">
        <f>SUM(U86:U87)/IF(AG86="EC",12,1)</f>
        <v>0.91666666666666663</v>
      </c>
      <c r="T86" s="50" t="str">
        <f t="shared" si="25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9</v>
      </c>
      <c r="V8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12:24:22-700',mode:absolute,to:'2016-12-06 14:44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6" s="52" t="str">
        <f t="shared" si="27"/>
        <v>Y</v>
      </c>
      <c r="X86" s="177">
        <f t="shared" si="28"/>
        <v>1</v>
      </c>
      <c r="Y86" s="67">
        <f t="shared" si="29"/>
        <v>4.3799999999999999E-2</v>
      </c>
      <c r="Z86" s="67">
        <f t="shared" si="30"/>
        <v>6.4604999999999997</v>
      </c>
      <c r="AA86" s="67">
        <f t="shared" si="31"/>
        <v>6.4166999999999996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2"/>
        <v>0179-06</v>
      </c>
      <c r="AE86" s="91" t="str">
        <f t="shared" si="33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6" s="88" t="str">
        <f t="shared" si="34"/>
        <v>"C:\Program Files (x86)\AstroGrep\AstroGrep.exe" /spath="%USERPROFILE%\AppData\Local\Temp\OnboardLogs" /stypes="app*4044*20161206*"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92" t="str">
        <f t="shared" si="36"/>
        <v>"%USERPROFILE%\Documents\GitHub\eaglep3\Utilities\RefineRTDCRunTimes.py" --tripid 179-06 --locoid 4044 --swversion DE.1.0.8.0 --startMP 204:438 --initTime 2016-12-06T13:24:22 --startdatetime 2016-12-06T13:25:44 --delay 1 --endMP 204:64605 --enddatetime 2016-12-06T13:44:01 --enforcementcount 0 &gt;&gt;C:\Users\stu\Documents\GitHub\eaglep3-reporting\EC\2016-12-06-refined-times.txt</v>
      </c>
      <c r="AI86" s="119" t="str">
        <f t="shared" si="37"/>
        <v>echo {"issue":{"subject":"Onboard in-route failure","project_id":79,"tracker_id":40,"status_id":1,"priority_id":2,"assigned_to_id":23,"start_date":"2016-12-06","description":"","custom_fields":[{"id":1,"name":"Subdivision","value":"EC"},{"id":4,"name":"Milepost","value":"6.4605"},{"id":17,"name":"Train ID","value":"179-06"},{"id":16,"name":"Locomotive ID","value":"4044"},{"id":130,"name":"Impact","value":""},{"id":150,"name":"Time of Event (Mountain Time)","value":"13:44:01"},{"id":151,"name":"Denver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556</v>
      </c>
      <c r="B87" s="7">
        <v>4044</v>
      </c>
      <c r="C87" s="22" t="s">
        <v>207</v>
      </c>
      <c r="D87" s="22" t="s">
        <v>698</v>
      </c>
      <c r="E87" s="13">
        <v>42710.575196759259</v>
      </c>
      <c r="F87" s="13">
        <v>42710.575868055559</v>
      </c>
      <c r="G87" s="7">
        <v>0</v>
      </c>
      <c r="H87" s="22" t="s">
        <v>699</v>
      </c>
      <c r="I87" s="13">
        <v>42710.589583333334</v>
      </c>
      <c r="J87" s="7">
        <v>0</v>
      </c>
      <c r="K87" s="109" t="str">
        <f t="shared" si="23"/>
        <v>4043/4044</v>
      </c>
      <c r="L87" s="22" t="str">
        <f>VLOOKUP(A87,'Trips&amp;Operators'!$C$1:$G$99999,5,FALSE)</f>
        <v>BARTLETT KIANDRA</v>
      </c>
      <c r="M87" s="6">
        <f t="shared" si="24"/>
        <v>1.3715277775190771E-2</v>
      </c>
      <c r="N87" s="7"/>
      <c r="O87" s="7"/>
      <c r="P87" s="7"/>
      <c r="Q87" s="23"/>
      <c r="R87" s="23"/>
      <c r="S87" s="35"/>
      <c r="T87" s="50" t="str">
        <f t="shared" si="25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2</v>
      </c>
      <c r="V8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12:48:17-700',mode:absolute,to:'2016-12-06 15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2" t="str">
        <f t="shared" si="27"/>
        <v>Y</v>
      </c>
      <c r="X87" s="177">
        <f t="shared" si="28"/>
        <v>0</v>
      </c>
      <c r="Y87" s="67">
        <f t="shared" si="29"/>
        <v>8.6367999999999991</v>
      </c>
      <c r="Z87" s="67">
        <f t="shared" si="30"/>
        <v>23.334</v>
      </c>
      <c r="AA87" s="67">
        <f t="shared" si="31"/>
        <v>14.6972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2"/>
        <v>0179-06</v>
      </c>
      <c r="AE87" s="91" t="str">
        <f t="shared" si="33"/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AF87" s="88" t="str">
        <f t="shared" si="34"/>
        <v>"C:\Program Files (x86)\AstroGrep\AstroGrep.exe" /spath="%USERPROFILE%\AppData\Local\Temp\OnboardLogs" /stypes="app*4044*20161206*"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92" t="str">
        <f t="shared" si="36"/>
        <v>"%USERPROFILE%\Documents\GitHub\eaglep3\Utilities\RefineRTDCRunTimes.py" --tripid 179-06 --locoid 4044 --swversion DE.1.0.8.0 --startMP 204:86368 --initTime 2016-12-06T13:48:17 --startdatetime 2016-12-06T13:49:15 --delay 0 --endMP 204:233340 --enddatetime 2016-12-06T14:09:00 --enforcementcount 0 &gt;&gt;C:\Users\stu\Documents\GitHub\eaglep3-reporting\EC\2016-12-06-refined-times.txt</v>
      </c>
      <c r="AI8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{"issue":{"subject":"","project_id":79,"tracker_id":40,"status_id":1,"priority_id":2,"assigned_to_id":23,"start_date":"2016-12-06","description":"","custom_fields":[{"id":1,"name":"Subdivision","value":"EC"},{"id":4,"name":"Milepost","value":"23.334"},{"id":17,"name":"Train ID","value":"179-06"},{"id":16,"name":"Locomotive ID","value":"4044"},{"id":130,"name":"Impact","value":""},{"id":150,"name":"Time of Event (Mountain Time)","value":"14:09:00"},{"id":151,"name":"Denver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442</v>
      </c>
      <c r="B88" s="7">
        <v>4043</v>
      </c>
      <c r="C88" s="22" t="s">
        <v>207</v>
      </c>
      <c r="D88" s="22" t="s">
        <v>700</v>
      </c>
      <c r="E88" s="13">
        <v>42710.591319444444</v>
      </c>
      <c r="F88" s="13">
        <v>42710.601574074077</v>
      </c>
      <c r="G88" s="7">
        <v>1</v>
      </c>
      <c r="H88" s="22" t="s">
        <v>701</v>
      </c>
      <c r="I88" s="13">
        <v>42710.628391203703</v>
      </c>
      <c r="J88" s="7">
        <v>0</v>
      </c>
      <c r="K88" s="109" t="str">
        <f t="shared" si="23"/>
        <v>4043/4044</v>
      </c>
      <c r="L88" s="22" t="str">
        <f>VLOOKUP(A88,'Trips&amp;Operators'!$C$1:$G$99999,5,FALSE)</f>
        <v>BARTLETT KIANDRA</v>
      </c>
      <c r="M88" s="6">
        <f t="shared" si="24"/>
        <v>2.6817129626579117E-2</v>
      </c>
      <c r="N88" s="7">
        <f t="shared" si="21"/>
        <v>38.616666662273929</v>
      </c>
      <c r="O88" s="7"/>
      <c r="P88" s="7"/>
      <c r="Q88" s="23"/>
      <c r="R88" s="23"/>
      <c r="S88" s="35">
        <f t="shared" si="22"/>
        <v>1</v>
      </c>
      <c r="T88" s="50" t="str">
        <f t="shared" si="25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8" s="52" t="str">
        <f t="shared" si="27"/>
        <v>N</v>
      </c>
      <c r="X88" s="177">
        <f t="shared" si="28"/>
        <v>1</v>
      </c>
      <c r="Y88" s="67">
        <f t="shared" si="29"/>
        <v>23.305299999999999</v>
      </c>
      <c r="Z88" s="67">
        <f t="shared" si="30"/>
        <v>0.105</v>
      </c>
      <c r="AA88" s="67">
        <f t="shared" si="31"/>
        <v>23.200299999999999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2"/>
        <v>0180-06</v>
      </c>
      <c r="AE88" s="91" t="str">
        <f t="shared" si="33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88" s="88" t="str">
        <f t="shared" si="34"/>
        <v>"C:\Program Files (x86)\AstroGrep\AstroGrep.exe" /spath="%USERPROFILE%\AppData\Local\Temp\OnboardLogs" /stypes="app*4043*20161206*" /stext=" 22:.+((SYSTEM_STATE.+slice.+state.+changed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92" t="str">
        <f t="shared" si="36"/>
        <v>"%USERPROFILE%\Documents\GitHub\eaglep3\Utilities\RefineRTDCRunTimes.py" --tripid 180-06 --locoid 4043 --swversion DE.1.0.8.0 --startMP 204:233053 --initTime 2016-12-06T14:11:30 --startdatetime 2016-12-06T14:26:16 --delay 1 --endMP 204:1050 --enddatetime 2016-12-06T15:04:53 --enforcementcount 0 &gt;&gt;C:\Users\stu\Documents\GitHub\eaglep3-reporting\EC\2016-12-06-refined-times.txt</v>
      </c>
      <c r="AI8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{"issue":{"subject":"","project_id":79,"tracker_id":40,"status_id":1,"priority_id":2,"assigned_to_id":23,"start_date":"2016-12-06","description":"","custom_fields":[{"id":1,"name":"Subdivision","value":"EC"},{"id":4,"name":"Milepost","value":"0.105"},{"id":17,"name":"Train ID","value":"180-06"},{"id":16,"name":"Locomotive ID","value":"4043"},{"id":130,"name":"Impact","value":""},{"id":150,"name":"Time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558</v>
      </c>
      <c r="B89" s="7">
        <v>4029</v>
      </c>
      <c r="C89" s="22" t="s">
        <v>207</v>
      </c>
      <c r="D89" s="22" t="s">
        <v>702</v>
      </c>
      <c r="E89" s="13">
        <v>42710.569328703707</v>
      </c>
      <c r="F89" s="13">
        <v>42710.573136574072</v>
      </c>
      <c r="G89" s="7">
        <v>2</v>
      </c>
      <c r="H89" s="22" t="s">
        <v>343</v>
      </c>
      <c r="I89" s="13">
        <v>42710.59847222222</v>
      </c>
      <c r="J89" s="7">
        <v>0</v>
      </c>
      <c r="K89" s="109" t="str">
        <f t="shared" si="23"/>
        <v>4029/4030</v>
      </c>
      <c r="L89" s="22" t="str">
        <f>VLOOKUP(A89,'Trips&amp;Operators'!$C$1:$G$99999,5,FALSE)</f>
        <v>STEWART MICHAEL</v>
      </c>
      <c r="M89" s="6">
        <f t="shared" si="24"/>
        <v>2.5335648148029577E-2</v>
      </c>
      <c r="N89" s="7">
        <f t="shared" si="21"/>
        <v>36.483333333162591</v>
      </c>
      <c r="O89" s="7"/>
      <c r="P89" s="7"/>
      <c r="Q89" s="23"/>
      <c r="R89" s="23"/>
      <c r="S89" s="35">
        <f t="shared" si="22"/>
        <v>1</v>
      </c>
      <c r="T89" s="50" t="str">
        <f t="shared" si="25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12:39:50-700',mode:absolute,to:'2016-12-06 15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9" s="52" t="str">
        <f t="shared" si="27"/>
        <v>N</v>
      </c>
      <c r="X89" s="177">
        <f t="shared" si="28"/>
        <v>1</v>
      </c>
      <c r="Y89" s="67">
        <f t="shared" si="29"/>
        <v>4.3099999999999999E-2</v>
      </c>
      <c r="Z89" s="67">
        <f t="shared" si="30"/>
        <v>23.3278</v>
      </c>
      <c r="AA89" s="67">
        <f t="shared" si="31"/>
        <v>23.284700000000001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2"/>
        <v>0181-06</v>
      </c>
      <c r="AE89" s="91" t="str">
        <f t="shared" si="33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89" s="88" t="str">
        <f t="shared" si="34"/>
        <v>"C:\Program Files (x86)\AstroGrep\AstroGrep.exe" /spath="%USERPROFILE%\AppData\Local\Temp\OnboardLogs" /stypes="app*4029*20161206*"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92" t="str">
        <f t="shared" si="36"/>
        <v>"%USERPROFILE%\Documents\GitHub\eaglep3\Utilities\RefineRTDCRunTimes.py" --tripid 181-06 --locoid 4029 --swversion DE.1.0.8.0 --startMP 204:431 --initTime 2016-12-06T13:39:50 --startdatetime 2016-12-06T13:45:19 --delay 2 --endMP 204:233278 --enddatetime 2016-12-06T14:21:48 --enforcementcount 0 &gt;&gt;C:\Users\stu\Documents\GitHub\eaglep3-reporting\EC\2016-12-06-refined-times.txt</v>
      </c>
      <c r="AI8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{"issue":{"subject":"","project_id":79,"tracker_id":40,"status_id":1,"priority_id":2,"assigned_to_id":23,"start_date":"2016-12-06","description":"","custom_fields":[{"id":1,"name":"Subdivision","value":"EC"},{"id":4,"name":"Milepost","value":"23.3278"},{"id":17,"name":"Train ID","value":"181-06"},{"id":16,"name":"Locomotive ID","value":"4029"},{"id":130,"name":"Impact","value":""},{"id":150,"name":"Time of Event (Mountain Time)","value":"14:21:48"},{"id":151,"name":"Denver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565</v>
      </c>
      <c r="B90" s="7">
        <v>4030</v>
      </c>
      <c r="C90" s="22" t="s">
        <v>207</v>
      </c>
      <c r="D90" s="22" t="s">
        <v>313</v>
      </c>
      <c r="E90" s="13">
        <v>42710.60800925926</v>
      </c>
      <c r="F90" s="13">
        <v>42710.646331018521</v>
      </c>
      <c r="G90" s="7">
        <v>3</v>
      </c>
      <c r="H90" s="22" t="s">
        <v>240</v>
      </c>
      <c r="I90" s="13">
        <v>42710.670624999999</v>
      </c>
      <c r="J90" s="7">
        <v>0</v>
      </c>
      <c r="K90" s="109" t="str">
        <f t="shared" si="23"/>
        <v>4029/4030</v>
      </c>
      <c r="L90" s="22" t="str">
        <f>VLOOKUP(A90,'Trips&amp;Operators'!$C$1:$G$99999,5,FALSE)</f>
        <v>STEWART MICHAEL</v>
      </c>
      <c r="M90" s="6">
        <f t="shared" si="24"/>
        <v>2.4293981477967463E-2</v>
      </c>
      <c r="N90" s="7">
        <f t="shared" si="21"/>
        <v>34.983333328273147</v>
      </c>
      <c r="O90" s="7"/>
      <c r="P90" s="7"/>
      <c r="Q90" s="23"/>
      <c r="R90" s="23"/>
      <c r="S90" s="35">
        <f t="shared" si="22"/>
        <v>1</v>
      </c>
      <c r="T90" s="50" t="str">
        <f t="shared" si="25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13:35:32-700',mode:absolute,to:'2016-12-06 17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0" s="52" t="str">
        <f t="shared" si="27"/>
        <v>N</v>
      </c>
      <c r="X90" s="177">
        <f t="shared" si="28"/>
        <v>1</v>
      </c>
      <c r="Y90" s="67">
        <f t="shared" si="29"/>
        <v>23.296700000000001</v>
      </c>
      <c r="Z90" s="67">
        <f t="shared" si="30"/>
        <v>1.61E-2</v>
      </c>
      <c r="AA90" s="67">
        <f t="shared" si="31"/>
        <v>23.2806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2"/>
        <v>0182-06</v>
      </c>
      <c r="AE90" s="91" t="str">
        <f t="shared" si="33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90" s="88" t="str">
        <f t="shared" si="34"/>
        <v>"C:\Program Files (x86)\AstroGrep\AstroGrep.exe" /spath="%USERPROFILE%\AppData\Local\Temp\OnboardLogs" /stypes="app*4030*20161206*" /stext=" 23:.+((SYSTEM_STATE.+slice.+state.+changed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92" t="str">
        <f t="shared" si="36"/>
        <v>"%USERPROFILE%\Documents\GitHub\eaglep3\Utilities\RefineRTDCRunTimes.py" --tripid 182-06 --locoid 4030 --swversion DE.1.0.8.0 --startMP 204:232967 --initTime 2016-12-06T14:35:32 --startdatetime 2016-12-06T15:30:43 --delay 3 --endMP 204:161 --enddatetime 2016-12-06T16:05:42 --enforcementcount 0 &gt;&gt;C:\Users\stu\Documents\GitHub\eaglep3-reporting\EC\2016-12-06-refined-times.txt</v>
      </c>
      <c r="AI9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ID","value":"182-06"},{"id":16,"name":"Locomotive ID","value":"4030"},{"id":130,"name":"Impact","value":""},{"id":150,"name":"Time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559</v>
      </c>
      <c r="B91" s="7">
        <v>4031</v>
      </c>
      <c r="C91" s="22" t="s">
        <v>207</v>
      </c>
      <c r="D91" s="22" t="s">
        <v>387</v>
      </c>
      <c r="E91" s="13">
        <v>42710.577199074076</v>
      </c>
      <c r="F91" s="13">
        <v>42710.583587962959</v>
      </c>
      <c r="G91" s="7">
        <v>1</v>
      </c>
      <c r="H91" s="22" t="s">
        <v>345</v>
      </c>
      <c r="I91" s="13">
        <v>42710.608194444445</v>
      </c>
      <c r="J91" s="7">
        <v>0</v>
      </c>
      <c r="K91" s="109" t="str">
        <f t="shared" si="23"/>
        <v>4031/4032</v>
      </c>
      <c r="L91" s="22" t="str">
        <f>VLOOKUP(A91,'Trips&amp;Operators'!$C$1:$G$99999,5,FALSE)</f>
        <v>BONDS REYNALDO</v>
      </c>
      <c r="M91" s="6">
        <f t="shared" si="24"/>
        <v>2.4606481485534459E-2</v>
      </c>
      <c r="N91" s="7">
        <f t="shared" si="21"/>
        <v>35.433333339169621</v>
      </c>
      <c r="O91" s="7"/>
      <c r="P91" s="7"/>
      <c r="Q91" s="23"/>
      <c r="R91" s="23"/>
      <c r="S91" s="35">
        <f t="shared" si="22"/>
        <v>1</v>
      </c>
      <c r="T91" s="50" t="str">
        <f t="shared" si="25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12:51:10-700',mode:absolute,to:'2016-12-06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27"/>
        <v>N</v>
      </c>
      <c r="X91" s="177">
        <f t="shared" si="28"/>
        <v>1</v>
      </c>
      <c r="Y91" s="67">
        <f t="shared" si="29"/>
        <v>4.8899999999999999E-2</v>
      </c>
      <c r="Z91" s="67">
        <f t="shared" si="30"/>
        <v>23.332100000000001</v>
      </c>
      <c r="AA91" s="67">
        <f t="shared" si="31"/>
        <v>23.283200000000001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2"/>
        <v>0183-06</v>
      </c>
      <c r="AE91" s="91" t="str">
        <f t="shared" si="33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91" s="88" t="str">
        <f t="shared" si="34"/>
        <v>"C:\Program Files (x86)\AstroGrep\AstroGrep.exe" /spath="%USERPROFILE%\AppData\Local\Temp\OnboardLogs" /stypes="app*4031*20161206*"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92" t="str">
        <f t="shared" si="36"/>
        <v>"%USERPROFILE%\Documents\GitHub\eaglep3\Utilities\RefineRTDCRunTimes.py" --tripid 183-06 --locoid 4031 --swversion DE.1.0.8.0 --startMP 204:489 --initTime 2016-12-06T13:51:10 --startdatetime 2016-12-06T14:00:22 --delay 1 --endMP 204:233321 --enddatetime 2016-12-06T14:35:48 --enforcementcount 0 &gt;&gt;C:\Users\stu\Documents\GitHub\eaglep3-reporting\EC\2016-12-06-refined-times.txt</v>
      </c>
      <c r="AI9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{"issue":{"subject":"","project_id":79,"tracker_id":40,"status_id":1,"priority_id":2,"assigned_to_id":23,"start_date":"2016-12-06","description":"","custom_fields":[{"id":1,"name":"Subdivision","value":"EC"},{"id":4,"name":"Milepost","value":"23.3321"},{"id":17,"name":"Train ID","value":"183-06"},{"id":16,"name":"Locomotive ID","value":"4031"},{"id":130,"name":"Impact","value":""},{"id":150,"name":"Time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568</v>
      </c>
      <c r="B92" s="7">
        <v>4032</v>
      </c>
      <c r="C92" s="22" t="s">
        <v>207</v>
      </c>
      <c r="D92" s="22" t="s">
        <v>673</v>
      </c>
      <c r="E92" s="13">
        <v>42710.616840277777</v>
      </c>
      <c r="F92" s="13">
        <v>42710.622465277775</v>
      </c>
      <c r="G92" s="7">
        <v>1</v>
      </c>
      <c r="H92" s="22" t="s">
        <v>252</v>
      </c>
      <c r="I92" s="13">
        <v>42710.649317129632</v>
      </c>
      <c r="J92" s="7">
        <v>0</v>
      </c>
      <c r="K92" s="109" t="str">
        <f t="shared" si="23"/>
        <v>4031/4032</v>
      </c>
      <c r="L92" s="22" t="str">
        <f>VLOOKUP(A92,'Trips&amp;Operators'!$C$1:$G$99999,5,FALSE)</f>
        <v>BONDS REYNALDO</v>
      </c>
      <c r="M92" s="6">
        <f t="shared" si="24"/>
        <v>2.6851851856918074E-2</v>
      </c>
      <c r="N92" s="7">
        <f t="shared" si="21"/>
        <v>38.666666673962027</v>
      </c>
      <c r="O92" s="7"/>
      <c r="P92" s="7"/>
      <c r="Q92" s="23"/>
      <c r="R92" s="23"/>
      <c r="S92" s="35">
        <f t="shared" si="22"/>
        <v>1</v>
      </c>
      <c r="T92" s="50" t="str">
        <f t="shared" si="25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13:48:15-700',mode:absolute,to:'2016-12-06 16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27"/>
        <v>N</v>
      </c>
      <c r="X92" s="177">
        <f t="shared" si="28"/>
        <v>1</v>
      </c>
      <c r="Y92" s="67">
        <f t="shared" si="29"/>
        <v>23.299800000000001</v>
      </c>
      <c r="Z92" s="67">
        <f t="shared" si="30"/>
        <v>1.4500000000000001E-2</v>
      </c>
      <c r="AA92" s="67">
        <f t="shared" si="31"/>
        <v>23.285299999999999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2"/>
        <v>0184-06</v>
      </c>
      <c r="AE92" s="91" t="str">
        <f t="shared" si="33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92" s="88" t="str">
        <f t="shared" si="34"/>
        <v>"C:\Program Files (x86)\AstroGrep\AstroGrep.exe" /spath="%USERPROFILE%\AppData\Local\Temp\OnboardLogs" /stypes="app*4032*20161206*"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92" t="str">
        <f t="shared" si="36"/>
        <v>"%USERPROFILE%\Documents\GitHub\eaglep3\Utilities\RefineRTDCRunTimes.py" --tripid 184-06 --locoid 4032 --swversion DE.1.0.8.0 --startMP 204:232998 --initTime 2016-12-06T14:48:15 --startdatetime 2016-12-06T14:56:21 --delay 1 --endMP 204:145 --enddatetime 2016-12-06T15:35:01 --enforcementcount 0 &gt;&gt;C:\Users\stu\Documents\GitHub\eaglep3-reporting\EC\2016-12-06-refined-times.txt</v>
      </c>
      <c r="AI9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ID","value":"184-06"},{"id":16,"name":"Locomotive ID","value":"4032"},{"id":130,"name":"Impact","value":""},{"id":150,"name":"Time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563</v>
      </c>
      <c r="B93" s="7">
        <v>4018</v>
      </c>
      <c r="C93" s="22" t="s">
        <v>207</v>
      </c>
      <c r="D93" s="22" t="s">
        <v>253</v>
      </c>
      <c r="E93" s="13">
        <v>42710.592141203706</v>
      </c>
      <c r="F93" s="13">
        <v>42710.594039351854</v>
      </c>
      <c r="G93" s="7">
        <v>1</v>
      </c>
      <c r="H93" s="22" t="s">
        <v>662</v>
      </c>
      <c r="I93" s="13">
        <v>42710.620254629626</v>
      </c>
      <c r="J93" s="7">
        <v>0</v>
      </c>
      <c r="K93" s="109" t="str">
        <f t="shared" si="23"/>
        <v>4017/4018</v>
      </c>
      <c r="L93" s="22" t="str">
        <f>VLOOKUP(A93,'Trips&amp;Operators'!$C$1:$G$99999,5,FALSE)</f>
        <v>CLARK KATHLEEN</v>
      </c>
      <c r="M93" s="6">
        <f t="shared" si="24"/>
        <v>2.6215277772280388E-2</v>
      </c>
      <c r="N93" s="7">
        <f t="shared" si="21"/>
        <v>37.749999992083758</v>
      </c>
      <c r="O93" s="7"/>
      <c r="P93" s="7"/>
      <c r="Q93" s="23"/>
      <c r="R93" s="23"/>
      <c r="S93" s="35">
        <f t="shared" si="22"/>
        <v>1</v>
      </c>
      <c r="T93" s="50" t="str">
        <f t="shared" si="25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13:12:41-700',mode:absolute,to:'2016-12-06 15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3" s="52" t="str">
        <f t="shared" si="27"/>
        <v>N</v>
      </c>
      <c r="X93" s="177">
        <f t="shared" si="28"/>
        <v>1</v>
      </c>
      <c r="Y93" s="67">
        <f t="shared" si="29"/>
        <v>4.6699999999999998E-2</v>
      </c>
      <c r="Z93" s="67">
        <f t="shared" si="30"/>
        <v>23.330500000000001</v>
      </c>
      <c r="AA93" s="67">
        <f t="shared" si="31"/>
        <v>23.283799999999999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2"/>
        <v>0185-06</v>
      </c>
      <c r="AE93" s="91" t="str">
        <f t="shared" si="33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93" s="88" t="str">
        <f t="shared" si="34"/>
        <v>"C:\Program Files (x86)\AstroGrep\AstroGrep.exe" /spath="%USERPROFILE%\AppData\Local\Temp\OnboardLogs" /stypes="app*4018*20161206*"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92" t="str">
        <f t="shared" si="36"/>
        <v>"%USERPROFILE%\Documents\GitHub\eaglep3\Utilities\RefineRTDCRunTimes.py" --tripid 185-06 --locoid 4018 --swversion DE.1.0.8.0 --startMP 204:467 --initTime 2016-12-06T14:12:41 --startdatetime 2016-12-06T14:15:25 --delay 1 --endMP 204:233305 --enddatetime 2016-12-06T14:53:10 --enforcementcount 0 &gt;&gt;C:\Users\stu\Documents\GitHub\eaglep3-reporting\EC\2016-12-06-refined-times.txt</v>
      </c>
      <c r="AI9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ID","value":"185-06"},{"id":16,"name":"Locomotive ID","value":"4018"},{"id":130,"name":"Impact","value":""},{"id":150,"name":"Time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570</v>
      </c>
      <c r="B94" s="7">
        <v>4017</v>
      </c>
      <c r="C94" s="22" t="s">
        <v>207</v>
      </c>
      <c r="D94" s="22" t="s">
        <v>312</v>
      </c>
      <c r="E94" s="13">
        <v>42710.625138888892</v>
      </c>
      <c r="F94" s="13">
        <v>42710.632800925923</v>
      </c>
      <c r="G94" s="7">
        <v>1</v>
      </c>
      <c r="H94" s="22" t="s">
        <v>205</v>
      </c>
      <c r="I94" s="13">
        <v>42710.661979166667</v>
      </c>
      <c r="J94" s="7">
        <v>0</v>
      </c>
      <c r="K94" s="109" t="str">
        <f t="shared" si="23"/>
        <v>4017/4018</v>
      </c>
      <c r="L94" s="22" t="str">
        <f>VLOOKUP(A94,'Trips&amp;Operators'!$C$1:$G$99999,5,FALSE)</f>
        <v>CLARK KATHLEEN</v>
      </c>
      <c r="M94" s="6">
        <f t="shared" si="24"/>
        <v>2.9178240743931383E-2</v>
      </c>
      <c r="N94" s="7">
        <f t="shared" si="21"/>
        <v>42.016666671261191</v>
      </c>
      <c r="O94" s="7"/>
      <c r="P94" s="7"/>
      <c r="Q94" s="23"/>
      <c r="R94" s="23"/>
      <c r="S94" s="35">
        <f t="shared" si="22"/>
        <v>1</v>
      </c>
      <c r="T94" s="50" t="str">
        <f t="shared" si="25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14:00:12-700',mode:absolute,to:'2016-12-06 16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4" s="52" t="str">
        <f t="shared" si="27"/>
        <v>N</v>
      </c>
      <c r="X94" s="177">
        <f t="shared" si="28"/>
        <v>1</v>
      </c>
      <c r="Y94" s="67">
        <f t="shared" si="29"/>
        <v>23.297799999999999</v>
      </c>
      <c r="Z94" s="67">
        <f t="shared" si="30"/>
        <v>1.5599999999999999E-2</v>
      </c>
      <c r="AA94" s="67">
        <f t="shared" si="31"/>
        <v>23.2822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2"/>
        <v>0186-06</v>
      </c>
      <c r="AE94" s="91" t="str">
        <f t="shared" si="33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94" s="88" t="str">
        <f t="shared" si="34"/>
        <v>"C:\Program Files (x86)\AstroGrep\AstroGrep.exe" /spath="%USERPROFILE%\AppData\Local\Temp\OnboardLogs" /stypes="app*4017*20161206*"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92" t="str">
        <f t="shared" si="36"/>
        <v>"%USERPROFILE%\Documents\GitHub\eaglep3\Utilities\RefineRTDCRunTimes.py" --tripid 186-06 --locoid 4017 --swversion DE.1.0.8.0 --startMP 204:232978 --initTime 2016-12-06T15:00:12 --startdatetime 2016-12-06T15:11:14 --delay 1 --endMP 204:156 --enddatetime 2016-12-06T15:53:15 --enforcementcount 0 &gt;&gt;C:\Users\stu\Documents\GitHub\eaglep3-reporting\EC\2016-12-06-refined-times.txt</v>
      </c>
      <c r="AI9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ID","value":"186-06"},{"id":16,"name":"Locomotive ID","value":"4017"},{"id":130,"name":"Impact","value":""},{"id":150,"name":"Time of Event (Mountain Time)","value":"15:53:15"},{"id":151,"name":"Denver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443</v>
      </c>
      <c r="B95" s="7">
        <v>4016</v>
      </c>
      <c r="C95" s="22" t="s">
        <v>207</v>
      </c>
      <c r="D95" s="22" t="s">
        <v>194</v>
      </c>
      <c r="E95" s="13">
        <v>42710.600486111114</v>
      </c>
      <c r="F95" s="13">
        <v>42710.604756944442</v>
      </c>
      <c r="G95" s="7">
        <v>6</v>
      </c>
      <c r="H95" s="22" t="s">
        <v>703</v>
      </c>
      <c r="I95" s="13">
        <v>42710.629745370374</v>
      </c>
      <c r="J95" s="7">
        <v>0</v>
      </c>
      <c r="K95" s="109" t="str">
        <f t="shared" si="23"/>
        <v>4015/4016</v>
      </c>
      <c r="L95" s="22" t="str">
        <f>VLOOKUP(A95,'Trips&amp;Operators'!$C$1:$G$99999,5,FALSE)</f>
        <v>STORY SAMANTHA</v>
      </c>
      <c r="M95" s="6">
        <f t="shared" si="24"/>
        <v>2.4988425931951497E-2</v>
      </c>
      <c r="N95" s="7">
        <f t="shared" si="21"/>
        <v>35.983333342010155</v>
      </c>
      <c r="O95" s="7"/>
      <c r="P95" s="7"/>
      <c r="Q95" s="23"/>
      <c r="R95" s="23"/>
      <c r="S95" s="35">
        <f t="shared" si="22"/>
        <v>1</v>
      </c>
      <c r="T95" s="50" t="str">
        <f t="shared" si="25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5" s="52" t="str">
        <f t="shared" si="27"/>
        <v>N</v>
      </c>
      <c r="X95" s="177">
        <f t="shared" si="28"/>
        <v>1</v>
      </c>
      <c r="Y95" s="67">
        <f t="shared" si="29"/>
        <v>4.4699999999999997E-2</v>
      </c>
      <c r="Z95" s="67">
        <f t="shared" si="30"/>
        <v>23.316400000000002</v>
      </c>
      <c r="AA95" s="67">
        <f t="shared" si="31"/>
        <v>23.271700000000003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2"/>
        <v>0187-06</v>
      </c>
      <c r="AE95" s="91" t="str">
        <f t="shared" si="33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95" s="88" t="str">
        <f t="shared" si="34"/>
        <v>"C:\Program Files (x86)\AstroGrep\AstroGrep.exe" /spath="%USERPROFILE%\AppData\Local\Temp\OnboardLogs" /stypes="app*4016*20161206*"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92" t="str">
        <f t="shared" si="36"/>
        <v>"%USERPROFILE%\Documents\GitHub\eaglep3\Utilities\RefineRTDCRunTimes.py" --tripid 187-06 --locoid 4016 --swversion DE.1.0.8.0 --startMP 204:447 --initTime 2016-12-06T14:24:42 --startdatetime 2016-12-06T14:30:51 --delay 6 --endMP 204:233164 --enddatetime 2016-12-06T15:06:50 --enforcementcount 0 &gt;&gt;C:\Users\stu\Documents\GitHub\eaglep3-reporting\EC\2016-12-06-refined-times.txt</v>
      </c>
      <c r="AI9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{"issue":{"subject":"","project_id":79,"tracker_id":40,"status_id":1,"priority_id":2,"assigned_to_id":23,"start_date":"2016-12-06","description":"","custom_fields":[{"id":1,"name":"Subdivision","value":"EC"},{"id":4,"name":"Milepost","value":"23.3164"},{"id":17,"name":"Train ID","value":"187-06"},{"id":16,"name":"Locomotive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573</v>
      </c>
      <c r="B96" s="7">
        <v>4015</v>
      </c>
      <c r="C96" s="22" t="s">
        <v>207</v>
      </c>
      <c r="D96" s="22" t="s">
        <v>704</v>
      </c>
      <c r="E96" s="13">
        <v>42710.640104166669</v>
      </c>
      <c r="F96" s="13">
        <v>42710.643541666665</v>
      </c>
      <c r="G96" s="7">
        <v>4</v>
      </c>
      <c r="H96" s="22" t="s">
        <v>192</v>
      </c>
      <c r="I96" s="13">
        <v>42710.669618055559</v>
      </c>
      <c r="J96" s="7">
        <v>0</v>
      </c>
      <c r="K96" s="109" t="str">
        <f t="shared" si="23"/>
        <v>4015/4016</v>
      </c>
      <c r="L96" s="22" t="str">
        <f>VLOOKUP(A96,'Trips&amp;Operators'!$C$1:$G$99999,5,FALSE)</f>
        <v>STORY SAMANTHA</v>
      </c>
      <c r="M96" s="6">
        <f t="shared" si="24"/>
        <v>2.6076388894580305E-2</v>
      </c>
      <c r="N96" s="7">
        <f t="shared" si="21"/>
        <v>37.550000008195639</v>
      </c>
      <c r="O96" s="7"/>
      <c r="P96" s="7"/>
      <c r="Q96" s="23"/>
      <c r="R96" s="23"/>
      <c r="S96" s="35">
        <f t="shared" si="22"/>
        <v>1</v>
      </c>
      <c r="T96" s="50" t="str">
        <f t="shared" si="25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14:21:45-700',mode:absolute,to:'2016-12-06 17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6" s="52" t="str">
        <f t="shared" si="27"/>
        <v>N</v>
      </c>
      <c r="X96" s="177">
        <f t="shared" si="28"/>
        <v>1</v>
      </c>
      <c r="Y96" s="67">
        <f t="shared" si="29"/>
        <v>23.2849</v>
      </c>
      <c r="Z96" s="67">
        <f t="shared" si="30"/>
        <v>1.49E-2</v>
      </c>
      <c r="AA96" s="67">
        <f t="shared" si="31"/>
        <v>23.27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2"/>
        <v>0188-06</v>
      </c>
      <c r="AE96" s="91" t="str">
        <f t="shared" si="33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96" s="88" t="str">
        <f t="shared" si="34"/>
        <v>"C:\Program Files (x86)\AstroGrep\AstroGrep.exe" /spath="%USERPROFILE%\AppData\Local\Temp\OnboardLogs" /stypes="app*4015*20161206*" /stext=" 23:.+((SYSTEM_STATE.+slice.+state.+changed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92" t="str">
        <f t="shared" si="36"/>
        <v>"%USERPROFILE%\Documents\GitHub\eaglep3\Utilities\RefineRTDCRunTimes.py" --tripid 188-06 --locoid 4015 --swversion DE.1.0.8.0 --startMP 204:232849 --initTime 2016-12-06T15:21:45 --startdatetime 2016-12-06T15:26:42 --delay 4 --endMP 204:149 --enddatetime 2016-12-06T16:04:15 --enforcementcount 0 &gt;&gt;C:\Users\stu\Documents\GitHub\eaglep3-reporting\EC\2016-12-06-refined-times.txt</v>
      </c>
      <c r="AI96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ID","value":"188-06"},{"id":16,"name":"Locomotive ID","value":"4015"},{"id":130,"name":"Impact","value":""},{"id":150,"name":"Time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567</v>
      </c>
      <c r="B97" s="7">
        <v>4020</v>
      </c>
      <c r="C97" s="22" t="s">
        <v>207</v>
      </c>
      <c r="D97" s="22" t="s">
        <v>344</v>
      </c>
      <c r="E97" s="13">
        <v>42710.612430555557</v>
      </c>
      <c r="F97" s="13">
        <v>42710.614837962959</v>
      </c>
      <c r="G97" s="7">
        <v>1</v>
      </c>
      <c r="H97" s="22" t="s">
        <v>357</v>
      </c>
      <c r="I97" s="13">
        <v>42710.638773148145</v>
      </c>
      <c r="J97" s="7">
        <v>0</v>
      </c>
      <c r="K97" s="109" t="str">
        <f t="shared" si="23"/>
        <v>4019/4020</v>
      </c>
      <c r="L97" s="22" t="str">
        <f>VLOOKUP(A97,'Trips&amp;Operators'!$C$1:$G$99999,5,FALSE)</f>
        <v>HELVIE ADAM</v>
      </c>
      <c r="M97" s="6">
        <f t="shared" si="24"/>
        <v>2.3935185185109731E-2</v>
      </c>
      <c r="N97" s="7">
        <f t="shared" si="21"/>
        <v>34.466666666558012</v>
      </c>
      <c r="O97" s="7"/>
      <c r="P97" s="7"/>
      <c r="Q97" s="23"/>
      <c r="R97" s="23"/>
      <c r="S97" s="35">
        <f t="shared" si="22"/>
        <v>1</v>
      </c>
      <c r="T97" s="50" t="str">
        <f t="shared" si="25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13:41:54-700',mode:absolute,to:'2016-12-06 16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7" s="52" t="str">
        <f t="shared" si="27"/>
        <v>N</v>
      </c>
      <c r="X97" s="177">
        <f t="shared" si="28"/>
        <v>1</v>
      </c>
      <c r="Y97" s="67">
        <f t="shared" si="29"/>
        <v>4.6399999999999997E-2</v>
      </c>
      <c r="Z97" s="67">
        <f t="shared" si="30"/>
        <v>23.327999999999999</v>
      </c>
      <c r="AA97" s="67">
        <f t="shared" si="31"/>
        <v>23.281600000000001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2"/>
        <v>0189-06</v>
      </c>
      <c r="AE97" s="91" t="str">
        <f t="shared" si="33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97" s="88" t="str">
        <f t="shared" si="34"/>
        <v>"C:\Program Files (x86)\AstroGrep\AstroGrep.exe" /spath="%USERPROFILE%\AppData\Local\Temp\OnboardLogs" /stypes="app*4020*20161206*"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92" t="str">
        <f t="shared" si="36"/>
        <v>"%USERPROFILE%\Documents\GitHub\eaglep3\Utilities\RefineRTDCRunTimes.py" --tripid 189-06 --locoid 4020 --swversion DE.1.0.8.0 --startMP 204:464 --initTime 2016-12-06T14:41:54 --startdatetime 2016-12-06T14:45:22 --delay 1 --endMP 204:233280 --enddatetime 2016-12-06T15:19:50 --enforcementcount 0 &gt;&gt;C:\Users\stu\Documents\GitHub\eaglep3-reporting\EC\2016-12-06-refined-times.txt</v>
      </c>
      <c r="AI9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{"issue":{"subject":"","project_id":79,"tracker_id":40,"status_id":1,"priority_id":2,"assigned_to_id":23,"start_date":"2016-12-06","description":"","custom_fields":[{"id":1,"name":"Subdivision","value":"EC"},{"id":4,"name":"Milepost","value":"23.328"},{"id":17,"name":"Train ID","value":"189-06"},{"id":16,"name":"Locomotive ID","value":"4020"},{"id":130,"name":"Impact","value":""},{"id":150,"name":"Time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576</v>
      </c>
      <c r="B98" s="7">
        <v>4019</v>
      </c>
      <c r="C98" s="22" t="s">
        <v>207</v>
      </c>
      <c r="D98" s="22" t="s">
        <v>313</v>
      </c>
      <c r="E98" s="13">
        <v>42710.649756944447</v>
      </c>
      <c r="F98" s="13">
        <v>42710.653645833336</v>
      </c>
      <c r="G98" s="7">
        <v>1</v>
      </c>
      <c r="H98" s="22" t="s">
        <v>205</v>
      </c>
      <c r="I98" s="13">
        <v>42710.679375</v>
      </c>
      <c r="J98" s="7">
        <v>0</v>
      </c>
      <c r="K98" s="109" t="str">
        <f t="shared" si="23"/>
        <v>4019/4020</v>
      </c>
      <c r="L98" s="22" t="str">
        <f>VLOOKUP(A98,'Trips&amp;Operators'!$C$1:$G$99999,5,FALSE)</f>
        <v>HELVIE ADAM</v>
      </c>
      <c r="M98" s="6">
        <f t="shared" si="24"/>
        <v>2.5729166663950309E-2</v>
      </c>
      <c r="N98" s="7">
        <f t="shared" si="21"/>
        <v>37.049999996088445</v>
      </c>
      <c r="O98" s="7"/>
      <c r="P98" s="7"/>
      <c r="Q98" s="23"/>
      <c r="R98" s="23"/>
      <c r="S98" s="35">
        <f t="shared" si="22"/>
        <v>1</v>
      </c>
      <c r="T98" s="50" t="str">
        <f t="shared" si="25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14:35:39-700',mode:absolute,to:'2016-12-06 17:18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8" s="52" t="str">
        <f t="shared" si="27"/>
        <v>N</v>
      </c>
      <c r="X98" s="177">
        <f t="shared" si="28"/>
        <v>1</v>
      </c>
      <c r="Y98" s="67">
        <f t="shared" si="29"/>
        <v>23.296700000000001</v>
      </c>
      <c r="Z98" s="67">
        <f t="shared" si="30"/>
        <v>1.5599999999999999E-2</v>
      </c>
      <c r="AA98" s="67">
        <f t="shared" si="31"/>
        <v>23.281100000000002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2"/>
        <v>0190-06</v>
      </c>
      <c r="AE98" s="91" t="str">
        <f t="shared" si="33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98" s="88" t="str">
        <f t="shared" si="34"/>
        <v>"C:\Program Files (x86)\AstroGrep\AstroGrep.exe" /spath="%USERPROFILE%\AppData\Local\Temp\OnboardLogs" /stypes="app*4019*20161206*" /stext=" 23:.+((SYSTEM_STATE.+slice.+state.+changed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92" t="str">
        <f t="shared" si="36"/>
        <v>"%USERPROFILE%\Documents\GitHub\eaglep3\Utilities\RefineRTDCRunTimes.py" --tripid 190-06 --locoid 4019 --swversion DE.1.0.8.0 --startMP 204:232967 --initTime 2016-12-06T15:35:39 --startdatetime 2016-12-06T15:41:15 --delay 1 --endMP 204:156 --enddatetime 2016-12-06T16:18:18 --enforcementcount 0 &gt;&gt;C:\Users\stu\Documents\GitHub\eaglep3-reporting\EC\2016-12-06-refined-times.txt</v>
      </c>
      <c r="AI9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ID","value":"190-06"},{"id":16,"name":"Locomotive ID","value":"4019"},{"id":130,"name":"Impact","value":""},{"id":150,"name":"Time of Event (Mountain Time)","value":"16:18:18"},{"id":151,"name":"Denver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569</v>
      </c>
      <c r="B99" s="7">
        <v>4011</v>
      </c>
      <c r="C99" s="22" t="s">
        <v>207</v>
      </c>
      <c r="D99" s="22" t="s">
        <v>705</v>
      </c>
      <c r="E99" s="13">
        <v>42710.621319444443</v>
      </c>
      <c r="F99" s="13">
        <v>42710.625185185185</v>
      </c>
      <c r="G99" s="7">
        <v>1</v>
      </c>
      <c r="H99" s="22" t="s">
        <v>706</v>
      </c>
      <c r="I99" s="13">
        <v>42710.649837962963</v>
      </c>
      <c r="J99" s="7">
        <v>0</v>
      </c>
      <c r="K99" s="109" t="str">
        <f t="shared" si="23"/>
        <v>4011/4012</v>
      </c>
      <c r="L99" s="22" t="str">
        <f>VLOOKUP(A99,'Trips&amp;Operators'!$C$1:$G$99999,5,FALSE)</f>
        <v>MAHAN DUANE</v>
      </c>
      <c r="M99" s="6">
        <f t="shared" si="24"/>
        <v>2.4652777778101154E-2</v>
      </c>
      <c r="N99" s="7">
        <f t="shared" ref="N99:N130" si="38">24*60*SUM($M99:$M99)</f>
        <v>35.500000000465661</v>
      </c>
      <c r="O99" s="7"/>
      <c r="P99" s="7"/>
      <c r="Q99" s="23"/>
      <c r="R99" s="23"/>
      <c r="S99" s="35">
        <f t="shared" ref="S99:S130" si="39">SUM(U99:U99)/IF(AG99="EC",12,1)</f>
        <v>1</v>
      </c>
      <c r="T99" s="50" t="str">
        <f t="shared" si="25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13:54:42-700',mode:absolute,to:'2016-12-06 16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9" s="52" t="str">
        <f t="shared" si="27"/>
        <v>N</v>
      </c>
      <c r="X99" s="177">
        <f t="shared" si="28"/>
        <v>1</v>
      </c>
      <c r="Y99" s="67">
        <f t="shared" si="29"/>
        <v>4.2200000000000001E-2</v>
      </c>
      <c r="Z99" s="67">
        <f t="shared" si="30"/>
        <v>23.328299999999999</v>
      </c>
      <c r="AA99" s="67">
        <f t="shared" si="31"/>
        <v>23.286099999999998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2"/>
        <v>0191-06</v>
      </c>
      <c r="AE99" s="91" t="str">
        <f t="shared" si="33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99" s="88" t="str">
        <f t="shared" si="34"/>
        <v>"C:\Program Files (x86)\AstroGrep\AstroGrep.exe" /spath="%USERPROFILE%\AppData\Local\Temp\OnboardLogs" /stypes="app*4011*20161206*"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92" t="str">
        <f t="shared" si="36"/>
        <v>"%USERPROFILE%\Documents\GitHub\eaglep3\Utilities\RefineRTDCRunTimes.py" --tripid 191-06 --locoid 4011 --swversion DE.1.0.8.0 --startMP 204:422 --initTime 2016-12-06T14:54:42 --startdatetime 2016-12-06T15:00:16 --delay 1 --endMP 204:233283 --enddatetime 2016-12-06T15:35:46 --enforcementcount 0 &gt;&gt;C:\Users\stu\Documents\GitHub\eaglep3-reporting\EC\2016-12-06-refined-times.txt</v>
      </c>
      <c r="AI9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{"issue":{"subject":"","project_id":79,"tracker_id":40,"status_id":1,"priority_id":2,"assigned_to_id":23,"start_date":"2016-12-06","description":"","custom_fields":[{"id":1,"name":"Subdivision","value":"EC"},{"id":4,"name":"Milepost","value":"23.3283"},{"id":17,"name":"Train ID","value":"191-06"},{"id":16,"name":"Locomotive ID","value":"4011"},{"id":130,"name":"Impact","value":""},{"id":150,"name":"Time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579</v>
      </c>
      <c r="B100" s="7">
        <v>4012</v>
      </c>
      <c r="C100" s="22" t="s">
        <v>207</v>
      </c>
      <c r="D100" s="22" t="s">
        <v>397</v>
      </c>
      <c r="E100" s="13">
        <v>42710.656851851854</v>
      </c>
      <c r="F100" s="13">
        <v>42710.6643287037</v>
      </c>
      <c r="G100" s="7">
        <v>1</v>
      </c>
      <c r="H100" s="22" t="s">
        <v>398</v>
      </c>
      <c r="I100" s="13">
        <v>42710.690694444442</v>
      </c>
      <c r="J100" s="7">
        <v>0</v>
      </c>
      <c r="K100" s="109" t="str">
        <f t="shared" si="23"/>
        <v>4011/4012</v>
      </c>
      <c r="L100" s="22" t="str">
        <f>VLOOKUP(A100,'Trips&amp;Operators'!$C$1:$G$99999,5,FALSE)</f>
        <v>MAHAN DUANE</v>
      </c>
      <c r="M100" s="6">
        <f t="shared" si="24"/>
        <v>2.6365740741312038E-2</v>
      </c>
      <c r="N100" s="7">
        <f t="shared" si="38"/>
        <v>37.966666667489335</v>
      </c>
      <c r="O100" s="7"/>
      <c r="P100" s="7"/>
      <c r="Q100" s="23"/>
      <c r="R100" s="23"/>
      <c r="S100" s="35">
        <f t="shared" si="39"/>
        <v>1</v>
      </c>
      <c r="T100" s="50" t="str">
        <f t="shared" si="25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14:45:52-700',mode:absolute,to:'2016-12-06 17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0" s="52" t="str">
        <f t="shared" si="27"/>
        <v>N</v>
      </c>
      <c r="X100" s="177">
        <f t="shared" si="28"/>
        <v>1</v>
      </c>
      <c r="Y100" s="67">
        <f t="shared" si="29"/>
        <v>23.2957</v>
      </c>
      <c r="Z100" s="67">
        <f t="shared" si="30"/>
        <v>1.23E-2</v>
      </c>
      <c r="AA100" s="67">
        <f t="shared" si="31"/>
        <v>23.2834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2"/>
        <v>0192-06</v>
      </c>
      <c r="AE100" s="91" t="str">
        <f t="shared" si="33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00" s="88" t="str">
        <f t="shared" si="34"/>
        <v>"C:\Program Files (x86)\AstroGrep\AstroGrep.exe" /spath="%USERPROFILE%\AppData\Local\Temp\OnboardLogs" /stypes="app*4012*20161206*"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92" t="str">
        <f t="shared" si="36"/>
        <v>"%USERPROFILE%\Documents\GitHub\eaglep3\Utilities\RefineRTDCRunTimes.py" --tripid 192-06 --locoid 4012 --swversion DE.1.0.8.0 --startMP 204:232957 --initTime 2016-12-06T15:45:52 --startdatetime 2016-12-06T15:56:38 --delay 1 --endMP 204:123 --enddatetime 2016-12-06T16:34:36 --enforcementcount 0 &gt;&gt;C:\Users\stu\Documents\GitHub\eaglep3-reporting\EC\2016-12-06-refined-times.txt</v>
      </c>
      <c r="AI10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{"issue":{"subject":"","project_id":79,"tracker_id":40,"status_id":1,"priority_id":2,"assigned_to_id":23,"start_date":"2016-12-06","description":"","custom_fields":[{"id":1,"name":"Subdivision","value":"EC"},{"id":4,"name":"Milepost","value":"0.0123"},{"id":17,"name":"Train ID","value":"192-06"},{"id":16,"name":"Locomotive ID","value":"4012"},{"id":130,"name":"Impact","value":""},{"id":150,"name":"Time of Event (Mountain Time)","value":"16:34:36"},{"id":151,"name":"Denver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571</v>
      </c>
      <c r="B101" s="7">
        <v>4014</v>
      </c>
      <c r="C101" s="22" t="s">
        <v>207</v>
      </c>
      <c r="D101" s="22" t="s">
        <v>702</v>
      </c>
      <c r="E101" s="13">
        <v>42710.632627314815</v>
      </c>
      <c r="F101" s="13">
        <v>42710.635648148149</v>
      </c>
      <c r="G101" s="7">
        <v>1</v>
      </c>
      <c r="H101" s="22" t="s">
        <v>707</v>
      </c>
      <c r="I101" s="13">
        <v>42710.660925925928</v>
      </c>
      <c r="J101" s="7">
        <v>0</v>
      </c>
      <c r="K101" s="109" t="str">
        <f t="shared" si="23"/>
        <v>4013/4014</v>
      </c>
      <c r="L101" s="22" t="str">
        <f>VLOOKUP(A101,'Trips&amp;Operators'!$C$1:$G$99999,5,FALSE)</f>
        <v>BARTLETT KIANDRA</v>
      </c>
      <c r="M101" s="6">
        <f t="shared" si="24"/>
        <v>2.527777777868323E-2</v>
      </c>
      <c r="N101" s="7">
        <f t="shared" si="38"/>
        <v>36.400000001303852</v>
      </c>
      <c r="O101" s="7"/>
      <c r="P101" s="7"/>
      <c r="Q101" s="23"/>
      <c r="R101" s="23"/>
      <c r="S101" s="35">
        <f t="shared" si="39"/>
        <v>1</v>
      </c>
      <c r="T101" s="50" t="str">
        <f t="shared" si="25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14:10:59-700',mode:absolute,to:'2016-12-06 16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27"/>
        <v>N</v>
      </c>
      <c r="X101" s="177">
        <f t="shared" si="28"/>
        <v>1</v>
      </c>
      <c r="Y101" s="67">
        <f t="shared" si="29"/>
        <v>4.3099999999999999E-2</v>
      </c>
      <c r="Z101" s="67">
        <f t="shared" si="30"/>
        <v>23.338000000000001</v>
      </c>
      <c r="AA101" s="67">
        <f t="shared" si="31"/>
        <v>23.294900000000002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2"/>
        <v>0193-06</v>
      </c>
      <c r="AE101" s="91" t="str">
        <f t="shared" si="33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01" s="88" t="str">
        <f t="shared" si="34"/>
        <v>"C:\Program Files (x86)\AstroGrep\AstroGrep.exe" /spath="%USERPROFILE%\AppData\Local\Temp\OnboardLogs" /stypes="app*4014*20161206*"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92" t="str">
        <f t="shared" si="36"/>
        <v>"%USERPROFILE%\Documents\GitHub\eaglep3\Utilities\RefineRTDCRunTimes.py" --tripid 193-06 --locoid 4014 --swversion DE.1.0.8.0 --startMP 204:431 --initTime 2016-12-06T15:10:59 --startdatetime 2016-12-06T15:15:20 --delay 1 --endMP 204:233380 --enddatetime 2016-12-06T15:51:44 --enforcementcount 0 &gt;&gt;C:\Users\stu\Documents\GitHub\eaglep3-reporting\EC\2016-12-06-refined-times.txt</v>
      </c>
      <c r="AI10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{"issue":{"subject":"","project_id":79,"tracker_id":40,"status_id":1,"priority_id":2,"assigned_to_id":23,"start_date":"2016-12-06","description":"","custom_fields":[{"id":1,"name":"Subdivision","value":"EC"},{"id":4,"name":"Milepost","value":"23.338"},{"id":17,"name":"Train ID","value":"193-06"},{"id":16,"name":"Locomotive ID","value":"4014"},{"id":130,"name":"Impact","value":""},{"id":150,"name":"Time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580</v>
      </c>
      <c r="B102" s="7">
        <v>4013</v>
      </c>
      <c r="C102" s="22" t="s">
        <v>207</v>
      </c>
      <c r="D102" s="22" t="s">
        <v>708</v>
      </c>
      <c r="E102" s="13">
        <v>42710.66306712963</v>
      </c>
      <c r="F102" s="13">
        <v>42710.674525462964</v>
      </c>
      <c r="G102" s="7">
        <v>1</v>
      </c>
      <c r="H102" s="22" t="s">
        <v>291</v>
      </c>
      <c r="I102" s="13">
        <v>42710.700752314813</v>
      </c>
      <c r="J102" s="7">
        <v>0</v>
      </c>
      <c r="K102" s="109" t="str">
        <f t="shared" si="23"/>
        <v>4013/4014</v>
      </c>
      <c r="L102" s="22" t="str">
        <f>VLOOKUP(A102,'Trips&amp;Operators'!$C$1:$G$99999,5,FALSE)</f>
        <v>BARTLETT KIANDRA</v>
      </c>
      <c r="M102" s="6">
        <f t="shared" si="24"/>
        <v>2.622685184906004E-2</v>
      </c>
      <c r="N102" s="7">
        <f t="shared" si="38"/>
        <v>37.766666662646458</v>
      </c>
      <c r="O102" s="7"/>
      <c r="P102" s="7"/>
      <c r="Q102" s="23"/>
      <c r="R102" s="23"/>
      <c r="S102" s="35">
        <f t="shared" si="39"/>
        <v>1</v>
      </c>
      <c r="T102" s="50" t="str">
        <f t="shared" si="25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14:54:49-700',mode:absolute,to:'2016-12-06 17:49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27"/>
        <v>N</v>
      </c>
      <c r="X102" s="177">
        <f t="shared" si="28"/>
        <v>1</v>
      </c>
      <c r="Y102" s="67">
        <f t="shared" si="29"/>
        <v>23.307200000000002</v>
      </c>
      <c r="Z102" s="67">
        <f t="shared" si="30"/>
        <v>1.6899999999999998E-2</v>
      </c>
      <c r="AA102" s="67">
        <f t="shared" si="31"/>
        <v>23.290300000000002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2"/>
        <v>0194-06</v>
      </c>
      <c r="AE102" s="91" t="str">
        <f t="shared" si="33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02" s="88" t="str">
        <f t="shared" si="34"/>
        <v>"C:\Program Files (x86)\AstroGrep\AstroGrep.exe" /spath="%USERPROFILE%\AppData\Local\Temp\OnboardLogs" /stypes="app*4013*20161206*"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92" t="str">
        <f t="shared" si="36"/>
        <v>"%USERPROFILE%\Documents\GitHub\eaglep3\Utilities\RefineRTDCRunTimes.py" --tripid 194-06 --locoid 4013 --swversion DE.1.0.8.0 --startMP 204:233072 --initTime 2016-12-06T15:54:49 --startdatetime 2016-12-06T16:11:19 --delay 1 --endMP 204:169 --enddatetime 2016-12-06T16:49:05 --enforcementcount 0 &gt;&gt;C:\Users\stu\Documents\GitHub\eaglep3-reporting\EC\2016-12-06-refined-times.txt</v>
      </c>
      <c r="AI10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{"issue":{"subject":"","project_id":79,"tracker_id":40,"status_id":1,"priority_id":2,"assigned_to_id":23,"start_date":"2016-12-06","description":"","custom_fields":[{"id":1,"name":"Subdivision","value":"EC"},{"id":4,"name":"Milepost","value":"0.0169"},{"id":17,"name":"Train ID","value":"194-06"},{"id":16,"name":"Locomotive ID","value":"4013"},{"id":130,"name":"Impact","value":""},{"id":150,"name":"Time of Event (Mountain Time)","value":"16:49:05"},{"id":151,"name":"Denver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574</v>
      </c>
      <c r="B103" s="7">
        <v>4029</v>
      </c>
      <c r="C103" s="22" t="s">
        <v>207</v>
      </c>
      <c r="D103" s="22" t="s">
        <v>678</v>
      </c>
      <c r="E103" s="13">
        <v>42710.644803240742</v>
      </c>
      <c r="F103" s="13">
        <v>42710.646331018521</v>
      </c>
      <c r="G103" s="7">
        <v>1</v>
      </c>
      <c r="H103" s="22" t="s">
        <v>275</v>
      </c>
      <c r="I103" s="13">
        <v>42710.670624999999</v>
      </c>
      <c r="J103" s="7">
        <v>0</v>
      </c>
      <c r="K103" s="109" t="str">
        <f t="shared" si="23"/>
        <v>4029/4030</v>
      </c>
      <c r="L103" s="22" t="str">
        <f>VLOOKUP(A103,'Trips&amp;Operators'!$C$1:$G$99999,5,FALSE)</f>
        <v>STEWART MICHAEL</v>
      </c>
      <c r="M103" s="6">
        <f t="shared" si="24"/>
        <v>2.4293981477967463E-2</v>
      </c>
      <c r="N103" s="7">
        <f t="shared" si="38"/>
        <v>34.983333328273147</v>
      </c>
      <c r="O103" s="7"/>
      <c r="P103" s="7"/>
      <c r="Q103" s="23"/>
      <c r="R103" s="23"/>
      <c r="S103" s="35">
        <f t="shared" si="39"/>
        <v>1</v>
      </c>
      <c r="T103" s="50" t="str">
        <f t="shared" si="25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14:28:31-700',mode:absolute,to:'2016-12-06 17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3" s="52" t="str">
        <f t="shared" si="27"/>
        <v>N</v>
      </c>
      <c r="X103" s="177">
        <f t="shared" si="28"/>
        <v>1</v>
      </c>
      <c r="Y103" s="67">
        <f t="shared" si="29"/>
        <v>4.2900000000000001E-2</v>
      </c>
      <c r="Z103" s="67">
        <f t="shared" si="30"/>
        <v>23.328900000000001</v>
      </c>
      <c r="AA103" s="67">
        <f t="shared" si="31"/>
        <v>23.286000000000001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2"/>
        <v>0195-06</v>
      </c>
      <c r="AE103" s="91" t="str">
        <f t="shared" si="33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03" s="88" t="str">
        <f t="shared" si="34"/>
        <v>"C:\Program Files (x86)\AstroGrep\AstroGrep.exe" /spath="%USERPROFILE%\AppData\Local\Temp\OnboardLogs" /stypes="app*4029*20161206*"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92" t="str">
        <f t="shared" si="36"/>
        <v>"%USERPROFILE%\Documents\GitHub\eaglep3\Utilities\RefineRTDCRunTimes.py" --tripid 195-06 --locoid 4029 --swversion DE.1.0.8.0 --startMP 204:429 --initTime 2016-12-06T15:28:31 --startdatetime 2016-12-06T15:30:43 --delay 1 --endMP 204:233289 --enddatetime 2016-12-06T16:05:42 --enforcementcount 0 &gt;&gt;C:\Users\stu\Documents\GitHub\eaglep3-reporting\EC\2016-12-06-refined-times.txt</v>
      </c>
      <c r="AI10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{"issue":{"subject":"","project_id":79,"tracker_id":40,"status_id":1,"priority_id":2,"assigned_to_id":23,"start_date":"2016-12-06","description":"","custom_fields":[{"id":1,"name":"Subdivision","value":"EC"},{"id":4,"name":"Milepost","value":"23.3289"},{"id":17,"name":"Train ID","value":"195-06"},{"id":16,"name":"Locomotive ID","value":"4029"},{"id":130,"name":"Impact","value":""},{"id":150,"name":"Time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585</v>
      </c>
      <c r="B104" s="7">
        <v>4030</v>
      </c>
      <c r="C104" s="22" t="s">
        <v>207</v>
      </c>
      <c r="D104" s="22" t="s">
        <v>384</v>
      </c>
      <c r="E104" s="13">
        <v>42710.68037037037</v>
      </c>
      <c r="F104" s="13">
        <v>42710.685034722221</v>
      </c>
      <c r="G104" s="7">
        <v>2</v>
      </c>
      <c r="H104" s="22" t="s">
        <v>209</v>
      </c>
      <c r="I104" s="13">
        <v>42710.711770833332</v>
      </c>
      <c r="J104" s="7">
        <v>0</v>
      </c>
      <c r="K104" s="109" t="str">
        <f t="shared" si="23"/>
        <v>4029/4030</v>
      </c>
      <c r="L104" s="22" t="str">
        <f>VLOOKUP(A104,'Trips&amp;Operators'!$C$1:$G$99999,5,FALSE)</f>
        <v>STEWART MICHAEL</v>
      </c>
      <c r="M104" s="6">
        <f t="shared" si="24"/>
        <v>2.6736111110949423E-2</v>
      </c>
      <c r="N104" s="7">
        <f t="shared" si="38"/>
        <v>38.499999999767169</v>
      </c>
      <c r="O104" s="7"/>
      <c r="P104" s="7"/>
      <c r="Q104" s="23"/>
      <c r="R104" s="23"/>
      <c r="S104" s="35">
        <f t="shared" si="39"/>
        <v>1</v>
      </c>
      <c r="T104" s="50" t="str">
        <f t="shared" si="25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15:19:44-700',mode:absolute,to:'2016-12-06 18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4" s="52" t="str">
        <f t="shared" si="27"/>
        <v>N</v>
      </c>
      <c r="X104" s="177">
        <f t="shared" si="28"/>
        <v>1</v>
      </c>
      <c r="Y104" s="67">
        <f t="shared" si="29"/>
        <v>23.2974</v>
      </c>
      <c r="Z104" s="67">
        <f t="shared" si="30"/>
        <v>1.5800000000000002E-2</v>
      </c>
      <c r="AA104" s="67">
        <f t="shared" si="31"/>
        <v>23.281600000000001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2"/>
        <v>0196-06</v>
      </c>
      <c r="AE104" s="91" t="str">
        <f t="shared" si="33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04" s="88" t="str">
        <f t="shared" si="34"/>
        <v>"C:\Program Files (x86)\AstroGrep\AstroGrep.exe" /spath="%USERPROFILE%\AppData\Local\Temp\OnboardLogs" /stypes="app*4030*20161207*" /stext=" 00:.+((SYSTEM_STATE.+slice.+state.+changed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92" t="str">
        <f t="shared" si="36"/>
        <v>"%USERPROFILE%\Documents\GitHub\eaglep3\Utilities\RefineRTDCRunTimes.py" --tripid 196-06 --locoid 4030 --swversion DE.1.0.8.0 --startMP 204:232974 --initTime 2016-12-06T16:19:44 --startdatetime 2016-12-06T16:26:27 --delay 2 --endMP 204:158 --enddatetime 2016-12-06T17:04:57 --enforcementcount 0 &gt;&gt;C:\Users\stu\Documents\GitHub\eaglep3-reporting\EC\2016-12-06-refined-times.txt</v>
      </c>
      <c r="AI10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{"issue":{"subject":"","project_id":79,"tracker_id":40,"status_id":1,"priority_id":2,"assigned_to_id":23,"start_date":"2016-12-06","description":"","custom_fields":[{"id":1,"name":"Subdivision","value":"EC"},{"id":4,"name":"Milepost","value":"0.0158"},{"id":17,"name":"Train ID","value":"196-06"},{"id":16,"name":"Locomotive ID","value":"4030"},{"id":130,"name":"Impact","value":""},{"id":150,"name":"Time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578</v>
      </c>
      <c r="B105" s="7">
        <v>4031</v>
      </c>
      <c r="C105" s="22" t="s">
        <v>207</v>
      </c>
      <c r="D105" s="22" t="s">
        <v>326</v>
      </c>
      <c r="E105" s="13">
        <v>42710.651354166665</v>
      </c>
      <c r="F105" s="13">
        <v>42710.656493055554</v>
      </c>
      <c r="G105" s="7">
        <v>1</v>
      </c>
      <c r="H105" s="22" t="s">
        <v>290</v>
      </c>
      <c r="I105" s="13">
        <v>42710.681655092594</v>
      </c>
      <c r="J105" s="7">
        <v>0</v>
      </c>
      <c r="K105" s="109" t="str">
        <f t="shared" si="23"/>
        <v>4031/4032</v>
      </c>
      <c r="L105" s="22" t="str">
        <f>VLOOKUP(A105,'Trips&amp;Operators'!$C$1:$G$99999,5,FALSE)</f>
        <v>BONDS REYNALDO</v>
      </c>
      <c r="M105" s="6">
        <f t="shared" si="24"/>
        <v>2.5162037039990537E-2</v>
      </c>
      <c r="N105" s="7">
        <f t="shared" si="38"/>
        <v>36.233333337586373</v>
      </c>
      <c r="O105" s="7"/>
      <c r="P105" s="7"/>
      <c r="Q105" s="23"/>
      <c r="R105" s="23"/>
      <c r="S105" s="35">
        <f t="shared" si="39"/>
        <v>1</v>
      </c>
      <c r="T105" s="50" t="str">
        <f t="shared" si="25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14:37:57-700',mode:absolute,to:'2016-12-06 17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27"/>
        <v>N</v>
      </c>
      <c r="X105" s="177">
        <f t="shared" si="28"/>
        <v>1</v>
      </c>
      <c r="Y105" s="67">
        <f t="shared" si="29"/>
        <v>4.53E-2</v>
      </c>
      <c r="Z105" s="67">
        <f t="shared" si="30"/>
        <v>23.331199999999999</v>
      </c>
      <c r="AA105" s="67">
        <f t="shared" si="31"/>
        <v>23.285899999999998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2"/>
        <v>0197-06</v>
      </c>
      <c r="AE105" s="91" t="str">
        <f t="shared" si="33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05" s="88" t="str">
        <f t="shared" si="34"/>
        <v>"C:\Program Files (x86)\AstroGrep\AstroGrep.exe" /spath="%USERPROFILE%\AppData\Local\Temp\OnboardLogs" /stypes="app*4031*20161206*"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92" t="str">
        <f t="shared" si="36"/>
        <v>"%USERPROFILE%\Documents\GitHub\eaglep3\Utilities\RefineRTDCRunTimes.py" --tripid 197-06 --locoid 4031 --swversion DE.1.0.8.0 --startMP 204:453 --initTime 2016-12-06T15:37:57 --startdatetime 2016-12-06T15:45:21 --delay 1 --endMP 204:233312 --enddatetime 2016-12-06T16:21:35 --enforcementcount 0 &gt;&gt;C:\Users\stu\Documents\GitHub\eaglep3-reporting\EC\2016-12-06-refined-times.txt</v>
      </c>
      <c r="AI10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ID","value":"197-06"},{"id":16,"name":"Locomotive ID","value":"4031"},{"id":130,"name":"Impact","value":""},{"id":150,"name":"Time of Event (Mountain Time)","value":"16:21:35"},{"id":151,"name":"Denver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586</v>
      </c>
      <c r="B106" s="7">
        <v>4032</v>
      </c>
      <c r="C106" s="22" t="s">
        <v>207</v>
      </c>
      <c r="D106" s="22" t="s">
        <v>394</v>
      </c>
      <c r="E106" s="13">
        <v>42710.683159722219</v>
      </c>
      <c r="F106" s="13">
        <v>42710.695335648146</v>
      </c>
      <c r="G106" s="7">
        <v>0</v>
      </c>
      <c r="H106" s="22" t="s">
        <v>227</v>
      </c>
      <c r="I106" s="13">
        <v>42710.722546296296</v>
      </c>
      <c r="J106" s="7">
        <v>0</v>
      </c>
      <c r="K106" s="109" t="str">
        <f t="shared" si="23"/>
        <v>4031/4032</v>
      </c>
      <c r="L106" s="22" t="str">
        <f>VLOOKUP(A106,'Trips&amp;Operators'!$C$1:$G$99999,5,FALSE)</f>
        <v>BONDS REYNALDO</v>
      </c>
      <c r="M106" s="6">
        <f t="shared" si="24"/>
        <v>2.7210648149775807E-2</v>
      </c>
      <c r="N106" s="7">
        <f t="shared" si="38"/>
        <v>39.183333335677162</v>
      </c>
      <c r="O106" s="7"/>
      <c r="P106" s="7"/>
      <c r="Q106" s="23"/>
      <c r="R106" s="23"/>
      <c r="S106" s="35">
        <f t="shared" si="39"/>
        <v>1</v>
      </c>
      <c r="T106" s="50" t="str">
        <f t="shared" si="25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15:23:45-700',mode:absolute,to:'2016-12-06 18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27"/>
        <v>N</v>
      </c>
      <c r="X106" s="177">
        <f t="shared" si="28"/>
        <v>1</v>
      </c>
      <c r="Y106" s="67">
        <f t="shared" si="29"/>
        <v>23.3005</v>
      </c>
      <c r="Z106" s="67">
        <f t="shared" si="30"/>
        <v>1.54E-2</v>
      </c>
      <c r="AA106" s="67">
        <f t="shared" si="31"/>
        <v>23.2851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2"/>
        <v>0198-06</v>
      </c>
      <c r="AE106" s="91" t="str">
        <f t="shared" si="33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06" s="88" t="str">
        <f t="shared" si="34"/>
        <v>"C:\Program Files (x86)\AstroGrep\AstroGrep.exe" /spath="%USERPROFILE%\AppData\Local\Temp\OnboardLogs" /stypes="app*4032*20161207*" /stext=" 00:.+((SYSTEM_STATE.+slice.+state.+changed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92" t="str">
        <f t="shared" si="36"/>
        <v>"%USERPROFILE%\Documents\GitHub\eaglep3\Utilities\RefineRTDCRunTimes.py" --tripid 198-06 --locoid 4032 --swversion DE.1.0.8.0 --startMP 204:233005 --initTime 2016-12-06T16:23:45 --startdatetime 2016-12-06T16:41:17 --delay 0 --endMP 204:154 --enddatetime 2016-12-06T17:20:28 --enforcementcount 0 &gt;&gt;C:\Users\stu\Documents\GitHub\eaglep3-reporting\EC\2016-12-06-refined-times.txt</v>
      </c>
      <c r="AI106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ID","value":"198-06"},{"id":16,"name":"Locomotive ID","value":"4032"},{"id":130,"name":"Impact","value":""},{"id":150,"name":"Time of Event (Mountain Time)","value":"17:20:28"},{"id":151,"name":"Denver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581</v>
      </c>
      <c r="B107" s="7">
        <v>4018</v>
      </c>
      <c r="C107" s="22" t="s">
        <v>207</v>
      </c>
      <c r="D107" s="22" t="s">
        <v>709</v>
      </c>
      <c r="E107" s="13">
        <v>42710.663310185184</v>
      </c>
      <c r="F107" s="13">
        <v>42710.66684027778</v>
      </c>
      <c r="G107" s="7">
        <v>1</v>
      </c>
      <c r="H107" s="22" t="s">
        <v>710</v>
      </c>
      <c r="I107" s="13">
        <v>42710.693310185183</v>
      </c>
      <c r="J107" s="7">
        <v>0</v>
      </c>
      <c r="K107" s="109" t="str">
        <f t="shared" si="23"/>
        <v>4017/4018</v>
      </c>
      <c r="L107" s="22" t="str">
        <f>VLOOKUP(A107,'Trips&amp;Operators'!$C$1:$G$99999,5,FALSE)</f>
        <v>CLARK KATHLEEN</v>
      </c>
      <c r="M107" s="6">
        <f t="shared" si="24"/>
        <v>2.6469907403225079E-2</v>
      </c>
      <c r="N107" s="7">
        <f t="shared" si="38"/>
        <v>38.116666660644114</v>
      </c>
      <c r="O107" s="7"/>
      <c r="P107" s="7"/>
      <c r="Q107" s="23"/>
      <c r="R107" s="23"/>
      <c r="S107" s="35">
        <f t="shared" si="39"/>
        <v>1</v>
      </c>
      <c r="T107" s="50" t="str">
        <f t="shared" si="25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14:55:10-700',mode:absolute,to:'2016-12-06 17:38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7" s="52" t="str">
        <f t="shared" si="27"/>
        <v>N</v>
      </c>
      <c r="X107" s="177">
        <f t="shared" si="28"/>
        <v>1</v>
      </c>
      <c r="Y107" s="67">
        <f t="shared" si="29"/>
        <v>4.7699999999999999E-2</v>
      </c>
      <c r="Z107" s="67">
        <f t="shared" si="30"/>
        <v>23.331399999999999</v>
      </c>
      <c r="AA107" s="67">
        <f t="shared" si="31"/>
        <v>23.2837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2"/>
        <v>0199-06</v>
      </c>
      <c r="AE107" s="91" t="str">
        <f t="shared" si="33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07" s="88" t="str">
        <f t="shared" si="34"/>
        <v>"C:\Program Files (x86)\AstroGrep\AstroGrep.exe" /spath="%USERPROFILE%\AppData\Local\Temp\OnboardLogs" /stypes="app*4018*20161206*"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92" t="str">
        <f t="shared" si="36"/>
        <v>"%USERPROFILE%\Documents\GitHub\eaglep3\Utilities\RefineRTDCRunTimes.py" --tripid 199-06 --locoid 4018 --swversion DE.1.0.8.0 --startMP 204:477 --initTime 2016-12-06T15:55:10 --startdatetime 2016-12-06T16:00:15 --delay 1 --endMP 204:233314 --enddatetime 2016-12-06T16:38:22 --enforcementcount 0 &gt;&gt;C:\Users\stu\Documents\GitHub\eaglep3-reporting\EC\2016-12-06-refined-times.txt</v>
      </c>
      <c r="AI10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ID","value":"199-06"},{"id":16,"name":"Locomotive ID","value":"4018"},{"id":130,"name":"Impact","value":""},{"id":150,"name":"Time of Event (Mountain Time)","value":"16:38:22"},{"id":151,"name":"Denver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590</v>
      </c>
      <c r="B108" s="7">
        <v>4017</v>
      </c>
      <c r="C108" s="22" t="s">
        <v>207</v>
      </c>
      <c r="D108" s="22" t="s">
        <v>294</v>
      </c>
      <c r="E108" s="13">
        <v>42710.698344907411</v>
      </c>
      <c r="F108" s="13">
        <v>42710.705740740741</v>
      </c>
      <c r="G108" s="7">
        <v>1</v>
      </c>
      <c r="H108" s="22" t="s">
        <v>227</v>
      </c>
      <c r="I108" s="13">
        <v>42710.734212962961</v>
      </c>
      <c r="J108" s="7">
        <v>0</v>
      </c>
      <c r="K108" s="109" t="str">
        <f t="shared" si="23"/>
        <v>4017/4018</v>
      </c>
      <c r="L108" s="22" t="str">
        <f>VLOOKUP(A108,'Trips&amp;Operators'!$C$1:$G$99999,5,FALSE)</f>
        <v>CLARK KATHLEEN</v>
      </c>
      <c r="M108" s="6">
        <f t="shared" si="24"/>
        <v>2.8472222220443655E-2</v>
      </c>
      <c r="N108" s="7">
        <f t="shared" si="38"/>
        <v>40.999999997438863</v>
      </c>
      <c r="O108" s="7"/>
      <c r="P108" s="7"/>
      <c r="Q108" s="23"/>
      <c r="R108" s="23"/>
      <c r="S108" s="35">
        <f t="shared" si="39"/>
        <v>1</v>
      </c>
      <c r="T108" s="50" t="str">
        <f t="shared" si="25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15:45:37-700',mode:absolute,to:'2016-12-06 18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8" s="52" t="str">
        <f t="shared" si="27"/>
        <v>N</v>
      </c>
      <c r="X108" s="177">
        <f t="shared" si="28"/>
        <v>1</v>
      </c>
      <c r="Y108" s="67">
        <f t="shared" si="29"/>
        <v>23.299099999999999</v>
      </c>
      <c r="Z108" s="67">
        <f t="shared" si="30"/>
        <v>1.54E-2</v>
      </c>
      <c r="AA108" s="67">
        <f t="shared" si="31"/>
        <v>23.2837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2"/>
        <v>0200-06</v>
      </c>
      <c r="AE108" s="91" t="str">
        <f t="shared" si="33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08" s="88" t="str">
        <f t="shared" si="34"/>
        <v>"C:\Program Files (x86)\AstroGrep\AstroGrep.exe" /spath="%USERPROFILE%\AppData\Local\Temp\OnboardLogs" /stypes="app*4017*20161207*"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92" t="str">
        <f t="shared" si="36"/>
        <v>"%USERPROFILE%\Documents\GitHub\eaglep3\Utilities\RefineRTDCRunTimes.py" --tripid 200-06 --locoid 4017 --swversion DE.1.0.8.0 --startMP 204:232991 --initTime 2016-12-06T16:45:37 --startdatetime 2016-12-06T16:56:16 --delay 1 --endMP 204:154 --enddatetime 2016-12-06T17:37:16 --enforcementcount 0 &gt;&gt;C:\Users\stu\Documents\GitHub\eaglep3-reporting\EC\2016-12-06-refined-times.txt</v>
      </c>
      <c r="AI10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ID","value":"200-06"},{"id":16,"name":"Locomotive ID","value":"4017"},{"id":130,"name":"Impact","value":""},{"id":150,"name":"Time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583</v>
      </c>
      <c r="B109" s="7">
        <v>4016</v>
      </c>
      <c r="C109" s="22" t="s">
        <v>207</v>
      </c>
      <c r="D109" s="22" t="s">
        <v>228</v>
      </c>
      <c r="E109" s="13">
        <v>42710.673634259256</v>
      </c>
      <c r="F109" s="13">
        <v>42710.677384259259</v>
      </c>
      <c r="G109" s="7">
        <v>1</v>
      </c>
      <c r="H109" s="22" t="s">
        <v>711</v>
      </c>
      <c r="I109" s="13">
        <v>42710.700810185182</v>
      </c>
      <c r="J109" s="7">
        <v>0</v>
      </c>
      <c r="K109" s="109" t="str">
        <f t="shared" si="23"/>
        <v>4015/4016</v>
      </c>
      <c r="L109" s="22" t="str">
        <f>VLOOKUP(A109,'Trips&amp;Operators'!$C$1:$G$99999,5,FALSE)</f>
        <v>STORY SAMANTHA</v>
      </c>
      <c r="M109" s="6">
        <f t="shared" si="24"/>
        <v>2.3425925923220348E-2</v>
      </c>
      <c r="N109" s="7">
        <f t="shared" si="38"/>
        <v>33.733333329437301</v>
      </c>
      <c r="O109" s="7"/>
      <c r="P109" s="7"/>
      <c r="Q109" s="23"/>
      <c r="R109" s="23" t="s">
        <v>841</v>
      </c>
      <c r="S109" s="35">
        <f t="shared" si="39"/>
        <v>1</v>
      </c>
      <c r="T109" s="50" t="str">
        <f t="shared" si="25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15:10:02-700',mode:absolute,to:'2016-12-06 17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27"/>
        <v>Y</v>
      </c>
      <c r="X109" s="177">
        <f t="shared" si="28"/>
        <v>1</v>
      </c>
      <c r="Y109" s="67">
        <f t="shared" si="29"/>
        <v>4.6600000000000003E-2</v>
      </c>
      <c r="Z109" s="67">
        <f t="shared" si="30"/>
        <v>22.555499999999999</v>
      </c>
      <c r="AA109" s="67">
        <f t="shared" si="31"/>
        <v>22.508899999999997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2"/>
        <v>0201-06</v>
      </c>
      <c r="AE109" s="91" t="str">
        <f t="shared" si="33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09" s="88" t="str">
        <f t="shared" si="34"/>
        <v>"C:\Program Files (x86)\AstroGrep\AstroGrep.exe" /spath="%USERPROFILE%\AppData\Local\Temp\OnboardLogs" /stypes="app*4016*20161206*"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92" t="str">
        <f t="shared" si="36"/>
        <v>"%USERPROFILE%\Documents\GitHub\eaglep3\Utilities\RefineRTDCRunTimes.py" --tripid 201-06 --locoid 4016 --swversion DE.1.0.8.0 --startMP 204:466 --initTime 2016-12-06T16:10:02 --startdatetime 2016-12-06T16:15:26 --delay 1 --endMP 204:225555 --enddatetime 2016-12-06T16:49:10 --enforcementcount 0 &gt;&gt;C:\Users\stu\Documents\GitHub\eaglep3-reporting\EC\2016-12-06-refined-times.txt</v>
      </c>
      <c r="AI109" s="119" t="str">
        <f t="shared" si="37"/>
        <v>echo {"issue":{"subject":"Stop test, no issue","project_id":79,"tracker_id":40,"status_id":1,"priority_id":2,"assigned_to_id":23,"start_date":"2016-12-06","description":"","custom_fields":[{"id":1,"name":"Subdivision","value":"EC"},{"id":4,"name":"Milepost","value":"22.5555"},{"id":17,"name":"Train ID","value":"201-06"},{"id":16,"name":"Locomotive ID","value":"4016"},{"id":130,"name":"Impact","value":""},{"id":150,"name":"Time of Event (Mountain Time)","value":"16:49:10"},{"id":151,"name":"Denver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592</v>
      </c>
      <c r="B110" s="7">
        <v>4015</v>
      </c>
      <c r="C110" s="22" t="s">
        <v>207</v>
      </c>
      <c r="D110" s="22" t="s">
        <v>712</v>
      </c>
      <c r="E110" s="13">
        <v>42710.712442129632</v>
      </c>
      <c r="F110" s="13">
        <v>42710.716215277775</v>
      </c>
      <c r="G110" s="7">
        <v>1</v>
      </c>
      <c r="H110" s="22" t="s">
        <v>214</v>
      </c>
      <c r="I110" s="13">
        <v>42710.744583333333</v>
      </c>
      <c r="J110" s="7">
        <v>0</v>
      </c>
      <c r="K110" s="109" t="str">
        <f t="shared" si="23"/>
        <v>4015/4016</v>
      </c>
      <c r="L110" s="22" t="str">
        <f>VLOOKUP(A110,'Trips&amp;Operators'!$C$1:$G$99999,5,FALSE)</f>
        <v>STORY SAMANTHA</v>
      </c>
      <c r="M110" s="6">
        <f t="shared" si="24"/>
        <v>2.8368055558530614E-2</v>
      </c>
      <c r="N110" s="7">
        <f t="shared" si="38"/>
        <v>40.850000004284084</v>
      </c>
      <c r="O110" s="7"/>
      <c r="P110" s="7"/>
      <c r="Q110" s="23"/>
      <c r="R110" s="23"/>
      <c r="S110" s="35">
        <f t="shared" si="39"/>
        <v>1</v>
      </c>
      <c r="T110" s="50" t="str">
        <f t="shared" si="25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16:05:55-700',mode:absolute,to:'2016-12-06 18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27"/>
        <v>N</v>
      </c>
      <c r="X110" s="177">
        <f t="shared" si="28"/>
        <v>1</v>
      </c>
      <c r="Y110" s="67">
        <f t="shared" si="29"/>
        <v>23.303799999999999</v>
      </c>
      <c r="Z110" s="67">
        <f t="shared" si="30"/>
        <v>1.4999999999999999E-2</v>
      </c>
      <c r="AA110" s="67">
        <f t="shared" si="31"/>
        <v>23.288799999999998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2"/>
        <v>0202-06</v>
      </c>
      <c r="AE110" s="91" t="str">
        <f t="shared" si="33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10" s="88" t="str">
        <f t="shared" si="34"/>
        <v>"C:\Program Files (x86)\AstroGrep\AstroGrep.exe" /spath="%USERPROFILE%\AppData\Local\Temp\OnboardLogs" /stypes="app*4015*20161207*"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92" t="str">
        <f t="shared" si="36"/>
        <v>"%USERPROFILE%\Documents\GitHub\eaglep3\Utilities\RefineRTDCRunTimes.py" --tripid 202-06 --locoid 4015 --swversion DE.1.0.8.0 --startMP 204:233038 --initTime 2016-12-06T17:05:55 --startdatetime 2016-12-06T17:11:21 --delay 1 --endMP 204:150 --enddatetime 2016-12-06T17:52:12 --enforcementcount 0 &gt;&gt;C:\Users\stu\Documents\GitHub\eaglep3-reporting\EC\2016-12-06-refined-times.txt</v>
      </c>
      <c r="AI11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{"issue":{"subject":"","project_id":79,"tracker_id":40,"status_id":1,"priority_id":2,"assigned_to_id":23,"start_date":"2016-12-06","description":"","custom_fields":[{"id":1,"name":"Subdivision","value":"EC"},{"id":4,"name":"Milepost","value":"0.015"},{"id":17,"name":"Train ID","value":"202-06"},{"id":16,"name":"Locomotive ID","value":"4015"},{"id":130,"name":"Impact","value":""},{"id":150,"name":"Time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587</v>
      </c>
      <c r="B111" s="7">
        <v>4020</v>
      </c>
      <c r="C111" s="22" t="s">
        <v>207</v>
      </c>
      <c r="D111" s="22" t="s">
        <v>713</v>
      </c>
      <c r="E111" s="13">
        <v>42710.684340277781</v>
      </c>
      <c r="F111" s="13">
        <v>42710.6877662037</v>
      </c>
      <c r="G111" s="7">
        <v>1</v>
      </c>
      <c r="H111" s="22" t="s">
        <v>289</v>
      </c>
      <c r="I111" s="13">
        <v>42710.712592592594</v>
      </c>
      <c r="J111" s="7">
        <v>0</v>
      </c>
      <c r="K111" s="109" t="str">
        <f t="shared" si="23"/>
        <v>4019/4020</v>
      </c>
      <c r="L111" s="22" t="str">
        <f>VLOOKUP(A111,'Trips&amp;Operators'!$C$1:$G$99999,5,FALSE)</f>
        <v>HELVIE ADAM</v>
      </c>
      <c r="M111" s="6">
        <f t="shared" si="24"/>
        <v>2.4826388893416151E-2</v>
      </c>
      <c r="N111" s="7">
        <f t="shared" si="38"/>
        <v>35.750000006519258</v>
      </c>
      <c r="O111" s="7"/>
      <c r="P111" s="7"/>
      <c r="Q111" s="23"/>
      <c r="R111" s="23"/>
      <c r="S111" s="35">
        <f t="shared" si="39"/>
        <v>1</v>
      </c>
      <c r="T111" s="50" t="str">
        <f t="shared" si="25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15:25:27-700',mode:absolute,to:'2016-12-06 18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1" s="52" t="str">
        <f t="shared" si="27"/>
        <v>N</v>
      </c>
      <c r="X111" s="177">
        <f t="shared" si="28"/>
        <v>1</v>
      </c>
      <c r="Y111" s="67">
        <f t="shared" si="29"/>
        <v>4.9700000000000001E-2</v>
      </c>
      <c r="Z111" s="67">
        <f t="shared" si="30"/>
        <v>23.331</v>
      </c>
      <c r="AA111" s="67">
        <f t="shared" si="31"/>
        <v>23.281299999999998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2"/>
        <v>0203-06</v>
      </c>
      <c r="AE111" s="91" t="str">
        <f t="shared" si="33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11" s="88" t="str">
        <f t="shared" si="34"/>
        <v>"C:\Program Files (x86)\AstroGrep\AstroGrep.exe" /spath="%USERPROFILE%\AppData\Local\Temp\OnboardLogs" /stypes="app*4020*20161207*"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92" t="str">
        <f t="shared" si="36"/>
        <v>"%USERPROFILE%\Documents\GitHub\eaglep3\Utilities\RefineRTDCRunTimes.py" --tripid 203-06 --locoid 4020 --swversion DE.1.0.8.0 --startMP 204:497 --initTime 2016-12-06T16:25:27 --startdatetime 2016-12-06T16:30:23 --delay 1 --endMP 204:233310 --enddatetime 2016-12-06T17:06:08 --enforcementcount 0 &gt;&gt;C:\Users\stu\Documents\GitHub\eaglep3-reporting\EC\2016-12-06-refined-times.txt</v>
      </c>
      <c r="AI11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ID","value":"203-06"},{"id":16,"name":"Locomotive ID","value":"4020"},{"id":130,"name":"Impact","value":""},{"id":150,"name":"Time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596</v>
      </c>
      <c r="B112" s="7">
        <v>4019</v>
      </c>
      <c r="C112" s="22" t="s">
        <v>207</v>
      </c>
      <c r="D112" s="22" t="s">
        <v>234</v>
      </c>
      <c r="E112" s="13">
        <v>42710.723101851851</v>
      </c>
      <c r="F112" s="13">
        <v>42710.726701388892</v>
      </c>
      <c r="G112" s="7">
        <v>0</v>
      </c>
      <c r="H112" s="22" t="s">
        <v>205</v>
      </c>
      <c r="I112" s="13">
        <v>42710.752789351849</v>
      </c>
      <c r="J112" s="7">
        <v>0</v>
      </c>
      <c r="K112" s="109" t="str">
        <f t="shared" si="23"/>
        <v>4019/4020</v>
      </c>
      <c r="L112" s="22" t="str">
        <f>VLOOKUP(A112,'Trips&amp;Operators'!$C$1:$G$99999,5,FALSE)</f>
        <v>HELVIE ADAM</v>
      </c>
      <c r="M112" s="6">
        <f t="shared" si="24"/>
        <v>2.6087962956808042E-2</v>
      </c>
      <c r="N112" s="7">
        <f t="shared" si="38"/>
        <v>37.56666665780358</v>
      </c>
      <c r="O112" s="7"/>
      <c r="P112" s="7"/>
      <c r="Q112" s="23"/>
      <c r="R112" s="23"/>
      <c r="S112" s="35">
        <f t="shared" si="39"/>
        <v>1</v>
      </c>
      <c r="T112" s="50" t="str">
        <f t="shared" si="25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16:21:16-700',mode:absolute,to:'2016-12-06 19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2" s="52" t="str">
        <f t="shared" si="27"/>
        <v>N</v>
      </c>
      <c r="X112" s="177">
        <f t="shared" si="28"/>
        <v>1</v>
      </c>
      <c r="Y112" s="67">
        <f t="shared" si="29"/>
        <v>23.299299999999999</v>
      </c>
      <c r="Z112" s="67">
        <f t="shared" si="30"/>
        <v>1.5599999999999999E-2</v>
      </c>
      <c r="AA112" s="67">
        <f t="shared" si="31"/>
        <v>23.2837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2"/>
        <v>0204-06</v>
      </c>
      <c r="AE112" s="91" t="str">
        <f t="shared" si="33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12" s="88" t="str">
        <f t="shared" si="34"/>
        <v>"C:\Program Files (x86)\AstroGrep\AstroGrep.exe" /spath="%USERPROFILE%\AppData\Local\Temp\OnboardLogs" /stypes="app*4019*20161207*" /stext=" 01:.+((SYSTEM_STATE.+slice.+state.+changed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92" t="str">
        <f t="shared" si="36"/>
        <v>"%USERPROFILE%\Documents\GitHub\eaglep3\Utilities\RefineRTDCRunTimes.py" --tripid 204-06 --locoid 4019 --swversion DE.1.0.8.0 --startMP 204:232993 --initTime 2016-12-06T17:21:16 --startdatetime 2016-12-06T17:26:27 --delay 0 --endMP 204:156 --enddatetime 2016-12-06T18:04:01 --enforcementcount 0 &gt;&gt;C:\Users\stu\Documents\GitHub\eaglep3-reporting\EC\2016-12-06-refined-times.txt</v>
      </c>
      <c r="AI11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{"issue":{"subject":"","project_id":79,"tracker_id":40,"status_id":1,"priority_id":2,"assigned_to_id":23,"start_date":"2016-12-06","description":"","custom_fields":[{"id":1,"name":"Subdivision","value":"EC"},{"id":4,"name":"Milepost","value":"0.0156"},{"id":17,"name":"Train ID","value":"204-06"},{"id":16,"name":"Locomotive ID","value":"4019"},{"id":130,"name":"Impact","value":""},{"id":150,"name":"Time of Event (Mountain Time)","value":"18:04:01"},{"id":151,"name":"Denver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589</v>
      </c>
      <c r="B113" s="7">
        <v>4011</v>
      </c>
      <c r="C113" s="22" t="s">
        <v>207</v>
      </c>
      <c r="D113" s="22" t="s">
        <v>714</v>
      </c>
      <c r="E113" s="13">
        <v>42710.693981481483</v>
      </c>
      <c r="F113" s="13">
        <v>42710.698460648149</v>
      </c>
      <c r="G113" s="7">
        <v>1</v>
      </c>
      <c r="H113" s="22" t="s">
        <v>391</v>
      </c>
      <c r="I113" s="13">
        <v>42710.724490740744</v>
      </c>
      <c r="J113" s="7">
        <v>0</v>
      </c>
      <c r="K113" s="109" t="str">
        <f t="shared" si="23"/>
        <v>4011/4012</v>
      </c>
      <c r="L113" s="22" t="str">
        <f>VLOOKUP(A113,'Trips&amp;Operators'!$C$1:$G$99999,5,FALSE)</f>
        <v>MAHAN DUANE</v>
      </c>
      <c r="M113" s="6">
        <f t="shared" si="24"/>
        <v>2.6030092594737653E-2</v>
      </c>
      <c r="N113" s="7">
        <f t="shared" si="38"/>
        <v>37.48333333642222</v>
      </c>
      <c r="O113" s="7"/>
      <c r="P113" s="7"/>
      <c r="Q113" s="23"/>
      <c r="R113" s="23"/>
      <c r="S113" s="35">
        <f t="shared" si="39"/>
        <v>1</v>
      </c>
      <c r="T113" s="50" t="str">
        <f t="shared" si="25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15:39:20-700',mode:absolute,to:'2016-12-06 18:23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3" s="52" t="str">
        <f t="shared" si="27"/>
        <v>N</v>
      </c>
      <c r="X113" s="177">
        <f t="shared" si="28"/>
        <v>1</v>
      </c>
      <c r="Y113" s="67">
        <f t="shared" si="29"/>
        <v>4.24E-2</v>
      </c>
      <c r="Z113" s="67">
        <f t="shared" si="30"/>
        <v>23.328800000000001</v>
      </c>
      <c r="AA113" s="67">
        <f t="shared" si="31"/>
        <v>23.2864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2"/>
        <v>0205-06</v>
      </c>
      <c r="AE113" s="91" t="str">
        <f t="shared" si="33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13" s="88" t="str">
        <f t="shared" si="34"/>
        <v>"C:\Program Files (x86)\AstroGrep\AstroGrep.exe" /spath="%USERPROFILE%\AppData\Local\Temp\OnboardLogs" /stypes="app*4011*20161207*"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92" t="str">
        <f t="shared" si="36"/>
        <v>"%USERPROFILE%\Documents\GitHub\eaglep3\Utilities\RefineRTDCRunTimes.py" --tripid 205-06 --locoid 4011 --swversion DE.1.0.8.0 --startMP 204:424 --initTime 2016-12-06T16:39:20 --startdatetime 2016-12-06T16:45:47 --delay 1 --endMP 204:233288 --enddatetime 2016-12-06T17:23:16 --enforcementcount 0 &gt;&gt;C:\Users\stu\Documents\GitHub\eaglep3-reporting\EC\2016-12-06-refined-times.txt</v>
      </c>
      <c r="AI11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{"issue":{"subject":"","project_id":79,"tracker_id":40,"status_id":1,"priority_id":2,"assigned_to_id":23,"start_date":"2016-12-06","description":"","custom_fields":[{"id":1,"name":"Subdivision","value":"EC"},{"id":4,"name":"Milepost","value":"23.3288"},{"id":17,"name":"Train ID","value":"205-06"},{"id":16,"name":"Locomotive ID","value":"4011"},{"id":130,"name":"Impact","value":""},{"id":150,"name":"Time of Event (Mountain Time)","value":"17:23:16"},{"id":151,"name":"Denver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446</v>
      </c>
      <c r="B114" s="7">
        <v>4012</v>
      </c>
      <c r="C114" s="22" t="s">
        <v>207</v>
      </c>
      <c r="D114" s="22" t="s">
        <v>715</v>
      </c>
      <c r="E114" s="13">
        <v>42710.732916666668</v>
      </c>
      <c r="F114" s="13">
        <v>42710.737199074072</v>
      </c>
      <c r="G114" s="7">
        <v>1</v>
      </c>
      <c r="H114" s="22" t="s">
        <v>716</v>
      </c>
      <c r="I114" s="13">
        <v>42710.763969907406</v>
      </c>
      <c r="J114" s="7">
        <v>0</v>
      </c>
      <c r="K114" s="109" t="str">
        <f t="shared" si="23"/>
        <v>4011/4012</v>
      </c>
      <c r="L114" s="22" t="str">
        <f>VLOOKUP(A114,'Trips&amp;Operators'!$C$1:$G$99999,5,FALSE)</f>
        <v>MAHAN DUANE</v>
      </c>
      <c r="M114" s="6">
        <f t="shared" si="24"/>
        <v>2.6770833334012423E-2</v>
      </c>
      <c r="N114" s="7">
        <f t="shared" si="38"/>
        <v>38.550000000977889</v>
      </c>
      <c r="O114" s="7"/>
      <c r="P114" s="7"/>
      <c r="Q114" s="23"/>
      <c r="R114" s="23"/>
      <c r="S114" s="35">
        <f t="shared" si="39"/>
        <v>1</v>
      </c>
      <c r="T114" s="50" t="str">
        <f t="shared" si="25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4" s="52" t="str">
        <f t="shared" si="27"/>
        <v>N</v>
      </c>
      <c r="X114" s="177">
        <f t="shared" si="28"/>
        <v>1</v>
      </c>
      <c r="Y114" s="67">
        <f t="shared" si="29"/>
        <v>23.297999999999998</v>
      </c>
      <c r="Z114" s="67">
        <f t="shared" si="30"/>
        <v>1.8499999999999999E-2</v>
      </c>
      <c r="AA114" s="67">
        <f t="shared" si="31"/>
        <v>23.279499999999999</v>
      </c>
      <c r="AB114" s="64" t="str">
        <f>VLOOKUP(A114,Enforcements!$C$7:$K$20,8,0)</f>
        <v>Form based authority (4)</v>
      </c>
      <c r="AC114" s="60" t="str">
        <f>VLOOKUP(A114,Enforcements!$C$7:$E$20,3,0)</f>
        <v>TRACK WARRANT AUTHORITY</v>
      </c>
      <c r="AD114" s="61" t="str">
        <f t="shared" si="32"/>
        <v>0206-06</v>
      </c>
      <c r="AE114" s="91" t="str">
        <f t="shared" si="33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14" s="88" t="str">
        <f t="shared" si="34"/>
        <v>"C:\Program Files (x86)\AstroGrep\AstroGrep.exe" /spath="%USERPROFILE%\AppData\Local\Temp\OnboardLogs" /stypes="app*4012*20161207*" /stext=" 01:.+((SYSTEM_STATE.+slice.+state.+changed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92" t="str">
        <f t="shared" si="36"/>
        <v>"%USERPROFILE%\Documents\GitHub\eaglep3\Utilities\RefineRTDCRunTimes.py" --tripid 206-06 --locoid 4012 --swversion DE.1.0.8.0 --startMP 204:232980 --initTime 2016-12-06T17:35:24 --startdatetime 2016-12-06T17:41:34 --delay 1 --endMP 204:185 --enddatetime 2016-12-06T18:20:07 --enforcementcount 0 &gt;&gt;C:\Users\stu\Documents\GitHub\eaglep3-reporting\EC\2016-12-06-refined-times.txt</v>
      </c>
      <c r="AI11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{"issue":{"subject":"","project_id":79,"tracker_id":40,"status_id":1,"priority_id":2,"assigned_to_id":23,"start_date":"2016-12-06","description":"","custom_fields":[{"id":1,"name":"Subdivision","value":"EC"},{"id":4,"name":"Milepost","value":"0.0185"},{"id":17,"name":"Train ID","value":"206-06"},{"id":16,"name":"Locomotive ID","value":"4012"},{"id":130,"name":"Impact","value":""},{"id":150,"name":"Time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591</v>
      </c>
      <c r="B115" s="7">
        <v>4014</v>
      </c>
      <c r="C115" s="22" t="s">
        <v>207</v>
      </c>
      <c r="D115" s="22" t="s">
        <v>253</v>
      </c>
      <c r="E115" s="13">
        <v>42710.705289351848</v>
      </c>
      <c r="F115" s="13">
        <v>42710.708715277775</v>
      </c>
      <c r="G115" s="7">
        <v>1</v>
      </c>
      <c r="H115" s="22" t="s">
        <v>717</v>
      </c>
      <c r="I115" s="13">
        <v>42710.733877314815</v>
      </c>
      <c r="J115" s="7">
        <v>0</v>
      </c>
      <c r="K115" s="109" t="str">
        <f t="shared" si="23"/>
        <v>4013/4014</v>
      </c>
      <c r="L115" s="22" t="str">
        <f>VLOOKUP(A115,'Trips&amp;Operators'!$C$1:$G$99999,5,FALSE)</f>
        <v>HOLCOMB KAMDEN</v>
      </c>
      <c r="M115" s="6">
        <f t="shared" si="24"/>
        <v>2.5162037039990537E-2</v>
      </c>
      <c r="N115" s="7">
        <f t="shared" si="38"/>
        <v>36.233333337586373</v>
      </c>
      <c r="O115" s="7"/>
      <c r="P115" s="7"/>
      <c r="Q115" s="23"/>
      <c r="R115" s="23"/>
      <c r="S115" s="35">
        <f t="shared" si="39"/>
        <v>1</v>
      </c>
      <c r="T115" s="50" t="str">
        <f t="shared" si="25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15:55:37-700',mode:absolute,to:'2016-12-06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27"/>
        <v>N</v>
      </c>
      <c r="X115" s="177">
        <f t="shared" si="28"/>
        <v>1</v>
      </c>
      <c r="Y115" s="67">
        <f t="shared" si="29"/>
        <v>4.6699999999999998E-2</v>
      </c>
      <c r="Z115" s="67">
        <f t="shared" si="30"/>
        <v>23.3323</v>
      </c>
      <c r="AA115" s="67">
        <f t="shared" si="31"/>
        <v>23.285599999999999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2"/>
        <v>0207-06</v>
      </c>
      <c r="AE115" s="91" t="str">
        <f t="shared" si="33"/>
        <v>aws s3 cp s3://rtdc.mdm.uploadarchive.raw/RTDC4014/ "%USERPROFILE%\AppData\Local\Temp\OnboardLogs"\RTDC4014\2016-12-06 --exclude "*" --recursive --include "*20161206*" &amp; "%USERPROFILE%\Documents\GitHub\mrs-test-scripts\Headless Mode &amp; Sideloading\WalkAndUnGZ.bat" "%USERPROFILE%\AppData\Local\Temp\OnboardLogs"\RTDC4014\2016-12-06 &amp; 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</v>
      </c>
      <c r="AF115" s="88" t="str">
        <f t="shared" si="34"/>
        <v>"C:\Program Files (x86)\AstroGrep\AstroGrep.exe" /spath="%USERPROFILE%\AppData\Local\Temp\OnboardLogs" /stypes="app*4014*20161207*"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92" t="str">
        <f t="shared" si="36"/>
        <v>"%USERPROFILE%\Documents\GitHub\eaglep3\Utilities\RefineRTDCRunTimes.py" --tripid 207-06 --locoid 4014 --swversion DE.1.0.8.0 --startMP 204:467 --initTime 2016-12-06T16:55:37 --startdatetime 2016-12-06T17:00:33 --delay 1 --endMP 204:233323 --enddatetime 2016-12-06T17:36:47 --enforcementcount 0 &gt;&gt;C:\Users\stu\Documents\GitHub\eaglep3-reporting\EC\2016-12-06-refined-times.txt</v>
      </c>
      <c r="AI11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{"issue":{"subject":"","project_id":79,"tracker_id":40,"status_id":1,"priority_id":2,"assigned_to_id":23,"start_date":"2016-12-06","description":"","custom_fields":[{"id":1,"name":"Subdivision","value":"EC"},{"id":4,"name":"Milepost","value":"23.3323"},{"id":17,"name":"Train ID","value":"207-06"},{"id":16,"name":"Locomotive ID","value":"4014"},{"id":130,"name":"Impact","value":""},{"id":150,"name":"Time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447</v>
      </c>
      <c r="B116" s="7">
        <v>4013</v>
      </c>
      <c r="C116" s="22" t="s">
        <v>207</v>
      </c>
      <c r="D116" s="22" t="s">
        <v>675</v>
      </c>
      <c r="E116" s="13">
        <v>42710.740497685183</v>
      </c>
      <c r="F116" s="13">
        <v>42710.747488425928</v>
      </c>
      <c r="G116" s="7">
        <v>1</v>
      </c>
      <c r="H116" s="22" t="s">
        <v>718</v>
      </c>
      <c r="I116" s="13">
        <v>42710.774537037039</v>
      </c>
      <c r="J116" s="7">
        <v>0</v>
      </c>
      <c r="K116" s="109" t="str">
        <f t="shared" si="23"/>
        <v>4013/4014</v>
      </c>
      <c r="L116" s="22" t="str">
        <f>VLOOKUP(A116,'Trips&amp;Operators'!$C$1:$G$99999,5,FALSE)</f>
        <v>HOLCOMB KAMDEN</v>
      </c>
      <c r="M116" s="6">
        <f t="shared" si="24"/>
        <v>2.7048611111240461E-2</v>
      </c>
      <c r="N116" s="7">
        <f t="shared" si="38"/>
        <v>38.950000000186265</v>
      </c>
      <c r="O116" s="7"/>
      <c r="P116" s="7"/>
      <c r="Q116" s="23"/>
      <c r="R116" s="23"/>
      <c r="S116" s="35">
        <f t="shared" si="39"/>
        <v>1</v>
      </c>
      <c r="T116" s="50" t="str">
        <f t="shared" si="25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27"/>
        <v>N</v>
      </c>
      <c r="X116" s="177">
        <f t="shared" si="28"/>
        <v>1</v>
      </c>
      <c r="Y116" s="67">
        <f t="shared" si="29"/>
        <v>23.3</v>
      </c>
      <c r="Z116" s="67">
        <f t="shared" si="30"/>
        <v>1.0999999999999999E-2</v>
      </c>
      <c r="AA116" s="67">
        <f t="shared" si="31"/>
        <v>23.289000000000001</v>
      </c>
      <c r="AB116" s="64" t="str">
        <f>VLOOKUP(A116,Enforcements!$C$7:$K$20,8,0)</f>
        <v>Bulletin (2)</v>
      </c>
      <c r="AC116" s="60" t="str">
        <f>VLOOKUP(A116,Enforcements!$C$7:$E$20,3,0)</f>
        <v>TEMPORARY SPEED RESTRICTION</v>
      </c>
      <c r="AD116" s="61" t="str">
        <f t="shared" si="32"/>
        <v>0208-06</v>
      </c>
      <c r="AE116" s="91" t="str">
        <f t="shared" si="33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116" s="88" t="str">
        <f t="shared" si="34"/>
        <v>"C:\Program Files (x86)\AstroGrep\AstroGrep.exe" /spath="%USERPROFILE%\AppData\Local\Temp\OnboardLogs" /stypes="app*4013*20161207*"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92" t="str">
        <f t="shared" si="36"/>
        <v>"%USERPROFILE%\Documents\GitHub\eaglep3\Utilities\RefineRTDCRunTimes.py" --tripid 208-06 --locoid 4013 --swversion DE.1.0.8.0 --startMP 204:233000 --initTime 2016-12-06T17:46:19 --startdatetime 2016-12-06T17:56:23 --delay 1 --endMP 204:110 --enddatetime 2016-12-06T18:35:20 --enforcementcount 0 &gt;&gt;C:\Users\stu\Documents\GitHub\eaglep3-reporting\EC\2016-12-06-refined-times.txt</v>
      </c>
      <c r="AI116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{"issue":{"subject":"","project_id":79,"tracker_id":40,"status_id":1,"priority_id":2,"assigned_to_id":23,"start_date":"2016-12-06","description":"","custom_fields":[{"id":1,"name":"Subdivision","value":"EC"},{"id":4,"name":"Milepost","value":"0.011"},{"id":17,"name":"Train ID","value":"208-06"},{"id":16,"name":"Locomotive ID","value":"4013"},{"id":130,"name":"Impact","value":""},{"id":150,"name":"Time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594</v>
      </c>
      <c r="B117" s="7">
        <v>4029</v>
      </c>
      <c r="C117" s="22" t="s">
        <v>207</v>
      </c>
      <c r="D117" s="22" t="s">
        <v>388</v>
      </c>
      <c r="E117" s="13">
        <v>42710.715636574074</v>
      </c>
      <c r="F117" s="13">
        <v>42710.719513888886</v>
      </c>
      <c r="G117" s="7">
        <v>1</v>
      </c>
      <c r="H117" s="22" t="s">
        <v>385</v>
      </c>
      <c r="I117" s="13">
        <v>42710.744363425925</v>
      </c>
      <c r="J117" s="7">
        <v>0</v>
      </c>
      <c r="K117" s="109" t="str">
        <f t="shared" si="23"/>
        <v>4029/4030</v>
      </c>
      <c r="L117" s="22" t="str">
        <f>VLOOKUP(A117,'Trips&amp;Operators'!$C$1:$G$99999,5,FALSE)</f>
        <v>LEVERE CRAIG</v>
      </c>
      <c r="M117" s="6">
        <f t="shared" si="24"/>
        <v>2.4849537039699499E-2</v>
      </c>
      <c r="N117" s="7">
        <f t="shared" si="38"/>
        <v>35.783333337167278</v>
      </c>
      <c r="O117" s="7"/>
      <c r="P117" s="7"/>
      <c r="Q117" s="23"/>
      <c r="R117" s="23"/>
      <c r="S117" s="35">
        <f t="shared" si="39"/>
        <v>1</v>
      </c>
      <c r="T117" s="50" t="str">
        <f t="shared" si="25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16:10:31-700',mode:absolute,to:'2016-12-06 18:51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7" s="52" t="str">
        <f t="shared" si="27"/>
        <v>N</v>
      </c>
      <c r="X117" s="177">
        <f t="shared" si="28"/>
        <v>1</v>
      </c>
      <c r="Y117" s="67">
        <f t="shared" si="29"/>
        <v>4.6199999999999998E-2</v>
      </c>
      <c r="Z117" s="67">
        <f t="shared" si="30"/>
        <v>23.3309</v>
      </c>
      <c r="AA117" s="67">
        <f t="shared" si="31"/>
        <v>23.284700000000001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2"/>
        <v>0209-06</v>
      </c>
      <c r="AE117" s="91" t="str">
        <f t="shared" si="33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17" s="88" t="str">
        <f t="shared" si="34"/>
        <v>"C:\Program Files (x86)\AstroGrep\AstroGrep.exe" /spath="%USERPROFILE%\AppData\Local\Temp\OnboardLogs" /stypes="app*4029*20161207*"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92" t="str">
        <f t="shared" si="36"/>
        <v>"%USERPROFILE%\Documents\GitHub\eaglep3\Utilities\RefineRTDCRunTimes.py" --tripid 209-06 --locoid 4029 --swversion DE.1.0.8.0 --startMP 204:462 --initTime 2016-12-06T17:10:31 --startdatetime 2016-12-06T17:16:06 --delay 1 --endMP 204:233309 --enddatetime 2016-12-06T17:51:53 --enforcementcount 0 &gt;&gt;C:\Users\stu\Documents\GitHub\eaglep3-reporting\EC\2016-12-06-refined-times.txt</v>
      </c>
      <c r="AI11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{"issue":{"subject":"","project_id":79,"tracker_id":40,"status_id":1,"priority_id":2,"assigned_to_id":23,"start_date":"2016-12-06","description":"","custom_fields":[{"id":1,"name":"Subdivision","value":"EC"},{"id":4,"name":"Milepost","value":"23.3309"},{"id":17,"name":"Train ID","value":"209-06"},{"id":16,"name":"Locomotive ID","value":"4029"},{"id":130,"name":"Impact","value":""},{"id":150,"name":"Time of Event (Mountain Time)","value":"17:51:53"},{"id":151,"name":"Denver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608</v>
      </c>
      <c r="B118" s="7">
        <v>4030</v>
      </c>
      <c r="C118" s="22" t="s">
        <v>207</v>
      </c>
      <c r="D118" s="22" t="s">
        <v>392</v>
      </c>
      <c r="E118" s="13">
        <v>42710.753425925926</v>
      </c>
      <c r="F118" s="13">
        <v>42710.757824074077</v>
      </c>
      <c r="G118" s="7">
        <v>1</v>
      </c>
      <c r="H118" s="22" t="s">
        <v>240</v>
      </c>
      <c r="I118" s="13">
        <v>42710.784386574072</v>
      </c>
      <c r="J118" s="7">
        <v>0</v>
      </c>
      <c r="K118" s="109" t="str">
        <f t="shared" si="23"/>
        <v>4029/4030</v>
      </c>
      <c r="L118" s="22" t="str">
        <f>VLOOKUP(A118,'Trips&amp;Operators'!$C$1:$G$99999,5,FALSE)</f>
        <v>LEVERE CRAIG</v>
      </c>
      <c r="M118" s="6">
        <f t="shared" si="24"/>
        <v>2.6562499995634425E-2</v>
      </c>
      <c r="N118" s="7">
        <f t="shared" si="38"/>
        <v>38.249999993713573</v>
      </c>
      <c r="O118" s="7"/>
      <c r="P118" s="7"/>
      <c r="Q118" s="23"/>
      <c r="R118" s="23"/>
      <c r="S118" s="35">
        <f t="shared" si="39"/>
        <v>1</v>
      </c>
      <c r="T118" s="50" t="str">
        <f t="shared" si="25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17:04:56-700',mode:absolute,to:'2016-12-06 19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8" s="52" t="str">
        <f t="shared" si="27"/>
        <v>N</v>
      </c>
      <c r="X118" s="177">
        <f t="shared" si="28"/>
        <v>1</v>
      </c>
      <c r="Y118" s="67">
        <f t="shared" si="29"/>
        <v>23.299199999999999</v>
      </c>
      <c r="Z118" s="67">
        <f t="shared" si="30"/>
        <v>1.61E-2</v>
      </c>
      <c r="AA118" s="67">
        <f t="shared" si="31"/>
        <v>23.283099999999997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2"/>
        <v>0210-06</v>
      </c>
      <c r="AE118" s="91" t="str">
        <f t="shared" si="33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18" s="88" t="str">
        <f t="shared" si="34"/>
        <v>"C:\Program Files (x86)\AstroGrep\AstroGrep.exe" /spath="%USERPROFILE%\AppData\Local\Temp\OnboardLogs" /stypes="app*4030*20161207*"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92" t="str">
        <f t="shared" si="36"/>
        <v>"%USERPROFILE%\Documents\GitHub\eaglep3\Utilities\RefineRTDCRunTimes.py" --tripid 210-06 --locoid 4030 --swversion DE.1.0.8.0 --startMP 204:232992 --initTime 2016-12-06T18:04:56 --startdatetime 2016-12-06T18:11:16 --delay 1 --endMP 204:161 --enddatetime 2016-12-06T18:49:31 --enforcementcount 0 &gt;&gt;C:\Users\stu\Documents\GitHub\eaglep3-reporting\EC\2016-12-06-refined-times.txt</v>
      </c>
      <c r="AI11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{"issue":{"subject":"","project_id":79,"tracker_id":40,"status_id":1,"priority_id":2,"assigned_to_id":23,"start_date":"2016-12-06","description":"","custom_fields":[{"id":1,"name":"Subdivision","value":"EC"},{"id":4,"name":"Milepost","value":"0.0161"},{"id":17,"name":"Train ID","value":"210-06"},{"id":16,"name":"Locomotive ID","value":"4030"},{"id":130,"name":"Impact","value":""},{"id":150,"name":"Time of Event (Mountain Time)","value":"18:49:31"},{"id":151,"name":"Denver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597</v>
      </c>
      <c r="B119" s="7">
        <v>4031</v>
      </c>
      <c r="C119" s="22" t="s">
        <v>207</v>
      </c>
      <c r="D119" s="22" t="s">
        <v>269</v>
      </c>
      <c r="E119" s="13">
        <v>42710.725405092591</v>
      </c>
      <c r="F119" s="13">
        <v>42710.729409722226</v>
      </c>
      <c r="G119" s="7">
        <v>1</v>
      </c>
      <c r="H119" s="22" t="s">
        <v>395</v>
      </c>
      <c r="I119" s="13">
        <v>42710.754074074073</v>
      </c>
      <c r="J119" s="7">
        <v>0</v>
      </c>
      <c r="K119" s="109" t="str">
        <f t="shared" si="23"/>
        <v>4031/4032</v>
      </c>
      <c r="L119" s="22" t="str">
        <f>VLOOKUP(A119,'Trips&amp;Operators'!$C$1:$G$99999,5,FALSE)</f>
        <v>ROMERO CHAD</v>
      </c>
      <c r="M119" s="6">
        <f t="shared" si="24"/>
        <v>2.4664351847604848E-2</v>
      </c>
      <c r="N119" s="7">
        <f t="shared" si="38"/>
        <v>35.516666660550982</v>
      </c>
      <c r="O119" s="7"/>
      <c r="P119" s="7"/>
      <c r="Q119" s="23"/>
      <c r="R119" s="23"/>
      <c r="S119" s="35">
        <f t="shared" si="39"/>
        <v>1</v>
      </c>
      <c r="T119" s="50" t="str">
        <f t="shared" si="25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16:24:35-700',mode:absolute,to:'2016-12-06 19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27"/>
        <v>N</v>
      </c>
      <c r="X119" s="177">
        <f t="shared" si="28"/>
        <v>1</v>
      </c>
      <c r="Y119" s="67">
        <f t="shared" si="29"/>
        <v>4.58E-2</v>
      </c>
      <c r="Z119" s="67">
        <f t="shared" si="30"/>
        <v>23.332699999999999</v>
      </c>
      <c r="AA119" s="67">
        <f t="shared" si="31"/>
        <v>23.286899999999999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2"/>
        <v>0211-06</v>
      </c>
      <c r="AE119" s="91" t="str">
        <f t="shared" si="33"/>
        <v>aws s3 cp s3://rtdc.mdm.uploadarchive.raw/RTDC4031/ "%USERPROFILE%\AppData\Local\Temp\OnboardLogs"\RTDC4031\2016-12-06 --exclude "*" --recursive --include "*20161206*" &amp; "%USERPROFILE%\Documents\GitHub\mrs-test-scripts\Headless Mode &amp; Sideloading\WalkAndUnGZ.bat" "%USERPROFILE%\AppData\Local\Temp\OnboardLogs"\RTDC4031\2016-12-06 &amp; 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</v>
      </c>
      <c r="AF119" s="88" t="str">
        <f t="shared" si="34"/>
        <v>"C:\Program Files (x86)\AstroGrep\AstroGrep.exe" /spath="%USERPROFILE%\AppData\Local\Temp\OnboardLogs" /stypes="app*4031*20161207*"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92" t="str">
        <f t="shared" si="36"/>
        <v>"%USERPROFILE%\Documents\GitHub\eaglep3\Utilities\RefineRTDCRunTimes.py" --tripid 211-06 --locoid 4031 --swversion DE.1.0.8.0 --startMP 204:458 --initTime 2016-12-06T17:24:35 --startdatetime 2016-12-06T17:30:21 --delay 1 --endMP 204:233327 --enddatetime 2016-12-06T18:05:52 --enforcementcount 0 &gt;&gt;C:\Users\stu\Documents\GitHub\eaglep3-reporting\EC\2016-12-06-refined-times.txt</v>
      </c>
      <c r="AI11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{"issue":{"subject":"","project_id":79,"tracker_id":40,"status_id":1,"priority_id":2,"assigned_to_id":23,"start_date":"2016-12-06","description":"","custom_fields":[{"id":1,"name":"Subdivision","value":"EC"},{"id":4,"name":"Milepost","value":"23.3327"},{"id":17,"name":"Train ID","value":"211-06"},{"id":16,"name":"Locomotive ID","value":"4031"},{"id":130,"name":"Impact","value":""},{"id":150,"name":"Time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611</v>
      </c>
      <c r="B120" s="7">
        <v>4032</v>
      </c>
      <c r="C120" s="22" t="s">
        <v>207</v>
      </c>
      <c r="D120" s="22" t="s">
        <v>390</v>
      </c>
      <c r="E120" s="13">
        <v>42710.755798611113</v>
      </c>
      <c r="F120" s="13">
        <v>42710.768287037034</v>
      </c>
      <c r="G120" s="7">
        <v>1</v>
      </c>
      <c r="H120" s="22" t="s">
        <v>252</v>
      </c>
      <c r="I120" s="13">
        <v>42710.793958333335</v>
      </c>
      <c r="J120" s="7">
        <v>0</v>
      </c>
      <c r="K120" s="109" t="str">
        <f t="shared" si="23"/>
        <v>4031/4032</v>
      </c>
      <c r="L120" s="22" t="str">
        <f>VLOOKUP(A120,'Trips&amp;Operators'!$C$1:$G$99999,5,FALSE)</f>
        <v>ROMERO CHAD</v>
      </c>
      <c r="M120" s="6">
        <f t="shared" si="24"/>
        <v>2.567129630187992E-2</v>
      </c>
      <c r="N120" s="7">
        <f t="shared" si="38"/>
        <v>36.966666674707085</v>
      </c>
      <c r="O120" s="7"/>
      <c r="P120" s="7"/>
      <c r="Q120" s="23"/>
      <c r="R120" s="23"/>
      <c r="S120" s="35">
        <f t="shared" si="39"/>
        <v>1</v>
      </c>
      <c r="T120" s="50" t="str">
        <f t="shared" si="25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17:08:21-700',mode:absolute,to:'2016-12-06 20:03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27"/>
        <v>N</v>
      </c>
      <c r="X120" s="177">
        <f t="shared" si="28"/>
        <v>1</v>
      </c>
      <c r="Y120" s="67">
        <f t="shared" si="29"/>
        <v>23.299600000000002</v>
      </c>
      <c r="Z120" s="67">
        <f t="shared" si="30"/>
        <v>1.4500000000000001E-2</v>
      </c>
      <c r="AA120" s="67">
        <f t="shared" si="31"/>
        <v>23.2851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2"/>
        <v>0212-06</v>
      </c>
      <c r="AE120" s="91" t="str">
        <f t="shared" si="33"/>
        <v>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 &amp; 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</v>
      </c>
      <c r="AF120" s="88" t="str">
        <f t="shared" si="34"/>
        <v>"C:\Program Files (x86)\AstroGrep\AstroGrep.exe" /spath="%USERPROFILE%\AppData\Local\Temp\OnboardLogs" /stypes="app*4032*20161207*" /stext=" 02:.+((SYSTEM_STATE.+slice.+state.+changed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92" t="str">
        <f t="shared" si="36"/>
        <v>"%USERPROFILE%\Documents\GitHub\eaglep3\Utilities\RefineRTDCRunTimes.py" --tripid 212-06 --locoid 4032 --swversion DE.1.0.8.0 --startMP 204:232996 --initTime 2016-12-06T18:08:21 --startdatetime 2016-12-06T18:26:20 --delay 1 --endMP 204:145 --enddatetime 2016-12-06T19:03:18 --enforcementcount 0 &gt;&gt;C:\Users\stu\Documents\GitHub\eaglep3-reporting\EC\2016-12-06-refined-times.txt</v>
      </c>
      <c r="AI12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{"issue":{"subject":"","project_id":79,"tracker_id":40,"status_id":1,"priority_id":2,"assigned_to_id":23,"start_date":"2016-12-06","description":"","custom_fields":[{"id":1,"name":"Subdivision","value":"EC"},{"id":4,"name":"Milepost","value":"0.0145"},{"id":17,"name":"Train ID","value":"212-06"},{"id":16,"name":"Locomotive ID","value":"4032"},{"id":130,"name":"Impact","value":""},{"id":150,"name":"Time of Event (Mountain Time)","value":"19:03:18"},{"id":151,"name":"Denver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603</v>
      </c>
      <c r="B121" s="7">
        <v>4018</v>
      </c>
      <c r="C121" s="22" t="s">
        <v>207</v>
      </c>
      <c r="D121" s="22" t="s">
        <v>327</v>
      </c>
      <c r="E121" s="13">
        <v>42710.736770833333</v>
      </c>
      <c r="F121" s="13">
        <v>42710.740057870367</v>
      </c>
      <c r="G121" s="7">
        <v>1</v>
      </c>
      <c r="H121" s="22" t="s">
        <v>719</v>
      </c>
      <c r="I121" s="13">
        <v>42710.764236111114</v>
      </c>
      <c r="J121" s="7">
        <v>0</v>
      </c>
      <c r="K121" s="109" t="str">
        <f t="shared" si="23"/>
        <v>4017/4018</v>
      </c>
      <c r="L121" s="22" t="str">
        <f>VLOOKUP(A121,'Trips&amp;Operators'!$C$1:$G$99999,5,FALSE)</f>
        <v>COOLAHAN JOHN</v>
      </c>
      <c r="M121" s="6">
        <f t="shared" si="24"/>
        <v>2.4178240746550728E-2</v>
      </c>
      <c r="N121" s="7">
        <f t="shared" si="38"/>
        <v>34.816666675033048</v>
      </c>
      <c r="O121" s="7"/>
      <c r="P121" s="7"/>
      <c r="Q121" s="23"/>
      <c r="R121" s="23"/>
      <c r="S121" s="35">
        <f t="shared" si="39"/>
        <v>1</v>
      </c>
      <c r="T121" s="50" t="str">
        <f t="shared" si="25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16:40:57-700',mode:absolute,to:'2016-12-06 19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1" s="52" t="str">
        <f t="shared" si="27"/>
        <v>N</v>
      </c>
      <c r="X121" s="177">
        <f t="shared" si="28"/>
        <v>1</v>
      </c>
      <c r="Y121" s="67">
        <f t="shared" si="29"/>
        <v>4.4400000000000002E-2</v>
      </c>
      <c r="Z121" s="67">
        <f t="shared" si="30"/>
        <v>23.333600000000001</v>
      </c>
      <c r="AA121" s="67">
        <f t="shared" si="31"/>
        <v>23.289200000000001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2"/>
        <v>0213-06</v>
      </c>
      <c r="AE121" s="91" t="str">
        <f t="shared" si="33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21" s="88" t="str">
        <f t="shared" si="34"/>
        <v>"C:\Program Files (x86)\AstroGrep\AstroGrep.exe" /spath="%USERPROFILE%\AppData\Local\Temp\OnboardLogs" /stypes="app*4018*20161207*"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92" t="str">
        <f t="shared" si="36"/>
        <v>"%USERPROFILE%\Documents\GitHub\eaglep3\Utilities\RefineRTDCRunTimes.py" --tripid 213-06 --locoid 4018 --swversion DE.1.0.8.0 --startMP 204:444 --initTime 2016-12-06T17:40:57 --startdatetime 2016-12-06T17:45:41 --delay 1 --endMP 204:233336 --enddatetime 2016-12-06T18:20:30 --enforcementcount 0 &gt;&gt;C:\Users\stu\Documents\GitHub\eaglep3-reporting\EC\2016-12-06-refined-times.txt</v>
      </c>
      <c r="AI12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{"issue":{"subject":"","project_id":79,"tracker_id":40,"status_id":1,"priority_id":2,"assigned_to_id":23,"start_date":"2016-12-06","description":"","custom_fields":[{"id":1,"name":"Subdivision","value":"EC"},{"id":4,"name":"Milepost","value":"23.3336"},{"id":17,"name":"Train ID","value":"213-06"},{"id":16,"name":"Locomotive ID","value":"4018"},{"id":130,"name":"Impact","value":""},{"id":150,"name":"Time of Event (Mountain Time)","value":"18:20:30"},{"id":151,"name":"Denver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613</v>
      </c>
      <c r="B122" s="7">
        <v>4017</v>
      </c>
      <c r="C122" s="22" t="s">
        <v>207</v>
      </c>
      <c r="D122" s="22" t="s">
        <v>396</v>
      </c>
      <c r="E122" s="13">
        <v>42710.772037037037</v>
      </c>
      <c r="F122" s="13">
        <v>42710.778900462959</v>
      </c>
      <c r="G122" s="7">
        <v>1</v>
      </c>
      <c r="H122" s="22" t="s">
        <v>682</v>
      </c>
      <c r="I122" s="13">
        <v>42710.804664351854</v>
      </c>
      <c r="J122" s="7">
        <v>0</v>
      </c>
      <c r="K122" s="109" t="str">
        <f t="shared" si="23"/>
        <v>4017/4018</v>
      </c>
      <c r="L122" s="22" t="str">
        <f>VLOOKUP(A122,'Trips&amp;Operators'!$C$1:$G$99999,5,FALSE)</f>
        <v>COOLAHAN JOHN</v>
      </c>
      <c r="M122" s="6">
        <f t="shared" si="24"/>
        <v>2.5763888894289266E-2</v>
      </c>
      <c r="N122" s="7">
        <f t="shared" si="38"/>
        <v>37.100000007776543</v>
      </c>
      <c r="O122" s="7"/>
      <c r="P122" s="7"/>
      <c r="Q122" s="23"/>
      <c r="R122" s="23"/>
      <c r="S122" s="35">
        <f t="shared" si="39"/>
        <v>1</v>
      </c>
      <c r="T122" s="50" t="str">
        <f t="shared" si="25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17:31:44-700',mode:absolute,to:'2016-12-06 20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2" s="52" t="str">
        <f t="shared" si="27"/>
        <v>N</v>
      </c>
      <c r="X122" s="177">
        <f t="shared" si="28"/>
        <v>1</v>
      </c>
      <c r="Y122" s="67">
        <f t="shared" si="29"/>
        <v>23.300899999999999</v>
      </c>
      <c r="Z122" s="67">
        <f t="shared" si="30"/>
        <v>1.29E-2</v>
      </c>
      <c r="AA122" s="67">
        <f t="shared" si="31"/>
        <v>23.288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2"/>
        <v>0214-06</v>
      </c>
      <c r="AE122" s="91" t="str">
        <f t="shared" si="33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22" s="88" t="str">
        <f t="shared" si="34"/>
        <v>"C:\Program Files (x86)\AstroGrep\AstroGrep.exe" /spath="%USERPROFILE%\AppData\Local\Temp\OnboardLogs" /stypes="app*4017*20161207*" /stext=" 02:.+((SYSTEM_STATE.+slice.+state.+changed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92" t="str">
        <f t="shared" si="36"/>
        <v>"%USERPROFILE%\Documents\GitHub\eaglep3\Utilities\RefineRTDCRunTimes.py" --tripid 214-06 --locoid 4017 --swversion DE.1.0.8.0 --startMP 204:233009 --initTime 2016-12-06T18:31:44 --startdatetime 2016-12-06T18:41:37 --delay 1 --endMP 204:129 --enddatetime 2016-12-06T19:18:43 --enforcementcount 0 &gt;&gt;C:\Users\stu\Documents\GitHub\eaglep3-reporting\EC\2016-12-06-refined-times.txt</v>
      </c>
      <c r="AI12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{"issue":{"subject":"","project_id":79,"tracker_id":40,"status_id":1,"priority_id":2,"assigned_to_id":23,"start_date":"2016-12-06","description":"","custom_fields":[{"id":1,"name":"Subdivision","value":"EC"},{"id":4,"name":"Milepost","value":"0.0129"},{"id":17,"name":"Train ID","value":"214-06"},{"id":16,"name":"Locomotive ID","value":"4017"},{"id":130,"name":"Impact","value":""},{"id":150,"name":"Time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7" t="s">
        <v>607</v>
      </c>
      <c r="B123" s="7">
        <v>4016</v>
      </c>
      <c r="C123" s="22" t="s">
        <v>207</v>
      </c>
      <c r="D123" s="22" t="s">
        <v>243</v>
      </c>
      <c r="E123" s="13">
        <v>42710.747337962966</v>
      </c>
      <c r="F123" s="13">
        <v>42710.750509259262</v>
      </c>
      <c r="G123" s="7">
        <v>1</v>
      </c>
      <c r="H123" s="22" t="s">
        <v>720</v>
      </c>
      <c r="I123" s="13">
        <v>42710.775543981479</v>
      </c>
      <c r="J123" s="7">
        <v>0</v>
      </c>
      <c r="K123" s="109" t="str">
        <f t="shared" si="23"/>
        <v>4015/4016</v>
      </c>
      <c r="L123" s="22" t="str">
        <f>VLOOKUP(A123,'Trips&amp;Operators'!$C$1:$G$99999,5,FALSE)</f>
        <v>STORY SAMANTHA</v>
      </c>
      <c r="M123" s="6">
        <f t="shared" si="24"/>
        <v>2.5034722217242233E-2</v>
      </c>
      <c r="N123" s="7">
        <f t="shared" si="38"/>
        <v>36.049999992828816</v>
      </c>
      <c r="O123" s="7"/>
      <c r="P123" s="7"/>
      <c r="Q123" s="23"/>
      <c r="R123" s="23"/>
      <c r="S123" s="35">
        <f t="shared" si="39"/>
        <v>1</v>
      </c>
      <c r="T123" s="50" t="str">
        <f t="shared" si="25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16:56:10-700',mode:absolute,to:'2016-12-06 19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27"/>
        <v>N</v>
      </c>
      <c r="X123" s="177">
        <f t="shared" si="28"/>
        <v>1</v>
      </c>
      <c r="Y123" s="67">
        <f t="shared" si="29"/>
        <v>4.7100000000000003E-2</v>
      </c>
      <c r="Z123" s="67">
        <f t="shared" si="30"/>
        <v>23.334900000000001</v>
      </c>
      <c r="AA123" s="67">
        <f t="shared" si="31"/>
        <v>23.287800000000001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2"/>
        <v>0215-06</v>
      </c>
      <c r="AE123" s="91" t="str">
        <f t="shared" si="33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123" s="88" t="str">
        <f t="shared" si="34"/>
        <v>"C:\Program Files (x86)\AstroGrep\AstroGrep.exe" /spath="%USERPROFILE%\AppData\Local\Temp\OnboardLogs" /stypes="app*4016*20161207*"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92" t="str">
        <f t="shared" si="36"/>
        <v>"%USERPROFILE%\Documents\GitHub\eaglep3\Utilities\RefineRTDCRunTimes.py" --tripid 215-06 --locoid 4016 --swversion DE.1.0.8.0 --startMP 204:471 --initTime 2016-12-06T17:56:10 --startdatetime 2016-12-06T18:00:44 --delay 1 --endMP 204:233349 --enddatetime 2016-12-06T18:36:47 --enforcementcount 0 &gt;&gt;C:\Users\stu\Documents\GitHub\eaglep3-reporting\EC\2016-12-06-refined-times.txt</v>
      </c>
      <c r="AI12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{"issue":{"subject":"","project_id":79,"tracker_id":40,"status_id":1,"priority_id":2,"assigned_to_id":23,"start_date":"2016-12-06","description":"","custom_fields":[{"id":1,"name":"Subdivision","value":"EC"},{"id":4,"name":"Milepost","value":"23.3349"},{"id":17,"name":"Train ID","value":"215-06"},{"id":16,"name":"Locomotive ID","value":"4016"},{"id":130,"name":"Impact","value":""},{"id":150,"name":"Time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91" s="21" customFormat="1" x14ac:dyDescent="0.25">
      <c r="A124" s="37" t="s">
        <v>616</v>
      </c>
      <c r="B124" s="7">
        <v>4015</v>
      </c>
      <c r="C124" s="22" t="s">
        <v>207</v>
      </c>
      <c r="D124" s="22" t="s">
        <v>685</v>
      </c>
      <c r="E124" s="13">
        <v>42710.786863425928</v>
      </c>
      <c r="F124" s="13">
        <v>42710.789502314816</v>
      </c>
      <c r="G124" s="7">
        <v>1</v>
      </c>
      <c r="H124" s="22" t="s">
        <v>192</v>
      </c>
      <c r="I124" s="13">
        <v>42710.816307870373</v>
      </c>
      <c r="J124" s="7">
        <v>0</v>
      </c>
      <c r="K124" s="109" t="str">
        <f t="shared" si="23"/>
        <v>4015/4016</v>
      </c>
      <c r="L124" s="22" t="str">
        <f>VLOOKUP(A124,'Trips&amp;Operators'!$C$1:$G$99999,5,FALSE)</f>
        <v>STORY SAMANTHA</v>
      </c>
      <c r="M124" s="6">
        <f t="shared" si="24"/>
        <v>2.6805555557075422E-2</v>
      </c>
      <c r="N124" s="7">
        <f t="shared" si="38"/>
        <v>38.600000002188608</v>
      </c>
      <c r="O124" s="7"/>
      <c r="P124" s="7"/>
      <c r="Q124" s="23"/>
      <c r="R124" s="23"/>
      <c r="S124" s="35">
        <f t="shared" si="39"/>
        <v>1</v>
      </c>
      <c r="T124" s="50" t="str">
        <f t="shared" si="25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17:53:05-700',mode:absolute,to:'2016-12-06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27"/>
        <v>N</v>
      </c>
      <c r="X124" s="177">
        <f t="shared" si="28"/>
        <v>1</v>
      </c>
      <c r="Y124" s="67">
        <f t="shared" si="29"/>
        <v>23.302299999999999</v>
      </c>
      <c r="Z124" s="67">
        <f t="shared" si="30"/>
        <v>1.49E-2</v>
      </c>
      <c r="AA124" s="67">
        <f t="shared" si="31"/>
        <v>23.287399999999998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2"/>
        <v>0216-06</v>
      </c>
      <c r="AE124" s="91" t="str">
        <f t="shared" si="33"/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AF124" s="88" t="str">
        <f t="shared" si="34"/>
        <v>"C:\Program Files (x86)\AstroGrep\AstroGrep.exe" /spath="%USERPROFILE%\AppData\Local\Temp\OnboardLogs" /stypes="app*4015*20161207*"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92" t="str">
        <f t="shared" si="36"/>
        <v>"%USERPROFILE%\Documents\GitHub\eaglep3\Utilities\RefineRTDCRunTimes.py" --tripid 216-06 --locoid 4015 --swversion DE.1.0.8.0 --startMP 204:233023 --initTime 2016-12-06T18:53:05 --startdatetime 2016-12-06T18:56:53 --delay 1 --endMP 204:149 --enddatetime 2016-12-06T19:35:29 --enforcementcount 0 &gt;&gt;C:\Users\stu\Documents\GitHub\eaglep3-reporting\EC\2016-12-06-refined-times.txt</v>
      </c>
      <c r="AI12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{"issue":{"subject":"","project_id":79,"tracker_id":40,"status_id":1,"priority_id":2,"assigned_to_id":23,"start_date":"2016-12-06","description":"","custom_fields":[{"id":1,"name":"Subdivision","value":"EC"},{"id":4,"name":"Milepost","value":"0.0149"},{"id":17,"name":"Train ID","value":"216-06"},{"id":16,"name":"Locomotive ID","value":"4015"},{"id":130,"name":"Impact","value":""},{"id":150,"name":"Time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610</v>
      </c>
      <c r="B125" s="7">
        <v>4020</v>
      </c>
      <c r="C125" s="22" t="s">
        <v>207</v>
      </c>
      <c r="D125" s="22" t="s">
        <v>241</v>
      </c>
      <c r="E125" s="13">
        <v>42710.755474537036</v>
      </c>
      <c r="F125" s="13">
        <v>42710.760578703703</v>
      </c>
      <c r="G125" s="7">
        <v>2</v>
      </c>
      <c r="H125" s="22" t="s">
        <v>662</v>
      </c>
      <c r="I125" s="13">
        <v>42710.784618055557</v>
      </c>
      <c r="J125" s="7">
        <v>0</v>
      </c>
      <c r="K125" s="109" t="str">
        <f t="shared" si="23"/>
        <v>4019/4020</v>
      </c>
      <c r="L125" s="22" t="str">
        <f>VLOOKUP(A125,'Trips&amp;Operators'!$C$1:$G$99999,5,FALSE)</f>
        <v>YANAI IAN</v>
      </c>
      <c r="M125" s="6">
        <f t="shared" si="24"/>
        <v>2.4039351854298729E-2</v>
      </c>
      <c r="N125" s="7">
        <f t="shared" si="38"/>
        <v>34.61666667019017</v>
      </c>
      <c r="O125" s="7"/>
      <c r="P125" s="7"/>
      <c r="Q125" s="23"/>
      <c r="R125" s="23"/>
      <c r="S125" s="35">
        <f t="shared" si="39"/>
        <v>1</v>
      </c>
      <c r="T125" s="50" t="str">
        <f t="shared" si="25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17:07:53-700',mode:absolute,to:'2016-12-06 19:49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5" s="52" t="str">
        <f t="shared" si="27"/>
        <v>N</v>
      </c>
      <c r="X125" s="177">
        <f t="shared" si="28"/>
        <v>1</v>
      </c>
      <c r="Y125" s="67">
        <f t="shared" si="29"/>
        <v>4.5999999999999999E-2</v>
      </c>
      <c r="Z125" s="67">
        <f t="shared" si="30"/>
        <v>23.330500000000001</v>
      </c>
      <c r="AA125" s="67">
        <f t="shared" si="31"/>
        <v>23.284500000000001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2"/>
        <v>0217-06</v>
      </c>
      <c r="AE125" s="91" t="str">
        <f t="shared" si="33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25" s="88" t="str">
        <f t="shared" si="34"/>
        <v>"C:\Program Files (x86)\AstroGrep\AstroGrep.exe" /spath="%USERPROFILE%\AppData\Local\Temp\OnboardLogs" /stypes="app*4020*20161207*"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92" t="str">
        <f t="shared" si="36"/>
        <v>"%USERPROFILE%\Documents\GitHub\eaglep3\Utilities\RefineRTDCRunTimes.py" --tripid 217-06 --locoid 4020 --swversion DE.1.0.8.0 --startMP 204:460 --initTime 2016-12-06T18:07:53 --startdatetime 2016-12-06T18:15:14 --delay 2 --endMP 204:233305 --enddatetime 2016-12-06T18:49:51 --enforcementcount 0 &gt;&gt;C:\Users\stu\Documents\GitHub\eaglep3-reporting\EC\2016-12-06-refined-times.txt</v>
      </c>
      <c r="AI12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{"issue":{"subject":"","project_id":79,"tracker_id":40,"status_id":1,"priority_id":2,"assigned_to_id":23,"start_date":"2016-12-06","description":"","custom_fields":[{"id":1,"name":"Subdivision","value":"EC"},{"id":4,"name":"Milepost","value":"23.3305"},{"id":17,"name":"Train ID","value":"217-06"},{"id":16,"name":"Locomotive ID","value":"4020"},{"id":130,"name":"Impact","value":""},{"id":150,"name":"Time of Event (Mountain Time)","value":"18:49:51"},{"id":151,"name":"Denver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617</v>
      </c>
      <c r="B126" s="7">
        <v>4019</v>
      </c>
      <c r="C126" s="22" t="s">
        <v>207</v>
      </c>
      <c r="D126" s="22" t="s">
        <v>666</v>
      </c>
      <c r="E126" s="13">
        <v>42710.78765046296</v>
      </c>
      <c r="F126" s="13">
        <v>42710.799467592595</v>
      </c>
      <c r="G126" s="7">
        <v>1</v>
      </c>
      <c r="H126" s="22" t="s">
        <v>193</v>
      </c>
      <c r="I126" s="13">
        <v>42710.825162037036</v>
      </c>
      <c r="J126" s="7">
        <v>0</v>
      </c>
      <c r="K126" s="109" t="str">
        <f t="shared" si="23"/>
        <v>4019/4020</v>
      </c>
      <c r="L126" s="22" t="str">
        <f>VLOOKUP(A126,'Trips&amp;Operators'!$C$1:$G$99999,5,FALSE)</f>
        <v>YANAI IAN</v>
      </c>
      <c r="M126" s="6">
        <f t="shared" si="24"/>
        <v>2.569444444088731E-2</v>
      </c>
      <c r="N126" s="7">
        <f t="shared" si="38"/>
        <v>36.999999994877726</v>
      </c>
      <c r="O126" s="7"/>
      <c r="P126" s="7"/>
      <c r="Q126" s="23"/>
      <c r="R126" s="23"/>
      <c r="S126" s="35">
        <f t="shared" si="39"/>
        <v>1</v>
      </c>
      <c r="T126" s="50" t="str">
        <f t="shared" si="25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17:54:13-700',mode:absolute,to:'2016-12-06 20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6" s="52" t="str">
        <f t="shared" si="27"/>
        <v>N</v>
      </c>
      <c r="X126" s="177">
        <f t="shared" si="28"/>
        <v>1</v>
      </c>
      <c r="Y126" s="67">
        <f t="shared" si="29"/>
        <v>23.298400000000001</v>
      </c>
      <c r="Z126" s="67">
        <f t="shared" si="30"/>
        <v>1.43E-2</v>
      </c>
      <c r="AA126" s="67">
        <f t="shared" si="31"/>
        <v>23.284100000000002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2"/>
        <v>0218-06</v>
      </c>
      <c r="AE126" s="91" t="str">
        <f t="shared" si="33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26" s="88" t="str">
        <f t="shared" si="34"/>
        <v>"C:\Program Files (x86)\AstroGrep\AstroGrep.exe" /spath="%USERPROFILE%\AppData\Local\Temp\OnboardLogs" /stypes="app*4019*20161207*"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92" t="str">
        <f t="shared" si="36"/>
        <v>"%USERPROFILE%\Documents\GitHub\eaglep3\Utilities\RefineRTDCRunTimes.py" --tripid 218-06 --locoid 4019 --swversion DE.1.0.8.0 --startMP 204:232984 --initTime 2016-12-06T18:54:13 --startdatetime 2016-12-06T19:11:14 --delay 1 --endMP 204:143 --enddatetime 2016-12-06T19:48:14 --enforcementcount 0 &gt;&gt;C:\Users\stu\Documents\GitHub\eaglep3-reporting\EC\2016-12-06-refined-times.txt</v>
      </c>
      <c r="AI126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{"issue":{"subject":"","project_id":79,"tracker_id":40,"status_id":1,"priority_id":2,"assigned_to_id":23,"start_date":"2016-12-06","description":"","custom_fields":[{"id":1,"name":"Subdivision","value":"EC"},{"id":4,"name":"Milepost","value":"0.0143"},{"id":17,"name":"Train ID","value":"218-06"},{"id":16,"name":"Locomotive ID","value":"4019"},{"id":130,"name":"Impact","value":""},{"id":150,"name":"Time of Event (Mountain Time)","value":"19:48:14"},{"id":151,"name":"Denver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448</v>
      </c>
      <c r="B127" s="7">
        <v>4011</v>
      </c>
      <c r="C127" s="22" t="s">
        <v>207</v>
      </c>
      <c r="D127" s="22" t="s">
        <v>393</v>
      </c>
      <c r="E127" s="13">
        <v>42710.769560185188</v>
      </c>
      <c r="F127" s="13">
        <v>42710.81040509259</v>
      </c>
      <c r="G127" s="7">
        <v>1</v>
      </c>
      <c r="H127" s="22" t="s">
        <v>332</v>
      </c>
      <c r="I127" s="13">
        <v>42710.836793981478</v>
      </c>
      <c r="J127" s="7">
        <v>0</v>
      </c>
      <c r="K127" s="109" t="str">
        <f t="shared" si="23"/>
        <v>4011/4012</v>
      </c>
      <c r="L127" s="22" t="str">
        <f>VLOOKUP(A127,'Trips&amp;Operators'!$C$1:$G$99999,5,FALSE)</f>
        <v>CHANDLER KELVIN</v>
      </c>
      <c r="M127" s="6">
        <f t="shared" si="24"/>
        <v>2.6388888887595385E-2</v>
      </c>
      <c r="N127" s="7">
        <f t="shared" si="38"/>
        <v>37.999999998137355</v>
      </c>
      <c r="O127" s="7"/>
      <c r="P127" s="7"/>
      <c r="Q127" s="23"/>
      <c r="R127" s="23"/>
      <c r="S127" s="35">
        <f t="shared" si="39"/>
        <v>1</v>
      </c>
      <c r="T127" s="50" t="str">
        <f t="shared" si="25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7" s="52" t="str">
        <f t="shared" si="27"/>
        <v>N</v>
      </c>
      <c r="X127" s="177">
        <f t="shared" si="28"/>
        <v>1</v>
      </c>
      <c r="Y127" s="67">
        <f t="shared" si="29"/>
        <v>4.8800000000000003E-2</v>
      </c>
      <c r="Z127" s="67">
        <f t="shared" si="30"/>
        <v>23.3293</v>
      </c>
      <c r="AA127" s="67">
        <f t="shared" si="31"/>
        <v>23.2805</v>
      </c>
      <c r="AB127" s="64" t="str">
        <f>VLOOKUP(A127,Enforcements!$C$7:$K$20,8,0)</f>
        <v>Speed (6)</v>
      </c>
      <c r="AC127" s="60" t="str">
        <f>VLOOKUP(A127,Enforcements!$C$7:$E$20,3,0)</f>
        <v>PERMANENT SPEED RESTRICTION</v>
      </c>
      <c r="AD127" s="61" t="str">
        <f t="shared" si="32"/>
        <v>0219-06</v>
      </c>
      <c r="AE127" s="91" t="str">
        <f t="shared" si="33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27" s="88" t="str">
        <f t="shared" si="34"/>
        <v>"C:\Program Files (x86)\AstroGrep\AstroGrep.exe" /spath="%USERPROFILE%\AppData\Local\Temp\OnboardLogs" /stypes="app*4011*20161207*" /stext=" 03:.+((SYSTEM_STATE.+slice.+state.+changed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92" t="str">
        <f t="shared" si="36"/>
        <v>"%USERPROFILE%\Documents\GitHub\eaglep3\Utilities\RefineRTDCRunTimes.py" --tripid 219-06 --locoid 4011 --swversion DE.1.0.8.0 --startMP 204:488 --initTime 2016-12-06T18:28:10 --startdatetime 2016-12-06T19:26:59 --delay 1 --endMP 204:233293 --enddatetime 2016-12-06T20:04:59 --enforcementcount 0 &gt;&gt;C:\Users\stu\Documents\GitHub\eaglep3-reporting\EC\2016-12-06-refined-times.txt</v>
      </c>
      <c r="AI12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{"issue":{"subject":"","project_id":79,"tracker_id":40,"status_id":1,"priority_id":2,"assigned_to_id":23,"start_date":"2016-12-06","description":"","custom_fields":[{"id":1,"name":"Subdivision","value":"EC"},{"id":4,"name":"Milepost","value":"23.3293"},{"id":17,"name":"Train ID","value":"219-06"},{"id":16,"name":"Locomotive ID","value":"4011"},{"id":130,"name":"Impact","value":""},{"id":150,"name":"Time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623</v>
      </c>
      <c r="B128" s="7">
        <v>4012</v>
      </c>
      <c r="C128" s="22" t="s">
        <v>207</v>
      </c>
      <c r="D128" s="22" t="s">
        <v>402</v>
      </c>
      <c r="E128" s="13">
        <v>42710.809189814812</v>
      </c>
      <c r="F128" s="13">
        <v>42710.81040509259</v>
      </c>
      <c r="G128" s="7">
        <v>1</v>
      </c>
      <c r="H128" s="22" t="s">
        <v>274</v>
      </c>
      <c r="I128" s="13">
        <v>42710.836793981478</v>
      </c>
      <c r="J128" s="7">
        <v>0</v>
      </c>
      <c r="K128" s="109" t="str">
        <f t="shared" si="23"/>
        <v>4011/4012</v>
      </c>
      <c r="L128" s="22" t="str">
        <f>VLOOKUP(A128,'Trips&amp;Operators'!$C$1:$G$99999,5,FALSE)</f>
        <v>CHANDLER KELVIN</v>
      </c>
      <c r="M128" s="6">
        <f t="shared" si="24"/>
        <v>2.6388888887595385E-2</v>
      </c>
      <c r="N128" s="7">
        <f t="shared" si="38"/>
        <v>37.999999998137355</v>
      </c>
      <c r="O128" s="7"/>
      <c r="P128" s="7"/>
      <c r="Q128" s="23"/>
      <c r="R128" s="23"/>
      <c r="S128" s="35">
        <f t="shared" si="39"/>
        <v>1</v>
      </c>
      <c r="T128" s="50" t="str">
        <f t="shared" si="25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18:25:14-700',mode:absolute,to:'2016-12-06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8" s="52" t="str">
        <f t="shared" si="27"/>
        <v>N</v>
      </c>
      <c r="X128" s="177">
        <f t="shared" si="28"/>
        <v>1</v>
      </c>
      <c r="Y128" s="67">
        <f t="shared" si="29"/>
        <v>23.296399999999998</v>
      </c>
      <c r="Z128" s="67">
        <f t="shared" si="30"/>
        <v>1.6299999999999999E-2</v>
      </c>
      <c r="AA128" s="67">
        <f t="shared" si="31"/>
        <v>23.280099999999997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2"/>
        <v>0220-06</v>
      </c>
      <c r="AE128" s="91" t="str">
        <f t="shared" si="33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28" s="88" t="str">
        <f t="shared" si="34"/>
        <v>"C:\Program Files (x86)\AstroGrep\AstroGrep.exe" /spath="%USERPROFILE%\AppData\Local\Temp\OnboardLogs" /stypes="app*4012*20161207*" /stext=" 03:.+((SYSTEM_STATE.+slice.+state.+changed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92" t="str">
        <f t="shared" si="36"/>
        <v>"%USERPROFILE%\Documents\GitHub\eaglep3\Utilities\RefineRTDCRunTimes.py" --tripid 220-06 --locoid 4012 --swversion DE.1.0.8.0 --startMP 204:232964 --initTime 2016-12-06T19:25:14 --startdatetime 2016-12-06T19:26:59 --delay 1 --endMP 204:163 --enddatetime 2016-12-06T20:04:59 --enforcementcount 0 &gt;&gt;C:\Users\stu\Documents\GitHub\eaglep3-reporting\EC\2016-12-06-refined-times.txt</v>
      </c>
      <c r="AI12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ID","value":"220-06"},{"id":16,"name":"Locomotive ID","value":"4012"},{"id":130,"name":"Impact","value":""},{"id":150,"name":"Time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618</v>
      </c>
      <c r="B129" s="7">
        <v>4029</v>
      </c>
      <c r="C129" s="22" t="s">
        <v>207</v>
      </c>
      <c r="D129" s="22" t="s">
        <v>236</v>
      </c>
      <c r="E129" s="13">
        <v>42710.788356481484</v>
      </c>
      <c r="F129" s="13">
        <v>42710.791851851849</v>
      </c>
      <c r="G129" s="7">
        <v>1</v>
      </c>
      <c r="H129" s="22" t="s">
        <v>254</v>
      </c>
      <c r="I129" s="13">
        <v>42710.816168981481</v>
      </c>
      <c r="J129" s="7">
        <v>0</v>
      </c>
      <c r="K129" s="109" t="str">
        <f t="shared" si="23"/>
        <v>4029/4030</v>
      </c>
      <c r="L129" s="22" t="str">
        <f>VLOOKUP(A129,'Trips&amp;Operators'!$C$1:$G$99999,5,FALSE)</f>
        <v>LEVERE CRAIG</v>
      </c>
      <c r="M129" s="6">
        <f t="shared" si="24"/>
        <v>2.4317129631526768E-2</v>
      </c>
      <c r="N129" s="7">
        <f t="shared" si="38"/>
        <v>35.016666669398546</v>
      </c>
      <c r="O129" s="7"/>
      <c r="P129" s="7"/>
      <c r="Q129" s="23"/>
      <c r="R129" s="23"/>
      <c r="S129" s="35">
        <f t="shared" si="39"/>
        <v>1</v>
      </c>
      <c r="T129" s="50" t="str">
        <f t="shared" si="25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17:55:14-700',mode:absolute,to:'2016-12-06 20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2" t="str">
        <f t="shared" si="27"/>
        <v>N</v>
      </c>
      <c r="X129" s="177">
        <f t="shared" si="28"/>
        <v>1</v>
      </c>
      <c r="Y129" s="67">
        <f t="shared" si="29"/>
        <v>4.5499999999999999E-2</v>
      </c>
      <c r="Z129" s="67">
        <f t="shared" si="30"/>
        <v>23.329799999999999</v>
      </c>
      <c r="AA129" s="67">
        <f t="shared" si="31"/>
        <v>23.284299999999998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2"/>
        <v>0221-06</v>
      </c>
      <c r="AE129" s="91" t="str">
        <f t="shared" si="33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29" s="88" t="str">
        <f t="shared" si="34"/>
        <v>"C:\Program Files (x86)\AstroGrep\AstroGrep.exe" /spath="%USERPROFILE%\AppData\Local\Temp\OnboardLogs" /stypes="app*4029*20161207*"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92" t="str">
        <f t="shared" si="36"/>
        <v>"%USERPROFILE%\Documents\GitHub\eaglep3\Utilities\RefineRTDCRunTimes.py" --tripid 221-06 --locoid 4029 --swversion DE.1.0.8.0 --startMP 204:455 --initTime 2016-12-06T18:55:14 --startdatetime 2016-12-06T19:00:16 --delay 1 --endMP 204:233298 --enddatetime 2016-12-06T19:35:17 --enforcementcount 0 &gt;&gt;C:\Users\stu\Documents\GitHub\eaglep3-reporting\EC\2016-12-06-refined-times.txt</v>
      </c>
      <c r="AI12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{"issue":{"subject":"","project_id":79,"tracker_id":40,"status_id":1,"priority_id":2,"assigned_to_id":23,"start_date":"2016-12-06","description":"","custom_fields":[{"id":1,"name":"Subdivision","value":"EC"},{"id":4,"name":"Milepost","value":"23.3298"},{"id":17,"name":"Train ID","value":"221-06"},{"id":16,"name":"Locomotive ID","value":"4029"},{"id":130,"name":"Impact","value":""},{"id":150,"name":"Time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624</v>
      </c>
      <c r="B130" s="7">
        <v>4030</v>
      </c>
      <c r="C130" s="22" t="s">
        <v>207</v>
      </c>
      <c r="D130" s="22" t="s">
        <v>670</v>
      </c>
      <c r="E130" s="13">
        <v>42710.825856481482</v>
      </c>
      <c r="F130" s="13">
        <v>42710.830787037034</v>
      </c>
      <c r="G130" s="7">
        <v>1</v>
      </c>
      <c r="H130" s="22" t="s">
        <v>227</v>
      </c>
      <c r="I130" s="13">
        <v>42710.857499999998</v>
      </c>
      <c r="J130" s="7">
        <v>0</v>
      </c>
      <c r="K130" s="109" t="str">
        <f t="shared" si="23"/>
        <v>4029/4030</v>
      </c>
      <c r="L130" s="22" t="str">
        <f>VLOOKUP(A130,'Trips&amp;Operators'!$C$1:$G$99999,5,FALSE)</f>
        <v>LEVERE CRAIG</v>
      </c>
      <c r="M130" s="6">
        <f t="shared" si="24"/>
        <v>2.6712962964666076E-2</v>
      </c>
      <c r="N130" s="7">
        <f t="shared" si="38"/>
        <v>38.466666669119149</v>
      </c>
      <c r="O130" s="7"/>
      <c r="P130" s="7"/>
      <c r="Q130" s="23"/>
      <c r="R130" s="23"/>
      <c r="S130" s="35">
        <f t="shared" si="39"/>
        <v>1</v>
      </c>
      <c r="T130" s="50" t="str">
        <f t="shared" si="25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18:49:14-700',mode:absolute,to:'2016-12-06 21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2" t="str">
        <f t="shared" si="27"/>
        <v>N</v>
      </c>
      <c r="X130" s="177">
        <f t="shared" si="28"/>
        <v>1</v>
      </c>
      <c r="Y130" s="67">
        <f t="shared" si="29"/>
        <v>23.297899999999998</v>
      </c>
      <c r="Z130" s="67">
        <f t="shared" si="30"/>
        <v>1.54E-2</v>
      </c>
      <c r="AA130" s="67">
        <f t="shared" si="31"/>
        <v>23.282499999999999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2"/>
        <v>0222-06</v>
      </c>
      <c r="AE130" s="91" t="str">
        <f t="shared" si="33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0" s="88" t="str">
        <f t="shared" si="34"/>
        <v>"C:\Program Files (x86)\AstroGrep\AstroGrep.exe" /spath="%USERPROFILE%\AppData\Local\Temp\OnboardLogs" /stypes="app*4030*20161207*" /stext=" 03:.+((SYSTEM_STATE.+slice.+state.+changed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92" t="str">
        <f t="shared" si="36"/>
        <v>"%USERPROFILE%\Documents\GitHub\eaglep3\Utilities\RefineRTDCRunTimes.py" --tripid 222-06 --locoid 4030 --swversion DE.1.0.8.0 --startMP 204:232979 --initTime 2016-12-06T19:49:14 --startdatetime 2016-12-06T19:56:20 --delay 1 --endMP 204:154 --enddatetime 2016-12-06T20:34:48 --enforcementcount 0 &gt;&gt;C:\Users\stu\Documents\GitHub\eaglep3-reporting\EC\2016-12-06-refined-times.txt</v>
      </c>
      <c r="AI13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{"issue":{"subject":"","project_id":79,"tracker_id":40,"status_id":1,"priority_id":2,"assigned_to_id":23,"start_date":"2016-12-06","description":"","custom_fields":[{"id":1,"name":"Subdivision","value":"EC"},{"id":4,"name":"Milepost","value":"0.0154"},{"id":17,"name":"Train ID","value":"222-06"},{"id":16,"name":"Locomotive ID","value":"4030"},{"id":130,"name":"Impact","value":""},{"id":150,"name":"Time of Event (Mountain Time)","value":"20:34:48"},{"id":151,"name":"Denver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622</v>
      </c>
      <c r="B131" s="7">
        <v>4018</v>
      </c>
      <c r="C131" s="22" t="s">
        <v>207</v>
      </c>
      <c r="D131" s="22" t="s">
        <v>705</v>
      </c>
      <c r="E131" s="13">
        <v>42710.806770833333</v>
      </c>
      <c r="F131" s="13">
        <v>42710.8127662037</v>
      </c>
      <c r="G131" s="7">
        <v>7</v>
      </c>
      <c r="H131" s="22" t="s">
        <v>721</v>
      </c>
      <c r="I131" s="13">
        <v>42710.837557870371</v>
      </c>
      <c r="J131" s="7">
        <v>0</v>
      </c>
      <c r="K131" s="109" t="str">
        <f t="shared" si="23"/>
        <v>4017/4018</v>
      </c>
      <c r="L131" s="22" t="str">
        <f>VLOOKUP(A131,'Trips&amp;Operators'!$C$1:$G$99999,5,FALSE)</f>
        <v>COOLAHAN JOHN</v>
      </c>
      <c r="M131" s="6">
        <f t="shared" si="24"/>
        <v>2.4791666670353152E-2</v>
      </c>
      <c r="N131" s="7">
        <f t="shared" ref="N131:N161" si="40">24*60*SUM($M131:$M131)</f>
        <v>35.700000005308539</v>
      </c>
      <c r="O131" s="7"/>
      <c r="P131" s="7"/>
      <c r="Q131" s="23"/>
      <c r="R131" s="23"/>
      <c r="S131" s="35">
        <f t="shared" ref="S131:S161" si="41">SUM(U131:U131)/IF(AG131="EC",12,1)</f>
        <v>1</v>
      </c>
      <c r="T131" s="50" t="str">
        <f t="shared" si="25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18:21:45-700',mode:absolute,to:'2016-12-06 21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1" s="52" t="str">
        <f t="shared" si="27"/>
        <v>N</v>
      </c>
      <c r="X131" s="177">
        <f t="shared" si="28"/>
        <v>1</v>
      </c>
      <c r="Y131" s="67">
        <f t="shared" si="29"/>
        <v>4.2200000000000001E-2</v>
      </c>
      <c r="Z131" s="67">
        <f t="shared" si="30"/>
        <v>23.3338</v>
      </c>
      <c r="AA131" s="67">
        <f t="shared" si="31"/>
        <v>23.291599999999999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2"/>
        <v>0223-06</v>
      </c>
      <c r="AE131" s="91" t="str">
        <f t="shared" si="33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31" s="88" t="str">
        <f t="shared" si="34"/>
        <v>"C:\Program Files (x86)\AstroGrep\AstroGrep.exe" /spath="%USERPROFILE%\AppData\Local\Temp\OnboardLogs" /stypes="app*4018*20161207*" /stext=" 03:.+((SYSTEM_STATE.+slice.+state.+changed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92" t="str">
        <f t="shared" si="36"/>
        <v>"%USERPROFILE%\Documents\GitHub\eaglep3\Utilities\RefineRTDCRunTimes.py" --tripid 223-06 --locoid 4018 --swversion DE.1.0.8.0 --startMP 204:422 --initTime 2016-12-06T19:21:45 --startdatetime 2016-12-06T19:30:23 --delay 7 --endMP 204:233338 --enddatetime 2016-12-06T20:06:05 --enforcementcount 0 &gt;&gt;C:\Users\stu\Documents\GitHub\eaglep3-reporting\EC\2016-12-06-refined-times.txt</v>
      </c>
      <c r="AI131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{"issue":{"subject":"","project_id":79,"tracker_id":40,"status_id":1,"priority_id":2,"assigned_to_id":23,"start_date":"2016-12-06","description":"","custom_fields":[{"id":1,"name":"Subdivision","value":"EC"},{"id":4,"name":"Milepost","value":"23.3338"},{"id":17,"name":"Train ID","value":"223-06"},{"id":16,"name":"Locomotive ID","value":"4018"},{"id":130,"name":"Impact","value":""},{"id":150,"name":"Time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627</v>
      </c>
      <c r="B132" s="7">
        <v>4017</v>
      </c>
      <c r="C132" s="22" t="s">
        <v>207</v>
      </c>
      <c r="D132" s="22" t="s">
        <v>293</v>
      </c>
      <c r="E132" s="13">
        <v>42710.848969907405</v>
      </c>
      <c r="F132" s="13">
        <v>42710.851666666669</v>
      </c>
      <c r="G132" s="7">
        <v>1</v>
      </c>
      <c r="H132" s="22" t="s">
        <v>664</v>
      </c>
      <c r="I132" s="13">
        <v>42710.877592592595</v>
      </c>
      <c r="J132" s="7">
        <v>0</v>
      </c>
      <c r="K132" s="109" t="str">
        <f t="shared" si="23"/>
        <v>4017/4018</v>
      </c>
      <c r="L132" s="22" t="str">
        <f>VLOOKUP(A132,'Trips&amp;Operators'!$C$1:$G$99999,5,FALSE)</f>
        <v>COOLAHAN JOHN</v>
      </c>
      <c r="M132" s="6">
        <f t="shared" si="24"/>
        <v>2.5925925925548654E-2</v>
      </c>
      <c r="N132" s="7">
        <f t="shared" si="40"/>
        <v>37.333333332790062</v>
      </c>
      <c r="O132" s="7"/>
      <c r="P132" s="7"/>
      <c r="Q132" s="23"/>
      <c r="R132" s="23"/>
      <c r="S132" s="35">
        <f t="shared" si="41"/>
        <v>1</v>
      </c>
      <c r="T132" s="50" t="str">
        <f t="shared" si="25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19:22:31-700',mode:absolute,to:'2016-12-06 22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2" s="52" t="str">
        <f t="shared" si="27"/>
        <v>N</v>
      </c>
      <c r="X132" s="177">
        <f t="shared" si="28"/>
        <v>1</v>
      </c>
      <c r="Y132" s="67">
        <f t="shared" si="29"/>
        <v>23.301500000000001</v>
      </c>
      <c r="Z132" s="67">
        <f t="shared" si="30"/>
        <v>1.1599999999999999E-2</v>
      </c>
      <c r="AA132" s="67">
        <f t="shared" si="31"/>
        <v>23.289899999999999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2"/>
        <v>0224-06</v>
      </c>
      <c r="AE132" s="91" t="str">
        <f t="shared" si="33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32" s="88" t="str">
        <f t="shared" si="34"/>
        <v>"C:\Program Files (x86)\AstroGrep\AstroGrep.exe" /spath="%USERPROFILE%\AppData\Local\Temp\OnboardLogs" /stypes="app*4017*20161207*" /stext=" 04:.+((SYSTEM_STATE.+slice.+state.+changed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92" t="str">
        <f t="shared" si="36"/>
        <v>"%USERPROFILE%\Documents\GitHub\eaglep3\Utilities\RefineRTDCRunTimes.py" --tripid 224-06 --locoid 4017 --swversion DE.1.0.8.0 --startMP 204:233015 --initTime 2016-12-06T20:22:31 --startdatetime 2016-12-06T20:26:24 --delay 1 --endMP 204:116 --enddatetime 2016-12-06T21:03:44 --enforcementcount 0 &gt;&gt;C:\Users\stu\Documents\GitHub\eaglep3-reporting\EC\2016-12-06-refined-times.txt</v>
      </c>
      <c r="AI132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{"issue":{"subject":"","project_id":79,"tracker_id":40,"status_id":1,"priority_id":2,"assigned_to_id":23,"start_date":"2016-12-06","description":"","custom_fields":[{"id":1,"name":"Subdivision","value":"EC"},{"id":4,"name":"Milepost","value":"0.0116"},{"id":17,"name":"Train ID","value":"224-06"},{"id":16,"name":"Locomotive ID","value":"4017"},{"id":130,"name":"Impact","value":""},{"id":150,"name":"Time of Event (Mountain Time)","value":"21:03:44"},{"id":151,"name":"Denver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625</v>
      </c>
      <c r="B133" s="7">
        <v>4020</v>
      </c>
      <c r="C133" s="22" t="s">
        <v>207</v>
      </c>
      <c r="D133" s="22" t="s">
        <v>702</v>
      </c>
      <c r="E133" s="13">
        <v>42710.829085648147</v>
      </c>
      <c r="F133" s="13">
        <v>42710.833564814813</v>
      </c>
      <c r="G133" s="7">
        <v>1</v>
      </c>
      <c r="H133" s="22" t="s">
        <v>710</v>
      </c>
      <c r="I133" s="13">
        <v>42710.85800925926</v>
      </c>
      <c r="J133" s="7">
        <v>0</v>
      </c>
      <c r="K133" s="109" t="str">
        <f t="shared" si="23"/>
        <v>4019/4020</v>
      </c>
      <c r="L133" s="22" t="str">
        <f>VLOOKUP(A133,'Trips&amp;Operators'!$C$1:$G$99999,5,FALSE)</f>
        <v>YANAI IAN</v>
      </c>
      <c r="M133" s="6">
        <f t="shared" si="24"/>
        <v>2.4444444446999114E-2</v>
      </c>
      <c r="N133" s="7">
        <f t="shared" si="40"/>
        <v>35.200000003678724</v>
      </c>
      <c r="O133" s="7"/>
      <c r="P133" s="7"/>
      <c r="Q133" s="23"/>
      <c r="R133" s="23"/>
      <c r="S133" s="35">
        <f t="shared" si="41"/>
        <v>1</v>
      </c>
      <c r="T133" s="50" t="str">
        <f t="shared" si="25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18:53:53-700',mode:absolute,to:'2016-12-06 21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3" s="52" t="str">
        <f t="shared" si="27"/>
        <v>N</v>
      </c>
      <c r="X133" s="177">
        <f t="shared" si="28"/>
        <v>1</v>
      </c>
      <c r="Y133" s="67">
        <f t="shared" si="29"/>
        <v>4.3099999999999999E-2</v>
      </c>
      <c r="Z133" s="67">
        <f t="shared" si="30"/>
        <v>23.331399999999999</v>
      </c>
      <c r="AA133" s="67">
        <f t="shared" si="31"/>
        <v>23.2883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2"/>
        <v>0225-06</v>
      </c>
      <c r="AE133" s="91" t="str">
        <f t="shared" si="33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33" s="88" t="str">
        <f t="shared" si="34"/>
        <v>"C:\Program Files (x86)\AstroGrep\AstroGrep.exe" /spath="%USERPROFILE%\AppData\Local\Temp\OnboardLogs" /stypes="app*4020*20161207*"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92" t="str">
        <f t="shared" si="36"/>
        <v>"%USERPROFILE%\Documents\GitHub\eaglep3\Utilities\RefineRTDCRunTimes.py" --tripid 225-06 --locoid 4020 --swversion DE.1.0.8.0 --startMP 204:431 --initTime 2016-12-06T19:53:53 --startdatetime 2016-12-06T20:00:20 --delay 1 --endMP 204:233314 --enddatetime 2016-12-06T20:35:32 --enforcementcount 0 &gt;&gt;C:\Users\stu\Documents\GitHub\eaglep3-reporting\EC\2016-12-06-refined-times.txt</v>
      </c>
      <c r="AI133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{"issue":{"subject":"","project_id":79,"tracker_id":40,"status_id":1,"priority_id":2,"assigned_to_id":23,"start_date":"2016-12-06","description":"","custom_fields":[{"id":1,"name":"Subdivision","value":"EC"},{"id":4,"name":"Milepost","value":"23.3314"},{"id":17,"name":"Train ID","value":"225-06"},{"id":16,"name":"Locomotive ID","value":"4020"},{"id":130,"name":"Impact","value":""},{"id":150,"name":"Time of Event (Mountain Time)","value":"20:35:32"},{"id":151,"name":"Denver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x14ac:dyDescent="0.25">
      <c r="A134" s="37" t="s">
        <v>631</v>
      </c>
      <c r="B134" s="7">
        <v>4019</v>
      </c>
      <c r="C134" s="22" t="s">
        <v>207</v>
      </c>
      <c r="D134" s="22" t="s">
        <v>234</v>
      </c>
      <c r="E134" s="13">
        <v>42710.860590277778</v>
      </c>
      <c r="F134" s="13">
        <v>42710.872604166667</v>
      </c>
      <c r="G134" s="7">
        <v>1</v>
      </c>
      <c r="H134" s="22" t="s">
        <v>274</v>
      </c>
      <c r="I134" s="13">
        <v>42710.897974537038</v>
      </c>
      <c r="J134" s="7">
        <v>0</v>
      </c>
      <c r="K134" s="109" t="str">
        <f t="shared" si="23"/>
        <v>4019/4020</v>
      </c>
      <c r="L134" s="22" t="str">
        <f>VLOOKUP(A134,'Trips&amp;Operators'!$C$1:$G$99999,5,FALSE)</f>
        <v>YANAI IAN</v>
      </c>
      <c r="M134" s="6">
        <f t="shared" si="24"/>
        <v>2.5370370371092577E-2</v>
      </c>
      <c r="N134" s="7">
        <f t="shared" si="40"/>
        <v>36.53333333437331</v>
      </c>
      <c r="O134" s="7"/>
      <c r="P134" s="7"/>
      <c r="Q134" s="23"/>
      <c r="R134" s="23"/>
      <c r="S134" s="35">
        <f t="shared" si="41"/>
        <v>1</v>
      </c>
      <c r="T134" s="50" t="str">
        <f t="shared" si="25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19:39:15-700',mode:absolute,to:'2016-12-06 22:33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4" s="52" t="str">
        <f t="shared" si="27"/>
        <v>N</v>
      </c>
      <c r="X134" s="177">
        <f t="shared" si="28"/>
        <v>1</v>
      </c>
      <c r="Y134" s="67">
        <f t="shared" si="29"/>
        <v>23.299299999999999</v>
      </c>
      <c r="Z134" s="67">
        <f t="shared" si="30"/>
        <v>1.6299999999999999E-2</v>
      </c>
      <c r="AA134" s="67">
        <f t="shared" si="31"/>
        <v>23.282999999999998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2"/>
        <v>0226-06</v>
      </c>
      <c r="AE134" s="91" t="str">
        <f t="shared" si="33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34" s="88" t="str">
        <f t="shared" si="34"/>
        <v>"C:\Program Files (x86)\AstroGrep\AstroGrep.exe" /spath="%USERPROFILE%\AppData\Local\Temp\OnboardLogs" /stypes="app*4019*20161207*" /stext=" 04:.+((SYSTEM_STATE.+slice.+state.+changed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92" t="str">
        <f t="shared" si="36"/>
        <v>"%USERPROFILE%\Documents\GitHub\eaglep3\Utilities\RefineRTDCRunTimes.py" --tripid 226-06 --locoid 4019 --swversion DE.1.0.8.0 --startMP 204:232993 --initTime 2016-12-06T20:39:15 --startdatetime 2016-12-06T20:56:33 --delay 1 --endMP 204:163 --enddatetime 2016-12-06T21:33:05 --enforcementcount 0 &gt;&gt;C:\Users\stu\Documents\GitHub\eaglep3-reporting\EC\2016-12-06-refined-times.txt</v>
      </c>
      <c r="AI134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{"issue":{"subject":"","project_id":79,"tracker_id":40,"status_id":1,"priority_id":2,"assigned_to_id":23,"start_date":"2016-12-06","description":"","custom_fields":[{"id":1,"name":"Subdivision","value":"EC"},{"id":4,"name":"Milepost","value":"0.0163"},{"id":17,"name":"Train ID","value":"226-06"},{"id":16,"name":"Locomotive ID","value":"4019"},{"id":130,"name":"Impact","value":""},{"id":150,"name":"Time of Event (Mountain Time)","value":"21:33:05"},{"id":151,"name":"Denver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629</v>
      </c>
      <c r="B135" s="7">
        <v>4011</v>
      </c>
      <c r="C135" s="22" t="s">
        <v>207</v>
      </c>
      <c r="D135" s="22" t="s">
        <v>243</v>
      </c>
      <c r="E135" s="13">
        <v>42710.853634259256</v>
      </c>
      <c r="F135" s="13">
        <v>42710.854722222219</v>
      </c>
      <c r="G135" s="7">
        <v>1</v>
      </c>
      <c r="H135" s="22" t="s">
        <v>722</v>
      </c>
      <c r="I135" s="13">
        <v>42710.880104166667</v>
      </c>
      <c r="J135" s="7">
        <v>0</v>
      </c>
      <c r="K135" s="109" t="str">
        <f t="shared" si="23"/>
        <v>4011/4012</v>
      </c>
      <c r="L135" s="22" t="str">
        <f>VLOOKUP(A135,'Trips&amp;Operators'!$C$1:$G$99999,5,FALSE)</f>
        <v>CHANDLER KELVIN</v>
      </c>
      <c r="M135" s="6">
        <f t="shared" si="24"/>
        <v>2.5381944447872229E-2</v>
      </c>
      <c r="N135" s="7">
        <f t="shared" si="40"/>
        <v>36.55000000493601</v>
      </c>
      <c r="O135" s="7"/>
      <c r="P135" s="7"/>
      <c r="Q135" s="23"/>
      <c r="R135" s="23"/>
      <c r="S135" s="35">
        <f t="shared" si="41"/>
        <v>1</v>
      </c>
      <c r="T135" s="50" t="str">
        <f t="shared" si="25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19:29:14-700',mode:absolute,to:'2016-12-06 22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5" s="52" t="str">
        <f t="shared" si="27"/>
        <v>N</v>
      </c>
      <c r="X135" s="177">
        <f t="shared" si="28"/>
        <v>1</v>
      </c>
      <c r="Y135" s="67">
        <f t="shared" si="29"/>
        <v>4.7100000000000003E-2</v>
      </c>
      <c r="Z135" s="67">
        <f t="shared" si="30"/>
        <v>23.327200000000001</v>
      </c>
      <c r="AA135" s="67">
        <f t="shared" si="31"/>
        <v>23.280100000000001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2"/>
        <v>0227-06</v>
      </c>
      <c r="AE135" s="91" t="str">
        <f t="shared" si="33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35" s="88" t="str">
        <f t="shared" si="34"/>
        <v>"C:\Program Files (x86)\AstroGrep\AstroGrep.exe" /spath="%USERPROFILE%\AppData\Local\Temp\OnboardLogs" /stypes="app*4011*20161207*" /stext=" 04:.+((SYSTEM_STATE.+slice.+state.+changed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92" t="str">
        <f t="shared" si="36"/>
        <v>"%USERPROFILE%\Documents\GitHub\eaglep3\Utilities\RefineRTDCRunTimes.py" --tripid 227-06 --locoid 4011 --swversion DE.1.0.8.0 --startMP 204:471 --initTime 2016-12-06T20:29:14 --startdatetime 2016-12-06T20:30:48 --delay 1 --endMP 204:233272 --enddatetime 2016-12-06T21:07:21 --enforcementcount 0 &gt;&gt;C:\Users\stu\Documents\GitHub\eaglep3-reporting\EC\2016-12-06-refined-times.txt</v>
      </c>
      <c r="AI135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{"issue":{"subject":"","project_id":79,"tracker_id":40,"status_id":1,"priority_id":2,"assigned_to_id":23,"start_date":"2016-12-06","description":"","custom_fields":[{"id":1,"name":"Subdivision","value":"EC"},{"id":4,"name":"Milepost","value":"23.3272"},{"id":17,"name":"Train ID","value":"227-06"},{"id":16,"name":"Locomotive ID","value":"4011"},{"id":130,"name":"Impact","value":""},{"id":150,"name":"Time of Event (Mountain Time)","value":"21:07:21"},{"id":151,"name":"Denver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628</v>
      </c>
      <c r="B136" s="7">
        <v>4012</v>
      </c>
      <c r="C136" s="22" t="s">
        <v>207</v>
      </c>
      <c r="D136" s="22" t="s">
        <v>400</v>
      </c>
      <c r="E136" s="13">
        <v>42710.888981481483</v>
      </c>
      <c r="F136" s="13">
        <v>42710.893379629626</v>
      </c>
      <c r="G136" s="7">
        <v>1</v>
      </c>
      <c r="H136" s="22" t="s">
        <v>268</v>
      </c>
      <c r="I136" s="13">
        <v>42710.921203703707</v>
      </c>
      <c r="J136" s="7">
        <v>0</v>
      </c>
      <c r="K136" s="109" t="str">
        <f t="shared" si="23"/>
        <v>4011/4012</v>
      </c>
      <c r="L136" s="22" t="str">
        <f>VLOOKUP(A136,'Trips&amp;Operators'!$C$1:$G$99999,5,FALSE)</f>
        <v>CHANDLER KELVIN</v>
      </c>
      <c r="M136" s="6">
        <f t="shared" si="24"/>
        <v>2.7824074080854189E-2</v>
      </c>
      <c r="N136" s="7">
        <f t="shared" si="40"/>
        <v>40.066666676430032</v>
      </c>
      <c r="O136" s="7"/>
      <c r="P136" s="7"/>
      <c r="Q136" s="23"/>
      <c r="R136" s="23"/>
      <c r="S136" s="35">
        <f t="shared" si="41"/>
        <v>1</v>
      </c>
      <c r="T136" s="50" t="str">
        <f t="shared" si="25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20:20:08-700',mode:absolute,to:'2016-12-06 23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6" s="52" t="str">
        <f t="shared" si="27"/>
        <v>N</v>
      </c>
      <c r="X136" s="177">
        <f t="shared" si="28"/>
        <v>1</v>
      </c>
      <c r="Y136" s="67">
        <f t="shared" si="29"/>
        <v>23.296600000000002</v>
      </c>
      <c r="Z136" s="67">
        <f t="shared" si="30"/>
        <v>1.6E-2</v>
      </c>
      <c r="AA136" s="67">
        <f t="shared" si="31"/>
        <v>23.280600000000003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2"/>
        <v>0228-06</v>
      </c>
      <c r="AE136" s="91" t="str">
        <f t="shared" si="33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36" s="88" t="str">
        <f t="shared" si="34"/>
        <v>"C:\Program Files (x86)\AstroGrep\AstroGrep.exe" /spath="%USERPROFILE%\AppData\Local\Temp\OnboardLogs" /stypes="app*4012*20161207*" /stext=" 05:.+((SYSTEM_STATE.+slice.+state.+changed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92" t="str">
        <f t="shared" si="36"/>
        <v>"%USERPROFILE%\Documents\GitHub\eaglep3\Utilities\RefineRTDCRunTimes.py" --tripid 228-06 --locoid 4012 --swversion DE.1.0.8.0 --startMP 204:232966 --initTime 2016-12-06T21:20:08 --startdatetime 2016-12-06T21:26:28 --delay 1 --endMP 204:160 --enddatetime 2016-12-06T22:06:32 --enforcementcount 0 &gt;&gt;C:\Users\stu\Documents\GitHub\eaglep3-reporting\EC\2016-12-06-refined-times.txt</v>
      </c>
      <c r="AI136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{"issue":{"subject":"","project_id":79,"tracker_id":40,"status_id":1,"priority_id":2,"assigned_to_id":23,"start_date":"2016-12-06","description":"","custom_fields":[{"id":1,"name":"Subdivision","value":"EC"},{"id":4,"name":"Milepost","value":"0.016"},{"id":17,"name":"Train ID","value":"228-06"},{"id":16,"name":"Locomotive ID","value":"4012"},{"id":130,"name":"Impact","value":""},{"id":150,"name":"Time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632</v>
      </c>
      <c r="B137" s="7">
        <v>4029</v>
      </c>
      <c r="C137" s="22" t="s">
        <v>207</v>
      </c>
      <c r="D137" s="22" t="s">
        <v>292</v>
      </c>
      <c r="E137" s="13">
        <v>42710.868171296293</v>
      </c>
      <c r="F137" s="13">
        <v>42710.875405092593</v>
      </c>
      <c r="G137" s="7">
        <v>1</v>
      </c>
      <c r="H137" s="22" t="s">
        <v>290</v>
      </c>
      <c r="I137" s="13">
        <v>42710.900092592594</v>
      </c>
      <c r="J137" s="7">
        <v>0</v>
      </c>
      <c r="K137" s="109" t="str">
        <f t="shared" si="23"/>
        <v>4029/4030</v>
      </c>
      <c r="L137" s="22" t="str">
        <f>VLOOKUP(A137,'Trips&amp;Operators'!$C$1:$G$99999,5,FALSE)</f>
        <v>LEVERE CRAIG</v>
      </c>
      <c r="M137" s="6">
        <f t="shared" si="24"/>
        <v>2.4687500001164153E-2</v>
      </c>
      <c r="N137" s="7">
        <f t="shared" si="40"/>
        <v>35.550000001676381</v>
      </c>
      <c r="O137" s="7"/>
      <c r="P137" s="7"/>
      <c r="Q137" s="23"/>
      <c r="R137" s="23"/>
      <c r="S137" s="35">
        <f t="shared" si="41"/>
        <v>1</v>
      </c>
      <c r="T137" s="50" t="str">
        <f t="shared" si="25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19:50:10-700',mode:absolute,to:'2016-12-06 22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27"/>
        <v>N</v>
      </c>
      <c r="X137" s="177">
        <f t="shared" si="28"/>
        <v>1</v>
      </c>
      <c r="Y137" s="67">
        <f t="shared" si="29"/>
        <v>4.4600000000000001E-2</v>
      </c>
      <c r="Z137" s="67">
        <f t="shared" si="30"/>
        <v>23.331199999999999</v>
      </c>
      <c r="AA137" s="67">
        <f t="shared" si="31"/>
        <v>23.2866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2"/>
        <v>0229-06</v>
      </c>
      <c r="AE137" s="91" t="str">
        <f t="shared" si="33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37" s="88" t="str">
        <f t="shared" si="34"/>
        <v>"C:\Program Files (x86)\AstroGrep\AstroGrep.exe" /spath="%USERPROFILE%\AppData\Local\Temp\OnboardLogs" /stypes="app*4029*20161207*"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92" t="str">
        <f t="shared" si="36"/>
        <v>"%USERPROFILE%\Documents\GitHub\eaglep3\Utilities\RefineRTDCRunTimes.py" --tripid 229-06 --locoid 4029 --swversion DE.1.0.8.0 --startMP 204:446 --initTime 2016-12-06T20:50:10 --startdatetime 2016-12-06T21:00:35 --delay 1 --endMP 204:233312 --enddatetime 2016-12-06T21:36:08 --enforcementcount 0 &gt;&gt;C:\Users\stu\Documents\GitHub\eaglep3-reporting\EC\2016-12-06-refined-times.txt</v>
      </c>
      <c r="AI137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{"issue":{"subject":"","project_id":79,"tracker_id":40,"status_id":1,"priority_id":2,"assigned_to_id":23,"start_date":"2016-12-06","description":"","custom_fields":[{"id":1,"name":"Subdivision","value":"EC"},{"id":4,"name":"Milepost","value":"23.3312"},{"id":17,"name":"Train ID","value":"229-06"},{"id":16,"name":"Locomotive ID","value":"4029"},{"id":130,"name":"Impact","value":""},{"id":150,"name":"Time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636</v>
      </c>
      <c r="B138" s="7">
        <v>4030</v>
      </c>
      <c r="C138" s="22" t="s">
        <v>207</v>
      </c>
      <c r="D138" s="22" t="s">
        <v>355</v>
      </c>
      <c r="E138" s="13">
        <v>42710.906446759262</v>
      </c>
      <c r="F138" s="13">
        <v>42710.9140625</v>
      </c>
      <c r="G138" s="7">
        <v>1</v>
      </c>
      <c r="H138" s="22" t="s">
        <v>340</v>
      </c>
      <c r="I138" s="13">
        <v>42710.942499999997</v>
      </c>
      <c r="J138" s="7">
        <v>0</v>
      </c>
      <c r="K138" s="109" t="str">
        <f t="shared" si="23"/>
        <v>4029/4030</v>
      </c>
      <c r="L138" s="22" t="str">
        <f>VLOOKUP(A138,'Trips&amp;Operators'!$C$1:$G$99999,5,FALSE)</f>
        <v>LEVERE CRAIG</v>
      </c>
      <c r="M138" s="6">
        <f t="shared" si="24"/>
        <v>2.8437499997380655E-2</v>
      </c>
      <c r="N138" s="7">
        <f t="shared" si="40"/>
        <v>40.949999996228144</v>
      </c>
      <c r="O138" s="7"/>
      <c r="P138" s="7"/>
      <c r="Q138" s="23"/>
      <c r="R138" s="23"/>
      <c r="S138" s="35">
        <f t="shared" si="41"/>
        <v>1</v>
      </c>
      <c r="T138" s="50" t="str">
        <f t="shared" si="25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20:45:17-700',mode:absolute,to:'2016-12-06 23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27"/>
        <v>N</v>
      </c>
      <c r="X138" s="177">
        <f t="shared" si="28"/>
        <v>1</v>
      </c>
      <c r="Y138" s="67">
        <f t="shared" si="29"/>
        <v>23.299399999999999</v>
      </c>
      <c r="Z138" s="67">
        <f t="shared" si="30"/>
        <v>1.52E-2</v>
      </c>
      <c r="AA138" s="67">
        <f t="shared" si="31"/>
        <v>23.284199999999998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2"/>
        <v>0230-06</v>
      </c>
      <c r="AE138" s="91" t="str">
        <f t="shared" si="33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38" s="88" t="str">
        <f t="shared" si="34"/>
        <v>"C:\Program Files (x86)\AstroGrep\AstroGrep.exe" /spath="%USERPROFILE%\AppData\Local\Temp\OnboardLogs" /stypes="app*4030*20161207*" /stext=" 05:.+((SYSTEM_STATE.+slice.+state.+changed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92" t="str">
        <f t="shared" si="36"/>
        <v>"%USERPROFILE%\Documents\GitHub\eaglep3\Utilities\RefineRTDCRunTimes.py" --tripid 230-06 --locoid 4030 --swversion DE.1.0.8.0 --startMP 204:232994 --initTime 2016-12-06T21:45:17 --startdatetime 2016-12-06T21:56:15 --delay 1 --endMP 204:152 --enddatetime 2016-12-06T22:37:12 --enforcementcount 0 &gt;&gt;C:\Users\stu\Documents\GitHub\eaglep3-reporting\EC\2016-12-06-refined-times.txt</v>
      </c>
      <c r="AI138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ID","value":"230-06"},{"id":16,"name":"Locomotive ID","value":"4030"},{"id":130,"name":"Impact","value":""},{"id":150,"name":"Time of Event (Mountain Time)","value":"22:37:12"},{"id":151,"name":"Denver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634</v>
      </c>
      <c r="B139" s="7">
        <v>4018</v>
      </c>
      <c r="C139" s="22" t="s">
        <v>207</v>
      </c>
      <c r="D139" s="22" t="s">
        <v>702</v>
      </c>
      <c r="E139" s="13">
        <v>42710.892800925925</v>
      </c>
      <c r="F139" s="13">
        <v>42710.896215277775</v>
      </c>
      <c r="G139" s="7">
        <v>1</v>
      </c>
      <c r="H139" s="22" t="s">
        <v>328</v>
      </c>
      <c r="I139" s="13">
        <v>42710.920381944445</v>
      </c>
      <c r="J139" s="7">
        <v>0</v>
      </c>
      <c r="K139" s="109" t="str">
        <f t="shared" si="23"/>
        <v>4017/4018</v>
      </c>
      <c r="L139" s="22" t="str">
        <f>VLOOKUP(A139,'Trips&amp;Operators'!$C$1:$G$99999,5,FALSE)</f>
        <v>COOLAHAN JOHN</v>
      </c>
      <c r="M139" s="6">
        <f t="shared" si="24"/>
        <v>2.4166666669771075E-2</v>
      </c>
      <c r="N139" s="7">
        <f t="shared" si="40"/>
        <v>34.800000004470348</v>
      </c>
      <c r="O139" s="7"/>
      <c r="P139" s="7"/>
      <c r="Q139" s="23"/>
      <c r="R139" s="23"/>
      <c r="S139" s="35">
        <f t="shared" si="41"/>
        <v>1</v>
      </c>
      <c r="T139" s="50" t="str">
        <f t="shared" si="25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https://search-rtdc-monitor-bjffxe2xuh6vdkpspy63sjmuny.us-east-1.es.amazonaws.com/_plugin/kibana/#/discover/Steve-Slow-Train-Analysis-(2080s-and-2083s)?_g=(refreshInterval:(display:Off,section:0,value:0),time:(from:'2016-12-06 20:25:38-700',mode:absolute,to:'2016-12-06 23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9" s="52" t="str">
        <f t="shared" si="27"/>
        <v>N</v>
      </c>
      <c r="X139" s="177">
        <f t="shared" si="28"/>
        <v>1</v>
      </c>
      <c r="Y139" s="67">
        <f t="shared" si="29"/>
        <v>4.3099999999999999E-2</v>
      </c>
      <c r="Z139" s="67">
        <f t="shared" si="30"/>
        <v>23.331499999999998</v>
      </c>
      <c r="AA139" s="67">
        <f t="shared" si="31"/>
        <v>23.288399999999999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2"/>
        <v>0231-06</v>
      </c>
      <c r="AE139" s="91" t="str">
        <f t="shared" si="33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39" s="88" t="str">
        <f t="shared" si="34"/>
        <v>"C:\Program Files (x86)\AstroGrep\AstroGrep.exe" /spath="%USERPROFILE%\AppData\Local\Temp\OnboardLogs" /stypes="app*4018*20161207*" /stext=" 05:.+((SYSTEM_STATE.+slice.+state.+changed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92" t="str">
        <f t="shared" si="36"/>
        <v>"%USERPROFILE%\Documents\GitHub\eaglep3\Utilities\RefineRTDCRunTimes.py" --tripid 231-06 --locoid 4018 --swversion DE.1.0.8.0 --startMP 204:431 --initTime 2016-12-06T21:25:38 --startdatetime 2016-12-06T21:30:33 --delay 1 --endMP 204:233315 --enddatetime 2016-12-06T22:05:21 --enforcementcount 0 &gt;&gt;C:\Users\stu\Documents\GitHub\eaglep3-reporting\EC\2016-12-06-refined-times.txt</v>
      </c>
      <c r="AI139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{"issue":{"subject":"","project_id":79,"tracker_id":40,"status_id":1,"priority_id":2,"assigned_to_id":23,"start_date":"2016-12-06","description":"","custom_fields":[{"id":1,"name":"Subdivision","value":"EC"},{"id":4,"name":"Milepost","value":"23.3315"},{"id":17,"name":"Train ID","value":"231-06"},{"id":16,"name":"Locomotive ID","value":"4018"},{"id":130,"name":"Impact","value":""},{"id":150,"name":"Time of Event (Mountain Time)","value":"22:05:21"},{"id":151,"name":"Denver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638</v>
      </c>
      <c r="B140" s="7">
        <v>4017</v>
      </c>
      <c r="C140" s="22" t="s">
        <v>207</v>
      </c>
      <c r="D140" s="22" t="s">
        <v>712</v>
      </c>
      <c r="E140" s="13">
        <v>42710.930497685185</v>
      </c>
      <c r="F140" s="13">
        <v>42710.935057870367</v>
      </c>
      <c r="G140" s="7">
        <v>1</v>
      </c>
      <c r="H140" s="22" t="s">
        <v>723</v>
      </c>
      <c r="I140" s="13">
        <v>42710.961099537039</v>
      </c>
      <c r="J140" s="7">
        <v>0</v>
      </c>
      <c r="K140" s="109" t="str">
        <f t="shared" ref="K140:K202" si="42">IF(ISEVEN(B140),(B140-1)&amp;"/"&amp;B140,B140&amp;"/"&amp;(B140+1))</f>
        <v>4017/4018</v>
      </c>
      <c r="L140" s="22" t="str">
        <f>VLOOKUP(A140,'Trips&amp;Operators'!$C$1:$G$99999,5,FALSE)</f>
        <v>COOLAHAN JOHN</v>
      </c>
      <c r="M140" s="6">
        <f t="shared" ref="M140:M202" si="43">I140-F140</f>
        <v>2.6041666671517305E-2</v>
      </c>
      <c r="N140" s="7">
        <f t="shared" si="40"/>
        <v>37.500000006984919</v>
      </c>
      <c r="O140" s="7"/>
      <c r="P140" s="7"/>
      <c r="Q140" s="23"/>
      <c r="R140" s="23"/>
      <c r="S140" s="35">
        <f t="shared" si="41"/>
        <v>1</v>
      </c>
      <c r="T140" s="50" t="str">
        <f t="shared" ref="T140:T202" si="44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2" si="45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https://search-rtdc-monitor-bjffxe2xuh6vdkpspy63sjmuny.us-east-1.es.amazonaws.com/_plugin/kibana/#/discover/Steve-Slow-Train-Analysis-(2080s-and-2083s)?_g=(refreshInterval:(display:Off,section:0,value:0),time:(from:'2016-12-06 21:19:55-700',mode:absolute,to:'2016-12-07 00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0" s="52" t="str">
        <f t="shared" ref="W140:W202" si="46">IF(AA140&lt;IF(AG140="EC",23,5.65),"Y","N")</f>
        <v>N</v>
      </c>
      <c r="X140" s="177">
        <f t="shared" ref="X140:X202" si="47">VALUE(LEFT(AD140,4))-VALUE(LEFT(AD139,4))</f>
        <v>1</v>
      </c>
      <c r="Y140" s="67">
        <f t="shared" ref="Y140:Y202" si="48">RIGHT(D140,LEN(D140)-4)/10000</f>
        <v>23.303799999999999</v>
      </c>
      <c r="Z140" s="67">
        <f t="shared" ref="Z140:Z202" si="49">RIGHT(H140,LEN(H140)-4)/10000</f>
        <v>8.8000000000000005E-3</v>
      </c>
      <c r="AA140" s="67">
        <f t="shared" ref="AA140:AA202" si="50">ABS(Z140-Y140)</f>
        <v>23.294999999999998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ref="AD140:AD202" si="51">IF(LEN(A140)=6,"0"&amp;A140,A140)</f>
        <v>0232-06</v>
      </c>
      <c r="AE140" s="91" t="str">
        <f t="shared" ref="AE140:AE202" si="52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140" s="88" t="str">
        <f t="shared" ref="AF140:AF202" si="53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/stypes="app*4017*20161207*" /stext=" 06:.+((SYSTEM_STATE.+slice.+state.+changed )|(ment ac)|(multiple cpu faults)|(system.+state.+changed )|(\[timeout)|(PRM\|1\|D)|(kpr)|(kdp)|(\|lc)|(penalty))" /e /r /s</v>
      </c>
      <c r="AG140" s="1" t="str">
        <f t="shared" ref="AG140:AG202" si="54">IFERROR(IF(VALUE(LEFT(AD140,2))&lt;=2,"EC",IF(OR(VALUE(LEFT(AD140,2))=8,VALUE(LEFT(AD140,2))=18),"NW","Other")),"Other")</f>
        <v>EC</v>
      </c>
      <c r="AH140" s="92" t="str">
        <f t="shared" si="36"/>
        <v>"%USERPROFILE%\Documents\GitHub\eaglep3\Utilities\RefineRTDCRunTimes.py" --tripid 232-06 --locoid 4017 --swversion DE.1.0.8.0 --startMP 204:233038 --initTime 2016-12-06T22:19:55 --startdatetime 2016-12-06T22:26:29 --delay 1 --endMP 204:88 --enddatetime 2016-12-06T23:03:59 --enforcementcount 0 &gt;&gt;C:\Users\stu\Documents\GitHub\eaglep3-reporting\EC\2016-12-06-refined-times.txt</v>
      </c>
      <c r="AI140" s="119" t="str">
        <f t="shared" si="37"/>
        <v>echo {"issue":{"subject":"","project_id":79,"tracker_id":40,"status_id":1,"priority_id":2,"assigned_to_id":23,"start_date":"2016-12-06","description":"","custom_fields":[{"id":1,"name":"Subdivision","value":"EC"},{"id":4,"name":"Milepost","value":"0.0088"},{"id":17,"name":"Train ID","value":"232-06"},{"id":16,"name":"Locomotive ID","value":"4017"},{"id":130,"name":"Impact","value":""},{"id":150,"name":"Time of Event (Mountain Time)","value":"23:03:59"},{"id":151,"name":"Denver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635</v>
      </c>
      <c r="B141" s="7">
        <v>4020</v>
      </c>
      <c r="C141" s="22" t="s">
        <v>207</v>
      </c>
      <c r="D141" s="22" t="s">
        <v>242</v>
      </c>
      <c r="E141" s="13">
        <v>42710.899583333332</v>
      </c>
      <c r="F141" s="13">
        <v>42710.916828703703</v>
      </c>
      <c r="G141" s="7">
        <v>2</v>
      </c>
      <c r="H141" s="22" t="s">
        <v>289</v>
      </c>
      <c r="I141" s="13">
        <v>42710.940671296295</v>
      </c>
      <c r="J141" s="7">
        <v>0</v>
      </c>
      <c r="K141" s="109" t="str">
        <f t="shared" si="42"/>
        <v>4019/4020</v>
      </c>
      <c r="L141" s="22" t="str">
        <f>VLOOKUP(A141,'Trips&amp;Operators'!$C$1:$G$99999,5,FALSE)</f>
        <v>YANAI IAN</v>
      </c>
      <c r="M141" s="6">
        <f t="shared" si="43"/>
        <v>2.3842592592700385E-2</v>
      </c>
      <c r="N141" s="7">
        <f t="shared" si="40"/>
        <v>34.333333333488554</v>
      </c>
      <c r="O141" s="7"/>
      <c r="P141" s="7"/>
      <c r="Q141" s="23"/>
      <c r="R141" s="23"/>
      <c r="S141" s="35">
        <f t="shared" si="41"/>
        <v>1</v>
      </c>
      <c r="T141" s="50" t="str">
        <f t="shared" si="44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20:35:24-700',mode:absolute,to:'2016-12-06 23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1" s="52" t="str">
        <f t="shared" si="46"/>
        <v>N</v>
      </c>
      <c r="X141" s="177">
        <f t="shared" si="47"/>
        <v>1</v>
      </c>
      <c r="Y141" s="67">
        <f t="shared" si="48"/>
        <v>4.5699999999999998E-2</v>
      </c>
      <c r="Z141" s="67">
        <f t="shared" si="49"/>
        <v>23.331</v>
      </c>
      <c r="AA141" s="67">
        <f t="shared" si="50"/>
        <v>23.285299999999999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51"/>
        <v>0233-06</v>
      </c>
      <c r="AE141" s="91" t="str">
        <f t="shared" si="52"/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AF141" s="88" t="str">
        <f t="shared" si="53"/>
        <v>"C:\Program Files (x86)\AstroGrep\AstroGrep.exe" /spath="%USERPROFILE%\AppData\Local\Temp\OnboardLogs" /stypes="app*4020*20161207*" /stext=" 05:.+((SYSTEM_STATE.+slice.+state.+changed )|(ment ac)|(multiple cpu faults)|(system.+state.+changed )|(\[timeout)|(PRM\|1\|D)|(kpr)|(kdp)|(\|lc)|(penalty))" /e /r /s</v>
      </c>
      <c r="AG141" s="1" t="str">
        <f t="shared" si="54"/>
        <v>EC</v>
      </c>
      <c r="AH141" s="92" t="str">
        <f t="shared" ref="AH141:AH203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233-06 --locoid 4020 --swversion DE.1.0.8.0 --startMP 204:457 --initTime 2016-12-06T21:35:24 --startdatetime 2016-12-06T22:00:14 --delay 2 --endMP 204:233310 --enddatetime 2016-12-06T22:34:34 --enforcementcount 0 &gt;&gt;C:\Users\stu\Documents\GitHub\eaglep3-reporting\EC\2016-12-06-refined-times.txt</v>
      </c>
      <c r="AI141" s="119" t="str">
        <f t="shared" ref="AI141:AI203" si="5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{"issue":{"subject":"","project_id":79,"tracker_id":40,"status_id":1,"priority_id":2,"assigned_to_id":23,"start_date":"2016-12-06","description":"","custom_fields":[{"id":1,"name":"Subdivision","value":"EC"},{"id":4,"name":"Milepost","value":"23.331"},{"id":17,"name":"Train ID","value":"233-06"},{"id":16,"name":"Locomotive ID","value":"4020"},{"id":130,"name":"Impact","value":""},{"id":150,"name":"Time of Event (Mountain Time)","value":"22:34:34"},{"id":151,"name":"Denver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641</v>
      </c>
      <c r="B142" s="7">
        <v>4019</v>
      </c>
      <c r="C142" s="22" t="s">
        <v>207</v>
      </c>
      <c r="D142" s="22" t="s">
        <v>675</v>
      </c>
      <c r="E142" s="13">
        <v>42710.94332175926</v>
      </c>
      <c r="F142" s="13">
        <v>42710.955752314818</v>
      </c>
      <c r="G142" s="7">
        <v>0</v>
      </c>
      <c r="H142" s="22" t="s">
        <v>340</v>
      </c>
      <c r="I142" s="13">
        <v>42710.983784722222</v>
      </c>
      <c r="J142" s="7">
        <v>0</v>
      </c>
      <c r="K142" s="109" t="str">
        <f t="shared" si="42"/>
        <v>4019/4020</v>
      </c>
      <c r="L142" s="22" t="str">
        <f>VLOOKUP(A142,'Trips&amp;Operators'!$C$1:$G$99999,5,FALSE)</f>
        <v>YANAI IAN</v>
      </c>
      <c r="M142" s="6">
        <f t="shared" si="43"/>
        <v>2.8032407404680271E-2</v>
      </c>
      <c r="N142" s="7">
        <f t="shared" si="40"/>
        <v>40.36666666273959</v>
      </c>
      <c r="O142" s="7"/>
      <c r="P142" s="7"/>
      <c r="Q142" s="23"/>
      <c r="R142" s="23"/>
      <c r="S142" s="35">
        <f t="shared" si="41"/>
        <v>1</v>
      </c>
      <c r="T142" s="50" t="str">
        <f t="shared" si="44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21:38:23-700',mode:absolute,to:'2016-12-07 00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52" t="str">
        <f t="shared" si="46"/>
        <v>N</v>
      </c>
      <c r="X142" s="177">
        <f t="shared" si="47"/>
        <v>1</v>
      </c>
      <c r="Y142" s="67">
        <f t="shared" si="48"/>
        <v>23.3</v>
      </c>
      <c r="Z142" s="67">
        <f t="shared" si="49"/>
        <v>1.52E-2</v>
      </c>
      <c r="AA142" s="67">
        <f t="shared" si="50"/>
        <v>23.284800000000001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1"/>
        <v>0234-06</v>
      </c>
      <c r="AE142" s="91" t="str">
        <f t="shared" si="52"/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AF142" s="88" t="str">
        <f t="shared" si="53"/>
        <v>"C:\Program Files (x86)\AstroGrep\AstroGrep.exe" /spath="%USERPROFILE%\AppData\Local\Temp\OnboardLogs" /stypes="app*4019*20161207*" /stext=" 06:.+((SYSTEM_STATE.+slice.+state.+changed )|(ment ac)|(multiple cpu faults)|(system.+state.+changed )|(\[timeout)|(PRM\|1\|D)|(kpr)|(kdp)|(\|lc)|(penalty))" /e /r /s</v>
      </c>
      <c r="AG142" s="1" t="str">
        <f t="shared" si="54"/>
        <v>EC</v>
      </c>
      <c r="AH142" s="92" t="str">
        <f t="shared" si="55"/>
        <v>"%USERPROFILE%\Documents\GitHub\eaglep3\Utilities\RefineRTDCRunTimes.py" --tripid 234-06 --locoid 4019 --swversion DE.1.0.8.0 --startMP 204:233000 --initTime 2016-12-06T22:38:23 --startdatetime 2016-12-06T22:56:17 --delay 0 --endMP 204:152 --enddatetime 2016-12-06T23:36:39 --enforcementcount 0 &gt;&gt;C:\Users\stu\Documents\GitHub\eaglep3-reporting\EC\2016-12-06-refined-times.txt</v>
      </c>
      <c r="AI142" s="119" t="str">
        <f t="shared" si="56"/>
        <v>echo {"issue":{"subject":"","project_id":79,"tracker_id":40,"status_id":1,"priority_id":2,"assigned_to_id":23,"start_date":"2016-12-06","description":"","custom_fields":[{"id":1,"name":"Subdivision","value":"EC"},{"id":4,"name":"Milepost","value":"0.0152"},{"id":17,"name":"Train ID","value":"234-06"},{"id":16,"name":"Locomotive ID","value":"4019"},{"id":130,"name":"Impact","value":""},{"id":150,"name":"Time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639</v>
      </c>
      <c r="B143" s="7">
        <v>4011</v>
      </c>
      <c r="C143" s="22" t="s">
        <v>207</v>
      </c>
      <c r="D143" s="22" t="s">
        <v>292</v>
      </c>
      <c r="E143" s="13">
        <v>42710.933379629627</v>
      </c>
      <c r="F143" s="13">
        <v>42710.937881944446</v>
      </c>
      <c r="G143" s="7">
        <v>1</v>
      </c>
      <c r="H143" s="22" t="s">
        <v>341</v>
      </c>
      <c r="I143" s="13">
        <v>42710.964375000003</v>
      </c>
      <c r="J143" s="7">
        <v>0</v>
      </c>
      <c r="K143" s="109" t="str">
        <f t="shared" si="42"/>
        <v>4011/4012</v>
      </c>
      <c r="L143" s="22" t="str">
        <f>VLOOKUP(A143,'Trips&amp;Operators'!$C$1:$G$99999,5,FALSE)</f>
        <v>CHANDLER KELVIN</v>
      </c>
      <c r="M143" s="6">
        <f t="shared" si="43"/>
        <v>2.6493055556784384E-2</v>
      </c>
      <c r="N143" s="7">
        <f t="shared" si="40"/>
        <v>38.150000001769513</v>
      </c>
      <c r="O143" s="7"/>
      <c r="P143" s="7"/>
      <c r="Q143" s="23"/>
      <c r="R143" s="23"/>
      <c r="S143" s="35">
        <f t="shared" si="41"/>
        <v>1</v>
      </c>
      <c r="T143" s="50" t="str">
        <f t="shared" si="44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21:24:04-700',mode:absolute,to:'2016-12-07 00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3" s="52" t="str">
        <f t="shared" si="46"/>
        <v>N</v>
      </c>
      <c r="X143" s="177">
        <f t="shared" si="47"/>
        <v>1</v>
      </c>
      <c r="Y143" s="67">
        <f t="shared" si="48"/>
        <v>4.4600000000000001E-2</v>
      </c>
      <c r="Z143" s="67">
        <f t="shared" si="49"/>
        <v>23.330400000000001</v>
      </c>
      <c r="AA143" s="67">
        <f t="shared" si="50"/>
        <v>23.285800000000002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1"/>
        <v>0235-06</v>
      </c>
      <c r="AE143" s="91" t="str">
        <f t="shared" si="52"/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AF143" s="88" t="str">
        <f t="shared" si="53"/>
        <v>"C:\Program Files (x86)\AstroGrep\AstroGrep.exe" /spath="%USERPROFILE%\AppData\Local\Temp\OnboardLogs" /stypes="app*4011*20161207*" /stext=" 06:.+((SYSTEM_STATE.+slice.+state.+changed )|(ment ac)|(multiple cpu faults)|(system.+state.+changed )|(\[timeout)|(PRM\|1\|D)|(kpr)|(kdp)|(\|lc)|(penalty))" /e /r /s</v>
      </c>
      <c r="AG143" s="1" t="str">
        <f t="shared" si="54"/>
        <v>EC</v>
      </c>
      <c r="AH143" s="92" t="str">
        <f t="shared" si="55"/>
        <v>"%USERPROFILE%\Documents\GitHub\eaglep3\Utilities\RefineRTDCRunTimes.py" --tripid 235-06 --locoid 4011 --swversion DE.1.0.8.0 --startMP 204:446 --initTime 2016-12-06T22:24:04 --startdatetime 2016-12-06T22:30:33 --delay 1 --endMP 204:233304 --enddatetime 2016-12-06T23:08:42 --enforcementcount 0 &gt;&gt;C:\Users\stu\Documents\GitHub\eaglep3-reporting\EC\2016-12-06-refined-times.txt</v>
      </c>
      <c r="AI143" s="119" t="str">
        <f t="shared" si="56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ID","value":"235-06"},{"id":16,"name":"Locomotive ID","value":"4011"},{"id":130,"name":"Impact","value":""},{"id":150,"name":"Time of Event (Mountain Time)","value":"23:08:42"},{"id":151,"name":"Denver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643</v>
      </c>
      <c r="B144" s="7">
        <v>4012</v>
      </c>
      <c r="C144" s="22" t="s">
        <v>207</v>
      </c>
      <c r="D144" s="22" t="s">
        <v>355</v>
      </c>
      <c r="E144" s="13">
        <v>42710.972812499997</v>
      </c>
      <c r="F144" s="13">
        <v>42710.976851851854</v>
      </c>
      <c r="G144" s="7">
        <v>1</v>
      </c>
      <c r="H144" s="22" t="s">
        <v>214</v>
      </c>
      <c r="I144" s="13">
        <v>42711.005277777775</v>
      </c>
      <c r="J144" s="7">
        <v>0</v>
      </c>
      <c r="K144" s="109" t="str">
        <f t="shared" si="42"/>
        <v>4011/4012</v>
      </c>
      <c r="L144" s="22" t="str">
        <f>VLOOKUP(A144,'Trips&amp;Operators'!$C$1:$G$99999,5,FALSE)</f>
        <v>CHANDLER KELVIN</v>
      </c>
      <c r="M144" s="6">
        <f t="shared" si="43"/>
        <v>2.8425925920601003E-2</v>
      </c>
      <c r="N144" s="7">
        <f t="shared" si="40"/>
        <v>40.933333325665444</v>
      </c>
      <c r="O144" s="7"/>
      <c r="P144" s="7"/>
      <c r="Q144" s="23"/>
      <c r="R144" s="23"/>
      <c r="S144" s="35">
        <f t="shared" si="41"/>
        <v>1</v>
      </c>
      <c r="T144" s="50" t="str">
        <f t="shared" si="44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22:20:51-700',mode:absolute,to:'2016-12-07 01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4" s="52" t="str">
        <f t="shared" si="46"/>
        <v>N</v>
      </c>
      <c r="X144" s="177">
        <f t="shared" si="47"/>
        <v>1</v>
      </c>
      <c r="Y144" s="67">
        <f t="shared" si="48"/>
        <v>23.299399999999999</v>
      </c>
      <c r="Z144" s="67">
        <f t="shared" si="49"/>
        <v>1.4999999999999999E-2</v>
      </c>
      <c r="AA144" s="67">
        <f t="shared" si="50"/>
        <v>23.284399999999998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1"/>
        <v>0236-06</v>
      </c>
      <c r="AE144" s="91" t="str">
        <f t="shared" si="52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144" s="88" t="str">
        <f t="shared" si="53"/>
        <v>"C:\Program Files (x86)\AstroGrep\AstroGrep.exe" /spath="%USERPROFILE%\AppData\Local\Temp\OnboardLogs" /stypes="app*4012*20161207*" /stext=" 07:.+((SYSTEM_STATE.+slice.+state.+changed )|(ment ac)|(multiple cpu faults)|(system.+state.+changed )|(\[timeout)|(PRM\|1\|D)|(kpr)|(kdp)|(\|lc)|(penalty))" /e /r /s</v>
      </c>
      <c r="AG144" s="1" t="str">
        <f t="shared" si="54"/>
        <v>EC</v>
      </c>
      <c r="AH144" s="92" t="str">
        <f t="shared" si="55"/>
        <v>"%USERPROFILE%\Documents\GitHub\eaglep3\Utilities\RefineRTDCRunTimes.py" --tripid 236-06 --locoid 4012 --swversion DE.1.0.8.0 --startMP 204:232994 --initTime 2016-12-06T23:20:51 --startdatetime 2016-12-06T23:26:40 --delay 1 --endMP 204:150 --enddatetime 2016-12-07T00:07:36 --enforcementcount 0 &gt;&gt;C:\Users\stu\Documents\GitHub\eaglep3-reporting\EC\2016-12-06-refined-times.txt</v>
      </c>
      <c r="AI144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ID","value":"236-06"},{"id":16,"name":"Locomotive ID","value":"4012"},{"id":130,"name":"Impact","value":""},{"id":150,"name":"Time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642</v>
      </c>
      <c r="B145" s="7">
        <v>4029</v>
      </c>
      <c r="C145" s="22" t="s">
        <v>207</v>
      </c>
      <c r="D145" s="22" t="s">
        <v>388</v>
      </c>
      <c r="E145" s="13">
        <v>42710.948842592596</v>
      </c>
      <c r="F145" s="13">
        <v>42710.958703703705</v>
      </c>
      <c r="G145" s="7">
        <v>1</v>
      </c>
      <c r="H145" s="22" t="s">
        <v>341</v>
      </c>
      <c r="I145" s="13">
        <v>42710.984722222223</v>
      </c>
      <c r="J145" s="7">
        <v>0</v>
      </c>
      <c r="K145" s="109" t="str">
        <f t="shared" si="42"/>
        <v>4029/4030</v>
      </c>
      <c r="L145" s="22" t="str">
        <f>VLOOKUP(A145,'Trips&amp;Operators'!$C$1:$G$99999,5,FALSE)</f>
        <v>LEVERE CRAIG</v>
      </c>
      <c r="M145" s="6">
        <f t="shared" si="43"/>
        <v>2.6018518517958E-2</v>
      </c>
      <c r="N145" s="7">
        <f t="shared" si="40"/>
        <v>37.46666666585952</v>
      </c>
      <c r="O145" s="7"/>
      <c r="P145" s="7"/>
      <c r="Q145" s="23"/>
      <c r="R145" s="23"/>
      <c r="S145" s="35">
        <f t="shared" si="41"/>
        <v>1</v>
      </c>
      <c r="T145" s="50" t="str">
        <f t="shared" si="44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21:46:20-700',mode:absolute,to:'2016-12-07 00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46"/>
        <v>N</v>
      </c>
      <c r="X145" s="177">
        <f t="shared" si="47"/>
        <v>1</v>
      </c>
      <c r="Y145" s="67">
        <f t="shared" si="48"/>
        <v>4.6199999999999998E-2</v>
      </c>
      <c r="Z145" s="67">
        <f t="shared" si="49"/>
        <v>23.330400000000001</v>
      </c>
      <c r="AA145" s="67">
        <f t="shared" si="50"/>
        <v>23.284200000000002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1"/>
        <v>0237-06</v>
      </c>
      <c r="AE145" s="91" t="str">
        <f t="shared" si="52"/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AF145" s="88" t="str">
        <f t="shared" si="53"/>
        <v>"C:\Program Files (x86)\AstroGrep\AstroGrep.exe" /spath="%USERPROFILE%\AppData\Local\Temp\OnboardLogs" /stypes="app*4029*20161207*" /stext=" 06:.+((SYSTEM_STATE.+slice.+state.+changed )|(ment ac)|(multiple cpu faults)|(system.+state.+changed )|(\[timeout)|(PRM\|1\|D)|(kpr)|(kdp)|(\|lc)|(penalty))" /e /r /s</v>
      </c>
      <c r="AG145" s="1" t="str">
        <f t="shared" si="54"/>
        <v>EC</v>
      </c>
      <c r="AH145" s="92" t="str">
        <f t="shared" si="55"/>
        <v>"%USERPROFILE%\Documents\GitHub\eaglep3\Utilities\RefineRTDCRunTimes.py" --tripid 237-06 --locoid 4029 --swversion DE.1.0.8.0 --startMP 204:462 --initTime 2016-12-06T22:46:20 --startdatetime 2016-12-06T23:00:32 --delay 1 --endMP 204:233304 --enddatetime 2016-12-06T23:38:00 --enforcementcount 0 &gt;&gt;C:\Users\stu\Documents\GitHub\eaglep3-reporting\EC\2016-12-06-refined-times.txt</v>
      </c>
      <c r="AI145" s="119" t="str">
        <f t="shared" si="56"/>
        <v>echo {"issue":{"subject":"","project_id":79,"tracker_id":40,"status_id":1,"priority_id":2,"assigned_to_id":23,"start_date":"2016-12-06","description":"","custom_fields":[{"id":1,"name":"Subdivision","value":"EC"},{"id":4,"name":"Milepost","value":"23.3304"},{"id":17,"name":"Train ID","value":"237-06"},{"id":16,"name":"Locomotive ID","value":"4029"},{"id":130,"name":"Impact","value":""},{"id":150,"name":"Time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645</v>
      </c>
      <c r="B146" s="7">
        <v>4030</v>
      </c>
      <c r="C146" s="22" t="s">
        <v>207</v>
      </c>
      <c r="D146" s="22" t="s">
        <v>342</v>
      </c>
      <c r="E146" s="13">
        <v>42710.993148148147</v>
      </c>
      <c r="F146" s="13">
        <v>42710.997824074075</v>
      </c>
      <c r="G146" s="7">
        <v>1</v>
      </c>
      <c r="H146" s="22" t="s">
        <v>724</v>
      </c>
      <c r="I146" s="13">
        <v>42711.032256944447</v>
      </c>
      <c r="J146" s="7">
        <v>0</v>
      </c>
      <c r="K146" s="109" t="str">
        <f t="shared" si="42"/>
        <v>4029/4030</v>
      </c>
      <c r="L146" s="22" t="str">
        <f>VLOOKUP(A146,'Trips&amp;Operators'!$C$1:$G$99999,5,FALSE)</f>
        <v>LEVERE CRAIG</v>
      </c>
      <c r="M146" s="6">
        <f t="shared" si="43"/>
        <v>3.443287037225673E-2</v>
      </c>
      <c r="N146" s="7">
        <f t="shared" si="40"/>
        <v>49.583333336049691</v>
      </c>
      <c r="O146" s="7"/>
      <c r="P146" s="7"/>
      <c r="Q146" s="23"/>
      <c r="R146" s="23"/>
      <c r="S146" s="35">
        <f t="shared" si="41"/>
        <v>1</v>
      </c>
      <c r="T146" s="50" t="str">
        <f t="shared" si="44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22:50:08-700',mode:absolute,to:'2016-12-07 01:46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46"/>
        <v>N</v>
      </c>
      <c r="X146" s="177">
        <f t="shared" si="47"/>
        <v>1</v>
      </c>
      <c r="Y146" s="67">
        <f t="shared" si="48"/>
        <v>23.298300000000001</v>
      </c>
      <c r="Z146" s="67">
        <f t="shared" si="49"/>
        <v>9.2999999999999992E-3</v>
      </c>
      <c r="AA146" s="67">
        <f t="shared" si="50"/>
        <v>23.289000000000001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1"/>
        <v>0238-06</v>
      </c>
      <c r="AE146" s="91" t="str">
        <f t="shared" si="52"/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AF146" s="88" t="str">
        <f t="shared" si="53"/>
        <v>"C:\Program Files (x86)\AstroGrep\AstroGrep.exe" /spath="%USERPROFILE%\AppData\Local\Temp\OnboardLogs" /stypes="app*4030*20161207*" /stext=" 07:.+((SYSTEM_STATE.+slice.+state.+changed )|(ment ac)|(multiple cpu faults)|(system.+state.+changed )|(\[timeout)|(PRM\|1\|D)|(kpr)|(kdp)|(\|lc)|(penalty))" /e /r /s</v>
      </c>
      <c r="AG146" s="1" t="str">
        <f t="shared" si="54"/>
        <v>EC</v>
      </c>
      <c r="AH146" s="92" t="str">
        <f t="shared" si="55"/>
        <v>"%USERPROFILE%\Documents\GitHub\eaglep3\Utilities\RefineRTDCRunTimes.py" --tripid 238-06 --locoid 4030 --swversion DE.1.0.8.0 --startMP 204:232983 --initTime 2016-12-06T23:50:08 --startdatetime 2016-12-06T23:56:52 --delay 1 --endMP 204:93 --enddatetime 2016-12-07T00:46:27 --enforcementcount 0 &gt;&gt;C:\Users\stu\Documents\GitHub\eaglep3-reporting\EC\2016-12-06-refined-times.txt</v>
      </c>
      <c r="AI146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{"issue":{"subject":"","project_id":79,"tracker_id":40,"status_id":1,"priority_id":2,"assigned_to_id":23,"start_date":"2016-12-07","description":"","custom_fields":[{"id":1,"name":"Subdivision","value":"EC"},{"id":4,"name":"Milepost","value":"0.0093"},{"id":17,"name":"Train ID","value":"238-06"},{"id":16,"name":"Locomotive ID","value":"4030"},{"id":130,"name":"Impact","value":""},{"id":150,"name":"Time of Event (Mountain Time)","value":"00:46:27"},{"id":151,"name":"Denver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644</v>
      </c>
      <c r="B147" s="7">
        <v>4018</v>
      </c>
      <c r="C147" s="22" t="s">
        <v>207</v>
      </c>
      <c r="D147" s="22" t="s">
        <v>725</v>
      </c>
      <c r="E147" s="13">
        <v>42710.976203703707</v>
      </c>
      <c r="F147" s="13">
        <v>42710.979444444441</v>
      </c>
      <c r="G147" s="7">
        <v>1</v>
      </c>
      <c r="H147" s="22" t="s">
        <v>334</v>
      </c>
      <c r="I147" s="13">
        <v>42711.004525462966</v>
      </c>
      <c r="J147" s="7">
        <v>0</v>
      </c>
      <c r="K147" s="109" t="str">
        <f t="shared" si="42"/>
        <v>4017/4018</v>
      </c>
      <c r="L147" s="22" t="str">
        <f>VLOOKUP(A147,'Trips&amp;Operators'!$C$1:$G$99999,5,FALSE)</f>
        <v>COOLAHAN JOHN</v>
      </c>
      <c r="M147" s="6">
        <f t="shared" si="43"/>
        <v>2.5081018524360843E-2</v>
      </c>
      <c r="N147" s="7">
        <f t="shared" si="40"/>
        <v>36.116666675079614</v>
      </c>
      <c r="O147" s="7"/>
      <c r="P147" s="7"/>
      <c r="Q147" s="23"/>
      <c r="R147" s="23"/>
      <c r="S147" s="35">
        <f t="shared" si="41"/>
        <v>1</v>
      </c>
      <c r="T147" s="50" t="str">
        <f t="shared" si="44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22:25:44-700',mode:absolute,to:'2016-12-07 01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7" s="52" t="str">
        <f t="shared" si="46"/>
        <v>N</v>
      </c>
      <c r="X147" s="177">
        <f t="shared" si="47"/>
        <v>1</v>
      </c>
      <c r="Y147" s="67">
        <f t="shared" si="48"/>
        <v>3.9800000000000002E-2</v>
      </c>
      <c r="Z147" s="67">
        <f t="shared" si="49"/>
        <v>23.329499999999999</v>
      </c>
      <c r="AA147" s="67">
        <f t="shared" si="50"/>
        <v>23.2897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1"/>
        <v>0239-06</v>
      </c>
      <c r="AE147" s="91" t="str">
        <f t="shared" si="52"/>
        <v>aws s3 cp s3://rtdc.mdm.uploadarchive.raw/RTDC4018/ "%USERPROFILE%\AppData\Local\Temp\OnboardLogs"\RTDC4018\2016-12-06 --exclude "*" --recursive --include "*20161206*" &amp; "%USERPROFILE%\Documents\GitHub\mrs-test-scripts\Headless Mode &amp; Sideloading\WalkAndUnGZ.bat" "%USERPROFILE%\AppData\Local\Temp\OnboardLogs"\RTDC4018\2016-12-06 &amp; aws s3 cp s3://rtdc.mdm.uploadarchive.raw/RTDC4018/ "%USERPROFILE%\AppData\Local\Temp\OnboardLogs"\RTDC4018\2016-12-07 --exclude "*" --recursive --include "*20161207*" &amp; "%USERPROFILE%\Documents\GitHub\mrs-test-scripts\Headless Mode &amp; Sideloading\WalkAndUnGZ.bat" "%USERPROFILE%\AppData\Local\Temp\OnboardLogs"\RTDC4018\2016-12-07</v>
      </c>
      <c r="AF147" s="88" t="str">
        <f t="shared" si="53"/>
        <v>"C:\Program Files (x86)\AstroGrep\AstroGrep.exe" /spath="%USERPROFILE%\AppData\Local\Temp\OnboardLogs" /stypes="app*4018*20161207*" /stext=" 07:.+((SYSTEM_STATE.+slice.+state.+changed )|(ment ac)|(multiple cpu faults)|(system.+state.+changed )|(\[timeout)|(PRM\|1\|D)|(kpr)|(kdp)|(\|lc)|(penalty))" /e /r /s</v>
      </c>
      <c r="AG147" s="1" t="str">
        <f t="shared" si="54"/>
        <v>EC</v>
      </c>
      <c r="AH147" s="92" t="str">
        <f t="shared" si="55"/>
        <v>"%USERPROFILE%\Documents\GitHub\eaglep3\Utilities\RefineRTDCRunTimes.py" --tripid 239-06 --locoid 4018 --swversion DE.1.0.8.0 --startMP 204:398 --initTime 2016-12-06T23:25:44 --startdatetime 2016-12-06T23:30:24 --delay 1 --endMP 204:233295 --enddatetime 2016-12-07T00:06:31 --enforcementcount 0 &gt;&gt;C:\Users\stu\Documents\GitHub\eaglep3-reporting\EC\2016-12-06-refined-times.txt</v>
      </c>
      <c r="AI147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ID","value":"239-06"},{"id":16,"name":"Locomotive ID","value":"4018"},{"id":130,"name":"Impact","value":""},{"id":150,"name":"Time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454</v>
      </c>
      <c r="B148" s="7">
        <v>4017</v>
      </c>
      <c r="C148" s="22" t="s">
        <v>207</v>
      </c>
      <c r="D148" s="22" t="s">
        <v>342</v>
      </c>
      <c r="E148" s="13">
        <v>42711.013645833336</v>
      </c>
      <c r="F148" s="13">
        <v>42711.018645833334</v>
      </c>
      <c r="G148" s="7">
        <v>1</v>
      </c>
      <c r="H148" s="22" t="s">
        <v>726</v>
      </c>
      <c r="I148" s="13">
        <v>42711.046412037038</v>
      </c>
      <c r="J148" s="7">
        <v>0</v>
      </c>
      <c r="K148" s="109" t="str">
        <f t="shared" si="42"/>
        <v>4017/4018</v>
      </c>
      <c r="L148" s="22" t="str">
        <f>VLOOKUP(A148,'Trips&amp;Operators'!$C$1:$G$99999,5,FALSE)</f>
        <v>COOLAHAN JOHN</v>
      </c>
      <c r="M148" s="6">
        <f t="shared" si="43"/>
        <v>2.7766203704231884E-2</v>
      </c>
      <c r="N148" s="7">
        <f t="shared" si="40"/>
        <v>39.983333334093913</v>
      </c>
      <c r="O148" s="7"/>
      <c r="P148" s="7"/>
      <c r="Q148" s="23"/>
      <c r="R148" s="23"/>
      <c r="S148" s="35">
        <f t="shared" si="41"/>
        <v>1</v>
      </c>
      <c r="T148" s="50" t="str">
        <f t="shared" si="44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8" s="52" t="str">
        <f t="shared" si="46"/>
        <v>N</v>
      </c>
      <c r="X148" s="177">
        <f t="shared" si="47"/>
        <v>1</v>
      </c>
      <c r="Y148" s="67">
        <f t="shared" si="48"/>
        <v>23.298300000000001</v>
      </c>
      <c r="Z148" s="67">
        <f t="shared" si="49"/>
        <v>1.35E-2</v>
      </c>
      <c r="AA148" s="67">
        <f t="shared" si="50"/>
        <v>23.284800000000001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1"/>
        <v>0240-06</v>
      </c>
      <c r="AE148" s="91" t="str">
        <f t="shared" si="52"/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AF148" s="88" t="str">
        <f t="shared" si="53"/>
        <v>"C:\Program Files (x86)\AstroGrep\AstroGrep.exe" /spath="%USERPROFILE%\AppData\Local\Temp\OnboardLogs" /stypes="app*4017*20161207*" /stext=" 08:.+((SYSTEM_STATE.+slice.+state.+changed )|(ment ac)|(multiple cpu faults)|(system.+state.+changed )|(\[timeout)|(PRM\|1\|D)|(kpr)|(kdp)|(\|lc)|(penalty))" /e /r /s</v>
      </c>
      <c r="AG148" s="1" t="str">
        <f t="shared" si="54"/>
        <v>EC</v>
      </c>
      <c r="AH148" s="92" t="str">
        <f t="shared" si="55"/>
        <v>"%USERPROFILE%\Documents\GitHub\eaglep3\Utilities\RefineRTDCRunTimes.py" --tripid 240-06 --locoid 4017 --swversion DE.1.0.8.0 --startMP 204:232983 --initTime 2016-12-07T00:19:39 --startdatetime 2016-12-07T00:26:51 --delay 1 --endMP 204:135 --enddatetime 2016-12-07T01:06:50 --enforcementcount 0 &gt;&gt;C:\Users\stu\Documents\GitHub\eaglep3-reporting\EC\2016-12-06-refined-times.txt</v>
      </c>
      <c r="AI148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{"issue":{"subject":"","project_id":79,"tracker_id":40,"status_id":1,"priority_id":2,"assigned_to_id":23,"start_date":"2016-12-07","description":"","custom_fields":[{"id":1,"name":"Subdivision","value":"EC"},{"id":4,"name":"Milepost","value":"0.0135"},{"id":17,"name":"Train ID","value":"240-06"},{"id":16,"name":"Locomotive ID","value":"4017"},{"id":130,"name":"Impact","value":""},{"id":150,"name":"Time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453</v>
      </c>
      <c r="B149" s="7">
        <v>4020</v>
      </c>
      <c r="C149" s="22" t="s">
        <v>207</v>
      </c>
      <c r="D149" s="22" t="s">
        <v>238</v>
      </c>
      <c r="E149" s="13">
        <v>42710.986134259256</v>
      </c>
      <c r="F149" s="13">
        <v>42711.000162037039</v>
      </c>
      <c r="G149" s="7">
        <v>1</v>
      </c>
      <c r="H149" s="22" t="s">
        <v>727</v>
      </c>
      <c r="I149" s="13">
        <v>42711.02820601852</v>
      </c>
      <c r="J149" s="7">
        <v>0</v>
      </c>
      <c r="K149" s="109" t="str">
        <f t="shared" si="42"/>
        <v>4019/4020</v>
      </c>
      <c r="L149" s="22" t="str">
        <f>VLOOKUP(A149,'Trips&amp;Operators'!$C$1:$G$99999,5,FALSE)</f>
        <v>YANAI IAN</v>
      </c>
      <c r="M149" s="6">
        <f t="shared" si="43"/>
        <v>2.8043981481459923E-2</v>
      </c>
      <c r="N149" s="7">
        <f t="shared" si="40"/>
        <v>40.383333333302289</v>
      </c>
      <c r="O149" s="7"/>
      <c r="P149" s="7"/>
      <c r="Q149" s="23"/>
      <c r="R149" s="23"/>
      <c r="S149" s="35">
        <f t="shared" si="41"/>
        <v>1</v>
      </c>
      <c r="T149" s="50" t="str">
        <f t="shared" si="44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9" s="52" t="str">
        <f t="shared" si="46"/>
        <v>N</v>
      </c>
      <c r="X149" s="177">
        <f t="shared" si="47"/>
        <v>1</v>
      </c>
      <c r="Y149" s="67">
        <f t="shared" si="48"/>
        <v>4.4200000000000003E-2</v>
      </c>
      <c r="Z149" s="67">
        <f t="shared" si="49"/>
        <v>23.307400000000001</v>
      </c>
      <c r="AA149" s="67">
        <f t="shared" si="50"/>
        <v>23.263200000000001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1"/>
        <v>0241-06</v>
      </c>
      <c r="AE149" s="91" t="str">
        <f t="shared" si="52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49" s="88" t="str">
        <f t="shared" si="53"/>
        <v>"C:\Program Files (x86)\AstroGrep\AstroGrep.exe" /spath="%USERPROFILE%\AppData\Local\Temp\OnboardLogs" /stypes="app*4020*20161207*" /stext=" 07:.+((SYSTEM_STATE.+slice.+state.+changed )|(ment ac)|(multiple cpu faults)|(system.+state.+changed )|(\[timeout)|(PRM\|1\|D)|(kpr)|(kdp)|(\|lc)|(penalty))" /e /r /s</v>
      </c>
      <c r="AG149" s="1" t="str">
        <f t="shared" si="54"/>
        <v>EC</v>
      </c>
      <c r="AH149" s="92" t="str">
        <f t="shared" si="55"/>
        <v>"%USERPROFILE%\Documents\GitHub\eaglep3\Utilities\RefineRTDCRunTimes.py" --tripid 241-06 --locoid 4020 --swversion DE.1.0.8.0 --startMP 204:442 --initTime 2016-12-06T23:40:02 --startdatetime 2016-12-07T00:00:14 --delay 1 --endMP 204:233074 --enddatetime 2016-12-07T00:40:37 --enforcementcount 0 &gt;&gt;C:\Users\stu\Documents\GitHub\eaglep3-reporting\EC\2016-12-06-refined-times.txt</v>
      </c>
      <c r="AI149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{"issue":{"subject":"","project_id":79,"tracker_id":40,"status_id":1,"priority_id":2,"assigned_to_id":23,"start_date":"2016-12-07","description":"","custom_fields":[{"id":1,"name":"Subdivision","value":"EC"},{"id":4,"name":"Milepost","value":"23.3074"},{"id":17,"name":"Train ID","value":"241-06"},{"id":16,"name":"Locomotive ID","value":"4020"},{"id":130,"name":"Impact","value":""},{"id":150,"name":"Time of Event (Mountain Time)","value":"00:40:37"},{"id":151,"name":"Denver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455</v>
      </c>
      <c r="B150" s="7">
        <v>4019</v>
      </c>
      <c r="C150" s="22" t="s">
        <v>207</v>
      </c>
      <c r="D150" s="22" t="s">
        <v>390</v>
      </c>
      <c r="E150" s="13">
        <v>42711.030740740738</v>
      </c>
      <c r="F150" s="13">
        <v>42711.0390625</v>
      </c>
      <c r="G150" s="7">
        <v>1</v>
      </c>
      <c r="H150" s="22" t="s">
        <v>728</v>
      </c>
      <c r="I150" s="13">
        <v>42711.065601851849</v>
      </c>
      <c r="J150" s="7">
        <v>0</v>
      </c>
      <c r="K150" s="109" t="str">
        <f t="shared" si="42"/>
        <v>4019/4020</v>
      </c>
      <c r="L150" s="22" t="str">
        <f>VLOOKUP(A150,'Trips&amp;Operators'!$C$1:$G$99999,5,FALSE)</f>
        <v>YANAI IAN</v>
      </c>
      <c r="M150" s="6">
        <f t="shared" si="43"/>
        <v>2.6539351849351078E-2</v>
      </c>
      <c r="N150" s="7">
        <f t="shared" si="40"/>
        <v>38.216666663065553</v>
      </c>
      <c r="O150" s="7"/>
      <c r="P150" s="7"/>
      <c r="Q150" s="23"/>
      <c r="R150" s="23"/>
      <c r="S150" s="35">
        <f t="shared" si="41"/>
        <v>1</v>
      </c>
      <c r="T150" s="50" t="str">
        <f t="shared" si="44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52" t="str">
        <f t="shared" si="46"/>
        <v>N</v>
      </c>
      <c r="X150" s="177">
        <f t="shared" si="47"/>
        <v>1</v>
      </c>
      <c r="Y150" s="67">
        <f t="shared" si="48"/>
        <v>23.299600000000002</v>
      </c>
      <c r="Z150" s="67">
        <f t="shared" si="49"/>
        <v>9.1000000000000004E-3</v>
      </c>
      <c r="AA150" s="67">
        <f t="shared" si="50"/>
        <v>23.290500000000002</v>
      </c>
      <c r="AB150" s="64" t="str">
        <f>VLOOKUP(A150,Enforcements!$C$7:$K$20,8,0)</f>
        <v>Bulletin (2)</v>
      </c>
      <c r="AC150" s="60" t="str">
        <f>VLOOKUP(A150,Enforcements!$C$7:$E$20,3,0)</f>
        <v>GRADE CROSSING</v>
      </c>
      <c r="AD150" s="61" t="str">
        <f t="shared" si="51"/>
        <v>0242-06</v>
      </c>
      <c r="AE150" s="91" t="str">
        <f t="shared" si="52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50" s="88" t="str">
        <f t="shared" si="53"/>
        <v>"C:\Program Files (x86)\AstroGrep\AstroGrep.exe" /spath="%USERPROFILE%\AppData\Local\Temp\OnboardLogs" /stypes="app*4019*20161207*" /stext=" 08:.+((SYSTEM_STATE.+slice.+state.+changed )|(ment ac)|(multiple cpu faults)|(system.+state.+changed )|(\[timeout)|(PRM\|1\|D)|(kpr)|(kdp)|(\|lc)|(penalty))" /e /r /s</v>
      </c>
      <c r="AG150" s="1" t="str">
        <f t="shared" si="54"/>
        <v>EC</v>
      </c>
      <c r="AH150" s="92" t="str">
        <f t="shared" si="55"/>
        <v>"%USERPROFILE%\Documents\GitHub\eaglep3\Utilities\RefineRTDCRunTimes.py" --tripid 242-06 --locoid 4019 --swversion DE.1.0.8.0 --startMP 204:232996 --initTime 2016-12-07T00:44:16 --startdatetime 2016-12-07T00:56:15 --delay 1 --endMP 204:91 --enddatetime 2016-12-07T01:34:28 --enforcementcount 0 &gt;&gt;C:\Users\stu\Documents\GitHub\eaglep3-reporting\EC\2016-12-06-refined-times.txt</v>
      </c>
      <c r="AI150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{"issue":{"subject":"","project_id":79,"tracker_id":40,"status_id":1,"priority_id":2,"assigned_to_id":23,"start_date":"2016-12-07","description":"","custom_fields":[{"id":1,"name":"Subdivision","value":"EC"},{"id":4,"name":"Milepost","value":"0.0091"},{"id":17,"name":"Train ID","value":"242-06"},{"id":16,"name":"Locomotive ID","value":"4019"},{"id":130,"name":"Impact","value":""},{"id":150,"name":"Time of Event (Mountain Time)","value":"01:34:28"},{"id":151,"name":"Denver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646</v>
      </c>
      <c r="B151" s="7">
        <v>4011</v>
      </c>
      <c r="C151" s="22" t="s">
        <v>207</v>
      </c>
      <c r="D151" s="22" t="s">
        <v>195</v>
      </c>
      <c r="E151" s="13">
        <v>42711.018692129626</v>
      </c>
      <c r="F151" s="13">
        <v>42711.021238425928</v>
      </c>
      <c r="G151" s="7">
        <v>1</v>
      </c>
      <c r="H151" s="22" t="s">
        <v>729</v>
      </c>
      <c r="I151" s="13">
        <v>42711.045960648145</v>
      </c>
      <c r="J151" s="7">
        <v>0</v>
      </c>
      <c r="K151" s="109" t="str">
        <f t="shared" si="42"/>
        <v>4011/4012</v>
      </c>
      <c r="L151" s="22" t="str">
        <f>VLOOKUP(A151,'Trips&amp;Operators'!$C$1:$G$99999,5,FALSE)</f>
        <v>CHANDLER KELVIN</v>
      </c>
      <c r="M151" s="6">
        <f t="shared" si="43"/>
        <v>2.4722222216951195E-2</v>
      </c>
      <c r="N151" s="7">
        <f t="shared" si="40"/>
        <v>35.599999992409721</v>
      </c>
      <c r="O151" s="7"/>
      <c r="P151" s="7"/>
      <c r="Q151" s="23"/>
      <c r="R151" s="23"/>
      <c r="S151" s="35">
        <f t="shared" si="41"/>
        <v>1</v>
      </c>
      <c r="T151" s="50" t="str">
        <f t="shared" si="44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23:26:55-700',mode:absolute,to:'2016-12-07 02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1" s="52" t="str">
        <f t="shared" si="46"/>
        <v>N</v>
      </c>
      <c r="X151" s="177">
        <f t="shared" si="47"/>
        <v>1</v>
      </c>
      <c r="Y151" s="67">
        <f t="shared" si="48"/>
        <v>4.5100000000000001E-2</v>
      </c>
      <c r="Z151" s="67">
        <f t="shared" si="49"/>
        <v>23.327400000000001</v>
      </c>
      <c r="AA151" s="67">
        <f t="shared" si="50"/>
        <v>23.282299999999999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1"/>
        <v>0243-06</v>
      </c>
      <c r="AE151" s="91" t="str">
        <f t="shared" si="5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51" s="88" t="str">
        <f t="shared" si="53"/>
        <v>"C:\Program Files (x86)\AstroGrep\AstroGrep.exe" /spath="%USERPROFILE%\AppData\Local\Temp\OnboardLogs" /stypes="app*4011*20161207*" /stext=" 08:.+((SYSTEM_STATE.+slice.+state.+changed )|(ment ac)|(multiple cpu faults)|(system.+state.+changed )|(\[timeout)|(PRM\|1\|D)|(kpr)|(kdp)|(\|lc)|(penalty))" /e /r /s</v>
      </c>
      <c r="AG151" s="1" t="str">
        <f t="shared" si="54"/>
        <v>EC</v>
      </c>
      <c r="AH151" s="92" t="str">
        <f t="shared" si="55"/>
        <v>"%USERPROFILE%\Documents\GitHub\eaglep3\Utilities\RefineRTDCRunTimes.py" --tripid 243-06 --locoid 4011 --swversion DE.1.0.8.0 --startMP 204:451 --initTime 2016-12-07T00:26:55 --startdatetime 2016-12-07T00:30:35 --delay 1 --endMP 204:233274 --enddatetime 2016-12-07T01:06:11 --enforcementcount 0 &gt;&gt;C:\Users\stu\Documents\GitHub\eaglep3-reporting\EC\2016-12-06-refined-times.txt</v>
      </c>
      <c r="AI151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ID","value":"243-06"},{"id":16,"name":"Locomotive ID","value":"4011"},{"id":130,"name":"Impact","value":""},{"id":150,"name":"Time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649</v>
      </c>
      <c r="B152" s="7">
        <v>4012</v>
      </c>
      <c r="C152" s="22" t="s">
        <v>207</v>
      </c>
      <c r="D152" s="22" t="s">
        <v>384</v>
      </c>
      <c r="E152" s="13">
        <v>42711.05846064815</v>
      </c>
      <c r="F152" s="13">
        <v>42711.059120370373</v>
      </c>
      <c r="G152" s="7">
        <v>0</v>
      </c>
      <c r="H152" s="22" t="s">
        <v>730</v>
      </c>
      <c r="I152" s="13">
        <v>42711.07644675926</v>
      </c>
      <c r="J152" s="7">
        <v>0</v>
      </c>
      <c r="K152" s="109" t="str">
        <f t="shared" si="42"/>
        <v>4011/4012</v>
      </c>
      <c r="L152" s="22" t="str">
        <f>VLOOKUP(A152,'Trips&amp;Operators'!$C$1:$G$99999,5,FALSE)</f>
        <v>CHANDLER KELVIN</v>
      </c>
      <c r="M152" s="6">
        <f t="shared" si="43"/>
        <v>1.7326388886431232E-2</v>
      </c>
      <c r="N152" s="7"/>
      <c r="O152" s="7"/>
      <c r="P152" s="7">
        <f>24*60*SUM($M152:$M153)</f>
        <v>37.416666664648801</v>
      </c>
      <c r="Q152" s="23"/>
      <c r="R152" s="23" t="s">
        <v>842</v>
      </c>
      <c r="S152" s="35">
        <f>SUM(U152:U153)/IF(AG152="EC",12,1)</f>
        <v>0.5</v>
      </c>
      <c r="T152" s="50" t="str">
        <f t="shared" si="44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https://search-rtdc-monitor-bjffxe2xuh6vdkpspy63sjmuny.us-east-1.es.amazonaws.com/_plugin/kibana/#/discover/Steve-Slow-Train-Analysis-(2080s-and-2083s)?_g=(refreshInterval:(display:Off,section:0,value:0),time:(from:'2016-12-07 00:24:11-700',mode:absolute,to:'2016-12-07 02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2" s="52" t="str">
        <f t="shared" si="46"/>
        <v>Y</v>
      </c>
      <c r="X152" s="177">
        <f t="shared" si="47"/>
        <v>1</v>
      </c>
      <c r="Y152" s="67">
        <f t="shared" si="48"/>
        <v>23.2974</v>
      </c>
      <c r="Z152" s="67">
        <f t="shared" si="49"/>
        <v>6.3728999999999996</v>
      </c>
      <c r="AA152" s="67">
        <f t="shared" si="50"/>
        <v>16.924500000000002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1"/>
        <v>0244-06</v>
      </c>
      <c r="AE152" s="91" t="str">
        <f t="shared" si="5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2" s="88" t="str">
        <f t="shared" si="53"/>
        <v>"C:\Program Files (x86)\AstroGrep\AstroGrep.exe" /spath="%USERPROFILE%\AppData\Local\Temp\OnboardLogs" /stypes="app*4012*20161207*" /stext=" 08:.+((SYSTEM_STATE.+slice.+state.+changed )|(ment ac)|(multiple cpu faults)|(system.+state.+changed )|(\[timeout)|(PRM\|1\|D)|(kpr)|(kdp)|(\|lc)|(penalty))" /e /r /s</v>
      </c>
      <c r="AG152" s="1" t="str">
        <f t="shared" si="54"/>
        <v>EC</v>
      </c>
      <c r="AH152" s="92" t="str">
        <f t="shared" si="55"/>
        <v>"%USERPROFILE%\Documents\GitHub\eaglep3\Utilities\RefineRTDCRunTimes.py" --tripid 244-06 --locoid 4012 --swversion DE.1.0.8.0 --startMP 204:232974 --initTime 2016-12-07T01:24:11 --startdatetime 2016-12-07T01:25:08 --delay 0 --endMP 204:63729 --enddatetime 2016-12-07T01:50:05 --enforcementcount 0 &gt;&gt;C:\Users\stu\Documents\GitHub\eaglep3-reporting\EC\2016-12-06-refined-times.txt</v>
      </c>
      <c r="AI152" s="119" t="str">
        <f t="shared" si="56"/>
        <v>echo {"issue":{"subject":"Operator error - phase break","project_id":79,"tracker_id":40,"status_id":1,"priority_id":2,"assigned_to_id":23,"start_date":"2016-12-07","description":"","custom_fields":[{"id":1,"name":"Subdivision","value":"EC"},{"id":4,"name":"Milepost","value":"6.3729"},{"id":17,"name":"Train ID","value":"244-06"},{"id":16,"name":"Locomotive ID","value":"4012"},{"id":130,"name":"Impact","value":""},{"id":150,"name":"Time of Event (Mountain Time)","value":"01:50:05"},{"id":151,"name":"Denver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649</v>
      </c>
      <c r="B153" s="7">
        <v>4012</v>
      </c>
      <c r="C153" s="22" t="s">
        <v>207</v>
      </c>
      <c r="D153" s="22" t="s">
        <v>731</v>
      </c>
      <c r="E153" s="13">
        <v>42711.082013888888</v>
      </c>
      <c r="F153" s="13">
        <v>42711.082685185182</v>
      </c>
      <c r="G153" s="7">
        <v>0</v>
      </c>
      <c r="H153" s="22" t="s">
        <v>723</v>
      </c>
      <c r="I153" s="13">
        <v>42711.09134259259</v>
      </c>
      <c r="J153" s="7">
        <v>0</v>
      </c>
      <c r="K153" s="109" t="str">
        <f t="shared" si="42"/>
        <v>4011/4012</v>
      </c>
      <c r="L153" s="22" t="str">
        <f>VLOOKUP(A153,'Trips&amp;Operators'!$C$1:$G$99999,5,FALSE)</f>
        <v>CHANDLER KELVIN</v>
      </c>
      <c r="M153" s="6">
        <f t="shared" si="43"/>
        <v>8.6574074084637687E-3</v>
      </c>
      <c r="N153" s="7"/>
      <c r="O153" s="7"/>
      <c r="P153" s="7"/>
      <c r="Q153" s="23"/>
      <c r="R153" s="23"/>
      <c r="S153" s="35"/>
      <c r="T153" s="50" t="str">
        <f t="shared" si="44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https://search-rtdc-monitor-bjffxe2xuh6vdkpspy63sjmuny.us-east-1.es.amazonaws.com/_plugin/kibana/#/discover/Steve-Slow-Train-Analysis-(2080s-and-2083s)?_g=(refreshInterval:(display:Off,section:0,value:0),time:(from:'2016-12-07 00:58:06-700',mode:absolute,to:'2016-12-07 03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 t="shared" si="46"/>
        <v>Y</v>
      </c>
      <c r="X153" s="177">
        <f t="shared" si="47"/>
        <v>0</v>
      </c>
      <c r="Y153" s="67">
        <f t="shared" si="48"/>
        <v>3.6772999999999998</v>
      </c>
      <c r="Z153" s="67">
        <f t="shared" si="49"/>
        <v>8.8000000000000005E-3</v>
      </c>
      <c r="AA153" s="67">
        <f t="shared" si="50"/>
        <v>3.6684999999999999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1"/>
        <v>0244-06</v>
      </c>
      <c r="AE153" s="91" t="str">
        <f t="shared" si="5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53" s="88" t="str">
        <f t="shared" si="53"/>
        <v>"C:\Program Files (x86)\AstroGrep\AstroGrep.exe" /spath="%USERPROFILE%\AppData\Local\Temp\OnboardLogs" /stypes="app*4012*20161207*" /stext=" 09:.+((SYSTEM_STATE.+slice.+state.+changed )|(ment ac)|(multiple cpu faults)|(system.+state.+changed )|(\[timeout)|(PRM\|1\|D)|(kpr)|(kdp)|(\|lc)|(penalty))" /e /r /s</v>
      </c>
      <c r="AG153" s="1" t="str">
        <f t="shared" si="54"/>
        <v>EC</v>
      </c>
      <c r="AH153" s="92" t="str">
        <f t="shared" si="55"/>
        <v>"%USERPROFILE%\Documents\GitHub\eaglep3\Utilities\RefineRTDCRunTimes.py" --tripid 244-06 --locoid 4012 --swversion DE.1.0.8.0 --startMP 204:36773 --initTime 2016-12-07T01:58:06 --startdatetime 2016-12-07T01:59:04 --delay 0 --endMP 204:88 --enddatetime 2016-12-07T02:11:32 --enforcementcount 0 &gt;&gt;C:\Users\stu\Documents\GitHub\eaglep3-reporting\EC\2016-12-06-refined-times.txt</v>
      </c>
      <c r="AI153" s="119" t="str">
        <f t="shared" si="56"/>
        <v>echo {"issue":{"subject":"","project_id":79,"tracker_id":40,"status_id":1,"priority_id":2,"assigned_to_id":23,"start_date":"2016-12-07","description":"","custom_fields":[{"id":1,"name":"Subdivision","value":"EC"},{"id":4,"name":"Milepost","value":"0.0088"},{"id":17,"name":"Train ID","value":"244-06"},{"id":16,"name":"Locomotive ID","value":"4012"},{"id":130,"name":"Impact","value":""},{"id":150,"name":"Time of Event (Mountain Time)","value":"02:11:32"},{"id":151,"name":"Denver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472</v>
      </c>
      <c r="B154" s="7">
        <v>4021</v>
      </c>
      <c r="C154" s="22" t="s">
        <v>207</v>
      </c>
      <c r="D154" s="22" t="s">
        <v>764</v>
      </c>
      <c r="E154" s="13">
        <v>42710.213495370372</v>
      </c>
      <c r="F154" s="13">
        <v>42710.214895833335</v>
      </c>
      <c r="G154" s="7">
        <v>1</v>
      </c>
      <c r="H154" s="22" t="s">
        <v>419</v>
      </c>
      <c r="I154" s="13">
        <v>42710.226469907408</v>
      </c>
      <c r="J154" s="7">
        <v>0</v>
      </c>
      <c r="K154" s="109" t="str">
        <f t="shared" si="42"/>
        <v>4021/4022</v>
      </c>
      <c r="L154" s="22" t="str">
        <f>VLOOKUP(A154,'Trips&amp;Operators'!$C$1:$G$99999,5,FALSE)</f>
        <v>STARKS ANGELINA</v>
      </c>
      <c r="M154" s="6">
        <f t="shared" si="43"/>
        <v>1.1574074072996154E-2</v>
      </c>
      <c r="N154" s="7">
        <f t="shared" si="40"/>
        <v>16.666666665114462</v>
      </c>
      <c r="O154" s="7"/>
      <c r="P154" s="7"/>
      <c r="Q154" s="23"/>
      <c r="R154" s="23"/>
      <c r="S154" s="35">
        <f t="shared" si="41"/>
        <v>1</v>
      </c>
      <c r="T154" s="50" t="str">
        <f t="shared" si="44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04:07:26-700',mode:absolute,to:'2016-12-06 06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4" s="52" t="str">
        <f t="shared" si="46"/>
        <v>N</v>
      </c>
      <c r="X154" s="177">
        <f t="shared" si="47"/>
        <v>556</v>
      </c>
      <c r="Y154" s="67">
        <f t="shared" si="48"/>
        <v>5.8658999999999999</v>
      </c>
      <c r="Z154" s="67">
        <f t="shared" si="49"/>
        <v>6.6600000000000006E-2</v>
      </c>
      <c r="AA154" s="67">
        <f t="shared" si="50"/>
        <v>5.7992999999999997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1"/>
        <v>0800-06</v>
      </c>
      <c r="AE154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4" s="88" t="str">
        <f t="shared" si="53"/>
        <v>"C:\Program Files (x86)\AstroGrep\AstroGrep.exe" /spath="%USERPROFILE%\AppData\Local\Temp\OnboardLogs" /stypes="app*4021*20161206*" /stext=" 12:.+((SYSTEM_STATE.+slice.+state.+changed )|(ment ac)|(multiple cpu faults)|(system.+state.+changed )|(\[timeout)|(PRM\|1\|D)|(kpr)|(kdp)|(\|lc)|(penalty))" /e /r /s</v>
      </c>
      <c r="AG154" s="1" t="str">
        <f t="shared" si="54"/>
        <v>NW</v>
      </c>
      <c r="AH154" s="92" t="str">
        <f t="shared" si="55"/>
        <v>"%USERPROFILE%\Documents\GitHub\eaglep3\Utilities\RefineRTDCRunTimes.py" --tripid 800-06 --locoid 4021 --swversion DE.1.0.8.0 --startMP 300:58659 --initTime 2016-12-06T05:07:26 --startdatetime 2016-12-06T05:09:27 --delay 1 --endMP 204:666 --enddatetime 2016-12-06T05:26:07 --enforcementcount 0 &gt;&gt;C:\Users\stu\Documents\GitHub\eaglep3-reporting\EC\2016-12-06-refined-times.txt</v>
      </c>
      <c r="AI154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{"issue":{"subject":"","project_id":79,"tracker_id":40,"status_id":1,"priority_id":2,"assigned_to_id":23,"start_date":"2016-12-06","description":"","custom_fields":[{"id":1,"name":"Subdivision","value":"NW"},{"id":4,"name":"Milepost","value":"0.0666"},{"id":17,"name":"Train ID","value":"800-06"},{"id":16,"name":"Locomotive ID","value":"4021"},{"id":130,"name":"Impact","value":""},{"id":150,"name":"Time of Event (Mountain Time)","value":"05:26:07"},{"id":151,"name":"Denver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480</v>
      </c>
      <c r="B155" s="7">
        <v>4022</v>
      </c>
      <c r="C155" s="22" t="s">
        <v>207</v>
      </c>
      <c r="D155" s="22" t="s">
        <v>765</v>
      </c>
      <c r="E155" s="13">
        <v>42710.242465277777</v>
      </c>
      <c r="F155" s="13">
        <v>42710.244629629633</v>
      </c>
      <c r="G155" s="7">
        <v>3</v>
      </c>
      <c r="H155" s="22" t="s">
        <v>766</v>
      </c>
      <c r="I155" s="13">
        <v>42710.254560185182</v>
      </c>
      <c r="J155" s="7">
        <v>0</v>
      </c>
      <c r="K155" s="109" t="str">
        <f t="shared" si="42"/>
        <v>4021/4022</v>
      </c>
      <c r="L155" s="22" t="str">
        <f>VLOOKUP(A155,'Trips&amp;Operators'!$C$1:$G$99999,5,FALSE)</f>
        <v>STARKS ANGELINA</v>
      </c>
      <c r="M155" s="6">
        <f t="shared" si="43"/>
        <v>9.9305555486353114E-3</v>
      </c>
      <c r="N155" s="7">
        <f t="shared" si="40"/>
        <v>14.299999990034848</v>
      </c>
      <c r="O155" s="7"/>
      <c r="P155" s="7"/>
      <c r="Q155" s="23"/>
      <c r="R155" s="23"/>
      <c r="S155" s="35">
        <f t="shared" si="41"/>
        <v>1</v>
      </c>
      <c r="T155" s="50" t="str">
        <f t="shared" si="44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04:49:09-700',mode:absolute,to:'2016-12-06 07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5" s="52" t="str">
        <f t="shared" si="46"/>
        <v>N</v>
      </c>
      <c r="X155" s="177">
        <f t="shared" si="47"/>
        <v>1</v>
      </c>
      <c r="Y155" s="67">
        <v>0.1</v>
      </c>
      <c r="Z155" s="67">
        <f t="shared" si="49"/>
        <v>5.8959999999999999</v>
      </c>
      <c r="AA155" s="67">
        <f t="shared" si="50"/>
        <v>5.7960000000000003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1"/>
        <v>0801-06</v>
      </c>
      <c r="AE155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55" s="88" t="str">
        <f t="shared" si="53"/>
        <v>"C:\Program Files (x86)\AstroGrep\AstroGrep.exe" /spath="%USERPROFILE%\AppData\Local\Temp\OnboardLogs" /stypes="app*4022*20161206*" /stext=" 13:.+((SYSTEM_STATE.+slice.+state.+changed )|(ment ac)|(multiple cpu faults)|(system.+state.+changed )|(\[timeout)|(PRM\|1\|D)|(kpr)|(kdp)|(\|lc)|(penalty))" /e /r /s</v>
      </c>
      <c r="AG155" s="1" t="str">
        <f t="shared" si="54"/>
        <v>NW</v>
      </c>
      <c r="AH155" s="92" t="str">
        <f t="shared" si="55"/>
        <v>"%USERPROFILE%\Documents\GitHub\eaglep3\Utilities\RefineRTDCRunTimes.py" --tripid 801-06 --locoid 4022 --swversion DE.1.0.8.0 --startMP 204:3443 --initTime 2016-12-06T05:49:09 --startdatetime 2016-12-06T05:52:16 --delay 3 --endMP 300:58960 --enddatetime 2016-12-06T06:06:34 --enforcementcount 0 &gt;&gt;C:\Users\stu\Documents\GitHub\eaglep3-reporting\EC\2016-12-06-refined-times.txt</v>
      </c>
      <c r="AI155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{"issue":{"subject":"","project_id":79,"tracker_id":40,"status_id":1,"priority_id":2,"assigned_to_id":23,"start_date":"2016-12-06","description":"","custom_fields":[{"id":1,"name":"Subdivision","value":"NW"},{"id":4,"name":"Milepost","value":"5.896"},{"id":17,"name":"Train ID","value":"801-06"},{"id":16,"name":"Locomotive ID","value":"4022"},{"id":130,"name":"Impact","value":""},{"id":150,"name":"Time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483</v>
      </c>
      <c r="B156" s="7">
        <v>4021</v>
      </c>
      <c r="C156" s="22" t="s">
        <v>207</v>
      </c>
      <c r="D156" s="22" t="s">
        <v>767</v>
      </c>
      <c r="E156" s="13">
        <v>42710.25545138889</v>
      </c>
      <c r="F156" s="13">
        <v>42710.25644675926</v>
      </c>
      <c r="G156" s="7">
        <v>1</v>
      </c>
      <c r="H156" s="22" t="s">
        <v>768</v>
      </c>
      <c r="I156" s="13">
        <v>42710.268148148149</v>
      </c>
      <c r="J156" s="7">
        <v>0</v>
      </c>
      <c r="K156" s="109" t="str">
        <f t="shared" si="42"/>
        <v>4021/4022</v>
      </c>
      <c r="L156" s="22" t="str">
        <f>VLOOKUP(A156,'Trips&amp;Operators'!$C$1:$G$99999,5,FALSE)</f>
        <v>STARKS ANGELINA</v>
      </c>
      <c r="M156" s="6">
        <f t="shared" si="43"/>
        <v>1.17013888884685E-2</v>
      </c>
      <c r="N156" s="7">
        <f t="shared" si="40"/>
        <v>16.84999999939464</v>
      </c>
      <c r="O156" s="7"/>
      <c r="P156" s="7"/>
      <c r="Q156" s="23"/>
      <c r="R156" s="23"/>
      <c r="S156" s="35">
        <f t="shared" si="41"/>
        <v>1</v>
      </c>
      <c r="T156" s="50" t="str">
        <f t="shared" si="44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05:07:51-700',mode:absolute,to:'2016-12-06 07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 t="shared" si="46"/>
        <v>N</v>
      </c>
      <c r="X156" s="177">
        <f t="shared" si="47"/>
        <v>1</v>
      </c>
      <c r="Y156" s="67">
        <f t="shared" si="48"/>
        <v>5.8658000000000001</v>
      </c>
      <c r="Z156" s="67">
        <f t="shared" si="49"/>
        <v>7.1300000000000002E-2</v>
      </c>
      <c r="AA156" s="67">
        <f t="shared" si="50"/>
        <v>5.7945000000000002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1"/>
        <v>0802-06</v>
      </c>
      <c r="AE156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56" s="88" t="str">
        <f t="shared" si="53"/>
        <v>"C:\Program Files (x86)\AstroGrep\AstroGrep.exe" /spath="%USERPROFILE%\AppData\Local\Temp\OnboardLogs" /stypes="app*4021*20161206*" /stext=" 13:.+((SYSTEM_STATE.+slice.+state.+changed )|(ment ac)|(multiple cpu faults)|(system.+state.+changed )|(\[timeout)|(PRM\|1\|D)|(kpr)|(kdp)|(\|lc)|(penalty))" /e /r /s</v>
      </c>
      <c r="AG156" s="1" t="str">
        <f t="shared" si="54"/>
        <v>NW</v>
      </c>
      <c r="AH156" s="92" t="str">
        <f t="shared" si="55"/>
        <v>"%USERPROFILE%\Documents\GitHub\eaglep3\Utilities\RefineRTDCRunTimes.py" --tripid 802-06 --locoid 4021 --swversion DE.1.0.8.0 --startMP 300:58658 --initTime 2016-12-06T06:07:51 --startdatetime 2016-12-06T06:09:17 --delay 1 --endMP 204:713 --enddatetime 2016-12-06T06:26:08 --enforcementcount 0 &gt;&gt;C:\Users\stu\Documents\GitHub\eaglep3-reporting\EC\2016-12-06-refined-times.txt</v>
      </c>
      <c r="AI156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{"issue":{"subject":"","project_id":79,"tracker_id":40,"status_id":1,"priority_id":2,"assigned_to_id":23,"start_date":"2016-12-06","description":"","custom_fields":[{"id":1,"name":"Subdivision","value":"NW"},{"id":4,"name":"Milepost","value":"0.0713"},{"id":17,"name":"Train ID","value":"802-06"},{"id":16,"name":"Locomotive ID","value":"4021"},{"id":130,"name":"Impact","value":""},{"id":150,"name":"Time of Event (Mountain Time)","value":"06:26:08"},{"id":151,"name":"Denver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485</v>
      </c>
      <c r="B157" s="7">
        <v>4009</v>
      </c>
      <c r="C157" s="22" t="s">
        <v>207</v>
      </c>
      <c r="D157" s="22" t="s">
        <v>769</v>
      </c>
      <c r="E157" s="13">
        <v>42710.26053240741</v>
      </c>
      <c r="F157" s="13">
        <v>42710.264768518522</v>
      </c>
      <c r="G157" s="7">
        <v>1</v>
      </c>
      <c r="H157" s="22" t="s">
        <v>770</v>
      </c>
      <c r="I157" s="13">
        <v>42710.273912037039</v>
      </c>
      <c r="J157" s="7">
        <v>0</v>
      </c>
      <c r="K157" s="109" t="str">
        <f t="shared" si="42"/>
        <v>4009/4010</v>
      </c>
      <c r="L157" s="22" t="str">
        <f>VLOOKUP(A157,'Trips&amp;Operators'!$C$1:$G$99999,5,FALSE)</f>
        <v>LEVIN SCOTT</v>
      </c>
      <c r="M157" s="6">
        <f t="shared" si="43"/>
        <v>9.1435185167938471E-3</v>
      </c>
      <c r="N157" s="7">
        <f t="shared" si="40"/>
        <v>13.16666666418314</v>
      </c>
      <c r="O157" s="7"/>
      <c r="P157" s="7"/>
      <c r="Q157" s="23"/>
      <c r="R157" s="23"/>
      <c r="S157" s="35">
        <f t="shared" si="41"/>
        <v>1</v>
      </c>
      <c r="T157" s="50" t="str">
        <f t="shared" si="44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05:15:10-700',mode:absolute,to:'2016-12-06 07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46"/>
        <v>N</v>
      </c>
      <c r="X157" s="177">
        <f t="shared" si="47"/>
        <v>1</v>
      </c>
      <c r="Y157" s="67">
        <f t="shared" si="48"/>
        <v>9.8599999999999993E-2</v>
      </c>
      <c r="Z157" s="67">
        <f t="shared" si="49"/>
        <v>5.8916000000000004</v>
      </c>
      <c r="AA157" s="67">
        <f t="shared" si="50"/>
        <v>5.7930000000000001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1"/>
        <v>0803-06</v>
      </c>
      <c r="AE157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57" s="88" t="str">
        <f t="shared" si="53"/>
        <v>"C:\Program Files (x86)\AstroGrep\AstroGrep.exe" /spath="%USERPROFILE%\AppData\Local\Temp\OnboardLogs" /stypes="app*4009*20161206*" /stext=" 13:.+((SYSTEM_STATE.+slice.+state.+changed )|(ment ac)|(multiple cpu faults)|(system.+state.+changed )|(\[timeout)|(PRM\|1\|D)|(kpr)|(kdp)|(\|lc)|(penalty))" /e /r /s</v>
      </c>
      <c r="AG157" s="1" t="str">
        <f t="shared" si="54"/>
        <v>NW</v>
      </c>
      <c r="AH157" s="92" t="str">
        <f t="shared" si="55"/>
        <v>"%USERPROFILE%\Documents\GitHub\eaglep3\Utilities\RefineRTDCRunTimes.py" --tripid 803-06 --locoid 4009 --swversion DE.1.0.8.0 --startMP 204:986 --initTime 2016-12-06T06:15:10 --startdatetime 2016-12-06T06:21:16 --delay 1 --endMP 300:58916 --enddatetime 2016-12-06T06:34:26 --enforcementcount 0 &gt;&gt;C:\Users\stu\Documents\GitHub\eaglep3-reporting\EC\2016-12-06-refined-times.txt</v>
      </c>
      <c r="AI157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{"issue":{"subject":"","project_id":79,"tracker_id":40,"status_id":1,"priority_id":2,"assigned_to_id":23,"start_date":"2016-12-06","description":"","custom_fields":[{"id":1,"name":"Subdivision","value":"NW"},{"id":4,"name":"Milepost","value":"5.8916"},{"id":17,"name":"Train ID","value":"803-06"},{"id":16,"name":"Locomotive ID","value":"4009"},{"id":130,"name":"Impact","value":""},{"id":150,"name":"Time of Event (Mountain Time)","value":"06:34:26"},{"id":151,"name":"Denver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423</v>
      </c>
      <c r="B158" s="7">
        <v>4010</v>
      </c>
      <c r="C158" s="22" t="s">
        <v>207</v>
      </c>
      <c r="D158" s="22" t="s">
        <v>771</v>
      </c>
      <c r="E158" s="13">
        <v>42710.280659722222</v>
      </c>
      <c r="F158" s="13">
        <v>42710.276655092595</v>
      </c>
      <c r="G158" s="7">
        <v>1</v>
      </c>
      <c r="H158" s="22" t="s">
        <v>772</v>
      </c>
      <c r="I158" s="13">
        <v>42710.291828703703</v>
      </c>
      <c r="J158" s="7">
        <v>0</v>
      </c>
      <c r="K158" s="109" t="str">
        <f t="shared" si="42"/>
        <v>4009/4010</v>
      </c>
      <c r="L158" s="22" t="str">
        <f>VLOOKUP(A158,'Trips&amp;Operators'!$C$1:$G$99999,5,FALSE)</f>
        <v>LEVIN SCOTT</v>
      </c>
      <c r="M158" s="6">
        <f t="shared" si="43"/>
        <v>1.5173611107456964E-2</v>
      </c>
      <c r="N158" s="7">
        <f t="shared" si="40"/>
        <v>21.849999994738027</v>
      </c>
      <c r="O158" s="7"/>
      <c r="P158" s="7"/>
      <c r="Q158" s="23"/>
      <c r="R158" s="23" t="s">
        <v>929</v>
      </c>
      <c r="S158" s="35">
        <f t="shared" si="41"/>
        <v>1</v>
      </c>
      <c r="T158" s="50" t="str">
        <f t="shared" si="44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46"/>
        <v>N</v>
      </c>
      <c r="X158" s="177">
        <f t="shared" si="47"/>
        <v>1</v>
      </c>
      <c r="Y158" s="67">
        <f t="shared" si="48"/>
        <v>5.7983000000000002</v>
      </c>
      <c r="Z158" s="67">
        <f t="shared" si="49"/>
        <v>7.2400000000000006E-2</v>
      </c>
      <c r="AA158" s="67">
        <f t="shared" si="50"/>
        <v>5.7259000000000002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1"/>
        <v>0804-06</v>
      </c>
      <c r="AE158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58" s="88" t="str">
        <f t="shared" si="53"/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58" s="1" t="str">
        <f t="shared" si="54"/>
        <v>NW</v>
      </c>
      <c r="AH158" s="92" t="str">
        <f t="shared" si="55"/>
        <v>"%USERPROFILE%\Documents\GitHub\eaglep3\Utilities\RefineRTDCRunTimes.py" --tripid 804-06 --locoid 4010 --swversion DE.1.0.8.0 --startMP 300:57983 --initTime 2016-12-06T06:44:09 --startdatetime 2016-12-06T06:38:23 --delay 1 --endMP 204:724 --enddatetime 2016-12-06T07:00:14 --enforcementcount 0 &gt;&gt;C:\Users\stu\Documents\GitHub\eaglep3-reporting\EC\2016-12-06-refined-times.txt</v>
      </c>
      <c r="AI158" s="119" t="str">
        <f t="shared" si="56"/>
        <v>echo {"issue":{"subject":"Delayed. Went active too close to signal… then Cut out buttons didn't work… Onboard team investigating","project_id":79,"tracker_id":40,"status_id":1,"priority_id":2,"assigned_to_id":23,"start_date":"2016-12-06","description":"","custom_fields":[{"id":1,"name":"Subdivision","value":"NW"},{"id":4,"name":"Milepost","value":"0.0724"},{"id":17,"name":"Train ID","value":"804-06"},{"id":16,"name":"Locomotive ID","value":"4010"},{"id":130,"name":"Impact","value":""},{"id":150,"name":"Time of Event (Mountain Time)","value":"07:00:14"},{"id":151,"name":"Denver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489</v>
      </c>
      <c r="B159" s="7">
        <v>4022</v>
      </c>
      <c r="C159" s="22" t="s">
        <v>207</v>
      </c>
      <c r="D159" s="22" t="s">
        <v>773</v>
      </c>
      <c r="E159" s="13">
        <v>42710.282326388886</v>
      </c>
      <c r="F159" s="13">
        <v>42710.285578703704</v>
      </c>
      <c r="G159" s="7">
        <v>1</v>
      </c>
      <c r="H159" s="22" t="s">
        <v>350</v>
      </c>
      <c r="I159" s="13">
        <v>42710.295138888891</v>
      </c>
      <c r="J159" s="7">
        <v>0</v>
      </c>
      <c r="K159" s="109" t="str">
        <f t="shared" si="42"/>
        <v>4021/4022</v>
      </c>
      <c r="L159" s="22" t="str">
        <f>VLOOKUP(A159,'Trips&amp;Operators'!$C$1:$G$99999,5,FALSE)</f>
        <v>STARKS ANGELINA</v>
      </c>
      <c r="M159" s="6">
        <f t="shared" si="43"/>
        <v>9.560185186273884E-3</v>
      </c>
      <c r="N159" s="7">
        <f t="shared" si="40"/>
        <v>13.766666668234393</v>
      </c>
      <c r="O159" s="7"/>
      <c r="P159" s="7"/>
      <c r="Q159" s="23"/>
      <c r="R159" s="23"/>
      <c r="S159" s="35">
        <f t="shared" si="41"/>
        <v>1</v>
      </c>
      <c r="T159" s="50" t="str">
        <f t="shared" si="44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05:46:33-700',mode:absolute,to:'2016-12-06 08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9" s="52" t="str">
        <f t="shared" si="46"/>
        <v>N</v>
      </c>
      <c r="X159" s="177">
        <f t="shared" si="47"/>
        <v>1</v>
      </c>
      <c r="Y159" s="67">
        <f t="shared" si="48"/>
        <v>0.1007</v>
      </c>
      <c r="Z159" s="67">
        <f t="shared" si="49"/>
        <v>5.8958000000000004</v>
      </c>
      <c r="AA159" s="67">
        <f t="shared" si="50"/>
        <v>5.7951000000000006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1"/>
        <v>0805-06</v>
      </c>
      <c r="AE159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59" s="88" t="str">
        <f t="shared" si="53"/>
        <v>"C:\Program Files (x86)\AstroGrep\AstroGrep.exe" /spath="%USERPROFILE%\AppData\Local\Temp\OnboardLogs" /stypes="app*4022*20161206*" /stext=" 14:.+((SYSTEM_STATE.+slice.+state.+changed )|(ment ac)|(multiple cpu faults)|(system.+state.+changed )|(\[timeout)|(PRM\|1\|D)|(kpr)|(kdp)|(\|lc)|(penalty))" /e /r /s</v>
      </c>
      <c r="AG159" s="1" t="str">
        <f t="shared" si="54"/>
        <v>NW</v>
      </c>
      <c r="AH159" s="92" t="str">
        <f t="shared" si="55"/>
        <v>"%USERPROFILE%\Documents\GitHub\eaglep3\Utilities\RefineRTDCRunTimes.py" --tripid 805-06 --locoid 4022 --swversion DE.1.0.8.0 --startMP 204:1007 --initTime 2016-12-06T06:46:33 --startdatetime 2016-12-06T06:51:14 --delay 1 --endMP 300:58958 --enddatetime 2016-12-06T07:05:00 --enforcementcount 0 &gt;&gt;C:\Users\stu\Documents\GitHub\eaglep3-reporting\EC\2016-12-06-refined-times.txt</v>
      </c>
      <c r="AI159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{"issue":{"subject":"","project_id":79,"tracker_id":40,"status_id":1,"priority_id":2,"assigned_to_id":23,"start_date":"2016-12-06","description":"","custom_fields":[{"id":1,"name":"Subdivision","value":"NW"},{"id":4,"name":"Milepost","value":"5.8958"},{"id":17,"name":"Train ID","value":"805-06"},{"id":16,"name":"Locomotive ID","value":"4022"},{"id":130,"name":"Impact","value":""},{"id":150,"name":"Time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492</v>
      </c>
      <c r="B160" s="7">
        <v>4021</v>
      </c>
      <c r="C160" s="22" t="s">
        <v>207</v>
      </c>
      <c r="D160" s="22" t="s">
        <v>774</v>
      </c>
      <c r="E160" s="13">
        <v>42710.296331018515</v>
      </c>
      <c r="F160" s="13">
        <v>42710.297615740739</v>
      </c>
      <c r="G160" s="7">
        <v>1</v>
      </c>
      <c r="H160" s="22" t="s">
        <v>775</v>
      </c>
      <c r="I160" s="13">
        <v>42710.309814814813</v>
      </c>
      <c r="J160" s="7">
        <v>0</v>
      </c>
      <c r="K160" s="109" t="str">
        <f t="shared" si="42"/>
        <v>4021/4022</v>
      </c>
      <c r="L160" s="22" t="str">
        <f>VLOOKUP(A160,'Trips&amp;Operators'!$C$1:$G$99999,5,FALSE)</f>
        <v>STARKS ANGELINA</v>
      </c>
      <c r="M160" s="6">
        <f t="shared" si="43"/>
        <v>1.2199074073578231E-2</v>
      </c>
      <c r="N160" s="7">
        <f t="shared" si="40"/>
        <v>17.566666665952653</v>
      </c>
      <c r="O160" s="7"/>
      <c r="P160" s="7"/>
      <c r="Q160" s="23"/>
      <c r="R160" s="23"/>
      <c r="S160" s="35">
        <f t="shared" si="41"/>
        <v>1</v>
      </c>
      <c r="T160" s="50" t="str">
        <f t="shared" si="44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06:06:43-700',mode:absolute,to:'2016-12-06 08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0" s="52" t="str">
        <f t="shared" si="46"/>
        <v>N</v>
      </c>
      <c r="X160" s="177">
        <f t="shared" si="47"/>
        <v>1</v>
      </c>
      <c r="Y160" s="67">
        <f t="shared" si="48"/>
        <v>5.8651</v>
      </c>
      <c r="Z160" s="67">
        <f t="shared" si="49"/>
        <v>7.5700000000000003E-2</v>
      </c>
      <c r="AA160" s="67">
        <f t="shared" si="50"/>
        <v>5.7893999999999997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1"/>
        <v>0806-06</v>
      </c>
      <c r="AE160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0" s="88" t="str">
        <f t="shared" si="53"/>
        <v>"C:\Program Files (x86)\AstroGrep\AstroGrep.exe" /spath="%USERPROFILE%\AppData\Local\Temp\OnboardLogs" /stypes="app*4021*20161206*" /stext=" 14:.+((SYSTEM_STATE.+slice.+state.+changed )|(ment ac)|(multiple cpu faults)|(system.+state.+changed )|(\[timeout)|(PRM\|1\|D)|(kpr)|(kdp)|(\|lc)|(penalty))" /e /r /s</v>
      </c>
      <c r="AG160" s="1" t="str">
        <f t="shared" si="54"/>
        <v>NW</v>
      </c>
      <c r="AH160" s="92" t="str">
        <f t="shared" si="55"/>
        <v>"%USERPROFILE%\Documents\GitHub\eaglep3\Utilities\RefineRTDCRunTimes.py" --tripid 806-06 --locoid 4021 --swversion DE.1.0.8.0 --startMP 300:58651 --initTime 2016-12-06T07:06:43 --startdatetime 2016-12-06T07:08:34 --delay 1 --endMP 204:757 --enddatetime 2016-12-06T07:26:08 --enforcementcount 0 &gt;&gt;C:\Users\stu\Documents\GitHub\eaglep3-reporting\EC\2016-12-06-refined-times.txt</v>
      </c>
      <c r="AI160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{"issue":{"subject":"","project_id":79,"tracker_id":40,"status_id":1,"priority_id":2,"assigned_to_id":23,"start_date":"2016-12-06","description":"","custom_fields":[{"id":1,"name":"Subdivision","value":"NW"},{"id":4,"name":"Milepost","value":"0.0757"},{"id":17,"name":"Train ID","value":"806-06"},{"id":16,"name":"Locomotive ID","value":"4021"},{"id":130,"name":"Impact","value":""},{"id":150,"name":"Time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496</v>
      </c>
      <c r="B161" s="7">
        <v>4009</v>
      </c>
      <c r="C161" s="22" t="s">
        <v>207</v>
      </c>
      <c r="D161" s="22" t="s">
        <v>776</v>
      </c>
      <c r="E161" s="13">
        <v>42710.302812499998</v>
      </c>
      <c r="F161" s="13">
        <v>42710.306435185186</v>
      </c>
      <c r="G161" s="7">
        <v>1</v>
      </c>
      <c r="H161" s="22" t="s">
        <v>777</v>
      </c>
      <c r="I161" s="13">
        <v>42710.315439814818</v>
      </c>
      <c r="J161" s="7">
        <v>0</v>
      </c>
      <c r="K161" s="109" t="str">
        <f t="shared" si="42"/>
        <v>4009/4010</v>
      </c>
      <c r="L161" s="22" t="str">
        <f>VLOOKUP(A161,'Trips&amp;Operators'!$C$1:$G$99999,5,FALSE)</f>
        <v>LEVIN SCOTT</v>
      </c>
      <c r="M161" s="6">
        <f t="shared" si="43"/>
        <v>9.0046296318178065E-3</v>
      </c>
      <c r="N161" s="7">
        <f t="shared" si="40"/>
        <v>12.966666669817641</v>
      </c>
      <c r="O161" s="7"/>
      <c r="P161" s="7"/>
      <c r="Q161" s="23"/>
      <c r="R161" s="23"/>
      <c r="S161" s="35">
        <f t="shared" si="41"/>
        <v>1</v>
      </c>
      <c r="T161" s="50" t="str">
        <f t="shared" si="44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06:16:03-700',mode:absolute,to:'2016-12-06 08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1" s="52" t="str">
        <f t="shared" si="46"/>
        <v>N</v>
      </c>
      <c r="X161" s="177">
        <f t="shared" si="47"/>
        <v>1</v>
      </c>
      <c r="Y161" s="67">
        <f t="shared" si="48"/>
        <v>0.1002</v>
      </c>
      <c r="Z161" s="67">
        <f t="shared" si="49"/>
        <v>5.8925999999999998</v>
      </c>
      <c r="AA161" s="67">
        <f t="shared" si="50"/>
        <v>5.7923999999999998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1"/>
        <v>0807-06</v>
      </c>
      <c r="AE161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1" s="88" t="str">
        <f t="shared" si="53"/>
        <v>"C:\Program Files (x86)\AstroGrep\AstroGrep.exe" /spath="%USERPROFILE%\AppData\Local\Temp\OnboardLogs" /stypes="app*4009*20161206*" /stext=" 14:.+((SYSTEM_STATE.+slice.+state.+changed )|(ment ac)|(multiple cpu faults)|(system.+state.+changed )|(\[timeout)|(PRM\|1\|D)|(kpr)|(kdp)|(\|lc)|(penalty))" /e /r /s</v>
      </c>
      <c r="AG161" s="1" t="str">
        <f t="shared" si="54"/>
        <v>NW</v>
      </c>
      <c r="AH161" s="92" t="str">
        <f t="shared" si="55"/>
        <v>"%USERPROFILE%\Documents\GitHub\eaglep3\Utilities\RefineRTDCRunTimes.py" --tripid 807-06 --locoid 4009 --swversion DE.1.0.8.0 --startMP 204:1002 --initTime 2016-12-06T07:16:03 --startdatetime 2016-12-06T07:21:16 --delay 1 --endMP 300:58926 --enddatetime 2016-12-06T07:34:14 --enforcementcount 0 &gt;&gt;C:\Users\stu\Documents\GitHub\eaglep3-reporting\EC\2016-12-06-refined-times.txt</v>
      </c>
      <c r="AI161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ID","value":"807-06"},{"id":16,"name":"Locomotive ID","value":"4009"},{"id":130,"name":"Impact","value":""},{"id":150,"name":"Time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499</v>
      </c>
      <c r="B162" s="7">
        <v>4010</v>
      </c>
      <c r="C162" s="22" t="s">
        <v>207</v>
      </c>
      <c r="D162" s="22" t="s">
        <v>778</v>
      </c>
      <c r="E162" s="13">
        <v>42710.316469907404</v>
      </c>
      <c r="F162" s="13">
        <v>42710.317939814813</v>
      </c>
      <c r="G162" s="7">
        <v>1</v>
      </c>
      <c r="H162" s="22" t="s">
        <v>779</v>
      </c>
      <c r="I162" s="13">
        <v>42710.330208333333</v>
      </c>
      <c r="J162" s="7">
        <v>0</v>
      </c>
      <c r="K162" s="109" t="str">
        <f t="shared" si="42"/>
        <v>4009/4010</v>
      </c>
      <c r="L162" s="22" t="str">
        <f>VLOOKUP(A162,'Trips&amp;Operators'!$C$1:$G$99999,5,FALSE)</f>
        <v>LEVIN SCOTT</v>
      </c>
      <c r="M162" s="6">
        <f t="shared" si="43"/>
        <v>1.226851851970423E-2</v>
      </c>
      <c r="N162" s="7">
        <f t="shared" ref="N162:N193" si="57">24*60*SUM($M162:$M162)</f>
        <v>17.666666668374091</v>
      </c>
      <c r="O162" s="7"/>
      <c r="P162" s="7"/>
      <c r="Q162" s="23"/>
      <c r="R162" s="23"/>
      <c r="S162" s="35">
        <f t="shared" ref="S162:S193" si="58">SUM(U162:U162)/IF(AG162="EC",12,1)</f>
        <v>1</v>
      </c>
      <c r="T162" s="50" t="str">
        <f t="shared" si="44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06:35:43-700',mode:absolute,to:'2016-12-06 08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2" s="52" t="str">
        <f t="shared" si="46"/>
        <v>N</v>
      </c>
      <c r="X162" s="177">
        <f t="shared" si="47"/>
        <v>1</v>
      </c>
      <c r="Y162" s="67">
        <f t="shared" si="48"/>
        <v>5.8609</v>
      </c>
      <c r="Z162" s="67">
        <f t="shared" si="49"/>
        <v>7.2599999999999998E-2</v>
      </c>
      <c r="AA162" s="67">
        <f t="shared" si="50"/>
        <v>5.7882999999999996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1"/>
        <v>0808-06</v>
      </c>
      <c r="AE162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2" s="88" t="str">
        <f t="shared" si="53"/>
        <v>"C:\Program Files (x86)\AstroGrep\AstroGrep.exe" /spath="%USERPROFILE%\AppData\Local\Temp\OnboardLogs" /stypes="app*4010*20161206*" /stext=" 14:.+((SYSTEM_STATE.+slice.+state.+changed )|(ment ac)|(multiple cpu faults)|(system.+state.+changed )|(\[timeout)|(PRM\|1\|D)|(kpr)|(kdp)|(\|lc)|(penalty))" /e /r /s</v>
      </c>
      <c r="AG162" s="1" t="str">
        <f t="shared" si="54"/>
        <v>NW</v>
      </c>
      <c r="AH162" s="92" t="str">
        <f t="shared" si="55"/>
        <v>"%USERPROFILE%\Documents\GitHub\eaglep3\Utilities\RefineRTDCRunTimes.py" --tripid 808-06 --locoid 4010 --swversion DE.1.0.8.0 --startMP 300:58609 --initTime 2016-12-06T07:35:43 --startdatetime 2016-12-06T07:37:50 --delay 1 --endMP 204:726 --enddatetime 2016-12-06T07:55:30 --enforcementcount 0 &gt;&gt;C:\Users\stu\Documents\GitHub\eaglep3-reporting\EC\2016-12-06-refined-times.txt</v>
      </c>
      <c r="AI162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{"issue":{"subject":"","project_id":79,"tracker_id":40,"status_id":1,"priority_id":2,"assigned_to_id":23,"start_date":"2016-12-06","description":"","custom_fields":[{"id":1,"name":"Subdivision","value":"NW"},{"id":4,"name":"Milepost","value":"0.0726"},{"id":17,"name":"Train ID","value":"808-06"},{"id":16,"name":"Locomotive ID","value":"4010"},{"id":130,"name":"Impact","value":""},{"id":150,"name":"Time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427</v>
      </c>
      <c r="B163" s="7">
        <v>4022</v>
      </c>
      <c r="C163" s="22" t="s">
        <v>207</v>
      </c>
      <c r="D163" s="22" t="s">
        <v>780</v>
      </c>
      <c r="E163" s="13">
        <v>42710.323981481481</v>
      </c>
      <c r="F163" s="13">
        <v>42710.327245370368</v>
      </c>
      <c r="G163" s="7">
        <v>1</v>
      </c>
      <c r="H163" s="22" t="s">
        <v>352</v>
      </c>
      <c r="I163" s="13">
        <v>42710.336898148147</v>
      </c>
      <c r="J163" s="7">
        <v>0</v>
      </c>
      <c r="K163" s="109" t="str">
        <f t="shared" si="42"/>
        <v>4021/4022</v>
      </c>
      <c r="L163" s="22" t="str">
        <f>VLOOKUP(A163,'Trips&amp;Operators'!$C$1:$G$99999,5,FALSE)</f>
        <v>STARKS ANGELINA</v>
      </c>
      <c r="M163" s="6">
        <f t="shared" si="43"/>
        <v>9.6527777786832303E-3</v>
      </c>
      <c r="N163" s="7">
        <f t="shared" si="57"/>
        <v>13.900000001303852</v>
      </c>
      <c r="O163" s="7"/>
      <c r="P163" s="7"/>
      <c r="Q163" s="23"/>
      <c r="R163" s="23"/>
      <c r="S163" s="35">
        <f t="shared" si="58"/>
        <v>1</v>
      </c>
      <c r="T163" s="50" t="str">
        <f t="shared" si="44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3" s="52" t="str">
        <f t="shared" si="46"/>
        <v>N</v>
      </c>
      <c r="X163" s="177">
        <f t="shared" si="47"/>
        <v>1</v>
      </c>
      <c r="Y163" s="67">
        <f t="shared" si="48"/>
        <v>0.1042</v>
      </c>
      <c r="Z163" s="67">
        <f t="shared" si="49"/>
        <v>5.8939000000000004</v>
      </c>
      <c r="AA163" s="67">
        <f t="shared" si="50"/>
        <v>5.7897000000000007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1"/>
        <v>0809-06</v>
      </c>
      <c r="AE163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63" s="88" t="str">
        <f t="shared" si="53"/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163" s="1" t="str">
        <f t="shared" si="54"/>
        <v>NW</v>
      </c>
      <c r="AH163" s="92" t="str">
        <f t="shared" si="55"/>
        <v>"%USERPROFILE%\Documents\GitHub\eaglep3\Utilities\RefineRTDCRunTimes.py" --tripid 809-06 --locoid 4022 --swversion DE.1.0.8.0 --startMP 204:1042 --initTime 2016-12-06T07:46:32 --startdatetime 2016-12-06T07:51:14 --delay 1 --endMP 300:58939 --enddatetime 2016-12-06T08:05:08 --enforcementcount 0 &gt;&gt;C:\Users\stu\Documents\GitHub\eaglep3-reporting\EC\2016-12-06-refined-times.txt</v>
      </c>
      <c r="AI163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{"issue":{"subject":"","project_id":79,"tracker_id":40,"status_id":1,"priority_id":2,"assigned_to_id":23,"start_date":"2016-12-06","description":"","custom_fields":[{"id":1,"name":"Subdivision","value":"NW"},{"id":4,"name":"Milepost","value":"5.8939"},{"id":17,"name":"Train ID","value":"809-06"},{"id":16,"name":"Locomotive ID","value":"4022"},{"id":130,"name":"Impact","value":""},{"id":150,"name":"Time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429</v>
      </c>
      <c r="B164" s="7">
        <v>4021</v>
      </c>
      <c r="C164" s="22" t="s">
        <v>207</v>
      </c>
      <c r="D164" s="22" t="s">
        <v>282</v>
      </c>
      <c r="E164" s="13">
        <v>42710.337870370371</v>
      </c>
      <c r="F164" s="13">
        <v>42710.339513888888</v>
      </c>
      <c r="G164" s="7">
        <v>1</v>
      </c>
      <c r="H164" s="22" t="s">
        <v>781</v>
      </c>
      <c r="I164" s="13">
        <v>42710.353252314817</v>
      </c>
      <c r="J164" s="7">
        <v>0</v>
      </c>
      <c r="K164" s="109" t="str">
        <f t="shared" si="42"/>
        <v>4021/4022</v>
      </c>
      <c r="L164" s="22" t="str">
        <f>VLOOKUP(A164,'Trips&amp;Operators'!$C$1:$G$99999,5,FALSE)</f>
        <v>STARKS ANGELINA</v>
      </c>
      <c r="M164" s="6">
        <f t="shared" si="43"/>
        <v>1.3738425928750075E-2</v>
      </c>
      <c r="N164" s="7">
        <f t="shared" si="57"/>
        <v>19.783333337400109</v>
      </c>
      <c r="O164" s="7"/>
      <c r="P164" s="7"/>
      <c r="Q164" s="23"/>
      <c r="R164" s="23"/>
      <c r="S164" s="35">
        <f t="shared" si="58"/>
        <v>1</v>
      </c>
      <c r="T164" s="50" t="str">
        <f t="shared" si="44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28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4" s="52" t="str">
        <f t="shared" si="46"/>
        <v>N</v>
      </c>
      <c r="X164" s="177">
        <f t="shared" si="47"/>
        <v>1</v>
      </c>
      <c r="Y164" s="67">
        <f t="shared" si="48"/>
        <v>5.8623000000000003</v>
      </c>
      <c r="Z164" s="67">
        <f t="shared" si="49"/>
        <v>8.5000000000000006E-2</v>
      </c>
      <c r="AA164" s="67">
        <f t="shared" si="50"/>
        <v>5.7773000000000003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1"/>
        <v>0810-06</v>
      </c>
      <c r="AE164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64" s="88" t="str">
        <f t="shared" si="53"/>
        <v>"C:\Program Files (x86)\AstroGrep\AstroGrep.exe" /spath="%USERPROFILE%\AppData\Local\Temp\OnboardLogs" /stypes="app*4021*20161206*" /stext=" 15:.+((SYSTEM_STATE.+slice.+state.+changed )|(ment ac)|(multiple cpu faults)|(system.+state.+changed )|(\[timeout)|(PRM\|1\|D)|(kpr)|(kdp)|(\|lc)|(penalty))" /e /r /s</v>
      </c>
      <c r="AG164" s="1" t="str">
        <f t="shared" si="54"/>
        <v>NW</v>
      </c>
      <c r="AH164" s="92" t="str">
        <f t="shared" si="55"/>
        <v>"%USERPROFILE%\Documents\GitHub\eaglep3\Utilities\RefineRTDCRunTimes.py" --tripid 810-06 --locoid 4021 --swversion DE.1.0.8.0 --startMP 300:58623 --initTime 2016-12-06T08:06:32 --startdatetime 2016-12-06T08:08:54 --delay 1 --endMP 204:850 --enddatetime 2016-12-06T08:28:41 --enforcementcount 0 &gt;&gt;C:\Users\stu\Documents\GitHub\eaglep3-reporting\EC\2016-12-06-refined-times.txt</v>
      </c>
      <c r="AI164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{"issue":{"subject":"","project_id":79,"tracker_id":40,"status_id":1,"priority_id":2,"assigned_to_id":23,"start_date":"2016-12-06","description":"","custom_fields":[{"id":1,"name":"Subdivision","value":"NW"},{"id":4,"name":"Milepost","value":"0.085"},{"id":17,"name":"Train ID","value":"810-06"},{"id":16,"name":"Locomotive ID","value":"4021"},{"id":130,"name":"Impact","value":""},{"id":150,"name":"Time of Event (Mountain Time)","value":"08:28:41"},{"id":151,"name":"Denver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504</v>
      </c>
      <c r="B165" s="7">
        <v>4009</v>
      </c>
      <c r="C165" s="22" t="s">
        <v>207</v>
      </c>
      <c r="D165" s="22" t="s">
        <v>782</v>
      </c>
      <c r="E165" s="13">
        <v>42710.345509259256</v>
      </c>
      <c r="F165" s="13">
        <v>42710.348090277781</v>
      </c>
      <c r="G165" s="7">
        <v>1</v>
      </c>
      <c r="H165" s="22" t="s">
        <v>411</v>
      </c>
      <c r="I165" s="13">
        <v>42710.357222222221</v>
      </c>
      <c r="J165" s="7">
        <v>0</v>
      </c>
      <c r="K165" s="109" t="str">
        <f t="shared" si="42"/>
        <v>4009/4010</v>
      </c>
      <c r="L165" s="22" t="str">
        <f>VLOOKUP(A165,'Trips&amp;Operators'!$C$1:$G$99999,5,FALSE)</f>
        <v>LEVIN SCOTT</v>
      </c>
      <c r="M165" s="6">
        <f t="shared" si="43"/>
        <v>9.1319444400141947E-3</v>
      </c>
      <c r="N165" s="7">
        <f t="shared" si="57"/>
        <v>13.14999999362044</v>
      </c>
      <c r="O165" s="7"/>
      <c r="P165" s="7"/>
      <c r="Q165" s="23"/>
      <c r="R165" s="23"/>
      <c r="S165" s="35">
        <f t="shared" si="58"/>
        <v>1</v>
      </c>
      <c r="T165" s="50" t="str">
        <f t="shared" si="44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07:17:32-700',mode:absolute,to:'2016-12-06 09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5" s="52" t="str">
        <f t="shared" si="46"/>
        <v>N</v>
      </c>
      <c r="X165" s="177">
        <f t="shared" si="47"/>
        <v>1</v>
      </c>
      <c r="Y165" s="67">
        <f t="shared" si="48"/>
        <v>0.1</v>
      </c>
      <c r="Z165" s="67">
        <f t="shared" si="49"/>
        <v>5.8935000000000004</v>
      </c>
      <c r="AA165" s="67">
        <f t="shared" si="50"/>
        <v>5.7935000000000008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1"/>
        <v>0811-06</v>
      </c>
      <c r="AE165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5" s="88" t="str">
        <f t="shared" si="53"/>
        <v>"C:\Program Files (x86)\AstroGrep\AstroGrep.exe" /spath="%USERPROFILE%\AppData\Local\Temp\OnboardLogs" /stypes="app*4009*20161206*" /stext=" 15:.+((SYSTEM_STATE.+slice.+state.+changed )|(ment ac)|(multiple cpu faults)|(system.+state.+changed )|(\[timeout)|(PRM\|1\|D)|(kpr)|(kdp)|(\|lc)|(penalty))" /e /r /s</v>
      </c>
      <c r="AG165" s="1" t="str">
        <f t="shared" si="54"/>
        <v>NW</v>
      </c>
      <c r="AH165" s="92" t="str">
        <f t="shared" si="55"/>
        <v>"%USERPROFILE%\Documents\GitHub\eaglep3\Utilities\RefineRTDCRunTimes.py" --tripid 811-06 --locoid 4009 --swversion DE.1.0.8.0 --startMP 204:1000 --initTime 2016-12-06T08:17:32 --startdatetime 2016-12-06T08:21:15 --delay 1 --endMP 300:58935 --enddatetime 2016-12-06T08:34:24 --enforcementcount 0 &gt;&gt;C:\Users\stu\Documents\GitHub\eaglep3-reporting\EC\2016-12-06-refined-times.txt</v>
      </c>
      <c r="AI165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{"issue":{"subject":"","project_id":79,"tracker_id":40,"status_id":1,"priority_id":2,"assigned_to_id":23,"start_date":"2016-12-06","description":"","custom_fields":[{"id":1,"name":"Subdivision","value":"NW"},{"id":4,"name":"Milepost","value":"5.8935"},{"id":17,"name":"Train ID","value":"811-06"},{"id":16,"name":"Locomotive ID","value":"4009"},{"id":130,"name":"Impact","value":""},{"id":150,"name":"Time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431</v>
      </c>
      <c r="B166" s="7">
        <v>4010</v>
      </c>
      <c r="C166" s="22" t="s">
        <v>207</v>
      </c>
      <c r="D166" s="22" t="s">
        <v>783</v>
      </c>
      <c r="E166" s="13">
        <v>42710.358888888892</v>
      </c>
      <c r="F166" s="13">
        <v>42710.360798611109</v>
      </c>
      <c r="G166" s="7">
        <v>1</v>
      </c>
      <c r="H166" s="22" t="s">
        <v>415</v>
      </c>
      <c r="I166" s="13">
        <v>42710.372453703705</v>
      </c>
      <c r="J166" s="7">
        <v>0</v>
      </c>
      <c r="K166" s="109" t="str">
        <f t="shared" si="42"/>
        <v>4009/4010</v>
      </c>
      <c r="L166" s="22" t="str">
        <f>VLOOKUP(A166,'Trips&amp;Operators'!$C$1:$G$99999,5,FALSE)</f>
        <v>LEVIN SCOTT</v>
      </c>
      <c r="M166" s="6">
        <f t="shared" si="43"/>
        <v>1.1655092595901806E-2</v>
      </c>
      <c r="N166" s="7">
        <f t="shared" si="57"/>
        <v>16.783333338098601</v>
      </c>
      <c r="O166" s="7"/>
      <c r="P166" s="7"/>
      <c r="Q166" s="23"/>
      <c r="R166" s="23"/>
      <c r="S166" s="35">
        <f t="shared" si="58"/>
        <v>1</v>
      </c>
      <c r="T166" s="50" t="str">
        <f t="shared" si="44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6" s="52" t="str">
        <f t="shared" si="46"/>
        <v>N</v>
      </c>
      <c r="X166" s="177">
        <f t="shared" si="47"/>
        <v>1</v>
      </c>
      <c r="Y166" s="67">
        <f t="shared" si="48"/>
        <v>5.8615000000000004</v>
      </c>
      <c r="Z166" s="67">
        <f t="shared" si="49"/>
        <v>6.9900000000000004E-2</v>
      </c>
      <c r="AA166" s="67">
        <f t="shared" si="50"/>
        <v>5.7916000000000007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1"/>
        <v>0812-06</v>
      </c>
      <c r="AE166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6" s="88" t="str">
        <f t="shared" si="53"/>
        <v>"C:\Program Files (x86)\AstroGrep\AstroGrep.exe" /spath="%USERPROFILE%\AppData\Local\Temp\OnboardLogs" /stypes="app*4010*20161206*" /stext=" 15:.+((SYSTEM_STATE.+slice.+state.+changed )|(ment ac)|(multiple cpu faults)|(system.+state.+changed )|(\[timeout)|(PRM\|1\|D)|(kpr)|(kdp)|(\|lc)|(penalty))" /e /r /s</v>
      </c>
      <c r="AG166" s="1" t="str">
        <f t="shared" si="54"/>
        <v>NW</v>
      </c>
      <c r="AH166" s="92" t="str">
        <f t="shared" si="55"/>
        <v>"%USERPROFILE%\Documents\GitHub\eaglep3\Utilities\RefineRTDCRunTimes.py" --tripid 812-06 --locoid 4010 --swversion DE.1.0.8.0 --startMP 300:58615 --initTime 2016-12-06T08:36:48 --startdatetime 2016-12-06T08:39:33 --delay 1 --endMP 204:699 --enddatetime 2016-12-06T08:56:20 --enforcementcount 0 &gt;&gt;C:\Users\stu\Documents\GitHub\eaglep3-reporting\EC\2016-12-06-refined-times.txt</v>
      </c>
      <c r="AI166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{"issue":{"subject":"","project_id":79,"tracker_id":40,"status_id":1,"priority_id":2,"assigned_to_id":23,"start_date":"2016-12-06","description":"","custom_fields":[{"id":1,"name":"Subdivision","value":"NW"},{"id":4,"name":"Milepost","value":"0.0699"},{"id":17,"name":"Train ID","value":"812-06"},{"id":16,"name":"Locomotive ID","value":"4010"},{"id":130,"name":"Impact","value":""},{"id":150,"name":"Time of Event (Mountain Time)","value":"08:56:20"},{"id":151,"name":"Denver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514</v>
      </c>
      <c r="B167" s="7">
        <v>4009</v>
      </c>
      <c r="C167" s="22" t="s">
        <v>207</v>
      </c>
      <c r="D167" s="22" t="s">
        <v>784</v>
      </c>
      <c r="E167" s="13">
        <v>42710.387175925927</v>
      </c>
      <c r="F167" s="13">
        <v>42710.389768518522</v>
      </c>
      <c r="G167" s="7">
        <v>1</v>
      </c>
      <c r="H167" s="22" t="s">
        <v>785</v>
      </c>
      <c r="I167" s="13">
        <v>42710.398611111108</v>
      </c>
      <c r="J167" s="7">
        <v>0</v>
      </c>
      <c r="K167" s="109" t="str">
        <f t="shared" si="42"/>
        <v>4009/4010</v>
      </c>
      <c r="L167" s="22" t="str">
        <f>VLOOKUP(A167,'Trips&amp;Operators'!$C$1:$G$99999,5,FALSE)</f>
        <v>LEVIN SCOTT</v>
      </c>
      <c r="M167" s="6">
        <f t="shared" si="43"/>
        <v>8.8425925860065036E-3</v>
      </c>
      <c r="N167" s="7">
        <f t="shared" si="57"/>
        <v>12.733333323849365</v>
      </c>
      <c r="O167" s="7"/>
      <c r="P167" s="7"/>
      <c r="Q167" s="23"/>
      <c r="R167" s="23"/>
      <c r="S167" s="35">
        <f t="shared" si="58"/>
        <v>1</v>
      </c>
      <c r="T167" s="50" t="str">
        <f t="shared" si="44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08:17:32-700',mode:absolute,to:'2016-12-06 10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7" s="52" t="str">
        <f t="shared" si="46"/>
        <v>N</v>
      </c>
      <c r="X167" s="177">
        <f t="shared" si="47"/>
        <v>1</v>
      </c>
      <c r="Y167" s="67">
        <f t="shared" si="48"/>
        <v>9.8299999999999998E-2</v>
      </c>
      <c r="Z167" s="67">
        <f t="shared" si="49"/>
        <v>5.8917999999999999</v>
      </c>
      <c r="AA167" s="67">
        <f t="shared" si="50"/>
        <v>5.7934999999999999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1"/>
        <v>0813-06</v>
      </c>
      <c r="AE167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7" s="88" t="str">
        <f t="shared" si="53"/>
        <v>"C:\Program Files (x86)\AstroGrep\AstroGrep.exe" /spath="%USERPROFILE%\AppData\Local\Temp\OnboardLogs" /stypes="app*4009*20161206*" /stext=" 16:.+((SYSTEM_STATE.+slice.+state.+changed )|(ment ac)|(multiple cpu faults)|(system.+state.+changed )|(\[timeout)|(PRM\|1\|D)|(kpr)|(kdp)|(\|lc)|(penalty))" /e /r /s</v>
      </c>
      <c r="AG167" s="1" t="str">
        <f t="shared" si="54"/>
        <v>NW</v>
      </c>
      <c r="AH167" s="92" t="str">
        <f t="shared" si="55"/>
        <v>"%USERPROFILE%\Documents\GitHub\eaglep3\Utilities\RefineRTDCRunTimes.py" --tripid 813-06 --locoid 4009 --swversion DE.1.0.8.0 --startMP 204:983 --initTime 2016-12-06T09:17:32 --startdatetime 2016-12-06T09:21:16 --delay 1 --endMP 300:58918 --enddatetime 2016-12-06T09:34:00 --enforcementcount 0 &gt;&gt;C:\Users\stu\Documents\GitHub\eaglep3-reporting\EC\2016-12-06-refined-times.txt</v>
      </c>
      <c r="AI167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{"issue":{"subject":"","project_id":79,"tracker_id":40,"status_id":1,"priority_id":2,"assigned_to_id":23,"start_date":"2016-12-06","description":"","custom_fields":[{"id":1,"name":"Subdivision","value":"NW"},{"id":4,"name":"Milepost","value":"5.8918"},{"id":17,"name":"Train ID","value":"813-06"},{"id":16,"name":"Locomotive ID","value":"4009"},{"id":130,"name":"Impact","value":""},{"id":150,"name":"Time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433</v>
      </c>
      <c r="B168" s="7">
        <v>4010</v>
      </c>
      <c r="C168" s="22" t="s">
        <v>207</v>
      </c>
      <c r="D168" s="22" t="s">
        <v>786</v>
      </c>
      <c r="E168" s="13">
        <v>42710.399745370371</v>
      </c>
      <c r="F168" s="13">
        <v>42710.400868055556</v>
      </c>
      <c r="G168" s="7">
        <v>1</v>
      </c>
      <c r="H168" s="22" t="s">
        <v>787</v>
      </c>
      <c r="I168" s="13">
        <v>42710.412986111114</v>
      </c>
      <c r="J168" s="7">
        <v>0</v>
      </c>
      <c r="K168" s="109" t="str">
        <f t="shared" si="42"/>
        <v>4009/4010</v>
      </c>
      <c r="L168" s="22" t="str">
        <f>VLOOKUP(A168,'Trips&amp;Operators'!$C$1:$G$99999,5,FALSE)</f>
        <v>LEVIN SCOTT</v>
      </c>
      <c r="M168" s="6">
        <f t="shared" si="43"/>
        <v>1.2118055557948537E-2</v>
      </c>
      <c r="N168" s="7">
        <f t="shared" si="57"/>
        <v>17.450000003445894</v>
      </c>
      <c r="O168" s="7"/>
      <c r="P168" s="7"/>
      <c r="Q168" s="23"/>
      <c r="R168" s="23"/>
      <c r="S168" s="35">
        <f t="shared" si="58"/>
        <v>1</v>
      </c>
      <c r="T168" s="50" t="str">
        <f t="shared" si="44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8" s="52" t="str">
        <f t="shared" si="46"/>
        <v>N</v>
      </c>
      <c r="X168" s="177">
        <f t="shared" si="47"/>
        <v>1</v>
      </c>
      <c r="Y168" s="67">
        <f t="shared" si="48"/>
        <v>5.8611000000000004</v>
      </c>
      <c r="Z168" s="67">
        <f t="shared" si="49"/>
        <v>7.17E-2</v>
      </c>
      <c r="AA168" s="67">
        <f t="shared" si="50"/>
        <v>5.7894000000000005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1"/>
        <v>0814-06</v>
      </c>
      <c r="AE168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68" s="88" t="str">
        <f t="shared" si="53"/>
        <v>"C:\Program Files (x86)\AstroGrep\AstroGrep.exe" /spath="%USERPROFILE%\AppData\Local\Temp\OnboardLogs" /stypes="app*4010*20161206*" /stext=" 16:.+((SYSTEM_STATE.+slice.+state.+changed )|(ment ac)|(multiple cpu faults)|(system.+state.+changed )|(\[timeout)|(PRM\|1\|D)|(kpr)|(kdp)|(\|lc)|(penalty))" /e /r /s</v>
      </c>
      <c r="AG168" s="1" t="str">
        <f t="shared" si="54"/>
        <v>NW</v>
      </c>
      <c r="AH168" s="92" t="str">
        <f t="shared" si="55"/>
        <v>"%USERPROFILE%\Documents\GitHub\eaglep3\Utilities\RefineRTDCRunTimes.py" --tripid 814-06 --locoid 4010 --swversion DE.1.0.8.0 --startMP 300:58611 --initTime 2016-12-06T09:35:38 --startdatetime 2016-12-06T09:37:15 --delay 1 --endMP 204:717 --enddatetime 2016-12-06T09:54:42 --enforcementcount 0 &gt;&gt;C:\Users\stu\Documents\GitHub\eaglep3-reporting\EC\2016-12-06-refined-times.txt</v>
      </c>
      <c r="AI168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{"issue":{"subject":"","project_id":79,"tracker_id":40,"status_id":1,"priority_id":2,"assigned_to_id":23,"start_date":"2016-12-06","description":"","custom_fields":[{"id":1,"name":"Subdivision","value":"NW"},{"id":4,"name":"Milepost","value":"0.0717"},{"id":17,"name":"Train ID","value":"814-06"},{"id":16,"name":"Locomotive ID","value":"4010"},{"id":130,"name":"Impact","value":""},{"id":150,"name":"Time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435</v>
      </c>
      <c r="B169" s="7">
        <v>4009</v>
      </c>
      <c r="C169" s="22" t="s">
        <v>207</v>
      </c>
      <c r="D169" s="22" t="s">
        <v>788</v>
      </c>
      <c r="E169" s="13">
        <v>42710.428055555552</v>
      </c>
      <c r="F169" s="13">
        <v>42710.431423611109</v>
      </c>
      <c r="G169" s="7">
        <v>1</v>
      </c>
      <c r="H169" s="22" t="s">
        <v>406</v>
      </c>
      <c r="I169" s="13">
        <v>42710.440694444442</v>
      </c>
      <c r="J169" s="7">
        <v>0</v>
      </c>
      <c r="K169" s="109" t="str">
        <f t="shared" si="42"/>
        <v>4009/4010</v>
      </c>
      <c r="L169" s="22" t="str">
        <f>VLOOKUP(A169,'Trips&amp;Operators'!$C$1:$G$99999,5,FALSE)</f>
        <v>LEVIN SCOTT</v>
      </c>
      <c r="M169" s="6">
        <f t="shared" si="43"/>
        <v>9.2708333322661929E-3</v>
      </c>
      <c r="N169" s="7">
        <f t="shared" si="57"/>
        <v>13.349999998463318</v>
      </c>
      <c r="O169" s="7"/>
      <c r="P169" s="7"/>
      <c r="Q169" s="23"/>
      <c r="R169" s="23"/>
      <c r="S169" s="35">
        <f t="shared" si="58"/>
        <v>1</v>
      </c>
      <c r="T169" s="50" t="str">
        <f t="shared" si="44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9" s="52" t="str">
        <f t="shared" si="46"/>
        <v>N</v>
      </c>
      <c r="X169" s="177">
        <f t="shared" si="47"/>
        <v>1</v>
      </c>
      <c r="Y169" s="67">
        <f t="shared" si="48"/>
        <v>0.1011</v>
      </c>
      <c r="Z169" s="67">
        <f t="shared" si="49"/>
        <v>5.8924000000000003</v>
      </c>
      <c r="AA169" s="67">
        <f t="shared" si="50"/>
        <v>5.7913000000000006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1"/>
        <v>0815-06</v>
      </c>
      <c r="AE169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69" s="88" t="str">
        <f t="shared" si="53"/>
        <v>"C:\Program Files (x86)\AstroGrep\AstroGrep.exe" /spath="%USERPROFILE%\AppData\Local\Temp\OnboardLogs" /stypes="app*4009*20161206*" /stext=" 17:.+((SYSTEM_STATE.+slice.+state.+changed )|(ment ac)|(multiple cpu faults)|(system.+state.+changed )|(\[timeout)|(PRM\|1\|D)|(kpr)|(kdp)|(\|lc)|(penalty))" /e /r /s</v>
      </c>
      <c r="AG169" s="1" t="str">
        <f t="shared" si="54"/>
        <v>NW</v>
      </c>
      <c r="AH169" s="92" t="str">
        <f t="shared" si="55"/>
        <v>"%USERPROFILE%\Documents\GitHub\eaglep3\Utilities\RefineRTDCRunTimes.py" --tripid 815-06 --locoid 4009 --swversion DE.1.0.8.0 --startMP 204:1011 --initTime 2016-12-06T10:16:24 --startdatetime 2016-12-06T10:21:15 --delay 1 --endMP 300:58924 --enddatetime 2016-12-06T10:34:36 --enforcementcount 0 &gt;&gt;C:\Users\stu\Documents\GitHub\eaglep3-reporting\EC\2016-12-06-refined-times.txt</v>
      </c>
      <c r="AI169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ID","value":"815-06"},{"id":16,"name":"Locomotive ID","value":"4009"},{"id":130,"name":"Impact","value":""},{"id":150,"name":"Time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524</v>
      </c>
      <c r="B170" s="7">
        <v>4010</v>
      </c>
      <c r="C170" s="22" t="s">
        <v>207</v>
      </c>
      <c r="D170" s="22" t="s">
        <v>789</v>
      </c>
      <c r="E170" s="13">
        <v>42710.441932870373</v>
      </c>
      <c r="F170" s="13">
        <v>42710.443182870367</v>
      </c>
      <c r="G170" s="7">
        <v>1</v>
      </c>
      <c r="H170" s="22" t="s">
        <v>410</v>
      </c>
      <c r="I170" s="13">
        <v>42710.456145833334</v>
      </c>
      <c r="J170" s="7">
        <v>0</v>
      </c>
      <c r="K170" s="109" t="str">
        <f t="shared" si="42"/>
        <v>4009/4010</v>
      </c>
      <c r="L170" s="22" t="str">
        <f>VLOOKUP(A170,'Trips&amp;Operators'!$C$1:$G$99999,5,FALSE)</f>
        <v>LEVIN SCOTT</v>
      </c>
      <c r="M170" s="6">
        <f t="shared" si="43"/>
        <v>1.2962962966412306E-2</v>
      </c>
      <c r="N170" s="7">
        <f t="shared" si="57"/>
        <v>18.66666667163372</v>
      </c>
      <c r="O170" s="7"/>
      <c r="P170" s="7"/>
      <c r="Q170" s="23"/>
      <c r="R170" s="23"/>
      <c r="S170" s="35">
        <f t="shared" si="58"/>
        <v>1</v>
      </c>
      <c r="T170" s="50" t="str">
        <f t="shared" si="44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09:36:23-700',mode:absolute,to:'2016-12-06 11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0" s="52" t="str">
        <f t="shared" si="46"/>
        <v>N</v>
      </c>
      <c r="X170" s="177">
        <f t="shared" si="47"/>
        <v>1</v>
      </c>
      <c r="Y170" s="67">
        <f t="shared" si="48"/>
        <v>5.8616999999999999</v>
      </c>
      <c r="Z170" s="67">
        <f t="shared" si="49"/>
        <v>6.9400000000000003E-2</v>
      </c>
      <c r="AA170" s="67">
        <f t="shared" si="50"/>
        <v>5.7923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1"/>
        <v>0816-06</v>
      </c>
      <c r="AE170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0" s="88" t="str">
        <f t="shared" si="53"/>
        <v>"C:\Program Files (x86)\AstroGrep\AstroGrep.exe" /spath="%USERPROFILE%\AppData\Local\Temp\OnboardLogs" /stypes="app*4010*20161206*" /stext=" 17:.+((SYSTEM_STATE.+slice.+state.+changed )|(ment ac)|(multiple cpu faults)|(system.+state.+changed )|(\[timeout)|(PRM\|1\|D)|(kpr)|(kdp)|(\|lc)|(penalty))" /e /r /s</v>
      </c>
      <c r="AG170" s="1" t="str">
        <f t="shared" si="54"/>
        <v>NW</v>
      </c>
      <c r="AH170" s="92" t="str">
        <f t="shared" si="55"/>
        <v>"%USERPROFILE%\Documents\GitHub\eaglep3\Utilities\RefineRTDCRunTimes.py" --tripid 816-06 --locoid 4010 --swversion DE.1.0.8.0 --startMP 300:58617 --initTime 2016-12-06T10:36:23 --startdatetime 2016-12-06T10:38:11 --delay 1 --endMP 204:694 --enddatetime 2016-12-06T10:56:51 --enforcementcount 0 &gt;&gt;C:\Users\stu\Documents\GitHub\eaglep3-reporting\EC\2016-12-06-refined-times.txt</v>
      </c>
      <c r="AI170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ID","value":"816-06"},{"id":16,"name":"Locomotive ID","value":"4010"},{"id":130,"name":"Impact","value":""},{"id":150,"name":"Time of Event (Mountain Time)","value":"10:56:51"},{"id":151,"name":"Denver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533</v>
      </c>
      <c r="B171" s="7">
        <v>4009</v>
      </c>
      <c r="C171" s="22" t="s">
        <v>207</v>
      </c>
      <c r="D171" s="22" t="s">
        <v>790</v>
      </c>
      <c r="E171" s="13">
        <v>42710.470509259256</v>
      </c>
      <c r="F171" s="13">
        <v>42710.473171296297</v>
      </c>
      <c r="G171" s="7">
        <v>1</v>
      </c>
      <c r="H171" s="22" t="s">
        <v>777</v>
      </c>
      <c r="I171" s="13">
        <v>42710.483113425929</v>
      </c>
      <c r="J171" s="7">
        <v>0</v>
      </c>
      <c r="K171" s="109" t="str">
        <f t="shared" si="42"/>
        <v>4009/4010</v>
      </c>
      <c r="L171" s="22" t="str">
        <f>VLOOKUP(A171,'Trips&amp;Operators'!$C$1:$G$99999,5,FALSE)</f>
        <v>SAFIEF AEIMEN</v>
      </c>
      <c r="M171" s="6">
        <f t="shared" si="43"/>
        <v>9.9421296326909214E-3</v>
      </c>
      <c r="N171" s="7">
        <f t="shared" si="57"/>
        <v>14.316666671074927</v>
      </c>
      <c r="O171" s="7"/>
      <c r="P171" s="7"/>
      <c r="Q171" s="23"/>
      <c r="R171" s="23"/>
      <c r="S171" s="35">
        <f t="shared" si="58"/>
        <v>1</v>
      </c>
      <c r="T171" s="50" t="str">
        <f t="shared" si="44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10:17:32-700',mode:absolute,to:'2016-12-06 12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1" s="52" t="str">
        <f t="shared" si="46"/>
        <v>N</v>
      </c>
      <c r="X171" s="177">
        <f t="shared" si="47"/>
        <v>1</v>
      </c>
      <c r="Y171" s="67">
        <f t="shared" si="48"/>
        <v>9.9299999999999999E-2</v>
      </c>
      <c r="Z171" s="67">
        <f t="shared" si="49"/>
        <v>5.8925999999999998</v>
      </c>
      <c r="AA171" s="67">
        <f t="shared" si="50"/>
        <v>5.7932999999999995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1"/>
        <v>0817-06</v>
      </c>
      <c r="AE171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1" s="88" t="str">
        <f t="shared" si="53"/>
        <v>"C:\Program Files (x86)\AstroGrep\AstroGrep.exe" /spath="%USERPROFILE%\AppData\Local\Temp\OnboardLogs" /stypes="app*4009*20161206*" /stext=" 18:.+((SYSTEM_STATE.+slice.+state.+changed )|(ment ac)|(multiple cpu faults)|(system.+state.+changed )|(\[timeout)|(PRM\|1\|D)|(kpr)|(kdp)|(\|lc)|(penalty))" /e /r /s</v>
      </c>
      <c r="AG171" s="1" t="str">
        <f t="shared" si="54"/>
        <v>NW</v>
      </c>
      <c r="AH171" s="92" t="str">
        <f t="shared" si="55"/>
        <v>"%USERPROFILE%\Documents\GitHub\eaglep3\Utilities\RefineRTDCRunTimes.py" --tripid 817-06 --locoid 4009 --swversion DE.1.0.8.0 --startMP 204:993 --initTime 2016-12-06T11:17:32 --startdatetime 2016-12-06T11:21:22 --delay 1 --endMP 300:58926 --enddatetime 2016-12-06T11:35:41 --enforcementcount 0 &gt;&gt;C:\Users\stu\Documents\GitHub\eaglep3-reporting\EC\2016-12-06-refined-times.txt</v>
      </c>
      <c r="AI171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ID","value":"817-06"},{"id":16,"name":"Locomotive ID","value":"4009"},{"id":130,"name":"Impact","value":""},{"id":150,"name":"Time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439</v>
      </c>
      <c r="B172" s="7">
        <v>4010</v>
      </c>
      <c r="C172" s="22" t="s">
        <v>207</v>
      </c>
      <c r="D172" s="22" t="s">
        <v>791</v>
      </c>
      <c r="E172" s="13">
        <v>42710.485405092593</v>
      </c>
      <c r="F172" s="13">
        <v>42710.487719907411</v>
      </c>
      <c r="G172" s="7">
        <v>1</v>
      </c>
      <c r="H172" s="22" t="s">
        <v>353</v>
      </c>
      <c r="I172" s="13">
        <v>42710.499872685185</v>
      </c>
      <c r="J172" s="7">
        <v>0</v>
      </c>
      <c r="K172" s="109" t="str">
        <f t="shared" si="42"/>
        <v>4009/4010</v>
      </c>
      <c r="L172" s="22" t="str">
        <f>VLOOKUP(A172,'Trips&amp;Operators'!$C$1:$G$99999,5,FALSE)</f>
        <v>SAFIEF AEIMEN</v>
      </c>
      <c r="M172" s="6">
        <f t="shared" si="43"/>
        <v>1.2152777773735579E-2</v>
      </c>
      <c r="N172" s="7">
        <f t="shared" si="57"/>
        <v>17.499999994179234</v>
      </c>
      <c r="O172" s="7"/>
      <c r="P172" s="7"/>
      <c r="Q172" s="23"/>
      <c r="R172" s="23"/>
      <c r="S172" s="35">
        <f t="shared" si="58"/>
        <v>1</v>
      </c>
      <c r="T172" s="50" t="str">
        <f t="shared" si="44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12:59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2" s="52" t="str">
        <f t="shared" si="46"/>
        <v>N</v>
      </c>
      <c r="X172" s="177">
        <f t="shared" si="47"/>
        <v>1</v>
      </c>
      <c r="Y172" s="67">
        <f t="shared" si="48"/>
        <v>5.8608000000000002</v>
      </c>
      <c r="Z172" s="67">
        <f t="shared" si="49"/>
        <v>6.8000000000000005E-2</v>
      </c>
      <c r="AA172" s="67">
        <f t="shared" si="50"/>
        <v>5.7928000000000006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1"/>
        <v>0818-06</v>
      </c>
      <c r="AE172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2" s="88" t="str">
        <f t="shared" si="53"/>
        <v>"C:\Program Files (x86)\AstroGrep\AstroGrep.exe" /spath="%USERPROFILE%\AppData\Local\Temp\OnboardLogs" /stypes="app*4010*20161206*" /stext=" 18:.+((SYSTEM_STATE.+slice.+state.+changed )|(ment ac)|(multiple cpu faults)|(system.+state.+changed )|(\[timeout)|(PRM\|1\|D)|(kpr)|(kdp)|(\|lc)|(penalty))" /e /r /s</v>
      </c>
      <c r="AG172" s="1" t="str">
        <f t="shared" si="54"/>
        <v>NW</v>
      </c>
      <c r="AH172" s="92" t="str">
        <f t="shared" si="55"/>
        <v>"%USERPROFILE%\Documents\GitHub\eaglep3\Utilities\RefineRTDCRunTimes.py" --tripid 818-06 --locoid 4010 --swversion DE.1.0.8.0 --startMP 300:58608 --initTime 2016-12-06T11:38:59 --startdatetime 2016-12-06T11:42:19 --delay 1 --endMP 204:680 --enddatetime 2016-12-06T11:59:49 --enforcementcount 0 &gt;&gt;C:\Users\stu\Documents\GitHub\eaglep3-reporting\EC\2016-12-06-refined-times.txt</v>
      </c>
      <c r="AI172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ID","value":"818-06"},{"id":16,"name":"Locomotive ID","value":"4010"},{"id":130,"name":"Impact","value":""},{"id":150,"name":"Time of Event (Mountain Time)","value":"11:59:49"},{"id":151,"name":"Denver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538</v>
      </c>
      <c r="B173" s="7">
        <v>4009</v>
      </c>
      <c r="C173" s="22" t="s">
        <v>207</v>
      </c>
      <c r="D173" s="22" t="s">
        <v>409</v>
      </c>
      <c r="E173" s="13">
        <v>42710.511423611111</v>
      </c>
      <c r="F173" s="13">
        <v>42710.514780092592</v>
      </c>
      <c r="G173" s="7">
        <v>1</v>
      </c>
      <c r="H173" s="22" t="s">
        <v>792</v>
      </c>
      <c r="I173" s="13">
        <v>42710.523912037039</v>
      </c>
      <c r="J173" s="7">
        <v>0</v>
      </c>
      <c r="K173" s="109" t="str">
        <f t="shared" si="42"/>
        <v>4009/4010</v>
      </c>
      <c r="L173" s="22" t="str">
        <f>VLOOKUP(A173,'Trips&amp;Operators'!$C$1:$G$99999,5,FALSE)</f>
        <v>LEVIN SCOTT</v>
      </c>
      <c r="M173" s="6">
        <f t="shared" si="43"/>
        <v>9.1319444472901523E-3</v>
      </c>
      <c r="N173" s="7">
        <f t="shared" si="57"/>
        <v>13.150000004097819</v>
      </c>
      <c r="O173" s="7"/>
      <c r="P173" s="7"/>
      <c r="Q173" s="23"/>
      <c r="R173" s="23"/>
      <c r="S173" s="35">
        <f t="shared" si="58"/>
        <v>1</v>
      </c>
      <c r="T173" s="50" t="str">
        <f t="shared" si="44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11:16:27-700',mode:absolute,to:'2016-12-06 13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3" s="52" t="str">
        <f t="shared" si="46"/>
        <v>N</v>
      </c>
      <c r="X173" s="177">
        <f t="shared" si="47"/>
        <v>1</v>
      </c>
      <c r="Y173" s="67">
        <f t="shared" si="48"/>
        <v>9.64E-2</v>
      </c>
      <c r="Z173" s="67">
        <f t="shared" si="49"/>
        <v>5.8930999999999996</v>
      </c>
      <c r="AA173" s="67">
        <f t="shared" si="50"/>
        <v>5.7966999999999995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1"/>
        <v>0819-06</v>
      </c>
      <c r="AE173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3" s="88" t="str">
        <f t="shared" si="53"/>
        <v>"C:\Program Files (x86)\AstroGrep\AstroGrep.exe" /spath="%USERPROFILE%\AppData\Local\Temp\OnboardLogs" /stypes="app*4009*20161206*" /stext=" 19:.+((SYSTEM_STATE.+slice.+state.+changed )|(ment ac)|(multiple cpu faults)|(system.+state.+changed )|(\[timeout)|(PRM\|1\|D)|(kpr)|(kdp)|(\|lc)|(penalty))" /e /r /s</v>
      </c>
      <c r="AG173" s="1" t="str">
        <f t="shared" si="54"/>
        <v>NW</v>
      </c>
      <c r="AH173" s="92" t="str">
        <f t="shared" si="55"/>
        <v>"%USERPROFILE%\Documents\GitHub\eaglep3\Utilities\RefineRTDCRunTimes.py" --tripid 819-06 --locoid 4009 --swversion DE.1.0.8.0 --startMP 204:964 --initTime 2016-12-06T12:16:27 --startdatetime 2016-12-06T12:21:17 --delay 1 --endMP 300:58931 --enddatetime 2016-12-06T12:34:26 --enforcementcount 0 &gt;&gt;C:\Users\stu\Documents\GitHub\eaglep3-reporting\EC\2016-12-06-refined-times.txt</v>
      </c>
      <c r="AI173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ID","value":"819-06"},{"id":16,"name":"Locomotive ID","value":"4009"},{"id":130,"name":"Impact","value":""},{"id":150,"name":"Time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545</v>
      </c>
      <c r="B174" s="7">
        <v>4010</v>
      </c>
      <c r="C174" s="22" t="s">
        <v>207</v>
      </c>
      <c r="D174" s="22" t="s">
        <v>789</v>
      </c>
      <c r="E174" s="13">
        <v>42710.525092592594</v>
      </c>
      <c r="F174" s="13">
        <v>42710.526238425926</v>
      </c>
      <c r="G174" s="7">
        <v>1</v>
      </c>
      <c r="H174" s="22" t="s">
        <v>793</v>
      </c>
      <c r="I174" s="13">
        <v>42710.53800925926</v>
      </c>
      <c r="J174" s="7">
        <v>0</v>
      </c>
      <c r="K174" s="109" t="str">
        <f t="shared" si="42"/>
        <v>4009/4010</v>
      </c>
      <c r="L174" s="22" t="str">
        <f>VLOOKUP(A174,'Trips&amp;Operators'!$C$1:$G$99999,5,FALSE)</f>
        <v>LEVIN SCOTT</v>
      </c>
      <c r="M174" s="6">
        <f t="shared" si="43"/>
        <v>1.1770833334594499E-2</v>
      </c>
      <c r="N174" s="7">
        <f t="shared" si="57"/>
        <v>16.950000001816079</v>
      </c>
      <c r="O174" s="7"/>
      <c r="P174" s="7"/>
      <c r="Q174" s="23"/>
      <c r="R174" s="23"/>
      <c r="S174" s="35">
        <f t="shared" si="58"/>
        <v>1</v>
      </c>
      <c r="T174" s="50" t="str">
        <f t="shared" si="44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11:36:08-700',mode:absolute,to:'2016-12-06 13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4" s="52" t="str">
        <f t="shared" si="46"/>
        <v>N</v>
      </c>
      <c r="X174" s="177">
        <f t="shared" si="47"/>
        <v>1</v>
      </c>
      <c r="Y174" s="67">
        <f t="shared" si="48"/>
        <v>5.8616999999999999</v>
      </c>
      <c r="Z174" s="67">
        <f t="shared" si="49"/>
        <v>7.1499999999999994E-2</v>
      </c>
      <c r="AA174" s="67">
        <f t="shared" si="50"/>
        <v>5.7901999999999996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1"/>
        <v>0820-06</v>
      </c>
      <c r="AE174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4" s="88" t="str">
        <f t="shared" si="53"/>
        <v>"C:\Program Files (x86)\AstroGrep\AstroGrep.exe" /spath="%USERPROFILE%\AppData\Local\Temp\OnboardLogs" /stypes="app*4010*20161206*" /stext=" 19:.+((SYSTEM_STATE.+slice.+state.+changed )|(ment ac)|(multiple cpu faults)|(system.+state.+changed )|(\[timeout)|(PRM\|1\|D)|(kpr)|(kdp)|(\|lc)|(penalty))" /e /r /s</v>
      </c>
      <c r="AG174" s="1" t="str">
        <f t="shared" si="54"/>
        <v>NW</v>
      </c>
      <c r="AH174" s="92" t="str">
        <f t="shared" si="55"/>
        <v>"%USERPROFILE%\Documents\GitHub\eaglep3\Utilities\RefineRTDCRunTimes.py" --tripid 820-06 --locoid 4010 --swversion DE.1.0.8.0 --startMP 300:58617 --initTime 2016-12-06T12:36:08 --startdatetime 2016-12-06T12:37:47 --delay 1 --endMP 204:715 --enddatetime 2016-12-06T12:54:44 --enforcementcount 0 &gt;&gt;C:\Users\stu\Documents\GitHub\eaglep3-reporting\EC\2016-12-06-refined-times.txt</v>
      </c>
      <c r="AI174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{"issue":{"subject":"","project_id":79,"tracker_id":40,"status_id":1,"priority_id":2,"assigned_to_id":23,"start_date":"2016-12-06","description":"","custom_fields":[{"id":1,"name":"Subdivision","value":"NW"},{"id":4,"name":"Milepost","value":"0.0715"},{"id":17,"name":"Train ID","value":"820-06"},{"id":16,"name":"Locomotive ID","value":"4010"},{"id":130,"name":"Impact","value":""},{"id":150,"name":"Time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553</v>
      </c>
      <c r="B175" s="7">
        <v>4009</v>
      </c>
      <c r="C175" s="22" t="s">
        <v>207</v>
      </c>
      <c r="D175" s="22" t="s">
        <v>794</v>
      </c>
      <c r="E175" s="13">
        <v>42710.546932870369</v>
      </c>
      <c r="F175" s="13">
        <v>42710.556435185186</v>
      </c>
      <c r="G175" s="7">
        <v>2</v>
      </c>
      <c r="H175" s="22" t="s">
        <v>406</v>
      </c>
      <c r="I175" s="13">
        <v>42710.56621527778</v>
      </c>
      <c r="J175" s="7">
        <v>0</v>
      </c>
      <c r="K175" s="109" t="str">
        <f t="shared" si="42"/>
        <v>4009/4010</v>
      </c>
      <c r="L175" s="22" t="str">
        <f>VLOOKUP(A175,'Trips&amp;Operators'!$C$1:$G$99999,5,FALSE)</f>
        <v>BRUDER RICHARD</v>
      </c>
      <c r="M175" s="6">
        <f t="shared" si="43"/>
        <v>9.7800925941555761E-3</v>
      </c>
      <c r="N175" s="7">
        <f t="shared" si="57"/>
        <v>14.08333333558403</v>
      </c>
      <c r="O175" s="7"/>
      <c r="P175" s="7"/>
      <c r="Q175" s="23"/>
      <c r="R175" s="23"/>
      <c r="S175" s="35">
        <f t="shared" si="58"/>
        <v>1</v>
      </c>
      <c r="T175" s="50" t="str">
        <f t="shared" si="44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12:07:35-700',mode:absolute,to:'2016-12-06 14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5" s="52" t="str">
        <f t="shared" si="46"/>
        <v>N</v>
      </c>
      <c r="X175" s="177">
        <f t="shared" si="47"/>
        <v>1</v>
      </c>
      <c r="Y175" s="67">
        <f t="shared" si="48"/>
        <v>0.10059999999999999</v>
      </c>
      <c r="Z175" s="67">
        <f t="shared" si="49"/>
        <v>5.8924000000000003</v>
      </c>
      <c r="AA175" s="67">
        <f t="shared" si="50"/>
        <v>5.7918000000000003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1"/>
        <v>0821-06</v>
      </c>
      <c r="AE175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5" s="88" t="str">
        <f t="shared" si="53"/>
        <v>"C:\Program Files (x86)\AstroGrep\AstroGrep.exe" /spath="%USERPROFILE%\AppData\Local\Temp\OnboardLogs" /stypes="app*4009*20161206*" /stext=" 20:.+((SYSTEM_STATE.+slice.+state.+changed )|(ment ac)|(multiple cpu faults)|(system.+state.+changed )|(\[timeout)|(PRM\|1\|D)|(kpr)|(kdp)|(\|lc)|(penalty))" /e /r /s</v>
      </c>
      <c r="AG175" s="1" t="str">
        <f t="shared" si="54"/>
        <v>NW</v>
      </c>
      <c r="AH175" s="92" t="str">
        <f t="shared" si="55"/>
        <v>"%USERPROFILE%\Documents\GitHub\eaglep3\Utilities\RefineRTDCRunTimes.py" --tripid 821-06 --locoid 4009 --swversion DE.1.0.8.0 --startMP 204:1006 --initTime 2016-12-06T13:07:35 --startdatetime 2016-12-06T13:21:16 --delay 2 --endMP 300:58924 --enddatetime 2016-12-06T13:35:21 --enforcementcount 0 &gt;&gt;C:\Users\stu\Documents\GitHub\eaglep3-reporting\EC\2016-12-06-refined-times.txt</v>
      </c>
      <c r="AI175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ID","value":"821-06"},{"id":16,"name":"Locomotive ID","value":"4009"},{"id":130,"name":"Impact","value":""},{"id":150,"name":"Time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441</v>
      </c>
      <c r="B176" s="7">
        <v>4010</v>
      </c>
      <c r="C176" s="22" t="s">
        <v>207</v>
      </c>
      <c r="D176" s="22" t="s">
        <v>783</v>
      </c>
      <c r="E176" s="13">
        <v>42710.568090277775</v>
      </c>
      <c r="F176" s="13">
        <v>42710.570717592593</v>
      </c>
      <c r="G176" s="7">
        <v>2</v>
      </c>
      <c r="H176" s="22" t="s">
        <v>795</v>
      </c>
      <c r="I176" s="13">
        <v>42710.580439814818</v>
      </c>
      <c r="J176" s="7">
        <v>0</v>
      </c>
      <c r="K176" s="109" t="str">
        <f t="shared" si="42"/>
        <v>4009/4010</v>
      </c>
      <c r="L176" s="22" t="str">
        <f>VLOOKUP(A176,'Trips&amp;Operators'!$C$1:$G$99999,5,FALSE)</f>
        <v>BRUDER RICHARD</v>
      </c>
      <c r="M176" s="6">
        <f t="shared" si="43"/>
        <v>9.7222222248092294E-3</v>
      </c>
      <c r="N176" s="7">
        <f t="shared" si="57"/>
        <v>14.00000000372529</v>
      </c>
      <c r="O176" s="7"/>
      <c r="P176" s="7"/>
      <c r="Q176" s="23"/>
      <c r="R176" s="23"/>
      <c r="S176" s="35">
        <f t="shared" si="58"/>
        <v>1</v>
      </c>
      <c r="T176" s="50" t="str">
        <f t="shared" si="44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6" s="52" t="str">
        <f t="shared" si="46"/>
        <v>N</v>
      </c>
      <c r="X176" s="177">
        <f t="shared" si="47"/>
        <v>1</v>
      </c>
      <c r="Y176" s="67">
        <f t="shared" si="48"/>
        <v>5.8615000000000004</v>
      </c>
      <c r="Z176" s="67">
        <f t="shared" si="49"/>
        <v>6.9599999999999995E-2</v>
      </c>
      <c r="AA176" s="67">
        <f t="shared" si="50"/>
        <v>5.7919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1"/>
        <v>0822-06</v>
      </c>
      <c r="AE176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6" s="88" t="str">
        <f t="shared" si="53"/>
        <v>"C:\Program Files (x86)\AstroGrep\AstroGrep.exe" /spath="%USERPROFILE%\AppData\Local\Temp\OnboardLogs" /stypes="app*4010*20161206*" /stext=" 20:.+((SYSTEM_STATE.+slice.+state.+changed )|(ment ac)|(multiple cpu faults)|(system.+state.+changed )|(\[timeout)|(PRM\|1\|D)|(kpr)|(kdp)|(\|lc)|(penalty))" /e /r /s</v>
      </c>
      <c r="AG176" s="1" t="str">
        <f t="shared" si="54"/>
        <v>NW</v>
      </c>
      <c r="AH176" s="92" t="str">
        <f t="shared" si="55"/>
        <v>"%USERPROFILE%\Documents\GitHub\eaglep3\Utilities\RefineRTDCRunTimes.py" --tripid 822-06 --locoid 4010 --swversion DE.1.0.8.0 --startMP 300:58615 --initTime 2016-12-06T13:38:03 --startdatetime 2016-12-06T13:41:50 --delay 2 --endMP 204:696 --enddatetime 2016-12-06T13:55:50 --enforcementcount 0 &gt;&gt;C:\Users\stu\Documents\GitHub\eaglep3-reporting\EC\2016-12-06-refined-times.txt</v>
      </c>
      <c r="AI176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ID","value":"822-06"},{"id":16,"name":"Locomotive ID","value":"4010"},{"id":130,"name":"Impact","value":""},{"id":150,"name":"Time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564</v>
      </c>
      <c r="B177" s="7">
        <v>4009</v>
      </c>
      <c r="C177" s="22" t="s">
        <v>207</v>
      </c>
      <c r="D177" s="22" t="s">
        <v>796</v>
      </c>
      <c r="E177" s="13">
        <v>42710.592893518522</v>
      </c>
      <c r="F177" s="13">
        <v>42710.598252314812</v>
      </c>
      <c r="G177" s="7">
        <v>1</v>
      </c>
      <c r="H177" s="22" t="s">
        <v>354</v>
      </c>
      <c r="I177" s="13">
        <v>42710.609826388885</v>
      </c>
      <c r="J177" s="7">
        <v>0</v>
      </c>
      <c r="K177" s="109" t="str">
        <f t="shared" si="42"/>
        <v>4009/4010</v>
      </c>
      <c r="L177" s="22" t="str">
        <f>VLOOKUP(A177,'Trips&amp;Operators'!$C$1:$G$99999,5,FALSE)</f>
        <v>BRUDER RICHARD</v>
      </c>
      <c r="M177" s="6">
        <f t="shared" si="43"/>
        <v>1.1574074072996154E-2</v>
      </c>
      <c r="N177" s="7">
        <f t="shared" si="57"/>
        <v>16.666666665114462</v>
      </c>
      <c r="O177" s="7"/>
      <c r="P177" s="7"/>
      <c r="Q177" s="23"/>
      <c r="R177" s="23"/>
      <c r="S177" s="35">
        <f t="shared" si="58"/>
        <v>1</v>
      </c>
      <c r="T177" s="50" t="str">
        <f t="shared" si="44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13:13:46-700',mode:absolute,to:'2016-12-06 15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7" s="52" t="str">
        <f t="shared" si="46"/>
        <v>N</v>
      </c>
      <c r="X177" s="177">
        <f t="shared" si="47"/>
        <v>1</v>
      </c>
      <c r="Y177" s="67">
        <f t="shared" si="48"/>
        <v>9.7199999999999995E-2</v>
      </c>
      <c r="Z177" s="67">
        <f t="shared" si="49"/>
        <v>5.8940999999999999</v>
      </c>
      <c r="AA177" s="67">
        <f t="shared" si="50"/>
        <v>5.7968999999999999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1"/>
        <v>0823-06</v>
      </c>
      <c r="AE177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7" s="88" t="str">
        <f t="shared" si="53"/>
        <v>"C:\Program Files (x86)\AstroGrep\AstroGrep.exe" /spath="%USERPROFILE%\AppData\Local\Temp\OnboardLogs" /stypes="app*4009*20161206*" /stext=" 21:.+((SYSTEM_STATE.+slice.+state.+changed )|(ment ac)|(multiple cpu faults)|(system.+state.+changed )|(\[timeout)|(PRM\|1\|D)|(kpr)|(kdp)|(\|lc)|(penalty))" /e /r /s</v>
      </c>
      <c r="AG177" s="1" t="str">
        <f t="shared" si="54"/>
        <v>NW</v>
      </c>
      <c r="AH177" s="92" t="str">
        <f t="shared" si="55"/>
        <v>"%USERPROFILE%\Documents\GitHub\eaglep3\Utilities\RefineRTDCRunTimes.py" --tripid 823-06 --locoid 4009 --swversion DE.1.0.8.0 --startMP 204:972 --initTime 2016-12-06T14:13:46 --startdatetime 2016-12-06T14:21:29 --delay 1 --endMP 300:58941 --enddatetime 2016-12-06T14:38:09 --enforcementcount 0 &gt;&gt;C:\Users\stu\Documents\GitHub\eaglep3-reporting\EC\2016-12-06-refined-times.txt</v>
      </c>
      <c r="AI177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{"issue":{"subject":"","project_id":79,"tracker_id":40,"status_id":1,"priority_id":2,"assigned_to_id":23,"start_date":"2016-12-06","description":"","custom_fields":[{"id":1,"name":"Subdivision","value":"NW"},{"id":4,"name":"Milepost","value":"5.8941"},{"id":17,"name":"Train ID","value":"823-06"},{"id":16,"name":"Locomotive ID","value":"4009"},{"id":130,"name":"Impact","value":""},{"id":150,"name":"Time of Event (Mountain Time)","value":"14:38:09"},{"id":151,"name":"Denver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566</v>
      </c>
      <c r="B178" s="7">
        <v>4010</v>
      </c>
      <c r="C178" s="22" t="s">
        <v>207</v>
      </c>
      <c r="D178" s="22" t="s">
        <v>351</v>
      </c>
      <c r="E178" s="13">
        <v>42710.610601851855</v>
      </c>
      <c r="F178" s="13">
        <v>42710.612141203703</v>
      </c>
      <c r="G178" s="7">
        <v>1</v>
      </c>
      <c r="H178" s="22" t="s">
        <v>410</v>
      </c>
      <c r="I178" s="13">
        <v>42710.622662037036</v>
      </c>
      <c r="J178" s="7">
        <v>0</v>
      </c>
      <c r="K178" s="109" t="str">
        <f t="shared" si="42"/>
        <v>4009/4010</v>
      </c>
      <c r="L178" s="22" t="str">
        <f>VLOOKUP(A178,'Trips&amp;Operators'!$C$1:$G$99999,5,FALSE)</f>
        <v>BRUDER RICHARD</v>
      </c>
      <c r="M178" s="6">
        <f t="shared" si="43"/>
        <v>1.0520833333430346E-2</v>
      </c>
      <c r="N178" s="7">
        <f t="shared" si="57"/>
        <v>15.150000000139698</v>
      </c>
      <c r="O178" s="7"/>
      <c r="P178" s="7"/>
      <c r="Q178" s="23"/>
      <c r="R178" s="23"/>
      <c r="S178" s="35">
        <f t="shared" si="58"/>
        <v>1</v>
      </c>
      <c r="T178" s="50" t="str">
        <f t="shared" si="44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13:39:16-700',mode:absolute,to:'2016-12-06 15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8" s="52" t="str">
        <f t="shared" si="46"/>
        <v>N</v>
      </c>
      <c r="X178" s="177">
        <f t="shared" si="47"/>
        <v>1</v>
      </c>
      <c r="Y178" s="67">
        <f t="shared" si="48"/>
        <v>5.8624000000000001</v>
      </c>
      <c r="Z178" s="67">
        <f t="shared" si="49"/>
        <v>6.9400000000000003E-2</v>
      </c>
      <c r="AA178" s="67">
        <f t="shared" si="50"/>
        <v>5.7930000000000001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1"/>
        <v>0824-06</v>
      </c>
      <c r="AE178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78" s="88" t="str">
        <f t="shared" si="53"/>
        <v>"C:\Program Files (x86)\AstroGrep\AstroGrep.exe" /spath="%USERPROFILE%\AppData\Local\Temp\OnboardLogs" /stypes="app*4010*20161206*" /stext=" 21:.+((SYSTEM_STATE.+slice.+state.+changed )|(ment ac)|(multiple cpu faults)|(system.+state.+changed )|(\[timeout)|(PRM\|1\|D)|(kpr)|(kdp)|(\|lc)|(penalty))" /e /r /s</v>
      </c>
      <c r="AG178" s="1" t="str">
        <f t="shared" si="54"/>
        <v>NW</v>
      </c>
      <c r="AH178" s="92" t="str">
        <f t="shared" si="55"/>
        <v>"%USERPROFILE%\Documents\GitHub\eaglep3\Utilities\RefineRTDCRunTimes.py" --tripid 824-06 --locoid 4010 --swversion DE.1.0.8.0 --startMP 300:58624 --initTime 2016-12-06T14:39:16 --startdatetime 2016-12-06T14:41:29 --delay 1 --endMP 204:694 --enddatetime 2016-12-06T14:56:38 --enforcementcount 0 &gt;&gt;C:\Users\stu\Documents\GitHub\eaglep3-reporting\EC\2016-12-06-refined-times.txt</v>
      </c>
      <c r="AI178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{"issue":{"subject":"","project_id":79,"tracker_id":40,"status_id":1,"priority_id":2,"assigned_to_id":23,"start_date":"2016-12-06","description":"","custom_fields":[{"id":1,"name":"Subdivision","value":"NW"},{"id":4,"name":"Milepost","value":"0.0694"},{"id":17,"name":"Train ID","value":"824-06"},{"id":16,"name":"Locomotive ID","value":"4010"},{"id":130,"name":"Impact","value":""},{"id":150,"name":"Time of Event (Mountain Time)","value":"14:56:38"},{"id":151,"name":"Denver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572</v>
      </c>
      <c r="B179" s="7">
        <v>4009</v>
      </c>
      <c r="C179" s="22" t="s">
        <v>207</v>
      </c>
      <c r="D179" s="22" t="s">
        <v>417</v>
      </c>
      <c r="E179" s="13">
        <v>42710.635995370372</v>
      </c>
      <c r="F179" s="13">
        <v>42710.639861111114</v>
      </c>
      <c r="G179" s="7">
        <v>1</v>
      </c>
      <c r="H179" s="22" t="s">
        <v>414</v>
      </c>
      <c r="I179" s="13">
        <v>42710.649502314816</v>
      </c>
      <c r="J179" s="7">
        <v>0</v>
      </c>
      <c r="K179" s="109" t="str">
        <f t="shared" si="42"/>
        <v>4009/4010</v>
      </c>
      <c r="L179" s="22" t="str">
        <f>VLOOKUP(A179,'Trips&amp;Operators'!$C$1:$G$99999,5,FALSE)</f>
        <v>BRUDER RICHARD</v>
      </c>
      <c r="M179" s="6">
        <f t="shared" si="43"/>
        <v>9.6412037019035779E-3</v>
      </c>
      <c r="N179" s="7">
        <f t="shared" si="57"/>
        <v>13.883333330741152</v>
      </c>
      <c r="O179" s="7"/>
      <c r="P179" s="7"/>
      <c r="Q179" s="23"/>
      <c r="R179" s="23"/>
      <c r="S179" s="35">
        <f t="shared" si="58"/>
        <v>1</v>
      </c>
      <c r="T179" s="50" t="str">
        <f t="shared" si="44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14:15:50-700',mode:absolute,to:'2016-12-06 16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9" s="52" t="str">
        <f t="shared" si="46"/>
        <v>N</v>
      </c>
      <c r="X179" s="177">
        <f t="shared" si="47"/>
        <v>1</v>
      </c>
      <c r="Y179" s="67">
        <f t="shared" si="48"/>
        <v>9.6699999999999994E-2</v>
      </c>
      <c r="Z179" s="67">
        <f t="shared" si="49"/>
        <v>5.8929</v>
      </c>
      <c r="AA179" s="67">
        <f t="shared" si="50"/>
        <v>5.7961999999999998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1"/>
        <v>0825-06</v>
      </c>
      <c r="AE179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79" s="88" t="str">
        <f t="shared" si="53"/>
        <v>"C:\Program Files (x86)\AstroGrep\AstroGrep.exe" /spath="%USERPROFILE%\AppData\Local\Temp\OnboardLogs" /stypes="app*4009*20161206*" /stext=" 22:.+((SYSTEM_STATE.+slice.+state.+changed )|(ment ac)|(multiple cpu faults)|(system.+state.+changed )|(\[timeout)|(PRM\|1\|D)|(kpr)|(kdp)|(\|lc)|(penalty))" /e /r /s</v>
      </c>
      <c r="AG179" s="1" t="str">
        <f t="shared" si="54"/>
        <v>NW</v>
      </c>
      <c r="AH179" s="92" t="str">
        <f t="shared" si="55"/>
        <v>"%USERPROFILE%\Documents\GitHub\eaglep3\Utilities\RefineRTDCRunTimes.py" --tripid 825-06 --locoid 4009 --swversion DE.1.0.8.0 --startMP 204:967 --initTime 2016-12-06T15:15:50 --startdatetime 2016-12-06T15:21:24 --delay 1 --endMP 300:58929 --enddatetime 2016-12-06T15:35:17 --enforcementcount 0 &gt;&gt;C:\Users\stu\Documents\GitHub\eaglep3-reporting\EC\2016-12-06-refined-times.txt</v>
      </c>
      <c r="AI179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ID","value":"825-06"},{"id":16,"name":"Locomotive ID","value":"4009"},{"id":130,"name":"Impact","value":""},{"id":150,"name":"Time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577</v>
      </c>
      <c r="B180" s="7">
        <v>4010</v>
      </c>
      <c r="C180" s="22" t="s">
        <v>207</v>
      </c>
      <c r="D180" s="22" t="s">
        <v>791</v>
      </c>
      <c r="E180" s="13">
        <v>42710.65079861111</v>
      </c>
      <c r="F180" s="13">
        <v>42710.653217592589</v>
      </c>
      <c r="G180" s="7">
        <v>1</v>
      </c>
      <c r="H180" s="22" t="s">
        <v>420</v>
      </c>
      <c r="I180" s="13">
        <v>42710.664317129631</v>
      </c>
      <c r="J180" s="7">
        <v>0</v>
      </c>
      <c r="K180" s="109" t="str">
        <f t="shared" si="42"/>
        <v>4009/4010</v>
      </c>
      <c r="L180" s="22" t="str">
        <f>VLOOKUP(A180,'Trips&amp;Operators'!$C$1:$G$99999,5,FALSE)</f>
        <v>BRUDER RICHARD</v>
      </c>
      <c r="M180" s="6">
        <f t="shared" si="43"/>
        <v>1.1099537041445728E-2</v>
      </c>
      <c r="N180" s="7">
        <f t="shared" si="57"/>
        <v>15.983333339681849</v>
      </c>
      <c r="O180" s="7"/>
      <c r="P180" s="7"/>
      <c r="Q180" s="23"/>
      <c r="R180" s="23"/>
      <c r="S180" s="35">
        <f t="shared" si="58"/>
        <v>1</v>
      </c>
      <c r="T180" s="50" t="str">
        <f t="shared" si="44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14:37:09-700',mode:absolute,to:'2016-12-06 16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0" s="52" t="str">
        <f t="shared" si="46"/>
        <v>N</v>
      </c>
      <c r="X180" s="177">
        <f t="shared" si="47"/>
        <v>1</v>
      </c>
      <c r="Y180" s="67">
        <f t="shared" si="48"/>
        <v>5.8608000000000002</v>
      </c>
      <c r="Z180" s="67">
        <f t="shared" si="49"/>
        <v>6.7699999999999996E-2</v>
      </c>
      <c r="AA180" s="67">
        <f t="shared" si="50"/>
        <v>5.7930999999999999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1"/>
        <v>0826-06</v>
      </c>
      <c r="AE180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0" s="88" t="str">
        <f t="shared" si="53"/>
        <v>"C:\Program Files (x86)\AstroGrep\AstroGrep.exe" /spath="%USERPROFILE%\AppData\Local\Temp\OnboardLogs" /stypes="app*4010*20161206*" /stext=" 22:.+((SYSTEM_STATE.+slice.+state.+changed )|(ment ac)|(multiple cpu faults)|(system.+state.+changed )|(\[timeout)|(PRM\|1\|D)|(kpr)|(kdp)|(\|lc)|(penalty))" /e /r /s</v>
      </c>
      <c r="AG180" s="1" t="str">
        <f t="shared" si="54"/>
        <v>NW</v>
      </c>
      <c r="AH180" s="92" t="str">
        <f t="shared" si="55"/>
        <v>"%USERPROFILE%\Documents\GitHub\eaglep3\Utilities\RefineRTDCRunTimes.py" --tripid 826-06 --locoid 4010 --swversion DE.1.0.8.0 --startMP 300:58608 --initTime 2016-12-06T15:37:09 --startdatetime 2016-12-06T15:40:38 --delay 1 --endMP 204:677 --enddatetime 2016-12-06T15:56:37 --enforcementcount 0 &gt;&gt;C:\Users\stu\Documents\GitHub\eaglep3-reporting\EC\2016-12-06-refined-times.txt</v>
      </c>
      <c r="AI180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{"issue":{"subject":"","project_id":79,"tracker_id":40,"status_id":1,"priority_id":2,"assigned_to_id":23,"start_date":"2016-12-06","description":"","custom_fields":[{"id":1,"name":"Subdivision","value":"NW"},{"id":4,"name":"Milepost","value":"0.0677"},{"id":17,"name":"Train ID","value":"826-06"},{"id":16,"name":"Locomotive ID","value":"4010"},{"id":130,"name":"Impact","value":""},{"id":150,"name":"Time of Event (Mountain Time)","value":"15:56:37"},{"id":151,"name":"Denver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575</v>
      </c>
      <c r="B181" s="7">
        <v>4022</v>
      </c>
      <c r="C181" s="22" t="s">
        <v>207</v>
      </c>
      <c r="D181" s="22" t="s">
        <v>281</v>
      </c>
      <c r="E181" s="13">
        <v>42710.649548611109</v>
      </c>
      <c r="F181" s="13">
        <v>42710.660740740743</v>
      </c>
      <c r="G181" s="7">
        <v>1</v>
      </c>
      <c r="H181" s="22" t="s">
        <v>406</v>
      </c>
      <c r="I181" s="13">
        <v>42710.669629629629</v>
      </c>
      <c r="J181" s="7">
        <v>0</v>
      </c>
      <c r="K181" s="109" t="str">
        <f t="shared" si="42"/>
        <v>4021/4022</v>
      </c>
      <c r="L181" s="22" t="str">
        <f>VLOOKUP(A181,'Trips&amp;Operators'!$C$1:$G$99999,5,FALSE)</f>
        <v>STAMBAUGH JAMES</v>
      </c>
      <c r="M181" s="6">
        <f t="shared" si="43"/>
        <v>8.8888888858491555E-3</v>
      </c>
      <c r="N181" s="7">
        <f t="shared" si="57"/>
        <v>12.799999995622784</v>
      </c>
      <c r="O181" s="7"/>
      <c r="P181" s="7"/>
      <c r="Q181" s="23"/>
      <c r="R181" s="23"/>
      <c r="S181" s="35">
        <f t="shared" si="58"/>
        <v>1</v>
      </c>
      <c r="T181" s="50" t="str">
        <f t="shared" si="44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14:35:21-700',mode:absolute,to:'2016-12-06 17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1" s="52" t="str">
        <f t="shared" si="46"/>
        <v>N</v>
      </c>
      <c r="X181" s="177">
        <f t="shared" si="47"/>
        <v>1</v>
      </c>
      <c r="Y181" s="67">
        <f t="shared" si="48"/>
        <v>9.7100000000000006E-2</v>
      </c>
      <c r="Z181" s="67">
        <f t="shared" si="49"/>
        <v>5.8924000000000003</v>
      </c>
      <c r="AA181" s="67">
        <f t="shared" si="50"/>
        <v>5.7953000000000001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1"/>
        <v>0827-06</v>
      </c>
      <c r="AE181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1" s="88" t="str">
        <f t="shared" si="53"/>
        <v>"C:\Program Files (x86)\AstroGrep\AstroGrep.exe" /spath="%USERPROFILE%\AppData\Local\Temp\OnboardLogs" /stypes="app*4022*20161206*" /stext=" 23:.+((SYSTEM_STATE.+slice.+state.+changed )|(ment ac)|(multiple cpu faults)|(system.+state.+changed )|(\[timeout)|(PRM\|1\|D)|(kpr)|(kdp)|(\|lc)|(penalty))" /e /r /s</v>
      </c>
      <c r="AG181" s="1" t="str">
        <f t="shared" si="54"/>
        <v>NW</v>
      </c>
      <c r="AH181" s="92" t="str">
        <f t="shared" si="55"/>
        <v>"%USERPROFILE%\Documents\GitHub\eaglep3\Utilities\RefineRTDCRunTimes.py" --tripid 827-06 --locoid 4022 --swversion DE.1.0.8.0 --startMP 204:971 --initTime 2016-12-06T15:35:21 --startdatetime 2016-12-06T15:51:28 --delay 1 --endMP 300:58924 --enddatetime 2016-12-06T16:04:16 --enforcementcount 0 &gt;&gt;C:\Users\stu\Documents\GitHub\eaglep3-reporting\EC\2016-12-06-refined-times.txt</v>
      </c>
      <c r="AI181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ID","value":"827-06"},{"id":16,"name":"Locomotive ID","value":"4022"},{"id":130,"name":"Impact","value":""},{"id":150,"name":"Time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582</v>
      </c>
      <c r="B182" s="7">
        <v>4021</v>
      </c>
      <c r="C182" s="22" t="s">
        <v>207</v>
      </c>
      <c r="D182" s="22" t="s">
        <v>314</v>
      </c>
      <c r="E182" s="13">
        <v>42710.670624999999</v>
      </c>
      <c r="F182" s="13">
        <v>42710.671944444446</v>
      </c>
      <c r="G182" s="7">
        <v>1</v>
      </c>
      <c r="H182" s="22" t="s">
        <v>416</v>
      </c>
      <c r="I182" s="13">
        <v>42710.684594907405</v>
      </c>
      <c r="J182" s="7">
        <v>0</v>
      </c>
      <c r="K182" s="109" t="str">
        <f t="shared" si="42"/>
        <v>4021/4022</v>
      </c>
      <c r="L182" s="22" t="str">
        <f>VLOOKUP(A182,'Trips&amp;Operators'!$C$1:$G$99999,5,FALSE)</f>
        <v>STAMBAUGH JAMES</v>
      </c>
      <c r="M182" s="6">
        <f t="shared" si="43"/>
        <v>1.265046295884531E-2</v>
      </c>
      <c r="N182" s="7">
        <f t="shared" si="57"/>
        <v>18.216666660737246</v>
      </c>
      <c r="O182" s="7"/>
      <c r="P182" s="7"/>
      <c r="Q182" s="23"/>
      <c r="R182" s="23"/>
      <c r="S182" s="35">
        <f t="shared" si="58"/>
        <v>1</v>
      </c>
      <c r="T182" s="50" t="str">
        <f t="shared" si="44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15:05:42-700',mode:absolute,to:'2016-12-06 17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2" s="52" t="str">
        <f t="shared" si="46"/>
        <v>N</v>
      </c>
      <c r="X182" s="177">
        <f t="shared" si="47"/>
        <v>1</v>
      </c>
      <c r="Y182" s="67">
        <f t="shared" si="48"/>
        <v>5.8619000000000003</v>
      </c>
      <c r="Z182" s="67">
        <f t="shared" si="49"/>
        <v>6.9099999999999995E-2</v>
      </c>
      <c r="AA182" s="67">
        <f t="shared" si="50"/>
        <v>5.7928000000000006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1"/>
        <v>0828-06</v>
      </c>
      <c r="AE182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2" s="88" t="str">
        <f t="shared" si="53"/>
        <v>"C:\Program Files (x86)\AstroGrep\AstroGrep.exe" /spath="%USERPROFILE%\AppData\Local\Temp\OnboardLogs" /stypes="app*4021*20161206*" /stext=" 23:.+((SYSTEM_STATE.+slice.+state.+changed )|(ment ac)|(multiple cpu faults)|(system.+state.+changed )|(\[timeout)|(PRM\|1\|D)|(kpr)|(kdp)|(\|lc)|(penalty))" /e /r /s</v>
      </c>
      <c r="AG182" s="1" t="str">
        <f t="shared" si="54"/>
        <v>NW</v>
      </c>
      <c r="AH182" s="92" t="str">
        <f t="shared" si="55"/>
        <v>"%USERPROFILE%\Documents\GitHub\eaglep3\Utilities\RefineRTDCRunTimes.py" --tripid 828-06 --locoid 4021 --swversion DE.1.0.8.0 --startMP 300:58619 --initTime 2016-12-06T16:05:42 --startdatetime 2016-12-06T16:07:36 --delay 1 --endMP 204:691 --enddatetime 2016-12-06T16:25:49 --enforcementcount 0 &gt;&gt;C:\Users\stu\Documents\GitHub\eaglep3-reporting\EC\2016-12-06-refined-times.txt</v>
      </c>
      <c r="AI182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{"issue":{"subject":"","project_id":79,"tracker_id":40,"status_id":1,"priority_id":2,"assigned_to_id":23,"start_date":"2016-12-06","description":"","custom_fields":[{"id":1,"name":"Subdivision","value":"NW"},{"id":4,"name":"Milepost","value":"0.0691"},{"id":17,"name":"Train ID","value":"828-06"},{"id":16,"name":"Locomotive ID","value":"4021"},{"id":130,"name":"Impact","value":""},{"id":150,"name":"Time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584</v>
      </c>
      <c r="B183" s="7">
        <v>4009</v>
      </c>
      <c r="C183" s="22" t="s">
        <v>207</v>
      </c>
      <c r="D183" s="22" t="s">
        <v>413</v>
      </c>
      <c r="E183" s="13">
        <v>42710.676041666666</v>
      </c>
      <c r="F183" s="13">
        <v>42710.681701388887</v>
      </c>
      <c r="G183" s="7">
        <v>1</v>
      </c>
      <c r="H183" s="22" t="s">
        <v>797</v>
      </c>
      <c r="I183" s="13">
        <v>42710.691446759258</v>
      </c>
      <c r="J183" s="7">
        <v>0</v>
      </c>
      <c r="K183" s="109" t="str">
        <f t="shared" si="42"/>
        <v>4009/4010</v>
      </c>
      <c r="L183" s="22" t="str">
        <f>VLOOKUP(A183,'Trips&amp;Operators'!$C$1:$G$99999,5,FALSE)</f>
        <v>BRUDER RICHARD</v>
      </c>
      <c r="M183" s="6">
        <f t="shared" si="43"/>
        <v>9.7453703710925765E-3</v>
      </c>
      <c r="N183" s="7">
        <f t="shared" si="57"/>
        <v>14.03333333437331</v>
      </c>
      <c r="O183" s="7"/>
      <c r="P183" s="7"/>
      <c r="Q183" s="23"/>
      <c r="R183" s="23"/>
      <c r="S183" s="35">
        <f t="shared" si="58"/>
        <v>1</v>
      </c>
      <c r="T183" s="50" t="str">
        <f t="shared" si="44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15:13:30-700',mode:absolute,to:'2016-12-06 17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3" s="52" t="str">
        <f t="shared" si="46"/>
        <v>N</v>
      </c>
      <c r="X183" s="177">
        <f t="shared" si="47"/>
        <v>1</v>
      </c>
      <c r="Y183" s="67">
        <f t="shared" si="48"/>
        <v>9.6000000000000002E-2</v>
      </c>
      <c r="Z183" s="67">
        <f t="shared" si="49"/>
        <v>5.8933</v>
      </c>
      <c r="AA183" s="67">
        <f t="shared" si="50"/>
        <v>5.7972999999999999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1"/>
        <v>0829-06</v>
      </c>
      <c r="AE183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3" s="88" t="str">
        <f t="shared" si="53"/>
        <v>"C:\Program Files (x86)\AstroGrep\AstroGrep.exe" /spath="%USERPROFILE%\AppData\Local\Temp\OnboardLogs" /stypes="app*4009*20161206*" /stext=" 23:.+((SYSTEM_STATE.+slice.+state.+changed )|(ment ac)|(multiple cpu faults)|(system.+state.+changed )|(\[timeout)|(PRM\|1\|D)|(kpr)|(kdp)|(\|lc)|(penalty))" /e /r /s</v>
      </c>
      <c r="AG183" s="1" t="str">
        <f t="shared" si="54"/>
        <v>NW</v>
      </c>
      <c r="AH183" s="92" t="str">
        <f t="shared" si="55"/>
        <v>"%USERPROFILE%\Documents\GitHub\eaglep3\Utilities\RefineRTDCRunTimes.py" --tripid 829-06 --locoid 4009 --swversion DE.1.0.8.0 --startMP 204:960 --initTime 2016-12-06T16:13:30 --startdatetime 2016-12-06T16:21:39 --delay 1 --endMP 300:58933 --enddatetime 2016-12-06T16:35:41 --enforcementcount 0 &gt;&gt;C:\Users\stu\Documents\GitHub\eaglep3-reporting\EC\2016-12-06-refined-times.txt</v>
      </c>
      <c r="AI183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ID","value":"829-06"},{"id":16,"name":"Locomotive ID","value":"4009"},{"id":130,"name":"Impact","value":""},{"id":150,"name":"Time of Event (Mountain Time)","value":"16:35:41"},{"id":151,"name":"Denver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588</v>
      </c>
      <c r="B184" s="7">
        <v>4010</v>
      </c>
      <c r="C184" s="22" t="s">
        <v>207</v>
      </c>
      <c r="D184" s="22" t="s">
        <v>789</v>
      </c>
      <c r="E184" s="13">
        <v>42710.692847222221</v>
      </c>
      <c r="F184" s="13">
        <v>42710.694976851853</v>
      </c>
      <c r="G184" s="7">
        <v>1</v>
      </c>
      <c r="H184" s="22" t="s">
        <v>412</v>
      </c>
      <c r="I184" s="13">
        <v>42710.705995370372</v>
      </c>
      <c r="J184" s="7">
        <v>0</v>
      </c>
      <c r="K184" s="109" t="str">
        <f t="shared" si="42"/>
        <v>4009/4010</v>
      </c>
      <c r="L184" s="22" t="str">
        <f>VLOOKUP(A184,'Trips&amp;Operators'!$C$1:$G$99999,5,FALSE)</f>
        <v>BRUDER RICHARD</v>
      </c>
      <c r="M184" s="6">
        <f t="shared" si="43"/>
        <v>1.1018518518540077E-2</v>
      </c>
      <c r="N184" s="7">
        <f t="shared" si="57"/>
        <v>15.866666666697711</v>
      </c>
      <c r="O184" s="7"/>
      <c r="P184" s="7"/>
      <c r="Q184" s="23"/>
      <c r="R184" s="23"/>
      <c r="S184" s="35">
        <f t="shared" si="58"/>
        <v>1</v>
      </c>
      <c r="T184" s="50" t="str">
        <f t="shared" si="44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15:37:42-700',mode:absolute,to:'2016-12-06 17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4" s="52" t="str">
        <f t="shared" si="46"/>
        <v>N</v>
      </c>
      <c r="X184" s="177">
        <f t="shared" si="47"/>
        <v>1</v>
      </c>
      <c r="Y184" s="67">
        <f t="shared" si="48"/>
        <v>5.8616999999999999</v>
      </c>
      <c r="Z184" s="67">
        <f t="shared" si="49"/>
        <v>6.7799999999999999E-2</v>
      </c>
      <c r="AA184" s="67">
        <f t="shared" si="50"/>
        <v>5.7938999999999998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1"/>
        <v>0830-06</v>
      </c>
      <c r="AE184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4" s="88" t="str">
        <f t="shared" si="53"/>
        <v>"C:\Program Files (x86)\AstroGrep\AstroGrep.exe" /spath="%USERPROFILE%\AppData\Local\Temp\OnboardLogs" /stypes="app*4010*20161206*" /stext=" 23:.+((SYSTEM_STATE.+slice.+state.+changed )|(ment ac)|(multiple cpu faults)|(system.+state.+changed )|(\[timeout)|(PRM\|1\|D)|(kpr)|(kdp)|(\|lc)|(penalty))" /e /r /s</v>
      </c>
      <c r="AG184" s="1" t="str">
        <f t="shared" si="54"/>
        <v>NW</v>
      </c>
      <c r="AH184" s="92" t="str">
        <f t="shared" si="55"/>
        <v>"%USERPROFILE%\Documents\GitHub\eaglep3\Utilities\RefineRTDCRunTimes.py" --tripid 830-06 --locoid 4010 --swversion DE.1.0.8.0 --startMP 300:58617 --initTime 2016-12-06T16:37:42 --startdatetime 2016-12-06T16:40:46 --delay 1 --endMP 204:678 --enddatetime 2016-12-06T16:56:38 --enforcementcount 0 &gt;&gt;C:\Users\stu\Documents\GitHub\eaglep3-reporting\EC\2016-12-06-refined-times.txt</v>
      </c>
      <c r="AI184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{"issue":{"subject":"","project_id":79,"tracker_id":40,"status_id":1,"priority_id":2,"assigned_to_id":23,"start_date":"2016-12-06","description":"","custom_fields":[{"id":1,"name":"Subdivision","value":"NW"},{"id":4,"name":"Milepost","value":"0.0678"},{"id":17,"name":"Train ID","value":"830-06"},{"id":16,"name":"Locomotive ID","value":"4010"},{"id":130,"name":"Impact","value":""},{"id":150,"name":"Time of Event (Mountain Time)","value":"16:56:38"},{"id":151,"name":"Denver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445</v>
      </c>
      <c r="B185" s="7">
        <v>4022</v>
      </c>
      <c r="C185" s="22" t="s">
        <v>207</v>
      </c>
      <c r="D185" s="22" t="s">
        <v>798</v>
      </c>
      <c r="E185" s="13">
        <v>42710.696296296293</v>
      </c>
      <c r="F185" s="13">
        <v>42710.702488425923</v>
      </c>
      <c r="G185" s="7">
        <v>1</v>
      </c>
      <c r="H185" s="22" t="s">
        <v>777</v>
      </c>
      <c r="I185" s="13">
        <v>42710.712002314816</v>
      </c>
      <c r="J185" s="7">
        <v>0</v>
      </c>
      <c r="K185" s="109" t="str">
        <f t="shared" si="42"/>
        <v>4021/4022</v>
      </c>
      <c r="L185" s="22" t="str">
        <f>VLOOKUP(A185,'Trips&amp;Operators'!$C$1:$G$99999,5,FALSE)</f>
        <v>STAMBAUGH JAMES</v>
      </c>
      <c r="M185" s="6">
        <f t="shared" si="43"/>
        <v>9.5138888937071897E-3</v>
      </c>
      <c r="N185" s="7">
        <f t="shared" si="57"/>
        <v>13.700000006938353</v>
      </c>
      <c r="O185" s="7"/>
      <c r="P185" s="7"/>
      <c r="Q185" s="23"/>
      <c r="R185" s="23"/>
      <c r="S185" s="35">
        <f t="shared" si="58"/>
        <v>1</v>
      </c>
      <c r="T185" s="50" t="str">
        <f t="shared" si="44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5" s="52" t="str">
        <f t="shared" si="46"/>
        <v>N</v>
      </c>
      <c r="X185" s="177">
        <f t="shared" si="47"/>
        <v>1</v>
      </c>
      <c r="Y185" s="67">
        <f t="shared" si="48"/>
        <v>9.8100000000000007E-2</v>
      </c>
      <c r="Z185" s="67">
        <f t="shared" si="49"/>
        <v>5.8925999999999998</v>
      </c>
      <c r="AA185" s="67">
        <f t="shared" si="50"/>
        <v>5.7945000000000002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1"/>
        <v>0831-06</v>
      </c>
      <c r="AE185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5" s="88" t="str">
        <f t="shared" si="53"/>
        <v>"C:\Program Files (x86)\AstroGrep\AstroGrep.exe" /spath="%USERPROFILE%\AppData\Local\Temp\OnboardLogs" /stypes="app*4022*20161207*" /stext=" 00:.+((SYSTEM_STATE.+slice.+state.+changed )|(ment ac)|(multiple cpu faults)|(system.+state.+changed )|(\[timeout)|(PRM\|1\|D)|(kpr)|(kdp)|(\|lc)|(penalty))" /e /r /s</v>
      </c>
      <c r="AG185" s="1" t="str">
        <f t="shared" si="54"/>
        <v>NW</v>
      </c>
      <c r="AH185" s="92" t="str">
        <f t="shared" si="55"/>
        <v>"%USERPROFILE%\Documents\GitHub\eaglep3\Utilities\RefineRTDCRunTimes.py" --tripid 831-06 --locoid 4022 --swversion DE.1.0.8.0 --startMP 204:981 --initTime 2016-12-06T16:42:40 --startdatetime 2016-12-06T16:51:35 --delay 1 --endMP 300:58926 --enddatetime 2016-12-06T17:05:17 --enforcementcount 0 &gt;&gt;C:\Users\stu\Documents\GitHub\eaglep3-reporting\EC\2016-12-06-refined-times.txt</v>
      </c>
      <c r="AI185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{"issue":{"subject":"","project_id":79,"tracker_id":40,"status_id":1,"priority_id":2,"assigned_to_id":23,"start_date":"2016-12-06","description":"","custom_fields":[{"id":1,"name":"Subdivision","value":"NW"},{"id":4,"name":"Milepost","value":"5.8926"},{"id":17,"name":"Train ID","value":"831-06"},{"id":16,"name":"Locomotive ID","value":"4022"},{"id":130,"name":"Impact","value":""},{"id":150,"name":"Time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593</v>
      </c>
      <c r="B186" s="7">
        <v>4021</v>
      </c>
      <c r="C186" s="22" t="s">
        <v>207</v>
      </c>
      <c r="D186" s="22" t="s">
        <v>799</v>
      </c>
      <c r="E186" s="13">
        <v>42710.71297453704</v>
      </c>
      <c r="F186" s="13">
        <v>42710.714513888888</v>
      </c>
      <c r="G186" s="7">
        <v>1</v>
      </c>
      <c r="H186" s="22" t="s">
        <v>795</v>
      </c>
      <c r="I186" s="13">
        <v>42710.726493055554</v>
      </c>
      <c r="J186" s="7">
        <v>0</v>
      </c>
      <c r="K186" s="109" t="str">
        <f t="shared" si="42"/>
        <v>4021/4022</v>
      </c>
      <c r="L186" s="22" t="str">
        <f>VLOOKUP(A186,'Trips&amp;Operators'!$C$1:$G$99999,5,FALSE)</f>
        <v>STAMBAUGH JAMES</v>
      </c>
      <c r="M186" s="6">
        <f t="shared" si="43"/>
        <v>1.1979166665696539E-2</v>
      </c>
      <c r="N186" s="7">
        <f t="shared" si="57"/>
        <v>17.249999998603016</v>
      </c>
      <c r="O186" s="7"/>
      <c r="P186" s="7"/>
      <c r="Q186" s="23"/>
      <c r="R186" s="23"/>
      <c r="S186" s="35">
        <f t="shared" si="58"/>
        <v>1</v>
      </c>
      <c r="T186" s="50" t="str">
        <f t="shared" si="44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16:06:41-700',mode:absolute,to:'2016-12-06 18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6" s="52" t="str">
        <f t="shared" si="46"/>
        <v>N</v>
      </c>
      <c r="X186" s="177">
        <f t="shared" si="47"/>
        <v>1</v>
      </c>
      <c r="Y186" s="67">
        <f t="shared" si="48"/>
        <v>5.8604000000000003</v>
      </c>
      <c r="Z186" s="67">
        <f t="shared" si="49"/>
        <v>6.9599999999999995E-2</v>
      </c>
      <c r="AA186" s="67">
        <f t="shared" si="50"/>
        <v>5.7907999999999999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1"/>
        <v>0832-06</v>
      </c>
      <c r="AE186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86" s="88" t="str">
        <f t="shared" si="53"/>
        <v>"C:\Program Files (x86)\AstroGrep\AstroGrep.exe" /spath="%USERPROFILE%\AppData\Local\Temp\OnboardLogs" /stypes="app*4021*20161207*" /stext=" 00:.+((SYSTEM_STATE.+slice.+state.+changed )|(ment ac)|(multiple cpu faults)|(system.+state.+changed )|(\[timeout)|(PRM\|1\|D)|(kpr)|(kdp)|(\|lc)|(penalty))" /e /r /s</v>
      </c>
      <c r="AG186" s="1" t="str">
        <f t="shared" si="54"/>
        <v>NW</v>
      </c>
      <c r="AH186" s="92" t="str">
        <f t="shared" si="55"/>
        <v>"%USERPROFILE%\Documents\GitHub\eaglep3\Utilities\RefineRTDCRunTimes.py" --tripid 832-06 --locoid 4021 --swversion DE.1.0.8.0 --startMP 300:58604 --initTime 2016-12-06T17:06:41 --startdatetime 2016-12-06T17:08:54 --delay 1 --endMP 204:696 --enddatetime 2016-12-06T17:26:09 --enforcementcount 0 &gt;&gt;C:\Users\stu\Documents\GitHub\eaglep3-reporting\EC\2016-12-06-refined-times.txt</v>
      </c>
      <c r="AI186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{"issue":{"subject":"","project_id":79,"tracker_id":40,"status_id":1,"priority_id":2,"assigned_to_id":23,"start_date":"2016-12-06","description":"","custom_fields":[{"id":1,"name":"Subdivision","value":"NW"},{"id":4,"name":"Milepost","value":"0.0696"},{"id":17,"name":"Train ID","value":"832-06"},{"id":16,"name":"Locomotive ID","value":"4021"},{"id":130,"name":"Impact","value":""},{"id":150,"name":"Time of Event (Mountain Time)","value":"17:26:09"},{"id":151,"name":"Denver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595</v>
      </c>
      <c r="B187" s="7">
        <v>4009</v>
      </c>
      <c r="C187" s="22" t="s">
        <v>207</v>
      </c>
      <c r="D187" s="22" t="s">
        <v>796</v>
      </c>
      <c r="E187" s="13">
        <v>42710.716979166667</v>
      </c>
      <c r="F187" s="13">
        <v>42710.723275462966</v>
      </c>
      <c r="G187" s="7">
        <v>2</v>
      </c>
      <c r="H187" s="22" t="s">
        <v>797</v>
      </c>
      <c r="I187" s="13">
        <v>42710.733391203707</v>
      </c>
      <c r="J187" s="7">
        <v>0</v>
      </c>
      <c r="K187" s="109" t="str">
        <f t="shared" si="42"/>
        <v>4009/4010</v>
      </c>
      <c r="L187" s="22" t="str">
        <f>VLOOKUP(A187,'Trips&amp;Operators'!$C$1:$G$99999,5,FALSE)</f>
        <v>BRUDER RICHARD</v>
      </c>
      <c r="M187" s="6">
        <f t="shared" si="43"/>
        <v>1.0115740740729962E-2</v>
      </c>
      <c r="N187" s="7">
        <f t="shared" si="57"/>
        <v>14.566666666651145</v>
      </c>
      <c r="O187" s="7"/>
      <c r="P187" s="7"/>
      <c r="Q187" s="23"/>
      <c r="R187" s="23"/>
      <c r="S187" s="35">
        <f t="shared" si="58"/>
        <v>1</v>
      </c>
      <c r="T187" s="50" t="str">
        <f t="shared" si="44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16:12:27-700',mode:absolute,to:'2016-12-06 18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7" s="52" t="str">
        <f t="shared" si="46"/>
        <v>N</v>
      </c>
      <c r="X187" s="177">
        <f t="shared" si="47"/>
        <v>1</v>
      </c>
      <c r="Y187" s="67">
        <f t="shared" si="48"/>
        <v>9.7199999999999995E-2</v>
      </c>
      <c r="Z187" s="67">
        <f t="shared" si="49"/>
        <v>5.8933</v>
      </c>
      <c r="AA187" s="67">
        <f t="shared" si="50"/>
        <v>5.7961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1"/>
        <v>0833-06</v>
      </c>
      <c r="AE187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87" s="88" t="str">
        <f t="shared" si="53"/>
        <v>"C:\Program Files (x86)\AstroGrep\AstroGrep.exe" /spath="%USERPROFILE%\AppData\Local\Temp\OnboardLogs" /stypes="app*4009*20161207*" /stext=" 00:.+((SYSTEM_STATE.+slice.+state.+changed )|(ment ac)|(multiple cpu faults)|(system.+state.+changed )|(\[timeout)|(PRM\|1\|D)|(kpr)|(kdp)|(\|lc)|(penalty))" /e /r /s</v>
      </c>
      <c r="AG187" s="1" t="str">
        <f t="shared" si="54"/>
        <v>NW</v>
      </c>
      <c r="AH187" s="92" t="str">
        <f t="shared" si="55"/>
        <v>"%USERPROFILE%\Documents\GitHub\eaglep3\Utilities\RefineRTDCRunTimes.py" --tripid 833-06 --locoid 4009 --swversion DE.1.0.8.0 --startMP 204:972 --initTime 2016-12-06T17:12:27 --startdatetime 2016-12-06T17:21:31 --delay 2 --endMP 300:58933 --enddatetime 2016-12-06T17:36:05 --enforcementcount 0 &gt;&gt;C:\Users\stu\Documents\GitHub\eaglep3-reporting\EC\2016-12-06-refined-times.txt</v>
      </c>
      <c r="AI187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ID","value":"833-06"},{"id":16,"name":"Locomotive ID","value":"4009"},{"id":130,"name":"Impact","value":""},{"id":150,"name":"Time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602</v>
      </c>
      <c r="B188" s="7">
        <v>4010</v>
      </c>
      <c r="C188" s="22" t="s">
        <v>207</v>
      </c>
      <c r="D188" s="22" t="s">
        <v>786</v>
      </c>
      <c r="E188" s="13">
        <v>42710.734722222223</v>
      </c>
      <c r="F188" s="13">
        <v>42710.736539351848</v>
      </c>
      <c r="G188" s="7">
        <v>1</v>
      </c>
      <c r="H188" s="22" t="s">
        <v>800</v>
      </c>
      <c r="I188" s="13">
        <v>42710.747800925928</v>
      </c>
      <c r="J188" s="7">
        <v>0</v>
      </c>
      <c r="K188" s="109" t="str">
        <f t="shared" si="42"/>
        <v>4009/4010</v>
      </c>
      <c r="L188" s="22" t="str">
        <f>VLOOKUP(A188,'Trips&amp;Operators'!$C$1:$G$99999,5,FALSE)</f>
        <v>BRUDER RICHARD</v>
      </c>
      <c r="M188" s="6">
        <f t="shared" si="43"/>
        <v>1.1261574079981074E-2</v>
      </c>
      <c r="N188" s="7">
        <f t="shared" si="57"/>
        <v>16.216666675172746</v>
      </c>
      <c r="O188" s="7"/>
      <c r="P188" s="7"/>
      <c r="Q188" s="23"/>
      <c r="R188" s="23"/>
      <c r="S188" s="35">
        <f t="shared" si="58"/>
        <v>1</v>
      </c>
      <c r="T188" s="50" t="str">
        <f t="shared" si="44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16:38:00-700',mode:absolute,to:'2016-12-06 18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8" s="52" t="str">
        <f t="shared" si="46"/>
        <v>N</v>
      </c>
      <c r="X188" s="177">
        <f t="shared" si="47"/>
        <v>1</v>
      </c>
      <c r="Y188" s="67">
        <f t="shared" si="48"/>
        <v>5.8611000000000004</v>
      </c>
      <c r="Z188" s="67">
        <f t="shared" si="49"/>
        <v>6.8699999999999997E-2</v>
      </c>
      <c r="AA188" s="67">
        <f t="shared" si="50"/>
        <v>5.7924000000000007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1"/>
        <v>0834-06</v>
      </c>
      <c r="AE188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88" s="88" t="str">
        <f t="shared" si="53"/>
        <v>"C:\Program Files (x86)\AstroGrep\AstroGrep.exe" /spath="%USERPROFILE%\AppData\Local\Temp\OnboardLogs" /stypes="app*4010*20161207*" /stext=" 00:.+((SYSTEM_STATE.+slice.+state.+changed )|(ment ac)|(multiple cpu faults)|(system.+state.+changed )|(\[timeout)|(PRM\|1\|D)|(kpr)|(kdp)|(\|lc)|(penalty))" /e /r /s</v>
      </c>
      <c r="AG188" s="1" t="str">
        <f t="shared" si="54"/>
        <v>NW</v>
      </c>
      <c r="AH188" s="92" t="str">
        <f t="shared" si="55"/>
        <v>"%USERPROFILE%\Documents\GitHub\eaglep3\Utilities\RefineRTDCRunTimes.py" --tripid 834-06 --locoid 4010 --swversion DE.1.0.8.0 --startMP 300:58611 --initTime 2016-12-06T17:38:00 --startdatetime 2016-12-06T17:40:37 --delay 1 --endMP 204:687 --enddatetime 2016-12-06T17:56:50 --enforcementcount 0 &gt;&gt;C:\Users\stu\Documents\GitHub\eaglep3-reporting\EC\2016-12-06-refined-times.txt</v>
      </c>
      <c r="AI188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{"issue":{"subject":"","project_id":79,"tracker_id":40,"status_id":1,"priority_id":2,"assigned_to_id":23,"start_date":"2016-12-06","description":"","custom_fields":[{"id":1,"name":"Subdivision","value":"NW"},{"id":4,"name":"Milepost","value":"0.0687"},{"id":17,"name":"Train ID","value":"834-06"},{"id":16,"name":"Locomotive ID","value":"4010"},{"id":130,"name":"Impact","value":""},{"id":150,"name":"Time of Event (Mountain Time)","value":"17:56:50"},{"id":151,"name":"Denver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598</v>
      </c>
      <c r="B189" s="7">
        <v>4022</v>
      </c>
      <c r="C189" s="22" t="s">
        <v>207</v>
      </c>
      <c r="D189" s="22" t="s">
        <v>798</v>
      </c>
      <c r="E189" s="13">
        <v>42710.727824074071</v>
      </c>
      <c r="F189" s="13">
        <v>42710.744502314818</v>
      </c>
      <c r="G189" s="7">
        <v>1</v>
      </c>
      <c r="H189" s="22" t="s">
        <v>349</v>
      </c>
      <c r="I189" s="13">
        <v>42710.753287037034</v>
      </c>
      <c r="J189" s="7">
        <v>0</v>
      </c>
      <c r="K189" s="109" t="str">
        <f t="shared" si="42"/>
        <v>4021/4022</v>
      </c>
      <c r="L189" s="22" t="str">
        <f>VLOOKUP(A189,'Trips&amp;Operators'!$C$1:$G$99999,5,FALSE)</f>
        <v>STAMBAUGH JAMES</v>
      </c>
      <c r="M189" s="6">
        <f t="shared" si="43"/>
        <v>8.7847222166601568E-3</v>
      </c>
      <c r="N189" s="7">
        <f t="shared" si="57"/>
        <v>12.649999991990626</v>
      </c>
      <c r="O189" s="7"/>
      <c r="P189" s="7"/>
      <c r="Q189" s="23"/>
      <c r="R189" s="23"/>
      <c r="S189" s="35">
        <f t="shared" si="58"/>
        <v>1</v>
      </c>
      <c r="T189" s="50" t="str">
        <f t="shared" si="44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16:28:04-700',mode:absolute,to:'2016-12-06 19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9" s="52" t="str">
        <f t="shared" si="46"/>
        <v>N</v>
      </c>
      <c r="X189" s="177">
        <f t="shared" si="47"/>
        <v>1</v>
      </c>
      <c r="Y189" s="67">
        <f t="shared" si="48"/>
        <v>9.8100000000000007E-2</v>
      </c>
      <c r="Z189" s="67">
        <f t="shared" si="49"/>
        <v>5.8943000000000003</v>
      </c>
      <c r="AA189" s="67">
        <f t="shared" si="50"/>
        <v>5.7962000000000007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1"/>
        <v>0835-06</v>
      </c>
      <c r="AE189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89" s="88" t="str">
        <f t="shared" si="53"/>
        <v>"C:\Program Files (x86)\AstroGrep\AstroGrep.exe" /spath="%USERPROFILE%\AppData\Local\Temp\OnboardLogs" /stypes="app*4022*20161207*" /stext=" 01:.+((SYSTEM_STATE.+slice.+state.+changed )|(ment ac)|(multiple cpu faults)|(system.+state.+changed )|(\[timeout)|(PRM\|1\|D)|(kpr)|(kdp)|(\|lc)|(penalty))" /e /r /s</v>
      </c>
      <c r="AG189" s="1" t="str">
        <f t="shared" si="54"/>
        <v>NW</v>
      </c>
      <c r="AH189" s="92" t="str">
        <f t="shared" si="55"/>
        <v>"%USERPROFILE%\Documents\GitHub\eaglep3\Utilities\RefineRTDCRunTimes.py" --tripid 835-06 --locoid 4022 --swversion DE.1.0.8.0 --startMP 204:981 --initTime 2016-12-06T17:28:04 --startdatetime 2016-12-06T17:52:05 --delay 1 --endMP 300:58943 --enddatetime 2016-12-06T18:04:44 --enforcementcount 0 &gt;&gt;C:\Users\stu\Documents\GitHub\eaglep3-reporting\EC\2016-12-06-refined-times.txt</v>
      </c>
      <c r="AI189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{"issue":{"subject":"","project_id":79,"tracker_id":40,"status_id":1,"priority_id":2,"assigned_to_id":23,"start_date":"2016-12-06","description":"","custom_fields":[{"id":1,"name":"Subdivision","value":"NW"},{"id":4,"name":"Milepost","value":"5.8943"},{"id":17,"name":"Train ID","value":"835-06"},{"id":16,"name":"Locomotive ID","value":"4022"},{"id":130,"name":"Impact","value":""},{"id":150,"name":"Time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609</v>
      </c>
      <c r="B190" s="7">
        <v>4021</v>
      </c>
      <c r="C190" s="22" t="s">
        <v>207</v>
      </c>
      <c r="D190" s="22" t="s">
        <v>351</v>
      </c>
      <c r="E190" s="13">
        <v>42710.754340277781</v>
      </c>
      <c r="F190" s="13">
        <v>42710.756018518521</v>
      </c>
      <c r="G190" s="7">
        <v>1</v>
      </c>
      <c r="H190" s="22" t="s">
        <v>353</v>
      </c>
      <c r="I190" s="13">
        <v>42710.767858796295</v>
      </c>
      <c r="J190" s="7">
        <v>0</v>
      </c>
      <c r="K190" s="109" t="str">
        <f t="shared" si="42"/>
        <v>4021/4022</v>
      </c>
      <c r="L190" s="22" t="str">
        <f>VLOOKUP(A190,'Trips&amp;Operators'!$C$1:$G$99999,5,FALSE)</f>
        <v>STAMBAUGH JAMES</v>
      </c>
      <c r="M190" s="6">
        <f t="shared" si="43"/>
        <v>1.1840277773444541E-2</v>
      </c>
      <c r="N190" s="7">
        <f t="shared" si="57"/>
        <v>17.049999993760139</v>
      </c>
      <c r="O190" s="7"/>
      <c r="P190" s="7"/>
      <c r="Q190" s="23"/>
      <c r="R190" s="23"/>
      <c r="S190" s="35">
        <f t="shared" si="58"/>
        <v>1</v>
      </c>
      <c r="T190" s="50" t="str">
        <f t="shared" si="44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17:06:15-700',mode:absolute,to:'2016-12-06 19:25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0" s="52" t="str">
        <f t="shared" si="46"/>
        <v>N</v>
      </c>
      <c r="X190" s="177">
        <f t="shared" si="47"/>
        <v>1</v>
      </c>
      <c r="Y190" s="67">
        <f t="shared" si="48"/>
        <v>5.8624000000000001</v>
      </c>
      <c r="Z190" s="67">
        <f t="shared" si="49"/>
        <v>6.8000000000000005E-2</v>
      </c>
      <c r="AA190" s="67">
        <f t="shared" si="50"/>
        <v>5.7944000000000004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1"/>
        <v>0836-06</v>
      </c>
      <c r="AE190" s="91" t="str">
        <f t="shared" si="52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190" s="88" t="str">
        <f t="shared" si="53"/>
        <v>"C:\Program Files (x86)\AstroGrep\AstroGrep.exe" /spath="%USERPROFILE%\AppData\Local\Temp\OnboardLogs" /stypes="app*4021*20161207*" /stext=" 01:.+((SYSTEM_STATE.+slice.+state.+changed )|(ment ac)|(multiple cpu faults)|(system.+state.+changed )|(\[timeout)|(PRM\|1\|D)|(kpr)|(kdp)|(\|lc)|(penalty))" /e /r /s</v>
      </c>
      <c r="AG190" s="1" t="str">
        <f t="shared" si="54"/>
        <v>NW</v>
      </c>
      <c r="AH190" s="92" t="str">
        <f t="shared" si="55"/>
        <v>"%USERPROFILE%\Documents\GitHub\eaglep3\Utilities\RefineRTDCRunTimes.py" --tripid 836-06 --locoid 4021 --swversion DE.1.0.8.0 --startMP 300:58624 --initTime 2016-12-06T18:06:15 --startdatetime 2016-12-06T18:08:40 --delay 1 --endMP 204:680 --enddatetime 2016-12-06T18:25:43 --enforcementcount 0 &gt;&gt;C:\Users\stu\Documents\GitHub\eaglep3-reporting\EC\2016-12-06-refined-times.txt</v>
      </c>
      <c r="AI190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{"issue":{"subject":"","project_id":79,"tracker_id":40,"status_id":1,"priority_id":2,"assigned_to_id":23,"start_date":"2016-12-06","description":"","custom_fields":[{"id":1,"name":"Subdivision","value":"NW"},{"id":4,"name":"Milepost","value":"0.068"},{"id":17,"name":"Train ID","value":"836-06"},{"id":16,"name":"Locomotive ID","value":"4021"},{"id":130,"name":"Impact","value":""},{"id":150,"name":"Time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612</v>
      </c>
      <c r="B191" s="7">
        <v>4009</v>
      </c>
      <c r="C191" s="22" t="s">
        <v>207</v>
      </c>
      <c r="D191" s="22" t="s">
        <v>408</v>
      </c>
      <c r="E191" s="13">
        <v>42710.756516203706</v>
      </c>
      <c r="F191" s="13">
        <v>42710.764768518522</v>
      </c>
      <c r="G191" s="7">
        <v>1</v>
      </c>
      <c r="H191" s="22" t="s">
        <v>414</v>
      </c>
      <c r="I191" s="13">
        <v>42710.774351851855</v>
      </c>
      <c r="J191" s="7">
        <v>0</v>
      </c>
      <c r="K191" s="109" t="str">
        <f t="shared" si="42"/>
        <v>4009/4010</v>
      </c>
      <c r="L191" s="22" t="str">
        <f>VLOOKUP(A191,'Trips&amp;Operators'!$C$1:$G$99999,5,FALSE)</f>
        <v>BRUDER RICHARD</v>
      </c>
      <c r="M191" s="6">
        <f t="shared" si="43"/>
        <v>9.5833333325572312E-3</v>
      </c>
      <c r="N191" s="7">
        <f t="shared" si="57"/>
        <v>13.799999998882413</v>
      </c>
      <c r="O191" s="7"/>
      <c r="P191" s="7"/>
      <c r="Q191" s="23"/>
      <c r="R191" s="23"/>
      <c r="S191" s="35">
        <f t="shared" si="58"/>
        <v>1</v>
      </c>
      <c r="T191" s="50" t="str">
        <f t="shared" si="44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17:09:23-700',mode:absolute,to:'2016-12-06 19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1" s="52" t="str">
        <f t="shared" si="46"/>
        <v>N</v>
      </c>
      <c r="X191" s="177">
        <f t="shared" si="47"/>
        <v>1</v>
      </c>
      <c r="Y191" s="67">
        <f t="shared" si="48"/>
        <v>9.6199999999999994E-2</v>
      </c>
      <c r="Z191" s="67">
        <f t="shared" si="49"/>
        <v>5.8929</v>
      </c>
      <c r="AA191" s="67">
        <f t="shared" si="50"/>
        <v>5.7967000000000004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1"/>
        <v>0837-06</v>
      </c>
      <c r="AE191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1" s="88" t="str">
        <f t="shared" si="53"/>
        <v>"C:\Program Files (x86)\AstroGrep\AstroGrep.exe" /spath="%USERPROFILE%\AppData\Local\Temp\OnboardLogs" /stypes="app*4009*20161207*" /stext=" 01:.+((SYSTEM_STATE.+slice.+state.+changed )|(ment ac)|(multiple cpu faults)|(system.+state.+changed )|(\[timeout)|(PRM\|1\|D)|(kpr)|(kdp)|(\|lc)|(penalty))" /e /r /s</v>
      </c>
      <c r="AG191" s="1" t="str">
        <f t="shared" si="54"/>
        <v>NW</v>
      </c>
      <c r="AH191" s="92" t="str">
        <f t="shared" si="55"/>
        <v>"%USERPROFILE%\Documents\GitHub\eaglep3\Utilities\RefineRTDCRunTimes.py" --tripid 837-06 --locoid 4009 --swversion DE.1.0.8.0 --startMP 204:962 --initTime 2016-12-06T18:09:23 --startdatetime 2016-12-06T18:21:16 --delay 1 --endMP 300:58929 --enddatetime 2016-12-06T18:35:04 --enforcementcount 0 &gt;&gt;C:\Users\stu\Documents\GitHub\eaglep3-reporting\EC\2016-12-06-refined-times.txt</v>
      </c>
      <c r="AI191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ID","value":"837-06"},{"id":16,"name":"Locomotive ID","value":"4009"},{"id":130,"name":"Impact","value":""},{"id":150,"name":"Time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615</v>
      </c>
      <c r="B192" s="7">
        <v>4010</v>
      </c>
      <c r="C192" s="22" t="s">
        <v>207</v>
      </c>
      <c r="D192" s="22" t="s">
        <v>314</v>
      </c>
      <c r="E192" s="13">
        <v>42710.775613425925</v>
      </c>
      <c r="F192" s="13">
        <v>42710.777499999997</v>
      </c>
      <c r="G192" s="7">
        <v>1</v>
      </c>
      <c r="H192" s="22" t="s">
        <v>335</v>
      </c>
      <c r="I192" s="13">
        <v>42710.789918981478</v>
      </c>
      <c r="J192" s="7">
        <v>0</v>
      </c>
      <c r="K192" s="109" t="str">
        <f t="shared" si="42"/>
        <v>4009/4010</v>
      </c>
      <c r="L192" s="22" t="str">
        <f>VLOOKUP(A192,'Trips&amp;Operators'!$C$1:$G$99999,5,FALSE)</f>
        <v>BRUDER RICHARD</v>
      </c>
      <c r="M192" s="6">
        <f t="shared" si="43"/>
        <v>1.2418981481459923E-2</v>
      </c>
      <c r="N192" s="7">
        <f t="shared" si="57"/>
        <v>17.883333333302289</v>
      </c>
      <c r="O192" s="7"/>
      <c r="P192" s="7"/>
      <c r="Q192" s="23"/>
      <c r="R192" s="23"/>
      <c r="S192" s="35">
        <f t="shared" si="58"/>
        <v>1</v>
      </c>
      <c r="T192" s="50" t="str">
        <f t="shared" si="44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17:36:53-700',mode:absolute,to:'2016-12-06 19:57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2" s="52" t="str">
        <f t="shared" si="46"/>
        <v>N</v>
      </c>
      <c r="X192" s="177">
        <f t="shared" si="47"/>
        <v>1</v>
      </c>
      <c r="Y192" s="67">
        <f t="shared" si="48"/>
        <v>5.8619000000000003</v>
      </c>
      <c r="Z192" s="67">
        <f t="shared" si="49"/>
        <v>6.8900000000000003E-2</v>
      </c>
      <c r="AA192" s="67">
        <f t="shared" si="50"/>
        <v>5.7930000000000001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1"/>
        <v>0838-06</v>
      </c>
      <c r="AE192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2" s="88" t="str">
        <f t="shared" si="53"/>
        <v>"C:\Program Files (x86)\AstroGrep\AstroGrep.exe" /spath="%USERPROFILE%\AppData\Local\Temp\OnboardLogs" /stypes="app*4010*20161207*" /stext=" 01:.+((SYSTEM_STATE.+slice.+state.+changed )|(ment ac)|(multiple cpu faults)|(system.+state.+changed )|(\[timeout)|(PRM\|1\|D)|(kpr)|(kdp)|(\|lc)|(penalty))" /e /r /s</v>
      </c>
      <c r="AG192" s="1" t="str">
        <f t="shared" si="54"/>
        <v>NW</v>
      </c>
      <c r="AH192" s="92" t="str">
        <f t="shared" si="55"/>
        <v>"%USERPROFILE%\Documents\GitHub\eaglep3\Utilities\RefineRTDCRunTimes.py" --tripid 838-06 --locoid 4010 --swversion DE.1.0.8.0 --startMP 300:58619 --initTime 2016-12-06T18:36:53 --startdatetime 2016-12-06T18:39:36 --delay 1 --endMP 204:689 --enddatetime 2016-12-06T18:57:29 --enforcementcount 0 &gt;&gt;C:\Users\stu\Documents\GitHub\eaglep3-reporting\EC\2016-12-06-refined-times.txt</v>
      </c>
      <c r="AI192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ID","value":"838-06"},{"id":16,"name":"Locomotive ID","value":"4010"},{"id":130,"name":"Impact","value":""},{"id":150,"name":"Time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614</v>
      </c>
      <c r="B193" s="7">
        <v>4022</v>
      </c>
      <c r="C193" s="22" t="s">
        <v>207</v>
      </c>
      <c r="D193" s="22" t="s">
        <v>281</v>
      </c>
      <c r="E193" s="13">
        <v>42710.774861111109</v>
      </c>
      <c r="F193" s="13">
        <v>42710.785601851851</v>
      </c>
      <c r="G193" s="7">
        <v>2</v>
      </c>
      <c r="H193" s="22" t="s">
        <v>406</v>
      </c>
      <c r="I193" s="13">
        <v>42710.794525462959</v>
      </c>
      <c r="J193" s="7">
        <v>0</v>
      </c>
      <c r="K193" s="109" t="str">
        <f t="shared" si="42"/>
        <v>4021/4022</v>
      </c>
      <c r="L193" s="22" t="str">
        <f>VLOOKUP(A193,'Trips&amp;Operators'!$C$1:$G$99999,5,FALSE)</f>
        <v>STAMBAUGH JAMES</v>
      </c>
      <c r="M193" s="6">
        <f t="shared" si="43"/>
        <v>8.923611108912155E-3</v>
      </c>
      <c r="N193" s="7">
        <f t="shared" si="57"/>
        <v>12.849999996833503</v>
      </c>
      <c r="O193" s="7"/>
      <c r="P193" s="7"/>
      <c r="Q193" s="23"/>
      <c r="R193" s="23"/>
      <c r="S193" s="35">
        <f t="shared" si="58"/>
        <v>1</v>
      </c>
      <c r="T193" s="50" t="str">
        <f t="shared" si="44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17:35:48-700',mode:absolute,to:'2016-12-06 20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3" s="52" t="str">
        <f t="shared" si="46"/>
        <v>N</v>
      </c>
      <c r="X193" s="177">
        <f t="shared" si="47"/>
        <v>1</v>
      </c>
      <c r="Y193" s="67">
        <f t="shared" si="48"/>
        <v>9.7100000000000006E-2</v>
      </c>
      <c r="Z193" s="67">
        <f t="shared" si="49"/>
        <v>5.8924000000000003</v>
      </c>
      <c r="AA193" s="67">
        <f t="shared" si="50"/>
        <v>5.7953000000000001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1"/>
        <v>0839-06</v>
      </c>
      <c r="AE193" s="91" t="str">
        <f t="shared" si="52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193" s="88" t="str">
        <f t="shared" si="53"/>
        <v>"C:\Program Files (x86)\AstroGrep\AstroGrep.exe" /spath="%USERPROFILE%\AppData\Local\Temp\OnboardLogs" /stypes="app*4022*20161207*" /stext=" 02:.+((SYSTEM_STATE.+slice.+state.+changed )|(ment ac)|(multiple cpu faults)|(system.+state.+changed )|(\[timeout)|(PRM\|1\|D)|(kpr)|(kdp)|(\|lc)|(penalty))" /e /r /s</v>
      </c>
      <c r="AG193" s="1" t="str">
        <f t="shared" si="54"/>
        <v>NW</v>
      </c>
      <c r="AH193" s="92" t="str">
        <f t="shared" si="55"/>
        <v>"%USERPROFILE%\Documents\GitHub\eaglep3\Utilities\RefineRTDCRunTimes.py" --tripid 839-06 --locoid 4022 --swversion DE.1.0.8.0 --startMP 204:971 --initTime 2016-12-06T18:35:48 --startdatetime 2016-12-06T18:51:16 --delay 2 --endMP 300:58924 --enddatetime 2016-12-06T19:04:07 --enforcementcount 0 &gt;&gt;C:\Users\stu\Documents\GitHub\eaglep3-reporting\EC\2016-12-06-refined-times.txt</v>
      </c>
      <c r="AI193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{"issue":{"subject":"","project_id":79,"tracker_id":40,"status_id":1,"priority_id":2,"assigned_to_id":23,"start_date":"2016-12-06","description":"","custom_fields":[{"id":1,"name":"Subdivision","value":"NW"},{"id":4,"name":"Milepost","value":"5.8924"},{"id":17,"name":"Train ID","value":"839-06"},{"id":16,"name":"Locomotive ID","value":"4022"},{"id":130,"name":"Impact","value":""},{"id":150,"name":"Time of Event (Mountain Time)","value":"19:04:07"},{"id":151,"name":"Denver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450</v>
      </c>
      <c r="B194" s="7">
        <v>4010</v>
      </c>
      <c r="C194" s="22" t="s">
        <v>207</v>
      </c>
      <c r="D194" s="22" t="s">
        <v>418</v>
      </c>
      <c r="E194" s="13">
        <v>42710.817615740743</v>
      </c>
      <c r="F194" s="13">
        <v>42710.819201388891</v>
      </c>
      <c r="G194" s="7">
        <v>1</v>
      </c>
      <c r="H194" s="22" t="s">
        <v>405</v>
      </c>
      <c r="I194" s="13">
        <v>42710.830555555556</v>
      </c>
      <c r="J194" s="7">
        <v>0</v>
      </c>
      <c r="K194" s="109" t="str">
        <f t="shared" si="42"/>
        <v>4009/4010</v>
      </c>
      <c r="L194" s="22" t="str">
        <f>VLOOKUP(A194,'Trips&amp;Operators'!$C$1:$G$99999,5,FALSE)</f>
        <v>BRUDER RICHARD</v>
      </c>
      <c r="M194" s="6">
        <f t="shared" si="43"/>
        <v>1.1354166665114462E-2</v>
      </c>
      <c r="N194" s="7">
        <f t="shared" ref="N194:N226" si="59">24*60*SUM($M194:$M194)</f>
        <v>16.349999997764826</v>
      </c>
      <c r="O194" s="7"/>
      <c r="P194" s="7"/>
      <c r="Q194" s="23"/>
      <c r="R194" s="23"/>
      <c r="S194" s="35">
        <f t="shared" ref="S194:S226" si="60">SUM(U194:U194)/IF(AG194="EC",12,1)</f>
        <v>1</v>
      </c>
      <c r="T194" s="50" t="str">
        <f t="shared" si="44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46"/>
        <v>N</v>
      </c>
      <c r="X194" s="177">
        <f t="shared" si="47"/>
        <v>1</v>
      </c>
      <c r="Y194" s="67">
        <f t="shared" si="48"/>
        <v>5.8613</v>
      </c>
      <c r="Z194" s="67">
        <f t="shared" si="49"/>
        <v>6.8199999999999997E-2</v>
      </c>
      <c r="AA194" s="67">
        <f t="shared" si="50"/>
        <v>5.7930999999999999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1"/>
        <v>0840-06</v>
      </c>
      <c r="AE194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4" s="88" t="str">
        <f t="shared" si="53"/>
        <v>"C:\Program Files (x86)\AstroGrep\AstroGrep.exe" /spath="%USERPROFILE%\AppData\Local\Temp\OnboardLogs" /stypes="app*4010*20161207*" /stext=" 02:.+((SYSTEM_STATE.+slice.+state.+changed )|(ment ac)|(multiple cpu faults)|(system.+state.+changed )|(\[timeout)|(PRM\|1\|D)|(kpr)|(kdp)|(\|lc)|(penalty))" /e /r /s</v>
      </c>
      <c r="AG194" s="1" t="str">
        <f t="shared" si="54"/>
        <v>NW</v>
      </c>
      <c r="AH194" s="92" t="str">
        <f t="shared" si="55"/>
        <v>"%USERPROFILE%\Documents\GitHub\eaglep3\Utilities\RefineRTDCRunTimes.py" --tripid 840-06 --locoid 4010 --swversion DE.1.0.8.0 --startMP 300:58613 --initTime 2016-12-06T19:37:22 --startdatetime 2016-12-06T19:39:39 --delay 1 --endMP 204:682 --enddatetime 2016-12-06T19:56:00 --enforcementcount 0 &gt;&gt;C:\Users\stu\Documents\GitHub\eaglep3-reporting\EC\2016-12-06-refined-times.txt</v>
      </c>
      <c r="AI194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{"issue":{"subject":"","project_id":79,"tracker_id":40,"status_id":1,"priority_id":2,"assigned_to_id":23,"start_date":"2016-12-06","description":"","custom_fields":[{"id":1,"name":"Subdivision","value":"NW"},{"id":4,"name":"Milepost","value":"0.0682"},{"id":17,"name":"Train ID","value":"840-06"},{"id":16,"name":"Locomotive ID","value":"4010"},{"id":130,"name":"Impact","value":""},{"id":150,"name":"Time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621</v>
      </c>
      <c r="B195" s="7">
        <v>4009</v>
      </c>
      <c r="C195" s="22" t="s">
        <v>207</v>
      </c>
      <c r="D195" s="22" t="s">
        <v>417</v>
      </c>
      <c r="E195" s="13">
        <v>42710.800185185188</v>
      </c>
      <c r="F195" s="13">
        <v>42710.806469907409</v>
      </c>
      <c r="G195" s="7">
        <v>1</v>
      </c>
      <c r="H195" s="22" t="s">
        <v>792</v>
      </c>
      <c r="I195" s="13">
        <v>42710.816307870373</v>
      </c>
      <c r="J195" s="7">
        <v>0</v>
      </c>
      <c r="K195" s="109" t="str">
        <f t="shared" si="42"/>
        <v>4009/4010</v>
      </c>
      <c r="L195" s="22" t="str">
        <f>VLOOKUP(A195,'Trips&amp;Operators'!$C$1:$G$99999,5,FALSE)</f>
        <v>BRUDER RICHARD</v>
      </c>
      <c r="M195" s="6">
        <f t="shared" si="43"/>
        <v>9.8379629635019228E-3</v>
      </c>
      <c r="N195" s="7">
        <f t="shared" si="59"/>
        <v>14.166666667442769</v>
      </c>
      <c r="O195" s="7"/>
      <c r="P195" s="7"/>
      <c r="Q195" s="23"/>
      <c r="R195" s="23"/>
      <c r="S195" s="35">
        <f t="shared" si="60"/>
        <v>1</v>
      </c>
      <c r="T195" s="50" t="str">
        <f t="shared" si="44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18:12:16-700',mode:absolute,to:'2016-12-06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5" s="52" t="str">
        <f t="shared" si="46"/>
        <v>N</v>
      </c>
      <c r="X195" s="177">
        <f t="shared" si="47"/>
        <v>1</v>
      </c>
      <c r="Y195" s="67">
        <f t="shared" si="48"/>
        <v>9.6699999999999994E-2</v>
      </c>
      <c r="Z195" s="67">
        <f t="shared" si="49"/>
        <v>5.8930999999999996</v>
      </c>
      <c r="AA195" s="67">
        <f t="shared" si="50"/>
        <v>5.7963999999999993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1"/>
        <v>0841-06</v>
      </c>
      <c r="AE195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5" s="88" t="str">
        <f t="shared" si="53"/>
        <v>"C:\Program Files (x86)\AstroGrep\AstroGrep.exe" /spath="%USERPROFILE%\AppData\Local\Temp\OnboardLogs" /stypes="app*4009*20161207*" /stext=" 02:.+((SYSTEM_STATE.+slice.+state.+changed )|(ment ac)|(multiple cpu faults)|(system.+state.+changed )|(\[timeout)|(PRM\|1\|D)|(kpr)|(kdp)|(\|lc)|(penalty))" /e /r /s</v>
      </c>
      <c r="AG195" s="1" t="str">
        <f t="shared" si="54"/>
        <v>NW</v>
      </c>
      <c r="AH195" s="92" t="str">
        <f t="shared" si="55"/>
        <v>"%USERPROFILE%\Documents\GitHub\eaglep3\Utilities\RefineRTDCRunTimes.py" --tripid 841-06 --locoid 4009 --swversion DE.1.0.8.0 --startMP 204:967 --initTime 2016-12-06T19:12:16 --startdatetime 2016-12-06T19:21:19 --delay 1 --endMP 300:58931 --enddatetime 2016-12-06T19:35:29 --enforcementcount 0 &gt;&gt;C:\Users\stu\Documents\GitHub\eaglep3-reporting\EC\2016-12-06-refined-times.txt</v>
      </c>
      <c r="AI195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{"issue":{"subject":"","project_id":79,"tracker_id":40,"status_id":1,"priority_id":2,"assigned_to_id":23,"start_date":"2016-12-06","description":"","custom_fields":[{"id":1,"name":"Subdivision","value":"NW"},{"id":4,"name":"Milepost","value":"5.8931"},{"id":17,"name":"Train ID","value":"841-06"},{"id":16,"name":"Locomotive ID","value":"4009"},{"id":130,"name":"Impact","value":""},{"id":150,"name":"Time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630</v>
      </c>
      <c r="B196" s="7">
        <v>4010</v>
      </c>
      <c r="C196" s="22" t="s">
        <v>207</v>
      </c>
      <c r="D196" s="22" t="s">
        <v>778</v>
      </c>
      <c r="E196" s="13">
        <v>42710.859525462962</v>
      </c>
      <c r="F196" s="13">
        <v>42710.86136574074</v>
      </c>
      <c r="G196" s="7">
        <v>1</v>
      </c>
      <c r="H196" s="22" t="s">
        <v>335</v>
      </c>
      <c r="I196" s="13">
        <v>42710.872002314813</v>
      </c>
      <c r="J196" s="7">
        <v>0</v>
      </c>
      <c r="K196" s="109" t="str">
        <f t="shared" si="42"/>
        <v>4009/4010</v>
      </c>
      <c r="L196" s="22" t="str">
        <f>VLOOKUP(A196,'Trips&amp;Operators'!$C$1:$G$99999,5,FALSE)</f>
        <v>BRUDER RICHARD</v>
      </c>
      <c r="M196" s="6">
        <f t="shared" si="43"/>
        <v>1.063657407212304E-2</v>
      </c>
      <c r="N196" s="7">
        <f t="shared" si="59"/>
        <v>15.316666663857177</v>
      </c>
      <c r="O196" s="7"/>
      <c r="P196" s="7"/>
      <c r="Q196" s="23"/>
      <c r="R196" s="23"/>
      <c r="S196" s="35">
        <f t="shared" si="60"/>
        <v>1</v>
      </c>
      <c r="T196" s="50" t="str">
        <f t="shared" si="44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19:37:43-700',mode:absolute,to:'2016-12-06 21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6" s="52" t="str">
        <f t="shared" si="46"/>
        <v>N</v>
      </c>
      <c r="X196" s="177">
        <f t="shared" si="47"/>
        <v>1</v>
      </c>
      <c r="Y196" s="67">
        <f t="shared" si="48"/>
        <v>5.8609</v>
      </c>
      <c r="Z196" s="67">
        <f t="shared" si="49"/>
        <v>6.8900000000000003E-2</v>
      </c>
      <c r="AA196" s="67">
        <f t="shared" si="50"/>
        <v>5.7919999999999998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1"/>
        <v>0842-06</v>
      </c>
      <c r="AE196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6" s="88" t="str">
        <f t="shared" si="53"/>
        <v>"C:\Program Files (x86)\AstroGrep\AstroGrep.exe" /spath="%USERPROFILE%\AppData\Local\Temp\OnboardLogs" /stypes="app*4010*20161207*" /stext=" 03:.+((SYSTEM_STATE.+slice.+state.+changed )|(ment ac)|(multiple cpu faults)|(system.+state.+changed )|(\[timeout)|(PRM\|1\|D)|(kpr)|(kdp)|(\|lc)|(penalty))" /e /r /s</v>
      </c>
      <c r="AG196" s="1" t="str">
        <f t="shared" si="54"/>
        <v>NW</v>
      </c>
      <c r="AH196" s="92" t="str">
        <f t="shared" si="55"/>
        <v>"%USERPROFILE%\Documents\GitHub\eaglep3\Utilities\RefineRTDCRunTimes.py" --tripid 842-06 --locoid 4010 --swversion DE.1.0.8.0 --startMP 300:58609 --initTime 2016-12-06T20:37:43 --startdatetime 2016-12-06T20:40:22 --delay 1 --endMP 204:689 --enddatetime 2016-12-06T20:55:41 --enforcementcount 0 &gt;&gt;C:\Users\stu\Documents\GitHub\eaglep3-reporting\EC\2016-12-06-refined-times.txt</v>
      </c>
      <c r="AI196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{"issue":{"subject":"","project_id":79,"tracker_id":40,"status_id":1,"priority_id":2,"assigned_to_id":23,"start_date":"2016-12-06","description":"","custom_fields":[{"id":1,"name":"Subdivision","value":"NW"},{"id":4,"name":"Milepost","value":"0.0689"},{"id":17,"name":"Train ID","value":"842-06"},{"id":16,"name":"Locomotive ID","value":"4010"},{"id":130,"name":"Impact","value":""},{"id":150,"name":"Time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626</v>
      </c>
      <c r="B197" s="7">
        <v>4009</v>
      </c>
      <c r="C197" s="22" t="s">
        <v>207</v>
      </c>
      <c r="D197" s="22" t="s">
        <v>404</v>
      </c>
      <c r="E197" s="13">
        <v>42710.842187499999</v>
      </c>
      <c r="F197" s="13">
        <v>42710.848252314812</v>
      </c>
      <c r="G197" s="7">
        <v>1</v>
      </c>
      <c r="H197" s="22" t="s">
        <v>414</v>
      </c>
      <c r="I197" s="13">
        <v>42710.857997685183</v>
      </c>
      <c r="J197" s="7">
        <v>0</v>
      </c>
      <c r="K197" s="109" t="str">
        <f t="shared" si="42"/>
        <v>4009/4010</v>
      </c>
      <c r="L197" s="22" t="str">
        <f>VLOOKUP(A197,'Trips&amp;Operators'!$C$1:$G$99999,5,FALSE)</f>
        <v>BRUDER RICHARD</v>
      </c>
      <c r="M197" s="6">
        <f t="shared" si="43"/>
        <v>9.7453703710925765E-3</v>
      </c>
      <c r="N197" s="7">
        <f t="shared" si="59"/>
        <v>14.03333333437331</v>
      </c>
      <c r="O197" s="7"/>
      <c r="P197" s="7"/>
      <c r="Q197" s="23"/>
      <c r="R197" s="23"/>
      <c r="S197" s="35">
        <f t="shared" si="60"/>
        <v>1</v>
      </c>
      <c r="T197" s="50" t="str">
        <f t="shared" si="44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19:12:45-700',mode:absolute,to:'2016-12-06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 t="shared" si="46"/>
        <v>N</v>
      </c>
      <c r="X197" s="177">
        <f t="shared" si="47"/>
        <v>1</v>
      </c>
      <c r="Y197" s="67">
        <f t="shared" si="48"/>
        <v>9.7799999999999998E-2</v>
      </c>
      <c r="Z197" s="67">
        <f t="shared" si="49"/>
        <v>5.8929</v>
      </c>
      <c r="AA197" s="67">
        <f t="shared" si="50"/>
        <v>5.7950999999999997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1"/>
        <v>0843-06</v>
      </c>
      <c r="AE197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7" s="88" t="str">
        <f t="shared" si="53"/>
        <v>"C:\Program Files (x86)\AstroGrep\AstroGrep.exe" /spath="%USERPROFILE%\AppData\Local\Temp\OnboardLogs" /stypes="app*4009*20161207*" /stext=" 03:.+((SYSTEM_STATE.+slice.+state.+changed )|(ment ac)|(multiple cpu faults)|(system.+state.+changed )|(\[timeout)|(PRM\|1\|D)|(kpr)|(kdp)|(\|lc)|(penalty))" /e /r /s</v>
      </c>
      <c r="AG197" s="1" t="str">
        <f t="shared" si="54"/>
        <v>NW</v>
      </c>
      <c r="AH197" s="92" t="str">
        <f t="shared" si="55"/>
        <v>"%USERPROFILE%\Documents\GitHub\eaglep3\Utilities\RefineRTDCRunTimes.py" --tripid 843-06 --locoid 4009 --swversion DE.1.0.8.0 --startMP 204:978 --initTime 2016-12-06T20:12:45 --startdatetime 2016-12-06T20:21:29 --delay 1 --endMP 300:58929 --enddatetime 2016-12-06T20:35:31 --enforcementcount 0 &gt;&gt;C:\Users\stu\Documents\GitHub\eaglep3-reporting\EC\2016-12-06-refined-times.txt</v>
      </c>
      <c r="AI197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{"issue":{"subject":"","project_id":79,"tracker_id":40,"status_id":1,"priority_id":2,"assigned_to_id":23,"start_date":"2016-12-06","description":"","custom_fields":[{"id":1,"name":"Subdivision","value":"NW"},{"id":4,"name":"Milepost","value":"5.8929"},{"id":17,"name":"Train ID","value":"843-06"},{"id":16,"name":"Locomotive ID","value":"4009"},{"id":130,"name":"Impact","value":""},{"id":150,"name":"Time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452</v>
      </c>
      <c r="B198" s="7">
        <v>4010</v>
      </c>
      <c r="C198" s="22" t="s">
        <v>207</v>
      </c>
      <c r="D198" s="22" t="s">
        <v>801</v>
      </c>
      <c r="E198" s="13">
        <v>42710.899791666663</v>
      </c>
      <c r="F198" s="13">
        <v>42710.901574074072</v>
      </c>
      <c r="G198" s="7">
        <v>1</v>
      </c>
      <c r="H198" s="22" t="s">
        <v>802</v>
      </c>
      <c r="I198" s="13">
        <v>42710.912916666668</v>
      </c>
      <c r="J198" s="7">
        <v>0</v>
      </c>
      <c r="K198" s="109" t="str">
        <f t="shared" si="42"/>
        <v>4009/4010</v>
      </c>
      <c r="L198" s="22" t="str">
        <f>VLOOKUP(A198,'Trips&amp;Operators'!$C$1:$G$99999,5,FALSE)</f>
        <v>STAMBAUGH JAMES</v>
      </c>
      <c r="M198" s="6">
        <f t="shared" si="43"/>
        <v>1.1342592595610768E-2</v>
      </c>
      <c r="N198" s="7">
        <f t="shared" si="59"/>
        <v>16.333333337679505</v>
      </c>
      <c r="O198" s="7"/>
      <c r="P198" s="7"/>
      <c r="Q198" s="23"/>
      <c r="R198" s="23"/>
      <c r="S198" s="35">
        <f t="shared" si="60"/>
        <v>1</v>
      </c>
      <c r="T198" s="50" t="str">
        <f t="shared" si="44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8" s="52" t="str">
        <f t="shared" si="46"/>
        <v>N</v>
      </c>
      <c r="X198" s="177">
        <f t="shared" si="47"/>
        <v>1</v>
      </c>
      <c r="Y198" s="67">
        <f t="shared" si="48"/>
        <v>5.8630000000000004</v>
      </c>
      <c r="Z198" s="67">
        <f t="shared" si="49"/>
        <v>7.3999999999999996E-2</v>
      </c>
      <c r="AA198" s="67">
        <f t="shared" si="50"/>
        <v>5.7890000000000006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1"/>
        <v>0844-06</v>
      </c>
      <c r="AE198" s="91" t="str">
        <f t="shared" si="52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198" s="88" t="str">
        <f t="shared" si="53"/>
        <v>"C:\Program Files (x86)\AstroGrep\AstroGrep.exe" /spath="%USERPROFILE%\AppData\Local\Temp\OnboardLogs" /stypes="app*4010*20161207*" /stext=" 04:.+((SYSTEM_STATE.+slice.+state.+changed )|(ment ac)|(multiple cpu faults)|(system.+state.+changed )|(\[timeout)|(PRM\|1\|D)|(kpr)|(kdp)|(\|lc)|(penalty))" /e /r /s</v>
      </c>
      <c r="AG198" s="1" t="str">
        <f t="shared" si="54"/>
        <v>NW</v>
      </c>
      <c r="AH198" s="92" t="str">
        <f t="shared" si="55"/>
        <v>"%USERPROFILE%\Documents\GitHub\eaglep3\Utilities\RefineRTDCRunTimes.py" --tripid 844-06 --locoid 4010 --swversion DE.1.0.8.0 --startMP 300:58630 --initTime 2016-12-06T21:35:42 --startdatetime 2016-12-06T21:38:16 --delay 1 --endMP 204:740 --enddatetime 2016-12-06T21:54:36 --enforcementcount 0 &gt;&gt;C:\Users\stu\Documents\GitHub\eaglep3-reporting\EC\2016-12-06-refined-times.txt</v>
      </c>
      <c r="AI198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{"issue":{"subject":"","project_id":79,"tracker_id":40,"status_id":1,"priority_id":2,"assigned_to_id":23,"start_date":"2016-12-06","description":"","custom_fields":[{"id":1,"name":"Subdivision","value":"NW"},{"id":4,"name":"Milepost","value":"0.074"},{"id":17,"name":"Train ID","value":"844-06"},{"id":16,"name":"Locomotive ID","value":"4010"},{"id":130,"name":"Impact","value":""},{"id":150,"name":"Time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633</v>
      </c>
      <c r="B199" s="7">
        <v>4009</v>
      </c>
      <c r="C199" s="22" t="s">
        <v>207</v>
      </c>
      <c r="D199" s="22" t="s">
        <v>784</v>
      </c>
      <c r="E199" s="13">
        <v>42710.878865740742</v>
      </c>
      <c r="F199" s="13">
        <v>42710.889837962961</v>
      </c>
      <c r="G199" s="7">
        <v>2</v>
      </c>
      <c r="H199" s="22" t="s">
        <v>803</v>
      </c>
      <c r="I199" s="13">
        <v>42710.898796296293</v>
      </c>
      <c r="J199" s="7">
        <v>0</v>
      </c>
      <c r="K199" s="109" t="str">
        <f t="shared" si="42"/>
        <v>4009/4010</v>
      </c>
      <c r="L199" s="22" t="str">
        <f>VLOOKUP(A199,'Trips&amp;Operators'!$C$1:$G$99999,5,FALSE)</f>
        <v>STAMBAUGH JAMES</v>
      </c>
      <c r="M199" s="6">
        <f t="shared" si="43"/>
        <v>8.9583333319751546E-3</v>
      </c>
      <c r="N199" s="7">
        <f t="shared" si="59"/>
        <v>12.899999998044223</v>
      </c>
      <c r="O199" s="7"/>
      <c r="P199" s="7"/>
      <c r="Q199" s="23"/>
      <c r="R199" s="23"/>
      <c r="S199" s="35">
        <f t="shared" si="60"/>
        <v>1</v>
      </c>
      <c r="T199" s="50" t="str">
        <f t="shared" si="44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20:05:34-700',mode:absolute,to:'2016-12-06 22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9" s="52" t="str">
        <f t="shared" si="46"/>
        <v>N</v>
      </c>
      <c r="X199" s="177">
        <f t="shared" si="47"/>
        <v>1</v>
      </c>
      <c r="Y199" s="67">
        <f t="shared" si="48"/>
        <v>9.8299999999999998E-2</v>
      </c>
      <c r="Z199" s="67">
        <f t="shared" si="49"/>
        <v>5.8952</v>
      </c>
      <c r="AA199" s="67">
        <f t="shared" si="50"/>
        <v>5.7968999999999999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1"/>
        <v>0845-06</v>
      </c>
      <c r="AE199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199" s="88" t="str">
        <f t="shared" si="53"/>
        <v>"C:\Program Files (x86)\AstroGrep\AstroGrep.exe" /spath="%USERPROFILE%\AppData\Local\Temp\OnboardLogs" /stypes="app*4009*20161207*" /stext=" 04:.+((SYSTEM_STATE.+slice.+state.+changed )|(ment ac)|(multiple cpu faults)|(system.+state.+changed )|(\[timeout)|(PRM\|1\|D)|(kpr)|(kdp)|(\|lc)|(penalty))" /e /r /s</v>
      </c>
      <c r="AG199" s="1" t="str">
        <f t="shared" si="54"/>
        <v>NW</v>
      </c>
      <c r="AH199" s="92" t="str">
        <f t="shared" si="55"/>
        <v>"%USERPROFILE%\Documents\GitHub\eaglep3\Utilities\RefineRTDCRunTimes.py" --tripid 845-06 --locoid 4009 --swversion DE.1.0.8.0 --startMP 204:983 --initTime 2016-12-06T21:05:34 --startdatetime 2016-12-06T21:21:22 --delay 2 --endMP 300:58952 --enddatetime 2016-12-06T21:34:16 --enforcementcount 0 &gt;&gt;C:\Users\stu\Documents\GitHub\eaglep3-reporting\EC\2016-12-06-refined-times.txt</v>
      </c>
      <c r="AI199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{"issue":{"subject":"","project_id":79,"tracker_id":40,"status_id":1,"priority_id":2,"assigned_to_id":23,"start_date":"2016-12-06","description":"","custom_fields":[{"id":1,"name":"Subdivision","value":"NW"},{"id":4,"name":"Milepost","value":"5.8952"},{"id":17,"name":"Train ID","value":"845-06"},{"id":16,"name":"Locomotive ID","value":"4009"},{"id":130,"name":"Impact","value":""},{"id":150,"name":"Time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637</v>
      </c>
      <c r="B200" s="7">
        <v>4009</v>
      </c>
      <c r="C200" s="22" t="s">
        <v>207</v>
      </c>
      <c r="D200" s="22" t="s">
        <v>804</v>
      </c>
      <c r="E200" s="13">
        <v>42710.914282407408</v>
      </c>
      <c r="F200" s="13">
        <v>42710.931909722225</v>
      </c>
      <c r="G200" s="7">
        <v>1</v>
      </c>
      <c r="H200" s="22" t="s">
        <v>797</v>
      </c>
      <c r="I200" s="13">
        <v>42710.940532407411</v>
      </c>
      <c r="J200" s="7">
        <v>0</v>
      </c>
      <c r="K200" s="109" t="str">
        <f t="shared" si="42"/>
        <v>4009/4010</v>
      </c>
      <c r="L200" s="22" t="str">
        <f>VLOOKUP(A200,'Trips&amp;Operators'!$C$1:$G$99999,5,FALSE)</f>
        <v>STAMBAUGH JAMES</v>
      </c>
      <c r="M200" s="6">
        <f t="shared" si="43"/>
        <v>8.6226851854007691E-3</v>
      </c>
      <c r="N200" s="7">
        <f t="shared" si="59"/>
        <v>12.416666666977108</v>
      </c>
      <c r="O200" s="7"/>
      <c r="P200" s="7"/>
      <c r="Q200" s="23"/>
      <c r="R200" s="23"/>
      <c r="S200" s="35">
        <f t="shared" si="60"/>
        <v>1</v>
      </c>
      <c r="T200" s="50" t="str">
        <f t="shared" si="44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20:56:34-700',mode:absolute,to:'2016-12-06 23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0" s="52" t="str">
        <f t="shared" si="46"/>
        <v>N</v>
      </c>
      <c r="X200" s="177">
        <f t="shared" si="47"/>
        <v>2</v>
      </c>
      <c r="Y200" s="67">
        <f t="shared" si="48"/>
        <v>0.10199999999999999</v>
      </c>
      <c r="Z200" s="67">
        <f t="shared" si="49"/>
        <v>5.8933</v>
      </c>
      <c r="AA200" s="67">
        <f t="shared" si="50"/>
        <v>5.7912999999999997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1"/>
        <v>0847-06</v>
      </c>
      <c r="AE200" s="91" t="str">
        <f t="shared" si="52"/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AF200" s="88" t="str">
        <f t="shared" si="53"/>
        <v>"C:\Program Files (x86)\AstroGrep\AstroGrep.exe" /spath="%USERPROFILE%\AppData\Local\Temp\OnboardLogs" /stypes="app*4009*20161207*" /stext=" 05:.+((SYSTEM_STATE.+slice.+state.+changed )|(ment ac)|(multiple cpu faults)|(system.+state.+changed )|(\[timeout)|(PRM\|1\|D)|(kpr)|(kdp)|(\|lc)|(penalty))" /e /r /s</v>
      </c>
      <c r="AG200" s="1" t="str">
        <f t="shared" si="54"/>
        <v>NW</v>
      </c>
      <c r="AH200" s="92" t="str">
        <f t="shared" si="55"/>
        <v>"%USERPROFILE%\Documents\GitHub\eaglep3\Utilities\RefineRTDCRunTimes.py" --tripid 847-06 --locoid 4009 --swversion DE.1.0.8.0 --startMP 204:1020 --initTime 2016-12-06T21:56:34 --startdatetime 2016-12-06T22:21:57 --delay 1 --endMP 300:58933 --enddatetime 2016-12-06T22:34:22 --enforcementcount 0 &gt;&gt;C:\Users\stu\Documents\GitHub\eaglep3-reporting\EC\2016-12-06-refined-times.txt</v>
      </c>
      <c r="AI200" s="119" t="str">
        <f t="shared" si="56"/>
        <v>echo {"issue":{"subject":"","project_id":79,"tracker_id":40,"status_id":1,"priority_id":2,"assigned_to_id":23,"start_date":"2016-12-06","description":"","custom_fields":[{"id":1,"name":"Subdivision","value":"NW"},{"id":4,"name":"Milepost","value":"5.8933"},{"id":17,"name":"Train ID","value":"847-06"},{"id":16,"name":"Locomotive ID","value":"4009"},{"id":130,"name":"Impact","value":""},{"id":150,"name":"Time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449</v>
      </c>
      <c r="B201" s="7">
        <v>4014</v>
      </c>
      <c r="C201" s="22" t="s">
        <v>207</v>
      </c>
      <c r="D201" s="22" t="s">
        <v>732</v>
      </c>
      <c r="E201" s="13">
        <v>42710.780671296299</v>
      </c>
      <c r="F201" s="13">
        <v>25568.708333333332</v>
      </c>
      <c r="G201" s="7">
        <v>1</v>
      </c>
      <c r="H201" s="22" t="s">
        <v>733</v>
      </c>
      <c r="I201" s="13">
        <v>25568.708333333332</v>
      </c>
      <c r="J201" s="7">
        <v>0</v>
      </c>
      <c r="K201" s="109" t="str">
        <f t="shared" si="42"/>
        <v>4013/4014</v>
      </c>
      <c r="L201" s="22" t="str">
        <f>VLOOKUP(A201,'Trips&amp;Operators'!$C$1:$G$99999,5,FALSE)</f>
        <v>HOLCOMB KAMDEN</v>
      </c>
      <c r="M201" s="6">
        <f t="shared" si="43"/>
        <v>0</v>
      </c>
      <c r="N201" s="7">
        <f t="shared" si="59"/>
        <v>0</v>
      </c>
      <c r="O201" s="7"/>
      <c r="P201" s="7"/>
      <c r="Q201" s="23"/>
      <c r="R201" s="23"/>
      <c r="S201" s="35">
        <f t="shared" si="60"/>
        <v>1</v>
      </c>
      <c r="T201" s="50" t="str">
        <f t="shared" si="44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17:44:10-700',mode:absolute,to:'1969-12-31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1" s="52" t="str">
        <f t="shared" si="46"/>
        <v>Y</v>
      </c>
      <c r="X201" s="177">
        <f t="shared" si="47"/>
        <v>-544</v>
      </c>
      <c r="Y201" s="67">
        <f t="shared" si="48"/>
        <v>4.2000000000000003E-2</v>
      </c>
      <c r="Z201" s="67">
        <f t="shared" si="49"/>
        <v>2.3306</v>
      </c>
      <c r="AA201" s="67">
        <f t="shared" si="50"/>
        <v>2.2886000000000002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1"/>
        <v>0303-06</v>
      </c>
      <c r="AE201" s="91" t="str">
        <f t="shared" si="52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1" s="88" t="str">
        <f t="shared" si="53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01" s="1" t="str">
        <f t="shared" si="54"/>
        <v>Other</v>
      </c>
      <c r="AH201" s="92" t="str">
        <f t="shared" si="55"/>
        <v>"%USERPROFILE%\Documents\GitHub\eaglep3\Utilities\RefineRTDCRunTimes.py" --tripid 303-06 --locoid 4014 --swversion DE.1.0.8.0 --startMP 204:420 --initTime 2016-12-06T18:44:10 --startdatetime 1969-12-31T17:00:00 --delay 1 --endMP 300:23306 --enddatetime 1969-12-31T17:00:00 --enforcementcount 0 &gt;&gt;C:\Users\stu\Documents\GitHub\eaglep3-reporting\EC\2016-12-06-refined-times.txt</v>
      </c>
      <c r="AI201" s="119" t="str">
        <f t="shared" si="5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ID","value":"303-06"},{"id":16,"name":"Locomotive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458</v>
      </c>
      <c r="B202" s="7">
        <v>4043</v>
      </c>
      <c r="C202" s="22" t="s">
        <v>207</v>
      </c>
      <c r="D202" s="22" t="s">
        <v>734</v>
      </c>
      <c r="E202" s="13">
        <v>42710.139976851853</v>
      </c>
      <c r="F202" s="13">
        <v>42710.141319444447</v>
      </c>
      <c r="G202" s="7">
        <v>1</v>
      </c>
      <c r="H202" s="22" t="s">
        <v>274</v>
      </c>
      <c r="I202" s="13">
        <v>42710.148125</v>
      </c>
      <c r="J202" s="7">
        <v>0</v>
      </c>
      <c r="K202" s="109" t="str">
        <f t="shared" si="42"/>
        <v>4043/4044</v>
      </c>
      <c r="L202" s="22" t="str">
        <f>VLOOKUP(A202,'Trips&amp;Operators'!$C$1:$G$99999,5,FALSE)</f>
        <v>MAGEE KENYA</v>
      </c>
      <c r="M202" s="6">
        <f t="shared" si="43"/>
        <v>6.805555553000886E-3</v>
      </c>
      <c r="N202" s="7">
        <f t="shared" si="59"/>
        <v>9.7999999963212758</v>
      </c>
      <c r="O202" s="7"/>
      <c r="P202" s="7"/>
      <c r="Q202" s="23"/>
      <c r="R202" s="23"/>
      <c r="S202" s="35">
        <f t="shared" si="60"/>
        <v>1</v>
      </c>
      <c r="T202" s="50" t="str">
        <f t="shared" si="44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5"/>
        <v>https://search-rtdc-monitor-bjffxe2xuh6vdkpspy63sjmuny.us-east-1.es.amazonaws.com/_plugin/kibana/#/discover/Steve-Slow-Train-Analysis-(2080s-and-2083s)?_g=(refreshInterval:(display:Off,section:0,value:0),time:(from:'2016-12-06 02:21:34-700',mode:absolute,to:'2016-12-06 04:33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2" t="str">
        <f t="shared" si="46"/>
        <v>Y</v>
      </c>
      <c r="X202" s="177">
        <f t="shared" si="47"/>
        <v>1</v>
      </c>
      <c r="Y202" s="67">
        <f t="shared" si="48"/>
        <v>2.2382</v>
      </c>
      <c r="Z202" s="67">
        <f t="shared" si="49"/>
        <v>1.6299999999999999E-2</v>
      </c>
      <c r="AA202" s="67">
        <f t="shared" si="50"/>
        <v>2.2218999999999998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1"/>
        <v>0304-06</v>
      </c>
      <c r="AE202" s="91" t="str">
        <f t="shared" si="52"/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AF202" s="88" t="str">
        <f t="shared" si="53"/>
        <v>"C:\Program Files (x86)\AstroGrep\AstroGrep.exe" /spath="%USERPROFILE%\AppData\Local\Temp\OnboardLogs" /stypes="app*4043*20161206*" /stext=" 10:.+((SYSTEM_STATE.+slice.+state.+changed )|(ment ac)|(multiple cpu faults)|(system.+state.+changed )|(\[timeout)|(PRM\|1\|D)|(kpr)|(kdp)|(\|lc)|(penalty))" /e /r /s</v>
      </c>
      <c r="AG202" s="1" t="str">
        <f t="shared" si="54"/>
        <v>Other</v>
      </c>
      <c r="AH202" s="92" t="str">
        <f t="shared" si="55"/>
        <v>"%USERPROFILE%\Documents\GitHub\eaglep3\Utilities\RefineRTDCRunTimes.py" --tripid 304-06 --locoid 4043 --swversion DE.1.0.8.0 --startMP 300:22382 --initTime 2016-12-06T03:21:34 --startdatetime 2016-12-06T03:23:30 --delay 1 --endMP 204:163 --enddatetime 2016-12-06T03:33:18 --enforcementcount 0 &gt;&gt;C:\Users\stu\Documents\GitHub\eaglep3-reporting\EC\2016-12-06-refined-times.txt</v>
      </c>
      <c r="AI202" s="119" t="str">
        <f t="shared" si="56"/>
        <v>echo {"issue":{"subject":"","project_id":79,"tracker_id":40,"status_id":1,"priority_id":2,"assigned_to_id":23,"start_date":"2016-12-06","description":"","custom_fields":[{"id":1,"name":"Subdivision","value":"Other"},{"id":4,"name":"Milepost","value":"0.0163"},{"id":17,"name":"Train ID","value":"304-06"},{"id":16,"name":"Locomotive ID","value":"4043"},{"id":130,"name":"Impact","value":""},{"id":150,"name":"Time of Event (Mountain Time)","value":"03:33:18"},{"id":151,"name":"Denver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620</v>
      </c>
      <c r="B203" s="7">
        <v>4031</v>
      </c>
      <c r="C203" s="22" t="s">
        <v>207</v>
      </c>
      <c r="D203" s="22" t="s">
        <v>195</v>
      </c>
      <c r="E203" s="13">
        <v>42710.796493055554</v>
      </c>
      <c r="F203" s="13">
        <v>25568.708333333332</v>
      </c>
      <c r="G203" s="7">
        <v>1</v>
      </c>
      <c r="H203" s="22" t="s">
        <v>735</v>
      </c>
      <c r="I203" s="13">
        <v>25568.708333333332</v>
      </c>
      <c r="J203" s="7">
        <v>0</v>
      </c>
      <c r="K203" s="109" t="str">
        <f t="shared" ref="K203:K226" si="61">IF(ISEVEN(B203),(B203-1)&amp;"/"&amp;B203,B203&amp;"/"&amp;(B203+1))</f>
        <v>4031/4032</v>
      </c>
      <c r="L203" s="22" t="str">
        <f>VLOOKUP(A203,'Trips&amp;Operators'!$C$1:$G$99999,5,FALSE)</f>
        <v>ROMERO CHAD</v>
      </c>
      <c r="M203" s="6">
        <f t="shared" ref="M203:M226" si="62">I203-F203</f>
        <v>0</v>
      </c>
      <c r="N203" s="7">
        <f t="shared" si="59"/>
        <v>0</v>
      </c>
      <c r="O203" s="7"/>
      <c r="P203" s="7"/>
      <c r="Q203" s="23"/>
      <c r="R203" s="23"/>
      <c r="S203" s="35">
        <f t="shared" si="60"/>
        <v>1</v>
      </c>
      <c r="T203" s="50" t="str">
        <f t="shared" ref="T203:T226" si="63"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26" si="64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https://search-rtdc-monitor-bjffxe2xuh6vdkpspy63sjmuny.us-east-1.es.amazonaws.com/_plugin/kibana/#/discover/Steve-Slow-Train-Analysis-(2080s-and-2083s)?_g=(refreshInterval:(display:Off,section:0,value:0),time:(from:'2016-12-06 18:06:57-700',mode:absolute,to:'1969-12-31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3" s="52" t="str">
        <f t="shared" ref="W203:W226" si="65">IF(AA203&lt;IF(AG203="EC",23,5.65),"Y","N")</f>
        <v>Y</v>
      </c>
      <c r="X203" s="177">
        <f t="shared" ref="X203:X226" si="66">VALUE(LEFT(AD203,4))-VALUE(LEFT(AD202,4))</f>
        <v>1</v>
      </c>
      <c r="Y203" s="67">
        <f t="shared" ref="Y203:Y226" si="67">RIGHT(D203,LEN(D203)-4)/10000</f>
        <v>4.5100000000000001E-2</v>
      </c>
      <c r="Z203" s="67">
        <f t="shared" ref="Z203:Z226" si="68">RIGHT(H203,LEN(H203)-4)/10000</f>
        <v>2.3313999999999999</v>
      </c>
      <c r="AA203" s="67">
        <f t="shared" ref="AA203:AA226" si="69">ABS(Z203-Y203)</f>
        <v>2.2862999999999998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ref="AD203:AD226" si="70">IF(LEN(A203)=6,"0"&amp;A203,A203)</f>
        <v>0305-06</v>
      </c>
      <c r="AE203" s="91" t="str">
        <f t="shared" ref="AE203:AE226" si="7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3" s="88" t="str">
        <f t="shared" ref="AF203:AF226" si="72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3" s="1" t="str">
        <f t="shared" ref="AG203:AG226" si="73">IFERROR(IF(VALUE(LEFT(AD203,2))&lt;=2,"EC",IF(OR(VALUE(LEFT(AD203,2))=8,VALUE(LEFT(AD203,2))=18),"NW","Other")),"Other")</f>
        <v>Other</v>
      </c>
      <c r="AH203" s="92" t="str">
        <f t="shared" si="55"/>
        <v>"%USERPROFILE%\Documents\GitHub\eaglep3\Utilities\RefineRTDCRunTimes.py" --tripid 305-06 --locoid 4031 --swversion DE.1.0.8.0 --startMP 204:451 --initTime 2016-12-06T19:06:57 --startdatetime 1969-12-31T17:00:00 --delay 1 --endMP 300:23314 --enddatetime 1969-12-31T17:00:00 --enforcementcount 0 &gt;&gt;C:\Users\stu\Documents\GitHub\eaglep3-reporting\EC\2016-12-06-refined-times.txt</v>
      </c>
      <c r="AI203" s="119" t="str">
        <f t="shared" si="56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ID","value":"305-06"},{"id":16,"name":"Locomotive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460</v>
      </c>
      <c r="B204" s="7">
        <v>4012</v>
      </c>
      <c r="C204" s="22" t="s">
        <v>207</v>
      </c>
      <c r="D204" s="22" t="s">
        <v>736</v>
      </c>
      <c r="E204" s="13">
        <v>42710.159502314818</v>
      </c>
      <c r="F204" s="13">
        <v>42710.161365740743</v>
      </c>
      <c r="G204" s="7">
        <v>1</v>
      </c>
      <c r="H204" s="22" t="s">
        <v>737</v>
      </c>
      <c r="I204" s="13">
        <v>42710.168043981481</v>
      </c>
      <c r="J204" s="7">
        <v>0</v>
      </c>
      <c r="K204" s="109" t="str">
        <f t="shared" si="61"/>
        <v>4011/4012</v>
      </c>
      <c r="L204" s="22" t="str">
        <f>VLOOKUP(A204,'Trips&amp;Operators'!$C$1:$G$99999,5,FALSE)</f>
        <v>DAVIDSON DAVID</v>
      </c>
      <c r="M204" s="6">
        <f t="shared" si="62"/>
        <v>6.6782407375285402E-3</v>
      </c>
      <c r="N204" s="7">
        <f t="shared" si="59"/>
        <v>9.6166666620410979</v>
      </c>
      <c r="O204" s="7"/>
      <c r="P204" s="7"/>
      <c r="Q204" s="23"/>
      <c r="R204" s="23"/>
      <c r="S204" s="35">
        <f t="shared" si="60"/>
        <v>1</v>
      </c>
      <c r="T204" s="50" t="str">
        <f t="shared" si="63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02:49:41-700',mode:absolute,to:'2016-12-06 05:01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4" s="52" t="str">
        <f t="shared" si="65"/>
        <v>Y</v>
      </c>
      <c r="X204" s="177">
        <f t="shared" si="66"/>
        <v>1</v>
      </c>
      <c r="Y204" s="67">
        <f t="shared" si="67"/>
        <v>2.351</v>
      </c>
      <c r="Z204" s="67">
        <f t="shared" si="68"/>
        <v>1.32E-2</v>
      </c>
      <c r="AA204" s="67">
        <f t="shared" si="69"/>
        <v>2.3378000000000001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70"/>
        <v>0306-06</v>
      </c>
      <c r="AE204" s="91" t="str">
        <f t="shared" si="71"/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AF204" s="88" t="str">
        <f t="shared" si="72"/>
        <v>"C:\Program Files (x86)\AstroGrep\AstroGrep.exe" /spath="%USERPROFILE%\AppData\Local\Temp\OnboardLogs" /stypes="app*4012*20161206*" /stext=" 11:.+((SYSTEM_STATE.+slice.+state.+changed )|(ment ac)|(multiple cpu faults)|(system.+state.+changed )|(\[timeout)|(PRM\|1\|D)|(kpr)|(kdp)|(\|lc)|(penalty))" /e /r /s</v>
      </c>
      <c r="AG204" s="1" t="str">
        <f t="shared" si="73"/>
        <v>Other</v>
      </c>
      <c r="AH204" s="92" t="str">
        <f t="shared" ref="AH204:AH226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306-06 --locoid 4012 --swversion DE.1.0.8.0 --startMP 300:23510 --initTime 2016-12-06T03:49:41 --startdatetime 2016-12-06T03:52:22 --delay 1 --endMP 204:132 --enddatetime 2016-12-06T04:01:59 --enforcementcount 0 &gt;&gt;C:\Users\stu\Documents\GitHub\eaglep3-reporting\EC\2016-12-06-refined-times.txt</v>
      </c>
      <c r="AI204" s="119" t="str">
        <f t="shared" ref="AI204:AI226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{"issue":{"subject":"","project_id":79,"tracker_id":40,"status_id":1,"priority_id":2,"assigned_to_id":23,"start_date":"2016-12-06","description":"","custom_fields":[{"id":1,"name":"Subdivision","value":"Other"},{"id":4,"name":"Milepost","value":"0.0132"},{"id":17,"name":"Train ID","value":"306-06"},{"id":16,"name":"Locomotive ID","value":"4012"},{"id":130,"name":"Impact","value":""},{"id":150,"name":"Time of Event (Mountain Time)","value":"04:01:59"},{"id":151,"name":"Denver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451</v>
      </c>
      <c r="B205" s="7">
        <v>4016</v>
      </c>
      <c r="C205" s="22" t="s">
        <v>207</v>
      </c>
      <c r="D205" s="22" t="s">
        <v>253</v>
      </c>
      <c r="E205" s="13">
        <v>42710.818483796298</v>
      </c>
      <c r="F205" s="13">
        <v>42710.83017361111</v>
      </c>
      <c r="G205" s="7">
        <v>1</v>
      </c>
      <c r="H205" s="22" t="s">
        <v>738</v>
      </c>
      <c r="I205" s="13">
        <v>42710.835509259261</v>
      </c>
      <c r="J205" s="7">
        <v>0</v>
      </c>
      <c r="K205" s="109" t="str">
        <f t="shared" si="61"/>
        <v>4015/4016</v>
      </c>
      <c r="L205" s="22" t="str">
        <f>VLOOKUP(A205,'Trips&amp;Operators'!$C$1:$G$99999,5,FALSE)</f>
        <v>STORY SAMANTHA</v>
      </c>
      <c r="M205" s="6">
        <f t="shared" si="62"/>
        <v>5.3356481512309983E-3</v>
      </c>
      <c r="N205" s="7">
        <f t="shared" si="59"/>
        <v>7.6833333377726376</v>
      </c>
      <c r="O205" s="7"/>
      <c r="P205" s="7"/>
      <c r="Q205" s="23"/>
      <c r="R205" s="23"/>
      <c r="S205" s="35">
        <f t="shared" si="60"/>
        <v>1</v>
      </c>
      <c r="T205" s="50" t="str">
        <f t="shared" si="63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5" s="52" t="str">
        <f t="shared" si="65"/>
        <v>Y</v>
      </c>
      <c r="X205" s="177">
        <f t="shared" si="66"/>
        <v>1</v>
      </c>
      <c r="Y205" s="67">
        <f t="shared" si="67"/>
        <v>4.6699999999999998E-2</v>
      </c>
      <c r="Z205" s="67">
        <f t="shared" si="68"/>
        <v>2.2572000000000001</v>
      </c>
      <c r="AA205" s="67">
        <f t="shared" si="69"/>
        <v>2.2105000000000001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70"/>
        <v>0307-06</v>
      </c>
      <c r="AE205" s="91" t="str">
        <f t="shared" si="71"/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AF205" s="88" t="str">
        <f t="shared" si="72"/>
        <v>"C:\Program Files (x86)\AstroGrep\AstroGrep.exe" /spath="%USERPROFILE%\AppData\Local\Temp\OnboardLogs" /stypes="app*4016*20161207*" /stext=" 03:.+((SYSTEM_STATE.+slice.+state.+changed )|(ment ac)|(multiple cpu faults)|(system.+state.+changed )|(\[timeout)|(PRM\|1\|D)|(kpr)|(kdp)|(\|lc)|(penalty))" /e /r /s</v>
      </c>
      <c r="AG205" s="1" t="str">
        <f t="shared" si="73"/>
        <v>Other</v>
      </c>
      <c r="AH205" s="92" t="str">
        <f t="shared" si="74"/>
        <v>"%USERPROFILE%\Documents\GitHub\eaglep3\Utilities\RefineRTDCRunTimes.py" --tripid 307-06 --locoid 4016 --swversion DE.1.0.8.0 --startMP 204:467 --initTime 2016-12-06T19:38:37 --startdatetime 2016-12-06T19:55:27 --delay 1 --endMP 300:22572 --enddatetime 2016-12-06T20:03:08 --enforcementcount 0 &gt;&gt;C:\Users\stu\Documents\GitHub\eaglep3-reporting\EC\2016-12-06-refined-times.txt</v>
      </c>
      <c r="AI205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{"issue":{"subject":"","project_id":79,"tracker_id":40,"status_id":1,"priority_id":2,"assigned_to_id":23,"start_date":"2016-12-06","description":"","custom_fields":[{"id":1,"name":"Subdivision","value":"Other"},{"id":4,"name":"Milepost","value":"2.2572"},{"id":17,"name":"Train ID","value":"307-06"},{"id":16,"name":"Locomotive ID","value":"4016"},{"id":130,"name":"Impact","value":""},{"id":150,"name":"Time of Event (Mountain Time)","value":"20:03:08"},{"id":151,"name":"Denver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461</v>
      </c>
      <c r="B206" s="7">
        <v>4017</v>
      </c>
      <c r="C206" s="22" t="s">
        <v>207</v>
      </c>
      <c r="D206" s="22" t="s">
        <v>739</v>
      </c>
      <c r="E206" s="13">
        <v>42710.166145833333</v>
      </c>
      <c r="F206" s="13">
        <v>42710.167708333334</v>
      </c>
      <c r="G206" s="7">
        <v>1</v>
      </c>
      <c r="H206" s="22" t="s">
        <v>214</v>
      </c>
      <c r="I206" s="13">
        <v>42710.174155092594</v>
      </c>
      <c r="J206" s="7">
        <v>0</v>
      </c>
      <c r="K206" s="109" t="str">
        <f t="shared" si="61"/>
        <v>4017/4018</v>
      </c>
      <c r="L206" s="22" t="str">
        <f>VLOOKUP(A206,'Trips&amp;Operators'!$C$1:$G$99999,5,FALSE)</f>
        <v>HAITHCOX MICHAEL</v>
      </c>
      <c r="M206" s="6">
        <f t="shared" si="62"/>
        <v>6.4467592601431534E-3</v>
      </c>
      <c r="N206" s="7">
        <f t="shared" si="59"/>
        <v>9.2833333346061409</v>
      </c>
      <c r="O206" s="7"/>
      <c r="P206" s="7"/>
      <c r="Q206" s="23"/>
      <c r="R206" s="23"/>
      <c r="S206" s="35">
        <f t="shared" si="60"/>
        <v>1</v>
      </c>
      <c r="T206" s="50" t="str">
        <f t="shared" si="63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02:59:15-700',mode:absolute,to:'2016-12-06 05:10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6" s="52" t="str">
        <f t="shared" si="65"/>
        <v>Y</v>
      </c>
      <c r="X206" s="177">
        <f t="shared" si="66"/>
        <v>1</v>
      </c>
      <c r="Y206" s="67">
        <f t="shared" si="67"/>
        <v>2.3338000000000001</v>
      </c>
      <c r="Z206" s="67">
        <f t="shared" si="68"/>
        <v>1.4999999999999999E-2</v>
      </c>
      <c r="AA206" s="67">
        <f t="shared" si="69"/>
        <v>2.3188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0"/>
        <v>0308-06</v>
      </c>
      <c r="AE206" s="91" t="str">
        <f t="shared" si="71"/>
        <v>aws s3 cp s3://rtdc.mdm.uploadarchive.raw/RTDC4017/ "%USERPROFILE%\AppData\Local\Temp\OnboardLogs"\RTDC4017\2016-12-06 --exclude "*" --recursive --include "*20161206*" &amp; "%USERPROFILE%\Documents\GitHub\mrs-test-scripts\Headless Mode &amp; Sideloading\WalkAndUnGZ.bat" "%USERPROFILE%\AppData\Local\Temp\OnboardLogs"\RTDC4017\2016-12-06 &amp; 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</v>
      </c>
      <c r="AF206" s="88" t="str">
        <f t="shared" si="72"/>
        <v>"C:\Program Files (x86)\AstroGrep\AstroGrep.exe" /spath="%USERPROFILE%\AppData\Local\Temp\OnboardLogs" /stypes="app*4017*20161206*" /stext=" 11:.+((SYSTEM_STATE.+slice.+state.+changed )|(ment ac)|(multiple cpu faults)|(system.+state.+changed )|(\[timeout)|(PRM\|1\|D)|(kpr)|(kdp)|(\|lc)|(penalty))" /e /r /s</v>
      </c>
      <c r="AG206" s="1" t="str">
        <f t="shared" si="73"/>
        <v>Other</v>
      </c>
      <c r="AH206" s="92" t="str">
        <f t="shared" si="74"/>
        <v>"%USERPROFILE%\Documents\GitHub\eaglep3\Utilities\RefineRTDCRunTimes.py" --tripid 308-06 --locoid 4017 --swversion DE.1.0.8.0 --startMP 300:23338 --initTime 2016-12-06T03:59:15 --startdatetime 2016-12-06T04:01:30 --delay 1 --endMP 204:150 --enddatetime 2016-12-06T04:10:47 --enforcementcount 0 &gt;&gt;C:\Users\stu\Documents\GitHub\eaglep3-reporting\EC\2016-12-06-refined-times.txt</v>
      </c>
      <c r="AI206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{"issue":{"subject":"","project_id":79,"tracker_id":40,"status_id":1,"priority_id":2,"assigned_to_id":23,"start_date":"2016-12-06","description":"","custom_fields":[{"id":1,"name":"Subdivision","value":"Other"},{"id":4,"name":"Milepost","value":"0.015"},{"id":17,"name":"Train ID","value":"308-06"},{"id":16,"name":"Locomotive ID","value":"4017"},{"id":130,"name":"Impact","value":""},{"id":150,"name":"Time of Event (Mountain Time)","value":"04:10:47"},{"id":151,"name":"Denver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647</v>
      </c>
      <c r="B207" s="7">
        <v>4029</v>
      </c>
      <c r="C207" s="22" t="s">
        <v>207</v>
      </c>
      <c r="D207" s="22" t="s">
        <v>740</v>
      </c>
      <c r="E207" s="13">
        <v>42711.034525462965</v>
      </c>
      <c r="F207" s="13">
        <v>42711.036631944444</v>
      </c>
      <c r="G207" s="7">
        <v>1</v>
      </c>
      <c r="H207" s="22" t="s">
        <v>360</v>
      </c>
      <c r="I207" s="13">
        <v>42711.042893518519</v>
      </c>
      <c r="J207" s="7">
        <v>0</v>
      </c>
      <c r="K207" s="109" t="str">
        <f t="shared" si="61"/>
        <v>4029/4030</v>
      </c>
      <c r="L207" s="22" t="str">
        <f>VLOOKUP(A207,'Trips&amp;Operators'!$C$1:$G$99999,5,FALSE)</f>
        <v>LEVERE CRAIG</v>
      </c>
      <c r="M207" s="6">
        <f t="shared" si="62"/>
        <v>6.2615740753244609E-3</v>
      </c>
      <c r="N207" s="7">
        <f t="shared" si="59"/>
        <v>9.0166666684672236</v>
      </c>
      <c r="O207" s="7"/>
      <c r="P207" s="7"/>
      <c r="Q207" s="23"/>
      <c r="R207" s="23"/>
      <c r="S207" s="35">
        <f t="shared" si="60"/>
        <v>1</v>
      </c>
      <c r="T207" s="50" t="str">
        <f t="shared" si="63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23:49:43-700',mode:absolute,to:'2016-12-07 02:01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2" t="str">
        <f t="shared" si="65"/>
        <v>Y</v>
      </c>
      <c r="X207" s="177">
        <f t="shared" si="66"/>
        <v>1</v>
      </c>
      <c r="Y207" s="67">
        <f t="shared" si="67"/>
        <v>3.9899999999999998E-2</v>
      </c>
      <c r="Z207" s="67">
        <f t="shared" si="68"/>
        <v>2.2843</v>
      </c>
      <c r="AA207" s="67">
        <f t="shared" si="69"/>
        <v>2.2444000000000002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0"/>
        <v>0309-06</v>
      </c>
      <c r="AE207" s="91" t="str">
        <f t="shared" si="71"/>
        <v>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 &amp; aws s3 cp s3://rtdc.mdm.uploadarchive.raw/RTDC4029/ "%USERPROFILE%\AppData\Local\Temp\OnboardLogs"\RTDC4029\2016-12-08 --exclude "*" --recursive --include "*20161208*" &amp; "%USERPROFILE%\Documents\GitHub\mrs-test-scripts\Headless Mode &amp; Sideloading\WalkAndUnGZ.bat" "%USERPROFILE%\AppData\Local\Temp\OnboardLogs"\RTDC4029\2016-12-08</v>
      </c>
      <c r="AF207" s="88" t="str">
        <f t="shared" si="72"/>
        <v>"C:\Program Files (x86)\AstroGrep\AstroGrep.exe" /spath="%USERPROFILE%\AppData\Local\Temp\OnboardLogs" /stypes="app*4029*20161207*" /stext=" 08:.+((SYSTEM_STATE.+slice.+state.+changed )|(ment ac)|(multiple cpu faults)|(system.+state.+changed )|(\[timeout)|(PRM\|1\|D)|(kpr)|(kdp)|(\|lc)|(penalty))" /e /r /s</v>
      </c>
      <c r="AG207" s="1" t="str">
        <f t="shared" si="73"/>
        <v>Other</v>
      </c>
      <c r="AH207" s="92" t="str">
        <f t="shared" si="74"/>
        <v>"%USERPROFILE%\Documents\GitHub\eaglep3\Utilities\RefineRTDCRunTimes.py" --tripid 309-06 --locoid 4029 --swversion DE.1.0.8.0 --startMP 204:399 --initTime 2016-12-07T00:49:43 --startdatetime 2016-12-07T00:52:45 --delay 1 --endMP 300:22843 --enddatetime 2016-12-07T01:01:46 --enforcementcount 0 &gt;&gt;C:\Users\stu\Documents\GitHub\eaglep3-reporting\EC\2016-12-06-refined-times.txt</v>
      </c>
      <c r="AI207" s="119" t="str">
        <f t="shared" si="75"/>
        <v>echo {"issue":{"subject":"","project_id":79,"tracker_id":40,"status_id":1,"priority_id":2,"assigned_to_id":23,"start_date":"2016-12-07","description":"","custom_fields":[{"id":1,"name":"Subdivision","value":"Other"},{"id":4,"name":"Milepost","value":"2.2843"},{"id":17,"name":"Train ID","value":"309-06"},{"id":16,"name":"Locomotive ID","value":"4029"},{"id":130,"name":"Impact","value":""},{"id":150,"name":"Time of Event (Mountain Time)","value":"01:01:46"},{"id":151,"name":"Denver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s="21" customFormat="1" x14ac:dyDescent="0.25">
      <c r="A208" s="37" t="s">
        <v>464</v>
      </c>
      <c r="B208" s="7">
        <v>4013</v>
      </c>
      <c r="C208" s="22" t="s">
        <v>207</v>
      </c>
      <c r="D208" s="22" t="s">
        <v>741</v>
      </c>
      <c r="E208" s="13">
        <v>42710.182488425926</v>
      </c>
      <c r="F208" s="13">
        <v>42710.183668981481</v>
      </c>
      <c r="G208" s="7">
        <v>1</v>
      </c>
      <c r="H208" s="22" t="s">
        <v>192</v>
      </c>
      <c r="I208" s="13">
        <v>42710.191041666665</v>
      </c>
      <c r="J208" s="7">
        <v>0</v>
      </c>
      <c r="K208" s="109" t="str">
        <f t="shared" si="61"/>
        <v>4013/4014</v>
      </c>
      <c r="L208" s="22" t="str">
        <f>VLOOKUP(A208,'Trips&amp;Operators'!$C$1:$G$99999,5,FALSE)</f>
        <v>DAVIS WENDY</v>
      </c>
      <c r="M208" s="6">
        <f t="shared" si="62"/>
        <v>7.3726851842366159E-3</v>
      </c>
      <c r="N208" s="7">
        <f t="shared" si="59"/>
        <v>10.616666665300727</v>
      </c>
      <c r="O208" s="7"/>
      <c r="P208" s="7"/>
      <c r="Q208" s="23"/>
      <c r="R208" s="23"/>
      <c r="S208" s="35">
        <f t="shared" si="60"/>
        <v>1</v>
      </c>
      <c r="T208" s="50" t="str">
        <f t="shared" si="63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03:22:47-700',mode:absolute,to:'2016-12-06 05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8" s="52" t="str">
        <f t="shared" si="65"/>
        <v>Y</v>
      </c>
      <c r="X208" s="177">
        <f t="shared" si="66"/>
        <v>1</v>
      </c>
      <c r="Y208" s="67">
        <f t="shared" si="67"/>
        <v>2.3332000000000002</v>
      </c>
      <c r="Z208" s="67">
        <f t="shared" si="68"/>
        <v>1.49E-2</v>
      </c>
      <c r="AA208" s="67">
        <f t="shared" si="69"/>
        <v>2.3183000000000002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0"/>
        <v>0310-06</v>
      </c>
      <c r="AE208" s="91" t="str">
        <f t="shared" si="71"/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AF208" s="88" t="str">
        <f t="shared" si="72"/>
        <v>"C:\Program Files (x86)\AstroGrep\AstroGrep.exe" /spath="%USERPROFILE%\AppData\Local\Temp\OnboardLogs" /stypes="app*4013*20161206*" /stext=" 11:.+((SYSTEM_STATE.+slice.+state.+changed )|(ment ac)|(multiple cpu faults)|(system.+state.+changed )|(\[timeout)|(PRM\|1\|D)|(kpr)|(kdp)|(\|lc)|(penalty))" /e /r /s</v>
      </c>
      <c r="AG208" s="1" t="str">
        <f t="shared" si="73"/>
        <v>Other</v>
      </c>
      <c r="AH208" s="92" t="str">
        <f t="shared" si="74"/>
        <v>"%USERPROFILE%\Documents\GitHub\eaglep3\Utilities\RefineRTDCRunTimes.py" --tripid 310-06 --locoid 4013 --swversion DE.1.0.8.0 --startMP 300:23332 --initTime 2016-12-06T04:22:47 --startdatetime 2016-12-06T04:24:29 --delay 1 --endMP 204:149 --enddatetime 2016-12-06T04:35:06 --enforcementcount 0 &gt;&gt;C:\Users\stu\Documents\GitHub\eaglep3-reporting\EC\2016-12-06-refined-times.txt</v>
      </c>
      <c r="AI208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{"issue":{"subject":"","project_id":79,"tracker_id":40,"status_id":1,"priority_id":2,"assigned_to_id":23,"start_date":"2016-12-06","description":"","custom_fields":[{"id":1,"name":"Subdivision","value":"Other"},{"id":4,"name":"Milepost","value":"0.0149"},{"id":17,"name":"Train ID","value":"310-06"},{"id":16,"name":"Locomotive ID","value":"4013"},{"id":130,"name":"Impact","value":""},{"id":150,"name":"Time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648</v>
      </c>
      <c r="B209" s="7">
        <v>4018</v>
      </c>
      <c r="C209" s="22" t="s">
        <v>207</v>
      </c>
      <c r="D209" s="22" t="s">
        <v>742</v>
      </c>
      <c r="E209" s="13">
        <v>42711.048217592594</v>
      </c>
      <c r="F209" s="13">
        <v>25568.708333333332</v>
      </c>
      <c r="G209" s="7">
        <v>1</v>
      </c>
      <c r="H209" s="22" t="s">
        <v>743</v>
      </c>
      <c r="I209" s="13">
        <v>25568.708333333332</v>
      </c>
      <c r="J209" s="7">
        <v>0</v>
      </c>
      <c r="K209" s="109" t="str">
        <f t="shared" si="61"/>
        <v>4017/4018</v>
      </c>
      <c r="L209" s="22" t="str">
        <f>VLOOKUP(A209,'Trips&amp;Operators'!$C$1:$G$99999,5,FALSE)</f>
        <v>COOLAHAN JOHN</v>
      </c>
      <c r="M209" s="6">
        <f t="shared" si="62"/>
        <v>0</v>
      </c>
      <c r="N209" s="7">
        <f t="shared" si="59"/>
        <v>0</v>
      </c>
      <c r="O209" s="7"/>
      <c r="P209" s="7"/>
      <c r="Q209" s="23"/>
      <c r="R209" s="23"/>
      <c r="S209" s="35">
        <f t="shared" si="60"/>
        <v>1</v>
      </c>
      <c r="T209" s="50" t="str">
        <f t="shared" si="63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https://search-rtdc-monitor-bjffxe2xuh6vdkpspy63sjmuny.us-east-1.es.amazonaws.com/_plugin/kibana/#/discover/Steve-Slow-Train-Analysis-(2080s-and-2083s)?_g=(refreshInterval:(display:Off,section:0,value:0),time:(from:'2016-12-07 00:09:26-700',mode:absolute,to:'1969-12-31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9" s="52" t="str">
        <f t="shared" si="65"/>
        <v>Y</v>
      </c>
      <c r="X209" s="177">
        <f t="shared" si="66"/>
        <v>1</v>
      </c>
      <c r="Y209" s="67">
        <f t="shared" si="67"/>
        <v>4.3499999999999997E-2</v>
      </c>
      <c r="Z209" s="67">
        <f t="shared" si="68"/>
        <v>2.3304</v>
      </c>
      <c r="AA209" s="67">
        <f t="shared" si="69"/>
        <v>2.2869000000000002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0"/>
        <v>0311-06</v>
      </c>
      <c r="AE209" s="91" t="str">
        <f t="shared" si="7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9" s="88" t="str">
        <f t="shared" si="7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9" s="1" t="str">
        <f t="shared" si="73"/>
        <v>Other</v>
      </c>
      <c r="AH209" s="92" t="str">
        <f t="shared" si="74"/>
        <v>"%USERPROFILE%\Documents\GitHub\eaglep3\Utilities\RefineRTDCRunTimes.py" --tripid 311-06 --locoid 4018 --swversion DE.1.0.8.0 --startMP 204:435 --initTime 2016-12-07T01:09:26 --startdatetime 1969-12-31T17:00:00 --delay 1 --endMP 300:23304 --enddatetime 1969-12-31T17:00:00 --enforcementcount 0 &gt;&gt;C:\Users\stu\Documents\GitHub\eaglep3-reporting\EC\2016-12-06-refined-times.txt</v>
      </c>
      <c r="AI209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650</v>
      </c>
      <c r="B210" s="7">
        <v>4020</v>
      </c>
      <c r="C210" s="22" t="s">
        <v>207</v>
      </c>
      <c r="D210" s="22" t="s">
        <v>744</v>
      </c>
      <c r="E210" s="13">
        <v>42711.067465277774</v>
      </c>
      <c r="F210" s="13">
        <v>25568.708333333332</v>
      </c>
      <c r="G210" s="7">
        <v>1</v>
      </c>
      <c r="H210" s="22" t="s">
        <v>745</v>
      </c>
      <c r="I210" s="13">
        <v>25568.708333333332</v>
      </c>
      <c r="J210" s="7">
        <v>0</v>
      </c>
      <c r="K210" s="109" t="str">
        <f t="shared" si="61"/>
        <v>4019/4020</v>
      </c>
      <c r="L210" s="22" t="str">
        <f>VLOOKUP(A210,'Trips&amp;Operators'!$C$1:$G$99999,5,FALSE)</f>
        <v>YANAI IAN</v>
      </c>
      <c r="M210" s="6">
        <f t="shared" si="62"/>
        <v>0</v>
      </c>
      <c r="N210" s="7">
        <f t="shared" si="59"/>
        <v>0</v>
      </c>
      <c r="O210" s="7"/>
      <c r="P210" s="7"/>
      <c r="Q210" s="23"/>
      <c r="R210" s="23"/>
      <c r="S210" s="35">
        <f t="shared" si="60"/>
        <v>1</v>
      </c>
      <c r="T210" s="50" t="str">
        <f t="shared" si="63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https://search-rtdc-monitor-bjffxe2xuh6vdkpspy63sjmuny.us-east-1.es.amazonaws.com/_plugin/kibana/#/discover/Steve-Slow-Train-Analysis-(2080s-and-2083s)?_g=(refreshInterval:(display:Off,section:0,value:0),time:(from:'2016-12-07 00:37:09-700',mode:absolute,to:'1969-12-31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0" s="52" t="str">
        <f t="shared" si="65"/>
        <v>Y</v>
      </c>
      <c r="X210" s="177">
        <f t="shared" si="66"/>
        <v>2</v>
      </c>
      <c r="Y210" s="67">
        <f t="shared" si="67"/>
        <v>3.8100000000000002E-2</v>
      </c>
      <c r="Z210" s="67">
        <f t="shared" si="68"/>
        <v>2.3113000000000001</v>
      </c>
      <c r="AA210" s="67">
        <f t="shared" si="69"/>
        <v>2.2732000000000001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0"/>
        <v>0313-06</v>
      </c>
      <c r="AE210" s="91" t="str">
        <f t="shared" si="7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0" s="88" t="str">
        <f t="shared" si="7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0" s="1" t="str">
        <f t="shared" si="73"/>
        <v>Other</v>
      </c>
      <c r="AH210" s="92" t="str">
        <f t="shared" si="74"/>
        <v>"%USERPROFILE%\Documents\GitHub\eaglep3\Utilities\RefineRTDCRunTimes.py" --tripid 313-06 --locoid 4020 --swversion DE.1.0.8.0 --startMP 204:381 --initTime 2016-12-07T01:37:09 --startdatetime 1969-12-31T17:00:00 --delay 1 --endMP 300:23113 --enddatetime 1969-12-31T17:00:00 --enforcementcount 0 &gt;&gt;C:\Users\stu\Documents\GitHub\eaglep3-reporting\EC\2016-12-06-refined-times.txt</v>
      </c>
      <c r="AI210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{"issue":{"subject":"","project_id":79,"tracker_id":40,"status_id":1,"priority_id":2,"assigned_to_id":23,"start_date":"1969-12-31","description":"","custom_fields":[{"id":1,"name":"Subdivision","value":"Other"},{"id":4,"name":"Milepost","value":"2.3113"},{"id":17,"name":"Train ID","value":"313-06"},{"id":16,"name":"Locomotive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186</v>
      </c>
      <c r="B211" s="7">
        <v>4011</v>
      </c>
      <c r="C211" s="22" t="s">
        <v>207</v>
      </c>
      <c r="D211" s="22" t="s">
        <v>746</v>
      </c>
      <c r="E211" s="13">
        <v>42711.093356481484</v>
      </c>
      <c r="F211" s="13">
        <v>42711.09479166667</v>
      </c>
      <c r="G211" s="7">
        <v>1</v>
      </c>
      <c r="H211" s="22" t="s">
        <v>747</v>
      </c>
      <c r="I211" s="13">
        <v>42711.100763888891</v>
      </c>
      <c r="J211" s="7">
        <v>0</v>
      </c>
      <c r="K211" s="109" t="str">
        <f t="shared" si="61"/>
        <v>4011/4012</v>
      </c>
      <c r="L211" s="22" t="str">
        <f>VLOOKUP(A211,'Trips&amp;Operators'!$C$1:$G$99999,5,FALSE)</f>
        <v>CHANDLER KELVIN</v>
      </c>
      <c r="M211" s="6">
        <f t="shared" si="62"/>
        <v>5.9722222213167697E-3</v>
      </c>
      <c r="N211" s="7">
        <f t="shared" si="59"/>
        <v>8.5999999986961484</v>
      </c>
      <c r="O211" s="7"/>
      <c r="P211" s="7"/>
      <c r="Q211" s="23"/>
      <c r="R211" s="23"/>
      <c r="S211" s="35">
        <f t="shared" si="60"/>
        <v>1</v>
      </c>
      <c r="T211" s="50" t="str">
        <f t="shared" si="63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1" s="52" t="str">
        <f t="shared" si="65"/>
        <v>Y</v>
      </c>
      <c r="X211" s="177">
        <f t="shared" si="66"/>
        <v>2</v>
      </c>
      <c r="Y211" s="67">
        <f t="shared" si="67"/>
        <v>3.8300000000000001E-2</v>
      </c>
      <c r="Z211" s="67">
        <f t="shared" si="68"/>
        <v>2.2846000000000002</v>
      </c>
      <c r="AA211" s="67">
        <f t="shared" si="69"/>
        <v>2.2463000000000002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0"/>
        <v>0315-06</v>
      </c>
      <c r="AE211" s="91" t="str">
        <f t="shared" si="71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1" s="88" t="str">
        <f t="shared" si="72"/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1" s="1" t="str">
        <f t="shared" si="73"/>
        <v>Other</v>
      </c>
      <c r="AH211" s="92" t="str">
        <f t="shared" si="74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&gt;&gt;C:\Users\stu\Documents\GitHub\eaglep3-reporting\EC\2016-12-06-refined-times.txt</v>
      </c>
      <c r="AI211" s="119" t="str">
        <f t="shared" si="75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467</v>
      </c>
      <c r="B212" s="7">
        <v>4022</v>
      </c>
      <c r="C212" s="22" t="s">
        <v>207</v>
      </c>
      <c r="D212" s="22" t="s">
        <v>805</v>
      </c>
      <c r="E212" s="13">
        <v>42710.202141203707</v>
      </c>
      <c r="F212" s="13">
        <v>42710.205925925926</v>
      </c>
      <c r="G212" s="7">
        <v>5</v>
      </c>
      <c r="H212" s="22" t="s">
        <v>806</v>
      </c>
      <c r="I212" s="13">
        <v>42710.207083333335</v>
      </c>
      <c r="J212" s="7">
        <v>0</v>
      </c>
      <c r="K212" s="109" t="str">
        <f t="shared" si="61"/>
        <v>4021/4022</v>
      </c>
      <c r="L212" s="22" t="str">
        <f>VLOOKUP(A212,'Trips&amp;Operators'!$C$1:$G$99999,5,FALSE)</f>
        <v>STARKS ANGELINA</v>
      </c>
      <c r="M212" s="6">
        <f t="shared" si="62"/>
        <v>1.157407408754807E-3</v>
      </c>
      <c r="N212" s="7">
        <f t="shared" si="59"/>
        <v>1.666666668606922</v>
      </c>
      <c r="O212" s="7"/>
      <c r="P212" s="7"/>
      <c r="Q212" s="23"/>
      <c r="R212" s="23"/>
      <c r="S212" s="35">
        <f t="shared" si="60"/>
        <v>0</v>
      </c>
      <c r="T212" s="50" t="str">
        <f t="shared" si="6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03:51:05-700',mode:absolute,to:'2016-12-06 05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2" s="52" t="str">
        <f t="shared" si="65"/>
        <v>Y</v>
      </c>
      <c r="X212" s="177">
        <f t="shared" si="66"/>
        <v>586</v>
      </c>
      <c r="Y212" s="67">
        <f t="shared" si="67"/>
        <v>2.9310999999999998</v>
      </c>
      <c r="Z212" s="67">
        <f t="shared" si="68"/>
        <v>3.246</v>
      </c>
      <c r="AA212" s="67">
        <f t="shared" si="69"/>
        <v>0.31490000000000018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70"/>
        <v>0901-06</v>
      </c>
      <c r="AE212" s="91" t="str">
        <f t="shared" si="71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2" s="88" t="str">
        <f t="shared" si="72"/>
        <v>"C:\Program Files (x86)\AstroGrep\AstroGrep.exe" /spath="%USERPROFILE%\AppData\Local\Temp\OnboardLogs" /stypes="app*4022*20161206*" /stext=" 11:.+((SYSTEM_STATE.+slice.+state.+changed )|(ment ac)|(multiple cpu faults)|(system.+state.+changed )|(\[timeout)|(PRM\|1\|D)|(kpr)|(kdp)|(\|lc)|(penalty))" /e /r /s</v>
      </c>
      <c r="AG212" s="1" t="str">
        <f t="shared" si="73"/>
        <v>Other</v>
      </c>
      <c r="AH212" s="92" t="str">
        <f t="shared" si="74"/>
        <v>"%USERPROFILE%\Documents\GitHub\eaglep3\Utilities\RefineRTDCRunTimes.py" --tripid 901-06 --locoid 4022 --swversion DE.1.0.8.0 --startMP 300:29311 --initTime 2016-12-06T04:51:05 --startdatetime 2016-12-06T04:56:32 --delay 5 --endMP 300:32460 --enddatetime 2016-12-06T04:58:12 --enforcementcount 0 &gt;&gt;C:\Users\stu\Documents\GitHub\eaglep3-reporting\EC\2016-12-06-refined-times.txt</v>
      </c>
      <c r="AI212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{"issue":{"subject":"","project_id":79,"tracker_id":40,"status_id":1,"priority_id":2,"assigned_to_id":23,"start_date":"2016-12-06","description":"","custom_fields":[{"id":1,"name":"Subdivision","value":"Other"},{"id":4,"name":"Milepost","value":"3.246"},{"id":17,"name":"Train ID","value":"901-06"},{"id":16,"name":"Locomotive ID","value":"4022"},{"id":130,"name":"Impact","value":""},{"id":150,"name":"Time of Event (Mountain Time)","value":"04:58:12"},{"id":151,"name":"Denver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479</v>
      </c>
      <c r="B213" s="7">
        <v>4010</v>
      </c>
      <c r="C213" s="22" t="s">
        <v>207</v>
      </c>
      <c r="D213" s="22" t="s">
        <v>807</v>
      </c>
      <c r="E213" s="13">
        <v>42710.251979166664</v>
      </c>
      <c r="F213" s="13">
        <v>42710.253032407411</v>
      </c>
      <c r="G213" s="7">
        <v>1</v>
      </c>
      <c r="H213" s="22" t="s">
        <v>795</v>
      </c>
      <c r="I213" s="13">
        <v>42710.259004629632</v>
      </c>
      <c r="J213" s="7">
        <v>0</v>
      </c>
      <c r="K213" s="109" t="str">
        <f t="shared" si="61"/>
        <v>4009/4010</v>
      </c>
      <c r="L213" s="22" t="str">
        <f>VLOOKUP(A213,'Trips&amp;Operators'!$C$1:$G$99999,5,FALSE)</f>
        <v>LEVIN SCOTT</v>
      </c>
      <c r="M213" s="6">
        <f t="shared" si="62"/>
        <v>5.9722222213167697E-3</v>
      </c>
      <c r="N213" s="7">
        <f t="shared" si="59"/>
        <v>8.5999999986961484</v>
      </c>
      <c r="O213" s="7"/>
      <c r="P213" s="7"/>
      <c r="Q213" s="23"/>
      <c r="R213" s="23"/>
      <c r="S213" s="35">
        <f t="shared" si="60"/>
        <v>1</v>
      </c>
      <c r="T213" s="50" t="str">
        <f t="shared" si="63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05:02:51-700',mode:absolute,to:'2016-12-06 07:12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52" t="str">
        <f t="shared" si="65"/>
        <v>Y</v>
      </c>
      <c r="X213" s="177">
        <f t="shared" si="66"/>
        <v>1</v>
      </c>
      <c r="Y213" s="67">
        <f t="shared" si="67"/>
        <v>3.0729000000000002</v>
      </c>
      <c r="Z213" s="67">
        <f t="shared" si="68"/>
        <v>6.9599999999999995E-2</v>
      </c>
      <c r="AA213" s="67">
        <f t="shared" si="69"/>
        <v>3.0033000000000003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0"/>
        <v>0902-06</v>
      </c>
      <c r="AE213" s="91" t="str">
        <f t="shared" si="71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3" s="88" t="str">
        <f t="shared" si="72"/>
        <v>"C:\Program Files (x86)\AstroGrep\AstroGrep.exe" /spath="%USERPROFILE%\AppData\Local\Temp\OnboardLogs" /stypes="app*4010*20161206*" /stext=" 13:.+((SYSTEM_STATE.+slice.+state.+changed )|(ment ac)|(multiple cpu faults)|(system.+state.+changed )|(\[timeout)|(PRM\|1\|D)|(kpr)|(kdp)|(\|lc)|(penalty))" /e /r /s</v>
      </c>
      <c r="AG213" s="1" t="str">
        <f t="shared" si="73"/>
        <v>Other</v>
      </c>
      <c r="AH213" s="92" t="str">
        <f t="shared" si="74"/>
        <v>"%USERPROFILE%\Documents\GitHub\eaglep3\Utilities\RefineRTDCRunTimes.py" --tripid 902-06 --locoid 4010 --swversion DE.1.0.8.0 --startMP 300:30729 --initTime 2016-12-06T06:02:51 --startdatetime 2016-12-06T06:04:22 --delay 1 --endMP 204:696 --enddatetime 2016-12-06T06:12:58 --enforcementcount 0 &gt;&gt;C:\Users\stu\Documents\GitHub\eaglep3-reporting\EC\2016-12-06-refined-times.txt</v>
      </c>
      <c r="AI213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{"issue":{"subject":"","project_id":79,"tracker_id":40,"status_id":1,"priority_id":2,"assigned_to_id":23,"start_date":"2016-12-06","description":"","custom_fields":[{"id":1,"name":"Subdivision","value":"Other"},{"id":4,"name":"Milepost","value":"0.0696"},{"id":17,"name":"Train ID","value":"902-06"},{"id":16,"name":"Locomotive ID","value":"4010"},{"id":130,"name":"Impact","value":""},{"id":150,"name":"Time of Event (Mountain Time)","value":"06:12:58"},{"id":151,"name":"Denver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508</v>
      </c>
      <c r="B214" s="7">
        <v>4022</v>
      </c>
      <c r="C214" s="22" t="s">
        <v>207</v>
      </c>
      <c r="D214" s="22" t="s">
        <v>808</v>
      </c>
      <c r="E214" s="13">
        <v>42710.357395833336</v>
      </c>
      <c r="F214" s="13">
        <v>42710.358541666668</v>
      </c>
      <c r="G214" s="7">
        <v>1</v>
      </c>
      <c r="H214" s="22" t="s">
        <v>809</v>
      </c>
      <c r="I214" s="13">
        <v>42710.364374999997</v>
      </c>
      <c r="J214" s="7">
        <v>0</v>
      </c>
      <c r="K214" s="109" t="str">
        <f t="shared" si="61"/>
        <v>4021/4022</v>
      </c>
      <c r="L214" s="22" t="str">
        <f>VLOOKUP(A214,'Trips&amp;Operators'!$C$1:$G$99999,5,FALSE)</f>
        <v>STARKS ANGELINA</v>
      </c>
      <c r="M214" s="6">
        <f t="shared" si="62"/>
        <v>5.8333333290647715E-3</v>
      </c>
      <c r="N214" s="7">
        <f t="shared" si="59"/>
        <v>8.399999993853271</v>
      </c>
      <c r="O214" s="7"/>
      <c r="P214" s="7"/>
      <c r="Q214" s="23"/>
      <c r="R214" s="23"/>
      <c r="S214" s="35">
        <f t="shared" si="60"/>
        <v>1</v>
      </c>
      <c r="T214" s="50" t="str">
        <f t="shared" si="6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07:34:39-700',mode:absolute,to:'2016-12-06 09:44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52" t="str">
        <f t="shared" si="65"/>
        <v>Y</v>
      </c>
      <c r="X214" s="177">
        <f t="shared" si="66"/>
        <v>1</v>
      </c>
      <c r="Y214" s="67">
        <f t="shared" si="67"/>
        <v>0.1133</v>
      </c>
      <c r="Z214" s="67">
        <f t="shared" si="68"/>
        <v>2.4205000000000001</v>
      </c>
      <c r="AA214" s="67">
        <f t="shared" si="69"/>
        <v>2.3071999999999999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70"/>
        <v>0903-06</v>
      </c>
      <c r="AE214" s="91" t="str">
        <f t="shared" si="71"/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AF214" s="88" t="str">
        <f t="shared" si="72"/>
        <v>"C:\Program Files (x86)\AstroGrep\AstroGrep.exe" /spath="%USERPROFILE%\AppData\Local\Temp\OnboardLogs" /stypes="app*4022*20161206*" /stext=" 15:.+((SYSTEM_STATE.+slice.+state.+changed )|(ment ac)|(multiple cpu faults)|(system.+state.+changed )|(\[timeout)|(PRM\|1\|D)|(kpr)|(kdp)|(\|lc)|(penalty))" /e /r /s</v>
      </c>
      <c r="AG214" s="1" t="str">
        <f t="shared" si="73"/>
        <v>Other</v>
      </c>
      <c r="AH214" s="92" t="str">
        <f t="shared" si="74"/>
        <v>"%USERPROFILE%\Documents\GitHub\eaglep3\Utilities\RefineRTDCRunTimes.py" --tripid 903-06 --locoid 4022 --swversion DE.1.0.8.0 --startMP 204:1133 --initTime 2016-12-06T08:34:39 --startdatetime 2016-12-06T08:36:18 --delay 1 --endMP 300:24205 --enddatetime 2016-12-06T08:44:42 --enforcementcount 0 &gt;&gt;C:\Users\stu\Documents\GitHub\eaglep3-reporting\EC\2016-12-06-refined-times.txt</v>
      </c>
      <c r="AI214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{"issue":{"subject":"","project_id":79,"tracker_id":40,"status_id":1,"priority_id":2,"assigned_to_id":23,"start_date":"2016-12-06","description":"","custom_fields":[{"id":1,"name":"Subdivision","value":"Other"},{"id":4,"name":"Milepost","value":"2.4205"},{"id":17,"name":"Train ID","value":"903-06"},{"id":16,"name":"Locomotive ID","value":"4022"},{"id":130,"name":"Impact","value":""},{"id":150,"name":"Time of Event (Mountain Time)","value":"08:44:42"},{"id":151,"name":"Denver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444</v>
      </c>
      <c r="B215" s="7">
        <v>4021</v>
      </c>
      <c r="C215" s="22" t="s">
        <v>207</v>
      </c>
      <c r="D215" s="22" t="s">
        <v>810</v>
      </c>
      <c r="E215" s="13">
        <v>42710.641840277778</v>
      </c>
      <c r="F215" s="13">
        <v>42710.642997685187</v>
      </c>
      <c r="G215" s="7">
        <v>1</v>
      </c>
      <c r="H215" s="22" t="s">
        <v>800</v>
      </c>
      <c r="I215" s="13">
        <v>42710.648622685185</v>
      </c>
      <c r="J215" s="7">
        <v>0</v>
      </c>
      <c r="K215" s="109" t="str">
        <f t="shared" si="61"/>
        <v>4021/4022</v>
      </c>
      <c r="L215" s="22" t="str">
        <f>VLOOKUP(A215,'Trips&amp;Operators'!$C$1:$G$99999,5,FALSE)</f>
        <v>STAMBAUGH JAMES</v>
      </c>
      <c r="M215" s="6">
        <f t="shared" si="62"/>
        <v>5.6249999979627319E-3</v>
      </c>
      <c r="N215" s="7">
        <f t="shared" si="59"/>
        <v>8.0999999970663339</v>
      </c>
      <c r="O215" s="7"/>
      <c r="P215" s="7"/>
      <c r="Q215" s="23"/>
      <c r="R215" s="23"/>
      <c r="S215" s="35">
        <f t="shared" si="60"/>
        <v>1</v>
      </c>
      <c r="T215" s="50" t="str">
        <f t="shared" si="63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5" s="52" t="str">
        <f t="shared" si="65"/>
        <v>Y</v>
      </c>
      <c r="X215" s="177">
        <f t="shared" si="66"/>
        <v>1</v>
      </c>
      <c r="Y215" s="67">
        <f t="shared" si="67"/>
        <v>2.3353000000000002</v>
      </c>
      <c r="Z215" s="67">
        <f t="shared" si="68"/>
        <v>6.8699999999999997E-2</v>
      </c>
      <c r="AA215" s="67">
        <f t="shared" si="69"/>
        <v>2.2665999999999999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70"/>
        <v>0904-06</v>
      </c>
      <c r="AE215" s="91" t="str">
        <f t="shared" si="71"/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AF215" s="88" t="str">
        <f t="shared" si="72"/>
        <v>"C:\Program Files (x86)\AstroGrep\AstroGrep.exe" /spath="%USERPROFILE%\AppData\Local\Temp\OnboardLogs" /stypes="app*4021*20161206*" /stext=" 22:.+((SYSTEM_STATE.+slice.+state.+changed )|(ment ac)|(multiple cpu faults)|(system.+state.+changed )|(\[timeout)|(PRM\|1\|D)|(kpr)|(kdp)|(\|lc)|(penalty))" /e /r /s</v>
      </c>
      <c r="AG215" s="1" t="str">
        <f t="shared" si="73"/>
        <v>Other</v>
      </c>
      <c r="AH215" s="92" t="str">
        <f t="shared" si="74"/>
        <v>"%USERPROFILE%\Documents\GitHub\eaglep3\Utilities\RefineRTDCRunTimes.py" --tripid 904-06 --locoid 4021 --swversion DE.1.0.8.0 --startMP 300:23353 --initTime 2016-12-06T15:24:15 --startdatetime 2016-12-06T15:25:55 --delay 1 --endMP 204:687 --enddatetime 2016-12-06T15:34:01 --enforcementcount 0 &gt;&gt;C:\Users\stu\Documents\GitHub\eaglep3-reporting\EC\2016-12-06-refined-times.txt</v>
      </c>
      <c r="AI215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{"issue":{"subject":"","project_id":79,"tracker_id":40,"status_id":1,"priority_id":2,"assigned_to_id":23,"start_date":"2016-12-06","description":"","custom_fields":[{"id":1,"name":"Subdivision","value":"Other"},{"id":4,"name":"Milepost","value":"0.0687"},{"id":17,"name":"Train ID","value":"904-06"},{"id":16,"name":"Locomotive ID","value":"4021"},{"id":130,"name":"Impact","value":""},{"id":150,"name":"Time of Event (Mountain Time)","value":"15:34:01"},{"id":151,"name":"Denver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640</v>
      </c>
      <c r="B216" s="7">
        <v>4010</v>
      </c>
      <c r="C216" s="22" t="s">
        <v>207</v>
      </c>
      <c r="D216" s="22" t="s">
        <v>314</v>
      </c>
      <c r="E216" s="13">
        <v>42710.941689814812</v>
      </c>
      <c r="F216" s="13">
        <v>42710.943368055552</v>
      </c>
      <c r="G216" s="7">
        <v>1</v>
      </c>
      <c r="H216" s="22" t="s">
        <v>811</v>
      </c>
      <c r="I216" s="13">
        <v>42710.947546296295</v>
      </c>
      <c r="J216" s="7">
        <v>0</v>
      </c>
      <c r="K216" s="109" t="str">
        <f t="shared" si="61"/>
        <v>4009/4010</v>
      </c>
      <c r="L216" s="22" t="str">
        <f>VLOOKUP(A216,'Trips&amp;Operators'!$C$1:$G$99999,5,FALSE)</f>
        <v>STAMBAUGH JAMES</v>
      </c>
      <c r="M216" s="6">
        <f t="shared" si="62"/>
        <v>4.1782407424761914E-3</v>
      </c>
      <c r="N216" s="7">
        <f t="shared" si="59"/>
        <v>6.0166666691657156</v>
      </c>
      <c r="O216" s="7"/>
      <c r="P216" s="7"/>
      <c r="Q216" s="23"/>
      <c r="R216" s="23"/>
      <c r="S216" s="35">
        <f t="shared" si="60"/>
        <v>0</v>
      </c>
      <c r="T216" s="50" t="str">
        <f t="shared" si="63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21:36:02-700',mode:absolute,to:'2016-12-06 23:44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6" s="52" t="str">
        <f t="shared" si="65"/>
        <v>Y</v>
      </c>
      <c r="X216" s="177">
        <f t="shared" si="66"/>
        <v>4</v>
      </c>
      <c r="Y216" s="67">
        <f t="shared" si="67"/>
        <v>5.8619000000000003</v>
      </c>
      <c r="Z216" s="67">
        <f t="shared" si="68"/>
        <v>2.1575000000000002</v>
      </c>
      <c r="AA216" s="67">
        <f t="shared" si="69"/>
        <v>3.7044000000000001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70"/>
        <v>0908-06</v>
      </c>
      <c r="AE216" s="91" t="str">
        <f t="shared" si="71"/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AF216" s="88" t="str">
        <f t="shared" si="72"/>
        <v>"C:\Program Files (x86)\AstroGrep\AstroGrep.exe" /spath="%USERPROFILE%\AppData\Local\Temp\OnboardLogs" /stypes="app*4010*20161207*" /stext=" 05:.+((SYSTEM_STATE.+slice.+state.+changed )|(ment ac)|(multiple cpu faults)|(system.+state.+changed )|(\[timeout)|(PRM\|1\|D)|(kpr)|(kdp)|(\|lc)|(penalty))" /e /r /s</v>
      </c>
      <c r="AG216" s="1" t="str">
        <f t="shared" si="73"/>
        <v>Other</v>
      </c>
      <c r="AH216" s="92" t="str">
        <f t="shared" si="74"/>
        <v>"%USERPROFILE%\Documents\GitHub\eaglep3\Utilities\RefineRTDCRunTimes.py" --tripid 908-06 --locoid 4010 --swversion DE.1.0.8.0 --startMP 300:58619 --initTime 2016-12-06T22:36:02 --startdatetime 2016-12-06T22:38:27 --delay 1 --endMP 300:21575 --enddatetime 2016-12-06T22:44:28 --enforcementcount 0 &gt;&gt;C:\Users\stu\Documents\GitHub\eaglep3-reporting\EC\2016-12-06-refined-times.txt</v>
      </c>
      <c r="AI216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{"issue":{"subject":"","project_id":79,"tracker_id":40,"status_id":1,"priority_id":2,"assigned_to_id":23,"start_date":"2016-12-06","description":"","custom_fields":[{"id":1,"name":"Subdivision","value":"Other"},{"id":4,"name":"Milepost","value":"2.1575"},{"id":17,"name":"Train ID","value":"908-06"},{"id":16,"name":"Locomotive ID","value":"4010"},{"id":130,"name":"Impact","value":""},{"id":150,"name":"Time of Event (Mountain Time)","value":"22:44:28"},{"id":151,"name":"Denver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438</v>
      </c>
      <c r="B217" s="7">
        <v>4045</v>
      </c>
      <c r="C217" s="22" t="s">
        <v>207</v>
      </c>
      <c r="D217" s="22" t="s">
        <v>748</v>
      </c>
      <c r="E217" s="13">
        <v>42710.440254629626</v>
      </c>
      <c r="F217" s="13">
        <v>42710.441747685189</v>
      </c>
      <c r="G217" s="7">
        <v>1</v>
      </c>
      <c r="H217" s="22" t="s">
        <v>749</v>
      </c>
      <c r="I217" s="13">
        <v>42710.446956018517</v>
      </c>
      <c r="J217" s="7">
        <v>0</v>
      </c>
      <c r="K217" s="109" t="str">
        <f t="shared" si="61"/>
        <v>4045/4046</v>
      </c>
      <c r="L217" s="22" t="str">
        <f>VLOOKUP(A217,'Trips&amp;Operators'!$C$1:$G$99999,5,FALSE)</f>
        <v>BARTLETT KIANDRA</v>
      </c>
      <c r="M217" s="6">
        <f t="shared" si="62"/>
        <v>5.2083333284826949E-3</v>
      </c>
      <c r="N217" s="7">
        <f t="shared" si="59"/>
        <v>7.4999999930150807</v>
      </c>
      <c r="O217" s="7"/>
      <c r="P217" s="7"/>
      <c r="Q217" s="23"/>
      <c r="R217" s="23"/>
      <c r="S217" s="35">
        <f t="shared" si="60"/>
        <v>0</v>
      </c>
      <c r="T217" s="50" t="e">
        <f t="shared" si="63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7" s="52" t="str">
        <f t="shared" si="65"/>
        <v>Y</v>
      </c>
      <c r="X217" s="177" t="e">
        <f t="shared" si="66"/>
        <v>#VALUE!</v>
      </c>
      <c r="Y217" s="67">
        <f t="shared" si="67"/>
        <v>2.1949999999999998</v>
      </c>
      <c r="Z217" s="67">
        <f t="shared" si="68"/>
        <v>6.4000000000000003E-3</v>
      </c>
      <c r="AA217" s="67">
        <f t="shared" si="69"/>
        <v>2.1885999999999997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70"/>
        <v>50-06</v>
      </c>
      <c r="AE217" s="91" t="str">
        <f t="shared" si="71"/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AF217" s="88" t="str">
        <f t="shared" si="72"/>
        <v>"C:\Program Files (x86)\AstroGrep\AstroGrep.exe" /spath="%USERPROFILE%\AppData\Local\Temp\OnboardLogs" /stypes="app*4045*20161206*" /stext=" 17:.+((SYSTEM_STATE.+slice.+state.+changed )|(ment ac)|(multiple cpu faults)|(system.+state.+changed )|(\[timeout)|(PRM\|1\|D)|(kpr)|(kdp)|(\|lc)|(penalty))" /e /r /s</v>
      </c>
      <c r="AG217" s="1" t="str">
        <f t="shared" si="73"/>
        <v>Other</v>
      </c>
      <c r="AH217" s="92" t="str">
        <f t="shared" si="74"/>
        <v>"%USERPROFILE%\Documents\GitHub\eaglep3\Utilities\RefineRTDCRunTimes.py" --tripid 50-06 --locoid 4045 --swversion DE.1.0.8.0 --startMP 300:21950 --initTime 2016-12-06T10:33:58 --startdatetime 2016-12-06T10:36:07 --delay 1 --endMP 204:64 --enddatetime 2016-12-06T10:43:37 --enforcementcount 0 &gt;&gt;C:\Users\stu\Documents\GitHub\eaglep3-reporting\EC\2016-12-06-refined-times.txt</v>
      </c>
      <c r="AI217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{"issue":{"subject":"","project_id":79,"tracker_id":40,"status_id":1,"priority_id":2,"assigned_to_id":23,"start_date":"2016-12-06","description":"","custom_fields":[{"id":1,"name":"Subdivision","value":"Other"},{"id":4,"name":"Milepost","value":"0.0064"},{"id":17,"name":"Train ID","value":"50-06"},{"id":16,"name":"Locomotive ID","value":"4045"},{"id":130,"name":"Impact","value":""},{"id":150,"name":"Time of Event (Mountain Time)","value":"10:43:37"},{"id":151,"name":"Denver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554</v>
      </c>
      <c r="B218" s="7">
        <v>4046</v>
      </c>
      <c r="C218" s="22" t="s">
        <v>207</v>
      </c>
      <c r="D218" s="22" t="s">
        <v>750</v>
      </c>
      <c r="E218" s="13">
        <v>42710.54886574074</v>
      </c>
      <c r="F218" s="13">
        <v>42710.550578703704</v>
      </c>
      <c r="G218" s="7">
        <v>1</v>
      </c>
      <c r="H218" s="22" t="s">
        <v>751</v>
      </c>
      <c r="I218" s="13">
        <v>42710.555347222224</v>
      </c>
      <c r="J218" s="7">
        <v>0</v>
      </c>
      <c r="K218" s="109" t="str">
        <f t="shared" si="61"/>
        <v>4045/4046</v>
      </c>
      <c r="L218" s="22" t="str">
        <f>VLOOKUP(A218,'Trips&amp;Operators'!$C$1:$G$99999,5,FALSE)</f>
        <v>ROCHA YAOTL</v>
      </c>
      <c r="M218" s="6">
        <f t="shared" si="62"/>
        <v>4.7685185199952684E-3</v>
      </c>
      <c r="N218" s="7">
        <f t="shared" si="59"/>
        <v>6.8666666687931865</v>
      </c>
      <c r="O218" s="7"/>
      <c r="P218" s="7"/>
      <c r="Q218" s="23"/>
      <c r="R218" s="23"/>
      <c r="S218" s="35">
        <f t="shared" si="60"/>
        <v>0</v>
      </c>
      <c r="T218" s="50" t="e">
        <f t="shared" si="63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12:10:22-700',mode:absolute,to:'2016-12-06 14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65"/>
        <v>Y</v>
      </c>
      <c r="X218" s="177" t="e">
        <f t="shared" si="66"/>
        <v>#VALUE!</v>
      </c>
      <c r="Y218" s="67">
        <f t="shared" si="67"/>
        <v>3.85E-2</v>
      </c>
      <c r="Z218" s="67">
        <f t="shared" si="68"/>
        <v>2.4224000000000001</v>
      </c>
      <c r="AA218" s="67">
        <f t="shared" si="69"/>
        <v>2.3839000000000001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70"/>
        <v>51-06</v>
      </c>
      <c r="AE218" s="91" t="str">
        <f t="shared" si="71"/>
        <v>aws s3 cp s3://rtdc.mdm.uploadarchive.raw/RTDC4046/ "%USERPROFILE%\AppData\Local\Temp\OnboardLogs"\RTDC4046\2016-12-06 --exclude "*" --recursive --include "*20161206*" &amp; "%USERPROFILE%\Documents\GitHub\mrs-test-scripts\Headless Mode &amp; Sideloading\WalkAndUnGZ.bat" "%USERPROFILE%\AppData\Local\Temp\OnboardLogs"\RTDC4046\2016-12-06 &amp; aws s3 cp s3://rtdc.mdm.uploadarchive.raw/RTDC4046/ "%USERPROFILE%\AppData\Local\Temp\OnboardLogs"\RTDC4046\2016-12-07 --exclude "*" --recursive --include "*20161207*" &amp; "%USERPROFILE%\Documents\GitHub\mrs-test-scripts\Headless Mode &amp; Sideloading\WalkAndUnGZ.bat" "%USERPROFILE%\AppData\Local\Temp\OnboardLogs"\RTDC4046\2016-12-07</v>
      </c>
      <c r="AF218" s="88" t="str">
        <f t="shared" si="72"/>
        <v>"C:\Program Files (x86)\AstroGrep\AstroGrep.exe" /spath="%USERPROFILE%\AppData\Local\Temp\OnboardLogs" /stypes="app*4046*20161206*" /stext=" 20:.+((SYSTEM_STATE.+slice.+state.+changed )|(ment ac)|(multiple cpu faults)|(system.+state.+changed )|(\[timeout)|(PRM\|1\|D)|(kpr)|(kdp)|(\|lc)|(penalty))" /e /r /s</v>
      </c>
      <c r="AG218" s="1" t="str">
        <f t="shared" si="73"/>
        <v>Other</v>
      </c>
      <c r="AH218" s="92" t="str">
        <f t="shared" si="74"/>
        <v>"%USERPROFILE%\Documents\GitHub\eaglep3\Utilities\RefineRTDCRunTimes.py" --tripid 51-06 --locoid 4046 --swversion DE.1.0.8.0 --startMP 204:385 --initTime 2016-12-06T13:10:22 --startdatetime 2016-12-06T13:12:50 --delay 1 --endMP 300:24224 --enddatetime 2016-12-06T13:19:42 --enforcementcount 0 &gt;&gt;C:\Users\stu\Documents\GitHub\eaglep3-reporting\EC\2016-12-06-refined-times.txt</v>
      </c>
      <c r="AI218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{"issue":{"subject":"","project_id":79,"tracker_id":40,"status_id":1,"priority_id":2,"assigned_to_id":23,"start_date":"2016-12-06","description":"","custom_fields":[{"id":1,"name":"Subdivision","value":"Other"},{"id":4,"name":"Milepost","value":"2.4224"},{"id":17,"name":"Train ID","value":"51-06"},{"id":16,"name":"Locomotive ID","value":"4046"},{"id":130,"name":"Impact","value":""},{"id":150,"name":"Time of Event (Mountain Time)","value":"13:19:42"},{"id":151,"name":"Denver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528</v>
      </c>
      <c r="B219" s="7">
        <v>4008</v>
      </c>
      <c r="C219" s="22" t="s">
        <v>207</v>
      </c>
      <c r="D219" s="22" t="s">
        <v>752</v>
      </c>
      <c r="E219" s="13">
        <v>42710.457604166666</v>
      </c>
      <c r="F219" s="13">
        <v>42710.45921296296</v>
      </c>
      <c r="G219" s="7">
        <v>1</v>
      </c>
      <c r="H219" s="22" t="s">
        <v>750</v>
      </c>
      <c r="I219" s="13">
        <v>42710.465046296296</v>
      </c>
      <c r="J219" s="7">
        <v>0</v>
      </c>
      <c r="K219" s="109" t="str">
        <f t="shared" si="61"/>
        <v>4007/4008</v>
      </c>
      <c r="L219" s="22" t="str">
        <f>VLOOKUP(A219,'Trips&amp;Operators'!$C$1:$G$99999,5,FALSE)</f>
        <v>HELVIE ADAM</v>
      </c>
      <c r="M219" s="6">
        <f t="shared" si="62"/>
        <v>5.8333333363407291E-3</v>
      </c>
      <c r="N219" s="7">
        <f t="shared" si="59"/>
        <v>8.40000000433065</v>
      </c>
      <c r="O219" s="7"/>
      <c r="P219" s="7"/>
      <c r="Q219" s="23"/>
      <c r="R219" s="23"/>
      <c r="S219" s="35">
        <f t="shared" si="60"/>
        <v>0</v>
      </c>
      <c r="T219" s="50" t="e">
        <f t="shared" si="63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09:58:57-700',mode:absolute,to:'2016-12-06 12:09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 t="shared" si="65"/>
        <v>Y</v>
      </c>
      <c r="X219" s="177" t="e">
        <f t="shared" si="66"/>
        <v>#VALUE!</v>
      </c>
      <c r="Y219" s="67">
        <f t="shared" si="67"/>
        <v>2.1934999999999998</v>
      </c>
      <c r="Z219" s="67">
        <f t="shared" si="68"/>
        <v>3.85E-2</v>
      </c>
      <c r="AA219" s="67">
        <f t="shared" si="69"/>
        <v>2.1549999999999998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70"/>
        <v>52-06</v>
      </c>
      <c r="AE219" s="91" t="str">
        <f t="shared" si="71"/>
        <v>aws s3 cp s3://rtdc.mdm.uploadarchive.raw/RTDC4008/ "%USERPROFILE%\AppData\Local\Temp\OnboardLogs"\RTDC4008\2016-12-06 --exclude "*" --recursive --include "*20161206*" &amp; "%USERPROFILE%\Documents\GitHub\mrs-test-scripts\Headless Mode &amp; Sideloading\WalkAndUnGZ.bat" "%USERPROFILE%\AppData\Local\Temp\OnboardLogs"\RTDC4008\2016-12-06 &amp; aws s3 cp s3://rtdc.mdm.uploadarchive.raw/RTDC4008/ "%USERPROFILE%\AppData\Local\Temp\OnboardLogs"\RTDC4008\2016-12-07 --exclude "*" --recursive --include "*20161207*" &amp; "%USERPROFILE%\Documents\GitHub\mrs-test-scripts\Headless Mode &amp; Sideloading\WalkAndUnGZ.bat" "%USERPROFILE%\AppData\Local\Temp\OnboardLogs"\RTDC4008\2016-12-07</v>
      </c>
      <c r="AF219" s="88" t="str">
        <f t="shared" si="72"/>
        <v>"C:\Program Files (x86)\AstroGrep\AstroGrep.exe" /spath="%USERPROFILE%\AppData\Local\Temp\OnboardLogs" /stypes="app*4008*20161206*" /stext=" 18:.+((SYSTEM_STATE.+slice.+state.+changed )|(ment ac)|(multiple cpu faults)|(system.+state.+changed )|(\[timeout)|(PRM\|1\|D)|(kpr)|(kdp)|(\|lc)|(penalty))" /e /r /s</v>
      </c>
      <c r="AG219" s="1" t="str">
        <f t="shared" si="73"/>
        <v>Other</v>
      </c>
      <c r="AH219" s="92" t="str">
        <f t="shared" si="74"/>
        <v>"%USERPROFILE%\Documents\GitHub\eaglep3\Utilities\RefineRTDCRunTimes.py" --tripid 52-06 --locoid 4008 --swversion DE.1.0.8.0 --startMP 300:21935 --initTime 2016-12-06T10:58:57 --startdatetime 2016-12-06T11:01:16 --delay 1 --endMP 204:385 --enddatetime 2016-12-06T11:09:40 --enforcementcount 0 &gt;&gt;C:\Users\stu\Documents\GitHub\eaglep3-reporting\EC\2016-12-06-refined-times.txt</v>
      </c>
      <c r="AI219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{"issue":{"subject":"","project_id":79,"tracker_id":40,"status_id":1,"priority_id":2,"assigned_to_id":23,"start_date":"2016-12-06","description":"","custom_fields":[{"id":1,"name":"Subdivision","value":"Other"},{"id":4,"name":"Milepost","value":"0.0385"},{"id":17,"name":"Train ID","value":"52-06"},{"id":16,"name":"Locomotive ID","value":"4008"},{"id":130,"name":"Impact","value":""},{"id":150,"name":"Time of Event (Mountain Time)","value":"11:09:40"},{"id":151,"name":"Denver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530</v>
      </c>
      <c r="B220" s="7">
        <v>4007</v>
      </c>
      <c r="C220" s="22" t="s">
        <v>207</v>
      </c>
      <c r="D220" s="22" t="s">
        <v>753</v>
      </c>
      <c r="E220" s="13">
        <v>42710.468715277777</v>
      </c>
      <c r="F220" s="13">
        <v>42710.469930555555</v>
      </c>
      <c r="G220" s="7">
        <v>1</v>
      </c>
      <c r="H220" s="22" t="s">
        <v>754</v>
      </c>
      <c r="I220" s="13">
        <v>42710.475601851853</v>
      </c>
      <c r="J220" s="7">
        <v>0</v>
      </c>
      <c r="K220" s="109" t="str">
        <f t="shared" si="61"/>
        <v>4007/4008</v>
      </c>
      <c r="L220" s="22" t="str">
        <f>VLOOKUP(A220,'Trips&amp;Operators'!$C$1:$G$99999,5,FALSE)</f>
        <v>HAUSER FRANK</v>
      </c>
      <c r="M220" s="6">
        <f t="shared" si="62"/>
        <v>5.6712962978053838E-3</v>
      </c>
      <c r="N220" s="7">
        <f t="shared" si="59"/>
        <v>8.1666666688397527</v>
      </c>
      <c r="O220" s="7"/>
      <c r="P220" s="7"/>
      <c r="Q220" s="23"/>
      <c r="R220" s="23"/>
      <c r="S220" s="35">
        <f t="shared" si="60"/>
        <v>0</v>
      </c>
      <c r="T220" s="50" t="e">
        <f t="shared" si="63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10:14:57-700',mode:absolute,to:'2016-12-06 12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0" s="52" t="str">
        <f t="shared" si="65"/>
        <v>Y</v>
      </c>
      <c r="X220" s="177" t="e">
        <f t="shared" si="66"/>
        <v>#VALUE!</v>
      </c>
      <c r="Y220" s="67">
        <f t="shared" si="67"/>
        <v>7.0300000000000001E-2</v>
      </c>
      <c r="Z220" s="67">
        <f t="shared" si="68"/>
        <v>2.4197000000000002</v>
      </c>
      <c r="AA220" s="67">
        <f t="shared" si="69"/>
        <v>2.3494000000000002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70"/>
        <v>53-06</v>
      </c>
      <c r="AE220" s="91" t="str">
        <f t="shared" si="71"/>
        <v>aws s3 cp s3://rtdc.mdm.uploadarchive.raw/RTDC4007/ "%USERPROFILE%\AppData\Local\Temp\OnboardLogs"\RTDC4007\2016-12-06 --exclude "*" --recursive --include "*20161206*" &amp; "%USERPROFILE%\Documents\GitHub\mrs-test-scripts\Headless Mode &amp; Sideloading\WalkAndUnGZ.bat" "%USERPROFILE%\AppData\Local\Temp\OnboardLogs"\RTDC4007\2016-12-06 &amp; aws s3 cp s3://rtdc.mdm.uploadarchive.raw/RTDC4007/ "%USERPROFILE%\AppData\Local\Temp\OnboardLogs"\RTDC4007\2016-12-07 --exclude "*" --recursive --include "*20161207*" &amp; "%USERPROFILE%\Documents\GitHub\mrs-test-scripts\Headless Mode &amp; Sideloading\WalkAndUnGZ.bat" "%USERPROFILE%\AppData\Local\Temp\OnboardLogs"\RTDC4007\2016-12-07</v>
      </c>
      <c r="AF220" s="88" t="str">
        <f t="shared" si="72"/>
        <v>"C:\Program Files (x86)\AstroGrep\AstroGrep.exe" /spath="%USERPROFILE%\AppData\Local\Temp\OnboardLogs" /stypes="app*4007*20161206*" /stext=" 18:.+((SYSTEM_STATE.+slice.+state.+changed )|(ment ac)|(multiple cpu faults)|(system.+state.+changed )|(\[timeout)|(PRM\|1\|D)|(kpr)|(kdp)|(\|lc)|(penalty))" /e /r /s</v>
      </c>
      <c r="AG220" s="1" t="str">
        <f t="shared" si="73"/>
        <v>Other</v>
      </c>
      <c r="AH220" s="92" t="str">
        <f t="shared" si="74"/>
        <v>"%USERPROFILE%\Documents\GitHub\eaglep3\Utilities\RefineRTDCRunTimes.py" --tripid 53-06 --locoid 4007 --swversion DE.1.0.8.0 --startMP 204:703 --initTime 2016-12-06T11:14:57 --startdatetime 2016-12-06T11:16:42 --delay 1 --endMP 300:24197 --enddatetime 2016-12-06T11:24:52 --enforcementcount 0 &gt;&gt;C:\Users\stu\Documents\GitHub\eaglep3-reporting\EC\2016-12-06-refined-times.txt</v>
      </c>
      <c r="AI220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{"issue":{"subject":"","project_id":79,"tracker_id":40,"status_id":1,"priority_id":2,"assigned_to_id":23,"start_date":"2016-12-06","description":"","custom_fields":[{"id":1,"name":"Subdivision","value":"Other"},{"id":4,"name":"Milepost","value":"2.4197"},{"id":17,"name":"Train ID","value":"53-06"},{"id":16,"name":"Locomotive ID","value":"4007"},{"id":130,"name":"Impact","value":""},{"id":150,"name":"Time of Event (Mountain Time)","value":"11:24:52"},{"id":151,"name":"Denver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549</v>
      </c>
      <c r="B221" s="7">
        <v>4027</v>
      </c>
      <c r="C221" s="22" t="s">
        <v>207</v>
      </c>
      <c r="D221" s="22" t="s">
        <v>755</v>
      </c>
      <c r="E221" s="13">
        <v>42710.544363425928</v>
      </c>
      <c r="F221" s="13">
        <v>42710.547037037039</v>
      </c>
      <c r="G221" s="7">
        <v>3</v>
      </c>
      <c r="H221" s="22" t="s">
        <v>756</v>
      </c>
      <c r="I221" s="13">
        <v>42710.551944444444</v>
      </c>
      <c r="J221" s="7">
        <v>0</v>
      </c>
      <c r="K221" s="109" t="str">
        <f t="shared" si="61"/>
        <v>4027/4028</v>
      </c>
      <c r="L221" s="22" t="str">
        <f>VLOOKUP(A221,'Trips&amp;Operators'!$C$1:$G$99999,5,FALSE)</f>
        <v>STARKS ANGELINA</v>
      </c>
      <c r="M221" s="6">
        <f t="shared" si="62"/>
        <v>4.907407404971309E-3</v>
      </c>
      <c r="N221" s="7">
        <f t="shared" si="59"/>
        <v>7.066666663158685</v>
      </c>
      <c r="O221" s="7"/>
      <c r="P221" s="7"/>
      <c r="Q221" s="23"/>
      <c r="R221" s="23"/>
      <c r="S221" s="35">
        <f t="shared" si="60"/>
        <v>0</v>
      </c>
      <c r="T221" s="50" t="e">
        <f t="shared" si="63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12:03:53-700',mode:absolute,to:'2016-12-06 14:14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1" s="52" t="str">
        <f t="shared" si="65"/>
        <v>Y</v>
      </c>
      <c r="X221" s="177" t="e">
        <f t="shared" si="66"/>
        <v>#VALUE!</v>
      </c>
      <c r="Y221" s="67">
        <f t="shared" si="67"/>
        <v>0.13239999999999999</v>
      </c>
      <c r="Z221" s="67">
        <f t="shared" si="68"/>
        <v>2.3302</v>
      </c>
      <c r="AA221" s="67">
        <f t="shared" si="69"/>
        <v>2.1978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70"/>
        <v>55-06</v>
      </c>
      <c r="AE221" s="91" t="str">
        <f t="shared" si="71"/>
        <v>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 &amp; aws s3 cp s3://rtdc.mdm.uploadarchive.raw/RTDC4027/ "%USERPROFILE%\AppData\Local\Temp\OnboardLogs"\RTDC4027\2016-12-07 --exclude "*" --recursive --include "*20161207*" &amp; "%USERPROFILE%\Documents\GitHub\mrs-test-scripts\Headless Mode &amp; Sideloading\WalkAndUnGZ.bat" "%USERPROFILE%\AppData\Local\Temp\OnboardLogs"\RTDC4027\2016-12-07</v>
      </c>
      <c r="AF221" s="88" t="str">
        <f t="shared" si="72"/>
        <v>"C:\Program Files (x86)\AstroGrep\AstroGrep.exe" /spath="%USERPROFILE%\AppData\Local\Temp\OnboardLogs" /stypes="app*4027*20161206*" /stext=" 20:.+((SYSTEM_STATE.+slice.+state.+changed )|(ment ac)|(multiple cpu faults)|(system.+state.+changed )|(\[timeout)|(PRM\|1\|D)|(kpr)|(kdp)|(\|lc)|(penalty))" /e /r /s</v>
      </c>
      <c r="AG221" s="1" t="str">
        <f t="shared" si="73"/>
        <v>Other</v>
      </c>
      <c r="AH221" s="92" t="str">
        <f t="shared" si="74"/>
        <v>"%USERPROFILE%\Documents\GitHub\eaglep3\Utilities\RefineRTDCRunTimes.py" --tripid 55-06 --locoid 4027 --swversion DE.1.0.8.0 --startMP 204:1324 --initTime 2016-12-06T13:03:53 --startdatetime 2016-12-06T13:07:44 --delay 3 --endMP 300:23302 --enddatetime 2016-12-06T13:14:48 --enforcementcount 0 &gt;&gt;C:\Users\stu\Documents\GitHub\eaglep3-reporting\EC\2016-12-06-refined-times.txt</v>
      </c>
      <c r="AI221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{"issue":{"subject":"","project_id":79,"tracker_id":40,"status_id":1,"priority_id":2,"assigned_to_id":23,"start_date":"2016-12-06","description":"","custom_fields":[{"id":1,"name":"Subdivision","value":"Other"},{"id":4,"name":"Milepost","value":"2.3302"},{"id":17,"name":"Train ID","value":"55-06"},{"id":16,"name":"Locomotive ID","value":"4027"},{"id":130,"name":"Impact","value":""},{"id":150,"name":"Time of Event (Mountain Time)","value":"13:14:48"},{"id":151,"name":"Denver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561</v>
      </c>
      <c r="B222" s="7">
        <v>4027</v>
      </c>
      <c r="C222" s="22" t="s">
        <v>207</v>
      </c>
      <c r="D222" s="22" t="s">
        <v>344</v>
      </c>
      <c r="E222" s="13">
        <v>42710.594942129632</v>
      </c>
      <c r="F222" s="13">
        <v>25568.708333333332</v>
      </c>
      <c r="G222" s="7">
        <v>1</v>
      </c>
      <c r="H222" s="22" t="s">
        <v>757</v>
      </c>
      <c r="I222" s="13">
        <v>25568.708333333332</v>
      </c>
      <c r="J222" s="7">
        <v>0</v>
      </c>
      <c r="K222" s="109" t="str">
        <f t="shared" si="61"/>
        <v>4027/4028</v>
      </c>
      <c r="L222" s="22" t="str">
        <f>VLOOKUP(A222,'Trips&amp;Operators'!$C$1:$G$99999,5,FALSE)</f>
        <v>DELGADO DIANAH</v>
      </c>
      <c r="M222" s="6">
        <f t="shared" si="62"/>
        <v>0</v>
      </c>
      <c r="N222" s="7">
        <f t="shared" si="59"/>
        <v>0</v>
      </c>
      <c r="O222" s="7"/>
      <c r="P222" s="7"/>
      <c r="Q222" s="23"/>
      <c r="R222" s="23"/>
      <c r="S222" s="35">
        <f t="shared" si="60"/>
        <v>0</v>
      </c>
      <c r="T222" s="50" t="e">
        <f t="shared" si="63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13:16:43-700',mode:absolute,to:'1969-12-31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2" s="52" t="str">
        <f t="shared" si="65"/>
        <v>N</v>
      </c>
      <c r="X222" s="177" t="e">
        <f t="shared" si="66"/>
        <v>#VALUE!</v>
      </c>
      <c r="Y222" s="67">
        <f t="shared" si="67"/>
        <v>4.6399999999999997E-2</v>
      </c>
      <c r="Z222" s="67">
        <f t="shared" si="68"/>
        <v>5.8912000000000004</v>
      </c>
      <c r="AA222" s="67">
        <f t="shared" si="69"/>
        <v>5.8448000000000002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70"/>
        <v>64-06</v>
      </c>
      <c r="AE222" s="91" t="str">
        <f t="shared" si="7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2" s="88" t="str">
        <f t="shared" si="7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2" s="1" t="str">
        <f t="shared" si="73"/>
        <v>Other</v>
      </c>
      <c r="AH222" s="92" t="str">
        <f t="shared" si="74"/>
        <v>"%USERPROFILE%\Documents\GitHub\eaglep3\Utilities\RefineRTDCRunTimes.py" --tripid 64-06 --locoid 4027 --swversion DE.1.0.8.0 --startMP 204:464 --initTime 2016-12-06T14:16:43 --startdatetime 1969-12-31T17:00:00 --delay 1 --endMP 300:58912 --enddatetime 1969-12-31T17:00:00 --enforcementcount 0 &gt;&gt;C:\Users\stu\Documents\GitHub\eaglep3-reporting\EC\2016-12-06-refined-times.txt</v>
      </c>
      <c r="AI222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{"issue":{"subject":"","project_id":79,"tracker_id":40,"status_id":1,"priority_id":2,"assigned_to_id":23,"start_date":"1969-12-31","description":"","custom_fields":[{"id":1,"name":"Subdivision","value":"Other"},{"id":4,"name":"Milepost","value":"5.8912"},{"id":17,"name":"Train ID","value":"64-06"},{"id":16,"name":"Locomotive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561</v>
      </c>
      <c r="B223" s="7">
        <v>4028</v>
      </c>
      <c r="C223" s="22" t="s">
        <v>207</v>
      </c>
      <c r="D223" s="22" t="s">
        <v>758</v>
      </c>
      <c r="E223" s="13">
        <v>42710.580289351848</v>
      </c>
      <c r="F223" s="13">
        <v>42710.596192129633</v>
      </c>
      <c r="G223" s="7">
        <v>1</v>
      </c>
      <c r="H223" s="22" t="s">
        <v>759</v>
      </c>
      <c r="I223" s="13">
        <v>42710.606921296298</v>
      </c>
      <c r="J223" s="7">
        <v>0</v>
      </c>
      <c r="K223" s="109" t="str">
        <f t="shared" si="61"/>
        <v>4027/4028</v>
      </c>
      <c r="L223" s="22" t="str">
        <f>VLOOKUP(A223,'Trips&amp;Operators'!$C$1:$G$99999,5,FALSE)</f>
        <v>DELGADO DIANAH</v>
      </c>
      <c r="M223" s="6">
        <f t="shared" si="62"/>
        <v>1.0729166664532386E-2</v>
      </c>
      <c r="N223" s="7">
        <f t="shared" si="59"/>
        <v>15.449999996926636</v>
      </c>
      <c r="O223" s="7"/>
      <c r="P223" s="7"/>
      <c r="Q223" s="23"/>
      <c r="R223" s="23"/>
      <c r="S223" s="35">
        <f t="shared" si="60"/>
        <v>0</v>
      </c>
      <c r="T223" s="50" t="e">
        <f t="shared" si="63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12:55:37-700',mode:absolute,to:'2016-12-06 15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3" s="52" t="str">
        <f t="shared" si="65"/>
        <v>Y</v>
      </c>
      <c r="X223" s="177" t="e">
        <f t="shared" si="66"/>
        <v>#VALUE!</v>
      </c>
      <c r="Y223" s="67">
        <f t="shared" si="67"/>
        <v>2.1785999999999999</v>
      </c>
      <c r="Z223" s="67">
        <f t="shared" si="68"/>
        <v>1.4E-2</v>
      </c>
      <c r="AA223" s="67">
        <f t="shared" si="69"/>
        <v>2.1646000000000001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70"/>
        <v>64-06</v>
      </c>
      <c r="AE223" s="91" t="str">
        <f t="shared" si="71"/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AF223" s="88" t="str">
        <f t="shared" si="72"/>
        <v>"C:\Program Files (x86)\AstroGrep\AstroGrep.exe" /spath="%USERPROFILE%\AppData\Local\Temp\OnboardLogs" /stypes="app*4028*20161206*" /stext=" 21:.+((SYSTEM_STATE.+slice.+state.+changed )|(ment ac)|(multiple cpu faults)|(system.+state.+changed )|(\[timeout)|(PRM\|1\|D)|(kpr)|(kdp)|(\|lc)|(penalty))" /e /r /s</v>
      </c>
      <c r="AG223" s="1" t="str">
        <f t="shared" si="73"/>
        <v>Other</v>
      </c>
      <c r="AH223" s="92" t="str">
        <f t="shared" si="74"/>
        <v>"%USERPROFILE%\Documents\GitHub\eaglep3\Utilities\RefineRTDCRunTimes.py" --tripid 64-06 --locoid 4028 --swversion DE.1.0.8.0 --startMP 300:21786 --initTime 2016-12-06T13:55:37 --startdatetime 2016-12-06T14:18:31 --delay 1 --endMP 204:140 --enddatetime 2016-12-06T14:33:58 --enforcementcount 0 &gt;&gt;C:\Users\stu\Documents\GitHub\eaglep3-reporting\EC\2016-12-06-refined-times.txt</v>
      </c>
      <c r="AI223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{"issue":{"subject":"","project_id":79,"tracker_id":40,"status_id":1,"priority_id":2,"assigned_to_id":23,"start_date":"2016-12-06","description":"","custom_fields":[{"id":1,"name":"Subdivision","value":"Other"},{"id":4,"name":"Milepost","value":"0.014"},{"id":17,"name":"Train ID","value":"64-06"},{"id":16,"name":"Locomotive ID","value":"4028"},{"id":130,"name":"Impact","value":""},{"id":150,"name":"Time of Event (Mountain Time)","value":"14:33:58"},{"id":151,"name":"Denver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561</v>
      </c>
      <c r="B224" s="7">
        <v>4028</v>
      </c>
      <c r="C224" s="22" t="s">
        <v>207</v>
      </c>
      <c r="D224" s="22" t="s">
        <v>407</v>
      </c>
      <c r="E224" s="13">
        <v>42710.61614583333</v>
      </c>
      <c r="F224" s="13">
        <v>25568.708333333332</v>
      </c>
      <c r="G224" s="7">
        <v>1</v>
      </c>
      <c r="H224" s="22" t="s">
        <v>760</v>
      </c>
      <c r="I224" s="13">
        <v>25568.708333333332</v>
      </c>
      <c r="J224" s="7">
        <v>0</v>
      </c>
      <c r="K224" s="109" t="str">
        <f t="shared" si="61"/>
        <v>4027/4028</v>
      </c>
      <c r="L224" s="22" t="str">
        <f>VLOOKUP(A224,'Trips&amp;Operators'!$C$1:$G$99999,5,FALSE)</f>
        <v>DELGADO DIANAH</v>
      </c>
      <c r="M224" s="6">
        <f t="shared" si="62"/>
        <v>0</v>
      </c>
      <c r="N224" s="7">
        <f t="shared" si="59"/>
        <v>0</v>
      </c>
      <c r="O224" s="7"/>
      <c r="P224" s="7"/>
      <c r="Q224" s="23"/>
      <c r="R224" s="23"/>
      <c r="S224" s="35">
        <f t="shared" si="60"/>
        <v>0</v>
      </c>
      <c r="T224" s="50" t="e">
        <f t="shared" si="63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13:47:15-700',mode:absolute,to:'1969-12-31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4" s="52" t="str">
        <f t="shared" si="65"/>
        <v>Y</v>
      </c>
      <c r="X224" s="177" t="e">
        <f t="shared" si="66"/>
        <v>#VALUE!</v>
      </c>
      <c r="Y224" s="67">
        <f t="shared" si="67"/>
        <v>5.86</v>
      </c>
      <c r="Z224" s="67">
        <f t="shared" si="68"/>
        <v>2.8765000000000001</v>
      </c>
      <c r="AA224" s="67">
        <f t="shared" si="69"/>
        <v>2.9835000000000003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70"/>
        <v>64-06</v>
      </c>
      <c r="AE224" s="91" t="str">
        <f t="shared" si="71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224" s="88" t="str">
        <f t="shared" si="72"/>
        <v>"C:\Program Files (x86)\AstroGrep\AstroGrep.exe" /spath="%USERPROFILE%\AppData\Local\Temp\OnboardLogs" /stypes="app*4028*19700101*" /stext=" 00:.+((SYSTEM_STATE.+slice.+state.+changed )|(ment ac)|(multiple cpu faults)|(system.+state.+changed )|(\[timeout)|(PRM\|1\|D)|(kpr)|(kdp)|(\|lc)|(penalty))" /e /r /s</v>
      </c>
      <c r="AG224" s="1" t="str">
        <f t="shared" si="73"/>
        <v>Other</v>
      </c>
      <c r="AH224" s="92" t="str">
        <f t="shared" si="74"/>
        <v>"%USERPROFILE%\Documents\GitHub\eaglep3\Utilities\RefineRTDCRunTimes.py" --tripid 64-06 --locoid 4028 --swversion DE.1.0.8.0 --startMP 300:58600 --initTime 2016-12-06T14:47:15 --startdatetime 1969-12-31T17:00:00 --delay 1 --endMP 300:28765 --enddatetime 1969-12-31T17:00:00 --enforcementcount 0 &gt;&gt;C:\Users\stu\Documents\GitHub\eaglep3-reporting\EC\2016-12-06-refined-times.txt</v>
      </c>
      <c r="AI224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{"issue":{"subject":"","project_id":79,"tracker_id":40,"status_id":1,"priority_id":2,"assigned_to_id":23,"start_date":"1969-12-31","description":"","custom_fields":[{"id":1,"name":"Subdivision","value":"Other"},{"id":4,"name":"Milepost","value":"2.8765"},{"id":17,"name":"Train ID","value":"64-06"},{"id":16,"name":"Locomotive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599</v>
      </c>
      <c r="B225" s="7">
        <v>4044</v>
      </c>
      <c r="C225" s="22" t="s">
        <v>207</v>
      </c>
      <c r="D225" s="22" t="s">
        <v>761</v>
      </c>
      <c r="E225" s="13">
        <v>42710.728541666664</v>
      </c>
      <c r="F225" s="13">
        <v>25568.708333333332</v>
      </c>
      <c r="G225" s="7">
        <v>1</v>
      </c>
      <c r="H225" s="22" t="s">
        <v>403</v>
      </c>
      <c r="I225" s="13">
        <v>25568.708333333332</v>
      </c>
      <c r="J225" s="7">
        <v>0</v>
      </c>
      <c r="K225" s="109" t="str">
        <f t="shared" si="61"/>
        <v>4043/4044</v>
      </c>
      <c r="L225" s="22" t="str">
        <f>VLOOKUP(A225,'Trips&amp;Operators'!$C$1:$G$99999,5,FALSE)</f>
        <v>BERLING GARY</v>
      </c>
      <c r="M225" s="6">
        <f t="shared" si="62"/>
        <v>0</v>
      </c>
      <c r="N225" s="7">
        <f t="shared" si="59"/>
        <v>0</v>
      </c>
      <c r="O225" s="7"/>
      <c r="P225" s="7"/>
      <c r="Q225" s="23"/>
      <c r="R225" s="23"/>
      <c r="S225" s="35">
        <f t="shared" si="60"/>
        <v>0</v>
      </c>
      <c r="T225" s="50" t="e">
        <f t="shared" si="6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16:29:06-700',mode:absolute,to:'1969-12-31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5" s="52" t="str">
        <f t="shared" si="65"/>
        <v>Y</v>
      </c>
      <c r="X225" s="177" t="e">
        <f t="shared" si="66"/>
        <v>#VALUE!</v>
      </c>
      <c r="Y225" s="67">
        <f t="shared" si="67"/>
        <v>0.11600000000000001</v>
      </c>
      <c r="Z225" s="67">
        <f t="shared" si="68"/>
        <v>2.3311999999999999</v>
      </c>
      <c r="AA225" s="67">
        <f t="shared" si="69"/>
        <v>2.2151999999999998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70"/>
        <v>65-06</v>
      </c>
      <c r="AE225" s="91" t="str">
        <f t="shared" si="7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5" s="88" t="str">
        <f t="shared" si="7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5" s="1" t="str">
        <f t="shared" si="73"/>
        <v>Other</v>
      </c>
      <c r="AH225" s="92" t="str">
        <f t="shared" si="74"/>
        <v>"%USERPROFILE%\Documents\GitHub\eaglep3\Utilities\RefineRTDCRunTimes.py" --tripid 65-06 --locoid 4044 --swversion DE.1.0.8.0 --startMP 204:1160 --initTime 2016-12-06T17:29:06 --startdatetime 1969-12-31T17:00:00 --delay 1 --endMP 300:23312 --enddatetime 1969-12-31T17:00:00 --enforcementcount 0 &gt;&gt;C:\Users\stu\Documents\GitHub\eaglep3-reporting\EC\2016-12-06-refined-times.txt</v>
      </c>
      <c r="AI225" s="11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ID","value":"65-06"},{"id":16,"name":"Locomotive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604</v>
      </c>
      <c r="B226" s="7">
        <v>4041</v>
      </c>
      <c r="C226" s="22" t="s">
        <v>207</v>
      </c>
      <c r="D226" s="22" t="s">
        <v>762</v>
      </c>
      <c r="E226" s="13">
        <v>42710.745937500003</v>
      </c>
      <c r="F226" s="13">
        <v>42710.747337962966</v>
      </c>
      <c r="G226" s="7">
        <v>1</v>
      </c>
      <c r="H226" s="22" t="s">
        <v>763</v>
      </c>
      <c r="I226" s="13">
        <v>42710.754930555559</v>
      </c>
      <c r="J226" s="7">
        <v>0</v>
      </c>
      <c r="K226" s="109" t="str">
        <f t="shared" si="61"/>
        <v>4041/4042</v>
      </c>
      <c r="L226" s="22" t="str">
        <f>VLOOKUP(A226,'Trips&amp;Operators'!$C$1:$G$99999,5,FALSE)</f>
        <v>MCREYNOLDS KYLE</v>
      </c>
      <c r="M226" s="6">
        <f t="shared" si="62"/>
        <v>7.5925925921183079E-3</v>
      </c>
      <c r="N226" s="7">
        <f t="shared" si="59"/>
        <v>10.933333332650363</v>
      </c>
      <c r="O226" s="7"/>
      <c r="P226" s="7"/>
      <c r="Q226" s="23"/>
      <c r="R226" s="23"/>
      <c r="S226" s="35">
        <f t="shared" si="60"/>
        <v>0</v>
      </c>
      <c r="T226" s="50" t="e">
        <f t="shared" si="6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https://search-rtdc-monitor-bjffxe2xuh6vdkpspy63sjmuny.us-east-1.es.amazonaws.com/_plugin/kibana/#/discover/Steve-Slow-Train-Analysis-(2080s-and-2083s)?_g=(refreshInterval:(display:Off,section:0,value:0),time:(from:'2016-12-06 16:54:09-700',mode:absolute,to:'2016-12-06 19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6" s="52" t="str">
        <f t="shared" si="65"/>
        <v>Y</v>
      </c>
      <c r="X226" s="177" t="e">
        <f t="shared" si="66"/>
        <v>#VALUE!</v>
      </c>
      <c r="Y226" s="67">
        <f t="shared" si="67"/>
        <v>2.206</v>
      </c>
      <c r="Z226" s="67">
        <f t="shared" si="68"/>
        <v>0.1462</v>
      </c>
      <c r="AA226" s="67">
        <f t="shared" si="69"/>
        <v>2.0598000000000001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70"/>
        <v>70-06</v>
      </c>
      <c r="AE226" s="91" t="str">
        <f t="shared" si="71"/>
        <v>aws s3 cp s3://rtdc.mdm.uploadarchive.raw/RTDC4041/ "%USERPROFILE%\AppData\Local\Temp\OnboardLogs"\RTDC4041\2016-12-06 --exclude "*" --recursive --include "*20161206*" &amp; "%USERPROFILE%\Documents\GitHub\mrs-test-scripts\Headless Mode &amp; Sideloading\WalkAndUnGZ.bat" "%USERPROFILE%\AppData\Local\Temp\OnboardLogs"\RTDC4041\2016-12-06 &amp; aws s3 cp s3://rtdc.mdm.uploadarchive.raw/RTDC4041/ "%USERPROFILE%\AppData\Local\Temp\OnboardLogs"\RTDC4041\2016-12-07 --exclude "*" --recursive --include "*20161207*" &amp; "%USERPROFILE%\Documents\GitHub\mrs-test-scripts\Headless Mode &amp; Sideloading\WalkAndUnGZ.bat" "%USERPROFILE%\AppData\Local\Temp\OnboardLogs"\RTDC4041\2016-12-07</v>
      </c>
      <c r="AF226" s="88" t="str">
        <f t="shared" si="72"/>
        <v>"C:\Program Files (x86)\AstroGrep\AstroGrep.exe" /spath="%USERPROFILE%\AppData\Local\Temp\OnboardLogs" /stypes="app*4041*20161207*" /stext=" 01:.+((SYSTEM_STATE.+slice.+state.+changed )|(ment ac)|(multiple cpu faults)|(system.+state.+changed )|(\[timeout)|(PRM\|1\|D)|(kpr)|(kdp)|(\|lc)|(penalty))" /e /r /s</v>
      </c>
      <c r="AG226" s="1" t="str">
        <f t="shared" si="73"/>
        <v>Other</v>
      </c>
      <c r="AH226" s="92" t="str">
        <f t="shared" si="74"/>
        <v>"%USERPROFILE%\Documents\GitHub\eaglep3\Utilities\RefineRTDCRunTimes.py" --tripid 70-06 --locoid 4041 --swversion DE.1.0.8.0 --startMP 300:22060 --initTime 2016-12-06T17:54:09 --startdatetime 2016-12-06T17:56:10 --delay 1 --endMP 204:1462 --enddatetime 2016-12-06T18:07:06 --enforcementcount 0 &gt;&gt;C:\Users\stu\Documents\GitHub\eaglep3-reporting\EC\2016-12-06-refined-times.txt</v>
      </c>
      <c r="AI226" s="119" t="str">
        <f t="shared" si="75"/>
        <v>echo {"issue":{"subject":"","project_id":79,"tracker_id":40,"status_id":1,"priority_id":2,"assigned_to_id":23,"start_date":"2016-12-06","description":"","custom_fields":[{"id":1,"name":"Subdivision","value":"Other"},{"id":4,"name":"Milepost","value":"0.1462"},{"id":17,"name":"Train ID","value":"70-06"},{"id":16,"name":"Locomotive ID","value":"4041"},{"id":130,"name":"Impact","value":""},{"id":150,"name":"Time of Event (Mountain Time)","value":"18:07:06"},{"id":151,"name":"Denver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</sheetData>
  <autoFilter ref="A12:AG233">
    <sortState ref="A13:AG235">
      <sortCondition ref="AG13:AG228"/>
      <sortCondition ref="AD13:AD228"/>
    </sortState>
  </autoFilter>
  <sortState ref="A13:AH200">
    <sortCondition ref="AG13:AG200"/>
    <sortCondition ref="AD13:AD200"/>
  </sortState>
  <mergeCells count="1">
    <mergeCell ref="A11:P11"/>
  </mergeCells>
  <conditionalFormatting sqref="W11:W12 W243:X1048576 W13:X226">
    <cfRule type="cellIs" dxfId="14" priority="344" operator="equal">
      <formula>"Y"</formula>
    </cfRule>
  </conditionalFormatting>
  <conditionalFormatting sqref="X243:X1048576 X13:X226">
    <cfRule type="cellIs" dxfId="13" priority="327" operator="greaterThan">
      <formula>1</formula>
    </cfRule>
  </conditionalFormatting>
  <conditionalFormatting sqref="X243:X1048576 X12:X226">
    <cfRule type="cellIs" dxfId="12" priority="324" operator="equal">
      <formula>0</formula>
    </cfRule>
  </conditionalFormatting>
  <conditionalFormatting sqref="A13:S226">
    <cfRule type="expression" dxfId="11" priority="318" stopIfTrue="1">
      <formula>$P13&gt;0</formula>
    </cfRule>
    <cfRule type="expression" dxfId="10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6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- 2016-12-06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42710.444502314815</v>
      </c>
      <c r="B7" s="31" t="s">
        <v>308</v>
      </c>
      <c r="C7" s="31" t="s">
        <v>436</v>
      </c>
      <c r="D7" s="31" t="s">
        <v>98</v>
      </c>
      <c r="E7" s="31" t="s">
        <v>284</v>
      </c>
      <c r="F7" s="47">
        <v>190</v>
      </c>
      <c r="G7" s="47">
        <v>240</v>
      </c>
      <c r="H7" s="47">
        <v>30945</v>
      </c>
      <c r="I7" s="47">
        <v>33967</v>
      </c>
      <c r="J7" s="31" t="s">
        <v>285</v>
      </c>
      <c r="K7" s="47">
        <v>30830</v>
      </c>
      <c r="L7" s="154" t="s">
        <v>50</v>
      </c>
      <c r="M7" s="155">
        <f>CONVERT((I7-K7)/10000,"mi","ft")*IF(L7="Increasing Mileposts (1)",-1,1)</f>
        <v>-1656.336</v>
      </c>
      <c r="N7" s="156" t="str">
        <f>VLOOKUP(C7,'Trips&amp;Operators'!$C$1:$G$99999,5,FALSE)</f>
        <v>STARKS ANGELINA</v>
      </c>
      <c r="O7" s="182" t="s">
        <v>196</v>
      </c>
      <c r="P7" s="157" t="s">
        <v>844</v>
      </c>
      <c r="Q7" s="31"/>
      <c r="R7" s="100" t="str">
        <f>VLOOKUP(C7,'Train Runs'!$A$13:$AE$9977,31,0)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7" s="103" t="str">
        <f>VLOOKUP(C7,'Train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/stypes="*4020*201612061*" /stext=" 17:.+((SYSTEM_STATE.+slice.+state.+changed )|(ment ac)|(multiple cpu faults)|(system.+state.+changed )|(\[timeout)|(PRM\|1\|D)|(kpr)|(kdp)|(\|lc)|(penalty))" /e /r /s</v>
      </c>
      <c r="U7" s="9" t="str">
        <f>MID(B7,13,4)</f>
        <v>4020</v>
      </c>
      <c r="V7" s="36">
        <f>A7-utc_offset/24</f>
        <v>42710.736168981479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arrival","project_id":79,"tracker_id":40,"status_id":1,"priority_id":2,"assigned_to_id":23,"start_date":"2016-12-06","description":"","custom_fields":[{"id":1,"name":"Subdivision","value":"EC"},{"id":4,"name":"Milepost","value":"3.083"},{"id":17,"name":"Train ID","value":"155-06"},{"id":16,"name":"Locomotive ID","value":"4020"},{"id":130,"name":"Impact","value":""},{"id":150,"name":"Time of Event (Mountain Time)","value":"10:40:05"},{"id":151,"name":"Denver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"%USERPROFILE%\AppData\Local\Temp\OnboardLogs"\RTDC4020\*4020*201612061*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8" spans="1:30" s="1" customFormat="1" x14ac:dyDescent="0.25">
      <c r="A8" s="36">
        <v>42711.056944444441</v>
      </c>
      <c r="B8" s="31" t="s">
        <v>307</v>
      </c>
      <c r="C8" s="31" t="s">
        <v>455</v>
      </c>
      <c r="D8" s="31" t="s">
        <v>49</v>
      </c>
      <c r="E8" s="31" t="s">
        <v>284</v>
      </c>
      <c r="F8" s="47">
        <v>570</v>
      </c>
      <c r="G8" s="47">
        <v>623</v>
      </c>
      <c r="H8" s="47">
        <v>49634</v>
      </c>
      <c r="I8" s="47">
        <v>46739</v>
      </c>
      <c r="J8" s="31" t="s">
        <v>285</v>
      </c>
      <c r="K8" s="47">
        <v>48048</v>
      </c>
      <c r="L8" s="154" t="s">
        <v>51</v>
      </c>
      <c r="M8" s="155">
        <f>CONVERT((I8-K8)/10000,"mi","ft")*IF(L8="Increasing Mileposts (1)",-1,1)</f>
        <v>-691.15199999999993</v>
      </c>
      <c r="N8" s="156" t="str">
        <f>VLOOKUP(C8,'Trips&amp;Operators'!$C$1:$G$99999,5,FALSE)</f>
        <v>YANAI IAN</v>
      </c>
      <c r="O8" s="182" t="s">
        <v>196</v>
      </c>
      <c r="P8" s="157" t="s">
        <v>844</v>
      </c>
      <c r="Q8" s="31"/>
      <c r="R8" s="100" t="str">
        <f>VLOOKUP(C8,'Train Runs'!$A$13:$AE$9977,31,0)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8" s="103" t="str">
        <f>VLOOKUP(C8,'Train Runs'!$A$13:$AE$9977,22,0)</f>
        <v>https://search-rtdc-monitor-bjffxe2xuh6vdkpspy63sjmuny.us-east-1.es.amazonaws.com/_plugin/kibana/#/discover/Steve-Slow-Train-Analysis-(2080s-and-2083s)?_g=(refreshInterval:(display:Off,section:0,value:0),time:(from:'2016-12-06 23:44:16-700',mode:absolute,to:'2016-12-07 02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/stypes="*4019*201612070*" /stext=" 08:.+((SYSTEM_STATE.+slice.+state.+changed )|(ment ac)|(multiple cpu faults)|(system.+state.+changed )|(\[timeout)|(PRM\|1\|D)|(kpr)|(kdp)|(\|lc)|(penalty))" /e /r /s</v>
      </c>
      <c r="U8" s="9" t="str">
        <f>MID(B8,13,4)</f>
        <v>4019</v>
      </c>
      <c r="V8" s="36">
        <f>A8-utc_offset/24</f>
        <v>42711.348611111105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arrival","project_id":79,"tracker_id":40,"status_id":1,"priority_id":2,"assigned_to_id":23,"start_date":"2016-12-07","description":"","custom_fields":[{"id":1,"name":"Subdivision","value":"EC"},{"id":4,"name":"Milepost","value":"4.8048"},{"id":17,"name":"Train ID","value":"242-06"},{"id":16,"name":"Locomotive ID","value":"4019"},{"id":130,"name":"Impact","value":""},{"id":150,"name":"Time of Event (Mountain Time)","value":"01:22:00"},{"id":151,"name":"Denver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"%USERPROFILE%\AppData\Local\Temp\OnboardLogs"\RTDC4019\*4019*201612070*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"%USERPROFILE%\AppData\Local\Temp\OnboardLogs"\RTDC4019\*4019*201612070* &gt;&gt; 42710-slicedisagreementcheck.txt</v>
      </c>
    </row>
    <row r="9" spans="1:30" s="1" customFormat="1" x14ac:dyDescent="0.25">
      <c r="A9" s="36">
        <v>42710.189976851849</v>
      </c>
      <c r="B9" s="31" t="s">
        <v>286</v>
      </c>
      <c r="C9" s="31" t="s">
        <v>421</v>
      </c>
      <c r="D9" s="31" t="s">
        <v>98</v>
      </c>
      <c r="E9" s="31" t="s">
        <v>284</v>
      </c>
      <c r="F9" s="47">
        <v>730</v>
      </c>
      <c r="G9" s="47">
        <v>780</v>
      </c>
      <c r="H9" s="47">
        <v>78429</v>
      </c>
      <c r="I9" s="47">
        <v>82323</v>
      </c>
      <c r="J9" s="31" t="s">
        <v>285</v>
      </c>
      <c r="K9" s="47">
        <v>78349</v>
      </c>
      <c r="L9" s="154" t="s">
        <v>50</v>
      </c>
      <c r="M9" s="155">
        <f>CONVERT((I9-K9)/10000,"mi","ft")*IF(L9="Increasing Mileposts (1)",-1,1)</f>
        <v>-2098.2719999999999</v>
      </c>
      <c r="N9" s="156" t="str">
        <f>VLOOKUP(C9,'Trips&amp;Operators'!$C$1:$G$99999,5,FALSE)</f>
        <v>DAVIDSON DAVID</v>
      </c>
      <c r="O9" s="182" t="s">
        <v>196</v>
      </c>
      <c r="P9" s="157" t="s">
        <v>844</v>
      </c>
      <c r="Q9" s="31"/>
      <c r="R9" s="100" t="str">
        <f>VLOOKUP(C9,'Train Runs'!$A$13:$AE$9977,31,0)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9" s="103" t="str">
        <f>VLOOKUP(C9,'Train Runs'!$A$13:$AE$9977,22,0)</f>
        <v>https://search-rtdc-monitor-bjffxe2xuh6vdkpspy63sjmuny.us-east-1.es.amazonaws.com/_plugin/kibana/#/discover/Steve-Slow-Train-Analysis-(2080s-and-2083s)?_g=(refreshInterval:(display:Off,section:0,value:0),time:(from:'2016-12-06 03:09:05-700',mode:absolute,to:'2016-12-06 05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/stypes="*4029*201612061*" /stext=" 11:.+((SYSTEM_STATE.+slice.+state.+changed )|(ment ac)|(multiple cpu faults)|(system.+state.+changed )|(\[timeout)|(PRM\|1\|D)|(kpr)|(kdp)|(\|lc)|(penalty))" /e /r /s</v>
      </c>
      <c r="U9" s="9" t="str">
        <f>MID(B9,13,4)</f>
        <v>4029</v>
      </c>
      <c r="V9" s="36">
        <f>A9-utc_offset/24</f>
        <v>42710.481643518513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arrival","project_id":79,"tracker_id":40,"status_id":1,"priority_id":2,"assigned_to_id":23,"start_date":"2016-12-06","description":"","custom_fields":[{"id":1,"name":"Subdivision","value":"EC"},{"id":4,"name":"Milepost","value":"7.8349"},{"id":17,"name":"Train ID","value":"105-06"},{"id":16,"name":"Locomotive ID","value":"4029"},{"id":130,"name":"Impact","value":""},{"id":150,"name":"Time of Event (Mountain Time)","value":"04:33:34"},{"id":151,"name":"Denver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"%USERPROFILE%\AppData\Local\Temp\OnboardLogs"\RTDC4029\*4029*201612061*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10" spans="1:30" s="1" customFormat="1" x14ac:dyDescent="0.25">
      <c r="A10" s="36">
        <v>42710.301759259259</v>
      </c>
      <c r="B10" s="31" t="s">
        <v>283</v>
      </c>
      <c r="C10" s="31" t="s">
        <v>426</v>
      </c>
      <c r="D10" s="31" t="s">
        <v>49</v>
      </c>
      <c r="E10" s="31" t="s">
        <v>284</v>
      </c>
      <c r="F10" s="47">
        <v>0</v>
      </c>
      <c r="G10" s="47">
        <v>633</v>
      </c>
      <c r="H10" s="47">
        <v>104189</v>
      </c>
      <c r="I10" s="47">
        <v>101158</v>
      </c>
      <c r="J10" s="31" t="s">
        <v>285</v>
      </c>
      <c r="K10" s="47">
        <v>103800</v>
      </c>
      <c r="L10" s="154" t="s">
        <v>51</v>
      </c>
      <c r="M10" s="155">
        <f>CONVERT((I10-K10)/10000,"mi","ft")*IF(L10="Increasing Mileposts (1)",-1,1)</f>
        <v>-1394.9760000000001</v>
      </c>
      <c r="N10" s="156" t="str">
        <f>VLOOKUP(C10,'Trips&amp;Operators'!$C$1:$G$99999,5,FALSE)</f>
        <v>DAVIDSON DAVID</v>
      </c>
      <c r="O10" s="182" t="s">
        <v>196</v>
      </c>
      <c r="P10" s="157" t="s">
        <v>844</v>
      </c>
      <c r="Q10" s="31"/>
      <c r="R10" s="100" t="str">
        <f>VLOOKUP(C10,'Train Runs'!$A$13:$AE$9977,31,0)</f>
        <v>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 &amp; aws s3 cp s3://rtdc.mdm.uploadarchive.raw/RTDC4030/ "%USERPROFILE%\AppData\Local\Temp\OnboardLogs"\RTDC4030\2016-12-07 --exclude "*" --recursive --include "*20161207*" &amp; "%USERPROFILE%\Documents\GitHub\mrs-test-scripts\Headless Mode &amp; Sideloading\WalkAndUnGZ.bat" "%USERPROFILE%\AppData\Local\Temp\OnboardLogs"\RTDC4030\2016-12-07</v>
      </c>
      <c r="S10" s="103" t="str">
        <f>VLOOKUP(C10,'Train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05:43:33-700',mode:absolute,to:'2016-12-06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/stypes="*4030*201612061*" /stext=" 14:.+((SYSTEM_STATE.+slice.+state.+changed )|(ment ac)|(multiple cpu faults)|(system.+state.+changed )|(\[timeout)|(PRM\|1\|D)|(kpr)|(kdp)|(\|lc)|(penalty))" /e /r /s</v>
      </c>
      <c r="U10" s="9" t="str">
        <f>MID(B10,13,4)</f>
        <v>4030</v>
      </c>
      <c r="V10" s="36">
        <f>A10-utc_offset/24</f>
        <v>42710.593425925923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arrival","project_id":79,"tracker_id":40,"status_id":1,"priority_id":2,"assigned_to_id":23,"start_date":"2016-12-06","description":"","custom_fields":[{"id":1,"name":"Subdivision","value":"EC"},{"id":4,"name":"Milepost","value":"10.38"},{"id":17,"name":"Train ID","value":"120-06"},{"id":16,"name":"Locomotive ID","value":"4030"},{"id":130,"name":"Impact","value":""},{"id":150,"name":"Time of Event (Mountain Time)","value":"07:14:32"},{"id":151,"name":"Denver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"%USERPROFILE%\AppData\Local\Temp\OnboardLogs"\RTDC4030\*4030*201612061*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"%USERPROFILE%\AppData\Local\Temp\OnboardLogs"\RTDC4030\*4030*201612061* &gt;&gt; 42710-slicedisagreementcheck.txt</v>
      </c>
    </row>
    <row r="11" spans="1:30" s="1" customFormat="1" x14ac:dyDescent="0.25">
      <c r="A11" s="36">
        <v>42710.293645833335</v>
      </c>
      <c r="B11" s="31" t="s">
        <v>305</v>
      </c>
      <c r="C11" s="31" t="s">
        <v>425</v>
      </c>
      <c r="D11" s="31" t="s">
        <v>49</v>
      </c>
      <c r="E11" s="31" t="s">
        <v>197</v>
      </c>
      <c r="F11" s="47">
        <v>150</v>
      </c>
      <c r="G11" s="47">
        <v>207</v>
      </c>
      <c r="H11" s="47">
        <v>5182</v>
      </c>
      <c r="I11" s="47">
        <v>4752</v>
      </c>
      <c r="J11" s="31" t="s">
        <v>198</v>
      </c>
      <c r="K11" s="47">
        <v>4677</v>
      </c>
      <c r="L11" s="154" t="s">
        <v>51</v>
      </c>
      <c r="M11" s="155">
        <f>CONVERT((I11-K11)/10000,"mi","ft")*IF(L11="Increasing Mileposts (1)",-1,1)</f>
        <v>39.6</v>
      </c>
      <c r="N11" s="156" t="str">
        <f>VLOOKUP(C11,'Trips&amp;Operators'!$C$1:$G$99999,5,FALSE)</f>
        <v>ROCHA YAOTL</v>
      </c>
      <c r="O11" s="182" t="s">
        <v>196</v>
      </c>
      <c r="P11" s="157"/>
      <c r="Q11" s="31"/>
      <c r="R11" s="100" t="str">
        <f>VLOOKUP(C11,'Train Runs'!$A$13:$AE$9977,31,0)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1" s="103" t="str">
        <f>VLOOKUP(C11,'Train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/stypes="*4028*201612061*" /stext=" 14:.+((SYSTEM_STATE.+slice.+state.+changed )|(ment ac)|(multiple cpu faults)|(system.+state.+changed )|(\[timeout)|(PRM\|1\|D)|(kpr)|(kdp)|(\|lc)|(penalty))" /e /r /s</v>
      </c>
      <c r="U11" s="9" t="str">
        <f>MID(B11,13,4)</f>
        <v>4028</v>
      </c>
      <c r="V11" s="36">
        <f>A11-utc_offset/24</f>
        <v>42710.585312499999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{"issue":{"subject":"","project_id":79,"tracker_id":40,"status_id":1,"priority_id":2,"assigned_to_id":23,"start_date":"2016-12-06","description":"","custom_fields":[{"id":1,"name":"Subdivision","value":"EC"},{"id":4,"name":"Milepost","value":"0.4677"},{"id":17,"name":"Train ID","value":"116-06"},{"id":16,"name":"Locomotive ID","value":"4028"},{"id":130,"name":"Impact","value":""},{"id":150,"name":"Time of Event (Mountain Time)","value":"07:02:51"},{"id":151,"name":"Denver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"%USERPROFILE%\AppData\Local\Temp\OnboardLogs"\RTDC4028\*4028*201612061*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2" spans="1:30" s="1" customFormat="1" x14ac:dyDescent="0.25">
      <c r="A12" s="36">
        <v>42710.290520833332</v>
      </c>
      <c r="B12" s="31" t="s">
        <v>305</v>
      </c>
      <c r="C12" s="31" t="s">
        <v>425</v>
      </c>
      <c r="D12" s="31" t="s">
        <v>49</v>
      </c>
      <c r="E12" s="31" t="s">
        <v>197</v>
      </c>
      <c r="F12" s="47">
        <v>300</v>
      </c>
      <c r="G12" s="47">
        <v>389</v>
      </c>
      <c r="H12" s="47">
        <v>22753</v>
      </c>
      <c r="I12" s="47">
        <v>21768</v>
      </c>
      <c r="J12" s="31" t="s">
        <v>198</v>
      </c>
      <c r="K12" s="47">
        <v>21848</v>
      </c>
      <c r="L12" s="154" t="s">
        <v>51</v>
      </c>
      <c r="M12" s="155">
        <f>CONVERT((I12-K12)/10000,"mi","ft")*IF(L12="Increasing Mileposts (1)",-1,1)</f>
        <v>-42.24</v>
      </c>
      <c r="N12" s="156" t="str">
        <f>VLOOKUP(C12,'Trips&amp;Operators'!$C$1:$G$99999,5,FALSE)</f>
        <v>ROCHA YAOTL</v>
      </c>
      <c r="O12" s="182" t="s">
        <v>196</v>
      </c>
      <c r="P12" s="157"/>
      <c r="Q12" s="31"/>
      <c r="R12" s="100" t="str">
        <f>VLOOKUP(C12,'Train Runs'!$A$13:$AE$9977,31,0)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12" s="103" t="str">
        <f>VLOOKUP(C12,'Train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05:25:12-700',mode:absolute,to:'2016-12-06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/stypes="*4028*201612061*" /stext=" 13:.+((SYSTEM_STATE.+slice.+state.+changed )|(ment ac)|(multiple cpu faults)|(system.+state.+changed )|(\[timeout)|(PRM\|1\|D)|(kpr)|(kdp)|(\|lc)|(penalty))" /e /r /s</v>
      </c>
      <c r="U12" s="9" t="str">
        <f>MID(B12,13,4)</f>
        <v>4028</v>
      </c>
      <c r="V12" s="36">
        <f>A12-utc_offset/24</f>
        <v>42710.582187499997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{"issue":{"subject":"","project_id":79,"tracker_id":40,"status_id":1,"priority_id":2,"assigned_to_id":23,"start_date":"2016-12-06","description":"","custom_fields":[{"id":1,"name":"Subdivision","value":"EC"},{"id":4,"name":"Milepost","value":"2.1848"},{"id":17,"name":"Train ID","value":"116-06"},{"id":16,"name":"Locomotive ID","value":"4028"},{"id":130,"name":"Impact","value":""},{"id":150,"name":"Time of Event (Mountain Time)","value":"06:58:21"},{"id":151,"name":"Denver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"%USERPROFILE%\AppData\Local\Temp\OnboardLogs"\RTDC4028\*4028*201612061*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13" spans="1:30" s="1" customFormat="1" x14ac:dyDescent="0.25">
      <c r="A13" s="36">
        <v>42710.785821759258</v>
      </c>
      <c r="B13" s="31" t="s">
        <v>206</v>
      </c>
      <c r="C13" s="31" t="s">
        <v>448</v>
      </c>
      <c r="D13" s="31" t="s">
        <v>49</v>
      </c>
      <c r="E13" s="31" t="s">
        <v>197</v>
      </c>
      <c r="F13" s="47">
        <v>400</v>
      </c>
      <c r="G13" s="47">
        <v>451</v>
      </c>
      <c r="H13" s="47">
        <v>116155</v>
      </c>
      <c r="I13" s="47">
        <v>117324</v>
      </c>
      <c r="J13" s="31" t="s">
        <v>198</v>
      </c>
      <c r="K13" s="47">
        <v>116838</v>
      </c>
      <c r="L13" s="154" t="s">
        <v>50</v>
      </c>
      <c r="M13" s="155">
        <f>CONVERT((I13-K13)/10000,"mi","ft")*IF(L13="Increasing Mileposts (1)",-1,1)</f>
        <v>-256.608</v>
      </c>
      <c r="N13" s="156" t="str">
        <f>VLOOKUP(C13,'Trips&amp;Operators'!$C$1:$G$99999,5,FALSE)</f>
        <v>CHANDLER KELVIN</v>
      </c>
      <c r="O13" s="182" t="s">
        <v>196</v>
      </c>
      <c r="P13" s="157"/>
      <c r="Q13" s="31"/>
      <c r="R13" s="100" t="str">
        <f>VLOOKUP(C13,'Train Runs'!$A$13:$AE$9977,31,0)</f>
        <v>aws s3 cp s3://rtdc.mdm.uploadarchive.raw/RTDC4011/ "%USERPROFILE%\AppData\Local\Temp\OnboardLogs"\RTDC4011\2016-12-06 --exclude "*" --recursive --include "*20161206*" &amp; "%USERPROFILE%\Documents\GitHub\mrs-test-scripts\Headless Mode &amp; Sideloading\WalkAndUnGZ.bat" "%USERPROFILE%\AppData\Local\Temp\OnboardLogs"\RTDC4011\2016-12-06 &amp; 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</v>
      </c>
      <c r="S13" s="103" t="str">
        <f>VLOOKUP(C13,'Train Runs'!$A$13:$AE$9977,22,0)</f>
        <v>https://search-rtdc-monitor-bjffxe2xuh6vdkpspy63sjmuny.us-east-1.es.amazonaws.com/_plugin/kibana/#/discover/Steve-Slow-Train-Analysis-(2080s-and-2083s)?_g=(refreshInterval:(display:Off,section:0,value:0),time:(from:'2016-12-06 17:28:10-700',mode:absolute,to:'2016-12-06 21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/stypes="*4011*201612070*" /stext=" 01:.+((SYSTEM_STATE.+slice.+state.+changed )|(ment ac)|(multiple cpu faults)|(system.+state.+changed )|(\[timeout)|(PRM\|1\|D)|(kpr)|(kdp)|(\|lc)|(penalty))" /e /r /s</v>
      </c>
      <c r="U13" s="9" t="str">
        <f>MID(B13,13,4)</f>
        <v>4011</v>
      </c>
      <c r="V13" s="36">
        <f>A13-utc_offset/24</f>
        <v>42711.077488425923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{"issue":{"subject":"","project_id":79,"tracker_id":40,"status_id":1,"priority_id":2,"assigned_to_id":23,"start_date":"2016-12-06","description":"","custom_fields":[{"id":1,"name":"Subdivision","value":"EC"},{"id":4,"name":"Milepost","value":"11.6838"},{"id":17,"name":"Train ID","value":"219-06"},{"id":16,"name":"Locomotive ID","value":"4011"},{"id":130,"name":"Impact","value":""},{"id":150,"name":"Time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"%USERPROFILE%\AppData\Local\Temp\OnboardLogs"\RTDC4011\*4011*201612070*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"%USERPROFILE%\AppData\Local\Temp\OnboardLogs"\RTDC4011\*4011*201612070* &gt;&gt; 42710-slicedisagreementcheck.txt</v>
      </c>
    </row>
    <row r="14" spans="1:30" s="1" customFormat="1" x14ac:dyDescent="0.25">
      <c r="A14" s="36">
        <v>42710.483807870369</v>
      </c>
      <c r="B14" s="31" t="s">
        <v>308</v>
      </c>
      <c r="C14" s="31" t="s">
        <v>436</v>
      </c>
      <c r="D14" s="31" t="s">
        <v>49</v>
      </c>
      <c r="E14" s="31" t="s">
        <v>199</v>
      </c>
      <c r="F14" s="47">
        <v>0</v>
      </c>
      <c r="G14" s="47">
        <v>69</v>
      </c>
      <c r="H14" s="47">
        <v>118506</v>
      </c>
      <c r="I14" s="47">
        <v>118595</v>
      </c>
      <c r="J14" s="31" t="s">
        <v>200</v>
      </c>
      <c r="K14" s="47">
        <v>118739</v>
      </c>
      <c r="L14" s="154" t="s">
        <v>50</v>
      </c>
      <c r="M14" s="155">
        <f>CONVERT((I14-K14)/10000,"mi","ft")*IF(L14="Increasing Mileposts (1)",-1,1)</f>
        <v>76.031999999999996</v>
      </c>
      <c r="N14" s="156" t="str">
        <f>VLOOKUP(C14,'Trips&amp;Operators'!$C$1:$G$99999,5,FALSE)</f>
        <v>STARKS ANGELINA</v>
      </c>
      <c r="O14" s="182" t="s">
        <v>233</v>
      </c>
      <c r="P14" s="157" t="s">
        <v>838</v>
      </c>
      <c r="Q14" s="31"/>
      <c r="R14" s="100" t="str">
        <f>VLOOKUP(C14,'Train Runs'!$A$13:$AE$9977,31,0)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4" s="103" t="str">
        <f>VLOOKUP(C14,'Train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4" s="9" t="str">
        <f>MID(B14,13,4)</f>
        <v>4020</v>
      </c>
      <c r="V14" s="36">
        <f>A14-utc_offset/24</f>
        <v>42710.775474537033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correspondence","project_id":79,"tracker_id":40,"status_id":1,"priority_id":2,"assigned_to_id":23,"start_date":"2016-12-06","description":"","custom_fields":[{"id":1,"name":"Subdivision","value":"EC"},{"id":4,"name":"Milepost","value":"11.8739"},{"id":17,"name":"Train ID","value":"155-06"},{"id":16,"name":"Locomotive ID","value":"4020"},{"id":130,"name":"Impact","value":""},{"id":150,"name":"Time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"%USERPROFILE%\AppData\Local\Temp\OnboardLogs"\RTDC4020\*4020*201612061*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5" spans="1:30" s="1" customFormat="1" x14ac:dyDescent="0.25">
      <c r="A15" s="36">
        <v>42710.459039351852</v>
      </c>
      <c r="B15" s="31" t="s">
        <v>308</v>
      </c>
      <c r="C15" s="31" t="s">
        <v>436</v>
      </c>
      <c r="D15" s="31" t="s">
        <v>49</v>
      </c>
      <c r="E15" s="31" t="s">
        <v>362</v>
      </c>
      <c r="F15" s="47">
        <v>0</v>
      </c>
      <c r="G15" s="47">
        <v>38</v>
      </c>
      <c r="H15" s="47">
        <v>107842</v>
      </c>
      <c r="I15" s="47">
        <v>107887</v>
      </c>
      <c r="J15" s="31" t="s">
        <v>363</v>
      </c>
      <c r="K15" s="47">
        <v>107939</v>
      </c>
      <c r="L15" s="154" t="s">
        <v>50</v>
      </c>
      <c r="M15" s="155">
        <f>CONVERT((I15-K15)/10000,"mi","ft")*IF(L15="Increasing Mileposts (1)",-1,1)</f>
        <v>27.456</v>
      </c>
      <c r="N15" s="156" t="str">
        <f>VLOOKUP(C15,'Trips&amp;Operators'!$C$1:$G$99999,5,FALSE)</f>
        <v>STARKS ANGELINA</v>
      </c>
      <c r="O15" s="182" t="s">
        <v>233</v>
      </c>
      <c r="P15" s="157" t="s">
        <v>838</v>
      </c>
      <c r="Q15" s="31"/>
      <c r="R15" s="100" t="str">
        <f>VLOOKUP(C15,'Train Runs'!$A$13:$AE$9977,31,0)</f>
        <v>aws s3 cp s3://rtdc.mdm.uploadarchive.raw/RTDC4020/ "%USERPROFILE%\AppData\Local\Temp\OnboardLogs"\RTDC4020\2016-12-06 --exclude "*" --recursive --include "*20161206*" &amp; "%USERPROFILE%\Documents\GitHub\mrs-test-scripts\Headless Mode &amp; Sideloading\WalkAndUnGZ.bat" "%USERPROFILE%\AppData\Local\Temp\OnboardLogs"\RTDC4020\2016-12-06 &amp; 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</v>
      </c>
      <c r="S15" s="103" t="str">
        <f>VLOOKUP(C15,'Train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10:46:23-700',mode:absolute,to:'2016-12-06 12:57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/stypes="*4020*201612061*" /stext=" 18:.+((SYSTEM_STATE.+slice.+state.+changed )|(ment ac)|(multiple cpu faults)|(system.+state.+changed )|(\[timeout)|(PRM\|1\|D)|(kpr)|(kdp)|(\|lc)|(penalty))" /e /r /s</v>
      </c>
      <c r="U15" s="9" t="str">
        <f>MID(B15,13,4)</f>
        <v>4020</v>
      </c>
      <c r="V15" s="36">
        <f>A15-utc_offset/24</f>
        <v>42710.750706018516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{"issue":{"subject":"Chambers switch out of correspondence","project_id":79,"tracker_id":40,"status_id":1,"priority_id":2,"assigned_to_id":23,"start_date":"2016-12-06","description":"","custom_fields":[{"id":1,"name":"Subdivision","value":"EC"},{"id":4,"name":"Milepost","value":"10.7939"},{"id":17,"name":"Train ID","value":"155-06"},{"id":16,"name":"Locomotive ID","value":"4020"},{"id":130,"name":"Impact","value":""},{"id":150,"name":"Time of Event (Mountain Time)","value":"11:01:01"},{"id":151,"name":"Denver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"%USERPROFILE%\AppData\Local\Temp\OnboardLogs"\RTDC4020\*4020*201612061*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"%USERPROFILE%\AppData\Local\Temp\OnboardLogs"\RTDC4020\*4020*201612061* &gt;&gt; 42710-slicedisagreementcheck.txt</v>
      </c>
    </row>
    <row r="16" spans="1:30" s="1" customFormat="1" x14ac:dyDescent="0.25">
      <c r="A16" s="36">
        <v>42710.769305555557</v>
      </c>
      <c r="B16" s="31" t="s">
        <v>231</v>
      </c>
      <c r="C16" s="31" t="s">
        <v>447</v>
      </c>
      <c r="D16" s="31" t="s">
        <v>98</v>
      </c>
      <c r="E16" s="31" t="s">
        <v>430</v>
      </c>
      <c r="F16" s="47">
        <v>150</v>
      </c>
      <c r="G16" s="47">
        <v>200</v>
      </c>
      <c r="H16" s="47">
        <v>26723</v>
      </c>
      <c r="I16" s="47">
        <v>26407</v>
      </c>
      <c r="J16" s="31" t="s">
        <v>285</v>
      </c>
      <c r="K16" s="47">
        <v>27399</v>
      </c>
      <c r="L16" s="154" t="s">
        <v>51</v>
      </c>
      <c r="M16" s="155">
        <f>CONVERT((I16-K16)/10000,"mi","ft")*IF(L16="Increasing Mileposts (1)",-1,1)</f>
        <v>-523.77599999999995</v>
      </c>
      <c r="N16" s="156" t="str">
        <f>VLOOKUP(C16,'Trips&amp;Operators'!$C$1:$G$99999,5,FALSE)</f>
        <v>HOLCOMB KAMDEN</v>
      </c>
      <c r="O16" s="182" t="s">
        <v>196</v>
      </c>
      <c r="P16" s="157"/>
      <c r="Q16" s="31"/>
      <c r="R16" s="100" t="str">
        <f>VLOOKUP(C16,'Train Runs'!$A$13:$AE$9977,31,0)</f>
        <v>aws s3 cp s3://rtdc.mdm.uploadarchive.raw/RTDC4013/ "%USERPROFILE%\AppData\Local\Temp\OnboardLogs"\RTDC4013\2016-12-06 --exclude "*" --recursive --include "*20161206*" &amp; "%USERPROFILE%\Documents\GitHub\mrs-test-scripts\Headless Mode &amp; Sideloading\WalkAndUnGZ.bat" "%USERPROFILE%\AppData\Local\Temp\OnboardLogs"\RTDC4013\2016-12-06 &amp; 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</v>
      </c>
      <c r="S16" s="103" t="str">
        <f>VLOOKUP(C16,'Train Runs'!$A$13:$AE$9977,22,0)</f>
        <v>https://search-rtdc-monitor-bjffxe2xuh6vdkpspy63sjmuny.us-east-1.es.amazonaws.com/_plugin/kibana/#/discover/Steve-Slow-Train-Analysis-(2080s-and-2083s)?_g=(refreshInterval:(display:Off,section:0,value:0),time:(from:'2016-12-06 16:46:19-700',mode:absolute,to:'2016-12-06 19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/stypes="*4013*201612070*" /stext=" 01:.+((SYSTEM_STATE.+slice.+state.+changed )|(ment ac)|(multiple cpu faults)|(system.+state.+changed )|(\[timeout)|(PRM\|1\|D)|(kpr)|(kdp)|(\|lc)|(penalty))" /e /r /s</v>
      </c>
      <c r="U16" s="9" t="str">
        <f>MID(B16,13,4)</f>
        <v>4013</v>
      </c>
      <c r="V16" s="36">
        <f>A16-utc_offset/24</f>
        <v>42711.060972222222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{"issue":{"subject":"","project_id":79,"tracker_id":40,"status_id":1,"priority_id":2,"assigned_to_id":23,"start_date":"2016-12-06","description":"","custom_fields":[{"id":1,"name":"Subdivision","value":"EC"},{"id":4,"name":"Milepost","value":"2.7399"},{"id":17,"name":"Train ID","value":"208-06"},{"id":16,"name":"Locomotive ID","value":"4013"},{"id":130,"name":"Impact","value":""},{"id":150,"name":"Time of Event (Mountain Time)","value":"18:27:48"},{"id":151,"name":"Denver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"%USERPROFILE%\AppData\Local\Temp\OnboardLogs"\RTDC4013\*4013*201612070*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"%USERPROFILE%\AppData\Local\Temp\OnboardLogs"\RTDC4013\*4013*201612070* &gt;&gt; 42710-slicedisagreementcheck.txt</v>
      </c>
    </row>
    <row r="17" spans="1:30" s="1" customFormat="1" x14ac:dyDescent="0.25">
      <c r="A17" s="36">
        <v>42710.244722222225</v>
      </c>
      <c r="B17" s="31" t="s">
        <v>213</v>
      </c>
      <c r="C17" s="31" t="s">
        <v>422</v>
      </c>
      <c r="D17" s="31" t="s">
        <v>49</v>
      </c>
      <c r="E17" s="31" t="s">
        <v>201</v>
      </c>
      <c r="F17" s="47">
        <v>0</v>
      </c>
      <c r="G17" s="47">
        <v>37</v>
      </c>
      <c r="H17" s="47">
        <v>176</v>
      </c>
      <c r="I17" s="47">
        <v>141</v>
      </c>
      <c r="J17" s="31" t="s">
        <v>202</v>
      </c>
      <c r="K17" s="47">
        <v>1</v>
      </c>
      <c r="L17" s="154" t="s">
        <v>51</v>
      </c>
      <c r="M17" s="155">
        <f>CONVERT((I17-K17)/10000,"mi","ft")*IF(L17="Increasing Mileposts (1)",-1,1)</f>
        <v>73.92</v>
      </c>
      <c r="N17" s="156" t="str">
        <f>VLOOKUP(C17,'Trips&amp;Operators'!$C$1:$G$99999,5,FALSE)</f>
        <v>DAVIDSON DAVID</v>
      </c>
      <c r="O17" s="182" t="s">
        <v>196</v>
      </c>
      <c r="P17" s="157"/>
      <c r="Q17" s="31"/>
      <c r="R17" s="100" t="str">
        <f>VLOOKUP(C17,'Train Runs'!$A$13:$AE$9977,31,0)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17" s="103" t="str">
        <f>VLOOKUP(C17,'Train Runs'!$A$13:$AE$9977,22,0)</f>
        <v>https://search-rtdc-monitor-bjffxe2xuh6vdkpspy63sjmuny.us-east-1.es.amazonaws.com/_plugin/kibana/#/discover/Steve-Slow-Train-Analysis-(2080s-and-2083s)?_g=(refreshInterval:(display:Off,section:0,value:0),time:(from:'2016-12-06 03:58:48-700',mode:absolute,to:'2016-12-06 06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/stypes="*4012*201612061*" /stext=" 12:.+((SYSTEM_STATE.+slice.+state.+changed )|(ment ac)|(multiple cpu faults)|(system.+state.+changed )|(\[timeout)|(PRM\|1\|D)|(kpr)|(kdp)|(\|lc)|(penalty))" /e /r /s</v>
      </c>
      <c r="U17" s="9" t="str">
        <f>MID(B17,13,4)</f>
        <v>4012</v>
      </c>
      <c r="V17" s="36">
        <f>A17-utc_offset/24</f>
        <v>42710.53638888889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ID","value":"106-06"},{"id":16,"name":"Locomotive ID","value":"4012"},{"id":130,"name":"Impact","value":""},{"id":150,"name":"Time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"%USERPROFILE%\AppData\Local\Temp\OnboardLogs"\RTDC4012\*4012*201612061*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"%USERPROFILE%\AppData\Local\Temp\OnboardLogs"\RTDC4012\*4012*201612061* &gt;&gt; 42710-slicedisagreementcheck.txt</v>
      </c>
    </row>
    <row r="18" spans="1:30" s="1" customFormat="1" x14ac:dyDescent="0.25">
      <c r="A18" s="36">
        <v>42710.285567129627</v>
      </c>
      <c r="B18" s="31" t="s">
        <v>307</v>
      </c>
      <c r="C18" s="31" t="s">
        <v>424</v>
      </c>
      <c r="D18" s="31" t="s">
        <v>49</v>
      </c>
      <c r="E18" s="31" t="s">
        <v>201</v>
      </c>
      <c r="F18" s="47">
        <v>0</v>
      </c>
      <c r="G18" s="47">
        <v>46</v>
      </c>
      <c r="H18" s="47">
        <v>165</v>
      </c>
      <c r="I18" s="47">
        <v>119</v>
      </c>
      <c r="J18" s="31" t="s">
        <v>202</v>
      </c>
      <c r="K18" s="47">
        <v>1</v>
      </c>
      <c r="L18" s="154" t="s">
        <v>51</v>
      </c>
      <c r="M18" s="155">
        <f>CONVERT((I18-K18)/10000,"mi","ft")*IF(L18="Increasing Mileposts (1)",-1,1)</f>
        <v>62.304000000000002</v>
      </c>
      <c r="N18" s="156" t="str">
        <f>VLOOKUP(C18,'Trips&amp;Operators'!$C$1:$G$99999,5,FALSE)</f>
        <v>KILLION DAVID</v>
      </c>
      <c r="O18" s="182" t="s">
        <v>196</v>
      </c>
      <c r="P18" s="157"/>
      <c r="Q18" s="31"/>
      <c r="R18" s="100" t="str">
        <f>VLOOKUP(C18,'Train Runs'!$A$13:$AE$9977,31,0)</f>
        <v>aws s3 cp s3://rtdc.mdm.uploadarchive.raw/RTDC4019/ "%USERPROFILE%\AppData\Local\Temp\OnboardLogs"\RTDC4019\2016-12-06 --exclude "*" --recursive --include "*20161206*" &amp; "%USERPROFILE%\Documents\GitHub\mrs-test-scripts\Headless Mode &amp; Sideloading\WalkAndUnGZ.bat" "%USERPROFILE%\AppData\Local\Temp\OnboardLogs"\RTDC4019\2016-12-06 &amp; 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</v>
      </c>
      <c r="S18" s="103" t="str">
        <f>VLOOKUP(C18,'Train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05:05:26-700',mode:absolute,to:'2016-12-06 07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/stypes="*4019*201612061*" /stext=" 13:.+((SYSTEM_STATE.+slice.+state.+changed )|(ment ac)|(multiple cpu faults)|(system.+state.+changed )|(\[timeout)|(PRM\|1\|D)|(kpr)|(kdp)|(\|lc)|(penalty))" /e /r /s</v>
      </c>
      <c r="U18" s="9" t="str">
        <f>MID(B18,13,4)</f>
        <v>4019</v>
      </c>
      <c r="V18" s="36">
        <f>A18-utc_offset/24</f>
        <v>42710.577233796292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ID","value":"114-06"},{"id":16,"name":"Locomotive ID","value":"4019"},{"id":130,"name":"Impact","value":""},{"id":150,"name":"Time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"%USERPROFILE%\AppData\Local\Temp\OnboardLogs"\RTDC4019\*4019*201612061*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"%USERPROFILE%\AppData\Local\Temp\OnboardLogs"\RTDC4019\*4019*201612061* &gt;&gt; 42710-slicedisagreementcheck.txt</v>
      </c>
    </row>
    <row r="19" spans="1:30" s="1" customFormat="1" x14ac:dyDescent="0.25">
      <c r="A19" s="36">
        <v>42710.421898148146</v>
      </c>
      <c r="B19" s="31" t="s">
        <v>361</v>
      </c>
      <c r="C19" s="31" t="s">
        <v>434</v>
      </c>
      <c r="D19" s="31" t="s">
        <v>49</v>
      </c>
      <c r="E19" s="31" t="s">
        <v>201</v>
      </c>
      <c r="F19" s="47">
        <v>0</v>
      </c>
      <c r="G19" s="47">
        <v>97</v>
      </c>
      <c r="H19" s="47">
        <v>367</v>
      </c>
      <c r="I19" s="47">
        <v>262</v>
      </c>
      <c r="J19" s="31" t="s">
        <v>202</v>
      </c>
      <c r="K19" s="47">
        <v>1</v>
      </c>
      <c r="L19" s="154" t="s">
        <v>51</v>
      </c>
      <c r="M19" s="155">
        <f>CONVERT((I19-K19)/10000,"mi","ft")*IF(L19="Increasing Mileposts (1)",-1,1)</f>
        <v>137.80799999999999</v>
      </c>
      <c r="N19" s="156" t="str">
        <f>VLOOKUP(C19,'Trips&amp;Operators'!$C$1:$G$99999,5,FALSE)</f>
        <v>GEBRETEKLE DAGNEW</v>
      </c>
      <c r="O19" s="182" t="s">
        <v>196</v>
      </c>
      <c r="P19" s="157"/>
      <c r="Q19" s="31"/>
      <c r="R19" s="100" t="str">
        <f>VLOOKUP(C19,'Train Runs'!$A$13:$AE$9977,31,0)</f>
        <v>aws s3 cp s3://rtdc.mdm.uploadarchive.raw/RTDC4015/ "%USERPROFILE%\AppData\Local\Temp\OnboardLogs"\RTDC4015\2016-12-06 --exclude "*" --recursive --include "*20161206*" &amp; "%USERPROFILE%\Documents\GitHub\mrs-test-scripts\Headless Mode &amp; Sideloading\WalkAndUnGZ.bat" "%USERPROFILE%\AppData\Local\Temp\OnboardLogs"\RTDC4015\2016-12-06 &amp; 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</v>
      </c>
      <c r="S19" s="103" t="str">
        <f>VLOOKUP(C19,'Train Runs'!$A$13:$AE$9977,22,0)</f>
        <v>https://search-rtdc-monitor-bjffxe2xuh6vdkpspy63sjmuny.us-east-1.es.amazonaws.com/_plugin/kibana/#/discover/Steve-Slow-Train-Analysis-(2080s-and-2083s)?_g=(refreshInterval:(display:Off,section:0,value:0),time:(from:'2016-12-06 08:23:36-700',mode:absolute,to:'2016-12-06 11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/stypes="*4015*201612061*" /stext=" 17:.+((SYSTEM_STATE.+slice.+state.+changed )|(ment ac)|(multiple cpu faults)|(system.+state.+changed )|(\[timeout)|(PRM\|1\|D)|(kpr)|(kdp)|(\|lc)|(penalty))" /e /r /s</v>
      </c>
      <c r="U19" s="9" t="str">
        <f>MID(B19,13,4)</f>
        <v>4015</v>
      </c>
      <c r="V19" s="36">
        <f>A19-utc_offset/24</f>
        <v>42710.713564814811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ID","value":"140-06"},{"id":16,"name":"Locomotive ID","value":"4015"},{"id":130,"name":"Impact","value":""},{"id":150,"name":"Time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"%USERPROFILE%\AppData\Local\Temp\OnboardLogs"\RTDC4015\*4015*201612061*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"%USERPROFILE%\AppData\Local\Temp\OnboardLogs"\RTDC4015\*4015*201612061* &gt;&gt; 42710-slicedisagreementcheck.txt</v>
      </c>
    </row>
    <row r="20" spans="1:30" s="1" customFormat="1" x14ac:dyDescent="0.25">
      <c r="A20" s="36">
        <v>42710.763969907406</v>
      </c>
      <c r="B20" s="31" t="s">
        <v>213</v>
      </c>
      <c r="C20" s="31" t="s">
        <v>446</v>
      </c>
      <c r="D20" s="31" t="s">
        <v>49</v>
      </c>
      <c r="E20" s="31" t="s">
        <v>201</v>
      </c>
      <c r="F20" s="47">
        <v>0</v>
      </c>
      <c r="G20" s="47">
        <v>58</v>
      </c>
      <c r="H20" s="47">
        <v>214</v>
      </c>
      <c r="I20" s="47">
        <v>156</v>
      </c>
      <c r="J20" s="31" t="s">
        <v>202</v>
      </c>
      <c r="K20" s="47">
        <v>1</v>
      </c>
      <c r="L20" s="154" t="s">
        <v>51</v>
      </c>
      <c r="M20" s="155">
        <f>CONVERT((I20-K20)/10000,"mi","ft")*IF(L20="Increasing Mileposts (1)",-1,1)</f>
        <v>81.84</v>
      </c>
      <c r="N20" s="156" t="str">
        <f>VLOOKUP(C20,'Trips&amp;Operators'!$C$1:$G$99999,5,FALSE)</f>
        <v>MAHAN DUANE</v>
      </c>
      <c r="O20" s="182" t="s">
        <v>196</v>
      </c>
      <c r="P20" s="157"/>
      <c r="Q20" s="31"/>
      <c r="R20" s="100" t="str">
        <f>VLOOKUP(C20,'Train Runs'!$A$13:$AE$9977,31,0)</f>
        <v>aws s3 cp s3://rtdc.mdm.uploadarchive.raw/RTDC4012/ "%USERPROFILE%\AppData\Local\Temp\OnboardLogs"\RTDC4012\2016-12-06 --exclude "*" --recursive --include "*20161206*" &amp; "%USERPROFILE%\Documents\GitHub\mrs-test-scripts\Headless Mode &amp; Sideloading\WalkAndUnGZ.bat" "%USERPROFILE%\AppData\Local\Temp\OnboardLogs"\RTDC4012\2016-12-06 &amp; 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</v>
      </c>
      <c r="S20" s="103" t="str">
        <f>VLOOKUP(C20,'Train Runs'!$A$13:$AE$9977,22,0)</f>
        <v>https://search-rtdc-monitor-bjffxe2xuh6vdkpspy63sjmuny.us-east-1.es.amazonaws.com/_plugin/kibana/#/discover/Steve-Slow-Train-Analysis-(2080s-and-2083s)?_g=(refreshInterval:(display:Off,section:0,value:0),time:(from:'2016-12-06 16:35:24-700',mode:absolute,to:'2016-12-06 19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/stypes="*4012*201612070*" /stext=" 01:.+((SYSTEM_STATE.+slice.+state.+changed )|(ment ac)|(multiple cpu faults)|(system.+state.+changed )|(\[timeout)|(PRM\|1\|D)|(kpr)|(kdp)|(\|lc)|(penalty))" /e /r /s</v>
      </c>
      <c r="U20" s="9" t="str">
        <f>MID(B20,13,4)</f>
        <v>4012</v>
      </c>
      <c r="V20" s="36">
        <f>A20-utc_offset/24</f>
        <v>42711.05563657407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{"issue":{"subject":"","project_id":79,"tracker_id":40,"status_id":1,"priority_id":2,"assigned_to_id":23,"start_date":"2016-12-06","description":"","custom_fields":[{"id":1,"name":"Subdivision","value":"EC"},{"id":4,"name":"Milepost","value":"0.0001"},{"id":17,"name":"Train ID","value":"206-06"},{"id":16,"name":"Locomotive ID","value":"4012"},{"id":130,"name":"Impact","value":""},{"id":150,"name":"Time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"%USERPROFILE%\AppData\Local\Temp\OnboardLogs"\RTDC4012\*4012*201612070*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"%USERPROFILE%\AppData\Local\Temp\OnboardLogs"\RTDC4012\*4012*201612070* &gt;&gt; 42710-slicedisagreementcheck.txt</v>
      </c>
    </row>
    <row r="21" spans="1:30" x14ac:dyDescent="0.25">
      <c r="A21" s="36">
        <v>42711.046412037038</v>
      </c>
      <c r="B21" s="31" t="s">
        <v>304</v>
      </c>
      <c r="C21" s="31" t="s">
        <v>454</v>
      </c>
      <c r="D21" s="31" t="s">
        <v>49</v>
      </c>
      <c r="E21" s="31" t="s">
        <v>201</v>
      </c>
      <c r="F21" s="47">
        <v>0</v>
      </c>
      <c r="G21" s="47">
        <v>59</v>
      </c>
      <c r="H21" s="47">
        <v>182</v>
      </c>
      <c r="I21" s="47">
        <v>108</v>
      </c>
      <c r="J21" s="31" t="s">
        <v>202</v>
      </c>
      <c r="K21" s="47">
        <v>1</v>
      </c>
      <c r="L21" s="154" t="s">
        <v>51</v>
      </c>
      <c r="M21" s="155">
        <f>CONVERT((I21-K21)/10000,"mi","ft")*IF(L21="Increasing Mileposts (1)",-1,1)</f>
        <v>56.496000000000002</v>
      </c>
      <c r="N21" s="156" t="str">
        <f>VLOOKUP(C21,'Trips&amp;Operators'!$C$1:$G$99999,5,FALSE)</f>
        <v>COOLAHAN JOHN</v>
      </c>
      <c r="O21" s="182" t="s">
        <v>196</v>
      </c>
      <c r="P21" s="157"/>
      <c r="Q21" s="31"/>
      <c r="R21" s="100" t="str">
        <f>VLOOKUP(C21,'Train Runs'!$A$13:$AE$9977,31,0)</f>
        <v>aws s3 cp s3://rtdc.mdm.uploadarchive.raw/RTDC4017/ "%USERPROFILE%\AppData\Local\Temp\OnboardLogs"\RTDC4017\2016-12-07 --exclude "*" --recursive --include "*20161207*" &amp; "%USERPROFILE%\Documents\GitHub\mrs-test-scripts\Headless Mode &amp; Sideloading\WalkAndUnGZ.bat" "%USERPROFILE%\AppData\Local\Temp\OnboardLogs"\RTDC4017\2016-12-07 &amp; aws s3 cp s3://rtdc.mdm.uploadarchive.raw/RTDC4017/ "%USERPROFILE%\AppData\Local\Temp\OnboardLogs"\RTDC4017\2016-12-08 --exclude "*" --recursive --include "*20161208*" &amp; "%USERPROFILE%\Documents\GitHub\mrs-test-scripts\Headless Mode &amp; Sideloading\WalkAndUnGZ.bat" "%USERPROFILE%\AppData\Local\Temp\OnboardLogs"\RTDC4017\2016-12-08</v>
      </c>
      <c r="S21" s="103" t="str">
        <f>VLOOKUP(C21,'Train Runs'!$A$13:$AE$9977,22,0)</f>
        <v>https://search-rtdc-monitor-bjffxe2xuh6vdkpspy63sjmuny.us-east-1.es.amazonaws.com/_plugin/kibana/#/discover/Steve-Slow-Train-Analysis-(2080s-and-2083s)?_g=(refreshInterval:(display:Off,section:0,value:0),time:(from:'2016-12-06 23:19:39-700',mode:absolute,to:'2016-12-07 02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/stypes="*4017*201612070*" /stext=" 08:.+((SYSTEM_STATE.+slice.+state.+changed )|(ment ac)|(multiple cpu faults)|(system.+state.+changed )|(\[timeout)|(PRM\|1\|D)|(kpr)|(kdp)|(\|lc)|(penalty))" /e /r /s</v>
      </c>
      <c r="U21" s="9" t="str">
        <f>MID(B21,13,4)</f>
        <v>4017</v>
      </c>
      <c r="V21" s="36">
        <f>A21-utc_offset/24</f>
        <v>42711.338078703702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ID","value":"240-06"},{"id":16,"name":"Locomotive ID","value":"4017"},{"id":130,"name":"Impact","value":""},{"id":150,"name":"Time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"%USERPROFILE%\AppData\Local\Temp\OnboardLogs"\RTDC4017\*4017*201612070*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"%USERPROFILE%\AppData\Local\Temp\OnboardLogs"\RTDC4017\*4017*201612070* &gt;&gt; 42710-slicedisagreementcheck.txt</v>
      </c>
    </row>
    <row r="22" spans="1:30" x14ac:dyDescent="0.25">
      <c r="A22" s="36">
        <v>42710.368148148147</v>
      </c>
      <c r="B22" s="31" t="s">
        <v>305</v>
      </c>
      <c r="C22" s="31" t="s">
        <v>432</v>
      </c>
      <c r="D22" s="31" t="s">
        <v>49</v>
      </c>
      <c r="E22" s="31" t="s">
        <v>201</v>
      </c>
      <c r="F22" s="47">
        <v>0</v>
      </c>
      <c r="G22" s="47">
        <v>78</v>
      </c>
      <c r="H22" s="47">
        <v>1112</v>
      </c>
      <c r="I22" s="47">
        <v>991</v>
      </c>
      <c r="J22" s="31" t="s">
        <v>202</v>
      </c>
      <c r="K22" s="47">
        <v>826</v>
      </c>
      <c r="L22" s="154" t="s">
        <v>51</v>
      </c>
      <c r="M22" s="155">
        <f>CONVERT((I22-K22)/10000,"mi","ft")*IF(L22="Increasing Mileposts (1)",-1,1)</f>
        <v>87.12</v>
      </c>
      <c r="N22" s="156" t="str">
        <f>VLOOKUP(C22,'Trips&amp;Operators'!$C$1:$G$99999,5,FALSE)</f>
        <v>SANTIZO D. EDY</v>
      </c>
      <c r="O22" s="182" t="s">
        <v>196</v>
      </c>
      <c r="P22" s="157"/>
      <c r="Q22" s="31"/>
      <c r="R22" s="100" t="str">
        <f>VLOOKUP(C22,'Train Runs'!$A$13:$AE$9977,31,0)</f>
        <v>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 &amp; aws s3 cp s3://rtdc.mdm.uploadarchive.raw/RTDC4028/ "%USERPROFILE%\AppData\Local\Temp\OnboardLogs"\RTDC4028\2016-12-07 --exclude "*" --recursive --include "*20161207*" &amp; "%USERPROFILE%\Documents\GitHub\mrs-test-scripts\Headless Mode &amp; Sideloading\WalkAndUnGZ.bat" "%USERPROFILE%\AppData\Local\Temp\OnboardLogs"\RTDC4028\2016-12-07</v>
      </c>
      <c r="S22" s="103" t="str">
        <f>VLOOKUP(C22,'Train Runs'!$A$13:$AE$9977,22,0)</f>
        <v>https://search-rtdc-monitor-bjffxe2xuh6vdkpspy63sjmuny.us-east-1.es.amazonaws.com/_plugin/kibana/#/discover/Steve-Slow-Train-Analysis-(2080s-and-2083s)?_g=(refreshInterval:(display:Off,section:0,value:0),time:(from:'2016-12-06 07:02:55-700',mode:absolute,to:'2016-12-06 09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/stypes="*4028*201612061*" /stext=" 15:.+((SYSTEM_STATE.+slice.+state.+changed )|(ment ac)|(multiple cpu faults)|(system.+state.+changed )|(\[timeout)|(PRM\|1\|D)|(kpr)|(kdp)|(\|lc)|(penalty))" /e /r /s</v>
      </c>
      <c r="U22" s="9" t="str">
        <f>MID(B22,13,4)</f>
        <v>4028</v>
      </c>
      <c r="V22" s="36">
        <f>A22-utc_offset/24</f>
        <v>42710.659814814811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{"issue":{"subject":"","project_id":79,"tracker_id":40,"status_id":1,"priority_id":2,"assigned_to_id":23,"start_date":"2016-12-06","description":"","custom_fields":[{"id":1,"name":"Subdivision","value":"EC"},{"id":4,"name":"Milepost","value":"0.0826"},{"id":17,"name":"Train ID","value":"130-06"},{"id":16,"name":"Locomotive ID","value":"4028"},{"id":130,"name":"Impact","value":""},{"id":150,"name":"Time of Event (Mountain Time)","value":"08:50:08"},{"id":151,"name":"Denver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"%USERPROFILE%\AppData\Local\Temp\OnboardLogs"\RTDC4028\*4028*201612061*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"%USERPROFILE%\AppData\Local\Temp\OnboardLogs"\RTDC4028\*4028*201612061* &gt;&gt; 42710-slicedisagreementcheck.txt</v>
      </c>
    </row>
    <row r="23" spans="1:30" x14ac:dyDescent="0.25">
      <c r="A23" s="36">
        <v>42710.628391203703</v>
      </c>
      <c r="B23" s="31" t="s">
        <v>288</v>
      </c>
      <c r="C23" s="31" t="s">
        <v>442</v>
      </c>
      <c r="D23" s="31" t="s">
        <v>49</v>
      </c>
      <c r="E23" s="31" t="s">
        <v>201</v>
      </c>
      <c r="F23" s="47">
        <v>0</v>
      </c>
      <c r="G23" s="47">
        <v>76</v>
      </c>
      <c r="H23" s="47">
        <v>1107</v>
      </c>
      <c r="I23" s="47">
        <v>1018</v>
      </c>
      <c r="J23" s="31" t="s">
        <v>202</v>
      </c>
      <c r="K23" s="47">
        <v>839</v>
      </c>
      <c r="L23" s="154" t="s">
        <v>51</v>
      </c>
      <c r="M23" s="155">
        <f>CONVERT((I23-K23)/10000,"mi","ft")*IF(L23="Increasing Mileposts (1)",-1,1)</f>
        <v>94.512</v>
      </c>
      <c r="N23" s="156" t="str">
        <f>VLOOKUP(C23,'Trips&amp;Operators'!$C$1:$G$99999,5,FALSE)</f>
        <v>BARTLETT KIANDRA</v>
      </c>
      <c r="O23" s="182" t="s">
        <v>196</v>
      </c>
      <c r="P23" s="157"/>
      <c r="Q23" s="31"/>
      <c r="R23" s="100" t="str">
        <f>VLOOKUP(C23,'Train Runs'!$A$13:$AE$9977,31,0)</f>
        <v>aws s3 cp s3://rtdc.mdm.uploadarchive.raw/RTDC4043/ "%USERPROFILE%\AppData\Local\Temp\OnboardLogs"\RTDC4043\2016-12-06 --exclude "*" --recursive --include "*20161206*" &amp; "%USERPROFILE%\Documents\GitHub\mrs-test-scripts\Headless Mode &amp; Sideloading\WalkAndUnGZ.bat" "%USERPROFILE%\AppData\Local\Temp\OnboardLogs"\RTDC4043\2016-12-06 &amp; 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</v>
      </c>
      <c r="S23" s="103" t="str">
        <f>VLOOKUP(C23,'Train Runs'!$A$13:$AE$9977,22,0)</f>
        <v>https://search-rtdc-monitor-bjffxe2xuh6vdkpspy63sjmuny.us-east-1.es.amazonaws.com/_plugin/kibana/#/discover/Steve-Slow-Train-Analysis-(2080s-and-2083s)?_g=(refreshInterval:(display:Off,section:0,value:0),time:(from:'2016-12-06 13:11:30-700',mode:absolute,to:'2016-12-06 16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/stypes="*4043*201612062*" /stext=" 22:.+((SYSTEM_STATE.+slice.+state.+changed )|(ment ac)|(multiple cpu faults)|(system.+state.+changed )|(\[timeout)|(PRM\|1\|D)|(kpr)|(kdp)|(\|lc)|(penalty))" /e /r /s</v>
      </c>
      <c r="U23" s="9" t="str">
        <f>MID(B23,13,4)</f>
        <v>4043</v>
      </c>
      <c r="V23" s="36">
        <f>A23-utc_offset/24</f>
        <v>42710.920057870368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{"issue":{"subject":"","project_id":79,"tracker_id":40,"status_id":1,"priority_id":2,"assigned_to_id":23,"start_date":"2016-12-06","description":"","custom_fields":[{"id":1,"name":"Subdivision","value":"EC"},{"id":4,"name":"Milepost","value":"0.0839"},{"id":17,"name":"Train ID","value":"180-06"},{"id":16,"name":"Locomotive ID","value":"4043"},{"id":130,"name":"Impact","value":""},{"id":150,"name":"Time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"%USERPROFILE%\AppData\Local\Temp\OnboardLogs"\RTDC4043\*4043*201612062*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"%USERPROFILE%\AppData\Local\Temp\OnboardLogs"\RTDC4043\*4043*201612062* &gt;&gt; 42710-slicedisagreementcheck.txt</v>
      </c>
    </row>
    <row r="24" spans="1:30" ht="15" customHeight="1" x14ac:dyDescent="0.25">
      <c r="A24" s="36">
        <v>42710.347581018519</v>
      </c>
      <c r="B24" s="31" t="s">
        <v>184</v>
      </c>
      <c r="C24" s="31" t="s">
        <v>428</v>
      </c>
      <c r="D24" s="31" t="s">
        <v>49</v>
      </c>
      <c r="E24" s="31" t="s">
        <v>201</v>
      </c>
      <c r="F24" s="47">
        <v>0</v>
      </c>
      <c r="G24" s="47">
        <v>51</v>
      </c>
      <c r="H24" s="47">
        <v>233284</v>
      </c>
      <c r="I24" s="47">
        <v>233322</v>
      </c>
      <c r="J24" s="31" t="s">
        <v>202</v>
      </c>
      <c r="K24" s="47">
        <v>233491</v>
      </c>
      <c r="L24" s="154" t="s">
        <v>50</v>
      </c>
      <c r="M24" s="155">
        <f>CONVERT((I24-K24)/10000,"mi","ft")*IF(L24="Increasing Mileposts (1)",-1,1)</f>
        <v>89.231999999999985</v>
      </c>
      <c r="N24" s="156" t="str">
        <f>VLOOKUP(C24,'Trips&amp;Operators'!$C$1:$G$99999,5,FALSE)</f>
        <v>MAGEE KENYA</v>
      </c>
      <c r="O24" s="182" t="s">
        <v>196</v>
      </c>
      <c r="P24" s="157"/>
      <c r="Q24" s="31"/>
      <c r="R24" s="100" t="str">
        <f>VLOOKUP(C24,'Train Runs'!$A$13:$AE$9977,31,0)</f>
        <v>aws s3 cp s3://rtdc.mdm.uploadarchive.raw/RTDC4044/ "%USERPROFILE%\AppData\Local\Temp\OnboardLogs"\RTDC4044\2016-12-06 --exclude "*" --recursive --include "*20161206*" &amp; "%USERPROFILE%\Documents\GitHub\mrs-test-scripts\Headless Mode &amp; Sideloading\WalkAndUnGZ.bat" "%USERPROFILE%\AppData\Local\Temp\OnboardLogs"\RTDC4044\2016-12-06 &amp; 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</v>
      </c>
      <c r="S24" s="103" t="str">
        <f>VLOOKUP(C24,'Train Runs'!$A$13:$AE$9977,22,0)</f>
        <v>https://search-rtdc-monitor-bjffxe2xuh6vdkpspy63sjmuny.us-east-1.es.amazonaws.com/_plugin/kibana/#/discover/Steve-Slow-Train-Analysis-(2080s-and-2083s)?_g=(refreshInterval:(display:Off,section:0,value:0),time:(from:'2016-12-06 06:27:12-700',mode:absolute,to:'2016-12-06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/stypes="*4044*201612061*" /stext=" 15:.+((SYSTEM_STATE.+slice.+state.+changed )|(ment ac)|(multiple cpu faults)|(system.+state.+changed )|(\[timeout)|(PRM\|1\|D)|(kpr)|(kdp)|(\|lc)|(penalty))" /e /r /s</v>
      </c>
      <c r="U24" s="9" t="str">
        <f>MID(B24,13,4)</f>
        <v>4044</v>
      </c>
      <c r="V24" s="36">
        <f>A24-utc_offset/24</f>
        <v>42710.639247685183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ID","value":"131-06"},{"id":16,"name":"Locomotive ID","value":"4044"},{"id":130,"name":"Impact","value":""},{"id":150,"name":"Time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"%USERPROFILE%\AppData\Local\Temp\OnboardLogs"\RTDC4044\*4044*201612061*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"%USERPROFILE%\AppData\Local\Temp\OnboardLogs"\RTDC4044\*4044*201612061* &gt;&gt; 42710-slicedisagreementcheck.txt</v>
      </c>
    </row>
    <row r="25" spans="1:30" x14ac:dyDescent="0.25">
      <c r="A25" s="36">
        <v>42710.521863425929</v>
      </c>
      <c r="B25" s="31" t="s">
        <v>286</v>
      </c>
      <c r="C25" s="31" t="s">
        <v>440</v>
      </c>
      <c r="D25" s="31" t="s">
        <v>49</v>
      </c>
      <c r="E25" s="31" t="s">
        <v>201</v>
      </c>
      <c r="F25" s="47">
        <v>0</v>
      </c>
      <c r="G25" s="47">
        <v>128</v>
      </c>
      <c r="H25" s="47">
        <v>232481</v>
      </c>
      <c r="I25" s="47">
        <v>232624</v>
      </c>
      <c r="J25" s="31" t="s">
        <v>202</v>
      </c>
      <c r="K25" s="47">
        <v>233491</v>
      </c>
      <c r="L25" s="154" t="s">
        <v>50</v>
      </c>
      <c r="M25" s="155">
        <f>CONVERT((I25-K25)/10000,"mi","ft")*IF(L25="Increasing Mileposts (1)",-1,1)</f>
        <v>457.77600000000001</v>
      </c>
      <c r="N25" s="156" t="str">
        <f>VLOOKUP(C25,'Trips&amp;Operators'!$C$1:$G$99999,5,FALSE)</f>
        <v>STEWART MICHAEL</v>
      </c>
      <c r="O25" s="182" t="s">
        <v>196</v>
      </c>
      <c r="P25" s="157"/>
      <c r="Q25" s="31"/>
      <c r="R25" s="100" t="str">
        <f>VLOOKUP(C25,'Train Runs'!$A$13:$AE$9977,31,0)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5" s="103" t="str">
        <f>VLOOKUP(C25,'Train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5" s="9" t="str">
        <f>MID(B25,13,4)</f>
        <v>4029</v>
      </c>
      <c r="V25" s="36">
        <f>A25-utc_offset/24</f>
        <v>42710.813530092593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"%USERPROFILE%\AppData\Local\Temp\OnboardLogs"\RTDC4029\*4029*201612061*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6" spans="1:30" x14ac:dyDescent="0.25">
      <c r="A26" s="36">
        <v>42710.522581018522</v>
      </c>
      <c r="B26" s="31" t="s">
        <v>286</v>
      </c>
      <c r="C26" s="31" t="s">
        <v>440</v>
      </c>
      <c r="D26" s="31" t="s">
        <v>49</v>
      </c>
      <c r="E26" s="31" t="s">
        <v>201</v>
      </c>
      <c r="F26" s="47">
        <v>0</v>
      </c>
      <c r="G26" s="47">
        <v>77</v>
      </c>
      <c r="H26" s="47">
        <v>233085</v>
      </c>
      <c r="I26" s="47">
        <v>233155</v>
      </c>
      <c r="J26" s="31" t="s">
        <v>202</v>
      </c>
      <c r="K26" s="47">
        <v>233491</v>
      </c>
      <c r="L26" s="154" t="s">
        <v>50</v>
      </c>
      <c r="M26" s="155">
        <f>CONVERT((I26-K26)/10000,"mi","ft")*IF(L26="Increasing Mileposts (1)",-1,1)</f>
        <v>177.40799999999999</v>
      </c>
      <c r="N26" s="156" t="str">
        <f>VLOOKUP(C26,'Trips&amp;Operators'!$C$1:$G$99999,5,FALSE)</f>
        <v>STEWART MICHAEL</v>
      </c>
      <c r="O26" s="182" t="s">
        <v>196</v>
      </c>
      <c r="P26" s="157"/>
      <c r="Q26" s="31"/>
      <c r="R26" s="100" t="str">
        <f>VLOOKUP(C26,'Train Runs'!$A$13:$AE$9977,31,0)</f>
        <v>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 &amp; aws s3 cp s3://rtdc.mdm.uploadarchive.raw/RTDC4029/ "%USERPROFILE%\AppData\Local\Temp\OnboardLogs"\RTDC4029\2016-12-07 --exclude "*" --recursive --include "*20161207*" &amp; "%USERPROFILE%\Documents\GitHub\mrs-test-scripts\Headless Mode &amp; Sideloading\WalkAndUnGZ.bat" "%USERPROFILE%\AppData\Local\Temp\OnboardLogs"\RTDC4029\2016-12-07</v>
      </c>
      <c r="S26" s="103" t="str">
        <f>VLOOKUP(C26,'Train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10:08:09-700',mode:absolute,to:'2016-12-06 13:31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/stypes="*4029*201612061*" /stext=" 19:.+((SYSTEM_STATE.+slice.+state.+changed )|(ment ac)|(multiple cpu faults)|(system.+state.+changed )|(\[timeout)|(PRM\|1\|D)|(kpr)|(kdp)|(\|lc)|(penalty))" /e /r /s</v>
      </c>
      <c r="U26" s="9" t="str">
        <f>MID(B26,13,4)</f>
        <v>4029</v>
      </c>
      <c r="V26" s="36">
        <f>A26-utc_offset/24</f>
        <v>42710.814247685186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ID","value":"161-06"},{"id":16,"name":"Locomotive ID","value":"4029"},{"id":130,"name":"Impact","value":""},{"id":150,"name":"Time of Event (Mountain Time)","value":"12:32:31"},{"id":151,"name":"Denver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"%USERPROFILE%\AppData\Local\Temp\OnboardLogs"\RTDC4029\*4029*201612061*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"%USERPROFILE%\AppData\Local\Temp\OnboardLogs"\RTDC4029\*4029*201612061* &gt;&gt; 42710-slicedisagreementcheck.txt</v>
      </c>
    </row>
    <row r="27" spans="1:30" x14ac:dyDescent="0.25">
      <c r="A27" s="36">
        <v>42710.629745370374</v>
      </c>
      <c r="B27" s="31" t="s">
        <v>270</v>
      </c>
      <c r="C27" s="31" t="s">
        <v>443</v>
      </c>
      <c r="D27" s="31" t="s">
        <v>49</v>
      </c>
      <c r="E27" s="31" t="s">
        <v>201</v>
      </c>
      <c r="F27" s="47">
        <v>0</v>
      </c>
      <c r="G27" s="47">
        <v>128</v>
      </c>
      <c r="H27" s="47">
        <v>232894</v>
      </c>
      <c r="I27" s="47">
        <v>233059</v>
      </c>
      <c r="J27" s="31" t="s">
        <v>202</v>
      </c>
      <c r="K27" s="47">
        <v>233491</v>
      </c>
      <c r="L27" s="154" t="s">
        <v>50</v>
      </c>
      <c r="M27" s="155">
        <f>CONVERT((I27-K27)/10000,"mi","ft")*IF(L27="Increasing Mileposts (1)",-1,1)</f>
        <v>228.096</v>
      </c>
      <c r="N27" s="156" t="str">
        <f>VLOOKUP(C27,'Trips&amp;Operators'!$C$1:$G$99999,5,FALSE)</f>
        <v>STORY SAMANTHA</v>
      </c>
      <c r="O27" s="182" t="s">
        <v>196</v>
      </c>
      <c r="P27" s="157"/>
      <c r="Q27" s="31"/>
      <c r="R27" s="100" t="str">
        <f>VLOOKUP(C27,'Train Runs'!$A$13:$AE$9977,31,0)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7" s="103" t="str">
        <f>VLOOKUP(C27,'Train Runs'!$A$13:$AE$9977,22,0)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7" s="9" t="str">
        <f>MID(B27,13,4)</f>
        <v>4016</v>
      </c>
      <c r="V27" s="36">
        <f>A27-utc_offset/24</f>
        <v>42710.921412037038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"%USERPROFILE%\AppData\Local\Temp\OnboardLogs"\RTDC4016\*4016*201612062*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8" spans="1:30" x14ac:dyDescent="0.25">
      <c r="A28" s="36">
        <v>42710.630162037036</v>
      </c>
      <c r="B28" s="31" t="s">
        <v>270</v>
      </c>
      <c r="C28" s="31" t="s">
        <v>443</v>
      </c>
      <c r="D28" s="31" t="s">
        <v>49</v>
      </c>
      <c r="E28" s="31" t="s">
        <v>201</v>
      </c>
      <c r="F28" s="47">
        <v>0</v>
      </c>
      <c r="G28" s="47">
        <v>57</v>
      </c>
      <c r="H28" s="47">
        <v>233159</v>
      </c>
      <c r="I28" s="47">
        <v>233198</v>
      </c>
      <c r="J28" s="31" t="s">
        <v>202</v>
      </c>
      <c r="K28" s="47">
        <v>233491</v>
      </c>
      <c r="L28" s="154" t="s">
        <v>50</v>
      </c>
      <c r="M28" s="155">
        <f>CONVERT((I28-K28)/10000,"mi","ft")*IF(L28="Increasing Mileposts (1)",-1,1)</f>
        <v>154.70400000000001</v>
      </c>
      <c r="N28" s="156" t="str">
        <f>VLOOKUP(C28,'Trips&amp;Operators'!$C$1:$G$99999,5,FALSE)</f>
        <v>STORY SAMANTHA</v>
      </c>
      <c r="O28" s="182" t="s">
        <v>196</v>
      </c>
      <c r="P28" s="157"/>
      <c r="Q28" s="31"/>
      <c r="R28" s="100" t="str">
        <f>VLOOKUP(C28,'Train Runs'!$A$13:$AE$9977,31,0)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28" s="103" t="str">
        <f>VLOOKUP(C28,'Train Runs'!$A$13:$AE$9977,22,0)</f>
        <v>https://search-rtdc-monitor-bjffxe2xuh6vdkpspy63sjmuny.us-east-1.es.amazonaws.com/_plugin/kibana/#/discover/Steve-Slow-Train-Analysis-(2080s-and-2083s)?_g=(refreshInterval:(display:Off,section:0,value:0),time:(from:'2016-12-06 13:24:42-700',mode:absolute,to:'2016-12-06 16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/stypes="*4016*201612062*" /stext=" 22:.+((SYSTEM_STATE.+slice.+state.+changed )|(ment ac)|(multiple cpu faults)|(system.+state.+changed )|(\[timeout)|(PRM\|1\|D)|(kpr)|(kdp)|(\|lc)|(penalty))" /e /r /s</v>
      </c>
      <c r="U28" s="9" t="str">
        <f>MID(B28,13,4)</f>
        <v>4016</v>
      </c>
      <c r="V28" s="36">
        <f>A28-utc_offset/24</f>
        <v>42710.9218287037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{"issue":{"subject":"","project_id":79,"tracker_id":40,"status_id":1,"priority_id":2,"assigned_to_id":23,"start_date":"2016-12-06","description":"","custom_fields":[{"id":1,"name":"Subdivision","value":"EC"},{"id":4,"name":"Milepost","value":"23.3491"},{"id":17,"name":"Train ID","value":"187-06"},{"id":16,"name":"Locomotive ID","value":"4016"},{"id":130,"name":"Impact","value":""},{"id":150,"name":"Time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"%USERPROFILE%\AppData\Local\Temp\OnboardLogs"\RTDC4016\*4016*201612062*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"%USERPROFILE%\AppData\Local\Temp\OnboardLogs"\RTDC4016\*4016*201612062* &gt;&gt; 42710-slicedisagreementcheck.txt</v>
      </c>
    </row>
    <row r="29" spans="1:30" x14ac:dyDescent="0.25">
      <c r="A29" s="36">
        <v>42711.02820601852</v>
      </c>
      <c r="B29" s="31" t="s">
        <v>308</v>
      </c>
      <c r="C29" s="31" t="s">
        <v>453</v>
      </c>
      <c r="D29" s="31" t="s">
        <v>49</v>
      </c>
      <c r="E29" s="31" t="s">
        <v>201</v>
      </c>
      <c r="F29" s="47">
        <v>0</v>
      </c>
      <c r="G29" s="47">
        <v>138</v>
      </c>
      <c r="H29" s="47">
        <v>232581</v>
      </c>
      <c r="I29" s="47">
        <v>232764</v>
      </c>
      <c r="J29" s="31" t="s">
        <v>202</v>
      </c>
      <c r="K29" s="47">
        <v>233491</v>
      </c>
      <c r="L29" s="154" t="s">
        <v>50</v>
      </c>
      <c r="M29" s="155">
        <f>CONVERT((I29-K29)/10000,"mi","ft")*IF(L29="Increasing Mileposts (1)",-1,1)</f>
        <v>383.85599999999999</v>
      </c>
      <c r="N29" s="156" t="str">
        <f>VLOOKUP(C29,'Trips&amp;Operators'!$C$1:$G$99999,5,FALSE)</f>
        <v>YANAI IAN</v>
      </c>
      <c r="O29" s="182" t="s">
        <v>196</v>
      </c>
      <c r="P29" s="157"/>
      <c r="Q29" s="31"/>
      <c r="R29" s="100" t="str">
        <f>VLOOKUP(C29,'Train Runs'!$A$13:$AE$9977,31,0)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29" s="103" t="str">
        <f>VLOOKUP(C29,'Train Runs'!$A$13:$AE$9977,22,0)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29" s="9" t="str">
        <f>MID(B29,13,4)</f>
        <v>4020</v>
      </c>
      <c r="V29" s="36">
        <f>A29-utc_offset/24</f>
        <v>42711.319872685184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"%USERPROFILE%\AppData\Local\Temp\OnboardLogs"\RTDC4020\*4020*201612070*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0" spans="1:30" ht="15" customHeight="1" x14ac:dyDescent="0.25">
      <c r="A30" s="36">
        <v>42711.028854166667</v>
      </c>
      <c r="B30" s="31" t="s">
        <v>308</v>
      </c>
      <c r="C30" s="31" t="s">
        <v>453</v>
      </c>
      <c r="D30" s="31" t="s">
        <v>49</v>
      </c>
      <c r="E30" s="31" t="s">
        <v>201</v>
      </c>
      <c r="F30" s="47">
        <v>0</v>
      </c>
      <c r="G30" s="47">
        <v>77</v>
      </c>
      <c r="H30" s="47">
        <v>232972</v>
      </c>
      <c r="I30" s="47">
        <v>233106</v>
      </c>
      <c r="J30" s="31" t="s">
        <v>202</v>
      </c>
      <c r="K30" s="47">
        <v>233491</v>
      </c>
      <c r="L30" s="154" t="s">
        <v>50</v>
      </c>
      <c r="M30" s="155">
        <f>CONVERT((I30-K30)/10000,"mi","ft")*IF(L30="Increasing Mileposts (1)",-1,1)</f>
        <v>203.28</v>
      </c>
      <c r="N30" s="156" t="str">
        <f>VLOOKUP(C30,'Trips&amp;Operators'!$C$1:$G$99999,5,FALSE)</f>
        <v>YANAI IAN</v>
      </c>
      <c r="O30" s="182" t="s">
        <v>233</v>
      </c>
      <c r="P30" s="157" t="s">
        <v>928</v>
      </c>
      <c r="Q30" s="31"/>
      <c r="R30" s="100" t="str">
        <f>VLOOKUP(C30,'Train Runs'!$A$13:$AE$9977,31,0)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30" s="103" t="str">
        <f>VLOOKUP(C30,'Train Runs'!$A$13:$AE$9977,22,0)</f>
        <v>https://search-rtdc-monitor-bjffxe2xuh6vdkpspy63sjmuny.us-east-1.es.amazonaws.com/_plugin/kibana/#/discover/Steve-Slow-Train-Analysis-(2080s-and-2083s)?_g=(refreshInterval:(display:Off,section:0,value:0),time:(from:'2016-12-06 22:40:02-700',mode:absolute,to:'2016-12-07 01:40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/stypes="*4020*201612070*" /stext=" 07:.+((SYSTEM_STATE.+slice.+state.+changed )|(ment ac)|(multiple cpu faults)|(system.+state.+changed )|(\[timeout)|(PRM\|1\|D)|(kpr)|(kdp)|(\|lc)|(penalty))" /e /r /s</v>
      </c>
      <c r="U30" s="9" t="str">
        <f>MID(B30,13,4)</f>
        <v>4020</v>
      </c>
      <c r="V30" s="36">
        <f>A30-utc_offset/24</f>
        <v>42711.320520833331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braking","project_id":79,"tracker_id":40,"status_id":1,"priority_id":2,"assigned_to_id":23,"start_date":"2016-12-07","description":"","custom_fields":[{"id":1,"name":"Subdivision","value":"EC"},{"id":4,"name":"Milepost","value":"23.3491"},{"id":17,"name":"Train ID","value":"241-06"},{"id":16,"name":"Locomotive ID","value":"4020"},{"id":130,"name":"Impact","value":""},{"id":150,"name":"Time of Event (Mountain Time)","value":"00:41:33"},{"id":151,"name":"Denver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"%USERPROFILE%\AppData\Local\Temp\OnboardLogs"\RTDC4020\*4020*201612070*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"%USERPROFILE%\AppData\Local\Temp\OnboardLogs"\RTDC4020\*4020*201612070* &gt;&gt; 42710-slicedisagreementcheck.txt</v>
      </c>
    </row>
    <row r="31" spans="1:30" ht="15" customHeight="1" x14ac:dyDescent="0.25">
      <c r="A31" s="36">
        <v>42710.70453703704</v>
      </c>
      <c r="B31" s="31" t="s">
        <v>217</v>
      </c>
      <c r="C31" s="31" t="s">
        <v>445</v>
      </c>
      <c r="D31" s="31" t="s">
        <v>49</v>
      </c>
      <c r="E31" s="31" t="s">
        <v>284</v>
      </c>
      <c r="F31" s="47">
        <v>90</v>
      </c>
      <c r="G31" s="47">
        <v>316</v>
      </c>
      <c r="H31" s="47">
        <v>9341</v>
      </c>
      <c r="I31" s="47">
        <v>10063</v>
      </c>
      <c r="J31" s="31" t="s">
        <v>285</v>
      </c>
      <c r="K31" s="47">
        <v>10716</v>
      </c>
      <c r="L31" s="154" t="s">
        <v>50</v>
      </c>
      <c r="M31" s="155">
        <f>CONVERT((I31-K31)/10000,"mi","ft")*IF(L31="Increasing Mileposts (1)",-1,1)</f>
        <v>344.78399999999999</v>
      </c>
      <c r="N31" s="156" t="str">
        <f>VLOOKUP(C31,'Trips&amp;Operators'!$C$1:$G$99999,5,FALSE)</f>
        <v>STAMBAUGH JAMES</v>
      </c>
      <c r="O31" s="182" t="s">
        <v>233</v>
      </c>
      <c r="P31" s="157" t="s">
        <v>927</v>
      </c>
      <c r="Q31" s="31"/>
      <c r="R31" s="100" t="str">
        <f>VLOOKUP(C31,'Train Runs'!$A$13:$AE$9977,31,0)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31" s="103" t="str">
        <f>VLOOKUP(C31,'Train Runs'!$A$13:$AE$9977,22,0)</f>
        <v>https://search-rtdc-monitor-bjffxe2xuh6vdkpspy63sjmuny.us-east-1.es.amazonaws.com/_plugin/kibana/#/discover/Steve-Slow-Train-Analysis-(2080s-and-2083s)?_g=(refreshInterval:(display:Off,section:0,value:0),time:(from:'2016-12-06 15:42:40-700',mode:absolute,to:'2016-12-06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/stypes="*4022*201612062*" /stext=" 23:.+((SYSTEM_STATE.+slice.+state.+changed )|(ment ac)|(multiple cpu faults)|(system.+state.+changed )|(\[timeout)|(PRM\|1\|D)|(kpr)|(kdp)|(\|lc)|(penalty))" /e /r /s</v>
      </c>
      <c r="U31" s="9" t="str">
        <f>MID(B31,13,4)</f>
        <v>4022</v>
      </c>
      <c r="V31" s="36">
        <f>A31-utc_offset/24</f>
        <v>42710.996203703704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{"issue":{"subject":"Early arrival, banner without braking","project_id":79,"tracker_id":40,"status_id":1,"priority_id":2,"assigned_to_id":23,"start_date":"2016-12-06","description":"","custom_fields":[{"id":1,"name":"Subdivision","value":"NW"},{"id":4,"name":"Milepost","value":"1.0716"},{"id":17,"name":"Train ID","value":"831-06"},{"id":16,"name":"Locomotive ID","value":"4022"},{"id":130,"name":"Impact","value":""},{"id":150,"name":"Time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"%USERPROFILE%\AppData\Local\Temp\OnboardLogs"\RTDC4022\*4022*201612062*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"%USERPROFILE%\AppData\Local\Temp\OnboardLogs"\RTDC4022\*4022*201612062* &gt;&gt; 42710-slicedisagreementcheck.txt</v>
      </c>
    </row>
    <row r="32" spans="1:30" x14ac:dyDescent="0.25">
      <c r="A32" s="36">
        <v>42710.368437500001</v>
      </c>
      <c r="B32" s="31" t="s">
        <v>251</v>
      </c>
      <c r="C32" s="31" t="s">
        <v>431</v>
      </c>
      <c r="D32" s="31" t="s">
        <v>49</v>
      </c>
      <c r="E32" s="31" t="s">
        <v>284</v>
      </c>
      <c r="F32" s="47">
        <v>0</v>
      </c>
      <c r="G32" s="47">
        <v>296</v>
      </c>
      <c r="H32" s="47">
        <v>15956</v>
      </c>
      <c r="I32" s="47">
        <v>15431</v>
      </c>
      <c r="J32" s="31" t="s">
        <v>285</v>
      </c>
      <c r="K32" s="47">
        <v>15777</v>
      </c>
      <c r="L32" s="154" t="s">
        <v>51</v>
      </c>
      <c r="M32" s="155">
        <f>CONVERT((I32-K32)/10000,"mi","ft")*IF(L32="Increasing Mileposts (1)",-1,1)</f>
        <v>-182.68799999999999</v>
      </c>
      <c r="N32" s="156" t="str">
        <f>VLOOKUP(C32,'Trips&amp;Operators'!$C$1:$G$99999,5,FALSE)</f>
        <v>LEVIN SCOTT</v>
      </c>
      <c r="O32" s="182" t="s">
        <v>233</v>
      </c>
      <c r="P32" s="157" t="s">
        <v>846</v>
      </c>
      <c r="Q32" s="31"/>
      <c r="R32" s="100" t="str">
        <f>VLOOKUP(C32,'Train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2" s="103" t="str">
        <f>VLOOKUP(C32,'Train Runs'!$A$13:$AE$9977,22,0)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2" s="9" t="str">
        <f>MID(B32,13,4)</f>
        <v>4010</v>
      </c>
      <c r="V32" s="36">
        <f>A32-utc_offset/24</f>
        <v>42710.660104166665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(41st)","project_id":79,"tracker_id":40,"status_id":1,"priority_id":2,"assigned_to_id":23,"start_date":"2016-12-06","description":"","custom_fields":[{"id":1,"name":"Subdivision","value":"NW"},{"id":4,"name":"Milepost","value":"1.5777"},{"id":17,"name":"Train ID","value":"812-06"},{"id":16,"name":"Locomotive ID","value":"4010"},{"id":130,"name":"Impact","value":""},{"id":150,"name":"Time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"%USERPROFILE%\AppData\Local\Temp\OnboardLogs"\RTDC4010\*4010*201612061*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3" spans="1:30" x14ac:dyDescent="0.25">
      <c r="A33" s="36">
        <v>42710.494699074072</v>
      </c>
      <c r="B33" s="31" t="s">
        <v>251</v>
      </c>
      <c r="C33" s="31" t="s">
        <v>439</v>
      </c>
      <c r="D33" s="31" t="s">
        <v>49</v>
      </c>
      <c r="E33" s="31" t="s">
        <v>284</v>
      </c>
      <c r="F33" s="47">
        <v>360</v>
      </c>
      <c r="G33" s="47">
        <v>426</v>
      </c>
      <c r="H33" s="47">
        <v>17829</v>
      </c>
      <c r="I33" s="47">
        <v>16169</v>
      </c>
      <c r="J33" s="31" t="s">
        <v>285</v>
      </c>
      <c r="K33" s="47">
        <v>15777</v>
      </c>
      <c r="L33" s="154" t="s">
        <v>51</v>
      </c>
      <c r="M33" s="155">
        <f>CONVERT((I33-K33)/10000,"mi","ft")*IF(L33="Increasing Mileposts (1)",-1,1)</f>
        <v>206.976</v>
      </c>
      <c r="N33" s="156" t="str">
        <f>VLOOKUP(C33,'Trips&amp;Operators'!$C$1:$G$99999,5,FALSE)</f>
        <v>SAFIEF AEIMEN</v>
      </c>
      <c r="O33" s="182" t="s">
        <v>233</v>
      </c>
      <c r="P33" s="157" t="s">
        <v>846</v>
      </c>
      <c r="Q33" s="31"/>
      <c r="R33" s="100" t="str">
        <f>VLOOKUP(C33,'Train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3" s="103" t="str">
        <f>VLOOKUP(C33,'Train Runs'!$A$13:$AE$9977,22,0)</f>
        <v>https://search-rtdc-monitor-bjffxe2xuh6vdkpspy63sjmuny.us-east-1.es.amazonaws.com/_plugin/kibana/#/discover/Steve-Slow-Train-Analysis-(2080s-and-2083s)?_g=(refreshInterval:(display:Off,section:0,value:0),time:(from:'2016-12-06 10:38:59-700',mode:absolute,to:'2016-12-06 12:59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/stypes="*4010*201612061*" /stext=" 18:.+((SYSTEM_STATE.+slice.+state.+changed )|(ment ac)|(multiple cpu faults)|(system.+state.+changed )|(\[timeout)|(PRM\|1\|D)|(kpr)|(kdp)|(\|lc)|(penalty))" /e /r /s</v>
      </c>
      <c r="U33" s="9" t="str">
        <f>MID(B33,13,4)</f>
        <v>4010</v>
      </c>
      <c r="V33" s="36">
        <f>A33-utc_offset/24</f>
        <v>42710.786365740736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(41st)","project_id":79,"tracker_id":40,"status_id":1,"priority_id":2,"assigned_to_id":23,"start_date":"2016-12-06","description":"","custom_fields":[{"id":1,"name":"Subdivision","value":"NW"},{"id":4,"name":"Milepost","value":"1.5777"},{"id":17,"name":"Train ID","value":"818-06"},{"id":16,"name":"Locomotive ID","value":"4010"},{"id":130,"name":"Impact","value":""},{"id":150,"name":"Time of Event (Mountain Time)","value":"11:52:22"},{"id":151,"name":"Denver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"%USERPROFILE%\AppData\Local\Temp\OnboardLogs"\RTDC4010\*4010*201612061*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4" spans="1:30" x14ac:dyDescent="0.25">
      <c r="A34" s="36">
        <v>42710.366967592592</v>
      </c>
      <c r="B34" s="31" t="s">
        <v>251</v>
      </c>
      <c r="C34" s="31" t="s">
        <v>431</v>
      </c>
      <c r="D34" s="31" t="s">
        <v>49</v>
      </c>
      <c r="E34" s="31" t="s">
        <v>197</v>
      </c>
      <c r="F34" s="47">
        <v>300</v>
      </c>
      <c r="G34" s="47">
        <v>351</v>
      </c>
      <c r="H34" s="47">
        <v>24400</v>
      </c>
      <c r="I34" s="47">
        <v>23542</v>
      </c>
      <c r="J34" s="31" t="s">
        <v>198</v>
      </c>
      <c r="K34" s="47">
        <v>23561</v>
      </c>
      <c r="L34" s="154" t="s">
        <v>51</v>
      </c>
      <c r="M34" s="155">
        <f>CONVERT((I34-K34)/10000,"mi","ft")*IF(L34="Increasing Mileposts (1)",-1,1)</f>
        <v>-10.032</v>
      </c>
      <c r="N34" s="156" t="str">
        <f>VLOOKUP(C34,'Trips&amp;Operators'!$C$1:$G$99999,5,FALSE)</f>
        <v>LEVIN SCOTT</v>
      </c>
      <c r="O34" s="182" t="s">
        <v>196</v>
      </c>
      <c r="P34" s="157"/>
      <c r="Q34" s="31"/>
      <c r="R34" s="100" t="str">
        <f>VLOOKUP(C34,'Train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4" s="103" t="str">
        <f>VLOOKUP(C34,'Train Runs'!$A$13:$AE$9977,22,0)</f>
        <v>https://search-rtdc-monitor-bjffxe2xuh6vdkpspy63sjmuny.us-east-1.es.amazonaws.com/_plugin/kibana/#/discover/Steve-Slow-Train-Analysis-(2080s-and-2083s)?_g=(refreshInterval:(display:Off,section:0,value:0),time:(from:'2016-12-06 07:36:48-700',mode:absolute,to:'2016-12-06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/stypes="*4010*201612061*" /stext=" 15:.+((SYSTEM_STATE.+slice.+state.+changed )|(ment ac)|(multiple cpu faults)|(system.+state.+changed )|(\[timeout)|(PRM\|1\|D)|(kpr)|(kdp)|(\|lc)|(penalty))" /e /r /s</v>
      </c>
      <c r="U34" s="9" t="str">
        <f>MID(B34,13,4)</f>
        <v>4010</v>
      </c>
      <c r="V34" s="36">
        <f>A34-utc_offset/24</f>
        <v>42710.658634259256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{"issue":{"subject":"","project_id":79,"tracker_id":40,"status_id":1,"priority_id":2,"assigned_to_id":23,"start_date":"2016-12-06","description":"","custom_fields":[{"id":1,"name":"Subdivision","value":"NW"},{"id":4,"name":"Milepost","value":"2.3561"},{"id":17,"name":"Train ID","value":"812-06"},{"id":16,"name":"Locomotive ID","value":"4010"},{"id":130,"name":"Impact","value":""},{"id":150,"name":"Time of Event (Mountain Time)","value":"08:48:26"},{"id":151,"name":"Denver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"%USERPROFILE%\AppData\Local\Temp\OnboardLogs"\RTDC4010\*4010*201612061*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5" spans="1:30" x14ac:dyDescent="0.25">
      <c r="A35" s="36">
        <v>42710.438923611109</v>
      </c>
      <c r="B35" s="31" t="s">
        <v>183</v>
      </c>
      <c r="C35" s="31" t="s">
        <v>435</v>
      </c>
      <c r="D35" s="31" t="s">
        <v>49</v>
      </c>
      <c r="E35" s="31" t="s">
        <v>197</v>
      </c>
      <c r="F35" s="47">
        <v>150</v>
      </c>
      <c r="G35" s="47">
        <v>224</v>
      </c>
      <c r="H35" s="47">
        <v>56602</v>
      </c>
      <c r="I35" s="47">
        <v>56936</v>
      </c>
      <c r="J35" s="31" t="s">
        <v>198</v>
      </c>
      <c r="K35" s="47">
        <v>57008</v>
      </c>
      <c r="L35" s="154" t="s">
        <v>50</v>
      </c>
      <c r="M35" s="155">
        <f>CONVERT((I35-K35)/10000,"mi","ft")*IF(L35="Increasing Mileposts (1)",-1,1)</f>
        <v>38.015999999999998</v>
      </c>
      <c r="N35" s="156" t="str">
        <f>VLOOKUP(C35,'Trips&amp;Operators'!$C$1:$G$99999,5,FALSE)</f>
        <v>LEVIN SCOTT</v>
      </c>
      <c r="O35" s="182" t="s">
        <v>196</v>
      </c>
      <c r="P35" s="157"/>
      <c r="Q35" s="31"/>
      <c r="R35" s="100" t="str">
        <f>VLOOKUP(C35,'Train Runs'!$A$13:$AE$9977,31,0)</f>
        <v>aws s3 cp s3://rtdc.mdm.uploadarchive.raw/RTDC4009/ "%USERPROFILE%\AppData\Local\Temp\OnboardLogs"\RTDC4009\2016-12-06 --exclude "*" --recursive --include "*20161206*" &amp; "%USERPROFILE%\Documents\GitHub\mrs-test-scripts\Headless Mode &amp; Sideloading\WalkAndUnGZ.bat" "%USERPROFILE%\AppData\Local\Temp\OnboardLogs"\RTDC4009\2016-12-06 &amp; 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</v>
      </c>
      <c r="S35" s="103" t="str">
        <f>VLOOKUP(C35,'Train Runs'!$A$13:$AE$9977,22,0)</f>
        <v>https://search-rtdc-monitor-bjffxe2xuh6vdkpspy63sjmuny.us-east-1.es.amazonaws.com/_plugin/kibana/#/discover/Steve-Slow-Train-Analysis-(2080s-and-2083s)?_g=(refreshInterval:(display:Off,section:0,value:0),time:(from:'2016-12-06 09:16:24-700',mode:absolute,to:'2016-12-06 11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/stypes="*4009*201612061*" /stext=" 17:.+((SYSTEM_STATE.+slice.+state.+changed )|(ment ac)|(multiple cpu faults)|(system.+state.+changed )|(\[timeout)|(PRM\|1\|D)|(kpr)|(kdp)|(\|lc)|(penalty))" /e /r /s</v>
      </c>
      <c r="U35" s="9" t="str">
        <f>MID(B35,13,4)</f>
        <v>4009</v>
      </c>
      <c r="V35" s="36">
        <f>A35-utc_offset/24</f>
        <v>42710.730590277773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{"issue":{"subject":"","project_id":79,"tracker_id":40,"status_id":1,"priority_id":2,"assigned_to_id":23,"start_date":"2016-12-06","description":"","custom_fields":[{"id":1,"name":"Subdivision","value":"NW"},{"id":4,"name":"Milepost","value":"5.7008"},{"id":17,"name":"Train ID","value":"815-06"},{"id":16,"name":"Locomotive ID","value":"4009"},{"id":130,"name":"Impact","value":""},{"id":150,"name":"Time of Event (Mountain Time)","value":"10:32:03"},{"id":151,"name":"Denver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"%USERPROFILE%\AppData\Local\Temp\OnboardLogs"\RTDC4009\*4009*201612061*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"%USERPROFILE%\AppData\Local\Temp\OnboardLogs"\RTDC4009\*4009*201612061* &gt;&gt; 42710-slicedisagreementcheck.txt</v>
      </c>
    </row>
    <row r="36" spans="1:30" x14ac:dyDescent="0.25">
      <c r="A36" s="36">
        <v>42710.571886574071</v>
      </c>
      <c r="B36" s="31" t="s">
        <v>251</v>
      </c>
      <c r="C36" s="31" t="s">
        <v>441</v>
      </c>
      <c r="D36" s="31" t="s">
        <v>98</v>
      </c>
      <c r="E36" s="31" t="s">
        <v>197</v>
      </c>
      <c r="F36" s="47">
        <v>150</v>
      </c>
      <c r="G36" s="47">
        <v>202</v>
      </c>
      <c r="H36" s="47">
        <v>57003</v>
      </c>
      <c r="I36" s="47">
        <v>56462</v>
      </c>
      <c r="J36" s="31" t="s">
        <v>198</v>
      </c>
      <c r="K36" s="47">
        <v>59050</v>
      </c>
      <c r="L36" s="154" t="s">
        <v>51</v>
      </c>
      <c r="M36" s="155">
        <f>CONVERT((I36-K36)/10000,"mi","ft")*IF(L36="Increasing Mileposts (1)",-1,1)</f>
        <v>-1366.4639999999999</v>
      </c>
      <c r="N36" s="156" t="str">
        <f>VLOOKUP(C36,'Trips&amp;Operators'!$C$1:$G$99999,5,FALSE)</f>
        <v>BRUDER RICHARD</v>
      </c>
      <c r="O36" s="182" t="s">
        <v>196</v>
      </c>
      <c r="P36" s="157"/>
      <c r="Q36" s="31"/>
      <c r="R36" s="100" t="str">
        <f>VLOOKUP(C36,'Train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6" s="103" t="str">
        <f>VLOOKUP(C36,'Train Runs'!$A$13:$AE$9977,22,0)</f>
        <v>https://search-rtdc-monitor-bjffxe2xuh6vdkpspy63sjmuny.us-east-1.es.amazonaws.com/_plugin/kibana/#/discover/Steve-Slow-Train-Analysis-(2080s-and-2083s)?_g=(refreshInterval:(display:Off,section:0,value:0),time:(from:'2016-12-06 12:38:03-700',mode:absolute,to:'2016-12-06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/stypes="*4010*201612062*" /stext=" 20:.+((SYSTEM_STATE.+slice.+state.+changed )|(ment ac)|(multiple cpu faults)|(system.+state.+changed )|(\[timeout)|(PRM\|1\|D)|(kpr)|(kdp)|(\|lc)|(penalty))" /e /r /s</v>
      </c>
      <c r="U36" s="9" t="str">
        <f>MID(B36,13,4)</f>
        <v>4010</v>
      </c>
      <c r="V36" s="36">
        <f>A36-utc_offset/24</f>
        <v>42710.863553240735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{"issue":{"subject":"","project_id":79,"tracker_id":40,"status_id":1,"priority_id":2,"assigned_to_id":23,"start_date":"2016-12-06","description":"","custom_fields":[{"id":1,"name":"Subdivision","value":"NW"},{"id":4,"name":"Milepost","value":"5.905"},{"id":17,"name":"Train ID","value":"822-06"},{"id":16,"name":"Locomotive ID","value":"4010"},{"id":130,"name":"Impact","value":""},{"id":150,"name":"Time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"%USERPROFILE%\AppData\Local\Temp\OnboardLogs"\RTDC4010\*4010*201612062*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"%USERPROFILE%\AppData\Local\Temp\OnboardLogs"\RTDC4010\*4010*201612062* &gt;&gt; 42710-slicedisagreementcheck.txt</v>
      </c>
    </row>
    <row r="37" spans="1:30" x14ac:dyDescent="0.25">
      <c r="A37" s="36">
        <v>42710.276944444442</v>
      </c>
      <c r="B37" s="31" t="s">
        <v>251</v>
      </c>
      <c r="C37" s="31" t="s">
        <v>423</v>
      </c>
      <c r="D37" s="31" t="s">
        <v>98</v>
      </c>
      <c r="E37" s="31" t="s">
        <v>199</v>
      </c>
      <c r="F37" s="47">
        <v>0</v>
      </c>
      <c r="G37" s="47">
        <v>131</v>
      </c>
      <c r="H37" s="47">
        <v>58183</v>
      </c>
      <c r="I37" s="47">
        <v>57950</v>
      </c>
      <c r="J37" s="31" t="s">
        <v>200</v>
      </c>
      <c r="K37" s="47">
        <v>59060</v>
      </c>
      <c r="L37" s="154" t="s">
        <v>51</v>
      </c>
      <c r="M37" s="155">
        <f>CONVERT((I37-K37)/10000,"mi","ft")*IF(L37="Increasing Mileposts (1)",-1,1)</f>
        <v>-586.08000000000004</v>
      </c>
      <c r="N37" s="156" t="str">
        <f>VLOOKUP(C37,'Trips&amp;Operators'!$C$1:$G$99999,5,FALSE)</f>
        <v>LEVIN SCOTT</v>
      </c>
      <c r="O37" s="182" t="s">
        <v>196</v>
      </c>
      <c r="P37" s="157" t="s">
        <v>845</v>
      </c>
      <c r="Q37" s="31"/>
      <c r="R37" s="100" t="str">
        <f>VLOOKUP(C37,'Train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7" s="103" t="str">
        <f>VLOOKUP(C37,'Train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7" s="9" t="str">
        <f>MID(B37,13,4)</f>
        <v>4010</v>
      </c>
      <c r="V37" s="36">
        <f>A37-utc_offset/24</f>
        <v>42710.568611111106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"%USERPROFILE%\AppData\Local\Temp\OnboardLogs"\RTDC4010\*4010*201612061*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8" spans="1:30" x14ac:dyDescent="0.25">
      <c r="A38" s="36">
        <v>42710.279236111113</v>
      </c>
      <c r="B38" s="31" t="s">
        <v>251</v>
      </c>
      <c r="C38" s="31" t="s">
        <v>423</v>
      </c>
      <c r="D38" s="31" t="s">
        <v>98</v>
      </c>
      <c r="E38" s="31" t="s">
        <v>199</v>
      </c>
      <c r="F38" s="47">
        <v>0</v>
      </c>
      <c r="G38" s="47">
        <v>2</v>
      </c>
      <c r="H38" s="47">
        <v>57952</v>
      </c>
      <c r="I38" s="47">
        <v>57948</v>
      </c>
      <c r="J38" s="31" t="s">
        <v>200</v>
      </c>
      <c r="K38" s="47">
        <v>59060</v>
      </c>
      <c r="L38" s="154" t="s">
        <v>51</v>
      </c>
      <c r="M38" s="155">
        <f>CONVERT((I38-K38)/10000,"mi","ft")*IF(L38="Increasing Mileposts (1)",-1,1)</f>
        <v>-587.13599999999997</v>
      </c>
      <c r="N38" s="156" t="str">
        <f>VLOOKUP(C38,'Trips&amp;Operators'!$C$1:$G$99999,5,FALSE)</f>
        <v>LEVIN SCOTT</v>
      </c>
      <c r="O38" s="182" t="s">
        <v>196</v>
      </c>
      <c r="P38" s="157" t="s">
        <v>845</v>
      </c>
      <c r="Q38" s="31"/>
      <c r="R38" s="100" t="str">
        <f>VLOOKUP(C38,'Train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38" s="103" t="str">
        <f>VLOOKUP(C38,'Train Runs'!$A$13:$AE$9977,22,0)</f>
        <v>https://search-rtdc-monitor-bjffxe2xuh6vdkpspy63sjmuny.us-east-1.es.amazonaws.com/_plugin/kibana/#/discover/Steve-Slow-Train-Analysis-(2080s-and-2083s)?_g=(refreshInterval:(display:Off,section:0,value:0),time:(from:'2016-12-06 05:44:09-700',mode:absolute,to:'2016-12-06 08:00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/stypes="*4010*201612061*" /stext=" 13:.+((SYSTEM_STATE.+slice.+state.+changed )|(ment ac)|(multiple cpu faults)|(system.+state.+changed )|(\[timeout)|(PRM\|1\|D)|(kpr)|(kdp)|(\|lc)|(penalty))" /e /r /s</v>
      </c>
      <c r="U38" s="9" t="str">
        <f>MID(B38,13,4)</f>
        <v>4010</v>
      </c>
      <c r="V38" s="36">
        <f>A38-utc_offset/24</f>
        <v>42710.570902777778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signal","project_id":79,"tracker_id":40,"status_id":1,"priority_id":2,"assigned_to_id":23,"start_date":"2016-12-06","description":"","custom_fields":[{"id":1,"name":"Subdivision","value":"NW"},{"id":4,"name":"Milepost","value":"5.906"},{"id":17,"name":"Train ID","value":"804-06"},{"id":16,"name":"Locomotive ID","value":"4010"},{"id":130,"name":"Impact","value":""},{"id":150,"name":"Time of Event (Mountain Time)","value":"06:42:06"},{"id":151,"name":"Denver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"%USERPROFILE%\AppData\Local\Temp\OnboardLogs"\RTDC4010\*4010*201612061*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39" spans="1:30" x14ac:dyDescent="0.25">
      <c r="A39" s="36">
        <v>42710.350439814814</v>
      </c>
      <c r="B39" s="31" t="s">
        <v>287</v>
      </c>
      <c r="C39" s="31" t="s">
        <v>429</v>
      </c>
      <c r="D39" s="31" t="s">
        <v>98</v>
      </c>
      <c r="E39" s="31" t="s">
        <v>430</v>
      </c>
      <c r="F39" s="47">
        <v>100</v>
      </c>
      <c r="G39" s="47">
        <v>150</v>
      </c>
      <c r="H39" s="47">
        <v>10469</v>
      </c>
      <c r="I39" s="47">
        <v>10238</v>
      </c>
      <c r="J39" s="31" t="s">
        <v>285</v>
      </c>
      <c r="K39" s="47">
        <v>11000</v>
      </c>
      <c r="L39" s="154" t="s">
        <v>51</v>
      </c>
      <c r="M39" s="155">
        <f>CONVERT((I39-K39)/10000,"mi","ft")*IF(L39="Increasing Mileposts (1)",-1,1)</f>
        <v>-402.33600000000001</v>
      </c>
      <c r="N39" s="156" t="str">
        <f>VLOOKUP(C39,'Trips&amp;Operators'!$C$1:$G$99999,5,FALSE)</f>
        <v>STARKS ANGELINA</v>
      </c>
      <c r="O39" s="182" t="s">
        <v>196</v>
      </c>
      <c r="P39" s="157"/>
      <c r="Q39" s="31"/>
      <c r="R39" s="100" t="str">
        <f>VLOOKUP(C39,'Train Runs'!$A$13:$AE$9977,31,0)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39" s="103" t="str">
        <f>VLOOKUP(C39,'Train Runs'!$A$13:$AE$9977,22,0)</f>
        <v>https://search-rtdc-monitor-bjffxe2xuh6vdkpspy63sjmuny.us-east-1.es.amazonaws.com/_plugin/kibana/#/discover/Steve-Slow-Train-Analysis-(2080s-and-2083s)?_g=(refreshInterval:(display:Off,section:0,value:0),time:(from:'2016-12-06 07:06:32-700',mode:absolute,to:'2016-12-06 09:28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/stypes="*4021*201612061*" /stext=" 15:.+((SYSTEM_STATE.+slice.+state.+changed )|(ment ac)|(multiple cpu faults)|(system.+state.+changed )|(\[timeout)|(PRM\|1\|D)|(kpr)|(kdp)|(\|lc)|(penalty))" /e /r /s</v>
      </c>
      <c r="U39" s="9" t="str">
        <f>MID(B39,13,4)</f>
        <v>4021</v>
      </c>
      <c r="V39" s="36">
        <f>A39-utc_offset/24</f>
        <v>42710.642106481479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{"issue":{"subject":"","project_id":79,"tracker_id":40,"status_id":1,"priority_id":2,"assigned_to_id":23,"start_date":"2016-12-06","description":"","custom_fields":[{"id":1,"name":"Subdivision","value":"NW"},{"id":4,"name":"Milepost","value":"1.1"},{"id":17,"name":"Train ID","value":"810-06"},{"id":16,"name":"Locomotive ID","value":"4021"},{"id":130,"name":"Impact","value":""},{"id":150,"name":"Time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"%USERPROFILE%\AppData\Local\Temp\OnboardLogs"\RTDC4021\*4021*201612061*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"%USERPROFILE%\AppData\Local\Temp\OnboardLogs"\RTDC4021\*4021*201612061* &gt;&gt; 42710-slicedisagreementcheck.txt</v>
      </c>
    </row>
    <row r="40" spans="1:30" x14ac:dyDescent="0.25">
      <c r="A40" s="36">
        <v>42710.412986111114</v>
      </c>
      <c r="B40" s="31" t="s">
        <v>251</v>
      </c>
      <c r="C40" s="31" t="s">
        <v>433</v>
      </c>
      <c r="D40" s="31" t="s">
        <v>49</v>
      </c>
      <c r="E40" s="31" t="s">
        <v>201</v>
      </c>
      <c r="F40" s="47">
        <v>0</v>
      </c>
      <c r="G40" s="47">
        <v>47</v>
      </c>
      <c r="H40" s="47">
        <v>731</v>
      </c>
      <c r="I40" s="47">
        <v>687</v>
      </c>
      <c r="J40" s="31" t="s">
        <v>202</v>
      </c>
      <c r="K40" s="47">
        <v>575</v>
      </c>
      <c r="L40" s="154" t="s">
        <v>51</v>
      </c>
      <c r="M40" s="155">
        <f>CONVERT((I40-K40)/10000,"mi","ft")*IF(L40="Increasing Mileposts (1)",-1,1)</f>
        <v>59.136000000000003</v>
      </c>
      <c r="N40" s="156" t="str">
        <f>VLOOKUP(C40,'Trips&amp;Operators'!$C$1:$G$99999,5,FALSE)</f>
        <v>LEVIN SCOTT</v>
      </c>
      <c r="O40" s="182" t="s">
        <v>196</v>
      </c>
      <c r="P40" s="157"/>
      <c r="Q40" s="31"/>
      <c r="R40" s="100" t="str">
        <f>VLOOKUP(C40,'Train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0" s="103" t="str">
        <f>VLOOKUP(C40,'Train Runs'!$A$13:$AE$9977,22,0)</f>
        <v>https://search-rtdc-monitor-bjffxe2xuh6vdkpspy63sjmuny.us-east-1.es.amazonaws.com/_plugin/kibana/#/discover/Steve-Slow-Train-Analysis-(2080s-and-2083s)?_g=(refreshInterval:(display:Off,section:0,value:0),time:(from:'2016-12-06 08:35:38-700',mode:absolute,to:'2016-12-06 10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/stypes="*4010*201612061*" /stext=" 16:.+((SYSTEM_STATE.+slice.+state.+changed )|(ment ac)|(multiple cpu faults)|(system.+state.+changed )|(\[timeout)|(PRM\|1\|D)|(kpr)|(kdp)|(\|lc)|(penalty))" /e /r /s</v>
      </c>
      <c r="U40" s="9" t="str">
        <f>MID(B40,13,4)</f>
        <v>4010</v>
      </c>
      <c r="V40" s="36">
        <f>A40-utc_offset/24</f>
        <v>42710.704652777778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ID","value":"814-06"},{"id":16,"name":"Locomotive ID","value":"4010"},{"id":130,"name":"Impact","value":""},{"id":150,"name":"Time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"%USERPROFILE%\AppData\Local\Temp\OnboardLogs"\RTDC4010\*4010*201612061*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"%USERPROFILE%\AppData\Local\Temp\OnboardLogs"\RTDC4010\*4010*201612061* &gt;&gt; 42710-slicedisagreementcheck.txt</v>
      </c>
    </row>
    <row r="41" spans="1:30" x14ac:dyDescent="0.25">
      <c r="A41" s="36">
        <v>42710.830555555556</v>
      </c>
      <c r="B41" s="31" t="s">
        <v>251</v>
      </c>
      <c r="C41" s="31" t="s">
        <v>450</v>
      </c>
      <c r="D41" s="31" t="s">
        <v>49</v>
      </c>
      <c r="E41" s="31" t="s">
        <v>201</v>
      </c>
      <c r="F41" s="47">
        <v>0</v>
      </c>
      <c r="G41" s="47">
        <v>31</v>
      </c>
      <c r="H41" s="47">
        <v>680</v>
      </c>
      <c r="I41" s="47">
        <v>656</v>
      </c>
      <c r="J41" s="31" t="s">
        <v>202</v>
      </c>
      <c r="K41" s="47">
        <v>575</v>
      </c>
      <c r="L41" s="154" t="s">
        <v>51</v>
      </c>
      <c r="M41" s="155">
        <f>CONVERT((I41-K41)/10000,"mi","ft")*IF(L41="Increasing Mileposts (1)",-1,1)</f>
        <v>42.768000000000001</v>
      </c>
      <c r="N41" s="156" t="str">
        <f>VLOOKUP(C41,'Trips&amp;Operators'!$C$1:$G$99999,5,FALSE)</f>
        <v>BRUDER RICHARD</v>
      </c>
      <c r="O41" s="182" t="s">
        <v>196</v>
      </c>
      <c r="P41" s="157"/>
      <c r="Q41" s="31"/>
      <c r="R41" s="100" t="str">
        <f>VLOOKUP(C41,'Train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1" s="103" t="str">
        <f>VLOOKUP(C41,'Train Runs'!$A$13:$AE$9977,22,0)</f>
        <v>https://search-rtdc-monitor-bjffxe2xuh6vdkpspy63sjmuny.us-east-1.es.amazonaws.com/_plugin/kibana/#/discover/Steve-Slow-Train-Analysis-(2080s-and-2083s)?_g=(refreshInterval:(display:Off,section:0,value:0),time:(from:'2016-12-06 18:37:22-700',mode:absolute,to:'2016-12-06 20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/stypes="*4010*201612070*" /stext=" 02:.+((SYSTEM_STATE.+slice.+state.+changed )|(ment ac)|(multiple cpu faults)|(system.+state.+changed )|(\[timeout)|(PRM\|1\|D)|(kpr)|(kdp)|(\|lc)|(penalty))" /e /r /s</v>
      </c>
      <c r="U41" s="9" t="str">
        <f>MID(B41,13,4)</f>
        <v>4010</v>
      </c>
      <c r="V41" s="36">
        <f>A41-utc_offset/24</f>
        <v>42711.12222222222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ID","value":"840-06"},{"id":16,"name":"Locomotive ID","value":"4010"},{"id":130,"name":"Impact","value":""},{"id":150,"name":"Time of Event (Mountain Time)","value":"19:56:00"},{"id":151,"name":"Denver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"%USERPROFILE%\AppData\Local\Temp\OnboardLogs"\RTDC4010\*4010*201612070*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2" spans="1:30" x14ac:dyDescent="0.25">
      <c r="A42" s="36">
        <v>42710.912916666668</v>
      </c>
      <c r="B42" s="31" t="s">
        <v>251</v>
      </c>
      <c r="C42" s="31" t="s">
        <v>452</v>
      </c>
      <c r="D42" s="31" t="s">
        <v>49</v>
      </c>
      <c r="E42" s="31" t="s">
        <v>201</v>
      </c>
      <c r="F42" s="47">
        <v>0</v>
      </c>
      <c r="G42" s="47">
        <v>54</v>
      </c>
      <c r="H42" s="47">
        <v>769</v>
      </c>
      <c r="I42" s="47">
        <v>713</v>
      </c>
      <c r="J42" s="31" t="s">
        <v>202</v>
      </c>
      <c r="K42" s="47">
        <v>575</v>
      </c>
      <c r="L42" s="154" t="s">
        <v>51</v>
      </c>
      <c r="M42" s="155">
        <f>CONVERT((I42-K42)/10000,"mi","ft")*IF(L42="Increasing Mileposts (1)",-1,1)</f>
        <v>72.864000000000004</v>
      </c>
      <c r="N42" s="156" t="str">
        <f>VLOOKUP(C42,'Trips&amp;Operators'!$C$1:$G$99999,5,FALSE)</f>
        <v>STAMBAUGH JAMES</v>
      </c>
      <c r="O42" s="182" t="s">
        <v>196</v>
      </c>
      <c r="P42" s="157"/>
      <c r="Q42" s="31"/>
      <c r="R42" s="100" t="str">
        <f>VLOOKUP(C42,'Train Runs'!$A$13:$AE$9977,31,0)</f>
        <v>aws s3 cp s3://rtdc.mdm.uploadarchive.raw/RTDC4010/ "%USERPROFILE%\AppData\Local\Temp\OnboardLogs"\RTDC4010\2016-12-06 --exclude "*" --recursive --include "*20161206*" &amp; "%USERPROFILE%\Documents\GitHub\mrs-test-scripts\Headless Mode &amp; Sideloading\WalkAndUnGZ.bat" "%USERPROFILE%\AppData\Local\Temp\OnboardLogs"\RTDC4010\2016-12-06 &amp; 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</v>
      </c>
      <c r="S42" s="103" t="str">
        <f>VLOOKUP(C42,'Train Runs'!$A$13:$AE$9977,22,0)</f>
        <v>https://search-rtdc-monitor-bjffxe2xuh6vdkpspy63sjmuny.us-east-1.es.amazonaws.com/_plugin/kibana/#/discover/Steve-Slow-Train-Analysis-(2080s-and-2083s)?_g=(refreshInterval:(display:Off,section:0,value:0),time:(from:'2016-12-06 20:35:42-700',mode:absolute,to:'2016-12-06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/stypes="*4010*201612070*" /stext=" 04:.+((SYSTEM_STATE.+slice.+state.+changed )|(ment ac)|(multiple cpu faults)|(system.+state.+changed )|(\[timeout)|(PRM\|1\|D)|(kpr)|(kdp)|(\|lc)|(penalty))" /e /r /s</v>
      </c>
      <c r="U42" s="9" t="str">
        <f>MID(B42,13,4)</f>
        <v>4010</v>
      </c>
      <c r="V42" s="36">
        <f>A42-utc_offset/24</f>
        <v>42711.204583333332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{"issue":{"subject":"","project_id":79,"tracker_id":40,"status_id":1,"priority_id":2,"assigned_to_id":23,"start_date":"2016-12-06","description":"","custom_fields":[{"id":1,"name":"Subdivision","value":"NW"},{"id":4,"name":"Milepost","value":"0.0575"},{"id":17,"name":"Train ID","value":"844-06"},{"id":16,"name":"Locomotive ID","value":"4010"},{"id":130,"name":"Impact","value":""},{"id":150,"name":"Time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"%USERPROFILE%\AppData\Local\Temp\OnboardLogs"\RTDC4010\*4010*201612070*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"%USERPROFILE%\AppData\Local\Temp\OnboardLogs"\RTDC4010\*4010*201612070* &gt;&gt; 42710-slicedisagreementcheck.txt</v>
      </c>
    </row>
    <row r="43" spans="1:30" x14ac:dyDescent="0.25">
      <c r="A43" s="36">
        <v>42710.336898148147</v>
      </c>
      <c r="B43" s="31" t="s">
        <v>217</v>
      </c>
      <c r="C43" s="31" t="s">
        <v>427</v>
      </c>
      <c r="D43" s="31" t="s">
        <v>49</v>
      </c>
      <c r="E43" s="31" t="s">
        <v>201</v>
      </c>
      <c r="F43" s="47">
        <v>0</v>
      </c>
      <c r="G43" s="47">
        <v>41</v>
      </c>
      <c r="H43" s="47">
        <v>58931</v>
      </c>
      <c r="I43" s="47">
        <v>58971</v>
      </c>
      <c r="J43" s="31" t="s">
        <v>202</v>
      </c>
      <c r="K43" s="47">
        <v>59048</v>
      </c>
      <c r="L43" s="154" t="s">
        <v>50</v>
      </c>
      <c r="M43" s="155">
        <f>CONVERT((I43-K43)/10000,"mi","ft")*IF(L43="Increasing Mileposts (1)",-1,1)</f>
        <v>40.655999999999999</v>
      </c>
      <c r="N43" s="156" t="str">
        <f>VLOOKUP(C43,'Trips&amp;Operators'!$C$1:$G$99999,5,FALSE)</f>
        <v>STARKS ANGELINA</v>
      </c>
      <c r="O43" s="182" t="s">
        <v>196</v>
      </c>
      <c r="P43" s="157"/>
      <c r="Q43" s="31"/>
      <c r="R43" s="100" t="str">
        <f>VLOOKUP(C43,'Train Runs'!$A$13:$AE$9977,31,0)</f>
        <v>aws s3 cp s3://rtdc.mdm.uploadarchive.raw/RTDC4022/ "%USERPROFILE%\AppData\Local\Temp\OnboardLogs"\RTDC4022\2016-12-06 --exclude "*" --recursive --include "*20161206*" &amp; "%USERPROFILE%\Documents\GitHub\mrs-test-scripts\Headless Mode &amp; Sideloading\WalkAndUnGZ.bat" "%USERPROFILE%\AppData\Local\Temp\OnboardLogs"\RTDC4022\2016-12-06 &amp; 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</v>
      </c>
      <c r="S43" s="103" t="str">
        <f>VLOOKUP(C43,'Train Runs'!$A$13:$AE$9977,22,0)</f>
        <v>https://search-rtdc-monitor-bjffxe2xuh6vdkpspy63sjmuny.us-east-1.es.amazonaws.com/_plugin/kibana/#/discover/Steve-Slow-Train-Analysis-(2080s-and-2083s)?_g=(refreshInterval:(display:Off,section:0,value:0),time:(from:'2016-12-06 06:46:32-700',mode:absolute,to:'2016-12-06 09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/stypes="*4022*201612061*" /stext=" 15:.+((SYSTEM_STATE.+slice.+state.+changed )|(ment ac)|(multiple cpu faults)|(system.+state.+changed )|(\[timeout)|(PRM\|1\|D)|(kpr)|(kdp)|(\|lc)|(penalty))" /e /r /s</v>
      </c>
      <c r="U43" s="9" t="str">
        <f>MID(B43,13,4)</f>
        <v>4022</v>
      </c>
      <c r="V43" s="36">
        <f>A43-utc_offset/24</f>
        <v>42710.628564814811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{"issue":{"subject":"","project_id":79,"tracker_id":40,"status_id":1,"priority_id":2,"assigned_to_id":23,"start_date":"2016-12-06","description":"","custom_fields":[{"id":1,"name":"Subdivision","value":"NW"},{"id":4,"name":"Milepost","value":"5.9048"},{"id":17,"name":"Train ID","value":"809-06"},{"id":16,"name":"Locomotive ID","value":"4022"},{"id":130,"name":"Impact","value":""},{"id":150,"name":"Time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"%USERPROFILE%\AppData\Local\Temp\OnboardLogs"\RTDC4022\*4022*201612061*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"%USERPROFILE%\AppData\Local\Temp\OnboardLogs"\RTDC4022\*4022*201612061* &gt;&gt; 42710-slicedisagreementcheck.txt</v>
      </c>
    </row>
    <row r="44" spans="1:30" x14ac:dyDescent="0.25">
      <c r="A44" s="36">
        <v>42710.785914351851</v>
      </c>
      <c r="B44" s="31" t="s">
        <v>230</v>
      </c>
      <c r="C44" s="31" t="s">
        <v>449</v>
      </c>
      <c r="D44" s="31" t="s">
        <v>49</v>
      </c>
      <c r="E44" s="31" t="s">
        <v>197</v>
      </c>
      <c r="F44" s="47">
        <v>300</v>
      </c>
      <c r="G44" s="47">
        <v>423</v>
      </c>
      <c r="H44" s="47">
        <v>19096</v>
      </c>
      <c r="I44" s="47">
        <v>20337</v>
      </c>
      <c r="J44" s="31" t="s">
        <v>198</v>
      </c>
      <c r="K44" s="47">
        <v>21314</v>
      </c>
      <c r="L44" s="154" t="s">
        <v>50</v>
      </c>
      <c r="M44" s="155">
        <f>CONVERT((I44-K44)/10000,"mi","ft")*IF(L44="Increasing Mileposts (1)",-1,1)</f>
        <v>515.85599999999999</v>
      </c>
      <c r="N44" s="156" t="str">
        <f>VLOOKUP(C44,'Trips&amp;Operators'!$C$1:$G$99999,5,FALSE)</f>
        <v>HOLCOMB KAMDEN</v>
      </c>
      <c r="O44" s="182" t="s">
        <v>196</v>
      </c>
      <c r="P44" s="157"/>
      <c r="Q44" s="31"/>
      <c r="R44" s="100" t="str">
        <f>VLOOKUP(C44,'Train Runs'!$A$13:$AE$9977,31,0)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S44" s="103" t="str">
        <f>VLOOKUP(C44,'Train Runs'!$A$13:$AE$9977,22,0)</f>
        <v>https://search-rtdc-monitor-bjffxe2xuh6vdkpspy63sjmuny.us-east-1.es.amazonaws.com/_plugin/kibana/#/discover/Steve-Slow-Train-Analysis-(2080s-and-2083s)?_g=(refreshInterval:(display:Off,section:0,value:0),time:(from:'2016-12-06 17:44:10-700',mode:absolute,to:'1969-12-31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/stypes="*4014*201612070*" /stext=" 01:.+((SYSTEM_STATE.+slice.+state.+changed )|(ment ac)|(multiple cpu faults)|(system.+state.+changed )|(\[timeout)|(PRM\|1\|D)|(kpr)|(kdp)|(\|lc)|(penalty))" /e /r /s</v>
      </c>
      <c r="U44" s="9" t="str">
        <f>MID(B44,13,4)</f>
        <v>4014</v>
      </c>
      <c r="V44" s="36">
        <f>A44-utc_offset/24</f>
        <v>42711.077581018515</v>
      </c>
      <c r="W44" s="50" t="str">
        <f>IF(VALUE(LEFT(IF(LEN(C44)=6,"0"&amp;C44,C44),2))&lt;=2,"EC",IF(OR(VALUE(LEFT(IF(LEN(C44)=6,"0"&amp;C44,C44),2))=8,VALUE(LEFT(IF(LEN(C44)=6,"0"&amp;C44,C44),2))=18),"NW","Other"))</f>
        <v>Other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{"issue":{"subject":"","project_id":79,"tracker_id":40,"status_id":1,"priority_id":2,"assigned_to_id":23,"start_date":"2016-12-06","description":"","custom_fields":[{"id":1,"name":"Subdivision","value":"Other"},{"id":4,"name":"Milepost","value":"2.1314"},{"id":17,"name":"Train ID","value":"303-06"},{"id":16,"name":"Locomotive ID","value":"4014"},{"id":130,"name":"Impact","value":""},{"id":150,"name":"Time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"%USERPROFILE%\AppData\Local\Temp\OnboardLogs"\RTDC4014\*4014*201612070*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"%USERPROFILE%\AppData\Local\Temp\OnboardLogs"\RTDC4014\*4014*201612070* &gt;&gt; 42710-slicedisagreementcheck.txt</v>
      </c>
    </row>
    <row r="45" spans="1:30" x14ac:dyDescent="0.25">
      <c r="A45" s="36">
        <v>42710.835509259261</v>
      </c>
      <c r="B45" s="31" t="s">
        <v>270</v>
      </c>
      <c r="C45" s="31" t="s">
        <v>451</v>
      </c>
      <c r="D45" s="31" t="s">
        <v>98</v>
      </c>
      <c r="E45" s="31" t="s">
        <v>199</v>
      </c>
      <c r="F45" s="47">
        <v>0</v>
      </c>
      <c r="G45" s="47">
        <v>110</v>
      </c>
      <c r="H45" s="47">
        <v>22338</v>
      </c>
      <c r="I45" s="47">
        <v>22599</v>
      </c>
      <c r="J45" s="31" t="s">
        <v>200</v>
      </c>
      <c r="K45" s="47">
        <v>22314</v>
      </c>
      <c r="L45" s="154" t="s">
        <v>50</v>
      </c>
      <c r="M45" s="155">
        <f>CONVERT((I45-K45)/10000,"mi","ft")*IF(L45="Increasing Mileposts (1)",-1,1)</f>
        <v>-150.47999999999999</v>
      </c>
      <c r="N45" s="156" t="str">
        <f>VLOOKUP(C45,'Trips&amp;Operators'!$C$1:$G$99999,5,FALSE)</f>
        <v>STORY SAMANTHA</v>
      </c>
      <c r="O45" s="182" t="s">
        <v>196</v>
      </c>
      <c r="P45" s="157"/>
      <c r="Q45" s="31"/>
      <c r="R45" s="100" t="str">
        <f>VLOOKUP(C45,'Train Runs'!$A$13:$AE$9977,31,0)</f>
        <v>aws s3 cp s3://rtdc.mdm.uploadarchive.raw/RTDC4016/ "%USERPROFILE%\AppData\Local\Temp\OnboardLogs"\RTDC4016\2016-12-06 --exclude "*" --recursive --include "*20161206*" &amp; "%USERPROFILE%\Documents\GitHub\mrs-test-scripts\Headless Mode &amp; Sideloading\WalkAndUnGZ.bat" "%USERPROFILE%\AppData\Local\Temp\OnboardLogs"\RTDC4016\2016-12-06 &amp; 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</v>
      </c>
      <c r="S45" s="103" t="str">
        <f>VLOOKUP(C45,'Train Runs'!$A$13:$AE$9977,22,0)</f>
        <v>https://search-rtdc-monitor-bjffxe2xuh6vdkpspy63sjmuny.us-east-1.es.amazonaws.com/_plugin/kibana/#/discover/Steve-Slow-Train-Analysis-(2080s-and-2083s)?_g=(refreshInterval:(display:Off,section:0,value:0),time:(from:'2016-12-06 18:38:37-700',mode:absolute,to:'2016-12-06 21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/stypes="*4016*201612070*" /stext=" 03:.+((SYSTEM_STATE.+slice.+state.+changed )|(ment ac)|(multiple cpu faults)|(system.+state.+changed )|(\[timeout)|(PRM\|1\|D)|(kpr)|(kdp)|(\|lc)|(penalty))" /e /r /s</v>
      </c>
      <c r="U45" s="9" t="str">
        <f>MID(B45,13,4)</f>
        <v>4016</v>
      </c>
      <c r="V45" s="36">
        <f>A45-utc_offset/24</f>
        <v>42711.127175925925</v>
      </c>
      <c r="W45" s="50" t="str">
        <f>IF(VALUE(LEFT(IF(LEN(C45)=6,"0"&amp;C45,C45),2))&lt;=2,"EC",IF(OR(VALUE(LEFT(IF(LEN(C45)=6,"0"&amp;C45,C45),2))=8,VALUE(LEFT(IF(LEN(C45)=6,"0"&amp;C45,C45),2))=18),"NW","Other"))</f>
        <v>Other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{"issue":{"subject":"","project_id":79,"tracker_id":40,"status_id":1,"priority_id":2,"assigned_to_id":23,"start_date":"2016-12-06","description":"","custom_fields":[{"id":1,"name":"Subdivision","value":"Other"},{"id":4,"name":"Milepost","value":"2.2314"},{"id":17,"name":"Train ID","value":"307-06"},{"id":16,"name":"Locomotive ID","value":"4016"},{"id":130,"name":"Impact","value":""},{"id":150,"name":"Time of Event (Mountain Time)","value":"20:03:08"},{"id":151,"name":"Denver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"%USERPROFILE%\AppData\Local\Temp\OnboardLogs"\RTDC4016\*4016*201612070*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"%USERPROFILE%\AppData\Local\Temp\OnboardLogs"\RTDC4016\*4016*201612070* &gt;&gt; 42710-slicedisagreementcheck.txt</v>
      </c>
    </row>
    <row r="46" spans="1:30" x14ac:dyDescent="0.25">
      <c r="A46" s="36">
        <v>42710.446956018517</v>
      </c>
      <c r="B46" s="31" t="s">
        <v>437</v>
      </c>
      <c r="C46" s="31" t="s">
        <v>438</v>
      </c>
      <c r="D46" s="31" t="s">
        <v>49</v>
      </c>
      <c r="E46" s="31" t="s">
        <v>201</v>
      </c>
      <c r="F46" s="47">
        <v>0</v>
      </c>
      <c r="G46" s="47">
        <v>22</v>
      </c>
      <c r="H46" s="47">
        <v>53</v>
      </c>
      <c r="I46" s="47">
        <v>34</v>
      </c>
      <c r="J46" s="31" t="s">
        <v>202</v>
      </c>
      <c r="K46" s="47">
        <v>1</v>
      </c>
      <c r="L46" s="154" t="s">
        <v>51</v>
      </c>
      <c r="M46" s="155">
        <f>CONVERT((I46-K46)/10000,"mi","ft")*IF(L46="Increasing Mileposts (1)",-1,1)</f>
        <v>17.423999999999999</v>
      </c>
      <c r="N46" s="156" t="str">
        <f>VLOOKUP(C46,'Trips&amp;Operators'!$C$1:$G$99999,5,FALSE)</f>
        <v>BARTLETT KIANDRA</v>
      </c>
      <c r="O46" s="182" t="s">
        <v>196</v>
      </c>
      <c r="P46" s="157"/>
      <c r="Q46" s="31"/>
      <c r="R46" s="100" t="str">
        <f>VLOOKUP(C46,'Train Runs'!$A$13:$AE$9977,31,0)</f>
        <v>aws s3 cp s3://rtdc.mdm.uploadarchive.raw/RTDC4045/ "%USERPROFILE%\AppData\Local\Temp\OnboardLogs"\RTDC4045\2016-12-06 --exclude "*" --recursive --include "*20161206*" &amp; "%USERPROFILE%\Documents\GitHub\mrs-test-scripts\Headless Mode &amp; Sideloading\WalkAndUnGZ.bat" "%USERPROFILE%\AppData\Local\Temp\OnboardLogs"\RTDC4045\2016-12-06 &amp; 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</v>
      </c>
      <c r="S46" s="103" t="str">
        <f>VLOOKUP(C46,'Train Runs'!$A$13:$AE$9977,22,0)</f>
        <v>https://search-rtdc-monitor-bjffxe2xuh6vdkpspy63sjmuny.us-east-1.es.amazonaws.com/_plugin/kibana/#/discover/Steve-Slow-Train-Analysis-(2080s-and-2083s)?_g=(refreshInterval:(display:Off,section:0,value:0),time:(from:'2016-12-06 09:33:58-700',mode:absolute,to:'2016-12-06 11:43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/stypes="*4045*201612061*" /stext=" 17:.+((SYSTEM_STATE.+slice.+state.+changed )|(ment ac)|(multiple cpu faults)|(system.+state.+changed )|(\[timeout)|(PRM\|1\|D)|(kpr)|(kdp)|(\|lc)|(penalty))" /e /r /s</v>
      </c>
      <c r="U46" s="9" t="str">
        <f>MID(B46,13,4)</f>
        <v>4045</v>
      </c>
      <c r="V46" s="36">
        <f>A46-utc_offset/24</f>
        <v>42710.738622685181</v>
      </c>
      <c r="W46" s="50" t="str">
        <f>IF(VALUE(LEFT(IF(LEN(C46)=6,"0"&amp;C46,C46),2))&lt;=2,"EC",IF(OR(VALUE(LEFT(IF(LEN(C46)=6,"0"&amp;C46,C46),2))=8,VALUE(LEFT(IF(LEN(C46)=6,"0"&amp;C46,C46),2))=18),"NW","Other"))</f>
        <v>Other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{"issue":{"subject":"","project_id":79,"tracker_id":40,"status_id":1,"priority_id":2,"assigned_to_id":23,"start_date":"2016-12-06","description":"","custom_fields":[{"id":1,"name":"Subdivision","value":"Other"},{"id":4,"name":"Milepost","value":"0.0001"},{"id":17,"name":"Train ID","value":"50-06"},{"id":16,"name":"Locomotive ID","value":"4045"},{"id":130,"name":"Impact","value":""},{"id":150,"name":"Time of Event (Mountain Time)","value":"10:43:37"},{"id":151,"name":"Denver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"%USERPROFILE%\AppData\Local\Temp\OnboardLogs"\RTDC4045\*4045*201612061*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"%USERPROFILE%\AppData\Local\Temp\OnboardLogs"\RTDC4045\*4045*201612061* &gt;&gt; 42710-slicedisagreementcheck.txt</v>
      </c>
    </row>
    <row r="47" spans="1:30" x14ac:dyDescent="0.25">
      <c r="A47" s="36">
        <v>42710.648622685185</v>
      </c>
      <c r="B47" s="31" t="s">
        <v>287</v>
      </c>
      <c r="C47" s="31" t="s">
        <v>444</v>
      </c>
      <c r="D47" s="31" t="s">
        <v>49</v>
      </c>
      <c r="E47" s="31" t="s">
        <v>201</v>
      </c>
      <c r="F47" s="47">
        <v>0</v>
      </c>
      <c r="G47" s="47">
        <v>36</v>
      </c>
      <c r="H47" s="47">
        <v>677</v>
      </c>
      <c r="I47" s="47">
        <v>654</v>
      </c>
      <c r="J47" s="31" t="s">
        <v>202</v>
      </c>
      <c r="K47" s="47">
        <v>575</v>
      </c>
      <c r="L47" s="154" t="s">
        <v>51</v>
      </c>
      <c r="M47" s="155">
        <f>CONVERT((I47-K47)/10000,"mi","ft")*IF(L47="Increasing Mileposts (1)",-1,1)</f>
        <v>41.712000000000003</v>
      </c>
      <c r="N47" s="156" t="str">
        <f>VLOOKUP(C47,'Trips&amp;Operators'!$C$1:$G$99999,5,FALSE)</f>
        <v>STAMBAUGH JAMES</v>
      </c>
      <c r="O47" s="182" t="s">
        <v>196</v>
      </c>
      <c r="P47" s="157"/>
      <c r="Q47" s="31"/>
      <c r="R47" s="100" t="str">
        <f>VLOOKUP(C47,'Train Runs'!$A$13:$AE$9977,31,0)</f>
        <v>aws s3 cp s3://rtdc.mdm.uploadarchive.raw/RTDC4021/ "%USERPROFILE%\AppData\Local\Temp\OnboardLogs"\RTDC4021\2016-12-06 --exclude "*" --recursive --include "*20161206*" &amp; "%USERPROFILE%\Documents\GitHub\mrs-test-scripts\Headless Mode &amp; Sideloading\WalkAndUnGZ.bat" "%USERPROFILE%\AppData\Local\Temp\OnboardLogs"\RTDC4021\2016-12-06 &amp; 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</v>
      </c>
      <c r="S47" s="103" t="str">
        <f>VLOOKUP(C47,'Train Runs'!$A$13:$AE$9977,22,0)</f>
        <v>https://search-rtdc-monitor-bjffxe2xuh6vdkpspy63sjmuny.us-east-1.es.amazonaws.com/_plugin/kibana/#/discover/Steve-Slow-Train-Analysis-(2080s-and-2083s)?_g=(refreshInterval:(display:Off,section:0,value:0),time:(from:'2016-12-06 14:24:15-700',mode:absolute,to:'2016-12-06 16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/stypes="*4021*201612062*" /stext=" 22:.+((SYSTEM_STATE.+slice.+state.+changed )|(ment ac)|(multiple cpu faults)|(system.+state.+changed )|(\[timeout)|(PRM\|1\|D)|(kpr)|(kdp)|(\|lc)|(penalty))" /e /r /s</v>
      </c>
      <c r="U47" s="9" t="str">
        <f>MID(B47,13,4)</f>
        <v>4021</v>
      </c>
      <c r="V47" s="36">
        <f>A47-utc_offset/24</f>
        <v>42710.940289351849</v>
      </c>
      <c r="W47" s="50" t="str">
        <f>IF(VALUE(LEFT(IF(LEN(C47)=6,"0"&amp;C47,C47),2))&lt;=2,"EC",IF(OR(VALUE(LEFT(IF(LEN(C47)=6,"0"&amp;C47,C47),2))=8,VALUE(LEFT(IF(LEN(C47)=6,"0"&amp;C47,C47),2))=18),"NW","Other"))</f>
        <v>Other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{"issue":{"subject":"","project_id":79,"tracker_id":40,"status_id":1,"priority_id":2,"assigned_to_id":23,"start_date":"2016-12-06","description":"","custom_fields":[{"id":1,"name":"Subdivision","value":"Other"},{"id":4,"name":"Milepost","value":"0.0575"},{"id":17,"name":"Train ID","value":"904-06"},{"id":16,"name":"Locomotive ID","value":"4021"},{"id":130,"name":"Impact","value":""},{"id":150,"name":"Time of Event (Mountain Time)","value":"15:34:01"},{"id":151,"name":"Denver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"%USERPROFILE%\AppData\Local\Temp\OnboardLogs"\RTDC4021\*4021*201612062*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"%USERPROFILE%\AppData\Local\Temp\OnboardLogs"\RTDC4021\*4021*201612062* &gt;&gt; 42710-slicedisagreementcheck.txt</v>
      </c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7">
      <sortCondition ref="V6:V46"/>
    </sortState>
  </autoFilter>
  <sortState ref="A7:AD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76:O1048576 O7:O47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47">
    <cfRule type="expression" dxfId="5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2016-12-06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156</v>
      </c>
      <c r="B3" s="47" t="str">
        <f>A3&amp;"-"&amp;IF(DAY(Variables!$A$2)&lt;10,0,"")&amp;DAY(Variables!$A$2)</f>
        <v>156-06</v>
      </c>
      <c r="C3" s="158"/>
      <c r="D3" s="163"/>
      <c r="E3" s="31" t="s">
        <v>843</v>
      </c>
      <c r="F3" s="22" t="str">
        <f>VLOOKUP(B3,'Trips&amp;Operators'!$C$2:$E$10000,3,FALSE)</f>
        <v>STARKS</v>
      </c>
      <c r="G3" s="22" t="str">
        <f>VLOOKUP(B3,'Trips&amp;Operators'!$C$1:$F$10000,4,FALSE)</f>
        <v>ANGELINA</v>
      </c>
      <c r="H3" s="30" t="str">
        <f>VLOOKUP(B3,'Trips&amp;Operators'!$C$1:$H$10000,5,FALSE)</f>
        <v>STARKS ANGELINA</v>
      </c>
      <c r="I3" s="50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-06%22)),sort:!(Time,asc))</v>
      </c>
      <c r="J3" s="31" t="e">
        <f>VLOOKUP(B3,'Train Runs'!$A$13:$A$99974,1,FALSE)</f>
        <v>#N/A</v>
      </c>
      <c r="K3" s="31" t="e">
        <f>IF(VLOOKUP(A3,$K$39:$K$62,1,FALSE),"Cancelled")</f>
        <v>#N/A</v>
      </c>
    </row>
    <row r="4" spans="1:11" x14ac:dyDescent="0.25">
      <c r="A4" s="171">
        <v>160</v>
      </c>
      <c r="B4" s="47" t="str">
        <f>A4&amp;"-"&amp;IF(DAY(Variables!$A$2)&lt;10,0,"")&amp;DAY(Variables!$A$2)</f>
        <v>160-06</v>
      </c>
      <c r="C4" s="158"/>
      <c r="D4" s="163"/>
      <c r="E4" s="31" t="s">
        <v>843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-06%22)),sort:!(Time,asc))</v>
      </c>
      <c r="J4" s="31" t="e">
        <f>VLOOKUP(B4,'Train Runs'!$A$13:$A$99974,1,FALSE)</f>
        <v>#N/A</v>
      </c>
      <c r="K4" s="31" t="e">
        <f>IF(VLOOKUP(A4,$K$39:$K$62,1,FALSE),"Cancelled")</f>
        <v>#N/A</v>
      </c>
    </row>
    <row r="5" spans="1:11" x14ac:dyDescent="0.25">
      <c r="A5" s="171">
        <v>163</v>
      </c>
      <c r="B5" s="47" t="str">
        <f>A5&amp;"-"&amp;IF(DAY(Variables!$A$2)&lt;10,0,"")&amp;DAY(Variables!$A$2)</f>
        <v>163-06</v>
      </c>
      <c r="C5" s="158"/>
      <c r="D5" s="163"/>
      <c r="E5" s="31" t="s">
        <v>843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ref="I5:I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22163-06%22)),sort:!(Time,asc))</v>
      </c>
      <c r="J5" s="31" t="e">
        <f>VLOOKUP(B5,'Train Runs'!$A$13:$A$99974,1,FALSE)</f>
        <v>#N/A</v>
      </c>
      <c r="K5" s="31" t="e">
        <f t="shared" ref="K5:K9" si="2">IF(VLOOKUP(A5,$K$39:$K$62,1,FALSE),"Cancelled")</f>
        <v>#N/A</v>
      </c>
    </row>
    <row r="6" spans="1:11" x14ac:dyDescent="0.25">
      <c r="A6" s="171">
        <v>167</v>
      </c>
      <c r="B6" s="47" t="str">
        <f>A6&amp;"-"&amp;IF(DAY(Variables!$A$2)&lt;10,0,"")&amp;DAY(Variables!$A$2)</f>
        <v>167-06</v>
      </c>
      <c r="C6" s="158"/>
      <c r="D6" s="163"/>
      <c r="E6" s="31" t="s">
        <v>843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22167-06%22)),sort:!(Time,asc))</v>
      </c>
      <c r="J6" s="31" t="e">
        <f>VLOOKUP(B6,'Train Runs'!$A$13:$A$99974,1,FALSE)</f>
        <v>#N/A</v>
      </c>
      <c r="K6" s="31" t="e">
        <f t="shared" si="2"/>
        <v>#N/A</v>
      </c>
    </row>
    <row r="7" spans="1:11" x14ac:dyDescent="0.25">
      <c r="A7" s="171">
        <v>173</v>
      </c>
      <c r="B7" s="47" t="str">
        <f>A7&amp;"-"&amp;IF(DAY(Variables!$A$2)&lt;10,0,"")&amp;DAY(Variables!$A$2)</f>
        <v>173-06</v>
      </c>
      <c r="C7" s="158"/>
      <c r="D7" s="163"/>
      <c r="E7" s="31" t="s">
        <v>843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-06%22)),sort:!(Time,asc))</v>
      </c>
      <c r="J7" s="31" t="e">
        <f>VLOOKUP(B7,'Train Runs'!$A$13:$A$99974,1,FALSE)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1" t="e">
        <f>VLOOKUP(B8,'Train Runs'!$A$13:$A$99974,1,FALSE)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Runs'!$A$13:$A$99974,1,FALSE)</f>
        <v>#N/A</v>
      </c>
      <c r="K9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303</v>
      </c>
      <c r="G1" s="8" t="s">
        <v>302</v>
      </c>
    </row>
    <row r="2" spans="1:7" x14ac:dyDescent="0.25">
      <c r="A2" s="8">
        <v>42710.036469907405</v>
      </c>
      <c r="B2" s="21" t="s">
        <v>245</v>
      </c>
      <c r="C2" s="21" t="s">
        <v>378</v>
      </c>
      <c r="D2" s="165">
        <v>1800000</v>
      </c>
      <c r="E2" s="21" t="s">
        <v>256</v>
      </c>
      <c r="F2" s="21" t="s">
        <v>315</v>
      </c>
      <c r="G2" s="8" t="str">
        <f>E2&amp;" "&amp;F2</f>
        <v>CHANDLER KELVIN</v>
      </c>
    </row>
    <row r="3" spans="1:7" x14ac:dyDescent="0.25">
      <c r="A3" s="8">
        <v>42710.046238425923</v>
      </c>
      <c r="B3" s="21" t="s">
        <v>219</v>
      </c>
      <c r="C3" s="21" t="s">
        <v>379</v>
      </c>
      <c r="D3" s="165">
        <v>1810000</v>
      </c>
      <c r="E3" s="21" t="s">
        <v>325</v>
      </c>
      <c r="F3" s="21" t="s">
        <v>301</v>
      </c>
      <c r="G3" s="8" t="str">
        <f t="shared" ref="G3:G66" si="0">E3&amp;" "&amp;F3</f>
        <v>NEWELL JAMES</v>
      </c>
    </row>
    <row r="4" spans="1:7" x14ac:dyDescent="0.25">
      <c r="A4" s="8">
        <v>42710.047407407408</v>
      </c>
      <c r="B4" s="21" t="s">
        <v>271</v>
      </c>
      <c r="C4" s="21" t="s">
        <v>380</v>
      </c>
      <c r="D4" s="165">
        <v>1230000</v>
      </c>
      <c r="E4" s="21" t="s">
        <v>278</v>
      </c>
      <c r="F4" s="21" t="s">
        <v>296</v>
      </c>
      <c r="G4" s="8" t="str">
        <f t="shared" si="0"/>
        <v>YANAI IAN</v>
      </c>
    </row>
    <row r="5" spans="1:7" x14ac:dyDescent="0.25">
      <c r="A5" s="8">
        <v>42710.047662037039</v>
      </c>
      <c r="B5" s="21" t="s">
        <v>219</v>
      </c>
      <c r="C5" s="21" t="s">
        <v>379</v>
      </c>
      <c r="D5" s="165">
        <v>1810000</v>
      </c>
      <c r="E5" s="21" t="s">
        <v>325</v>
      </c>
      <c r="F5" s="21" t="s">
        <v>301</v>
      </c>
      <c r="G5" s="8" t="str">
        <f t="shared" si="0"/>
        <v>NEWELL JAMES</v>
      </c>
    </row>
    <row r="6" spans="1:7" x14ac:dyDescent="0.25">
      <c r="A6" s="8">
        <v>42710.069421296299</v>
      </c>
      <c r="B6" s="21" t="s">
        <v>244</v>
      </c>
      <c r="C6" s="21" t="s">
        <v>381</v>
      </c>
      <c r="D6" s="165">
        <v>1800000</v>
      </c>
      <c r="E6" s="21" t="s">
        <v>256</v>
      </c>
      <c r="F6" s="21" t="s">
        <v>315</v>
      </c>
      <c r="G6" s="8" t="str">
        <f t="shared" si="0"/>
        <v>CHANDLER KELVIN</v>
      </c>
    </row>
    <row r="7" spans="1:7" x14ac:dyDescent="0.25">
      <c r="A7" s="8">
        <v>42710.070196759261</v>
      </c>
      <c r="B7" s="21" t="s">
        <v>244</v>
      </c>
      <c r="C7" s="21" t="s">
        <v>381</v>
      </c>
      <c r="D7" s="165">
        <v>1800000</v>
      </c>
      <c r="E7" s="21" t="s">
        <v>256</v>
      </c>
      <c r="F7" s="21" t="s">
        <v>315</v>
      </c>
      <c r="G7" s="8" t="str">
        <f t="shared" si="0"/>
        <v>CHANDLER KELVIN</v>
      </c>
    </row>
    <row r="8" spans="1:7" x14ac:dyDescent="0.25">
      <c r="A8" s="8">
        <v>42710.087384259263</v>
      </c>
      <c r="B8" s="21" t="s">
        <v>215</v>
      </c>
      <c r="C8" s="21" t="s">
        <v>382</v>
      </c>
      <c r="D8" s="165">
        <v>1230000</v>
      </c>
      <c r="E8" s="21" t="s">
        <v>278</v>
      </c>
      <c r="F8" s="21" t="s">
        <v>296</v>
      </c>
      <c r="G8" s="8" t="str">
        <f t="shared" si="0"/>
        <v>YANAI IAN</v>
      </c>
    </row>
    <row r="9" spans="1:7" ht="15.75" thickBot="1" x14ac:dyDescent="0.3">
      <c r="A9" s="25">
        <v>42710.117442129631</v>
      </c>
      <c r="B9" s="21" t="s">
        <v>307</v>
      </c>
      <c r="C9" s="21" t="s">
        <v>456</v>
      </c>
      <c r="D9" s="165">
        <v>2030000</v>
      </c>
      <c r="E9" s="21" t="s">
        <v>316</v>
      </c>
      <c r="F9" s="21" t="s">
        <v>298</v>
      </c>
      <c r="G9" s="8" t="str">
        <f t="shared" si="0"/>
        <v>KILLION DAVID</v>
      </c>
    </row>
    <row r="10" spans="1:7" x14ac:dyDescent="0.25">
      <c r="A10" s="8">
        <v>42710.118715277778</v>
      </c>
      <c r="B10" s="21" t="s">
        <v>307</v>
      </c>
      <c r="C10" s="21" t="s">
        <v>456</v>
      </c>
      <c r="D10" s="165">
        <v>2030000</v>
      </c>
      <c r="E10" s="21" t="s">
        <v>316</v>
      </c>
      <c r="F10" s="21" t="s">
        <v>298</v>
      </c>
      <c r="G10" s="8" t="str">
        <f t="shared" si="0"/>
        <v>KILLION DAVID</v>
      </c>
    </row>
    <row r="11" spans="1:7" x14ac:dyDescent="0.25">
      <c r="A11" s="8">
        <v>42710.130254629628</v>
      </c>
      <c r="B11" s="21" t="s">
        <v>270</v>
      </c>
      <c r="C11" s="21" t="s">
        <v>457</v>
      </c>
      <c r="D11" s="165">
        <v>2030000</v>
      </c>
      <c r="E11" s="21" t="s">
        <v>316</v>
      </c>
      <c r="F11" s="21" t="s">
        <v>298</v>
      </c>
      <c r="G11" s="8" t="str">
        <f t="shared" si="0"/>
        <v>KILLION DAVID</v>
      </c>
    </row>
    <row r="12" spans="1:7" x14ac:dyDescent="0.25">
      <c r="A12" s="8">
        <v>42710.140497685185</v>
      </c>
      <c r="B12" s="21" t="s">
        <v>288</v>
      </c>
      <c r="C12" s="21" t="s">
        <v>458</v>
      </c>
      <c r="D12" s="165">
        <v>2610000</v>
      </c>
      <c r="E12" s="21" t="s">
        <v>365</v>
      </c>
      <c r="F12" s="21" t="s">
        <v>366</v>
      </c>
      <c r="G12" s="8" t="str">
        <f t="shared" si="0"/>
        <v>MAGEE KENYA</v>
      </c>
    </row>
    <row r="13" spans="1:7" x14ac:dyDescent="0.25">
      <c r="A13" s="8">
        <v>42710.150729166664</v>
      </c>
      <c r="B13" s="21" t="s">
        <v>306</v>
      </c>
      <c r="C13" s="21" t="s">
        <v>459</v>
      </c>
      <c r="D13" s="165">
        <v>2610000</v>
      </c>
      <c r="E13" s="21" t="s">
        <v>365</v>
      </c>
      <c r="F13" s="21" t="s">
        <v>366</v>
      </c>
      <c r="G13" s="8" t="str">
        <f t="shared" si="0"/>
        <v>MAGEE KENYA</v>
      </c>
    </row>
    <row r="14" spans="1:7" x14ac:dyDescent="0.25">
      <c r="A14" s="8">
        <v>42710.160266203704</v>
      </c>
      <c r="B14" s="21" t="s">
        <v>213</v>
      </c>
      <c r="C14" s="21" t="s">
        <v>460</v>
      </c>
      <c r="D14" s="165">
        <v>2600000</v>
      </c>
      <c r="E14" s="21" t="s">
        <v>246</v>
      </c>
      <c r="F14" s="21" t="s">
        <v>298</v>
      </c>
      <c r="G14" s="8" t="str">
        <f t="shared" si="0"/>
        <v>DAVIDSON DAVID</v>
      </c>
    </row>
    <row r="15" spans="1:7" x14ac:dyDescent="0.25">
      <c r="A15" s="8">
        <v>42710.166643518518</v>
      </c>
      <c r="B15" s="21" t="s">
        <v>304</v>
      </c>
      <c r="C15" s="21" t="s">
        <v>461</v>
      </c>
      <c r="D15" s="165">
        <v>2090000</v>
      </c>
      <c r="E15" s="21" t="s">
        <v>324</v>
      </c>
      <c r="F15" s="21" t="s">
        <v>297</v>
      </c>
      <c r="G15" s="8" t="str">
        <f t="shared" si="0"/>
        <v>HAITHCOX MICHAEL</v>
      </c>
    </row>
    <row r="16" spans="1:7" x14ac:dyDescent="0.25">
      <c r="A16" s="8">
        <v>42710.168796296297</v>
      </c>
      <c r="B16" s="21" t="s">
        <v>307</v>
      </c>
      <c r="C16" s="21" t="s">
        <v>462</v>
      </c>
      <c r="D16" s="165">
        <v>2030000</v>
      </c>
      <c r="E16" s="21" t="s">
        <v>316</v>
      </c>
      <c r="F16" s="21" t="s">
        <v>298</v>
      </c>
      <c r="G16" s="8" t="str">
        <f t="shared" si="0"/>
        <v>KILLION DAVID</v>
      </c>
    </row>
    <row r="17" spans="1:7" x14ac:dyDescent="0.25">
      <c r="A17" s="8">
        <v>42710.171493055554</v>
      </c>
      <c r="B17" s="21" t="s">
        <v>286</v>
      </c>
      <c r="C17" s="21" t="s">
        <v>422</v>
      </c>
      <c r="D17" s="165">
        <v>2600000</v>
      </c>
      <c r="E17" s="21" t="s">
        <v>246</v>
      </c>
      <c r="F17" s="21" t="s">
        <v>298</v>
      </c>
      <c r="G17" s="8" t="str">
        <f t="shared" si="0"/>
        <v>DAVIDSON DAVID</v>
      </c>
    </row>
    <row r="18" spans="1:7" x14ac:dyDescent="0.25">
      <c r="A18" s="8">
        <v>42710.173356481479</v>
      </c>
      <c r="B18" s="21" t="s">
        <v>286</v>
      </c>
      <c r="C18" s="21" t="s">
        <v>421</v>
      </c>
      <c r="D18" s="165">
        <v>2600000</v>
      </c>
      <c r="E18" s="21" t="s">
        <v>246</v>
      </c>
      <c r="F18" s="21" t="s">
        <v>298</v>
      </c>
      <c r="G18" s="8" t="str">
        <f t="shared" si="0"/>
        <v>DAVIDSON DAVID</v>
      </c>
    </row>
    <row r="19" spans="1:7" x14ac:dyDescent="0.25">
      <c r="A19" s="8">
        <v>42710.179768518516</v>
      </c>
      <c r="B19" s="21" t="s">
        <v>309</v>
      </c>
      <c r="C19" s="21" t="s">
        <v>463</v>
      </c>
      <c r="D19" s="165">
        <v>2090000</v>
      </c>
      <c r="E19" s="21" t="s">
        <v>324</v>
      </c>
      <c r="F19" s="21" t="s">
        <v>297</v>
      </c>
      <c r="G19" s="8" t="str">
        <f t="shared" si="0"/>
        <v>HAITHCOX MICHAEL</v>
      </c>
    </row>
    <row r="20" spans="1:7" x14ac:dyDescent="0.25">
      <c r="A20" s="8">
        <v>42710.183055555557</v>
      </c>
      <c r="B20" s="21" t="s">
        <v>231</v>
      </c>
      <c r="C20" s="21" t="s">
        <v>464</v>
      </c>
      <c r="D20" s="165">
        <v>1990000</v>
      </c>
      <c r="E20" s="21" t="s">
        <v>367</v>
      </c>
      <c r="F20" s="21" t="s">
        <v>368</v>
      </c>
      <c r="G20" s="8" t="str">
        <f t="shared" si="0"/>
        <v>DAVIS WENDY</v>
      </c>
    </row>
    <row r="21" spans="1:7" x14ac:dyDescent="0.25">
      <c r="A21" s="8">
        <v>42710.186481481483</v>
      </c>
      <c r="B21" s="21" t="s">
        <v>288</v>
      </c>
      <c r="C21" s="21" t="s">
        <v>465</v>
      </c>
      <c r="D21" s="165">
        <v>2610000</v>
      </c>
      <c r="E21" s="21" t="s">
        <v>365</v>
      </c>
      <c r="F21" s="21" t="s">
        <v>366</v>
      </c>
      <c r="G21" s="8" t="str">
        <f t="shared" si="0"/>
        <v>MAGEE KENYA</v>
      </c>
    </row>
    <row r="22" spans="1:7" x14ac:dyDescent="0.25">
      <c r="A22" s="27">
        <v>42710.19425925926</v>
      </c>
      <c r="B22" s="21" t="s">
        <v>230</v>
      </c>
      <c r="C22" s="21" t="s">
        <v>466</v>
      </c>
      <c r="D22" s="165">
        <v>1990000</v>
      </c>
      <c r="E22" s="21" t="s">
        <v>367</v>
      </c>
      <c r="F22" s="21" t="s">
        <v>368</v>
      </c>
      <c r="G22" s="8" t="str">
        <f t="shared" si="0"/>
        <v>DAVIS WENDY</v>
      </c>
    </row>
    <row r="23" spans="1:7" x14ac:dyDescent="0.25">
      <c r="A23" s="8">
        <v>42710.194895833331</v>
      </c>
      <c r="B23" s="21" t="s">
        <v>230</v>
      </c>
      <c r="C23" s="21" t="s">
        <v>466</v>
      </c>
      <c r="D23" s="165">
        <v>1990000</v>
      </c>
      <c r="E23" s="21" t="s">
        <v>367</v>
      </c>
      <c r="F23" s="21" t="s">
        <v>368</v>
      </c>
      <c r="G23" s="8" t="str">
        <f t="shared" si="0"/>
        <v>DAVIS WENDY</v>
      </c>
    </row>
    <row r="24" spans="1:7" x14ac:dyDescent="0.25">
      <c r="A24" s="8">
        <v>42710.196006944447</v>
      </c>
      <c r="B24" s="21" t="s">
        <v>230</v>
      </c>
      <c r="C24" s="21" t="s">
        <v>466</v>
      </c>
      <c r="D24" s="165">
        <v>1990000</v>
      </c>
      <c r="E24" s="21" t="s">
        <v>367</v>
      </c>
      <c r="F24" s="21" t="s">
        <v>368</v>
      </c>
      <c r="G24" s="8" t="str">
        <f t="shared" si="0"/>
        <v>DAVIS WENDY</v>
      </c>
    </row>
    <row r="25" spans="1:7" x14ac:dyDescent="0.25">
      <c r="A25" s="8">
        <v>42710.2028587963</v>
      </c>
      <c r="B25" s="21" t="s">
        <v>217</v>
      </c>
      <c r="C25" s="21" t="s">
        <v>467</v>
      </c>
      <c r="D25" s="165">
        <v>1110000</v>
      </c>
      <c r="E25" s="21" t="s">
        <v>336</v>
      </c>
      <c r="F25" s="21" t="s">
        <v>337</v>
      </c>
      <c r="G25" s="8" t="str">
        <f t="shared" si="0"/>
        <v>STARKS ANGELINA</v>
      </c>
    </row>
    <row r="26" spans="1:7" x14ac:dyDescent="0.25">
      <c r="A26" s="8">
        <v>42710.205023148148</v>
      </c>
      <c r="B26" s="21" t="s">
        <v>270</v>
      </c>
      <c r="C26" s="21" t="s">
        <v>468</v>
      </c>
      <c r="D26" s="165">
        <v>1100000</v>
      </c>
      <c r="E26" s="21" t="s">
        <v>469</v>
      </c>
      <c r="F26" s="21" t="s">
        <v>470</v>
      </c>
      <c r="G26" s="8" t="str">
        <f t="shared" si="0"/>
        <v>GEBRETEKLE DAGNEW</v>
      </c>
    </row>
    <row r="27" spans="1:7" x14ac:dyDescent="0.25">
      <c r="A27" s="8">
        <v>42710.206157407411</v>
      </c>
      <c r="B27" s="21" t="s">
        <v>270</v>
      </c>
      <c r="C27" s="21" t="s">
        <v>468</v>
      </c>
      <c r="D27" s="165">
        <v>1100000</v>
      </c>
      <c r="E27" s="21" t="s">
        <v>469</v>
      </c>
      <c r="F27" s="21" t="s">
        <v>470</v>
      </c>
      <c r="G27" s="8" t="str">
        <f t="shared" si="0"/>
        <v>GEBRETEKLE DAGNEW</v>
      </c>
    </row>
    <row r="28" spans="1:7" x14ac:dyDescent="0.25">
      <c r="A28" s="8">
        <v>42710.207951388889</v>
      </c>
      <c r="B28" s="21" t="s">
        <v>213</v>
      </c>
      <c r="C28" s="21" t="s">
        <v>422</v>
      </c>
      <c r="D28" s="165">
        <v>2600000</v>
      </c>
      <c r="E28" s="21" t="s">
        <v>246</v>
      </c>
      <c r="F28" s="21" t="s">
        <v>298</v>
      </c>
      <c r="G28" s="8" t="str">
        <f t="shared" si="0"/>
        <v>DAVIDSON DAVID</v>
      </c>
    </row>
    <row r="29" spans="1:7" x14ac:dyDescent="0.25">
      <c r="A29" s="8">
        <v>42710.209733796299</v>
      </c>
      <c r="B29" s="21" t="s">
        <v>308</v>
      </c>
      <c r="C29" s="21" t="s">
        <v>471</v>
      </c>
      <c r="D29" s="165">
        <v>2030000</v>
      </c>
      <c r="E29" s="21" t="s">
        <v>316</v>
      </c>
      <c r="F29" s="21" t="s">
        <v>298</v>
      </c>
      <c r="G29" s="8" t="str">
        <f t="shared" si="0"/>
        <v>KILLION DAVID</v>
      </c>
    </row>
    <row r="30" spans="1:7" x14ac:dyDescent="0.25">
      <c r="A30" s="8">
        <v>42710.210740740738</v>
      </c>
      <c r="B30" s="21" t="s">
        <v>308</v>
      </c>
      <c r="C30" s="21" t="s">
        <v>471</v>
      </c>
      <c r="D30" s="165">
        <v>2030000</v>
      </c>
      <c r="E30" s="21" t="s">
        <v>316</v>
      </c>
      <c r="F30" s="21" t="s">
        <v>298</v>
      </c>
      <c r="G30" s="8" t="str">
        <f t="shared" si="0"/>
        <v>KILLION DAVID</v>
      </c>
    </row>
    <row r="31" spans="1:7" x14ac:dyDescent="0.25">
      <c r="A31" s="8">
        <v>42710.212025462963</v>
      </c>
      <c r="B31" s="21" t="s">
        <v>308</v>
      </c>
      <c r="C31" s="21" t="s">
        <v>471</v>
      </c>
      <c r="D31" s="165">
        <v>2030000</v>
      </c>
      <c r="E31" s="21" t="s">
        <v>316</v>
      </c>
      <c r="F31" s="21" t="s">
        <v>298</v>
      </c>
      <c r="G31" s="8" t="str">
        <f t="shared" si="0"/>
        <v>KILLION DAVID</v>
      </c>
    </row>
    <row r="32" spans="1:7" x14ac:dyDescent="0.25">
      <c r="A32" s="8">
        <v>42710.214074074072</v>
      </c>
      <c r="B32" s="21" t="s">
        <v>287</v>
      </c>
      <c r="C32" s="21" t="s">
        <v>472</v>
      </c>
      <c r="D32" s="165">
        <v>1110000</v>
      </c>
      <c r="E32" s="21" t="s">
        <v>336</v>
      </c>
      <c r="F32" s="21" t="s">
        <v>337</v>
      </c>
      <c r="G32" s="8" t="str">
        <f t="shared" si="0"/>
        <v>STARKS ANGELINA</v>
      </c>
    </row>
    <row r="33" spans="1:7" x14ac:dyDescent="0.25">
      <c r="A33" s="8">
        <v>42710.218680555554</v>
      </c>
      <c r="B33" s="21" t="s">
        <v>304</v>
      </c>
      <c r="C33" s="21" t="s">
        <v>473</v>
      </c>
      <c r="D33" s="165">
        <v>2090000</v>
      </c>
      <c r="E33" s="21" t="s">
        <v>324</v>
      </c>
      <c r="F33" s="21" t="s">
        <v>297</v>
      </c>
      <c r="G33" s="8" t="str">
        <f t="shared" si="0"/>
        <v>HAITHCOX MICHAEL</v>
      </c>
    </row>
    <row r="34" spans="1:7" x14ac:dyDescent="0.25">
      <c r="A34" s="8">
        <v>42710.228715277779</v>
      </c>
      <c r="B34" s="21" t="s">
        <v>306</v>
      </c>
      <c r="C34" s="21" t="s">
        <v>474</v>
      </c>
      <c r="D34" s="165">
        <v>900000</v>
      </c>
      <c r="E34" s="21" t="s">
        <v>475</v>
      </c>
      <c r="F34" s="21" t="s">
        <v>476</v>
      </c>
      <c r="G34" s="8" t="str">
        <f t="shared" si="0"/>
        <v>ROCHA YAOTL</v>
      </c>
    </row>
    <row r="35" spans="1:7" x14ac:dyDescent="0.25">
      <c r="A35" s="8">
        <v>42710.23064814815</v>
      </c>
      <c r="B35" s="21" t="s">
        <v>184</v>
      </c>
      <c r="C35" s="21" t="s">
        <v>477</v>
      </c>
      <c r="D35" s="165">
        <v>2610000</v>
      </c>
      <c r="E35" s="21" t="s">
        <v>365</v>
      </c>
      <c r="F35" s="21" t="s">
        <v>366</v>
      </c>
      <c r="G35" s="8" t="str">
        <f t="shared" si="0"/>
        <v>MAGEE KENYA</v>
      </c>
    </row>
    <row r="36" spans="1:7" x14ac:dyDescent="0.25">
      <c r="A36" s="8">
        <v>42710.231238425928</v>
      </c>
      <c r="B36" s="21" t="s">
        <v>231</v>
      </c>
      <c r="C36" s="21" t="s">
        <v>478</v>
      </c>
      <c r="D36" s="165">
        <v>1990000</v>
      </c>
      <c r="E36" s="21" t="s">
        <v>367</v>
      </c>
      <c r="F36" s="21" t="s">
        <v>368</v>
      </c>
      <c r="G36" s="8" t="str">
        <f t="shared" si="0"/>
        <v>DAVIS WENDY</v>
      </c>
    </row>
    <row r="37" spans="1:7" x14ac:dyDescent="0.25">
      <c r="A37" s="8">
        <v>42710.231412037036</v>
      </c>
      <c r="B37" s="21" t="s">
        <v>184</v>
      </c>
      <c r="C37" s="21" t="s">
        <v>477</v>
      </c>
      <c r="D37" s="165">
        <v>2610000</v>
      </c>
      <c r="E37" s="21" t="s">
        <v>365</v>
      </c>
      <c r="F37" s="21" t="s">
        <v>366</v>
      </c>
      <c r="G37" s="8" t="str">
        <f t="shared" si="0"/>
        <v>MAGEE KENYA</v>
      </c>
    </row>
    <row r="38" spans="1:7" x14ac:dyDescent="0.25">
      <c r="A38" s="8">
        <v>42710.23238425926</v>
      </c>
      <c r="B38" s="21" t="s">
        <v>184</v>
      </c>
      <c r="C38" s="21" t="s">
        <v>477</v>
      </c>
      <c r="D38" s="165">
        <v>2610000</v>
      </c>
      <c r="E38" s="21" t="s">
        <v>365</v>
      </c>
      <c r="F38" s="21" t="s">
        <v>366</v>
      </c>
      <c r="G38" s="8" t="str">
        <f t="shared" si="0"/>
        <v>MAGEE KENYA</v>
      </c>
    </row>
    <row r="39" spans="1:7" x14ac:dyDescent="0.25">
      <c r="A39" s="8">
        <v>42710.242858796293</v>
      </c>
      <c r="B39" s="21" t="s">
        <v>251</v>
      </c>
      <c r="C39" s="21" t="s">
        <v>479</v>
      </c>
      <c r="D39" s="165">
        <v>1300000</v>
      </c>
      <c r="E39" s="21" t="s">
        <v>113</v>
      </c>
      <c r="F39" s="21" t="s">
        <v>300</v>
      </c>
      <c r="G39" s="8" t="str">
        <f t="shared" si="0"/>
        <v>LEVIN SCOTT</v>
      </c>
    </row>
    <row r="40" spans="1:7" x14ac:dyDescent="0.25">
      <c r="A40" s="8">
        <v>42710.243368055555</v>
      </c>
      <c r="B40" s="26" t="s">
        <v>217</v>
      </c>
      <c r="C40" s="21" t="s">
        <v>480</v>
      </c>
      <c r="D40" s="165">
        <v>1110000</v>
      </c>
      <c r="E40" s="21" t="s">
        <v>336</v>
      </c>
      <c r="F40" s="21" t="s">
        <v>337</v>
      </c>
      <c r="G40" s="8" t="str">
        <f t="shared" si="0"/>
        <v>STARKS ANGELINA</v>
      </c>
    </row>
    <row r="41" spans="1:7" x14ac:dyDescent="0.25">
      <c r="A41" s="8">
        <v>42710.244768518518</v>
      </c>
      <c r="B41" s="21" t="s">
        <v>361</v>
      </c>
      <c r="C41" s="21" t="s">
        <v>481</v>
      </c>
      <c r="D41" s="165">
        <v>1100000</v>
      </c>
      <c r="E41" s="21" t="s">
        <v>469</v>
      </c>
      <c r="F41" s="21" t="s">
        <v>470</v>
      </c>
      <c r="G41" s="8" t="str">
        <f t="shared" si="0"/>
        <v>GEBRETEKLE DAGNEW</v>
      </c>
    </row>
    <row r="42" spans="1:7" x14ac:dyDescent="0.25">
      <c r="A42" s="8">
        <v>42710.249525462961</v>
      </c>
      <c r="B42" s="21" t="s">
        <v>286</v>
      </c>
      <c r="C42" s="21" t="s">
        <v>482</v>
      </c>
      <c r="D42" s="165">
        <v>2600000</v>
      </c>
      <c r="E42" s="21" t="s">
        <v>246</v>
      </c>
      <c r="F42" s="21" t="s">
        <v>298</v>
      </c>
      <c r="G42" s="8" t="str">
        <f t="shared" si="0"/>
        <v>DAVIDSON DAVID</v>
      </c>
    </row>
    <row r="43" spans="1:7" x14ac:dyDescent="0.25">
      <c r="A43" s="8">
        <v>42710.252372685187</v>
      </c>
      <c r="B43" s="21" t="s">
        <v>251</v>
      </c>
      <c r="C43" s="21" t="s">
        <v>479</v>
      </c>
      <c r="D43" s="165">
        <v>1300000</v>
      </c>
      <c r="E43" s="21" t="s">
        <v>113</v>
      </c>
      <c r="F43" s="21" t="s">
        <v>300</v>
      </c>
      <c r="G43" s="8" t="str">
        <f t="shared" si="0"/>
        <v>LEVIN SCOTT</v>
      </c>
    </row>
    <row r="44" spans="1:7" x14ac:dyDescent="0.25">
      <c r="A44" s="8">
        <v>42710.254201388889</v>
      </c>
      <c r="B44" s="21" t="s">
        <v>307</v>
      </c>
      <c r="C44" s="21" t="s">
        <v>424</v>
      </c>
      <c r="D44" s="165">
        <v>2030000</v>
      </c>
      <c r="E44" s="21" t="s">
        <v>316</v>
      </c>
      <c r="F44" s="21" t="s">
        <v>298</v>
      </c>
      <c r="G44" s="8" t="str">
        <f t="shared" si="0"/>
        <v>KILLION DAVID</v>
      </c>
    </row>
    <row r="45" spans="1:7" x14ac:dyDescent="0.25">
      <c r="A45" s="8">
        <v>42710.255798611113</v>
      </c>
      <c r="B45" s="21" t="s">
        <v>287</v>
      </c>
      <c r="C45" s="21" t="s">
        <v>483</v>
      </c>
      <c r="D45" s="165">
        <v>1110000</v>
      </c>
      <c r="E45" s="21" t="s">
        <v>336</v>
      </c>
      <c r="F45" s="21" t="s">
        <v>337</v>
      </c>
      <c r="G45" s="8" t="str">
        <f t="shared" si="0"/>
        <v>STARKS ANGELINA</v>
      </c>
    </row>
    <row r="46" spans="1:7" x14ac:dyDescent="0.25">
      <c r="A46" s="8">
        <v>42710.259606481479</v>
      </c>
      <c r="B46" s="21" t="s">
        <v>309</v>
      </c>
      <c r="C46" s="21" t="s">
        <v>484</v>
      </c>
      <c r="D46" s="165">
        <v>2090000</v>
      </c>
      <c r="E46" s="21" t="s">
        <v>324</v>
      </c>
      <c r="F46" s="21" t="s">
        <v>297</v>
      </c>
      <c r="G46" s="8" t="str">
        <f t="shared" si="0"/>
        <v>HAITHCOX MICHAEL</v>
      </c>
    </row>
    <row r="47" spans="1:7" x14ac:dyDescent="0.25">
      <c r="A47" s="8">
        <v>42710.261099537034</v>
      </c>
      <c r="B47" s="21" t="s">
        <v>183</v>
      </c>
      <c r="C47" s="21" t="s">
        <v>485</v>
      </c>
      <c r="D47" s="165">
        <v>1300000</v>
      </c>
      <c r="E47" s="21" t="s">
        <v>113</v>
      </c>
      <c r="F47" s="21" t="s">
        <v>300</v>
      </c>
      <c r="G47" s="8" t="str">
        <f t="shared" si="0"/>
        <v>LEVIN SCOTT</v>
      </c>
    </row>
    <row r="48" spans="1:7" x14ac:dyDescent="0.25">
      <c r="A48" s="8">
        <v>42710.265821759262</v>
      </c>
      <c r="B48" s="21" t="s">
        <v>230</v>
      </c>
      <c r="C48" s="21" t="s">
        <v>486</v>
      </c>
      <c r="D48" s="165">
        <v>1990000</v>
      </c>
      <c r="E48" s="21" t="s">
        <v>367</v>
      </c>
      <c r="F48" s="21" t="s">
        <v>368</v>
      </c>
      <c r="G48" s="8" t="str">
        <f t="shared" si="0"/>
        <v>DAVIS WENDY</v>
      </c>
    </row>
    <row r="49" spans="1:7" x14ac:dyDescent="0.25">
      <c r="A49" s="8">
        <v>42710.268090277779</v>
      </c>
      <c r="B49" s="21" t="s">
        <v>305</v>
      </c>
      <c r="C49" s="21" t="s">
        <v>425</v>
      </c>
      <c r="D49" s="165">
        <v>900000</v>
      </c>
      <c r="E49" s="21" t="s">
        <v>475</v>
      </c>
      <c r="F49" s="21" t="s">
        <v>476</v>
      </c>
      <c r="G49" s="8" t="str">
        <f t="shared" si="0"/>
        <v>ROCHA YAOTL</v>
      </c>
    </row>
    <row r="50" spans="1:7" x14ac:dyDescent="0.25">
      <c r="A50" s="8">
        <v>42710.271817129629</v>
      </c>
      <c r="B50" s="21" t="s">
        <v>288</v>
      </c>
      <c r="C50" s="21" t="s">
        <v>487</v>
      </c>
      <c r="D50" s="165">
        <v>2610000</v>
      </c>
      <c r="E50" s="21" t="s">
        <v>365</v>
      </c>
      <c r="F50" s="21" t="s">
        <v>366</v>
      </c>
      <c r="G50" s="8" t="str">
        <f t="shared" si="0"/>
        <v>MAGEE KENYA</v>
      </c>
    </row>
    <row r="51" spans="1:7" x14ac:dyDescent="0.25">
      <c r="A51" s="8">
        <v>42710.275590277779</v>
      </c>
      <c r="B51" s="21" t="s">
        <v>251</v>
      </c>
      <c r="C51" s="21" t="s">
        <v>423</v>
      </c>
      <c r="D51" s="165">
        <v>1300000</v>
      </c>
      <c r="E51" s="21" t="s">
        <v>113</v>
      </c>
      <c r="F51" s="21" t="s">
        <v>300</v>
      </c>
      <c r="G51" s="8" t="str">
        <f t="shared" si="0"/>
        <v>LEVIN SCOTT</v>
      </c>
    </row>
    <row r="52" spans="1:7" x14ac:dyDescent="0.25">
      <c r="A52" s="8">
        <v>42710.277222222219</v>
      </c>
      <c r="B52" s="21" t="s">
        <v>270</v>
      </c>
      <c r="C52" s="21" t="s">
        <v>488</v>
      </c>
      <c r="D52" s="165">
        <v>1100000</v>
      </c>
      <c r="E52" s="21" t="s">
        <v>469</v>
      </c>
      <c r="F52" s="21" t="s">
        <v>470</v>
      </c>
      <c r="G52" s="8" t="str">
        <f t="shared" si="0"/>
        <v>GEBRETEKLE DAGNEW</v>
      </c>
    </row>
    <row r="53" spans="1:7" x14ac:dyDescent="0.25">
      <c r="A53" s="8">
        <v>42710.279374999998</v>
      </c>
      <c r="B53" s="21" t="s">
        <v>283</v>
      </c>
      <c r="C53" s="21" t="s">
        <v>426</v>
      </c>
      <c r="D53" s="165">
        <v>2600000</v>
      </c>
      <c r="E53" s="21" t="s">
        <v>246</v>
      </c>
      <c r="F53" s="21" t="s">
        <v>298</v>
      </c>
      <c r="G53" s="8" t="str">
        <f t="shared" si="0"/>
        <v>DAVIDSON DAVID</v>
      </c>
    </row>
    <row r="54" spans="1:7" x14ac:dyDescent="0.25">
      <c r="A54" s="8">
        <v>42710.280659722222</v>
      </c>
      <c r="B54" s="21" t="s">
        <v>283</v>
      </c>
      <c r="C54" s="21" t="s">
        <v>426</v>
      </c>
      <c r="D54" s="165">
        <v>2600000</v>
      </c>
      <c r="E54" s="21" t="s">
        <v>246</v>
      </c>
      <c r="F54" s="21" t="s">
        <v>298</v>
      </c>
      <c r="G54" s="8" t="str">
        <f t="shared" si="0"/>
        <v>DAVIDSON DAVID</v>
      </c>
    </row>
    <row r="55" spans="1:7" x14ac:dyDescent="0.25">
      <c r="A55" s="8">
        <v>42710.2809375</v>
      </c>
      <c r="B55" s="21" t="s">
        <v>251</v>
      </c>
      <c r="C55" s="21" t="s">
        <v>423</v>
      </c>
      <c r="D55" s="165">
        <v>1300000</v>
      </c>
      <c r="E55" s="21" t="s">
        <v>113</v>
      </c>
      <c r="F55" s="21" t="s">
        <v>300</v>
      </c>
      <c r="G55" s="8" t="str">
        <f t="shared" si="0"/>
        <v>LEVIN SCOTT</v>
      </c>
    </row>
    <row r="56" spans="1:7" x14ac:dyDescent="0.25">
      <c r="A56" s="8">
        <v>42710.282696759263</v>
      </c>
      <c r="B56" s="21" t="s">
        <v>217</v>
      </c>
      <c r="C56" s="21" t="s">
        <v>489</v>
      </c>
      <c r="D56" s="165">
        <v>1110000</v>
      </c>
      <c r="E56" s="21" t="s">
        <v>336</v>
      </c>
      <c r="F56" s="21" t="s">
        <v>337</v>
      </c>
      <c r="G56" s="8" t="str">
        <f t="shared" si="0"/>
        <v>STARKS ANGELINA</v>
      </c>
    </row>
    <row r="57" spans="1:7" x14ac:dyDescent="0.25">
      <c r="A57" s="8">
        <v>42710.289270833331</v>
      </c>
      <c r="B57" s="21" t="s">
        <v>308</v>
      </c>
      <c r="C57" s="21" t="s">
        <v>490</v>
      </c>
      <c r="D57" s="165">
        <v>2030000</v>
      </c>
      <c r="E57" s="21" t="s">
        <v>316</v>
      </c>
      <c r="F57" s="21" t="s">
        <v>298</v>
      </c>
      <c r="G57" s="8" t="str">
        <f t="shared" si="0"/>
        <v>KILLION DAVID</v>
      </c>
    </row>
    <row r="58" spans="1:7" x14ac:dyDescent="0.25">
      <c r="A58" s="8">
        <v>42710.293564814812</v>
      </c>
      <c r="B58" s="21" t="s">
        <v>304</v>
      </c>
      <c r="C58" s="21" t="s">
        <v>491</v>
      </c>
      <c r="D58" s="165">
        <v>2090000</v>
      </c>
      <c r="E58" s="21" t="s">
        <v>324</v>
      </c>
      <c r="F58" s="21" t="s">
        <v>297</v>
      </c>
      <c r="G58" s="8" t="str">
        <f t="shared" si="0"/>
        <v>HAITHCOX MICHAEL</v>
      </c>
    </row>
    <row r="59" spans="1:7" x14ac:dyDescent="0.25">
      <c r="A59" s="8">
        <v>42710.296840277777</v>
      </c>
      <c r="B59" s="21" t="s">
        <v>287</v>
      </c>
      <c r="C59" s="21" t="s">
        <v>492</v>
      </c>
      <c r="D59" s="165">
        <v>1110000</v>
      </c>
      <c r="E59" s="21" t="s">
        <v>336</v>
      </c>
      <c r="F59" s="21" t="s">
        <v>337</v>
      </c>
      <c r="G59" s="8" t="str">
        <f t="shared" si="0"/>
        <v>STARKS ANGELINA</v>
      </c>
    </row>
    <row r="60" spans="1:7" x14ac:dyDescent="0.25">
      <c r="A60" s="8">
        <v>42710.299328703702</v>
      </c>
      <c r="B60" s="21" t="s">
        <v>306</v>
      </c>
      <c r="C60" s="21" t="s">
        <v>493</v>
      </c>
      <c r="D60" s="165">
        <v>1360000</v>
      </c>
      <c r="E60" s="21" t="s">
        <v>494</v>
      </c>
      <c r="F60" s="21" t="s">
        <v>495</v>
      </c>
      <c r="G60" s="8" t="str">
        <f t="shared" si="0"/>
        <v>SANTIZO D. EDY</v>
      </c>
    </row>
    <row r="61" spans="1:7" x14ac:dyDescent="0.25">
      <c r="A61" s="8">
        <v>42710.303240740737</v>
      </c>
      <c r="B61" s="21" t="s">
        <v>183</v>
      </c>
      <c r="C61" s="21" t="s">
        <v>496</v>
      </c>
      <c r="D61" s="165">
        <v>1300000</v>
      </c>
      <c r="E61" s="21" t="s">
        <v>113</v>
      </c>
      <c r="F61" s="21" t="s">
        <v>300</v>
      </c>
      <c r="G61" s="8" t="str">
        <f t="shared" si="0"/>
        <v>LEVIN SCOTT</v>
      </c>
    </row>
    <row r="62" spans="1:7" x14ac:dyDescent="0.25">
      <c r="A62" s="8">
        <v>42710.308252314811</v>
      </c>
      <c r="B62" s="21" t="s">
        <v>231</v>
      </c>
      <c r="C62" s="21" t="s">
        <v>497</v>
      </c>
      <c r="D62" s="165">
        <v>1990000</v>
      </c>
      <c r="E62" s="21" t="s">
        <v>367</v>
      </c>
      <c r="F62" s="21" t="s">
        <v>368</v>
      </c>
      <c r="G62" s="8" t="str">
        <f t="shared" si="0"/>
        <v>DAVIS WENDY</v>
      </c>
    </row>
    <row r="63" spans="1:7" x14ac:dyDescent="0.25">
      <c r="A63" s="8">
        <v>42710.310879629629</v>
      </c>
      <c r="B63" s="21" t="s">
        <v>184</v>
      </c>
      <c r="C63" s="21" t="s">
        <v>428</v>
      </c>
      <c r="D63" s="165">
        <v>2610000</v>
      </c>
      <c r="E63" s="21" t="s">
        <v>365</v>
      </c>
      <c r="F63" s="21" t="s">
        <v>366</v>
      </c>
      <c r="G63" s="8" t="str">
        <f t="shared" si="0"/>
        <v>MAGEE KENYA</v>
      </c>
    </row>
    <row r="64" spans="1:7" x14ac:dyDescent="0.25">
      <c r="A64" s="27">
        <v>42710.316203703704</v>
      </c>
      <c r="B64" s="21" t="s">
        <v>361</v>
      </c>
      <c r="C64" s="21" t="s">
        <v>498</v>
      </c>
      <c r="D64" s="165">
        <v>1100000</v>
      </c>
      <c r="E64" s="21" t="s">
        <v>469</v>
      </c>
      <c r="F64" s="21" t="s">
        <v>470</v>
      </c>
      <c r="G64" s="8" t="str">
        <f t="shared" si="0"/>
        <v>GEBRETEKLE DAGNEW</v>
      </c>
    </row>
    <row r="65" spans="1:7" x14ac:dyDescent="0.25">
      <c r="A65" s="8">
        <v>42710.316944444443</v>
      </c>
      <c r="B65" s="21" t="s">
        <v>251</v>
      </c>
      <c r="C65" s="21" t="s">
        <v>499</v>
      </c>
      <c r="D65" s="165">
        <v>1300000</v>
      </c>
      <c r="E65" s="21" t="s">
        <v>113</v>
      </c>
      <c r="F65" s="21" t="s">
        <v>300</v>
      </c>
      <c r="G65" s="8" t="str">
        <f t="shared" si="0"/>
        <v>LEVIN SCOTT</v>
      </c>
    </row>
    <row r="66" spans="1:7" x14ac:dyDescent="0.25">
      <c r="A66" s="8">
        <v>42710.318298611113</v>
      </c>
      <c r="B66" s="21" t="s">
        <v>286</v>
      </c>
      <c r="C66" s="21" t="s">
        <v>500</v>
      </c>
      <c r="D66" s="165">
        <v>2600000</v>
      </c>
      <c r="E66" s="21" t="s">
        <v>246</v>
      </c>
      <c r="F66" s="21" t="s">
        <v>298</v>
      </c>
      <c r="G66" s="8" t="str">
        <f t="shared" si="0"/>
        <v>DAVIDSON DAVID</v>
      </c>
    </row>
    <row r="67" spans="1:7" x14ac:dyDescent="0.25">
      <c r="A67" s="8">
        <v>42710.324340277781</v>
      </c>
      <c r="B67" s="21" t="s">
        <v>217</v>
      </c>
      <c r="C67" s="21" t="s">
        <v>427</v>
      </c>
      <c r="D67" s="165">
        <v>1110000</v>
      </c>
      <c r="E67" s="21" t="s">
        <v>336</v>
      </c>
      <c r="F67" s="21" t="s">
        <v>337</v>
      </c>
      <c r="G67" s="8" t="str">
        <f t="shared" ref="G67:G130" si="1">E67&amp;" "&amp;F67</f>
        <v>STARKS ANGELINA</v>
      </c>
    </row>
    <row r="68" spans="1:7" x14ac:dyDescent="0.25">
      <c r="A68" s="8">
        <v>42710.325995370367</v>
      </c>
      <c r="B68" s="21" t="s">
        <v>307</v>
      </c>
      <c r="C68" s="21" t="s">
        <v>501</v>
      </c>
      <c r="D68" s="165">
        <v>2030000</v>
      </c>
      <c r="E68" s="21" t="s">
        <v>316</v>
      </c>
      <c r="F68" s="21" t="s">
        <v>298</v>
      </c>
      <c r="G68" s="8" t="str">
        <f t="shared" si="1"/>
        <v>KILLION DAVID</v>
      </c>
    </row>
    <row r="69" spans="1:7" x14ac:dyDescent="0.25">
      <c r="A69" s="8">
        <v>42710.329502314817</v>
      </c>
      <c r="B69" s="21" t="s">
        <v>309</v>
      </c>
      <c r="C69" s="21" t="s">
        <v>502</v>
      </c>
      <c r="D69" s="165">
        <v>2090000</v>
      </c>
      <c r="E69" s="21" t="s">
        <v>324</v>
      </c>
      <c r="F69" s="21" t="s">
        <v>297</v>
      </c>
      <c r="G69" s="8" t="str">
        <f t="shared" si="1"/>
        <v>HAITHCOX MICHAEL</v>
      </c>
    </row>
    <row r="70" spans="1:7" x14ac:dyDescent="0.25">
      <c r="A70" s="8">
        <v>42710.3359375</v>
      </c>
      <c r="B70" s="21" t="s">
        <v>305</v>
      </c>
      <c r="C70" s="21" t="s">
        <v>432</v>
      </c>
      <c r="D70" s="165">
        <v>1360000</v>
      </c>
      <c r="E70" s="21" t="s">
        <v>494</v>
      </c>
      <c r="F70" s="21" t="s">
        <v>495</v>
      </c>
      <c r="G70" s="8" t="str">
        <f t="shared" si="1"/>
        <v>SANTIZO D. EDY</v>
      </c>
    </row>
    <row r="71" spans="1:7" x14ac:dyDescent="0.25">
      <c r="A71" s="8">
        <v>42710.338252314818</v>
      </c>
      <c r="B71" s="21" t="s">
        <v>230</v>
      </c>
      <c r="C71" s="21" t="s">
        <v>503</v>
      </c>
      <c r="D71" s="165">
        <v>1990000</v>
      </c>
      <c r="E71" s="21" t="s">
        <v>367</v>
      </c>
      <c r="F71" s="21" t="s">
        <v>368</v>
      </c>
      <c r="G71" s="8" t="str">
        <f t="shared" si="1"/>
        <v>DAVIS WENDY</v>
      </c>
    </row>
    <row r="72" spans="1:7" x14ac:dyDescent="0.25">
      <c r="A72" s="8">
        <v>42710.338587962964</v>
      </c>
      <c r="B72" s="21" t="s">
        <v>287</v>
      </c>
      <c r="C72" s="21" t="s">
        <v>429</v>
      </c>
      <c r="D72" s="165">
        <v>1110000</v>
      </c>
      <c r="E72" s="21" t="s">
        <v>336</v>
      </c>
      <c r="F72" s="21" t="s">
        <v>337</v>
      </c>
      <c r="G72" s="8" t="str">
        <f t="shared" si="1"/>
        <v>STARKS ANGELINA</v>
      </c>
    </row>
    <row r="73" spans="1:7" x14ac:dyDescent="0.25">
      <c r="A73" s="8">
        <v>42710.345960648148</v>
      </c>
      <c r="B73" s="21" t="s">
        <v>183</v>
      </c>
      <c r="C73" s="21" t="s">
        <v>504</v>
      </c>
      <c r="D73" s="165">
        <v>1300000</v>
      </c>
      <c r="E73" s="21" t="s">
        <v>113</v>
      </c>
      <c r="F73" s="21" t="s">
        <v>300</v>
      </c>
      <c r="G73" s="8" t="str">
        <f t="shared" si="1"/>
        <v>LEVIN SCOTT</v>
      </c>
    </row>
    <row r="74" spans="1:7" x14ac:dyDescent="0.25">
      <c r="A74" s="8">
        <v>42710.349178240744</v>
      </c>
      <c r="B74" s="21" t="s">
        <v>288</v>
      </c>
      <c r="C74" s="21" t="s">
        <v>505</v>
      </c>
      <c r="D74" s="165">
        <v>2610000</v>
      </c>
      <c r="E74" s="21" t="s">
        <v>365</v>
      </c>
      <c r="F74" s="21" t="s">
        <v>366</v>
      </c>
      <c r="G74" s="8" t="str">
        <f t="shared" si="1"/>
        <v>MAGEE KENYA</v>
      </c>
    </row>
    <row r="75" spans="1:7" x14ac:dyDescent="0.25">
      <c r="A75" s="8">
        <v>42710.351122685184</v>
      </c>
      <c r="B75" s="21" t="s">
        <v>270</v>
      </c>
      <c r="C75" s="21" t="s">
        <v>506</v>
      </c>
      <c r="D75" s="165">
        <v>1100000</v>
      </c>
      <c r="E75" s="21" t="s">
        <v>469</v>
      </c>
      <c r="F75" s="21" t="s">
        <v>470</v>
      </c>
      <c r="G75" s="8" t="str">
        <f t="shared" si="1"/>
        <v>GEBRETEKLE DAGNEW</v>
      </c>
    </row>
    <row r="76" spans="1:7" x14ac:dyDescent="0.25">
      <c r="A76" s="8">
        <v>42710.356249999997</v>
      </c>
      <c r="B76" s="21" t="s">
        <v>283</v>
      </c>
      <c r="C76" s="21" t="s">
        <v>507</v>
      </c>
      <c r="D76" s="165">
        <v>2600000</v>
      </c>
      <c r="E76" s="21" t="s">
        <v>246</v>
      </c>
      <c r="F76" s="21" t="s">
        <v>298</v>
      </c>
      <c r="G76" s="8" t="str">
        <f t="shared" si="1"/>
        <v>DAVIDSON DAVID</v>
      </c>
    </row>
    <row r="77" spans="1:7" x14ac:dyDescent="0.25">
      <c r="A77" s="8">
        <v>42710.357858796298</v>
      </c>
      <c r="B77" s="21" t="s">
        <v>217</v>
      </c>
      <c r="C77" s="21" t="s">
        <v>508</v>
      </c>
      <c r="D77" s="165">
        <v>1110000</v>
      </c>
      <c r="E77" s="21" t="s">
        <v>336</v>
      </c>
      <c r="F77" s="21" t="s">
        <v>337</v>
      </c>
      <c r="G77" s="8" t="str">
        <f t="shared" si="1"/>
        <v>STARKS ANGELINA</v>
      </c>
    </row>
    <row r="78" spans="1:7" x14ac:dyDescent="0.25">
      <c r="A78" s="8">
        <v>42710.3596875</v>
      </c>
      <c r="B78" s="21" t="s">
        <v>251</v>
      </c>
      <c r="C78" s="21" t="s">
        <v>431</v>
      </c>
      <c r="D78" s="165">
        <v>1300000</v>
      </c>
      <c r="E78" s="21" t="s">
        <v>113</v>
      </c>
      <c r="F78" s="21" t="s">
        <v>300</v>
      </c>
      <c r="G78" s="8" t="str">
        <f t="shared" si="1"/>
        <v>LEVIN SCOTT</v>
      </c>
    </row>
    <row r="79" spans="1:7" x14ac:dyDescent="0.25">
      <c r="A79" s="8">
        <v>42710.364756944444</v>
      </c>
      <c r="B79" s="21" t="s">
        <v>308</v>
      </c>
      <c r="C79" s="21" t="s">
        <v>509</v>
      </c>
      <c r="D79" s="165">
        <v>2030000</v>
      </c>
      <c r="E79" s="21" t="s">
        <v>316</v>
      </c>
      <c r="F79" s="21" t="s">
        <v>298</v>
      </c>
      <c r="G79" s="8" t="str">
        <f t="shared" si="1"/>
        <v>KILLION DAVID</v>
      </c>
    </row>
    <row r="80" spans="1:7" x14ac:dyDescent="0.25">
      <c r="A80" s="8">
        <v>42710.368425925924</v>
      </c>
      <c r="B80" s="21" t="s">
        <v>304</v>
      </c>
      <c r="C80" s="21" t="s">
        <v>510</v>
      </c>
      <c r="D80" s="165">
        <v>2090000</v>
      </c>
      <c r="E80" s="21" t="s">
        <v>324</v>
      </c>
      <c r="F80" s="21" t="s">
        <v>297</v>
      </c>
      <c r="G80" s="8" t="str">
        <f t="shared" si="1"/>
        <v>HAITHCOX MICHAEL</v>
      </c>
    </row>
    <row r="81" spans="1:7" x14ac:dyDescent="0.25">
      <c r="A81" s="8">
        <v>42710.373680555553</v>
      </c>
      <c r="B81" s="21" t="s">
        <v>206</v>
      </c>
      <c r="C81" s="21" t="s">
        <v>511</v>
      </c>
      <c r="D81" s="165">
        <v>2630000</v>
      </c>
      <c r="E81" s="21" t="s">
        <v>247</v>
      </c>
      <c r="F81" s="21" t="s">
        <v>369</v>
      </c>
      <c r="G81" s="8" t="str">
        <f t="shared" si="1"/>
        <v>SAFIEF AEIMEN</v>
      </c>
    </row>
    <row r="82" spans="1:7" x14ac:dyDescent="0.25">
      <c r="A82" s="8">
        <v>42710.375879629632</v>
      </c>
      <c r="B82" s="21" t="s">
        <v>206</v>
      </c>
      <c r="C82" s="21" t="s">
        <v>511</v>
      </c>
      <c r="D82" s="165">
        <v>2630000</v>
      </c>
      <c r="E82" s="21" t="s">
        <v>247</v>
      </c>
      <c r="F82" s="21" t="s">
        <v>369</v>
      </c>
      <c r="G82" s="8" t="str">
        <f t="shared" si="1"/>
        <v>SAFIEF AEIMEN</v>
      </c>
    </row>
    <row r="83" spans="1:7" x14ac:dyDescent="0.25">
      <c r="A83" s="8">
        <v>42710.377476851849</v>
      </c>
      <c r="B83" s="21" t="s">
        <v>231</v>
      </c>
      <c r="C83" s="21" t="s">
        <v>512</v>
      </c>
      <c r="D83" s="165">
        <v>1990000</v>
      </c>
      <c r="E83" s="21" t="s">
        <v>367</v>
      </c>
      <c r="F83" s="21" t="s">
        <v>368</v>
      </c>
      <c r="G83" s="8" t="str">
        <f t="shared" si="1"/>
        <v>DAVIS WENDY</v>
      </c>
    </row>
    <row r="84" spans="1:7" x14ac:dyDescent="0.25">
      <c r="A84" s="8">
        <v>42710.381967592592</v>
      </c>
      <c r="B84" s="21" t="s">
        <v>184</v>
      </c>
      <c r="C84" s="21" t="s">
        <v>513</v>
      </c>
      <c r="D84" s="165">
        <v>2610000</v>
      </c>
      <c r="E84" s="21" t="s">
        <v>365</v>
      </c>
      <c r="F84" s="21" t="s">
        <v>366</v>
      </c>
      <c r="G84" s="8" t="str">
        <f t="shared" si="1"/>
        <v>MAGEE KENYA</v>
      </c>
    </row>
    <row r="85" spans="1:7" x14ac:dyDescent="0.25">
      <c r="A85" s="8">
        <v>42710.387615740743</v>
      </c>
      <c r="B85" s="21" t="s">
        <v>183</v>
      </c>
      <c r="C85" s="21" t="s">
        <v>514</v>
      </c>
      <c r="D85" s="165">
        <v>1300000</v>
      </c>
      <c r="E85" s="21" t="s">
        <v>113</v>
      </c>
      <c r="F85" s="21" t="s">
        <v>300</v>
      </c>
      <c r="G85" s="8" t="str">
        <f t="shared" si="1"/>
        <v>LEVIN SCOTT</v>
      </c>
    </row>
    <row r="86" spans="1:7" x14ac:dyDescent="0.25">
      <c r="A86" s="8">
        <v>42710.391319444447</v>
      </c>
      <c r="B86" s="21" t="s">
        <v>286</v>
      </c>
      <c r="C86" s="21" t="s">
        <v>515</v>
      </c>
      <c r="D86" s="165">
        <v>2600000</v>
      </c>
      <c r="E86" s="21" t="s">
        <v>246</v>
      </c>
      <c r="F86" s="21" t="s">
        <v>298</v>
      </c>
      <c r="G86" s="8" t="str">
        <f t="shared" si="1"/>
        <v>DAVIDSON DAVID</v>
      </c>
    </row>
    <row r="87" spans="1:7" x14ac:dyDescent="0.25">
      <c r="A87" s="8">
        <v>42710.391793981478</v>
      </c>
      <c r="B87" s="21" t="s">
        <v>361</v>
      </c>
      <c r="C87" s="21" t="s">
        <v>434</v>
      </c>
      <c r="D87" s="165">
        <v>1100000</v>
      </c>
      <c r="E87" s="21" t="s">
        <v>469</v>
      </c>
      <c r="F87" s="21" t="s">
        <v>470</v>
      </c>
      <c r="G87" s="8" t="str">
        <f t="shared" si="1"/>
        <v>GEBRETEKLE DAGNEW</v>
      </c>
    </row>
    <row r="88" spans="1:7" x14ac:dyDescent="0.25">
      <c r="A88" s="8">
        <v>42710.400057870371</v>
      </c>
      <c r="B88" s="21" t="s">
        <v>251</v>
      </c>
      <c r="C88" s="21" t="s">
        <v>433</v>
      </c>
      <c r="D88" s="165">
        <v>1300000</v>
      </c>
      <c r="E88" s="21" t="s">
        <v>113</v>
      </c>
      <c r="F88" s="21" t="s">
        <v>300</v>
      </c>
      <c r="G88" s="8" t="str">
        <f t="shared" si="1"/>
        <v>LEVIN SCOTT</v>
      </c>
    </row>
    <row r="89" spans="1:7" x14ac:dyDescent="0.25">
      <c r="A89" s="8">
        <v>42710.40116898148</v>
      </c>
      <c r="B89" s="21" t="s">
        <v>307</v>
      </c>
      <c r="C89" s="21" t="s">
        <v>516</v>
      </c>
      <c r="D89" s="165">
        <v>2030000</v>
      </c>
      <c r="E89" s="21" t="s">
        <v>316</v>
      </c>
      <c r="F89" s="21" t="s">
        <v>298</v>
      </c>
      <c r="G89" s="8" t="str">
        <f t="shared" si="1"/>
        <v>KILLION DAVID</v>
      </c>
    </row>
    <row r="90" spans="1:7" x14ac:dyDescent="0.25">
      <c r="A90" s="8">
        <v>42710.403865740744</v>
      </c>
      <c r="B90" s="21" t="s">
        <v>309</v>
      </c>
      <c r="C90" s="21" t="s">
        <v>517</v>
      </c>
      <c r="D90" s="165">
        <v>2090000</v>
      </c>
      <c r="E90" s="21" t="s">
        <v>324</v>
      </c>
      <c r="F90" s="21" t="s">
        <v>297</v>
      </c>
      <c r="G90" s="8" t="str">
        <f t="shared" si="1"/>
        <v>HAITHCOX MICHAEL</v>
      </c>
    </row>
    <row r="91" spans="1:7" x14ac:dyDescent="0.25">
      <c r="A91" s="8">
        <v>42710.408564814818</v>
      </c>
      <c r="B91" s="21" t="s">
        <v>213</v>
      </c>
      <c r="C91" s="21" t="s">
        <v>518</v>
      </c>
      <c r="D91" s="165">
        <v>2630000</v>
      </c>
      <c r="E91" s="21" t="s">
        <v>247</v>
      </c>
      <c r="F91" s="21" t="s">
        <v>369</v>
      </c>
      <c r="G91" s="8" t="str">
        <f t="shared" si="1"/>
        <v>SAFIEF AEIMEN</v>
      </c>
    </row>
    <row r="92" spans="1:7" x14ac:dyDescent="0.25">
      <c r="A92" s="8">
        <v>42710.415393518517</v>
      </c>
      <c r="B92" s="21" t="s">
        <v>230</v>
      </c>
      <c r="C92" s="21" t="s">
        <v>519</v>
      </c>
      <c r="D92" s="165">
        <v>1990000</v>
      </c>
      <c r="E92" s="21" t="s">
        <v>367</v>
      </c>
      <c r="F92" s="21" t="s">
        <v>368</v>
      </c>
      <c r="G92" s="8" t="str">
        <f t="shared" si="1"/>
        <v>DAVIS WENDY</v>
      </c>
    </row>
    <row r="93" spans="1:7" x14ac:dyDescent="0.25">
      <c r="A93" s="8">
        <v>42710.415497685186</v>
      </c>
      <c r="B93" s="21" t="s">
        <v>288</v>
      </c>
      <c r="C93" s="21" t="s">
        <v>520</v>
      </c>
      <c r="D93" s="165">
        <v>2610000</v>
      </c>
      <c r="E93" s="21" t="s">
        <v>365</v>
      </c>
      <c r="F93" s="21" t="s">
        <v>366</v>
      </c>
      <c r="G93" s="8" t="str">
        <f t="shared" si="1"/>
        <v>MAGEE KENYA</v>
      </c>
    </row>
    <row r="94" spans="1:7" x14ac:dyDescent="0.25">
      <c r="A94" s="8">
        <v>42710.423692129632</v>
      </c>
      <c r="B94" s="21" t="s">
        <v>270</v>
      </c>
      <c r="C94" s="21" t="s">
        <v>521</v>
      </c>
      <c r="D94" s="165">
        <v>1100000</v>
      </c>
      <c r="E94" s="21" t="s">
        <v>469</v>
      </c>
      <c r="F94" s="21" t="s">
        <v>470</v>
      </c>
      <c r="G94" s="8" t="str">
        <f t="shared" si="1"/>
        <v>GEBRETEKLE DAGNEW</v>
      </c>
    </row>
    <row r="95" spans="1:7" x14ac:dyDescent="0.25">
      <c r="A95" s="8">
        <v>42710.424780092595</v>
      </c>
      <c r="B95" s="21" t="s">
        <v>283</v>
      </c>
      <c r="C95" s="21" t="s">
        <v>522</v>
      </c>
      <c r="D95" s="165">
        <v>2600000</v>
      </c>
      <c r="E95" s="21" t="s">
        <v>246</v>
      </c>
      <c r="F95" s="21" t="s">
        <v>298</v>
      </c>
      <c r="G95" s="8" t="str">
        <f t="shared" si="1"/>
        <v>DAVIDSON DAVID</v>
      </c>
    </row>
    <row r="96" spans="1:7" x14ac:dyDescent="0.25">
      <c r="A96" s="8">
        <v>42710.428425925929</v>
      </c>
      <c r="B96" s="21" t="s">
        <v>183</v>
      </c>
      <c r="C96" s="21" t="s">
        <v>435</v>
      </c>
      <c r="D96" s="165">
        <v>1300000</v>
      </c>
      <c r="E96" s="21" t="s">
        <v>113</v>
      </c>
      <c r="F96" s="21" t="s">
        <v>300</v>
      </c>
      <c r="G96" s="8" t="str">
        <f t="shared" si="1"/>
        <v>LEVIN SCOTT</v>
      </c>
    </row>
    <row r="97" spans="1:7" x14ac:dyDescent="0.25">
      <c r="A97" s="8">
        <v>42710.434317129628</v>
      </c>
      <c r="B97" s="21" t="s">
        <v>308</v>
      </c>
      <c r="C97" s="21" t="s">
        <v>436</v>
      </c>
      <c r="D97" s="165">
        <v>1110000</v>
      </c>
      <c r="E97" s="21" t="s">
        <v>336</v>
      </c>
      <c r="F97" s="21" t="s">
        <v>337</v>
      </c>
      <c r="G97" s="8" t="str">
        <f t="shared" si="1"/>
        <v>STARKS ANGELINA</v>
      </c>
    </row>
    <row r="98" spans="1:7" x14ac:dyDescent="0.25">
      <c r="A98" s="8">
        <v>42710.440787037034</v>
      </c>
      <c r="B98" s="21" t="s">
        <v>437</v>
      </c>
      <c r="C98" s="21" t="s">
        <v>438</v>
      </c>
      <c r="D98" s="165">
        <v>1280000</v>
      </c>
      <c r="E98" s="21" t="s">
        <v>320</v>
      </c>
      <c r="F98" s="21" t="s">
        <v>321</v>
      </c>
      <c r="G98" s="8" t="str">
        <f t="shared" si="1"/>
        <v>BARTLETT KIANDRA</v>
      </c>
    </row>
    <row r="99" spans="1:7" x14ac:dyDescent="0.25">
      <c r="A99" s="8">
        <v>42710.440925925926</v>
      </c>
      <c r="B99" s="21" t="s">
        <v>304</v>
      </c>
      <c r="C99" s="21" t="s">
        <v>523</v>
      </c>
      <c r="D99" s="165">
        <v>2090000</v>
      </c>
      <c r="E99" s="21" t="s">
        <v>324</v>
      </c>
      <c r="F99" s="21" t="s">
        <v>297</v>
      </c>
      <c r="G99" s="8" t="str">
        <f t="shared" si="1"/>
        <v>HAITHCOX MICHAEL</v>
      </c>
    </row>
    <row r="100" spans="1:7" x14ac:dyDescent="0.25">
      <c r="A100" s="8">
        <v>42710.442314814813</v>
      </c>
      <c r="B100" s="21" t="s">
        <v>251</v>
      </c>
      <c r="C100" s="21" t="s">
        <v>524</v>
      </c>
      <c r="D100" s="165">
        <v>1300000</v>
      </c>
      <c r="E100" s="21" t="s">
        <v>113</v>
      </c>
      <c r="F100" s="21" t="s">
        <v>300</v>
      </c>
      <c r="G100" s="8" t="str">
        <f t="shared" si="1"/>
        <v>LEVIN SCOTT</v>
      </c>
    </row>
    <row r="101" spans="1:7" x14ac:dyDescent="0.25">
      <c r="A101" s="8">
        <v>42710.445740740739</v>
      </c>
      <c r="B101" s="21" t="s">
        <v>206</v>
      </c>
      <c r="C101" s="21" t="s">
        <v>525</v>
      </c>
      <c r="D101" s="165">
        <v>900000</v>
      </c>
      <c r="E101" s="21" t="s">
        <v>475</v>
      </c>
      <c r="F101" s="21" t="s">
        <v>476</v>
      </c>
      <c r="G101" s="8" t="str">
        <f t="shared" si="1"/>
        <v>ROCHA YAOTL</v>
      </c>
    </row>
    <row r="102" spans="1:7" x14ac:dyDescent="0.25">
      <c r="A102" s="8">
        <v>42710.453182870369</v>
      </c>
      <c r="B102" s="21" t="s">
        <v>231</v>
      </c>
      <c r="C102" s="21" t="s">
        <v>526</v>
      </c>
      <c r="D102" s="165">
        <v>1990000</v>
      </c>
      <c r="E102" s="21" t="s">
        <v>367</v>
      </c>
      <c r="F102" s="21" t="s">
        <v>368</v>
      </c>
      <c r="G102" s="8" t="str">
        <f t="shared" si="1"/>
        <v>DAVIS WENDY</v>
      </c>
    </row>
    <row r="103" spans="1:7" x14ac:dyDescent="0.25">
      <c r="A103" s="8">
        <v>42710.455138888887</v>
      </c>
      <c r="B103" s="21" t="s">
        <v>184</v>
      </c>
      <c r="C103" s="21" t="s">
        <v>527</v>
      </c>
      <c r="D103" s="165">
        <v>1280000</v>
      </c>
      <c r="E103" s="21" t="s">
        <v>320</v>
      </c>
      <c r="F103" s="21" t="s">
        <v>321</v>
      </c>
      <c r="G103" s="8" t="str">
        <f t="shared" si="1"/>
        <v>BARTLETT KIANDRA</v>
      </c>
    </row>
    <row r="104" spans="1:7" x14ac:dyDescent="0.25">
      <c r="A104" s="8">
        <v>42710.458171296297</v>
      </c>
      <c r="B104" s="21" t="s">
        <v>370</v>
      </c>
      <c r="C104" s="21" t="s">
        <v>528</v>
      </c>
      <c r="D104" s="165">
        <v>1540000</v>
      </c>
      <c r="E104" s="21" t="s">
        <v>373</v>
      </c>
      <c r="F104" s="21" t="s">
        <v>374</v>
      </c>
      <c r="G104" s="8" t="str">
        <f t="shared" si="1"/>
        <v>HELVIE ADAM</v>
      </c>
    </row>
    <row r="105" spans="1:7" x14ac:dyDescent="0.25">
      <c r="A105" s="8">
        <v>42710.461469907408</v>
      </c>
      <c r="B105" s="21" t="s">
        <v>361</v>
      </c>
      <c r="C105" s="21" t="s">
        <v>529</v>
      </c>
      <c r="D105" s="165">
        <v>1100000</v>
      </c>
      <c r="E105" s="21" t="s">
        <v>469</v>
      </c>
      <c r="F105" s="21" t="s">
        <v>470</v>
      </c>
      <c r="G105" s="8" t="str">
        <f t="shared" si="1"/>
        <v>GEBRETEKLE DAGNEW</v>
      </c>
    </row>
    <row r="106" spans="1:7" x14ac:dyDescent="0.25">
      <c r="A106" s="8">
        <v>42710.464571759258</v>
      </c>
      <c r="B106" s="21" t="s">
        <v>286</v>
      </c>
      <c r="C106" s="21" t="s">
        <v>440</v>
      </c>
      <c r="D106" s="165">
        <v>880000</v>
      </c>
      <c r="E106" s="21" t="s">
        <v>319</v>
      </c>
      <c r="F106" s="21" t="s">
        <v>297</v>
      </c>
      <c r="G106" s="8" t="str">
        <f t="shared" si="1"/>
        <v>STEWART MICHAEL</v>
      </c>
    </row>
    <row r="107" spans="1:7" x14ac:dyDescent="0.25">
      <c r="A107" s="8">
        <v>42710.469166666669</v>
      </c>
      <c r="B107" s="21" t="s">
        <v>364</v>
      </c>
      <c r="C107" s="21" t="s">
        <v>530</v>
      </c>
      <c r="D107" s="165">
        <v>0</v>
      </c>
      <c r="E107" s="21" t="s">
        <v>531</v>
      </c>
      <c r="F107" s="21" t="s">
        <v>532</v>
      </c>
      <c r="G107" s="8" t="str">
        <f t="shared" si="1"/>
        <v>HAUSER FRANK</v>
      </c>
    </row>
    <row r="108" spans="1:7" x14ac:dyDescent="0.25">
      <c r="A108" s="8">
        <v>42710.471134259256</v>
      </c>
      <c r="B108" s="21" t="s">
        <v>183</v>
      </c>
      <c r="C108" s="21" t="s">
        <v>533</v>
      </c>
      <c r="D108" s="165">
        <v>2630000</v>
      </c>
      <c r="E108" s="21" t="s">
        <v>247</v>
      </c>
      <c r="F108" s="21" t="s">
        <v>369</v>
      </c>
      <c r="G108" s="8" t="str">
        <f t="shared" si="1"/>
        <v>SAFIEF AEIMEN</v>
      </c>
    </row>
    <row r="109" spans="1:7" x14ac:dyDescent="0.25">
      <c r="A109" s="8">
        <v>42710.484826388885</v>
      </c>
      <c r="B109" s="21" t="s">
        <v>237</v>
      </c>
      <c r="C109" s="21" t="s">
        <v>534</v>
      </c>
      <c r="D109" s="165">
        <v>1540000</v>
      </c>
      <c r="E109" s="21" t="s">
        <v>373</v>
      </c>
      <c r="F109" s="21" t="s">
        <v>374</v>
      </c>
      <c r="G109" s="8" t="str">
        <f t="shared" si="1"/>
        <v>HELVIE ADAM</v>
      </c>
    </row>
    <row r="110" spans="1:7" x14ac:dyDescent="0.25">
      <c r="A110" s="8">
        <v>42710.485335648147</v>
      </c>
      <c r="B110" s="21" t="s">
        <v>361</v>
      </c>
      <c r="C110" s="21" t="s">
        <v>535</v>
      </c>
      <c r="D110" s="165">
        <v>1100000</v>
      </c>
      <c r="E110" s="21" t="s">
        <v>469</v>
      </c>
      <c r="F110" s="21" t="s">
        <v>470</v>
      </c>
      <c r="G110" s="8" t="str">
        <f t="shared" si="1"/>
        <v>GEBRETEKLE DAGNEW</v>
      </c>
    </row>
    <row r="111" spans="1:7" x14ac:dyDescent="0.25">
      <c r="A111" s="8">
        <v>42710.486168981479</v>
      </c>
      <c r="B111" s="21" t="s">
        <v>361</v>
      </c>
      <c r="C111" s="21" t="s">
        <v>535</v>
      </c>
      <c r="D111" s="165">
        <v>1100000</v>
      </c>
      <c r="E111" s="21" t="s">
        <v>469</v>
      </c>
      <c r="F111" s="21" t="s">
        <v>470</v>
      </c>
      <c r="G111" s="8" t="str">
        <f t="shared" si="1"/>
        <v>GEBRETEKLE DAGNEW</v>
      </c>
    </row>
    <row r="112" spans="1:7" x14ac:dyDescent="0.25">
      <c r="A112" s="8">
        <v>42710.486307870371</v>
      </c>
      <c r="B112" s="21" t="s">
        <v>251</v>
      </c>
      <c r="C112" s="21" t="s">
        <v>439</v>
      </c>
      <c r="D112" s="165">
        <v>2630000</v>
      </c>
      <c r="E112" s="21" t="s">
        <v>247</v>
      </c>
      <c r="F112" s="21" t="s">
        <v>369</v>
      </c>
      <c r="G112" s="8" t="str">
        <f t="shared" si="1"/>
        <v>SAFIEF AEIMEN</v>
      </c>
    </row>
    <row r="113" spans="1:7" x14ac:dyDescent="0.25">
      <c r="A113" s="8">
        <v>42710.48773148148</v>
      </c>
      <c r="B113" s="21" t="s">
        <v>237</v>
      </c>
      <c r="C113" s="21" t="s">
        <v>534</v>
      </c>
      <c r="D113" s="165">
        <v>940000</v>
      </c>
      <c r="E113" s="21" t="s">
        <v>371</v>
      </c>
      <c r="F113" s="21" t="s">
        <v>372</v>
      </c>
      <c r="G113" s="8" t="str">
        <f t="shared" si="1"/>
        <v>BONDS REYNALDO</v>
      </c>
    </row>
    <row r="114" spans="1:7" x14ac:dyDescent="0.25">
      <c r="A114" s="8">
        <v>42710.489050925928</v>
      </c>
      <c r="B114" s="21" t="s">
        <v>237</v>
      </c>
      <c r="C114" s="21" t="s">
        <v>534</v>
      </c>
      <c r="D114" s="165">
        <v>940000</v>
      </c>
      <c r="E114" s="21" t="s">
        <v>371</v>
      </c>
      <c r="F114" s="21" t="s">
        <v>372</v>
      </c>
      <c r="G114" s="8" t="str">
        <f t="shared" si="1"/>
        <v>BONDS REYNALDO</v>
      </c>
    </row>
    <row r="115" spans="1:7" x14ac:dyDescent="0.25">
      <c r="A115" s="8">
        <v>42710.490104166667</v>
      </c>
      <c r="B115" s="21" t="s">
        <v>308</v>
      </c>
      <c r="C115" s="21" t="s">
        <v>536</v>
      </c>
      <c r="D115" s="165">
        <v>1110000</v>
      </c>
      <c r="E115" s="21" t="s">
        <v>336</v>
      </c>
      <c r="F115" s="21" t="s">
        <v>337</v>
      </c>
      <c r="G115" s="8" t="str">
        <f t="shared" si="1"/>
        <v>STARKS ANGELINA</v>
      </c>
    </row>
    <row r="116" spans="1:7" x14ac:dyDescent="0.25">
      <c r="A116" s="8">
        <v>42710.490868055553</v>
      </c>
      <c r="B116" s="21" t="s">
        <v>308</v>
      </c>
      <c r="C116" s="21" t="s">
        <v>436</v>
      </c>
      <c r="D116" s="165">
        <v>1110000</v>
      </c>
      <c r="E116" s="21" t="s">
        <v>336</v>
      </c>
      <c r="F116" s="21" t="s">
        <v>337</v>
      </c>
      <c r="G116" s="8" t="str">
        <f t="shared" si="1"/>
        <v>STARKS ANGELINA</v>
      </c>
    </row>
    <row r="117" spans="1:7" x14ac:dyDescent="0.25">
      <c r="A117" s="8">
        <v>42710.505891203706</v>
      </c>
      <c r="B117" s="21" t="s">
        <v>307</v>
      </c>
      <c r="C117" s="21" t="s">
        <v>537</v>
      </c>
      <c r="D117" s="165">
        <v>1110000</v>
      </c>
      <c r="E117" s="21" t="s">
        <v>336</v>
      </c>
      <c r="F117" s="21" t="s">
        <v>337</v>
      </c>
      <c r="G117" s="8" t="str">
        <f t="shared" si="1"/>
        <v>STARKS ANGELINA</v>
      </c>
    </row>
    <row r="118" spans="1:7" x14ac:dyDescent="0.25">
      <c r="A118" s="8">
        <v>42710.511944444443</v>
      </c>
      <c r="B118" s="21" t="s">
        <v>183</v>
      </c>
      <c r="C118" s="21" t="s">
        <v>538</v>
      </c>
      <c r="D118" s="165">
        <v>1300000</v>
      </c>
      <c r="E118" s="21" t="s">
        <v>113</v>
      </c>
      <c r="F118" s="21" t="s">
        <v>300</v>
      </c>
      <c r="G118" s="8" t="str">
        <f t="shared" si="1"/>
        <v>LEVIN SCOTT</v>
      </c>
    </row>
    <row r="119" spans="1:7" x14ac:dyDescent="0.25">
      <c r="A119" s="8">
        <v>42710.512361111112</v>
      </c>
      <c r="B119" s="21" t="s">
        <v>309</v>
      </c>
      <c r="C119" s="21" t="s">
        <v>539</v>
      </c>
      <c r="D119" s="165">
        <v>930000</v>
      </c>
      <c r="E119" s="21" t="s">
        <v>317</v>
      </c>
      <c r="F119" s="21" t="s">
        <v>318</v>
      </c>
      <c r="G119" s="8" t="str">
        <f t="shared" si="1"/>
        <v>CLARK KATHLEEN</v>
      </c>
    </row>
    <row r="120" spans="1:7" x14ac:dyDescent="0.25">
      <c r="A120" s="8">
        <v>42710.516122685185</v>
      </c>
      <c r="B120" s="21" t="s">
        <v>213</v>
      </c>
      <c r="C120" s="21" t="s">
        <v>540</v>
      </c>
      <c r="D120" s="165">
        <v>900000</v>
      </c>
      <c r="E120" s="21" t="s">
        <v>475</v>
      </c>
      <c r="F120" s="21" t="s">
        <v>476</v>
      </c>
      <c r="G120" s="8" t="str">
        <f t="shared" si="1"/>
        <v>ROCHA YAOTL</v>
      </c>
    </row>
    <row r="121" spans="1:7" x14ac:dyDescent="0.25">
      <c r="A121" s="8">
        <v>42710.517118055555</v>
      </c>
      <c r="B121" s="21" t="s">
        <v>288</v>
      </c>
      <c r="C121" s="21" t="s">
        <v>541</v>
      </c>
      <c r="D121" s="165">
        <v>1280000</v>
      </c>
      <c r="E121" s="21" t="s">
        <v>320</v>
      </c>
      <c r="F121" s="21" t="s">
        <v>321</v>
      </c>
      <c r="G121" s="8" t="str">
        <f t="shared" si="1"/>
        <v>BARTLETT KIANDRA</v>
      </c>
    </row>
    <row r="122" spans="1:7" x14ac:dyDescent="0.25">
      <c r="A122" s="8">
        <v>42710.520416666666</v>
      </c>
      <c r="B122" s="26" t="s">
        <v>309</v>
      </c>
      <c r="C122" s="21" t="s">
        <v>539</v>
      </c>
      <c r="D122" s="165">
        <v>930000</v>
      </c>
      <c r="E122" s="21" t="s">
        <v>317</v>
      </c>
      <c r="F122" s="21" t="s">
        <v>318</v>
      </c>
      <c r="G122" s="8" t="str">
        <f t="shared" si="1"/>
        <v>CLARK KATHLEEN</v>
      </c>
    </row>
    <row r="123" spans="1:7" x14ac:dyDescent="0.25">
      <c r="A123" s="8">
        <v>42710.521099537036</v>
      </c>
      <c r="B123" s="21" t="s">
        <v>309</v>
      </c>
      <c r="C123" s="21" t="s">
        <v>539</v>
      </c>
      <c r="D123" s="165">
        <v>930000</v>
      </c>
      <c r="E123" s="21" t="s">
        <v>317</v>
      </c>
      <c r="F123" s="21" t="s">
        <v>318</v>
      </c>
      <c r="G123" s="8" t="str">
        <f t="shared" si="1"/>
        <v>CLARK KATHLEEN</v>
      </c>
    </row>
    <row r="124" spans="1:7" x14ac:dyDescent="0.25">
      <c r="A124" s="8">
        <v>42710.522696759261</v>
      </c>
      <c r="B124" s="21" t="s">
        <v>270</v>
      </c>
      <c r="C124" s="21" t="s">
        <v>542</v>
      </c>
      <c r="D124" s="165">
        <v>1740000</v>
      </c>
      <c r="E124" s="21" t="s">
        <v>543</v>
      </c>
      <c r="F124" s="21" t="s">
        <v>544</v>
      </c>
      <c r="G124" s="8" t="str">
        <f t="shared" si="1"/>
        <v>STORY SAMANTHA</v>
      </c>
    </row>
    <row r="125" spans="1:7" x14ac:dyDescent="0.25">
      <c r="A125" s="8">
        <v>42710.52548611111</v>
      </c>
      <c r="B125" s="21" t="s">
        <v>251</v>
      </c>
      <c r="C125" s="21" t="s">
        <v>545</v>
      </c>
      <c r="D125" s="165">
        <v>1300000</v>
      </c>
      <c r="E125" s="21" t="s">
        <v>113</v>
      </c>
      <c r="F125" s="21" t="s">
        <v>300</v>
      </c>
      <c r="G125" s="8" t="str">
        <f t="shared" si="1"/>
        <v>LEVIN SCOTT</v>
      </c>
    </row>
    <row r="126" spans="1:7" x14ac:dyDescent="0.25">
      <c r="A126" s="8">
        <v>42710.525775462964</v>
      </c>
      <c r="B126" s="21" t="s">
        <v>309</v>
      </c>
      <c r="C126" s="21" t="s">
        <v>539</v>
      </c>
      <c r="D126" s="165">
        <v>930000</v>
      </c>
      <c r="E126" s="21" t="s">
        <v>317</v>
      </c>
      <c r="F126" s="21" t="s">
        <v>318</v>
      </c>
      <c r="G126" s="8" t="str">
        <f t="shared" si="1"/>
        <v>CLARK KATHLEEN</v>
      </c>
    </row>
    <row r="127" spans="1:7" x14ac:dyDescent="0.25">
      <c r="A127" s="8">
        <v>42710.535925925928</v>
      </c>
      <c r="B127" s="21" t="s">
        <v>283</v>
      </c>
      <c r="C127" s="21" t="s">
        <v>546</v>
      </c>
      <c r="D127" s="165">
        <v>880000</v>
      </c>
      <c r="E127" s="21" t="s">
        <v>319</v>
      </c>
      <c r="F127" s="21" t="s">
        <v>297</v>
      </c>
      <c r="G127" s="8" t="str">
        <f t="shared" si="1"/>
        <v>STEWART MICHAEL</v>
      </c>
    </row>
    <row r="128" spans="1:7" x14ac:dyDescent="0.25">
      <c r="A128" s="8">
        <v>42710.538078703707</v>
      </c>
      <c r="B128" s="21" t="s">
        <v>283</v>
      </c>
      <c r="C128" s="21" t="s">
        <v>546</v>
      </c>
      <c r="D128" s="165">
        <v>880000</v>
      </c>
      <c r="E128" s="21" t="s">
        <v>319</v>
      </c>
      <c r="F128" s="21" t="s">
        <v>297</v>
      </c>
      <c r="G128" s="8" t="str">
        <f t="shared" si="1"/>
        <v>STEWART MICHAEL</v>
      </c>
    </row>
    <row r="129" spans="1:7" x14ac:dyDescent="0.25">
      <c r="A129" s="8">
        <v>42710.538391203707</v>
      </c>
      <c r="B129" s="21" t="s">
        <v>308</v>
      </c>
      <c r="C129" s="21" t="s">
        <v>547</v>
      </c>
      <c r="D129" s="165">
        <v>1540000</v>
      </c>
      <c r="E129" s="21" t="s">
        <v>373</v>
      </c>
      <c r="F129" s="21" t="s">
        <v>374</v>
      </c>
      <c r="G129" s="8" t="str">
        <f t="shared" si="1"/>
        <v>HELVIE ADAM</v>
      </c>
    </row>
    <row r="130" spans="1:7" x14ac:dyDescent="0.25">
      <c r="A130" s="8">
        <v>42710.54414351852</v>
      </c>
      <c r="B130" s="21" t="s">
        <v>255</v>
      </c>
      <c r="C130" s="21" t="s">
        <v>548</v>
      </c>
      <c r="D130" s="165">
        <v>940000</v>
      </c>
      <c r="E130" s="21" t="s">
        <v>371</v>
      </c>
      <c r="F130" s="21" t="s">
        <v>372</v>
      </c>
      <c r="G130" s="8" t="str">
        <f t="shared" si="1"/>
        <v>BONDS REYNALDO</v>
      </c>
    </row>
    <row r="131" spans="1:7" x14ac:dyDescent="0.25">
      <c r="A131" s="8">
        <v>42710.545613425929</v>
      </c>
      <c r="B131" s="21" t="s">
        <v>255</v>
      </c>
      <c r="C131" s="21" t="s">
        <v>548</v>
      </c>
      <c r="D131" s="165">
        <v>940000</v>
      </c>
      <c r="E131" s="21" t="s">
        <v>371</v>
      </c>
      <c r="F131" s="21" t="s">
        <v>372</v>
      </c>
      <c r="G131" s="8" t="str">
        <f t="shared" ref="G131:G194" si="2">E131&amp;" "&amp;F131</f>
        <v>BONDS REYNALDO</v>
      </c>
    </row>
    <row r="132" spans="1:7" x14ac:dyDescent="0.25">
      <c r="A132" s="8">
        <v>42710.546307870369</v>
      </c>
      <c r="B132" s="21" t="s">
        <v>306</v>
      </c>
      <c r="C132" s="21" t="s">
        <v>549</v>
      </c>
      <c r="D132" s="165">
        <v>1110000</v>
      </c>
      <c r="E132" s="21" t="s">
        <v>336</v>
      </c>
      <c r="F132" s="21" t="s">
        <v>337</v>
      </c>
      <c r="G132" s="8" t="str">
        <f t="shared" si="2"/>
        <v>STARKS ANGELINA</v>
      </c>
    </row>
    <row r="133" spans="1:7" x14ac:dyDescent="0.25">
      <c r="A133" s="8">
        <v>42710.546585648146</v>
      </c>
      <c r="B133" s="21" t="s">
        <v>206</v>
      </c>
      <c r="C133" s="21" t="s">
        <v>550</v>
      </c>
      <c r="D133" s="165">
        <v>2280000</v>
      </c>
      <c r="E133" s="21" t="s">
        <v>551</v>
      </c>
      <c r="F133" s="21" t="s">
        <v>552</v>
      </c>
      <c r="G133" s="8" t="str">
        <f t="shared" si="2"/>
        <v>MAHAN DUANE</v>
      </c>
    </row>
    <row r="134" spans="1:7" x14ac:dyDescent="0.25">
      <c r="A134" s="8">
        <v>42710.547615740739</v>
      </c>
      <c r="B134" s="21" t="s">
        <v>183</v>
      </c>
      <c r="C134" s="21" t="s">
        <v>553</v>
      </c>
      <c r="D134" s="165">
        <v>1770000</v>
      </c>
      <c r="E134" s="21" t="s">
        <v>322</v>
      </c>
      <c r="F134" s="21" t="s">
        <v>323</v>
      </c>
      <c r="G134" s="8" t="str">
        <f t="shared" si="2"/>
        <v>BRUDER RICHARD</v>
      </c>
    </row>
    <row r="135" spans="1:7" x14ac:dyDescent="0.25">
      <c r="A135" s="8">
        <v>42710.549513888887</v>
      </c>
      <c r="B135" s="21" t="s">
        <v>239</v>
      </c>
      <c r="C135" s="21" t="s">
        <v>554</v>
      </c>
      <c r="D135" s="165">
        <v>900000</v>
      </c>
      <c r="E135" s="21" t="s">
        <v>475</v>
      </c>
      <c r="F135" s="21" t="s">
        <v>476</v>
      </c>
      <c r="G135" s="8" t="str">
        <f t="shared" si="2"/>
        <v>ROCHA YAOTL</v>
      </c>
    </row>
    <row r="136" spans="1:7" x14ac:dyDescent="0.25">
      <c r="A136" s="8">
        <v>42710.555995370371</v>
      </c>
      <c r="B136" s="21" t="s">
        <v>304</v>
      </c>
      <c r="C136" s="21" t="s">
        <v>555</v>
      </c>
      <c r="D136" s="165">
        <v>930000</v>
      </c>
      <c r="E136" s="21" t="s">
        <v>317</v>
      </c>
      <c r="F136" s="21" t="s">
        <v>318</v>
      </c>
      <c r="G136" s="8" t="str">
        <f t="shared" si="2"/>
        <v>CLARK KATHLEEN</v>
      </c>
    </row>
    <row r="137" spans="1:7" x14ac:dyDescent="0.25">
      <c r="A137" s="8">
        <v>42710.559062499997</v>
      </c>
      <c r="B137" s="21" t="s">
        <v>184</v>
      </c>
      <c r="C137" s="21" t="s">
        <v>556</v>
      </c>
      <c r="D137" s="165">
        <v>1280000</v>
      </c>
      <c r="E137" s="21" t="s">
        <v>320</v>
      </c>
      <c r="F137" s="21" t="s">
        <v>321</v>
      </c>
      <c r="G137" s="8" t="str">
        <f t="shared" si="2"/>
        <v>BARTLETT KIANDRA</v>
      </c>
    </row>
    <row r="138" spans="1:7" x14ac:dyDescent="0.25">
      <c r="A138" s="8">
        <v>42710.559224537035</v>
      </c>
      <c r="B138" s="21" t="s">
        <v>361</v>
      </c>
      <c r="C138" s="21" t="s">
        <v>557</v>
      </c>
      <c r="D138" s="165">
        <v>1740000</v>
      </c>
      <c r="E138" s="21" t="s">
        <v>543</v>
      </c>
      <c r="F138" s="21" t="s">
        <v>544</v>
      </c>
      <c r="G138" s="8" t="str">
        <f t="shared" si="2"/>
        <v>STORY SAMANTHA</v>
      </c>
    </row>
    <row r="139" spans="1:7" x14ac:dyDescent="0.25">
      <c r="A139" s="8">
        <v>42710.566076388888</v>
      </c>
      <c r="B139" s="21" t="s">
        <v>361</v>
      </c>
      <c r="C139" s="21" t="s">
        <v>557</v>
      </c>
      <c r="D139" s="165">
        <v>1740000</v>
      </c>
      <c r="E139" s="21" t="s">
        <v>543</v>
      </c>
      <c r="F139" s="21" t="s">
        <v>544</v>
      </c>
      <c r="G139" s="8" t="str">
        <f t="shared" si="2"/>
        <v>STORY SAMANTHA</v>
      </c>
    </row>
    <row r="140" spans="1:7" x14ac:dyDescent="0.25">
      <c r="A140" s="8">
        <v>42710.567662037036</v>
      </c>
      <c r="B140" s="21" t="s">
        <v>361</v>
      </c>
      <c r="C140" s="21" t="s">
        <v>557</v>
      </c>
      <c r="D140" s="165">
        <v>1740000</v>
      </c>
      <c r="E140" s="21" t="s">
        <v>543</v>
      </c>
      <c r="F140" s="21" t="s">
        <v>544</v>
      </c>
      <c r="G140" s="8" t="str">
        <f t="shared" si="2"/>
        <v>STORY SAMANTHA</v>
      </c>
    </row>
    <row r="141" spans="1:7" x14ac:dyDescent="0.25">
      <c r="A141" s="8">
        <v>42710.569236111114</v>
      </c>
      <c r="B141" s="21" t="s">
        <v>251</v>
      </c>
      <c r="C141" s="21" t="s">
        <v>441</v>
      </c>
      <c r="D141" s="165">
        <v>1770000</v>
      </c>
      <c r="E141" s="21" t="s">
        <v>322</v>
      </c>
      <c r="F141" s="21" t="s">
        <v>323</v>
      </c>
      <c r="G141" s="8" t="str">
        <f t="shared" si="2"/>
        <v>BRUDER RICHARD</v>
      </c>
    </row>
    <row r="142" spans="1:7" x14ac:dyDescent="0.25">
      <c r="A142" s="8">
        <v>42710.569953703707</v>
      </c>
      <c r="B142" s="21" t="s">
        <v>286</v>
      </c>
      <c r="C142" s="21" t="s">
        <v>558</v>
      </c>
      <c r="D142" s="165">
        <v>880000</v>
      </c>
      <c r="E142" s="21" t="s">
        <v>319</v>
      </c>
      <c r="F142" s="21" t="s">
        <v>297</v>
      </c>
      <c r="G142" s="8" t="str">
        <f t="shared" si="2"/>
        <v>STEWART MICHAEL</v>
      </c>
    </row>
    <row r="143" spans="1:7" x14ac:dyDescent="0.25">
      <c r="A143" s="8">
        <v>42710.575381944444</v>
      </c>
      <c r="B143" s="21" t="s">
        <v>184</v>
      </c>
      <c r="C143" s="21" t="s">
        <v>556</v>
      </c>
      <c r="D143" s="165">
        <v>1280000</v>
      </c>
      <c r="E143" s="21" t="s">
        <v>320</v>
      </c>
      <c r="F143" s="21" t="s">
        <v>321</v>
      </c>
      <c r="G143" s="8" t="str">
        <f t="shared" si="2"/>
        <v>BARTLETT KIANDRA</v>
      </c>
    </row>
    <row r="144" spans="1:7" x14ac:dyDescent="0.25">
      <c r="A144" s="8">
        <v>42710.577604166669</v>
      </c>
      <c r="B144" s="21" t="s">
        <v>237</v>
      </c>
      <c r="C144" s="21" t="s">
        <v>559</v>
      </c>
      <c r="D144" s="165">
        <v>940000</v>
      </c>
      <c r="E144" s="21" t="s">
        <v>371</v>
      </c>
      <c r="F144" s="21" t="s">
        <v>372</v>
      </c>
      <c r="G144" s="8" t="str">
        <f t="shared" si="2"/>
        <v>BONDS REYNALDO</v>
      </c>
    </row>
    <row r="145" spans="1:7" x14ac:dyDescent="0.25">
      <c r="A145" s="8">
        <v>42710.578067129631</v>
      </c>
      <c r="B145" s="21" t="s">
        <v>307</v>
      </c>
      <c r="C145" s="21" t="s">
        <v>560</v>
      </c>
      <c r="D145" s="165">
        <v>1540000</v>
      </c>
      <c r="E145" s="21" t="s">
        <v>373</v>
      </c>
      <c r="F145" s="21" t="s">
        <v>374</v>
      </c>
      <c r="G145" s="8" t="str">
        <f t="shared" si="2"/>
        <v>HELVIE ADAM</v>
      </c>
    </row>
    <row r="146" spans="1:7" x14ac:dyDescent="0.25">
      <c r="A146" s="8">
        <v>42710.580810185187</v>
      </c>
      <c r="B146" s="21" t="s">
        <v>305</v>
      </c>
      <c r="C146" s="21" t="s">
        <v>561</v>
      </c>
      <c r="D146" s="165">
        <v>2370000</v>
      </c>
      <c r="E146" s="21" t="s">
        <v>376</v>
      </c>
      <c r="F146" s="21" t="s">
        <v>377</v>
      </c>
      <c r="G146" s="8" t="str">
        <f t="shared" si="2"/>
        <v>DELGADO DIANAH</v>
      </c>
    </row>
    <row r="147" spans="1:7" x14ac:dyDescent="0.25">
      <c r="A147" s="8">
        <v>42710.585810185185</v>
      </c>
      <c r="B147" s="21" t="s">
        <v>213</v>
      </c>
      <c r="C147" s="21" t="s">
        <v>562</v>
      </c>
      <c r="D147" s="165">
        <v>2280000</v>
      </c>
      <c r="E147" s="21" t="s">
        <v>551</v>
      </c>
      <c r="F147" s="21" t="s">
        <v>552</v>
      </c>
      <c r="G147" s="8" t="str">
        <f t="shared" si="2"/>
        <v>MAHAN DUANE</v>
      </c>
    </row>
    <row r="148" spans="1:7" x14ac:dyDescent="0.25">
      <c r="A148" s="8">
        <v>42710.591689814813</v>
      </c>
      <c r="B148" s="21" t="s">
        <v>288</v>
      </c>
      <c r="C148" s="21" t="s">
        <v>442</v>
      </c>
      <c r="D148" s="165">
        <v>1280000</v>
      </c>
      <c r="E148" s="21" t="s">
        <v>320</v>
      </c>
      <c r="F148" s="21" t="s">
        <v>321</v>
      </c>
      <c r="G148" s="8" t="str">
        <f t="shared" si="2"/>
        <v>BARTLETT KIANDRA</v>
      </c>
    </row>
    <row r="149" spans="1:7" x14ac:dyDescent="0.25">
      <c r="A149" s="8">
        <v>42710.592465277776</v>
      </c>
      <c r="B149" s="21" t="s">
        <v>309</v>
      </c>
      <c r="C149" s="21" t="s">
        <v>563</v>
      </c>
      <c r="D149" s="165">
        <v>930000</v>
      </c>
      <c r="E149" s="21" t="s">
        <v>317</v>
      </c>
      <c r="F149" s="21" t="s">
        <v>318</v>
      </c>
      <c r="G149" s="8" t="str">
        <f t="shared" si="2"/>
        <v>CLARK KATHLEEN</v>
      </c>
    </row>
    <row r="150" spans="1:7" x14ac:dyDescent="0.25">
      <c r="A150" s="8">
        <v>42710.593460648146</v>
      </c>
      <c r="B150" s="21" t="s">
        <v>183</v>
      </c>
      <c r="C150" s="21" t="s">
        <v>564</v>
      </c>
      <c r="D150" s="165">
        <v>1770000</v>
      </c>
      <c r="E150" s="21" t="s">
        <v>322</v>
      </c>
      <c r="F150" s="21" t="s">
        <v>323</v>
      </c>
      <c r="G150" s="8" t="str">
        <f t="shared" si="2"/>
        <v>BRUDER RICHARD</v>
      </c>
    </row>
    <row r="151" spans="1:7" x14ac:dyDescent="0.25">
      <c r="A151" s="8">
        <v>42710.595370370371</v>
      </c>
      <c r="B151" s="21" t="s">
        <v>306</v>
      </c>
      <c r="C151" s="21" t="s">
        <v>561</v>
      </c>
      <c r="D151" s="165">
        <v>2370000</v>
      </c>
      <c r="E151" s="21" t="s">
        <v>376</v>
      </c>
      <c r="F151" s="21" t="s">
        <v>377</v>
      </c>
      <c r="G151" s="8" t="str">
        <f t="shared" si="2"/>
        <v>DELGADO DIANAH</v>
      </c>
    </row>
    <row r="152" spans="1:7" x14ac:dyDescent="0.25">
      <c r="A152" s="8">
        <v>42710.601597222223</v>
      </c>
      <c r="B152" s="21" t="s">
        <v>270</v>
      </c>
      <c r="C152" s="21" t="s">
        <v>443</v>
      </c>
      <c r="D152" s="165">
        <v>1740000</v>
      </c>
      <c r="E152" s="21" t="s">
        <v>543</v>
      </c>
      <c r="F152" s="21" t="s">
        <v>544</v>
      </c>
      <c r="G152" s="8" t="str">
        <f t="shared" si="2"/>
        <v>STORY SAMANTHA</v>
      </c>
    </row>
    <row r="153" spans="1:7" x14ac:dyDescent="0.25">
      <c r="A153" s="8">
        <v>42710.609571759262</v>
      </c>
      <c r="B153" s="21" t="s">
        <v>283</v>
      </c>
      <c r="C153" s="21" t="s">
        <v>565</v>
      </c>
      <c r="D153" s="165">
        <v>880000</v>
      </c>
      <c r="E153" s="21" t="s">
        <v>319</v>
      </c>
      <c r="F153" s="21" t="s">
        <v>297</v>
      </c>
      <c r="G153" s="8" t="str">
        <f t="shared" si="2"/>
        <v>STEWART MICHAEL</v>
      </c>
    </row>
    <row r="154" spans="1:7" x14ac:dyDescent="0.25">
      <c r="A154" s="8">
        <v>42710.611203703702</v>
      </c>
      <c r="B154" s="21" t="s">
        <v>251</v>
      </c>
      <c r="C154" s="21" t="s">
        <v>566</v>
      </c>
      <c r="D154" s="165">
        <v>1770000</v>
      </c>
      <c r="E154" s="21" t="s">
        <v>322</v>
      </c>
      <c r="F154" s="21" t="s">
        <v>323</v>
      </c>
      <c r="G154" s="8" t="str">
        <f t="shared" si="2"/>
        <v>BRUDER RICHARD</v>
      </c>
    </row>
    <row r="155" spans="1:7" x14ac:dyDescent="0.25">
      <c r="A155" s="8">
        <v>42710.612847222219</v>
      </c>
      <c r="B155" s="21" t="s">
        <v>308</v>
      </c>
      <c r="C155" s="21" t="s">
        <v>567</v>
      </c>
      <c r="D155" s="165">
        <v>1540000</v>
      </c>
      <c r="E155" s="21" t="s">
        <v>373</v>
      </c>
      <c r="F155" s="21" t="s">
        <v>374</v>
      </c>
      <c r="G155" s="8" t="str">
        <f t="shared" si="2"/>
        <v>HELVIE ADAM</v>
      </c>
    </row>
    <row r="156" spans="1:7" x14ac:dyDescent="0.25">
      <c r="A156" s="8">
        <v>42710.616712962961</v>
      </c>
      <c r="B156" s="21" t="s">
        <v>305</v>
      </c>
      <c r="C156" s="21" t="s">
        <v>561</v>
      </c>
      <c r="D156" s="165">
        <v>2370000</v>
      </c>
      <c r="E156" s="21" t="s">
        <v>376</v>
      </c>
      <c r="F156" s="21" t="s">
        <v>377</v>
      </c>
      <c r="G156" s="8" t="str">
        <f t="shared" si="2"/>
        <v>DELGADO DIANAH</v>
      </c>
    </row>
    <row r="157" spans="1:7" x14ac:dyDescent="0.25">
      <c r="A157" s="8">
        <v>42710.617337962962</v>
      </c>
      <c r="B157" s="21" t="s">
        <v>255</v>
      </c>
      <c r="C157" s="21" t="s">
        <v>568</v>
      </c>
      <c r="D157" s="165">
        <v>940000</v>
      </c>
      <c r="E157" s="21" t="s">
        <v>371</v>
      </c>
      <c r="F157" s="21" t="s">
        <v>372</v>
      </c>
      <c r="G157" s="8" t="str">
        <f t="shared" si="2"/>
        <v>BONDS REYNALDO</v>
      </c>
    </row>
    <row r="158" spans="1:7" x14ac:dyDescent="0.25">
      <c r="A158" s="8">
        <v>42710.621863425928</v>
      </c>
      <c r="B158" s="21" t="s">
        <v>206</v>
      </c>
      <c r="C158" s="21" t="s">
        <v>569</v>
      </c>
      <c r="D158" s="165">
        <v>2280000</v>
      </c>
      <c r="E158" s="21" t="s">
        <v>551</v>
      </c>
      <c r="F158" s="21" t="s">
        <v>552</v>
      </c>
      <c r="G158" s="8" t="str">
        <f t="shared" si="2"/>
        <v>MAHAN DUANE</v>
      </c>
    </row>
    <row r="159" spans="1:7" x14ac:dyDescent="0.25">
      <c r="A159" s="8">
        <v>42710.625578703701</v>
      </c>
      <c r="B159" s="21" t="s">
        <v>304</v>
      </c>
      <c r="C159" s="21" t="s">
        <v>570</v>
      </c>
      <c r="D159" s="165">
        <v>930000</v>
      </c>
      <c r="E159" s="21" t="s">
        <v>317</v>
      </c>
      <c r="F159" s="21" t="s">
        <v>318</v>
      </c>
      <c r="G159" s="8" t="str">
        <f t="shared" si="2"/>
        <v>CLARK KATHLEEN</v>
      </c>
    </row>
    <row r="160" spans="1:7" x14ac:dyDescent="0.25">
      <c r="A160" s="8">
        <v>42710.633310185185</v>
      </c>
      <c r="B160" s="21" t="s">
        <v>230</v>
      </c>
      <c r="C160" s="21" t="s">
        <v>571</v>
      </c>
      <c r="D160" s="165">
        <v>1280000</v>
      </c>
      <c r="E160" s="21" t="s">
        <v>320</v>
      </c>
      <c r="F160" s="21" t="s">
        <v>321</v>
      </c>
      <c r="G160" s="8" t="str">
        <f t="shared" si="2"/>
        <v>BARTLETT KIANDRA</v>
      </c>
    </row>
    <row r="161" spans="1:7" x14ac:dyDescent="0.25">
      <c r="A161" s="8">
        <v>42710.636423611111</v>
      </c>
      <c r="B161" s="21" t="s">
        <v>183</v>
      </c>
      <c r="C161" s="21" t="s">
        <v>572</v>
      </c>
      <c r="D161" s="165">
        <v>1770000</v>
      </c>
      <c r="E161" s="21" t="s">
        <v>322</v>
      </c>
      <c r="F161" s="21" t="s">
        <v>323</v>
      </c>
      <c r="G161" s="8" t="str">
        <f t="shared" si="2"/>
        <v>BRUDER RICHARD</v>
      </c>
    </row>
    <row r="162" spans="1:7" x14ac:dyDescent="0.25">
      <c r="A162" s="8">
        <v>42710.640393518515</v>
      </c>
      <c r="B162" s="21" t="s">
        <v>361</v>
      </c>
      <c r="C162" s="21" t="s">
        <v>573</v>
      </c>
      <c r="D162" s="165">
        <v>1740000</v>
      </c>
      <c r="E162" s="21" t="s">
        <v>543</v>
      </c>
      <c r="F162" s="21" t="s">
        <v>544</v>
      </c>
      <c r="G162" s="8" t="str">
        <f t="shared" si="2"/>
        <v>STORY SAMANTHA</v>
      </c>
    </row>
    <row r="163" spans="1:7" x14ac:dyDescent="0.25">
      <c r="A163" s="8">
        <v>42710.642268518517</v>
      </c>
      <c r="B163" s="21" t="s">
        <v>287</v>
      </c>
      <c r="C163" s="21" t="s">
        <v>444</v>
      </c>
      <c r="D163" s="165">
        <v>2000000</v>
      </c>
      <c r="E163" s="21" t="s">
        <v>212</v>
      </c>
      <c r="F163" s="21" t="s">
        <v>301</v>
      </c>
      <c r="G163" s="8" t="str">
        <f t="shared" si="2"/>
        <v>STAMBAUGH JAMES</v>
      </c>
    </row>
    <row r="164" spans="1:7" x14ac:dyDescent="0.25">
      <c r="A164" s="8">
        <v>42710.64366898148</v>
      </c>
      <c r="B164" s="21" t="s">
        <v>286</v>
      </c>
      <c r="C164" s="21" t="s">
        <v>565</v>
      </c>
      <c r="D164" s="165">
        <v>880000</v>
      </c>
      <c r="E164" s="21" t="s">
        <v>319</v>
      </c>
      <c r="F164" s="21" t="s">
        <v>297</v>
      </c>
      <c r="G164" s="8" t="str">
        <f t="shared" si="2"/>
        <v>STEWART MICHAEL</v>
      </c>
    </row>
    <row r="165" spans="1:7" x14ac:dyDescent="0.25">
      <c r="A165" s="8">
        <v>42710.645243055558</v>
      </c>
      <c r="B165" s="21" t="s">
        <v>286</v>
      </c>
      <c r="C165" s="21" t="s">
        <v>574</v>
      </c>
      <c r="D165" s="165">
        <v>880000</v>
      </c>
      <c r="E165" s="21" t="s">
        <v>319</v>
      </c>
      <c r="F165" s="21" t="s">
        <v>297</v>
      </c>
      <c r="G165" s="8" t="str">
        <f t="shared" si="2"/>
        <v>STEWART MICHAEL</v>
      </c>
    </row>
    <row r="166" spans="1:7" x14ac:dyDescent="0.25">
      <c r="A166" s="8">
        <v>42710.649942129632</v>
      </c>
      <c r="B166" s="21" t="s">
        <v>217</v>
      </c>
      <c r="C166" s="21" t="s">
        <v>575</v>
      </c>
      <c r="D166" s="165">
        <v>2000000</v>
      </c>
      <c r="E166" s="21" t="s">
        <v>212</v>
      </c>
      <c r="F166" s="21" t="s">
        <v>301</v>
      </c>
      <c r="G166" s="8" t="str">
        <f t="shared" si="2"/>
        <v>STAMBAUGH JAMES</v>
      </c>
    </row>
    <row r="167" spans="1:7" x14ac:dyDescent="0.25">
      <c r="A167" s="8">
        <v>42710.650358796294</v>
      </c>
      <c r="B167" s="21" t="s">
        <v>307</v>
      </c>
      <c r="C167" s="21" t="s">
        <v>576</v>
      </c>
      <c r="D167" s="165">
        <v>1540000</v>
      </c>
      <c r="E167" s="21" t="s">
        <v>373</v>
      </c>
      <c r="F167" s="21" t="s">
        <v>374</v>
      </c>
      <c r="G167" s="8" t="str">
        <f t="shared" si="2"/>
        <v>HELVIE ADAM</v>
      </c>
    </row>
    <row r="168" spans="1:7" x14ac:dyDescent="0.25">
      <c r="A168" s="8">
        <v>42710.651365740741</v>
      </c>
      <c r="B168" s="21" t="s">
        <v>251</v>
      </c>
      <c r="C168" s="21" t="s">
        <v>577</v>
      </c>
      <c r="D168" s="165">
        <v>1770000</v>
      </c>
      <c r="E168" s="21" t="s">
        <v>322</v>
      </c>
      <c r="F168" s="21" t="s">
        <v>323</v>
      </c>
      <c r="G168" s="8" t="str">
        <f t="shared" si="2"/>
        <v>BRUDER RICHARD</v>
      </c>
    </row>
    <row r="169" spans="1:7" x14ac:dyDescent="0.25">
      <c r="A169" s="8">
        <v>42710.65179398148</v>
      </c>
      <c r="B169" s="21" t="s">
        <v>237</v>
      </c>
      <c r="C169" s="21" t="s">
        <v>578</v>
      </c>
      <c r="D169" s="165">
        <v>940000</v>
      </c>
      <c r="E169" s="21" t="s">
        <v>371</v>
      </c>
      <c r="F169" s="21" t="s">
        <v>372</v>
      </c>
      <c r="G169" s="8" t="str">
        <f t="shared" si="2"/>
        <v>BONDS REYNALDO</v>
      </c>
    </row>
    <row r="170" spans="1:7" x14ac:dyDescent="0.25">
      <c r="A170" s="8">
        <v>42710.657789351855</v>
      </c>
      <c r="B170" s="21" t="s">
        <v>213</v>
      </c>
      <c r="C170" s="21" t="s">
        <v>579</v>
      </c>
      <c r="D170" s="165">
        <v>2280000</v>
      </c>
      <c r="E170" s="21" t="s">
        <v>551</v>
      </c>
      <c r="F170" s="21" t="s">
        <v>552</v>
      </c>
      <c r="G170" s="8" t="str">
        <f t="shared" si="2"/>
        <v>MAHAN DUANE</v>
      </c>
    </row>
    <row r="171" spans="1:7" x14ac:dyDescent="0.25">
      <c r="A171" s="8">
        <v>42710.663622685184</v>
      </c>
      <c r="B171" s="21" t="s">
        <v>231</v>
      </c>
      <c r="C171" s="21" t="s">
        <v>580</v>
      </c>
      <c r="D171" s="165">
        <v>1280000</v>
      </c>
      <c r="E171" s="21" t="s">
        <v>320</v>
      </c>
      <c r="F171" s="21" t="s">
        <v>321</v>
      </c>
      <c r="G171" s="8" t="str">
        <f t="shared" si="2"/>
        <v>BARTLETT KIANDRA</v>
      </c>
    </row>
    <row r="172" spans="1:7" x14ac:dyDescent="0.25">
      <c r="A172" s="8">
        <v>42710.663807870369</v>
      </c>
      <c r="B172" s="21" t="s">
        <v>309</v>
      </c>
      <c r="C172" s="21" t="s">
        <v>581</v>
      </c>
      <c r="D172" s="165">
        <v>930000</v>
      </c>
      <c r="E172" s="21" t="s">
        <v>317</v>
      </c>
      <c r="F172" s="21" t="s">
        <v>318</v>
      </c>
      <c r="G172" s="8" t="str">
        <f t="shared" si="2"/>
        <v>CLARK KATHLEEN</v>
      </c>
    </row>
    <row r="173" spans="1:7" x14ac:dyDescent="0.25">
      <c r="A173" s="8">
        <v>42710.671099537038</v>
      </c>
      <c r="B173" s="21" t="s">
        <v>287</v>
      </c>
      <c r="C173" s="21" t="s">
        <v>582</v>
      </c>
      <c r="D173" s="165">
        <v>2000000</v>
      </c>
      <c r="E173" s="21" t="s">
        <v>212</v>
      </c>
      <c r="F173" s="21" t="s">
        <v>301</v>
      </c>
      <c r="G173" s="8" t="str">
        <f t="shared" si="2"/>
        <v>STAMBAUGH JAMES</v>
      </c>
    </row>
    <row r="174" spans="1:7" x14ac:dyDescent="0.25">
      <c r="A174" s="8">
        <v>42710.673993055556</v>
      </c>
      <c r="B174" s="21" t="s">
        <v>270</v>
      </c>
      <c r="C174" s="21" t="s">
        <v>583</v>
      </c>
      <c r="D174" s="165">
        <v>1740000</v>
      </c>
      <c r="E174" s="21" t="s">
        <v>543</v>
      </c>
      <c r="F174" s="21" t="s">
        <v>544</v>
      </c>
      <c r="G174" s="8" t="str">
        <f t="shared" si="2"/>
        <v>STORY SAMANTHA</v>
      </c>
    </row>
    <row r="175" spans="1:7" x14ac:dyDescent="0.25">
      <c r="A175" s="8">
        <v>42710.676412037035</v>
      </c>
      <c r="B175" s="21" t="s">
        <v>183</v>
      </c>
      <c r="C175" s="21" t="s">
        <v>584</v>
      </c>
      <c r="D175" s="165">
        <v>1770000</v>
      </c>
      <c r="E175" s="21" t="s">
        <v>322</v>
      </c>
      <c r="F175" s="21" t="s">
        <v>323</v>
      </c>
      <c r="G175" s="8" t="str">
        <f t="shared" si="2"/>
        <v>BRUDER RICHARD</v>
      </c>
    </row>
    <row r="176" spans="1:7" x14ac:dyDescent="0.25">
      <c r="A176" s="8">
        <v>42710.681111111109</v>
      </c>
      <c r="B176" s="21" t="s">
        <v>283</v>
      </c>
      <c r="C176" s="21" t="s">
        <v>585</v>
      </c>
      <c r="D176" s="165">
        <v>880000</v>
      </c>
      <c r="E176" s="21" t="s">
        <v>319</v>
      </c>
      <c r="F176" s="21" t="s">
        <v>297</v>
      </c>
      <c r="G176" s="8" t="str">
        <f t="shared" si="2"/>
        <v>STEWART MICHAEL</v>
      </c>
    </row>
    <row r="177" spans="1:7" x14ac:dyDescent="0.25">
      <c r="A177" s="8">
        <v>42710.683472222219</v>
      </c>
      <c r="B177" s="21" t="s">
        <v>255</v>
      </c>
      <c r="C177" s="21" t="s">
        <v>586</v>
      </c>
      <c r="D177" s="165">
        <v>940000</v>
      </c>
      <c r="E177" s="21" t="s">
        <v>371</v>
      </c>
      <c r="F177" s="21" t="s">
        <v>372</v>
      </c>
      <c r="G177" s="8" t="str">
        <f t="shared" si="2"/>
        <v>BONDS REYNALDO</v>
      </c>
    </row>
    <row r="178" spans="1:7" x14ac:dyDescent="0.25">
      <c r="A178" s="8">
        <v>42710.684791666667</v>
      </c>
      <c r="B178" s="21" t="s">
        <v>308</v>
      </c>
      <c r="C178" s="21" t="s">
        <v>587</v>
      </c>
      <c r="D178" s="165">
        <v>1540000</v>
      </c>
      <c r="E178" s="21" t="s">
        <v>373</v>
      </c>
      <c r="F178" s="21" t="s">
        <v>374</v>
      </c>
      <c r="G178" s="8" t="str">
        <f t="shared" si="2"/>
        <v>HELVIE ADAM</v>
      </c>
    </row>
    <row r="179" spans="1:7" x14ac:dyDescent="0.25">
      <c r="A179" s="8">
        <v>42710.693495370368</v>
      </c>
      <c r="B179" s="21" t="s">
        <v>251</v>
      </c>
      <c r="C179" s="21" t="s">
        <v>588</v>
      </c>
      <c r="D179" s="165">
        <v>1770000</v>
      </c>
      <c r="E179" s="21" t="s">
        <v>322</v>
      </c>
      <c r="F179" s="21" t="s">
        <v>323</v>
      </c>
      <c r="G179" s="8" t="str">
        <f t="shared" si="2"/>
        <v>BRUDER RICHARD</v>
      </c>
    </row>
    <row r="180" spans="1:7" x14ac:dyDescent="0.25">
      <c r="A180" s="8">
        <v>42710.694641203707</v>
      </c>
      <c r="B180" s="21" t="s">
        <v>206</v>
      </c>
      <c r="C180" s="21" t="s">
        <v>589</v>
      </c>
      <c r="D180" s="165">
        <v>2280000</v>
      </c>
      <c r="E180" s="21" t="s">
        <v>551</v>
      </c>
      <c r="F180" s="21" t="s">
        <v>552</v>
      </c>
      <c r="G180" s="8" t="str">
        <f t="shared" si="2"/>
        <v>MAHAN DUANE</v>
      </c>
    </row>
    <row r="181" spans="1:7" x14ac:dyDescent="0.25">
      <c r="A181" s="8">
        <v>42710.696817129632</v>
      </c>
      <c r="B181" s="21" t="s">
        <v>217</v>
      </c>
      <c r="C181" s="21" t="s">
        <v>445</v>
      </c>
      <c r="D181" s="165">
        <v>2000000</v>
      </c>
      <c r="E181" s="21" t="s">
        <v>212</v>
      </c>
      <c r="F181" s="21" t="s">
        <v>301</v>
      </c>
      <c r="G181" s="8" t="str">
        <f t="shared" si="2"/>
        <v>STAMBAUGH JAMES</v>
      </c>
    </row>
    <row r="182" spans="1:7" x14ac:dyDescent="0.25">
      <c r="A182" s="8">
        <v>42710.69866898148</v>
      </c>
      <c r="B182" s="21" t="s">
        <v>304</v>
      </c>
      <c r="C182" s="21" t="s">
        <v>590</v>
      </c>
      <c r="D182" s="165">
        <v>930000</v>
      </c>
      <c r="E182" s="21" t="s">
        <v>317</v>
      </c>
      <c r="F182" s="21" t="s">
        <v>318</v>
      </c>
      <c r="G182" s="8" t="str">
        <f t="shared" si="2"/>
        <v>CLARK KATHLEEN</v>
      </c>
    </row>
    <row r="183" spans="1:7" x14ac:dyDescent="0.25">
      <c r="A183" s="8">
        <v>42710.706273148149</v>
      </c>
      <c r="B183" s="21" t="s">
        <v>230</v>
      </c>
      <c r="C183" s="21" t="s">
        <v>591</v>
      </c>
      <c r="D183" s="165">
        <v>2420000</v>
      </c>
      <c r="E183" s="21" t="s">
        <v>218</v>
      </c>
      <c r="F183" s="21" t="s">
        <v>375</v>
      </c>
      <c r="G183" s="8" t="str">
        <f t="shared" si="2"/>
        <v>HOLCOMB KAMDEN</v>
      </c>
    </row>
    <row r="184" spans="1:7" x14ac:dyDescent="0.25">
      <c r="A184" s="8">
        <v>42710.713067129633</v>
      </c>
      <c r="B184" s="21" t="s">
        <v>361</v>
      </c>
      <c r="C184" s="21" t="s">
        <v>592</v>
      </c>
      <c r="D184" s="165">
        <v>1740000</v>
      </c>
      <c r="E184" s="21" t="s">
        <v>543</v>
      </c>
      <c r="F184" s="21" t="s">
        <v>544</v>
      </c>
      <c r="G184" s="8" t="str">
        <f t="shared" si="2"/>
        <v>STORY SAMANTHA</v>
      </c>
    </row>
    <row r="185" spans="1:7" x14ac:dyDescent="0.25">
      <c r="A185" s="8">
        <v>42710.713449074072</v>
      </c>
      <c r="B185" s="21" t="s">
        <v>287</v>
      </c>
      <c r="C185" s="21" t="s">
        <v>593</v>
      </c>
      <c r="D185" s="165">
        <v>2000000</v>
      </c>
      <c r="E185" s="21" t="s">
        <v>212</v>
      </c>
      <c r="F185" s="21" t="s">
        <v>301</v>
      </c>
      <c r="G185" s="8" t="str">
        <f t="shared" si="2"/>
        <v>STAMBAUGH JAMES</v>
      </c>
    </row>
    <row r="186" spans="1:7" x14ac:dyDescent="0.25">
      <c r="A186" s="8">
        <v>42710.716319444444</v>
      </c>
      <c r="B186" s="21" t="s">
        <v>286</v>
      </c>
      <c r="C186" s="21" t="s">
        <v>594</v>
      </c>
      <c r="D186" s="165">
        <v>1180000</v>
      </c>
      <c r="E186" s="21" t="s">
        <v>272</v>
      </c>
      <c r="F186" s="21" t="s">
        <v>299</v>
      </c>
      <c r="G186" s="8" t="str">
        <f t="shared" si="2"/>
        <v>LEVERE CRAIG</v>
      </c>
    </row>
    <row r="187" spans="1:7" x14ac:dyDescent="0.25">
      <c r="A187" s="8">
        <v>42710.717893518522</v>
      </c>
      <c r="B187" s="21" t="s">
        <v>183</v>
      </c>
      <c r="C187" s="21" t="s">
        <v>595</v>
      </c>
      <c r="D187" s="165">
        <v>1770000</v>
      </c>
      <c r="E187" s="21" t="s">
        <v>322</v>
      </c>
      <c r="F187" s="21" t="s">
        <v>323</v>
      </c>
      <c r="G187" s="8" t="str">
        <f t="shared" si="2"/>
        <v>BRUDER RICHARD</v>
      </c>
    </row>
    <row r="188" spans="1:7" x14ac:dyDescent="0.25">
      <c r="A188" s="8">
        <v>42710.723414351851</v>
      </c>
      <c r="B188" s="21" t="s">
        <v>307</v>
      </c>
      <c r="C188" s="21" t="s">
        <v>596</v>
      </c>
      <c r="D188" s="165">
        <v>1540000</v>
      </c>
      <c r="E188" s="21" t="s">
        <v>373</v>
      </c>
      <c r="F188" s="21" t="s">
        <v>374</v>
      </c>
      <c r="G188" s="8" t="str">
        <f t="shared" si="2"/>
        <v>HELVIE ADAM</v>
      </c>
    </row>
    <row r="189" spans="1:7" x14ac:dyDescent="0.25">
      <c r="A189" s="8">
        <v>42710.726041666669</v>
      </c>
      <c r="B189" s="21" t="s">
        <v>237</v>
      </c>
      <c r="C189" s="21" t="s">
        <v>597</v>
      </c>
      <c r="D189" s="165">
        <v>2470000</v>
      </c>
      <c r="E189" s="21" t="s">
        <v>338</v>
      </c>
      <c r="F189" s="21" t="s">
        <v>339</v>
      </c>
      <c r="G189" s="8" t="str">
        <f t="shared" si="2"/>
        <v>ROMERO CHAD</v>
      </c>
    </row>
    <row r="190" spans="1:7" x14ac:dyDescent="0.25">
      <c r="A190" s="8">
        <v>42710.728449074071</v>
      </c>
      <c r="B190" s="21" t="s">
        <v>217</v>
      </c>
      <c r="C190" s="21" t="s">
        <v>598</v>
      </c>
      <c r="D190" s="165">
        <v>2000000</v>
      </c>
      <c r="E190" s="21" t="s">
        <v>212</v>
      </c>
      <c r="F190" s="21" t="s">
        <v>301</v>
      </c>
      <c r="G190" s="8" t="str">
        <f t="shared" si="2"/>
        <v>STAMBAUGH JAMES</v>
      </c>
    </row>
    <row r="191" spans="1:7" x14ac:dyDescent="0.25">
      <c r="A191" s="8">
        <v>42710.729039351849</v>
      </c>
      <c r="B191" s="21" t="s">
        <v>184</v>
      </c>
      <c r="C191" s="21" t="s">
        <v>599</v>
      </c>
      <c r="D191" s="165">
        <v>2350000</v>
      </c>
      <c r="E191" s="21" t="s">
        <v>600</v>
      </c>
      <c r="F191" s="21" t="s">
        <v>601</v>
      </c>
      <c r="G191" s="8" t="str">
        <f t="shared" si="2"/>
        <v>BERLING GARY</v>
      </c>
    </row>
    <row r="192" spans="1:7" x14ac:dyDescent="0.25">
      <c r="A192" s="8">
        <v>42710.733495370368</v>
      </c>
      <c r="B192" s="21" t="s">
        <v>213</v>
      </c>
      <c r="C192" s="21" t="s">
        <v>446</v>
      </c>
      <c r="D192" s="165">
        <v>2280000</v>
      </c>
      <c r="E192" s="21" t="s">
        <v>551</v>
      </c>
      <c r="F192" s="21" t="s">
        <v>552</v>
      </c>
      <c r="G192" s="8" t="str">
        <f t="shared" si="2"/>
        <v>MAHAN DUANE</v>
      </c>
    </row>
    <row r="193" spans="1:7" x14ac:dyDescent="0.25">
      <c r="A193" s="8">
        <v>42710.735300925924</v>
      </c>
      <c r="B193" s="21" t="s">
        <v>251</v>
      </c>
      <c r="C193" s="21" t="s">
        <v>602</v>
      </c>
      <c r="D193" s="165">
        <v>1770000</v>
      </c>
      <c r="E193" s="21" t="s">
        <v>322</v>
      </c>
      <c r="F193" s="21" t="s">
        <v>323</v>
      </c>
      <c r="G193" s="8" t="str">
        <f t="shared" si="2"/>
        <v>BRUDER RICHARD</v>
      </c>
    </row>
    <row r="194" spans="1:7" x14ac:dyDescent="0.25">
      <c r="A194" s="8">
        <v>42710.737453703703</v>
      </c>
      <c r="B194" s="21" t="s">
        <v>309</v>
      </c>
      <c r="C194" s="21" t="s">
        <v>603</v>
      </c>
      <c r="D194" s="165">
        <v>1290000</v>
      </c>
      <c r="E194" s="21" t="s">
        <v>273</v>
      </c>
      <c r="F194" s="21" t="s">
        <v>295</v>
      </c>
      <c r="G194" s="8" t="str">
        <f t="shared" si="2"/>
        <v>COOLAHAN JOHN</v>
      </c>
    </row>
    <row r="195" spans="1:7" x14ac:dyDescent="0.25">
      <c r="A195" s="8">
        <v>42710.74119212963</v>
      </c>
      <c r="B195" s="21" t="s">
        <v>231</v>
      </c>
      <c r="C195" s="21" t="s">
        <v>447</v>
      </c>
      <c r="D195" s="165">
        <v>2420000</v>
      </c>
      <c r="E195" s="21" t="s">
        <v>218</v>
      </c>
      <c r="F195" s="21" t="s">
        <v>375</v>
      </c>
      <c r="G195" s="8" t="str">
        <f t="shared" ref="G195:G258" si="3">E195&amp;" "&amp;F195</f>
        <v>HOLCOMB KAMDEN</v>
      </c>
    </row>
    <row r="196" spans="1:7" x14ac:dyDescent="0.25">
      <c r="A196" s="8">
        <v>42710.746458333335</v>
      </c>
      <c r="B196" s="21" t="s">
        <v>245</v>
      </c>
      <c r="C196" s="21" t="s">
        <v>604</v>
      </c>
      <c r="D196" s="165">
        <v>2540000</v>
      </c>
      <c r="E196" s="21" t="s">
        <v>605</v>
      </c>
      <c r="F196" s="21" t="s">
        <v>606</v>
      </c>
      <c r="G196" s="8" t="str">
        <f t="shared" si="3"/>
        <v>MCREYNOLDS KYLE</v>
      </c>
    </row>
    <row r="197" spans="1:7" x14ac:dyDescent="0.25">
      <c r="A197" s="8">
        <v>42710.747870370367</v>
      </c>
      <c r="B197" s="21" t="s">
        <v>270</v>
      </c>
      <c r="C197" s="21" t="s">
        <v>607</v>
      </c>
      <c r="D197" s="165">
        <v>1740000</v>
      </c>
      <c r="E197" s="21" t="s">
        <v>543</v>
      </c>
      <c r="F197" s="21" t="s">
        <v>544</v>
      </c>
      <c r="G197" s="8" t="str">
        <f t="shared" si="3"/>
        <v>STORY SAMANTHA</v>
      </c>
    </row>
    <row r="198" spans="1:7" x14ac:dyDescent="0.25">
      <c r="A198" s="8">
        <v>42710.754166666666</v>
      </c>
      <c r="B198" s="21" t="s">
        <v>283</v>
      </c>
      <c r="C198" s="21" t="s">
        <v>608</v>
      </c>
      <c r="D198" s="165">
        <v>1180000</v>
      </c>
      <c r="E198" s="21" t="s">
        <v>272</v>
      </c>
      <c r="F198" s="21" t="s">
        <v>299</v>
      </c>
      <c r="G198" s="8" t="str">
        <f t="shared" si="3"/>
        <v>LEVERE CRAIG</v>
      </c>
    </row>
    <row r="199" spans="1:7" x14ac:dyDescent="0.25">
      <c r="A199" s="8">
        <v>42710.754675925928</v>
      </c>
      <c r="B199" s="21" t="s">
        <v>287</v>
      </c>
      <c r="C199" s="21" t="s">
        <v>609</v>
      </c>
      <c r="D199" s="165">
        <v>2000000</v>
      </c>
      <c r="E199" s="21" t="s">
        <v>212</v>
      </c>
      <c r="F199" s="21" t="s">
        <v>301</v>
      </c>
      <c r="G199" s="8" t="str">
        <f t="shared" si="3"/>
        <v>STAMBAUGH JAMES</v>
      </c>
    </row>
    <row r="200" spans="1:7" x14ac:dyDescent="0.25">
      <c r="A200" s="8">
        <v>42710.756307870368</v>
      </c>
      <c r="B200" s="21" t="s">
        <v>308</v>
      </c>
      <c r="C200" s="21" t="s">
        <v>610</v>
      </c>
      <c r="D200" s="165">
        <v>1230000</v>
      </c>
      <c r="E200" s="21" t="s">
        <v>278</v>
      </c>
      <c r="F200" s="21" t="s">
        <v>296</v>
      </c>
      <c r="G200" s="8" t="str">
        <f t="shared" si="3"/>
        <v>YANAI IAN</v>
      </c>
    </row>
    <row r="201" spans="1:7" x14ac:dyDescent="0.25">
      <c r="A201" s="8">
        <v>42710.756689814814</v>
      </c>
      <c r="B201" s="21" t="s">
        <v>255</v>
      </c>
      <c r="C201" s="21" t="s">
        <v>611</v>
      </c>
      <c r="D201" s="165">
        <v>2470000</v>
      </c>
      <c r="E201" s="21" t="s">
        <v>338</v>
      </c>
      <c r="F201" s="21" t="s">
        <v>339</v>
      </c>
      <c r="G201" s="8" t="str">
        <f t="shared" si="3"/>
        <v>ROMERO CHAD</v>
      </c>
    </row>
    <row r="202" spans="1:7" x14ac:dyDescent="0.25">
      <c r="A202" s="27">
        <v>42710.756851851853</v>
      </c>
      <c r="B202" s="21" t="s">
        <v>183</v>
      </c>
      <c r="C202" s="21" t="s">
        <v>612</v>
      </c>
      <c r="D202" s="165">
        <v>1770000</v>
      </c>
      <c r="E202" s="21" t="s">
        <v>322</v>
      </c>
      <c r="F202" s="21" t="s">
        <v>323</v>
      </c>
      <c r="G202" s="8" t="str">
        <f t="shared" si="3"/>
        <v>BRUDER RICHARD</v>
      </c>
    </row>
    <row r="203" spans="1:7" x14ac:dyDescent="0.25">
      <c r="A203" s="8">
        <v>42710.770185185182</v>
      </c>
      <c r="B203" s="21" t="s">
        <v>206</v>
      </c>
      <c r="C203" s="21" t="s">
        <v>448</v>
      </c>
      <c r="D203" s="165">
        <v>1800000</v>
      </c>
      <c r="E203" s="21" t="s">
        <v>256</v>
      </c>
      <c r="F203" s="21" t="s">
        <v>315</v>
      </c>
      <c r="G203" s="8" t="str">
        <f t="shared" si="3"/>
        <v>CHANDLER KELVIN</v>
      </c>
    </row>
    <row r="204" spans="1:7" x14ac:dyDescent="0.25">
      <c r="A204" s="8">
        <v>42710.772557870368</v>
      </c>
      <c r="B204" s="21" t="s">
        <v>304</v>
      </c>
      <c r="C204" s="21" t="s">
        <v>613</v>
      </c>
      <c r="D204" s="165">
        <v>1290000</v>
      </c>
      <c r="E204" s="21" t="s">
        <v>273</v>
      </c>
      <c r="F204" s="21" t="s">
        <v>295</v>
      </c>
      <c r="G204" s="8" t="str">
        <f t="shared" si="3"/>
        <v>COOLAHAN JOHN</v>
      </c>
    </row>
    <row r="205" spans="1:7" x14ac:dyDescent="0.25">
      <c r="A205" s="8">
        <v>42710.775590277779</v>
      </c>
      <c r="B205" s="21" t="s">
        <v>217</v>
      </c>
      <c r="C205" s="21" t="s">
        <v>614</v>
      </c>
      <c r="D205" s="165">
        <v>2000000</v>
      </c>
      <c r="E205" s="21" t="s">
        <v>212</v>
      </c>
      <c r="F205" s="21" t="s">
        <v>301</v>
      </c>
      <c r="G205" s="8" t="str">
        <f t="shared" si="3"/>
        <v>STAMBAUGH JAMES</v>
      </c>
    </row>
    <row r="206" spans="1:7" x14ac:dyDescent="0.25">
      <c r="A206" s="8">
        <v>42710.776261574072</v>
      </c>
      <c r="B206" s="21" t="s">
        <v>251</v>
      </c>
      <c r="C206" s="21" t="s">
        <v>615</v>
      </c>
      <c r="D206" s="165">
        <v>1770000</v>
      </c>
      <c r="E206" s="21" t="s">
        <v>322</v>
      </c>
      <c r="F206" s="21" t="s">
        <v>323</v>
      </c>
      <c r="G206" s="8" t="str">
        <f t="shared" si="3"/>
        <v>BRUDER RICHARD</v>
      </c>
    </row>
    <row r="207" spans="1:7" x14ac:dyDescent="0.25">
      <c r="A207" s="8">
        <v>42710.780972222223</v>
      </c>
      <c r="B207" s="21" t="s">
        <v>230</v>
      </c>
      <c r="C207" s="21" t="s">
        <v>449</v>
      </c>
      <c r="D207" s="165">
        <v>2420000</v>
      </c>
      <c r="E207" s="21" t="s">
        <v>218</v>
      </c>
      <c r="F207" s="21" t="s">
        <v>375</v>
      </c>
      <c r="G207" s="8" t="str">
        <f t="shared" si="3"/>
        <v>HOLCOMB KAMDEN</v>
      </c>
    </row>
    <row r="208" spans="1:7" x14ac:dyDescent="0.25">
      <c r="A208" s="8">
        <v>42710.787233796298</v>
      </c>
      <c r="B208" s="21" t="s">
        <v>361</v>
      </c>
      <c r="C208" s="21" t="s">
        <v>616</v>
      </c>
      <c r="D208" s="165">
        <v>1740000</v>
      </c>
      <c r="E208" s="21" t="s">
        <v>543</v>
      </c>
      <c r="F208" s="21" t="s">
        <v>544</v>
      </c>
      <c r="G208" s="8" t="str">
        <f t="shared" si="3"/>
        <v>STORY SAMANTHA</v>
      </c>
    </row>
    <row r="209" spans="1:7" x14ac:dyDescent="0.25">
      <c r="A209" s="8">
        <v>42710.788078703707</v>
      </c>
      <c r="B209" s="21" t="s">
        <v>307</v>
      </c>
      <c r="C209" s="21" t="s">
        <v>617</v>
      </c>
      <c r="D209" s="165">
        <v>1230000</v>
      </c>
      <c r="E209" s="21" t="s">
        <v>278</v>
      </c>
      <c r="F209" s="21" t="s">
        <v>296</v>
      </c>
      <c r="G209" s="8" t="str">
        <f t="shared" si="3"/>
        <v>YANAI IAN</v>
      </c>
    </row>
    <row r="210" spans="1:7" x14ac:dyDescent="0.25">
      <c r="A210" s="8">
        <v>42710.7887962963</v>
      </c>
      <c r="B210" s="21" t="s">
        <v>286</v>
      </c>
      <c r="C210" s="21" t="s">
        <v>618</v>
      </c>
      <c r="D210" s="165">
        <v>1180000</v>
      </c>
      <c r="E210" s="21" t="s">
        <v>272</v>
      </c>
      <c r="F210" s="21" t="s">
        <v>299</v>
      </c>
      <c r="G210" s="8" t="str">
        <f t="shared" si="3"/>
        <v>LEVERE CRAIG</v>
      </c>
    </row>
    <row r="211" spans="1:7" x14ac:dyDescent="0.25">
      <c r="A211" s="8">
        <v>42710.795856481483</v>
      </c>
      <c r="B211" s="21" t="s">
        <v>287</v>
      </c>
      <c r="C211" s="21" t="s">
        <v>619</v>
      </c>
      <c r="D211" s="165">
        <v>2000000</v>
      </c>
      <c r="E211" s="21" t="s">
        <v>212</v>
      </c>
      <c r="F211" s="21" t="s">
        <v>301</v>
      </c>
      <c r="G211" s="8" t="str">
        <f t="shared" si="3"/>
        <v>STAMBAUGH JAMES</v>
      </c>
    </row>
    <row r="212" spans="1:7" x14ac:dyDescent="0.25">
      <c r="A212" s="8">
        <v>42710.796840277777</v>
      </c>
      <c r="B212" s="21" t="s">
        <v>237</v>
      </c>
      <c r="C212" s="21" t="s">
        <v>620</v>
      </c>
      <c r="D212" s="165">
        <v>2470000</v>
      </c>
      <c r="E212" s="21" t="s">
        <v>338</v>
      </c>
      <c r="F212" s="21" t="s">
        <v>339</v>
      </c>
      <c r="G212" s="8" t="str">
        <f t="shared" si="3"/>
        <v>ROMERO CHAD</v>
      </c>
    </row>
    <row r="213" spans="1:7" x14ac:dyDescent="0.25">
      <c r="A213" s="8">
        <v>42710.800717592596</v>
      </c>
      <c r="B213" s="21" t="s">
        <v>183</v>
      </c>
      <c r="C213" s="21" t="s">
        <v>621</v>
      </c>
      <c r="D213" s="165">
        <v>1770000</v>
      </c>
      <c r="E213" s="21" t="s">
        <v>322</v>
      </c>
      <c r="F213" s="21" t="s">
        <v>323</v>
      </c>
      <c r="G213" s="8" t="str">
        <f t="shared" si="3"/>
        <v>BRUDER RICHARD</v>
      </c>
    </row>
    <row r="214" spans="1:7" x14ac:dyDescent="0.25">
      <c r="A214" s="8">
        <v>42710.808171296296</v>
      </c>
      <c r="B214" s="21" t="s">
        <v>309</v>
      </c>
      <c r="C214" s="21" t="s">
        <v>622</v>
      </c>
      <c r="D214" s="165">
        <v>1290000</v>
      </c>
      <c r="E214" s="21" t="s">
        <v>273</v>
      </c>
      <c r="F214" s="21" t="s">
        <v>295</v>
      </c>
      <c r="G214" s="8" t="str">
        <f t="shared" si="3"/>
        <v>COOLAHAN JOHN</v>
      </c>
    </row>
    <row r="215" spans="1:7" x14ac:dyDescent="0.25">
      <c r="A215" s="8">
        <v>42710.808506944442</v>
      </c>
      <c r="B215" s="21" t="s">
        <v>213</v>
      </c>
      <c r="C215" s="21" t="s">
        <v>448</v>
      </c>
      <c r="D215" s="165">
        <v>1800000</v>
      </c>
      <c r="E215" s="21" t="s">
        <v>256</v>
      </c>
      <c r="F215" s="21" t="s">
        <v>315</v>
      </c>
      <c r="G215" s="8" t="str">
        <f t="shared" si="3"/>
        <v>CHANDLER KELVIN</v>
      </c>
    </row>
    <row r="216" spans="1:7" x14ac:dyDescent="0.25">
      <c r="A216" s="8">
        <v>42710.809583333335</v>
      </c>
      <c r="B216" s="21" t="s">
        <v>213</v>
      </c>
      <c r="C216" s="21" t="s">
        <v>623</v>
      </c>
      <c r="D216" s="165">
        <v>1800000</v>
      </c>
      <c r="E216" s="21" t="s">
        <v>256</v>
      </c>
      <c r="F216" s="21" t="s">
        <v>315</v>
      </c>
      <c r="G216" s="8" t="str">
        <f t="shared" si="3"/>
        <v>CHANDLER KELVIN</v>
      </c>
    </row>
    <row r="217" spans="1:7" x14ac:dyDescent="0.25">
      <c r="A217" s="8">
        <v>42710.818055555559</v>
      </c>
      <c r="B217" s="21" t="s">
        <v>251</v>
      </c>
      <c r="C217" s="21" t="s">
        <v>450</v>
      </c>
      <c r="D217" s="165">
        <v>1770000</v>
      </c>
      <c r="E217" s="21" t="s">
        <v>322</v>
      </c>
      <c r="F217" s="21" t="s">
        <v>323</v>
      </c>
      <c r="G217" s="8" t="str">
        <f t="shared" si="3"/>
        <v>BRUDER RICHARD</v>
      </c>
    </row>
    <row r="218" spans="1:7" x14ac:dyDescent="0.25">
      <c r="A218" s="8">
        <v>42710.819016203706</v>
      </c>
      <c r="B218" s="21" t="s">
        <v>270</v>
      </c>
      <c r="C218" s="21" t="s">
        <v>451</v>
      </c>
      <c r="D218" s="165">
        <v>1740000</v>
      </c>
      <c r="E218" s="21" t="s">
        <v>543</v>
      </c>
      <c r="F218" s="21" t="s">
        <v>544</v>
      </c>
      <c r="G218" s="8" t="str">
        <f t="shared" si="3"/>
        <v>STORY SAMANTHA</v>
      </c>
    </row>
    <row r="219" spans="1:7" x14ac:dyDescent="0.25">
      <c r="A219" s="8">
        <v>42710.826238425929</v>
      </c>
      <c r="B219" s="21" t="s">
        <v>283</v>
      </c>
      <c r="C219" s="21" t="s">
        <v>624</v>
      </c>
      <c r="D219" s="165">
        <v>1180000</v>
      </c>
      <c r="E219" s="21" t="s">
        <v>272</v>
      </c>
      <c r="F219" s="21" t="s">
        <v>299</v>
      </c>
      <c r="G219" s="8" t="str">
        <f t="shared" si="3"/>
        <v>LEVERE CRAIG</v>
      </c>
    </row>
    <row r="220" spans="1:7" x14ac:dyDescent="0.25">
      <c r="A220" s="8">
        <v>42710.829560185186</v>
      </c>
      <c r="B220" s="21" t="s">
        <v>308</v>
      </c>
      <c r="C220" s="21" t="s">
        <v>625</v>
      </c>
      <c r="D220" s="165">
        <v>1230000</v>
      </c>
      <c r="E220" s="21" t="s">
        <v>278</v>
      </c>
      <c r="F220" s="21" t="s">
        <v>296</v>
      </c>
      <c r="G220" s="8" t="str">
        <f t="shared" si="3"/>
        <v>YANAI IAN</v>
      </c>
    </row>
    <row r="221" spans="1:7" x14ac:dyDescent="0.25">
      <c r="A221" s="8">
        <v>42710.842685185184</v>
      </c>
      <c r="B221" s="21" t="s">
        <v>183</v>
      </c>
      <c r="C221" s="21" t="s">
        <v>626</v>
      </c>
      <c r="D221" s="165">
        <v>1770000</v>
      </c>
      <c r="E221" s="21" t="s">
        <v>322</v>
      </c>
      <c r="F221" s="21" t="s">
        <v>323</v>
      </c>
      <c r="G221" s="8" t="str">
        <f t="shared" si="3"/>
        <v>BRUDER RICHARD</v>
      </c>
    </row>
    <row r="222" spans="1:7" x14ac:dyDescent="0.25">
      <c r="A222" s="8">
        <v>42710.849317129629</v>
      </c>
      <c r="B222" s="21" t="s">
        <v>304</v>
      </c>
      <c r="C222" s="21" t="s">
        <v>627</v>
      </c>
      <c r="D222" s="165">
        <v>1290000</v>
      </c>
      <c r="E222" s="21" t="s">
        <v>273</v>
      </c>
      <c r="F222" s="21" t="s">
        <v>295</v>
      </c>
      <c r="G222" s="8" t="str">
        <f t="shared" si="3"/>
        <v>COOLAHAN JOHN</v>
      </c>
    </row>
    <row r="223" spans="1:7" x14ac:dyDescent="0.25">
      <c r="A223" s="8">
        <v>42710.852638888886</v>
      </c>
      <c r="B223" s="21" t="s">
        <v>206</v>
      </c>
      <c r="C223" s="21" t="s">
        <v>628</v>
      </c>
      <c r="D223" s="165">
        <v>1800000</v>
      </c>
      <c r="E223" s="21" t="s">
        <v>256</v>
      </c>
      <c r="F223" s="21" t="s">
        <v>315</v>
      </c>
      <c r="G223" s="8" t="str">
        <f t="shared" si="3"/>
        <v>CHANDLER KELVIN</v>
      </c>
    </row>
    <row r="224" spans="1:7" x14ac:dyDescent="0.25">
      <c r="A224" s="8">
        <v>42710.853171296294</v>
      </c>
      <c r="B224" t="s">
        <v>206</v>
      </c>
      <c r="C224" t="s">
        <v>628</v>
      </c>
      <c r="D224" s="165">
        <v>1800000</v>
      </c>
      <c r="E224" t="s">
        <v>256</v>
      </c>
      <c r="F224" s="21" t="s">
        <v>315</v>
      </c>
      <c r="G224" s="8" t="str">
        <f t="shared" si="3"/>
        <v>CHANDLER KELVIN</v>
      </c>
    </row>
    <row r="225" spans="1:7" x14ac:dyDescent="0.25">
      <c r="A225" s="8">
        <v>42710.85396990741</v>
      </c>
      <c r="B225" t="s">
        <v>206</v>
      </c>
      <c r="C225" t="s">
        <v>629</v>
      </c>
      <c r="D225" s="165">
        <v>1800000</v>
      </c>
      <c r="E225" t="s">
        <v>256</v>
      </c>
      <c r="F225" s="21" t="s">
        <v>315</v>
      </c>
      <c r="G225" s="8" t="str">
        <f t="shared" si="3"/>
        <v>CHANDLER KELVIN</v>
      </c>
    </row>
    <row r="226" spans="1:7" x14ac:dyDescent="0.25">
      <c r="A226" s="8">
        <v>42710.859872685185</v>
      </c>
      <c r="B226" t="s">
        <v>251</v>
      </c>
      <c r="C226" t="s">
        <v>630</v>
      </c>
      <c r="D226" s="165">
        <v>1770000</v>
      </c>
      <c r="E226" t="s">
        <v>322</v>
      </c>
      <c r="F226" s="21" t="s">
        <v>323</v>
      </c>
      <c r="G226" s="8" t="str">
        <f t="shared" si="3"/>
        <v>BRUDER RICHARD</v>
      </c>
    </row>
    <row r="227" spans="1:7" x14ac:dyDescent="0.25">
      <c r="A227" s="8">
        <v>42710.860868055555</v>
      </c>
      <c r="B227" t="s">
        <v>307</v>
      </c>
      <c r="C227" t="s">
        <v>631</v>
      </c>
      <c r="D227" s="165">
        <v>1230000</v>
      </c>
      <c r="E227" t="s">
        <v>278</v>
      </c>
      <c r="F227" s="21" t="s">
        <v>296</v>
      </c>
      <c r="G227" s="8" t="str">
        <f t="shared" si="3"/>
        <v>YANAI IAN</v>
      </c>
    </row>
    <row r="228" spans="1:7" x14ac:dyDescent="0.25">
      <c r="A228" s="8">
        <v>42710.868657407409</v>
      </c>
      <c r="B228" t="s">
        <v>286</v>
      </c>
      <c r="C228" t="s">
        <v>632</v>
      </c>
      <c r="D228" s="165">
        <v>1180000</v>
      </c>
      <c r="E228" t="s">
        <v>272</v>
      </c>
      <c r="F228" s="21" t="s">
        <v>299</v>
      </c>
      <c r="G228" s="8" t="str">
        <f t="shared" si="3"/>
        <v>LEVERE CRAIG</v>
      </c>
    </row>
    <row r="229" spans="1:7" x14ac:dyDescent="0.25">
      <c r="A229" s="8">
        <v>42710.879594907405</v>
      </c>
      <c r="B229" t="s">
        <v>183</v>
      </c>
      <c r="C229" t="s">
        <v>633</v>
      </c>
      <c r="D229" s="165">
        <v>2000000</v>
      </c>
      <c r="E229" t="s">
        <v>212</v>
      </c>
      <c r="F229" s="21" t="s">
        <v>301</v>
      </c>
      <c r="G229" s="8" t="str">
        <f t="shared" si="3"/>
        <v>STAMBAUGH JAMES</v>
      </c>
    </row>
    <row r="230" spans="1:7" x14ac:dyDescent="0.25">
      <c r="A230" s="8">
        <v>42710.889456018522</v>
      </c>
      <c r="B230" t="s">
        <v>213</v>
      </c>
      <c r="C230" t="s">
        <v>628</v>
      </c>
      <c r="D230" s="165">
        <v>1800000</v>
      </c>
      <c r="E230" t="s">
        <v>256</v>
      </c>
      <c r="F230" s="21" t="s">
        <v>315</v>
      </c>
      <c r="G230" s="8" t="str">
        <f t="shared" si="3"/>
        <v>CHANDLER KELVIN</v>
      </c>
    </row>
    <row r="231" spans="1:7" x14ac:dyDescent="0.25">
      <c r="A231" s="8">
        <v>42710.893240740741</v>
      </c>
      <c r="B231" t="s">
        <v>309</v>
      </c>
      <c r="C231" t="s">
        <v>634</v>
      </c>
      <c r="D231" s="165">
        <v>1290000</v>
      </c>
      <c r="E231" t="s">
        <v>273</v>
      </c>
      <c r="F231" s="21" t="s">
        <v>295</v>
      </c>
      <c r="G231" s="8" t="str">
        <f t="shared" si="3"/>
        <v>COOLAHAN JOHN</v>
      </c>
    </row>
    <row r="232" spans="1:7" x14ac:dyDescent="0.25">
      <c r="A232" s="8">
        <v>42710.900150462963</v>
      </c>
      <c r="B232" t="s">
        <v>308</v>
      </c>
      <c r="C232" t="s">
        <v>635</v>
      </c>
      <c r="D232" s="165">
        <v>1230000</v>
      </c>
      <c r="E232" t="s">
        <v>278</v>
      </c>
      <c r="F232" s="21" t="s">
        <v>296</v>
      </c>
      <c r="G232" s="8" t="str">
        <f t="shared" si="3"/>
        <v>YANAI IAN</v>
      </c>
    </row>
    <row r="233" spans="1:7" x14ac:dyDescent="0.25">
      <c r="A233" s="8">
        <v>42710.900254629632</v>
      </c>
      <c r="B233" t="s">
        <v>251</v>
      </c>
      <c r="C233" t="s">
        <v>452</v>
      </c>
      <c r="D233" s="165">
        <v>2000000</v>
      </c>
      <c r="E233" t="s">
        <v>212</v>
      </c>
      <c r="F233" s="21" t="s">
        <v>301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283</v>
      </c>
      <c r="C234" t="s">
        <v>636</v>
      </c>
      <c r="D234" s="165">
        <v>1180000</v>
      </c>
      <c r="E234" t="s">
        <v>272</v>
      </c>
      <c r="F234" s="21" t="s">
        <v>299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637</v>
      </c>
      <c r="D235" s="165">
        <v>2000000</v>
      </c>
      <c r="E235" t="s">
        <v>212</v>
      </c>
      <c r="F235" s="21" t="s">
        <v>301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304</v>
      </c>
      <c r="C236" t="s">
        <v>638</v>
      </c>
      <c r="D236" s="165">
        <v>1290000</v>
      </c>
      <c r="E236" t="s">
        <v>273</v>
      </c>
      <c r="F236" s="21" t="s">
        <v>295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639</v>
      </c>
      <c r="D237" s="165">
        <v>1800000</v>
      </c>
      <c r="E237" t="s">
        <v>256</v>
      </c>
      <c r="F237" s="21" t="s">
        <v>315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251</v>
      </c>
      <c r="C238" t="s">
        <v>640</v>
      </c>
      <c r="D238" s="165">
        <v>2000000</v>
      </c>
      <c r="E238" t="s">
        <v>212</v>
      </c>
      <c r="F238" s="21" t="s">
        <v>301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307</v>
      </c>
      <c r="C239" t="s">
        <v>641</v>
      </c>
      <c r="D239" s="165">
        <v>1230000</v>
      </c>
      <c r="E239" t="s">
        <v>278</v>
      </c>
      <c r="F239" s="21" t="s">
        <v>296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286</v>
      </c>
      <c r="C240" t="s">
        <v>642</v>
      </c>
      <c r="D240" s="165">
        <v>1180000</v>
      </c>
      <c r="E240" t="s">
        <v>272</v>
      </c>
      <c r="F240" s="21" t="s">
        <v>299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643</v>
      </c>
      <c r="D241" s="165">
        <v>1800000</v>
      </c>
      <c r="E241" t="s">
        <v>256</v>
      </c>
      <c r="F241" s="21" t="s">
        <v>315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309</v>
      </c>
      <c r="C242" t="s">
        <v>644</v>
      </c>
      <c r="D242" s="165">
        <v>1290000</v>
      </c>
      <c r="E242" t="s">
        <v>273</v>
      </c>
      <c r="F242" s="21" t="s">
        <v>295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308</v>
      </c>
      <c r="C243" t="s">
        <v>453</v>
      </c>
      <c r="D243" s="165">
        <v>1230000</v>
      </c>
      <c r="E243" t="s">
        <v>278</v>
      </c>
      <c r="F243" s="21" t="s">
        <v>296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283</v>
      </c>
      <c r="C244" t="s">
        <v>645</v>
      </c>
      <c r="D244" s="165">
        <v>1180000</v>
      </c>
      <c r="E244" t="s">
        <v>272</v>
      </c>
      <c r="F244" s="21" t="s">
        <v>299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304</v>
      </c>
      <c r="C245" t="s">
        <v>454</v>
      </c>
      <c r="D245" s="165">
        <v>1290000</v>
      </c>
      <c r="E245" t="s">
        <v>273</v>
      </c>
      <c r="F245" s="21" t="s">
        <v>295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646</v>
      </c>
      <c r="D246" s="165">
        <v>1800000</v>
      </c>
      <c r="E246" t="s">
        <v>256</v>
      </c>
      <c r="F246" s="21" t="s">
        <v>315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307</v>
      </c>
      <c r="C247" t="s">
        <v>455</v>
      </c>
      <c r="D247" s="165">
        <v>1230000</v>
      </c>
      <c r="E247" t="s">
        <v>278</v>
      </c>
      <c r="F247" s="21" t="s">
        <v>296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286</v>
      </c>
      <c r="C248" t="s">
        <v>647</v>
      </c>
      <c r="D248" s="165">
        <v>1180000</v>
      </c>
      <c r="E248" t="s">
        <v>272</v>
      </c>
      <c r="F248" s="21" t="s">
        <v>299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309</v>
      </c>
      <c r="C249" t="s">
        <v>648</v>
      </c>
      <c r="D249" s="165">
        <v>1290000</v>
      </c>
      <c r="E249" t="s">
        <v>273</v>
      </c>
      <c r="F249" s="21" t="s">
        <v>295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649</v>
      </c>
      <c r="D250" s="165">
        <v>1800000</v>
      </c>
      <c r="E250" t="s">
        <v>256</v>
      </c>
      <c r="F250" s="21" t="s">
        <v>315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308</v>
      </c>
      <c r="C251" t="s">
        <v>650</v>
      </c>
      <c r="D251" s="165">
        <v>1230000</v>
      </c>
      <c r="E251" t="s">
        <v>278</v>
      </c>
      <c r="F251" s="21" t="s">
        <v>296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649</v>
      </c>
      <c r="D252" s="165">
        <v>1800000</v>
      </c>
      <c r="E252" t="s">
        <v>256</v>
      </c>
      <c r="F252" s="21" t="s">
        <v>315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256</v>
      </c>
      <c r="F253" s="21" t="s">
        <v>315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260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261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258</v>
      </c>
      <c r="D256" s="165">
        <v>2530000</v>
      </c>
      <c r="E256" t="s">
        <v>257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262</v>
      </c>
      <c r="D257" s="165">
        <v>1800000</v>
      </c>
      <c r="E257" t="s">
        <v>256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263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259</v>
      </c>
      <c r="D259" s="165">
        <v>2530000</v>
      </c>
      <c r="E259" t="s">
        <v>257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264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258</v>
      </c>
      <c r="D261" s="165">
        <v>2530000</v>
      </c>
      <c r="E261" t="s">
        <v>257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265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651</v>
      </c>
      <c r="I1" s="164" t="s">
        <v>171</v>
      </c>
      <c r="J1" s="164" t="s">
        <v>172</v>
      </c>
      <c r="K1" s="164" t="s">
        <v>652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22.68</v>
      </c>
      <c r="B2" s="165">
        <v>0.47</v>
      </c>
      <c r="C2" s="165">
        <v>1.08</v>
      </c>
      <c r="D2" s="8">
        <v>42710</v>
      </c>
      <c r="E2" s="165">
        <v>0.38</v>
      </c>
      <c r="F2" s="165" t="s">
        <v>266</v>
      </c>
      <c r="G2" s="165">
        <v>297.58999999999997</v>
      </c>
      <c r="H2" s="165"/>
      <c r="I2" s="165">
        <v>0</v>
      </c>
      <c r="J2" s="165">
        <v>0</v>
      </c>
      <c r="K2" s="165"/>
      <c r="L2" s="165">
        <v>1020.98</v>
      </c>
      <c r="M2" s="165" t="s">
        <v>279</v>
      </c>
      <c r="N2" s="165">
        <v>22.68</v>
      </c>
      <c r="O2" s="165">
        <v>1481007600</v>
      </c>
      <c r="P2" s="165">
        <v>10</v>
      </c>
      <c r="Q2" s="165">
        <v>235</v>
      </c>
      <c r="R2" s="165">
        <v>1.23</v>
      </c>
    </row>
    <row r="3" spans="1:18" x14ac:dyDescent="0.25">
      <c r="A3" s="165">
        <v>21.02</v>
      </c>
      <c r="B3" s="165">
        <v>0.4</v>
      </c>
      <c r="C3" s="165">
        <v>0.44</v>
      </c>
      <c r="D3" s="8">
        <v>42710.041666666664</v>
      </c>
      <c r="E3" s="165">
        <v>0.4</v>
      </c>
      <c r="F3" s="165" t="s">
        <v>266</v>
      </c>
      <c r="G3" s="165">
        <v>300.83999999999997</v>
      </c>
      <c r="H3" s="165"/>
      <c r="I3" s="165">
        <v>0</v>
      </c>
      <c r="J3" s="165">
        <v>0</v>
      </c>
      <c r="K3" s="165"/>
      <c r="L3" s="165">
        <v>1021.53</v>
      </c>
      <c r="M3" s="165" t="s">
        <v>279</v>
      </c>
      <c r="N3" s="165">
        <v>21.02</v>
      </c>
      <c r="O3" s="165">
        <v>1481011200</v>
      </c>
      <c r="P3" s="165">
        <v>5.26</v>
      </c>
      <c r="Q3" s="165">
        <v>206</v>
      </c>
      <c r="R3" s="165">
        <v>2.12</v>
      </c>
    </row>
    <row r="4" spans="1:18" x14ac:dyDescent="0.25">
      <c r="A4" s="165">
        <v>19.670000000000002</v>
      </c>
      <c r="B4" s="165">
        <v>0.34</v>
      </c>
      <c r="C4" s="165">
        <v>0.16</v>
      </c>
      <c r="D4" s="8">
        <v>42710.083333333336</v>
      </c>
      <c r="E4" s="165">
        <v>0.42</v>
      </c>
      <c r="F4" s="165" t="s">
        <v>266</v>
      </c>
      <c r="G4" s="165">
        <v>304.08999999999997</v>
      </c>
      <c r="H4" s="165"/>
      <c r="I4" s="165">
        <v>0</v>
      </c>
      <c r="J4" s="165">
        <v>0</v>
      </c>
      <c r="K4" s="165"/>
      <c r="L4" s="165">
        <v>1022.2</v>
      </c>
      <c r="M4" s="165" t="s">
        <v>279</v>
      </c>
      <c r="N4" s="165">
        <v>19.670000000000002</v>
      </c>
      <c r="O4" s="165">
        <v>1481014800</v>
      </c>
      <c r="P4" s="165">
        <v>4.09</v>
      </c>
      <c r="Q4" s="165">
        <v>163</v>
      </c>
      <c r="R4" s="165">
        <v>2.62</v>
      </c>
    </row>
    <row r="5" spans="1:18" x14ac:dyDescent="0.25">
      <c r="A5" s="165">
        <v>12.94</v>
      </c>
      <c r="B5" s="165">
        <v>0.33</v>
      </c>
      <c r="C5" s="165">
        <v>-1.6</v>
      </c>
      <c r="D5" s="8">
        <v>42710.125</v>
      </c>
      <c r="E5" s="165">
        <v>0.4</v>
      </c>
      <c r="F5" s="165" t="s">
        <v>266</v>
      </c>
      <c r="G5" s="165">
        <v>306.83</v>
      </c>
      <c r="H5" s="165"/>
      <c r="I5" s="165">
        <v>0</v>
      </c>
      <c r="J5" s="165">
        <v>0</v>
      </c>
      <c r="K5" s="165"/>
      <c r="L5" s="165">
        <v>1022.92</v>
      </c>
      <c r="M5" s="165" t="s">
        <v>279</v>
      </c>
      <c r="N5" s="165">
        <v>18.55</v>
      </c>
      <c r="O5" s="165">
        <v>1481018400</v>
      </c>
      <c r="P5" s="165">
        <v>3.51</v>
      </c>
      <c r="Q5" s="165">
        <v>172</v>
      </c>
      <c r="R5" s="165">
        <v>3.72</v>
      </c>
    </row>
    <row r="6" spans="1:18" x14ac:dyDescent="0.25">
      <c r="A6" s="165">
        <v>10.46</v>
      </c>
      <c r="B6" s="165">
        <v>0.33</v>
      </c>
      <c r="C6" s="165">
        <v>-2.84</v>
      </c>
      <c r="D6" s="8">
        <v>42710.166666666664</v>
      </c>
      <c r="E6" s="165">
        <v>0.41</v>
      </c>
      <c r="F6" s="165" t="s">
        <v>266</v>
      </c>
      <c r="G6" s="165">
        <v>309.29000000000002</v>
      </c>
      <c r="H6" s="165"/>
      <c r="I6" s="165">
        <v>0</v>
      </c>
      <c r="J6" s="165">
        <v>0</v>
      </c>
      <c r="K6" s="165"/>
      <c r="L6" s="165">
        <v>1023.5</v>
      </c>
      <c r="M6" s="165" t="s">
        <v>279</v>
      </c>
      <c r="N6" s="165">
        <v>16.850000000000001</v>
      </c>
      <c r="O6" s="165">
        <v>1481022000</v>
      </c>
      <c r="P6" s="165">
        <v>3.71</v>
      </c>
      <c r="Q6" s="165">
        <v>160</v>
      </c>
      <c r="R6" s="165">
        <v>4.08</v>
      </c>
    </row>
    <row r="7" spans="1:18" x14ac:dyDescent="0.25">
      <c r="A7" s="165">
        <v>10.92</v>
      </c>
      <c r="B7" s="165">
        <v>0.34</v>
      </c>
      <c r="C7" s="165">
        <v>-2.4700000000000002</v>
      </c>
      <c r="D7" s="8">
        <v>42710.208333333336</v>
      </c>
      <c r="E7" s="165">
        <v>0.43</v>
      </c>
      <c r="F7" s="165" t="s">
        <v>266</v>
      </c>
      <c r="G7" s="165">
        <v>311.20999999999998</v>
      </c>
      <c r="H7" s="165"/>
      <c r="I7" s="165">
        <v>0</v>
      </c>
      <c r="J7" s="165">
        <v>0</v>
      </c>
      <c r="K7" s="165"/>
      <c r="L7" s="165">
        <v>1023.85</v>
      </c>
      <c r="M7" s="165" t="s">
        <v>279</v>
      </c>
      <c r="N7" s="165">
        <v>16.12</v>
      </c>
      <c r="O7" s="165">
        <v>1481025600</v>
      </c>
      <c r="P7" s="165">
        <v>5.3</v>
      </c>
      <c r="Q7" s="165">
        <v>150</v>
      </c>
      <c r="R7" s="165">
        <v>3.24</v>
      </c>
    </row>
    <row r="8" spans="1:18" x14ac:dyDescent="0.25">
      <c r="A8" s="165">
        <v>15.49</v>
      </c>
      <c r="B8" s="165">
        <v>0.34</v>
      </c>
      <c r="C8" s="165">
        <v>-1.88</v>
      </c>
      <c r="D8" s="8">
        <v>42710.25</v>
      </c>
      <c r="E8" s="165">
        <v>0.45</v>
      </c>
      <c r="F8" s="165" t="s">
        <v>266</v>
      </c>
      <c r="G8" s="165">
        <v>312.11</v>
      </c>
      <c r="H8" s="165"/>
      <c r="I8" s="165">
        <v>0</v>
      </c>
      <c r="J8" s="165">
        <v>0</v>
      </c>
      <c r="K8" s="165"/>
      <c r="L8" s="165">
        <v>1024.01</v>
      </c>
      <c r="M8" s="165" t="s">
        <v>279</v>
      </c>
      <c r="N8" s="165">
        <v>15.49</v>
      </c>
      <c r="O8" s="165">
        <v>1481029200</v>
      </c>
      <c r="P8" s="165">
        <v>3.89</v>
      </c>
      <c r="Q8" s="165">
        <v>177</v>
      </c>
      <c r="R8" s="165">
        <v>2.56</v>
      </c>
    </row>
    <row r="9" spans="1:18" x14ac:dyDescent="0.25">
      <c r="A9" s="165">
        <v>16.64</v>
      </c>
      <c r="B9" s="165">
        <v>0.34</v>
      </c>
      <c r="C9" s="165">
        <v>0.79</v>
      </c>
      <c r="D9" s="8">
        <v>42710.291666666664</v>
      </c>
      <c r="E9" s="165">
        <v>0.49</v>
      </c>
      <c r="F9" s="165" t="s">
        <v>266</v>
      </c>
      <c r="G9" s="165">
        <v>312.48</v>
      </c>
      <c r="H9" s="165"/>
      <c r="I9" s="165">
        <v>0</v>
      </c>
      <c r="J9" s="165">
        <v>0</v>
      </c>
      <c r="K9" s="165"/>
      <c r="L9" s="165">
        <v>1023.87</v>
      </c>
      <c r="M9" s="165" t="s">
        <v>279</v>
      </c>
      <c r="N9" s="165">
        <v>16.64</v>
      </c>
      <c r="O9" s="165">
        <v>1481032800</v>
      </c>
      <c r="P9" s="165">
        <v>3.17</v>
      </c>
      <c r="Q9" s="165">
        <v>174</v>
      </c>
      <c r="R9" s="165">
        <v>2.0499999999999998</v>
      </c>
    </row>
    <row r="10" spans="1:18" x14ac:dyDescent="0.25">
      <c r="A10" s="165">
        <v>14.72</v>
      </c>
      <c r="B10" s="165">
        <v>0.34</v>
      </c>
      <c r="C10" s="165">
        <v>-0.75</v>
      </c>
      <c r="D10" s="8">
        <v>42710.333333333336</v>
      </c>
      <c r="E10" s="165">
        <v>0.49</v>
      </c>
      <c r="F10" s="165" t="s">
        <v>267</v>
      </c>
      <c r="G10" s="165">
        <v>313.60000000000002</v>
      </c>
      <c r="H10" s="165"/>
      <c r="I10" s="165">
        <v>0</v>
      </c>
      <c r="J10" s="165">
        <v>0</v>
      </c>
      <c r="K10" s="165"/>
      <c r="L10" s="165">
        <v>1023.06</v>
      </c>
      <c r="M10" s="165" t="s">
        <v>279</v>
      </c>
      <c r="N10" s="165">
        <v>14.72</v>
      </c>
      <c r="O10" s="165">
        <v>1481036400</v>
      </c>
      <c r="P10" s="165">
        <v>2.88</v>
      </c>
      <c r="Q10" s="165">
        <v>189</v>
      </c>
      <c r="R10" s="165">
        <v>2.2000000000000002</v>
      </c>
    </row>
    <row r="11" spans="1:18" x14ac:dyDescent="0.25">
      <c r="A11" s="165">
        <v>13.54</v>
      </c>
      <c r="B11" s="165">
        <v>0.34</v>
      </c>
      <c r="C11" s="165">
        <v>1.99</v>
      </c>
      <c r="D11" s="8">
        <v>42710.375</v>
      </c>
      <c r="E11" s="165">
        <v>0.48</v>
      </c>
      <c r="F11" s="165" t="s">
        <v>267</v>
      </c>
      <c r="G11" s="165">
        <v>316.48</v>
      </c>
      <c r="H11" s="165"/>
      <c r="I11" s="165">
        <v>0</v>
      </c>
      <c r="J11" s="165">
        <v>0</v>
      </c>
      <c r="K11" s="165"/>
      <c r="L11" s="165">
        <v>1021.2</v>
      </c>
      <c r="M11" s="165" t="s">
        <v>279</v>
      </c>
      <c r="N11" s="165">
        <v>18.3</v>
      </c>
      <c r="O11" s="165">
        <v>1481040000</v>
      </c>
      <c r="P11" s="165">
        <v>2.82</v>
      </c>
      <c r="Q11" s="165">
        <v>184</v>
      </c>
      <c r="R11" s="165">
        <v>3.16</v>
      </c>
    </row>
    <row r="12" spans="1:18" x14ac:dyDescent="0.25">
      <c r="A12" s="165">
        <v>22.59</v>
      </c>
      <c r="B12" s="165">
        <v>0.34</v>
      </c>
      <c r="C12" s="165">
        <v>2.3199999999999998</v>
      </c>
      <c r="D12" s="8">
        <v>42710.416666666664</v>
      </c>
      <c r="E12" s="165">
        <v>0.41</v>
      </c>
      <c r="F12" s="165" t="s">
        <v>267</v>
      </c>
      <c r="G12" s="165">
        <v>320.12</v>
      </c>
      <c r="H12" s="165"/>
      <c r="I12" s="165">
        <v>0</v>
      </c>
      <c r="J12" s="165">
        <v>0</v>
      </c>
      <c r="K12" s="165"/>
      <c r="L12" s="165">
        <v>1018.78</v>
      </c>
      <c r="M12" s="165" t="s">
        <v>279</v>
      </c>
      <c r="N12" s="165">
        <v>22.59</v>
      </c>
      <c r="O12" s="165">
        <v>1481043600</v>
      </c>
      <c r="P12" s="165">
        <v>2.73</v>
      </c>
      <c r="Q12" s="165">
        <v>143</v>
      </c>
      <c r="R12" s="165">
        <v>1.04</v>
      </c>
    </row>
    <row r="13" spans="1:18" x14ac:dyDescent="0.25">
      <c r="A13" s="165">
        <v>26.59</v>
      </c>
      <c r="B13" s="165">
        <v>0.35</v>
      </c>
      <c r="C13" s="165">
        <v>2.38</v>
      </c>
      <c r="D13" s="8">
        <v>42710.458333333336</v>
      </c>
      <c r="E13" s="165">
        <v>0.35</v>
      </c>
      <c r="F13" s="165" t="s">
        <v>267</v>
      </c>
      <c r="G13" s="165">
        <v>322.83</v>
      </c>
      <c r="H13" s="165"/>
      <c r="I13" s="165">
        <v>0</v>
      </c>
      <c r="J13" s="165">
        <v>0</v>
      </c>
      <c r="K13" s="165"/>
      <c r="L13" s="165">
        <v>1016.75</v>
      </c>
      <c r="M13" s="165" t="s">
        <v>279</v>
      </c>
      <c r="N13" s="165">
        <v>26.59</v>
      </c>
      <c r="O13" s="165">
        <v>1481047200</v>
      </c>
      <c r="P13" s="165">
        <v>2.73</v>
      </c>
      <c r="Q13" s="165">
        <v>76</v>
      </c>
      <c r="R13" s="165">
        <v>0.89</v>
      </c>
    </row>
    <row r="14" spans="1:18" x14ac:dyDescent="0.25">
      <c r="A14" s="165">
        <v>28.59</v>
      </c>
      <c r="B14" s="165">
        <v>0.38</v>
      </c>
      <c r="C14" s="165">
        <v>2.66</v>
      </c>
      <c r="D14" s="8">
        <v>42710.5</v>
      </c>
      <c r="E14" s="165">
        <v>0.32</v>
      </c>
      <c r="F14" s="165" t="s">
        <v>267</v>
      </c>
      <c r="G14" s="165">
        <v>323.81</v>
      </c>
      <c r="H14" s="165"/>
      <c r="I14" s="165">
        <v>0</v>
      </c>
      <c r="J14" s="165">
        <v>0</v>
      </c>
      <c r="K14" s="165"/>
      <c r="L14" s="165">
        <v>1015.47</v>
      </c>
      <c r="M14" s="165" t="s">
        <v>279</v>
      </c>
      <c r="N14" s="165">
        <v>28.59</v>
      </c>
      <c r="O14" s="165">
        <v>1481050800</v>
      </c>
      <c r="P14" s="165">
        <v>2.74</v>
      </c>
      <c r="Q14" s="165">
        <v>43</v>
      </c>
      <c r="R14" s="165">
        <v>2.76</v>
      </c>
    </row>
    <row r="15" spans="1:18" x14ac:dyDescent="0.25">
      <c r="A15" s="165">
        <v>30.07</v>
      </c>
      <c r="B15" s="165">
        <v>0.42</v>
      </c>
      <c r="C15" s="165">
        <v>4.34</v>
      </c>
      <c r="D15" s="8">
        <v>42710.541666666664</v>
      </c>
      <c r="E15" s="165">
        <v>0.33</v>
      </c>
      <c r="F15" s="165" t="s">
        <v>267</v>
      </c>
      <c r="G15" s="165">
        <v>323.87</v>
      </c>
      <c r="H15" s="165"/>
      <c r="I15" s="165">
        <v>0</v>
      </c>
      <c r="J15" s="165">
        <v>0</v>
      </c>
      <c r="K15" s="165"/>
      <c r="L15" s="165">
        <v>1014.66</v>
      </c>
      <c r="M15" s="165" t="s">
        <v>279</v>
      </c>
      <c r="N15" s="165">
        <v>30.07</v>
      </c>
      <c r="O15" s="165">
        <v>1481054400</v>
      </c>
      <c r="P15" s="165">
        <v>2.75</v>
      </c>
      <c r="Q15" s="165">
        <v>62</v>
      </c>
      <c r="R15" s="165">
        <v>2.74</v>
      </c>
    </row>
    <row r="16" spans="1:18" x14ac:dyDescent="0.25">
      <c r="A16" s="165">
        <v>31.24</v>
      </c>
      <c r="B16" s="165">
        <v>0.5</v>
      </c>
      <c r="C16" s="165">
        <v>4.53</v>
      </c>
      <c r="D16" s="8">
        <v>42710.583333333336</v>
      </c>
      <c r="E16" s="165">
        <v>0.32</v>
      </c>
      <c r="F16" s="165" t="s">
        <v>267</v>
      </c>
      <c r="G16" s="165">
        <v>323.82</v>
      </c>
      <c r="H16" s="165"/>
      <c r="I16" s="165">
        <v>0</v>
      </c>
      <c r="J16" s="165">
        <v>0</v>
      </c>
      <c r="K16" s="165"/>
      <c r="L16" s="165">
        <v>1014.23</v>
      </c>
      <c r="M16" s="165" t="s">
        <v>279</v>
      </c>
      <c r="N16" s="165">
        <v>31.24</v>
      </c>
      <c r="O16" s="165">
        <v>1481058000</v>
      </c>
      <c r="P16" s="165">
        <v>2.74</v>
      </c>
      <c r="Q16" s="165">
        <v>69</v>
      </c>
      <c r="R16" s="165">
        <v>2.76</v>
      </c>
    </row>
    <row r="17" spans="1:18" x14ac:dyDescent="0.25">
      <c r="A17" s="165">
        <v>25.76</v>
      </c>
      <c r="B17" s="165">
        <v>0.62</v>
      </c>
      <c r="C17" s="165">
        <v>4.7699999999999996</v>
      </c>
      <c r="D17" s="8">
        <v>42710.625</v>
      </c>
      <c r="E17" s="165">
        <v>0.33</v>
      </c>
      <c r="F17" s="165" t="s">
        <v>267</v>
      </c>
      <c r="G17" s="165">
        <v>324.01</v>
      </c>
      <c r="H17" s="165">
        <v>7.0000000000000001E-3</v>
      </c>
      <c r="I17" s="165">
        <v>8.0000000000000004E-4</v>
      </c>
      <c r="J17" s="165">
        <v>0.01</v>
      </c>
      <c r="K17" s="165" t="s">
        <v>653</v>
      </c>
      <c r="L17" s="165">
        <v>1014.36</v>
      </c>
      <c r="M17" s="165" t="s">
        <v>654</v>
      </c>
      <c r="N17" s="165">
        <v>30.04</v>
      </c>
      <c r="O17" s="165">
        <v>1481061600</v>
      </c>
      <c r="P17" s="165">
        <v>2.8</v>
      </c>
      <c r="Q17" s="165">
        <v>72</v>
      </c>
      <c r="R17" s="165">
        <v>4.05</v>
      </c>
    </row>
    <row r="18" spans="1:18" x14ac:dyDescent="0.25">
      <c r="A18" s="165">
        <v>24.14</v>
      </c>
      <c r="B18" s="165">
        <v>0.8</v>
      </c>
      <c r="C18" s="165">
        <v>6.16</v>
      </c>
      <c r="D18" s="8">
        <v>42710.666666666664</v>
      </c>
      <c r="E18" s="165">
        <v>0.4</v>
      </c>
      <c r="F18" s="165" t="s">
        <v>653</v>
      </c>
      <c r="G18" s="165">
        <v>324.08999999999997</v>
      </c>
      <c r="H18" s="165">
        <v>4.1000000000000002E-2</v>
      </c>
      <c r="I18" s="165">
        <v>3.8999999999999998E-3</v>
      </c>
      <c r="J18" s="165">
        <v>0.15</v>
      </c>
      <c r="K18" s="165" t="s">
        <v>653</v>
      </c>
      <c r="L18" s="165">
        <v>1014.91</v>
      </c>
      <c r="M18" s="165" t="s">
        <v>655</v>
      </c>
      <c r="N18" s="165">
        <v>27.45</v>
      </c>
      <c r="O18" s="165">
        <v>1481065200</v>
      </c>
      <c r="P18" s="165">
        <v>4.9000000000000004</v>
      </c>
      <c r="Q18" s="165">
        <v>109</v>
      </c>
      <c r="R18" s="165">
        <v>3.02</v>
      </c>
    </row>
    <row r="19" spans="1:18" x14ac:dyDescent="0.25">
      <c r="A19" s="165">
        <v>20.71</v>
      </c>
      <c r="B19" s="165">
        <v>0.97</v>
      </c>
      <c r="C19" s="165">
        <v>8.86</v>
      </c>
      <c r="D19" s="8">
        <v>42710.708333333336</v>
      </c>
      <c r="E19" s="165">
        <v>0.48</v>
      </c>
      <c r="F19" s="165" t="s">
        <v>653</v>
      </c>
      <c r="G19" s="165">
        <v>323.83999999999997</v>
      </c>
      <c r="H19" s="165">
        <v>0.109</v>
      </c>
      <c r="I19" s="165">
        <v>9.5999999999999992E-3</v>
      </c>
      <c r="J19" s="165">
        <v>0.52</v>
      </c>
      <c r="K19" s="165" t="s">
        <v>653</v>
      </c>
      <c r="L19" s="165">
        <v>1015.39</v>
      </c>
      <c r="M19" s="165" t="s">
        <v>655</v>
      </c>
      <c r="N19" s="165">
        <v>26.01</v>
      </c>
      <c r="O19" s="165">
        <v>1481068800</v>
      </c>
      <c r="P19" s="165">
        <v>3.67</v>
      </c>
      <c r="Q19" s="165">
        <v>117</v>
      </c>
      <c r="R19" s="165">
        <v>4.37</v>
      </c>
    </row>
    <row r="20" spans="1:18" x14ac:dyDescent="0.25">
      <c r="A20" s="165">
        <v>22.04</v>
      </c>
      <c r="B20" s="165">
        <v>0.92</v>
      </c>
      <c r="C20" s="165">
        <v>12.09</v>
      </c>
      <c r="D20" s="8">
        <v>42710.75</v>
      </c>
      <c r="E20" s="165">
        <v>0.56000000000000005</v>
      </c>
      <c r="F20" s="165" t="s">
        <v>653</v>
      </c>
      <c r="G20" s="165">
        <v>322.83</v>
      </c>
      <c r="H20" s="165">
        <v>0.121</v>
      </c>
      <c r="I20" s="165">
        <v>1.04E-2</v>
      </c>
      <c r="J20" s="165">
        <v>0.54</v>
      </c>
      <c r="K20" s="165" t="s">
        <v>653</v>
      </c>
      <c r="L20" s="165">
        <v>1015.37</v>
      </c>
      <c r="M20" s="165" t="s">
        <v>655</v>
      </c>
      <c r="N20" s="165">
        <v>25.78</v>
      </c>
      <c r="O20" s="165">
        <v>1481072400</v>
      </c>
      <c r="P20" s="165">
        <v>5.09</v>
      </c>
      <c r="Q20" s="165">
        <v>126</v>
      </c>
      <c r="R20" s="165">
        <v>3.15</v>
      </c>
    </row>
    <row r="21" spans="1:18" x14ac:dyDescent="0.25">
      <c r="A21" s="165">
        <v>20.07</v>
      </c>
      <c r="B21" s="165">
        <v>0.81</v>
      </c>
      <c r="C21" s="165">
        <v>11.11</v>
      </c>
      <c r="D21" s="8">
        <v>42710.791666666664</v>
      </c>
      <c r="E21" s="165">
        <v>0.56000000000000005</v>
      </c>
      <c r="F21" s="165" t="s">
        <v>653</v>
      </c>
      <c r="G21" s="165">
        <v>321.48</v>
      </c>
      <c r="H21" s="165">
        <v>0.13600000000000001</v>
      </c>
      <c r="I21" s="165">
        <v>1.09E-2</v>
      </c>
      <c r="J21" s="165">
        <v>0.54</v>
      </c>
      <c r="K21" s="165" t="s">
        <v>653</v>
      </c>
      <c r="L21" s="165">
        <v>1015.25</v>
      </c>
      <c r="M21" s="165" t="s">
        <v>655</v>
      </c>
      <c r="N21" s="165">
        <v>24.53</v>
      </c>
      <c r="O21" s="165">
        <v>1481076000</v>
      </c>
      <c r="P21" s="165">
        <v>5.52</v>
      </c>
      <c r="Q21" s="165">
        <v>136</v>
      </c>
      <c r="R21" s="165">
        <v>3.53</v>
      </c>
    </row>
    <row r="22" spans="1:18" x14ac:dyDescent="0.25">
      <c r="A22" s="165">
        <v>19.100000000000001</v>
      </c>
      <c r="B22" s="165">
        <v>0.76</v>
      </c>
      <c r="C22" s="165">
        <v>8.76</v>
      </c>
      <c r="D22" s="8">
        <v>42710.833333333336</v>
      </c>
      <c r="E22" s="165">
        <v>0.52</v>
      </c>
      <c r="F22" s="165" t="s">
        <v>653</v>
      </c>
      <c r="G22" s="165">
        <v>320.77999999999997</v>
      </c>
      <c r="H22" s="165">
        <v>0.185</v>
      </c>
      <c r="I22" s="165">
        <v>1.4200000000000001E-2</v>
      </c>
      <c r="J22" s="165">
        <v>0.57999999999999996</v>
      </c>
      <c r="K22" s="165" t="s">
        <v>653</v>
      </c>
      <c r="L22" s="165">
        <v>1015.53</v>
      </c>
      <c r="M22" s="165" t="s">
        <v>656</v>
      </c>
      <c r="N22" s="165">
        <v>23.62</v>
      </c>
      <c r="O22" s="165">
        <v>1481079600</v>
      </c>
      <c r="P22" s="165">
        <v>2.64</v>
      </c>
      <c r="Q22" s="165">
        <v>126</v>
      </c>
      <c r="R22" s="165">
        <v>3.48</v>
      </c>
    </row>
    <row r="23" spans="1:18" x14ac:dyDescent="0.25">
      <c r="A23" s="165">
        <v>16.690000000000001</v>
      </c>
      <c r="B23" s="165">
        <v>0.81</v>
      </c>
      <c r="C23" s="165">
        <v>9.93</v>
      </c>
      <c r="D23" s="8">
        <v>42710.875</v>
      </c>
      <c r="E23" s="165">
        <v>0.61</v>
      </c>
      <c r="F23" s="165" t="s">
        <v>653</v>
      </c>
      <c r="G23" s="165">
        <v>321.32</v>
      </c>
      <c r="H23" s="165">
        <v>0.30499999999999999</v>
      </c>
      <c r="I23" s="165">
        <v>2.0799999999999999E-2</v>
      </c>
      <c r="J23" s="165">
        <v>0.64</v>
      </c>
      <c r="K23" s="165" t="s">
        <v>653</v>
      </c>
      <c r="L23" s="165">
        <v>1016.59</v>
      </c>
      <c r="M23" s="165" t="s">
        <v>656</v>
      </c>
      <c r="N23" s="165">
        <v>21.36</v>
      </c>
      <c r="O23" s="165">
        <v>1481083200</v>
      </c>
      <c r="P23" s="165">
        <v>2.3199999999999998</v>
      </c>
      <c r="Q23" s="165">
        <v>112</v>
      </c>
      <c r="R23" s="165">
        <v>3.37</v>
      </c>
    </row>
    <row r="24" spans="1:18" x14ac:dyDescent="0.25">
      <c r="A24" s="165">
        <v>17.22</v>
      </c>
      <c r="B24" s="165">
        <v>0.92</v>
      </c>
      <c r="C24" s="165">
        <v>12.22</v>
      </c>
      <c r="D24" s="8">
        <v>42710.916666666664</v>
      </c>
      <c r="E24" s="165">
        <v>0.66</v>
      </c>
      <c r="F24" s="165" t="s">
        <v>653</v>
      </c>
      <c r="G24" s="165">
        <v>322.52</v>
      </c>
      <c r="H24" s="165">
        <v>0.33200000000000002</v>
      </c>
      <c r="I24" s="165">
        <v>2.3199999999999998E-2</v>
      </c>
      <c r="J24" s="165">
        <v>0.65</v>
      </c>
      <c r="K24" s="165" t="s">
        <v>653</v>
      </c>
      <c r="L24" s="165">
        <v>1017.99</v>
      </c>
      <c r="M24" s="165" t="s">
        <v>656</v>
      </c>
      <c r="N24" s="165">
        <v>21.82</v>
      </c>
      <c r="O24" s="165">
        <v>1481086800</v>
      </c>
      <c r="P24" s="165">
        <v>1.52</v>
      </c>
      <c r="Q24" s="165">
        <v>115</v>
      </c>
      <c r="R24" s="165">
        <v>3.36</v>
      </c>
    </row>
    <row r="25" spans="1:18" x14ac:dyDescent="0.25">
      <c r="A25" s="165">
        <v>15.1</v>
      </c>
      <c r="B25" s="165">
        <v>1</v>
      </c>
      <c r="C25" s="165">
        <v>13.69</v>
      </c>
      <c r="D25" s="8">
        <v>42710.958333333336</v>
      </c>
      <c r="E25" s="165">
        <v>0.77</v>
      </c>
      <c r="F25" s="165" t="s">
        <v>653</v>
      </c>
      <c r="G25" s="165">
        <v>323.61</v>
      </c>
      <c r="H25" s="165">
        <v>0.46300000000000002</v>
      </c>
      <c r="I25" s="165">
        <v>2.93E-2</v>
      </c>
      <c r="J25" s="165">
        <v>0.68</v>
      </c>
      <c r="K25" s="165" t="s">
        <v>653</v>
      </c>
      <c r="L25" s="165">
        <v>1018.9</v>
      </c>
      <c r="M25" s="165" t="s">
        <v>656</v>
      </c>
      <c r="N25" s="165">
        <v>19.73</v>
      </c>
      <c r="O25" s="165">
        <v>1481090400</v>
      </c>
      <c r="P25" s="165">
        <v>0.67</v>
      </c>
      <c r="Q25" s="165">
        <v>92</v>
      </c>
      <c r="R25" s="165">
        <v>3.2</v>
      </c>
    </row>
    <row r="26" spans="1:18" x14ac:dyDescent="0.25">
      <c r="A26" s="165">
        <v>19.079999999999998</v>
      </c>
      <c r="B26" s="165">
        <v>0.87</v>
      </c>
      <c r="C26" s="165">
        <v>15.74</v>
      </c>
      <c r="D26" s="8">
        <v>42711</v>
      </c>
      <c r="E26" s="165">
        <v>0.87</v>
      </c>
      <c r="F26" s="165" t="s">
        <v>653</v>
      </c>
      <c r="G26" s="165">
        <v>324.20999999999998</v>
      </c>
      <c r="H26" s="165">
        <v>0.60499999999999998</v>
      </c>
      <c r="I26" s="165">
        <v>3.7100000000000001E-2</v>
      </c>
      <c r="J26" s="165">
        <v>0.72</v>
      </c>
      <c r="K26" s="165" t="s">
        <v>653</v>
      </c>
      <c r="L26" s="165">
        <v>1019.49</v>
      </c>
      <c r="M26" s="165" t="s">
        <v>657</v>
      </c>
      <c r="N26" s="165">
        <v>19.079999999999998</v>
      </c>
      <c r="O26" s="165">
        <v>1481094000</v>
      </c>
      <c r="P26" s="165">
        <v>0.76</v>
      </c>
      <c r="Q26" s="165">
        <v>82</v>
      </c>
      <c r="R26" s="165">
        <v>2.72</v>
      </c>
    </row>
    <row r="27" spans="1:18" x14ac:dyDescent="0.25">
      <c r="A27" s="165">
        <v>18.309999999999999</v>
      </c>
      <c r="B27" s="165">
        <v>0.74</v>
      </c>
      <c r="C27" s="165">
        <v>15.27</v>
      </c>
      <c r="D27" s="8">
        <v>42711.041666666664</v>
      </c>
      <c r="E27" s="165">
        <v>0.88</v>
      </c>
      <c r="F27" s="165" t="s">
        <v>653</v>
      </c>
      <c r="G27" s="165">
        <v>324.81</v>
      </c>
      <c r="H27" s="165">
        <v>0.52200000000000002</v>
      </c>
      <c r="I27" s="165">
        <v>3.09E-2</v>
      </c>
      <c r="J27" s="165">
        <v>0.69</v>
      </c>
      <c r="K27" s="165" t="s">
        <v>653</v>
      </c>
      <c r="L27" s="165">
        <v>1020.1</v>
      </c>
      <c r="M27" s="165" t="s">
        <v>656</v>
      </c>
      <c r="N27" s="165">
        <v>18.309999999999999</v>
      </c>
      <c r="O27" s="165">
        <v>1481097600</v>
      </c>
      <c r="P27" s="165">
        <v>2.42</v>
      </c>
      <c r="Q27" s="165">
        <v>73</v>
      </c>
      <c r="R27" s="165">
        <v>1.32</v>
      </c>
    </row>
    <row r="28" spans="1:18" x14ac:dyDescent="0.25">
      <c r="A28" s="165">
        <v>17.47</v>
      </c>
      <c r="B28" s="165">
        <v>0.61</v>
      </c>
      <c r="C28" s="165">
        <v>14.06</v>
      </c>
      <c r="D28" s="8">
        <v>42711.083333333336</v>
      </c>
      <c r="E28" s="165">
        <v>0.86</v>
      </c>
      <c r="F28" s="165" t="s">
        <v>653</v>
      </c>
      <c r="G28" s="165">
        <v>325.41000000000003</v>
      </c>
      <c r="H28" s="165">
        <v>0.23</v>
      </c>
      <c r="I28" s="165">
        <v>1.3100000000000001E-2</v>
      </c>
      <c r="J28" s="165">
        <v>0.56999999999999995</v>
      </c>
      <c r="K28" s="165" t="s">
        <v>653</v>
      </c>
      <c r="L28" s="165">
        <v>1020.77</v>
      </c>
      <c r="M28" s="165" t="s">
        <v>656</v>
      </c>
      <c r="N28" s="165">
        <v>17.47</v>
      </c>
      <c r="O28" s="165">
        <v>1481101200</v>
      </c>
      <c r="P28" s="165">
        <v>2.3199999999999998</v>
      </c>
      <c r="Q28" s="165">
        <v>85</v>
      </c>
      <c r="R28" s="165">
        <v>1.42</v>
      </c>
    </row>
    <row r="29" spans="1:18" x14ac:dyDescent="0.25">
      <c r="A29" s="165">
        <v>17.39</v>
      </c>
      <c r="B29" s="165">
        <v>0.78</v>
      </c>
      <c r="C29" s="165">
        <v>13.75</v>
      </c>
      <c r="D29" s="8">
        <v>42711.125</v>
      </c>
      <c r="E29" s="165">
        <v>0.85</v>
      </c>
      <c r="F29" s="165" t="s">
        <v>653</v>
      </c>
      <c r="G29" s="165">
        <v>326.83</v>
      </c>
      <c r="H29" s="165">
        <v>0.114</v>
      </c>
      <c r="I29" s="165">
        <v>6.4999999999999997E-3</v>
      </c>
      <c r="J29" s="165">
        <v>0.32</v>
      </c>
      <c r="K29" s="165" t="s">
        <v>653</v>
      </c>
      <c r="L29" s="165">
        <v>1021.64</v>
      </c>
      <c r="M29" s="165" t="s">
        <v>655</v>
      </c>
      <c r="N29" s="165">
        <v>17.39</v>
      </c>
      <c r="O29" s="165">
        <v>1481104800</v>
      </c>
      <c r="P29" s="165">
        <v>2.38</v>
      </c>
      <c r="Q29" s="165">
        <v>68</v>
      </c>
      <c r="R29" s="165">
        <v>1.9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2"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812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814</v>
      </c>
      <c r="J20" t="s">
        <v>87</v>
      </c>
      <c r="M20" s="165" t="s">
        <v>277</v>
      </c>
    </row>
    <row r="21" spans="3:13" x14ac:dyDescent="0.25">
      <c r="C21" t="s">
        <v>815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816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817</v>
      </c>
      <c r="J23" s="29" t="s">
        <v>95</v>
      </c>
      <c r="K23" s="21"/>
      <c r="M23" s="165">
        <v>-7</v>
      </c>
    </row>
    <row r="24" spans="3:13" x14ac:dyDescent="0.25">
      <c r="C24" t="s">
        <v>818</v>
      </c>
      <c r="J24" s="21" t="s">
        <v>108</v>
      </c>
      <c r="K24" s="21"/>
      <c r="M24" s="165" t="s">
        <v>110</v>
      </c>
    </row>
    <row r="25" spans="3:13" x14ac:dyDescent="0.25">
      <c r="C25" t="s">
        <v>819</v>
      </c>
      <c r="J25" t="s">
        <v>151</v>
      </c>
      <c r="M25" s="165" t="b">
        <v>1</v>
      </c>
    </row>
    <row r="26" spans="3:13" x14ac:dyDescent="0.25">
      <c r="C26" t="s">
        <v>820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C:\Users\stu\Documents\GitHub\eaglep3-reporting\EC\2016-12-06-refined-times.txt</v>
      </c>
    </row>
    <row r="27" spans="3:13" x14ac:dyDescent="0.25">
      <c r="C27" t="s">
        <v>821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C:\Users\stu\Documents\GitHub\eaglep3-reporting\EC\2016-12-06-Enforcements.txt</v>
      </c>
    </row>
    <row r="28" spans="3:13" x14ac:dyDescent="0.25">
      <c r="C28" t="s">
        <v>822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C:\Users\stu\Documents\GitHub\eaglep3-reporting\EC\2016-12-06-Runs.txt</v>
      </c>
    </row>
    <row r="29" spans="3:13" x14ac:dyDescent="0.25">
      <c r="C29" t="s">
        <v>823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C:\Users\stu\Documents\GitHub\eaglep3-reporting\EC\2016-12-06-Trips.txt</v>
      </c>
    </row>
    <row r="30" spans="3:13" x14ac:dyDescent="0.25">
      <c r="C30" t="s">
        <v>824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C:\Users\stu\Documents\GitHub\eaglep3-reporting\EC\2016-12-06-Weather.txt</v>
      </c>
    </row>
    <row r="31" spans="3:13" x14ac:dyDescent="0.25">
      <c r="C31" t="s">
        <v>825</v>
      </c>
    </row>
    <row r="32" spans="3:13" x14ac:dyDescent="0.25">
      <c r="C32" t="s">
        <v>826</v>
      </c>
    </row>
    <row r="33" spans="3:3" x14ac:dyDescent="0.25">
      <c r="C33" t="s">
        <v>827</v>
      </c>
    </row>
    <row r="34" spans="3:3" x14ac:dyDescent="0.25">
      <c r="C34" t="s">
        <v>828</v>
      </c>
    </row>
    <row r="35" spans="3:3" x14ac:dyDescent="0.25">
      <c r="C35" t="s">
        <v>829</v>
      </c>
    </row>
    <row r="36" spans="3:3" x14ac:dyDescent="0.25">
      <c r="C36" t="s">
        <v>830</v>
      </c>
    </row>
    <row r="37" spans="3:3" x14ac:dyDescent="0.25">
      <c r="C37" t="s">
        <v>833</v>
      </c>
    </row>
    <row r="38" spans="3:3" x14ac:dyDescent="0.25">
      <c r="C38" t="s">
        <v>831</v>
      </c>
    </row>
    <row r="39" spans="3:3" x14ac:dyDescent="0.25">
      <c r="C39" t="s">
        <v>832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0" workbookViewId="0">
      <selection activeCell="B24" sqref="B2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847</v>
      </c>
      <c r="B1" t="str">
        <f t="shared" ref="B1:B52" si="0">MID(A1,6,23)</f>
        <v>2016/12/06 12:52:15.990</v>
      </c>
      <c r="C1" t="e">
        <f>ABS(B1-#REF!)</f>
        <v>#REF!</v>
      </c>
    </row>
    <row r="2" spans="1:3" x14ac:dyDescent="0.25">
      <c r="A2" t="s">
        <v>848</v>
      </c>
      <c r="B2" s="21" t="str">
        <f t="shared" si="0"/>
        <v>2016/12/06 12:52:16.168</v>
      </c>
      <c r="C2">
        <f>ABS(B2-B1)</f>
        <v>2.0601801224984229E-6</v>
      </c>
    </row>
    <row r="3" spans="1:3" x14ac:dyDescent="0.25">
      <c r="A3" t="s">
        <v>849</v>
      </c>
      <c r="B3" s="21" t="str">
        <f t="shared" si="0"/>
        <v>2016/12/06 12:52:16.182</v>
      </c>
      <c r="C3" s="21">
        <f t="shared" ref="C3:C52" si="1">ABS(B3-B2)</f>
        <v>1.6203557606786489E-7</v>
      </c>
    </row>
    <row r="4" spans="1:3" x14ac:dyDescent="0.25">
      <c r="A4" t="s">
        <v>850</v>
      </c>
      <c r="B4" s="21" t="str">
        <f t="shared" si="0"/>
        <v>2016/12/06 13:38:37.578</v>
      </c>
      <c r="C4" s="21">
        <f t="shared" si="1"/>
        <v>3.219208333757706E-2</v>
      </c>
    </row>
    <row r="5" spans="1:3" x14ac:dyDescent="0.25">
      <c r="A5" t="s">
        <v>851</v>
      </c>
      <c r="B5" s="21" t="str">
        <f t="shared" si="0"/>
        <v>2016/12/06 13:38:37.597</v>
      </c>
      <c r="C5" s="21">
        <f t="shared" si="1"/>
        <v>2.1990854293107986E-7</v>
      </c>
    </row>
    <row r="6" spans="1:3" x14ac:dyDescent="0.25">
      <c r="A6" t="s">
        <v>852</v>
      </c>
      <c r="B6" s="21" t="str">
        <f t="shared" si="0"/>
        <v>2016/12/06 13:38:37.726</v>
      </c>
      <c r="C6" s="21">
        <f t="shared" si="1"/>
        <v>1.4930556062608957E-6</v>
      </c>
    </row>
    <row r="7" spans="1:3" x14ac:dyDescent="0.25">
      <c r="A7" t="s">
        <v>853</v>
      </c>
      <c r="B7" s="21" t="str">
        <f t="shared" si="0"/>
        <v>2016/12/06 13:38:37.747</v>
      </c>
      <c r="C7" s="21">
        <f t="shared" si="1"/>
        <v>2.4305336410179734E-7</v>
      </c>
    </row>
    <row r="8" spans="1:3" x14ac:dyDescent="0.25">
      <c r="A8" t="s">
        <v>854</v>
      </c>
      <c r="B8" s="21" t="str">
        <f t="shared" si="0"/>
        <v>2016/12/06 13:38:38.227</v>
      </c>
      <c r="C8" s="21">
        <f t="shared" si="1"/>
        <v>5.5555574363097548E-6</v>
      </c>
    </row>
    <row r="9" spans="1:3" x14ac:dyDescent="0.25">
      <c r="A9" t="s">
        <v>855</v>
      </c>
      <c r="B9" s="21" t="str">
        <f t="shared" si="0"/>
        <v>2016/12/06 13:38:38.247</v>
      </c>
      <c r="C9" s="21">
        <f t="shared" si="1"/>
        <v>2.3147731553763151E-7</v>
      </c>
    </row>
    <row r="10" spans="1:3" x14ac:dyDescent="0.25">
      <c r="A10" t="s">
        <v>856</v>
      </c>
      <c r="B10" s="21" t="str">
        <f t="shared" si="0"/>
        <v>2016/12/06 13:42:02.562</v>
      </c>
      <c r="C10" s="21">
        <f t="shared" si="1"/>
        <v>2.3647569469176233E-3</v>
      </c>
    </row>
    <row r="11" spans="1:3" x14ac:dyDescent="0.25">
      <c r="A11" t="s">
        <v>857</v>
      </c>
      <c r="B11" s="21" t="str">
        <f t="shared" si="0"/>
        <v>2016/12/06 13:42:02.581</v>
      </c>
      <c r="C11" s="21">
        <f t="shared" si="1"/>
        <v>2.1990854293107986E-7</v>
      </c>
    </row>
    <row r="12" spans="1:3" x14ac:dyDescent="0.25">
      <c r="A12" t="s">
        <v>858</v>
      </c>
      <c r="B12" s="21" t="str">
        <f t="shared" si="0"/>
        <v>2016/12/06 13:42:02.711</v>
      </c>
      <c r="C12" s="21">
        <f t="shared" si="1"/>
        <v>1.5046316548250616E-6</v>
      </c>
    </row>
    <row r="13" spans="1:3" x14ac:dyDescent="0.25">
      <c r="A13" t="s">
        <v>859</v>
      </c>
      <c r="B13" s="21" t="str">
        <f t="shared" si="0"/>
        <v>2016/12/06 13:42:02.732</v>
      </c>
      <c r="C13" s="21">
        <f t="shared" si="1"/>
        <v>2.4305336410179734E-7</v>
      </c>
    </row>
    <row r="14" spans="1:3" x14ac:dyDescent="0.25">
      <c r="A14" t="s">
        <v>860</v>
      </c>
      <c r="B14" s="21" t="str">
        <f t="shared" si="0"/>
        <v>2016/12/06 13:42:03.203</v>
      </c>
      <c r="C14" s="21">
        <f t="shared" si="1"/>
        <v>5.4513875511474907E-6</v>
      </c>
    </row>
    <row r="15" spans="1:3" x14ac:dyDescent="0.25">
      <c r="A15" t="s">
        <v>861</v>
      </c>
      <c r="B15" s="21" t="str">
        <f t="shared" si="0"/>
        <v>2016/12/06 13:42:03.223</v>
      </c>
      <c r="C15" s="21">
        <f t="shared" si="1"/>
        <v>2.314845914952457E-7</v>
      </c>
    </row>
    <row r="16" spans="1:3" x14ac:dyDescent="0.25">
      <c r="A16" t="s">
        <v>862</v>
      </c>
      <c r="B16" s="21" t="str">
        <f t="shared" si="0"/>
        <v>2016/12/06 13:58:03.145</v>
      </c>
      <c r="C16" s="21">
        <f t="shared" si="1"/>
        <v>1.1110208331956528E-2</v>
      </c>
    </row>
    <row r="17" spans="1:3" x14ac:dyDescent="0.25">
      <c r="A17" t="s">
        <v>863</v>
      </c>
      <c r="B17" s="21" t="str">
        <f t="shared" si="0"/>
        <v>2016/12/06 13:58:03.503</v>
      </c>
      <c r="C17" s="21">
        <f t="shared" si="1"/>
        <v>4.1435196180827916E-6</v>
      </c>
    </row>
    <row r="18" spans="1:3" x14ac:dyDescent="0.25">
      <c r="A18" t="s">
        <v>864</v>
      </c>
      <c r="B18" s="21" t="str">
        <f t="shared" si="0"/>
        <v>2016/12/06 13:58:03.651</v>
      </c>
      <c r="C18" s="21">
        <f t="shared" si="1"/>
        <v>1.7129641491919756E-6</v>
      </c>
    </row>
    <row r="19" spans="1:3" x14ac:dyDescent="0.25">
      <c r="A19" t="s">
        <v>865</v>
      </c>
      <c r="B19" s="21" t="str">
        <f t="shared" si="0"/>
        <v>2016/12/06 14:02:39.142</v>
      </c>
      <c r="C19" s="21">
        <f t="shared" si="1"/>
        <v>3.1885532371234149E-3</v>
      </c>
    </row>
    <row r="20" spans="1:3" x14ac:dyDescent="0.25">
      <c r="A20" t="s">
        <v>866</v>
      </c>
      <c r="B20" s="21" t="str">
        <f t="shared" si="0"/>
        <v>2016/12/06 14:02:39.499</v>
      </c>
      <c r="C20" s="21">
        <f t="shared" si="1"/>
        <v>4.1319435695186257E-6</v>
      </c>
    </row>
    <row r="21" spans="1:3" x14ac:dyDescent="0.25">
      <c r="A21" t="s">
        <v>867</v>
      </c>
      <c r="B21" s="21" t="str">
        <f t="shared" si="0"/>
        <v>2016/12/06 14:02:39.652</v>
      </c>
      <c r="C21" s="21">
        <f t="shared" si="1"/>
        <v>1.7708371160551906E-6</v>
      </c>
    </row>
    <row r="22" spans="1:3" x14ac:dyDescent="0.25">
      <c r="A22" t="s">
        <v>868</v>
      </c>
      <c r="B22" s="21" t="str">
        <f t="shared" si="0"/>
        <v>2016/12/06 14:14:00.575</v>
      </c>
      <c r="C22" s="21">
        <f t="shared" si="1"/>
        <v>7.8810532359057106E-3</v>
      </c>
    </row>
    <row r="23" spans="1:3" x14ac:dyDescent="0.25">
      <c r="A23" t="s">
        <v>869</v>
      </c>
      <c r="B23" s="21" t="str">
        <f t="shared" si="0"/>
        <v>2016/12/06 14:14:01.050</v>
      </c>
      <c r="C23" s="21">
        <f t="shared" si="1"/>
        <v>5.4976844694465399E-6</v>
      </c>
    </row>
    <row r="24" spans="1:3" x14ac:dyDescent="0.25">
      <c r="A24" t="s">
        <v>870</v>
      </c>
      <c r="B24" s="21" t="str">
        <f t="shared" si="0"/>
        <v>2016/12/06 14:58:33.709</v>
      </c>
      <c r="C24" s="21">
        <f t="shared" si="1"/>
        <v>3.0933553243812639E-2</v>
      </c>
    </row>
    <row r="25" spans="1:3" x14ac:dyDescent="0.25">
      <c r="A25" t="s">
        <v>871</v>
      </c>
      <c r="B25" s="21" t="str">
        <f t="shared" si="0"/>
        <v>2016/12/06 15:05:01.681</v>
      </c>
      <c r="C25" s="21">
        <f t="shared" si="1"/>
        <v>4.4904166643391363E-3</v>
      </c>
    </row>
    <row r="26" spans="1:3" x14ac:dyDescent="0.25">
      <c r="A26" t="s">
        <v>872</v>
      </c>
      <c r="B26" s="21" t="str">
        <f t="shared" si="0"/>
        <v>2016/12/06 15:05:02.954</v>
      </c>
      <c r="C26" s="21">
        <f t="shared" si="1"/>
        <v>1.4733799616806209E-5</v>
      </c>
    </row>
    <row r="27" spans="1:3" x14ac:dyDescent="0.25">
      <c r="A27" t="s">
        <v>873</v>
      </c>
      <c r="B27" s="21" t="str">
        <f t="shared" si="0"/>
        <v>2016/12/06 15:24:28.885</v>
      </c>
      <c r="C27" s="21">
        <f t="shared" si="1"/>
        <v>1.3494571758201346E-2</v>
      </c>
    </row>
    <row r="28" spans="1:3" x14ac:dyDescent="0.25">
      <c r="A28" t="s">
        <v>874</v>
      </c>
      <c r="B28" s="21" t="str">
        <f t="shared" si="0"/>
        <v>2016/12/06 15:24:29.359</v>
      </c>
      <c r="C28" s="21">
        <f t="shared" si="1"/>
        <v>5.486108420882374E-6</v>
      </c>
    </row>
    <row r="29" spans="1:3" x14ac:dyDescent="0.25">
      <c r="A29" t="s">
        <v>875</v>
      </c>
      <c r="B29" s="21" t="str">
        <f t="shared" si="0"/>
        <v>2016/12/06 15:24:30.147</v>
      </c>
      <c r="C29" s="21">
        <f t="shared" si="1"/>
        <v>9.1203692136332393E-6</v>
      </c>
    </row>
    <row r="30" spans="1:3" x14ac:dyDescent="0.25">
      <c r="A30" t="s">
        <v>876</v>
      </c>
      <c r="B30" s="21" t="str">
        <f t="shared" si="0"/>
        <v>2016/12/06 15:48:08.235</v>
      </c>
      <c r="C30" s="21">
        <f t="shared" si="1"/>
        <v>1.6413055556768086E-2</v>
      </c>
    </row>
    <row r="31" spans="1:3" x14ac:dyDescent="0.25">
      <c r="A31" t="s">
        <v>877</v>
      </c>
      <c r="B31" s="21" t="str">
        <f t="shared" si="0"/>
        <v>2016/12/06 15:48:08.591</v>
      </c>
      <c r="C31" s="21">
        <f t="shared" si="1"/>
        <v>4.1203747969120741E-6</v>
      </c>
    </row>
    <row r="32" spans="1:3" x14ac:dyDescent="0.25">
      <c r="A32" t="s">
        <v>878</v>
      </c>
      <c r="B32" s="21" t="str">
        <f t="shared" si="0"/>
        <v>2016/12/06 15:48:08.738</v>
      </c>
      <c r="C32" s="21">
        <f t="shared" si="1"/>
        <v>1.7013881006278098E-6</v>
      </c>
    </row>
    <row r="33" spans="1:3" x14ac:dyDescent="0.25">
      <c r="A33" t="s">
        <v>879</v>
      </c>
      <c r="B33" s="21" t="str">
        <f t="shared" si="0"/>
        <v>2016/12/06 15:49:58.491</v>
      </c>
      <c r="C33" s="21">
        <f t="shared" si="1"/>
        <v>1.2702893509413116E-3</v>
      </c>
    </row>
    <row r="34" spans="1:3" x14ac:dyDescent="0.25">
      <c r="A34" t="s">
        <v>880</v>
      </c>
      <c r="B34" s="21" t="str">
        <f t="shared" si="0"/>
        <v>2016/12/06 15:49:58.638</v>
      </c>
      <c r="C34" s="21">
        <f t="shared" si="1"/>
        <v>1.7013881006278098E-6</v>
      </c>
    </row>
    <row r="35" spans="1:3" x14ac:dyDescent="0.25">
      <c r="A35" t="s">
        <v>881</v>
      </c>
      <c r="B35" s="21" t="str">
        <f t="shared" si="0"/>
        <v>2016/12/06 15:49:59.139</v>
      </c>
      <c r="C35" s="21">
        <f t="shared" si="1"/>
        <v>5.7986108004115522E-6</v>
      </c>
    </row>
    <row r="36" spans="1:3" x14ac:dyDescent="0.25">
      <c r="A36" t="s">
        <v>882</v>
      </c>
      <c r="B36" s="21" t="str">
        <f t="shared" si="0"/>
        <v>2016/12/06 15:50:18.576</v>
      </c>
      <c r="C36" s="21">
        <f t="shared" si="1"/>
        <v>2.2496527526527643E-4</v>
      </c>
    </row>
    <row r="37" spans="1:3" x14ac:dyDescent="0.25">
      <c r="A37" t="s">
        <v>883</v>
      </c>
      <c r="B37" s="21" t="str">
        <f t="shared" si="0"/>
        <v>2016/12/06 15:50:18.720</v>
      </c>
      <c r="C37" s="21">
        <f t="shared" si="1"/>
        <v>1.6666672308929265E-6</v>
      </c>
    </row>
    <row r="38" spans="1:3" x14ac:dyDescent="0.25">
      <c r="A38" t="s">
        <v>884</v>
      </c>
      <c r="B38" s="21" t="str">
        <f t="shared" si="0"/>
        <v>2016/12/06 15:50:19.212</v>
      </c>
      <c r="C38" s="21">
        <f t="shared" si="1"/>
        <v>5.6944481912069023E-6</v>
      </c>
    </row>
    <row r="39" spans="1:3" x14ac:dyDescent="0.25">
      <c r="A39" t="s">
        <v>885</v>
      </c>
      <c r="B39" s="21" t="str">
        <f t="shared" si="0"/>
        <v>2016/12/06 16:54:35.575</v>
      </c>
      <c r="C39" s="21">
        <f t="shared" si="1"/>
        <v>4.4633831013925374E-2</v>
      </c>
    </row>
    <row r="40" spans="1:3" x14ac:dyDescent="0.25">
      <c r="A40" t="s">
        <v>886</v>
      </c>
      <c r="B40" s="21" t="str">
        <f t="shared" si="0"/>
        <v>2016/12/06 16:54:35.729</v>
      </c>
      <c r="C40" s="21">
        <f t="shared" si="1"/>
        <v>1.7824131646193564E-6</v>
      </c>
    </row>
    <row r="41" spans="1:3" x14ac:dyDescent="0.25">
      <c r="A41" t="s">
        <v>887</v>
      </c>
      <c r="B41" s="21" t="str">
        <f t="shared" si="0"/>
        <v>2016/12/06 16:54:36.213</v>
      </c>
      <c r="C41" s="21">
        <f t="shared" si="1"/>
        <v>5.6018470786511898E-6</v>
      </c>
    </row>
    <row r="42" spans="1:3" x14ac:dyDescent="0.25">
      <c r="A42" t="s">
        <v>888</v>
      </c>
      <c r="B42" s="21" t="str">
        <f t="shared" si="0"/>
        <v>2016/12/06 17:07:25.924</v>
      </c>
      <c r="C42" s="21">
        <f t="shared" si="1"/>
        <v>8.9086921288981102E-3</v>
      </c>
    </row>
    <row r="43" spans="1:3" x14ac:dyDescent="0.25">
      <c r="A43" t="s">
        <v>889</v>
      </c>
      <c r="B43" s="21" t="str">
        <f t="shared" si="0"/>
        <v>2016/12/06 17:07:26.371</v>
      </c>
      <c r="C43" s="21">
        <f t="shared" si="1"/>
        <v>5.1736133173108101E-6</v>
      </c>
    </row>
    <row r="44" spans="1:3" x14ac:dyDescent="0.25">
      <c r="A44" t="s">
        <v>890</v>
      </c>
      <c r="B44" s="21" t="str">
        <f t="shared" si="0"/>
        <v>2016/12/06 17:07:26.395</v>
      </c>
      <c r="C44" s="21">
        <f t="shared" si="1"/>
        <v>2.7778150979429483E-7</v>
      </c>
    </row>
    <row r="45" spans="1:3" x14ac:dyDescent="0.25">
      <c r="A45" t="s">
        <v>891</v>
      </c>
      <c r="B45" s="21" t="str">
        <f t="shared" si="0"/>
        <v>2016/12/06 17:38:53.034</v>
      </c>
      <c r="C45" s="21">
        <f t="shared" si="1"/>
        <v>2.1836099534993991E-2</v>
      </c>
    </row>
    <row r="46" spans="1:3" x14ac:dyDescent="0.25">
      <c r="A46" t="s">
        <v>892</v>
      </c>
      <c r="B46" s="21" t="str">
        <f t="shared" si="0"/>
        <v>2016/12/06 17:38:53.692</v>
      </c>
      <c r="C46" s="21">
        <f t="shared" si="1"/>
        <v>7.6157375588081777E-6</v>
      </c>
    </row>
    <row r="47" spans="1:3" x14ac:dyDescent="0.25">
      <c r="A47" t="s">
        <v>893</v>
      </c>
      <c r="B47" s="21" t="str">
        <f t="shared" si="0"/>
        <v>2016/12/06 18:00:54.027</v>
      </c>
      <c r="C47" s="21">
        <f t="shared" si="1"/>
        <v>1.5281655098078772E-2</v>
      </c>
    </row>
    <row r="48" spans="1:3" x14ac:dyDescent="0.25">
      <c r="A48" t="s">
        <v>894</v>
      </c>
      <c r="B48" s="21" t="str">
        <f t="shared" si="0"/>
        <v>2016/12/06 18:00:54.680</v>
      </c>
      <c r="C48" s="21">
        <f t="shared" si="1"/>
        <v>7.5578645919449627E-6</v>
      </c>
    </row>
    <row r="49" spans="1:3" x14ac:dyDescent="0.25">
      <c r="A49" t="s">
        <v>895</v>
      </c>
      <c r="B49" s="21" t="str">
        <f t="shared" si="0"/>
        <v>2016/12/06 18:36:33.026</v>
      </c>
      <c r="C49" s="21">
        <f t="shared" si="1"/>
        <v>2.4749374999373686E-2</v>
      </c>
    </row>
    <row r="50" spans="1:3" x14ac:dyDescent="0.25">
      <c r="A50" t="s">
        <v>896</v>
      </c>
      <c r="B50" s="21" t="str">
        <f t="shared" si="0"/>
        <v>2016/12/06 18:36:33.677</v>
      </c>
      <c r="C50" s="21">
        <f t="shared" si="1"/>
        <v>7.5347270467318594E-6</v>
      </c>
    </row>
    <row r="51" spans="1:3" x14ac:dyDescent="0.25">
      <c r="A51" t="s">
        <v>897</v>
      </c>
      <c r="B51" s="21" t="str">
        <f t="shared" si="0"/>
        <v>2016/12/06 18:51:57.743</v>
      </c>
      <c r="C51" s="21">
        <f t="shared" si="1"/>
        <v>1.0695208329707384E-2</v>
      </c>
    </row>
    <row r="52" spans="1:3" x14ac:dyDescent="0.25">
      <c r="A52" t="s">
        <v>898</v>
      </c>
      <c r="B52" s="21" t="str">
        <f t="shared" si="0"/>
        <v>2016/12/06 18:51:58.224</v>
      </c>
      <c r="C52" s="21">
        <f t="shared" si="1"/>
        <v>5.5671334848739207E-6</v>
      </c>
    </row>
    <row r="53" spans="1:3" x14ac:dyDescent="0.25">
      <c r="A53" t="s">
        <v>899</v>
      </c>
      <c r="B53" s="21" t="str">
        <f t="shared" ref="B53:B80" si="2">MID(A53,6,23)</f>
        <v>2016/12/06 18:51:58.591</v>
      </c>
      <c r="C53" s="21">
        <f t="shared" ref="C53:C80" si="3">ABS(B53-B52)</f>
        <v>4.2476822272874415E-6</v>
      </c>
    </row>
    <row r="54" spans="1:3" x14ac:dyDescent="0.25">
      <c r="A54" t="s">
        <v>900</v>
      </c>
      <c r="B54" s="21" t="str">
        <f t="shared" si="2"/>
        <v>2016/12/06 20:43:16.602</v>
      </c>
      <c r="C54" s="21">
        <f t="shared" si="3"/>
        <v>7.7291793983022217E-2</v>
      </c>
    </row>
    <row r="55" spans="1:3" x14ac:dyDescent="0.25">
      <c r="A55" t="s">
        <v>901</v>
      </c>
      <c r="B55" s="21" t="str">
        <f t="shared" si="2"/>
        <v>2016/12/06 20:43:16.750</v>
      </c>
      <c r="C55" s="21">
        <f t="shared" si="3"/>
        <v>1.7129641491919756E-6</v>
      </c>
    </row>
    <row r="56" spans="1:3" x14ac:dyDescent="0.25">
      <c r="A56" t="s">
        <v>902</v>
      </c>
      <c r="B56" s="21" t="str">
        <f t="shared" si="2"/>
        <v>2016/12/06 20:43:17.239</v>
      </c>
      <c r="C56" s="21">
        <f t="shared" si="3"/>
        <v>5.6597200455144048E-6</v>
      </c>
    </row>
    <row r="57" spans="1:3" x14ac:dyDescent="0.25">
      <c r="A57" t="s">
        <v>903</v>
      </c>
      <c r="B57" s="21" t="str">
        <f t="shared" si="2"/>
        <v>2016/12/06 22:04:44.977</v>
      </c>
      <c r="C57" s="21">
        <f t="shared" si="3"/>
        <v>5.6571041670395061E-2</v>
      </c>
    </row>
    <row r="58" spans="1:3" x14ac:dyDescent="0.25">
      <c r="A58" t="s">
        <v>904</v>
      </c>
      <c r="B58" s="21" t="str">
        <f t="shared" si="2"/>
        <v>2016/12/06 22:04:45.314</v>
      </c>
      <c r="C58" s="21">
        <f t="shared" si="3"/>
        <v>3.90045897802338E-6</v>
      </c>
    </row>
    <row r="59" spans="1:3" x14ac:dyDescent="0.25">
      <c r="A59" t="s">
        <v>905</v>
      </c>
      <c r="B59" s="21" t="str">
        <f t="shared" si="2"/>
        <v>2016/12/06 22:04:45.432</v>
      </c>
      <c r="C59" s="21">
        <f t="shared" si="3"/>
        <v>1.3657408999279141E-6</v>
      </c>
    </row>
    <row r="60" spans="1:3" x14ac:dyDescent="0.25">
      <c r="A60" t="s">
        <v>906</v>
      </c>
      <c r="B60" s="21" t="str">
        <f t="shared" si="2"/>
        <v>2016/12/06 22:06:41.181</v>
      </c>
      <c r="C60" s="21">
        <f t="shared" si="3"/>
        <v>1.3396875001490116E-3</v>
      </c>
    </row>
    <row r="61" spans="1:3" x14ac:dyDescent="0.25">
      <c r="A61" t="s">
        <v>907</v>
      </c>
      <c r="B61" s="21" t="str">
        <f t="shared" si="2"/>
        <v>2016/12/06 22:06:41.338</v>
      </c>
      <c r="C61" s="21">
        <f t="shared" si="3"/>
        <v>1.8171267583966255E-6</v>
      </c>
    </row>
    <row r="62" spans="1:3" x14ac:dyDescent="0.25">
      <c r="A62" t="s">
        <v>908</v>
      </c>
      <c r="B62" s="21" t="str">
        <f t="shared" si="2"/>
        <v>2016/12/06 22:07:20.176</v>
      </c>
      <c r="C62" s="21">
        <f t="shared" si="3"/>
        <v>4.4951389281777665E-4</v>
      </c>
    </row>
    <row r="63" spans="1:3" x14ac:dyDescent="0.25">
      <c r="A63" t="s">
        <v>909</v>
      </c>
      <c r="B63" s="21" t="str">
        <f t="shared" si="2"/>
        <v>2016/12/06 22:07:20.339</v>
      </c>
      <c r="C63" s="21">
        <f t="shared" si="3"/>
        <v>1.8865757738240063E-6</v>
      </c>
    </row>
    <row r="64" spans="1:3" x14ac:dyDescent="0.25">
      <c r="A64" t="s">
        <v>910</v>
      </c>
      <c r="B64" s="21" t="str">
        <f t="shared" si="2"/>
        <v>2016/12/06 23:54:15.704</v>
      </c>
      <c r="C64" s="21">
        <f t="shared" si="3"/>
        <v>7.4251909718441311E-2</v>
      </c>
    </row>
    <row r="65" spans="1:3" x14ac:dyDescent="0.25">
      <c r="A65" t="s">
        <v>911</v>
      </c>
      <c r="B65" s="21" t="str">
        <f t="shared" si="2"/>
        <v>2016/12/07 01:27:36.546</v>
      </c>
      <c r="C65" s="21">
        <f t="shared" si="3"/>
        <v>6.4824560184206348E-2</v>
      </c>
    </row>
    <row r="66" spans="1:3" x14ac:dyDescent="0.25">
      <c r="A66" t="s">
        <v>912</v>
      </c>
      <c r="B66" s="21" t="str">
        <f t="shared" si="2"/>
        <v>2016/12/07 01:27:36.564</v>
      </c>
      <c r="C66" s="21">
        <f t="shared" si="3"/>
        <v>2.0833249436691403E-7</v>
      </c>
    </row>
    <row r="67" spans="1:3" x14ac:dyDescent="0.25">
      <c r="A67" t="s">
        <v>913</v>
      </c>
      <c r="B67" s="21" t="str">
        <f t="shared" si="2"/>
        <v>2016/12/07 01:27:36.838</v>
      </c>
      <c r="C67" s="21">
        <f t="shared" si="3"/>
        <v>3.171298885717988E-6</v>
      </c>
    </row>
    <row r="68" spans="1:3" x14ac:dyDescent="0.25">
      <c r="A68" t="s">
        <v>914</v>
      </c>
      <c r="B68" s="21" t="str">
        <f t="shared" si="2"/>
        <v>2016/12/07 01:35:07.521</v>
      </c>
      <c r="C68" s="21">
        <f t="shared" si="3"/>
        <v>5.2162384235998616E-3</v>
      </c>
    </row>
    <row r="69" spans="1:3" x14ac:dyDescent="0.25">
      <c r="A69" t="s">
        <v>915</v>
      </c>
      <c r="B69" s="21" t="str">
        <f t="shared" si="2"/>
        <v>2016/12/07 02:55:54.721</v>
      </c>
      <c r="C69" s="21">
        <f t="shared" si="3"/>
        <v>5.6101851856510621E-2</v>
      </c>
    </row>
    <row r="70" spans="1:3" x14ac:dyDescent="0.25">
      <c r="A70" t="s">
        <v>916</v>
      </c>
      <c r="B70" s="21" t="str">
        <f t="shared" si="2"/>
        <v>2016/12/07 02:55:55.208</v>
      </c>
      <c r="C70" s="21">
        <f t="shared" si="3"/>
        <v>5.6365752243436873E-6</v>
      </c>
    </row>
    <row r="71" spans="1:3" x14ac:dyDescent="0.25">
      <c r="A71" t="s">
        <v>917</v>
      </c>
      <c r="B71" s="21" t="str">
        <f t="shared" si="2"/>
        <v>2016/12/07 02:55:55.570</v>
      </c>
      <c r="C71" s="21">
        <f t="shared" si="3"/>
        <v>4.1898092604242265E-6</v>
      </c>
    </row>
    <row r="72" spans="1:3" x14ac:dyDescent="0.25">
      <c r="A72" t="s">
        <v>918</v>
      </c>
      <c r="B72" s="21" t="str">
        <f t="shared" si="2"/>
        <v>2016/12/07 04:54:27.575</v>
      </c>
      <c r="C72" s="21">
        <f t="shared" si="3"/>
        <v>8.2314872684946749E-2</v>
      </c>
    </row>
    <row r="73" spans="1:3" x14ac:dyDescent="0.25">
      <c r="A73" t="s">
        <v>919</v>
      </c>
      <c r="B73" s="21" t="str">
        <f t="shared" si="2"/>
        <v>2016/12/07 04:54:27.717</v>
      </c>
      <c r="C73" s="21">
        <f t="shared" si="3"/>
        <v>1.643522409722209E-6</v>
      </c>
    </row>
    <row r="74" spans="1:3" x14ac:dyDescent="0.25">
      <c r="A74" t="s">
        <v>920</v>
      </c>
      <c r="B74" s="21" t="str">
        <f t="shared" si="2"/>
        <v>2016/12/07 04:54:28.208</v>
      </c>
      <c r="C74" s="21">
        <f t="shared" si="3"/>
        <v>5.6828721426427364E-6</v>
      </c>
    </row>
    <row r="75" spans="1:3" x14ac:dyDescent="0.25">
      <c r="A75" t="s">
        <v>921</v>
      </c>
      <c r="B75" s="21" t="str">
        <f t="shared" si="2"/>
        <v>2016/12/07 07:40:26.099</v>
      </c>
      <c r="C75" s="21">
        <f t="shared" si="3"/>
        <v>0.1152533680506167</v>
      </c>
    </row>
    <row r="76" spans="1:3" x14ac:dyDescent="0.25">
      <c r="A76" t="s">
        <v>922</v>
      </c>
      <c r="B76" s="21" t="str">
        <f t="shared" si="2"/>
        <v>2016/12/07 07:40:26.903</v>
      </c>
      <c r="C76" s="21">
        <f t="shared" si="3"/>
        <v>9.3055568868294358E-6</v>
      </c>
    </row>
    <row r="77" spans="1:3" x14ac:dyDescent="0.25">
      <c r="A77" t="s">
        <v>923</v>
      </c>
      <c r="B77" s="21" t="str">
        <f t="shared" si="2"/>
        <v>2016/12/07 07:41:21.901</v>
      </c>
      <c r="C77" s="21">
        <f t="shared" si="3"/>
        <v>6.3655092526460066E-4</v>
      </c>
    </row>
    <row r="78" spans="1:3" x14ac:dyDescent="0.25">
      <c r="A78" t="s">
        <v>924</v>
      </c>
      <c r="B78" s="21" t="str">
        <f t="shared" si="2"/>
        <v>2016/12/07 08:21:27.375</v>
      </c>
      <c r="C78" s="21">
        <f t="shared" si="3"/>
        <v>2.7841134258778766E-2</v>
      </c>
    </row>
    <row r="79" spans="1:3" x14ac:dyDescent="0.25">
      <c r="A79" t="s">
        <v>925</v>
      </c>
      <c r="B79" s="21" t="str">
        <f t="shared" si="2"/>
        <v>2016/12/07 08:21:27.508</v>
      </c>
      <c r="C79" s="21">
        <f t="shared" si="3"/>
        <v>1.5393525245599449E-6</v>
      </c>
    </row>
    <row r="80" spans="1:3" x14ac:dyDescent="0.25">
      <c r="A80" t="s">
        <v>926</v>
      </c>
      <c r="B80" s="21" t="str">
        <f t="shared" si="2"/>
        <v>2016/12/07 08:21:27.899</v>
      </c>
      <c r="C80" s="21">
        <f t="shared" si="3"/>
        <v>4.5254637370817363E-6</v>
      </c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2016-12-08T03:06:39Z</dcterms:modified>
</cp:coreProperties>
</file>