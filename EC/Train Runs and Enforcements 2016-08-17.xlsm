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externalReferences>
    <externalReference r:id="rId6"/>
  </externalReferences>
  <definedNames>
    <definedName name="_xlnm._FilterDatabase" localSheetId="1" hidden="1">Enforcements!$A$6:$V$73</definedName>
    <definedName name="_xlnm._FilterDatabase" localSheetId="2" hidden="1">'Missing Trips'!$A$2:$H$2</definedName>
    <definedName name="_xlnm._FilterDatabase" localSheetId="0" hidden="1">'Train Runs'!$A$12:$AG$223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4" i="1" l="1"/>
  <c r="L64" i="1"/>
  <c r="K64" i="1"/>
  <c r="M63" i="1"/>
  <c r="L63" i="1"/>
  <c r="K63" i="1"/>
  <c r="AD64" i="1"/>
  <c r="T64" i="1" s="1"/>
  <c r="AD63" i="1"/>
  <c r="T63" i="1" s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G42" i="1"/>
  <c r="AH42" i="1"/>
  <c r="M40" i="1"/>
  <c r="L40" i="1"/>
  <c r="K40" i="1"/>
  <c r="M39" i="1"/>
  <c r="L39" i="1"/>
  <c r="K39" i="1"/>
  <c r="AD40" i="1"/>
  <c r="T40" i="1" s="1"/>
  <c r="AD39" i="1"/>
  <c r="T39" i="1" s="1"/>
  <c r="K36" i="1"/>
  <c r="L36" i="1"/>
  <c r="M36" i="1"/>
  <c r="V36" i="1"/>
  <c r="Y36" i="1"/>
  <c r="Z36" i="1"/>
  <c r="AB36" i="1"/>
  <c r="AC36" i="1"/>
  <c r="AD36" i="1"/>
  <c r="AE36" i="1"/>
  <c r="AF36" i="1"/>
  <c r="AH36" i="1"/>
  <c r="K37" i="1"/>
  <c r="L37" i="1"/>
  <c r="M37" i="1"/>
  <c r="T37" i="1"/>
  <c r="V37" i="1"/>
  <c r="Y37" i="1"/>
  <c r="Z37" i="1"/>
  <c r="AB37" i="1"/>
  <c r="AC37" i="1"/>
  <c r="AD37" i="1"/>
  <c r="AE37" i="1"/>
  <c r="AF37" i="1"/>
  <c r="AG37" i="1"/>
  <c r="AH3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Q57" i="3" s="1"/>
  <c r="Y15" i="1"/>
  <c r="Z15" i="1"/>
  <c r="AB15" i="1"/>
  <c r="AC15" i="1"/>
  <c r="AD15" i="1"/>
  <c r="T15" i="1" s="1"/>
  <c r="AE15" i="1"/>
  <c r="P57" i="3" s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Q15" i="3" s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Q24" i="3" s="1"/>
  <c r="Y20" i="1"/>
  <c r="Z20" i="1"/>
  <c r="AB20" i="1"/>
  <c r="AC20" i="1"/>
  <c r="AD20" i="1"/>
  <c r="T20" i="1" s="1"/>
  <c r="AE20" i="1"/>
  <c r="P24" i="3" s="1"/>
  <c r="AF20" i="1"/>
  <c r="AG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P17" i="3" s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Q9" i="3" s="1"/>
  <c r="Y24" i="1"/>
  <c r="Z24" i="1"/>
  <c r="AB24" i="1"/>
  <c r="AC24" i="1"/>
  <c r="AD24" i="1"/>
  <c r="T24" i="1" s="1"/>
  <c r="AE24" i="1"/>
  <c r="P9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P48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P49" i="3" s="1"/>
  <c r="AF30" i="1"/>
  <c r="AH30" i="1"/>
  <c r="K31" i="1"/>
  <c r="L31" i="1"/>
  <c r="M31" i="1"/>
  <c r="N31" i="1" s="1"/>
  <c r="V31" i="1"/>
  <c r="Q26" i="3" s="1"/>
  <c r="Y31" i="1"/>
  <c r="Z31" i="1"/>
  <c r="AB31" i="1"/>
  <c r="AC31" i="1"/>
  <c r="AD31" i="1"/>
  <c r="T31" i="1" s="1"/>
  <c r="AE31" i="1"/>
  <c r="P45" i="3" s="1"/>
  <c r="AF31" i="1"/>
  <c r="AH31" i="1"/>
  <c r="K32" i="1"/>
  <c r="L32" i="1"/>
  <c r="M32" i="1"/>
  <c r="N32" i="1" s="1"/>
  <c r="V32" i="1"/>
  <c r="Q10" i="3" s="1"/>
  <c r="Y32" i="1"/>
  <c r="Z32" i="1"/>
  <c r="AB32" i="1"/>
  <c r="AC32" i="1"/>
  <c r="AD32" i="1"/>
  <c r="T32" i="1" s="1"/>
  <c r="AE32" i="1"/>
  <c r="P10" i="3" s="1"/>
  <c r="AF32" i="1"/>
  <c r="AH32" i="1"/>
  <c r="K33" i="1"/>
  <c r="L33" i="1"/>
  <c r="M33" i="1"/>
  <c r="N33" i="1" s="1"/>
  <c r="V33" i="1"/>
  <c r="Q58" i="3" s="1"/>
  <c r="Y33" i="1"/>
  <c r="Z33" i="1"/>
  <c r="AB33" i="1"/>
  <c r="AC33" i="1"/>
  <c r="AD33" i="1"/>
  <c r="T33" i="1" s="1"/>
  <c r="AE33" i="1"/>
  <c r="P58" i="3" s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P36" i="3" s="1"/>
  <c r="AF34" i="1"/>
  <c r="AH34" i="1"/>
  <c r="K35" i="1"/>
  <c r="L35" i="1"/>
  <c r="M35" i="1"/>
  <c r="N35" i="1" s="1"/>
  <c r="V35" i="1"/>
  <c r="Q59" i="3" s="1"/>
  <c r="Y35" i="1"/>
  <c r="Z35" i="1"/>
  <c r="AB35" i="1"/>
  <c r="AC35" i="1"/>
  <c r="AD35" i="1"/>
  <c r="T35" i="1" s="1"/>
  <c r="AE35" i="1"/>
  <c r="P27" i="3" s="1"/>
  <c r="AF35" i="1"/>
  <c r="AH35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Q11" i="3" s="1"/>
  <c r="Y44" i="1"/>
  <c r="Z44" i="1"/>
  <c r="AB44" i="1"/>
  <c r="AC44" i="1"/>
  <c r="AD44" i="1"/>
  <c r="X44" i="1" s="1"/>
  <c r="AE44" i="1"/>
  <c r="P11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P7" i="3" s="1"/>
  <c r="AF45" i="1"/>
  <c r="AH45" i="1"/>
  <c r="K46" i="1"/>
  <c r="L46" i="1"/>
  <c r="M46" i="1"/>
  <c r="N46" i="1" s="1"/>
  <c r="V46" i="1"/>
  <c r="Q18" i="3" s="1"/>
  <c r="Y46" i="1"/>
  <c r="Z46" i="1"/>
  <c r="AB46" i="1"/>
  <c r="AC46" i="1"/>
  <c r="AD46" i="1"/>
  <c r="X46" i="1" s="1"/>
  <c r="AE46" i="1"/>
  <c r="P18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P31" i="3" s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P50" i="3" s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P51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P19" i="3" s="1"/>
  <c r="AF58" i="1"/>
  <c r="AH58" i="1"/>
  <c r="K59" i="1"/>
  <c r="L59" i="1"/>
  <c r="M59" i="1"/>
  <c r="P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F62" i="1"/>
  <c r="AH62" i="1"/>
  <c r="K65" i="1"/>
  <c r="L65" i="1"/>
  <c r="M65" i="1"/>
  <c r="N65" i="1" s="1"/>
  <c r="V65" i="1"/>
  <c r="Q35" i="3" s="1"/>
  <c r="Y65" i="1"/>
  <c r="Z65" i="1"/>
  <c r="AB65" i="1"/>
  <c r="AC65" i="1"/>
  <c r="AD65" i="1"/>
  <c r="AG65" i="1" s="1"/>
  <c r="AE65" i="1"/>
  <c r="P29" i="3" s="1"/>
  <c r="AF65" i="1"/>
  <c r="AH65" i="1"/>
  <c r="K66" i="1"/>
  <c r="L66" i="1"/>
  <c r="M66" i="1"/>
  <c r="N66" i="1" s="1"/>
  <c r="V66" i="1"/>
  <c r="Q12" i="3" s="1"/>
  <c r="Y66" i="1"/>
  <c r="Z66" i="1"/>
  <c r="AB66" i="1"/>
  <c r="AC66" i="1"/>
  <c r="AD66" i="1"/>
  <c r="AG66" i="1" s="1"/>
  <c r="AE66" i="1"/>
  <c r="P13" i="3" s="1"/>
  <c r="AF66" i="1"/>
  <c r="AH66" i="1"/>
  <c r="K67" i="1"/>
  <c r="L67" i="1"/>
  <c r="M67" i="1"/>
  <c r="N67" i="1" s="1"/>
  <c r="V67" i="1"/>
  <c r="Q16" i="3" s="1"/>
  <c r="Y67" i="1"/>
  <c r="Z67" i="1"/>
  <c r="AB67" i="1"/>
  <c r="AC67" i="1"/>
  <c r="AD67" i="1"/>
  <c r="AG67" i="1" s="1"/>
  <c r="AE67" i="1"/>
  <c r="P16" i="3" s="1"/>
  <c r="AF67" i="1"/>
  <c r="AH67" i="1"/>
  <c r="K68" i="1"/>
  <c r="L68" i="1"/>
  <c r="M68" i="1"/>
  <c r="N68" i="1" s="1"/>
  <c r="V68" i="1"/>
  <c r="Q37" i="3" s="1"/>
  <c r="Y68" i="1"/>
  <c r="Z68" i="1"/>
  <c r="AB68" i="1"/>
  <c r="AC68" i="1"/>
  <c r="AD68" i="1"/>
  <c r="AG68" i="1" s="1"/>
  <c r="AE68" i="1"/>
  <c r="P37" i="3" s="1"/>
  <c r="AF68" i="1"/>
  <c r="AH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P33" i="3" s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P42" i="3" s="1"/>
  <c r="AF75" i="1"/>
  <c r="AH75" i="1"/>
  <c r="K76" i="1"/>
  <c r="L76" i="1"/>
  <c r="M76" i="1"/>
  <c r="N76" i="1" s="1"/>
  <c r="V76" i="1"/>
  <c r="Q38" i="3" s="1"/>
  <c r="Y76" i="1"/>
  <c r="Z76" i="1"/>
  <c r="AB76" i="1"/>
  <c r="AC76" i="1"/>
  <c r="AD76" i="1"/>
  <c r="AG76" i="1" s="1"/>
  <c r="AE76" i="1"/>
  <c r="P38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Q53" i="3" s="1"/>
  <c r="Y78" i="1"/>
  <c r="Z78" i="1"/>
  <c r="AB78" i="1"/>
  <c r="AC78" i="1"/>
  <c r="AD78" i="1"/>
  <c r="AG78" i="1" s="1"/>
  <c r="AE78" i="1"/>
  <c r="P53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P83" i="1" s="1"/>
  <c r="V83" i="1"/>
  <c r="Q40" i="3" s="1"/>
  <c r="Y83" i="1"/>
  <c r="Z83" i="1"/>
  <c r="AB83" i="1"/>
  <c r="AC83" i="1"/>
  <c r="AD83" i="1"/>
  <c r="AG83" i="1" s="1"/>
  <c r="AE83" i="1"/>
  <c r="P39" i="3" s="1"/>
  <c r="AF83" i="1"/>
  <c r="AH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K85" i="1"/>
  <c r="L85" i="1"/>
  <c r="M85" i="1"/>
  <c r="P85" i="1" s="1"/>
  <c r="V85" i="1"/>
  <c r="Y85" i="1"/>
  <c r="Z85" i="1"/>
  <c r="AB85" i="1"/>
  <c r="AC85" i="1"/>
  <c r="AD85" i="1"/>
  <c r="AG85" i="1" s="1"/>
  <c r="AE85" i="1"/>
  <c r="P41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K87" i="1"/>
  <c r="L87" i="1"/>
  <c r="M87" i="1"/>
  <c r="P87" i="1" s="1"/>
  <c r="V87" i="1"/>
  <c r="Y87" i="1"/>
  <c r="Z87" i="1"/>
  <c r="AB87" i="1"/>
  <c r="AC87" i="1"/>
  <c r="AD87" i="1"/>
  <c r="AG87" i="1" s="1"/>
  <c r="AE87" i="1"/>
  <c r="P43" i="3" s="1"/>
  <c r="AF87" i="1"/>
  <c r="AH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K89" i="1"/>
  <c r="L89" i="1"/>
  <c r="M89" i="1"/>
  <c r="P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Q54" i="3" s="1"/>
  <c r="Y92" i="1"/>
  <c r="Z92" i="1"/>
  <c r="AB92" i="1"/>
  <c r="AC92" i="1"/>
  <c r="AD92" i="1"/>
  <c r="X92" i="1" s="1"/>
  <c r="AE92" i="1"/>
  <c r="P54" i="3" s="1"/>
  <c r="AF92" i="1"/>
  <c r="AH92" i="1"/>
  <c r="K93" i="1"/>
  <c r="L93" i="1"/>
  <c r="M93" i="1"/>
  <c r="N93" i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Q55" i="3" s="1"/>
  <c r="Y94" i="1"/>
  <c r="Z94" i="1"/>
  <c r="AB94" i="1"/>
  <c r="AC94" i="1"/>
  <c r="AD94" i="1"/>
  <c r="X94" i="1" s="1"/>
  <c r="AE94" i="1"/>
  <c r="P55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Q34" i="3" s="1"/>
  <c r="Y105" i="1"/>
  <c r="Z105" i="1"/>
  <c r="AB105" i="1"/>
  <c r="AC105" i="1"/>
  <c r="AD105" i="1"/>
  <c r="AG105" i="1" s="1"/>
  <c r="AE105" i="1"/>
  <c r="P34" i="3" s="1"/>
  <c r="AF105" i="1"/>
  <c r="AH105" i="1"/>
  <c r="K106" i="1"/>
  <c r="L106" i="1"/>
  <c r="M106" i="1"/>
  <c r="N106" i="1" s="1"/>
  <c r="V106" i="1"/>
  <c r="Q56" i="3" s="1"/>
  <c r="Y106" i="1"/>
  <c r="Z106" i="1"/>
  <c r="AB106" i="1"/>
  <c r="AC106" i="1"/>
  <c r="AD106" i="1"/>
  <c r="AE106" i="1"/>
  <c r="P56" i="3" s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P14" i="3" s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Q47" i="3" s="1"/>
  <c r="Y134" i="1"/>
  <c r="Z134" i="1"/>
  <c r="AB134" i="1"/>
  <c r="AC134" i="1"/>
  <c r="AD134" i="1"/>
  <c r="AG134" i="1" s="1"/>
  <c r="AE134" i="1"/>
  <c r="P47" i="3" s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X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P64" i="3" s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K159" i="1"/>
  <c r="L159" i="1"/>
  <c r="M159" i="1"/>
  <c r="N159" i="1" s="1"/>
  <c r="V159" i="1"/>
  <c r="Q65" i="3" s="1"/>
  <c r="Y159" i="1"/>
  <c r="Z159" i="1"/>
  <c r="AB159" i="1"/>
  <c r="AC159" i="1"/>
  <c r="AD159" i="1"/>
  <c r="AG159" i="1" s="1"/>
  <c r="AE159" i="1"/>
  <c r="P65" i="3" s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66" i="1"/>
  <c r="K167" i="1"/>
  <c r="L167" i="1"/>
  <c r="M167" i="1"/>
  <c r="N167" i="1" s="1"/>
  <c r="V167" i="1"/>
  <c r="Q63" i="3" s="1"/>
  <c r="Y167" i="1"/>
  <c r="Z167" i="1"/>
  <c r="AB167" i="1"/>
  <c r="AC167" i="1"/>
  <c r="AD167" i="1"/>
  <c r="AG167" i="1" s="1"/>
  <c r="AE167" i="1"/>
  <c r="P63" i="3" s="1"/>
  <c r="AF167" i="1"/>
  <c r="AH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P66" i="3" s="1"/>
  <c r="AF169" i="1"/>
  <c r="AH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75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77" i="1"/>
  <c r="K178" i="1"/>
  <c r="L178" i="1"/>
  <c r="M178" i="1"/>
  <c r="P178" i="1" s="1"/>
  <c r="V178" i="1"/>
  <c r="Y178" i="1"/>
  <c r="Z178" i="1"/>
  <c r="AB178" i="1"/>
  <c r="AC178" i="1"/>
  <c r="AD178" i="1"/>
  <c r="AE178" i="1"/>
  <c r="AF178" i="1"/>
  <c r="AH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81" i="1"/>
  <c r="K182" i="1"/>
  <c r="L182" i="1"/>
  <c r="M182" i="1"/>
  <c r="N182" i="1" s="1"/>
  <c r="V182" i="1"/>
  <c r="Q68" i="3" s="1"/>
  <c r="Y182" i="1"/>
  <c r="Z182" i="1"/>
  <c r="AB182" i="1"/>
  <c r="AC182" i="1"/>
  <c r="AD182" i="1"/>
  <c r="AE182" i="1"/>
  <c r="P68" i="3" s="1"/>
  <c r="AF182" i="1"/>
  <c r="AH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83" i="1"/>
  <c r="K184" i="1"/>
  <c r="L184" i="1"/>
  <c r="M184" i="1"/>
  <c r="N184" i="1" s="1"/>
  <c r="V184" i="1"/>
  <c r="Q69" i="3" s="1"/>
  <c r="Y184" i="1"/>
  <c r="Z184" i="1"/>
  <c r="AB184" i="1"/>
  <c r="AC184" i="1"/>
  <c r="AD184" i="1"/>
  <c r="AG184" i="1" s="1"/>
  <c r="AE184" i="1"/>
  <c r="P62" i="3" s="1"/>
  <c r="AF184" i="1"/>
  <c r="AH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89" i="1"/>
  <c r="K190" i="1"/>
  <c r="L190" i="1"/>
  <c r="M190" i="1"/>
  <c r="N190" i="1" s="1"/>
  <c r="V190" i="1"/>
  <c r="Q70" i="3" s="1"/>
  <c r="Y190" i="1"/>
  <c r="Z190" i="1"/>
  <c r="AB190" i="1"/>
  <c r="AC190" i="1"/>
  <c r="AD190" i="1"/>
  <c r="AE190" i="1"/>
  <c r="P70" i="3" s="1"/>
  <c r="AF190" i="1"/>
  <c r="AH190" i="1"/>
  <c r="K191" i="1"/>
  <c r="L191" i="1"/>
  <c r="M191" i="1"/>
  <c r="N191" i="1" s="1"/>
  <c r="V191" i="1"/>
  <c r="Q67" i="3" s="1"/>
  <c r="Y191" i="1"/>
  <c r="Z191" i="1"/>
  <c r="AB191" i="1"/>
  <c r="AC191" i="1"/>
  <c r="AD191" i="1"/>
  <c r="AG191" i="1" s="1"/>
  <c r="AE191" i="1"/>
  <c r="P67" i="3" s="1"/>
  <c r="AF191" i="1"/>
  <c r="AH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2" i="1"/>
  <c r="K203" i="1"/>
  <c r="L203" i="1"/>
  <c r="M203" i="1"/>
  <c r="N203" i="1" s="1"/>
  <c r="V203" i="1"/>
  <c r="Q61" i="3" s="1"/>
  <c r="Y203" i="1"/>
  <c r="Z203" i="1"/>
  <c r="AB203" i="1"/>
  <c r="AC203" i="1"/>
  <c r="AD203" i="1"/>
  <c r="AG203" i="1" s="1"/>
  <c r="AE203" i="1"/>
  <c r="P61" i="3" s="1"/>
  <c r="AF203" i="1"/>
  <c r="AH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K208" i="1"/>
  <c r="L208" i="1"/>
  <c r="M208" i="1"/>
  <c r="N208" i="1" s="1"/>
  <c r="V208" i="1"/>
  <c r="Q72" i="3" s="1"/>
  <c r="Y208" i="1"/>
  <c r="Z208" i="1"/>
  <c r="AB208" i="1"/>
  <c r="AC208" i="1"/>
  <c r="AD208" i="1"/>
  <c r="AG208" i="1" s="1"/>
  <c r="AE208" i="1"/>
  <c r="P73" i="3" s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K219" i="1"/>
  <c r="L219" i="1"/>
  <c r="M219" i="1"/>
  <c r="N219" i="1" s="1"/>
  <c r="V219" i="1"/>
  <c r="Q71" i="3" s="1"/>
  <c r="Y219" i="1"/>
  <c r="Z219" i="1"/>
  <c r="AB219" i="1"/>
  <c r="AC219" i="1"/>
  <c r="AD219" i="1"/>
  <c r="AG219" i="1" s="1"/>
  <c r="AE219" i="1"/>
  <c r="P71" i="3" s="1"/>
  <c r="AF219" i="1"/>
  <c r="AH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23" i="1"/>
  <c r="Q14" i="3"/>
  <c r="L8" i="3"/>
  <c r="Q8" i="3"/>
  <c r="S8" i="3"/>
  <c r="R8" i="3" s="1"/>
  <c r="T8" i="3"/>
  <c r="U8" i="3"/>
  <c r="V8" i="3"/>
  <c r="L9" i="3"/>
  <c r="S9" i="3"/>
  <c r="R9" i="3" s="1"/>
  <c r="T9" i="3"/>
  <c r="U9" i="3"/>
  <c r="V9" i="3"/>
  <c r="L10" i="3"/>
  <c r="S10" i="3"/>
  <c r="R10" i="3" s="1"/>
  <c r="T10" i="3"/>
  <c r="U10" i="3"/>
  <c r="V10" i="3"/>
  <c r="L11" i="3"/>
  <c r="S11" i="3"/>
  <c r="R11" i="3" s="1"/>
  <c r="T11" i="3"/>
  <c r="U11" i="3"/>
  <c r="V11" i="3"/>
  <c r="L12" i="3"/>
  <c r="S12" i="3"/>
  <c r="R12" i="3" s="1"/>
  <c r="T12" i="3"/>
  <c r="U12" i="3"/>
  <c r="V12" i="3"/>
  <c r="L13" i="3"/>
  <c r="Q13" i="3"/>
  <c r="S13" i="3"/>
  <c r="R13" i="3" s="1"/>
  <c r="T13" i="3"/>
  <c r="U13" i="3"/>
  <c r="V13" i="3"/>
  <c r="L14" i="3"/>
  <c r="S14" i="3"/>
  <c r="R14" i="3" s="1"/>
  <c r="T14" i="3"/>
  <c r="U14" i="3"/>
  <c r="V14" i="3"/>
  <c r="L15" i="3"/>
  <c r="P15" i="3"/>
  <c r="S15" i="3"/>
  <c r="R15" i="3" s="1"/>
  <c r="T15" i="3"/>
  <c r="U15" i="3"/>
  <c r="V15" i="3"/>
  <c r="L16" i="3"/>
  <c r="S16" i="3"/>
  <c r="R16" i="3" s="1"/>
  <c r="T16" i="3"/>
  <c r="U16" i="3"/>
  <c r="V16" i="3"/>
  <c r="L17" i="3"/>
  <c r="Q17" i="3"/>
  <c r="S17" i="3"/>
  <c r="R17" i="3" s="1"/>
  <c r="T17" i="3"/>
  <c r="U17" i="3"/>
  <c r="V17" i="3"/>
  <c r="L18" i="3"/>
  <c r="S18" i="3"/>
  <c r="R18" i="3" s="1"/>
  <c r="T18" i="3"/>
  <c r="U18" i="3"/>
  <c r="V18" i="3"/>
  <c r="L19" i="3"/>
  <c r="Q19" i="3"/>
  <c r="S19" i="3"/>
  <c r="R19" i="3" s="1"/>
  <c r="T19" i="3"/>
  <c r="U19" i="3"/>
  <c r="V19" i="3"/>
  <c r="L20" i="3"/>
  <c r="Q20" i="3"/>
  <c r="S20" i="3"/>
  <c r="R20" i="3" s="1"/>
  <c r="T20" i="3"/>
  <c r="U20" i="3"/>
  <c r="V20" i="3"/>
  <c r="L21" i="3"/>
  <c r="P21" i="3"/>
  <c r="Q21" i="3"/>
  <c r="S21" i="3"/>
  <c r="R21" i="3" s="1"/>
  <c r="T21" i="3"/>
  <c r="U21" i="3"/>
  <c r="V21" i="3"/>
  <c r="L22" i="3"/>
  <c r="S22" i="3"/>
  <c r="R22" i="3" s="1"/>
  <c r="T22" i="3"/>
  <c r="U22" i="3"/>
  <c r="V22" i="3"/>
  <c r="L23" i="3"/>
  <c r="Q23" i="3"/>
  <c r="S23" i="3"/>
  <c r="R23" i="3" s="1"/>
  <c r="T23" i="3"/>
  <c r="U23" i="3"/>
  <c r="V23" i="3"/>
  <c r="L24" i="3"/>
  <c r="S24" i="3"/>
  <c r="R24" i="3" s="1"/>
  <c r="T24" i="3"/>
  <c r="U24" i="3"/>
  <c r="V24" i="3"/>
  <c r="L25" i="3"/>
  <c r="S25" i="3"/>
  <c r="R25" i="3" s="1"/>
  <c r="T25" i="3"/>
  <c r="U25" i="3"/>
  <c r="V25" i="3"/>
  <c r="L26" i="3"/>
  <c r="S26" i="3"/>
  <c r="R26" i="3" s="1"/>
  <c r="T26" i="3"/>
  <c r="U26" i="3"/>
  <c r="V26" i="3"/>
  <c r="L27" i="3"/>
  <c r="S27" i="3"/>
  <c r="R27" i="3" s="1"/>
  <c r="T27" i="3"/>
  <c r="U27" i="3"/>
  <c r="V27" i="3"/>
  <c r="L28" i="3"/>
  <c r="P28" i="3"/>
  <c r="Q28" i="3"/>
  <c r="S28" i="3"/>
  <c r="R28" i="3" s="1"/>
  <c r="T28" i="3"/>
  <c r="U28" i="3"/>
  <c r="V28" i="3"/>
  <c r="L29" i="3"/>
  <c r="S29" i="3"/>
  <c r="R29" i="3" s="1"/>
  <c r="T29" i="3"/>
  <c r="U29" i="3"/>
  <c r="V29" i="3"/>
  <c r="L30" i="3"/>
  <c r="S30" i="3"/>
  <c r="R30" i="3" s="1"/>
  <c r="T30" i="3"/>
  <c r="U30" i="3"/>
  <c r="V30" i="3"/>
  <c r="L31" i="3"/>
  <c r="Q31" i="3"/>
  <c r="S31" i="3"/>
  <c r="R31" i="3" s="1"/>
  <c r="T31" i="3"/>
  <c r="U31" i="3"/>
  <c r="V31" i="3"/>
  <c r="L32" i="3"/>
  <c r="S32" i="3"/>
  <c r="R32" i="3" s="1"/>
  <c r="T32" i="3"/>
  <c r="U32" i="3"/>
  <c r="V32" i="3"/>
  <c r="L33" i="3"/>
  <c r="Q33" i="3"/>
  <c r="S33" i="3"/>
  <c r="R33" i="3" s="1"/>
  <c r="T33" i="3"/>
  <c r="U33" i="3"/>
  <c r="V33" i="3"/>
  <c r="L34" i="3"/>
  <c r="S34" i="3"/>
  <c r="R34" i="3" s="1"/>
  <c r="T34" i="3"/>
  <c r="U34" i="3"/>
  <c r="V34" i="3"/>
  <c r="L35" i="3"/>
  <c r="S35" i="3"/>
  <c r="R35" i="3" s="1"/>
  <c r="T35" i="3"/>
  <c r="U35" i="3"/>
  <c r="V35" i="3"/>
  <c r="L36" i="3"/>
  <c r="Q36" i="3"/>
  <c r="S36" i="3"/>
  <c r="R36" i="3" s="1"/>
  <c r="T36" i="3"/>
  <c r="U36" i="3"/>
  <c r="V36" i="3"/>
  <c r="L37" i="3"/>
  <c r="S37" i="3"/>
  <c r="R37" i="3" s="1"/>
  <c r="T37" i="3"/>
  <c r="U37" i="3"/>
  <c r="V37" i="3"/>
  <c r="L38" i="3"/>
  <c r="S38" i="3"/>
  <c r="R38" i="3" s="1"/>
  <c r="T38" i="3"/>
  <c r="U38" i="3"/>
  <c r="V38" i="3"/>
  <c r="L39" i="3"/>
  <c r="Q39" i="3"/>
  <c r="S39" i="3"/>
  <c r="R39" i="3" s="1"/>
  <c r="T39" i="3"/>
  <c r="U39" i="3"/>
  <c r="V39" i="3"/>
  <c r="L40" i="3"/>
  <c r="P40" i="3"/>
  <c r="S40" i="3"/>
  <c r="R40" i="3" s="1"/>
  <c r="T40" i="3"/>
  <c r="U40" i="3"/>
  <c r="V40" i="3"/>
  <c r="L41" i="3"/>
  <c r="Q41" i="3"/>
  <c r="S41" i="3"/>
  <c r="R41" i="3" s="1"/>
  <c r="T41" i="3"/>
  <c r="U41" i="3"/>
  <c r="V41" i="3"/>
  <c r="L42" i="3"/>
  <c r="Q42" i="3"/>
  <c r="S42" i="3"/>
  <c r="R42" i="3" s="1"/>
  <c r="T42" i="3"/>
  <c r="U42" i="3"/>
  <c r="V42" i="3"/>
  <c r="L43" i="3"/>
  <c r="Q43" i="3"/>
  <c r="S43" i="3"/>
  <c r="R43" i="3" s="1"/>
  <c r="T43" i="3"/>
  <c r="U43" i="3"/>
  <c r="V43" i="3"/>
  <c r="L44" i="3"/>
  <c r="P44" i="3"/>
  <c r="Q44" i="3"/>
  <c r="S44" i="3"/>
  <c r="R44" i="3" s="1"/>
  <c r="T44" i="3"/>
  <c r="U44" i="3"/>
  <c r="V44" i="3"/>
  <c r="L45" i="3"/>
  <c r="Q45" i="3"/>
  <c r="S45" i="3"/>
  <c r="R45" i="3" s="1"/>
  <c r="T45" i="3"/>
  <c r="U45" i="3"/>
  <c r="V45" i="3"/>
  <c r="L46" i="3"/>
  <c r="P46" i="3"/>
  <c r="S46" i="3"/>
  <c r="R46" i="3" s="1"/>
  <c r="T46" i="3"/>
  <c r="U46" i="3"/>
  <c r="V46" i="3"/>
  <c r="L47" i="3"/>
  <c r="S47" i="3"/>
  <c r="R47" i="3" s="1"/>
  <c r="T47" i="3"/>
  <c r="U47" i="3"/>
  <c r="V47" i="3"/>
  <c r="L48" i="3"/>
  <c r="Q48" i="3"/>
  <c r="S48" i="3"/>
  <c r="R48" i="3" s="1"/>
  <c r="T48" i="3"/>
  <c r="U48" i="3"/>
  <c r="V48" i="3"/>
  <c r="L49" i="3"/>
  <c r="Q49" i="3"/>
  <c r="S49" i="3"/>
  <c r="R49" i="3" s="1"/>
  <c r="T49" i="3"/>
  <c r="U49" i="3"/>
  <c r="V49" i="3"/>
  <c r="L50" i="3"/>
  <c r="Q50" i="3"/>
  <c r="S50" i="3"/>
  <c r="R50" i="3" s="1"/>
  <c r="T50" i="3"/>
  <c r="U50" i="3"/>
  <c r="V50" i="3"/>
  <c r="L51" i="3"/>
  <c r="Q51" i="3"/>
  <c r="S51" i="3"/>
  <c r="R51" i="3" s="1"/>
  <c r="T51" i="3"/>
  <c r="U51" i="3"/>
  <c r="V51" i="3"/>
  <c r="L52" i="3"/>
  <c r="Q52" i="3"/>
  <c r="S52" i="3"/>
  <c r="R52" i="3" s="1"/>
  <c r="T52" i="3"/>
  <c r="U52" i="3"/>
  <c r="V52" i="3"/>
  <c r="L53" i="3"/>
  <c r="S53" i="3"/>
  <c r="R53" i="3" s="1"/>
  <c r="T53" i="3"/>
  <c r="U53" i="3"/>
  <c r="V53" i="3"/>
  <c r="L54" i="3"/>
  <c r="S54" i="3"/>
  <c r="R54" i="3" s="1"/>
  <c r="T54" i="3"/>
  <c r="U54" i="3"/>
  <c r="V54" i="3"/>
  <c r="L55" i="3"/>
  <c r="S55" i="3"/>
  <c r="R55" i="3" s="1"/>
  <c r="T55" i="3"/>
  <c r="U55" i="3"/>
  <c r="V55" i="3"/>
  <c r="L56" i="3"/>
  <c r="S56" i="3"/>
  <c r="R56" i="3" s="1"/>
  <c r="T56" i="3"/>
  <c r="U56" i="3"/>
  <c r="V56" i="3"/>
  <c r="L57" i="3"/>
  <c r="S57" i="3"/>
  <c r="R57" i="3" s="1"/>
  <c r="T57" i="3"/>
  <c r="U57" i="3"/>
  <c r="V57" i="3"/>
  <c r="L58" i="3"/>
  <c r="S58" i="3"/>
  <c r="R58" i="3" s="1"/>
  <c r="T58" i="3"/>
  <c r="U58" i="3"/>
  <c r="V58" i="3"/>
  <c r="L59" i="3"/>
  <c r="S59" i="3"/>
  <c r="R59" i="3" s="1"/>
  <c r="T59" i="3"/>
  <c r="U59" i="3"/>
  <c r="V59" i="3"/>
  <c r="L60" i="3"/>
  <c r="S60" i="3"/>
  <c r="R60" i="3" s="1"/>
  <c r="T60" i="3"/>
  <c r="U60" i="3"/>
  <c r="V60" i="3"/>
  <c r="L71" i="3"/>
  <c r="S71" i="3"/>
  <c r="R71" i="3" s="1"/>
  <c r="T71" i="3"/>
  <c r="U71" i="3"/>
  <c r="V71" i="3"/>
  <c r="L72" i="3"/>
  <c r="S72" i="3"/>
  <c r="R72" i="3" s="1"/>
  <c r="T72" i="3"/>
  <c r="U72" i="3"/>
  <c r="V72" i="3"/>
  <c r="L73" i="3"/>
  <c r="Q73" i="3"/>
  <c r="S73" i="3"/>
  <c r="R73" i="3" s="1"/>
  <c r="T73" i="3"/>
  <c r="U73" i="3"/>
  <c r="V73" i="3"/>
  <c r="L61" i="3"/>
  <c r="S61" i="3"/>
  <c r="R61" i="3" s="1"/>
  <c r="T61" i="3"/>
  <c r="U61" i="3"/>
  <c r="V61" i="3"/>
  <c r="L62" i="3"/>
  <c r="S62" i="3"/>
  <c r="R62" i="3" s="1"/>
  <c r="T62" i="3"/>
  <c r="U62" i="3"/>
  <c r="V62" i="3"/>
  <c r="L63" i="3"/>
  <c r="S63" i="3"/>
  <c r="R63" i="3" s="1"/>
  <c r="T63" i="3"/>
  <c r="U63" i="3"/>
  <c r="V63" i="3"/>
  <c r="L64" i="3"/>
  <c r="Q64" i="3"/>
  <c r="S64" i="3"/>
  <c r="R64" i="3" s="1"/>
  <c r="T64" i="3"/>
  <c r="U64" i="3"/>
  <c r="V64" i="3"/>
  <c r="L65" i="3"/>
  <c r="S65" i="3"/>
  <c r="R65" i="3" s="1"/>
  <c r="T65" i="3"/>
  <c r="U65" i="3"/>
  <c r="V65" i="3"/>
  <c r="L66" i="3"/>
  <c r="Q66" i="3"/>
  <c r="S66" i="3"/>
  <c r="R66" i="3" s="1"/>
  <c r="T66" i="3"/>
  <c r="U66" i="3"/>
  <c r="V66" i="3"/>
  <c r="L67" i="3"/>
  <c r="S67" i="3"/>
  <c r="R67" i="3" s="1"/>
  <c r="T67" i="3"/>
  <c r="U67" i="3"/>
  <c r="V67" i="3"/>
  <c r="L68" i="3"/>
  <c r="S68" i="3"/>
  <c r="R68" i="3" s="1"/>
  <c r="T68" i="3"/>
  <c r="U68" i="3"/>
  <c r="V68" i="3"/>
  <c r="L69" i="3"/>
  <c r="S69" i="3"/>
  <c r="R69" i="3" s="1"/>
  <c r="T69" i="3"/>
  <c r="U69" i="3"/>
  <c r="V69" i="3"/>
  <c r="L70" i="3"/>
  <c r="S70" i="3"/>
  <c r="R70" i="3" s="1"/>
  <c r="T70" i="3"/>
  <c r="U70" i="3"/>
  <c r="V70" i="3"/>
  <c r="U7" i="3"/>
  <c r="L7" i="3"/>
  <c r="S7" i="3"/>
  <c r="R7" i="3" s="1"/>
  <c r="T7" i="3"/>
  <c r="V7" i="3"/>
  <c r="Q7" i="3"/>
  <c r="P23" i="3" l="1"/>
  <c r="X185" i="1"/>
  <c r="AA59" i="1"/>
  <c r="AA58" i="1"/>
  <c r="X89" i="1"/>
  <c r="AA199" i="1"/>
  <c r="W199" i="1" s="1"/>
  <c r="AA196" i="1"/>
  <c r="X42" i="1"/>
  <c r="X85" i="1"/>
  <c r="AA37" i="1"/>
  <c r="W37" i="1" s="1"/>
  <c r="X81" i="1"/>
  <c r="AA155" i="1"/>
  <c r="W155" i="1" s="1"/>
  <c r="AA150" i="1"/>
  <c r="W150" i="1" s="1"/>
  <c r="AA146" i="1"/>
  <c r="W146" i="1" s="1"/>
  <c r="AA129" i="1"/>
  <c r="W129" i="1" s="1"/>
  <c r="AA120" i="1"/>
  <c r="AA119" i="1"/>
  <c r="AA104" i="1"/>
  <c r="W104" i="1" s="1"/>
  <c r="X93" i="1"/>
  <c r="AA219" i="1"/>
  <c r="W219" i="1" s="1"/>
  <c r="X146" i="1"/>
  <c r="AA134" i="1"/>
  <c r="W134" i="1" s="1"/>
  <c r="AA77" i="1"/>
  <c r="W77" i="1" s="1"/>
  <c r="X82" i="1"/>
  <c r="X218" i="1"/>
  <c r="AA215" i="1"/>
  <c r="AA214" i="1"/>
  <c r="X145" i="1"/>
  <c r="AG18" i="1"/>
  <c r="U18" i="1" s="1"/>
  <c r="X39" i="1"/>
  <c r="X80" i="1"/>
  <c r="P26" i="3"/>
  <c r="X196" i="1"/>
  <c r="AA191" i="1"/>
  <c r="W191" i="1" s="1"/>
  <c r="AA187" i="1"/>
  <c r="W187" i="1" s="1"/>
  <c r="AA96" i="1"/>
  <c r="AA95" i="1"/>
  <c r="AA93" i="1"/>
  <c r="W93" i="1" s="1"/>
  <c r="AA92" i="1"/>
  <c r="AA86" i="1"/>
  <c r="AG69" i="1"/>
  <c r="AG15" i="1"/>
  <c r="X66" i="1"/>
  <c r="X91" i="1"/>
  <c r="X87" i="1"/>
  <c r="X83" i="1"/>
  <c r="W120" i="1"/>
  <c r="Q46" i="3"/>
  <c r="Q27" i="3"/>
  <c r="AA216" i="1"/>
  <c r="W216" i="1" s="1"/>
  <c r="AA212" i="1"/>
  <c r="W212" i="1" s="1"/>
  <c r="AA211" i="1"/>
  <c r="W211" i="1" s="1"/>
  <c r="X204" i="1"/>
  <c r="AA183" i="1"/>
  <c r="W183" i="1" s="1"/>
  <c r="AA171" i="1"/>
  <c r="W171" i="1" s="1"/>
  <c r="X168" i="1"/>
  <c r="X152" i="1"/>
  <c r="AA110" i="1"/>
  <c r="W110" i="1" s="1"/>
  <c r="AG62" i="1"/>
  <c r="AA57" i="1"/>
  <c r="AG29" i="1"/>
  <c r="AA19" i="1"/>
  <c r="AG14" i="1"/>
  <c r="U14" i="1" s="1"/>
  <c r="S14" i="1" s="1"/>
  <c r="AG39" i="1"/>
  <c r="X38" i="1"/>
  <c r="AA42" i="1"/>
  <c r="W42" i="1" s="1"/>
  <c r="X45" i="1"/>
  <c r="AG64" i="1"/>
  <c r="X65" i="1"/>
  <c r="AA102" i="1"/>
  <c r="W102" i="1" s="1"/>
  <c r="AA76" i="1"/>
  <c r="W76" i="1" s="1"/>
  <c r="AA69" i="1"/>
  <c r="AA67" i="1"/>
  <c r="AA38" i="1"/>
  <c r="AA33" i="1"/>
  <c r="AA32" i="1"/>
  <c r="AA17" i="1"/>
  <c r="X36" i="1"/>
  <c r="X68" i="1"/>
  <c r="X64" i="1"/>
  <c r="AA222" i="1"/>
  <c r="W222" i="1" s="1"/>
  <c r="AA220" i="1"/>
  <c r="W220" i="1" s="1"/>
  <c r="X211" i="1"/>
  <c r="AA208" i="1"/>
  <c r="W208" i="1" s="1"/>
  <c r="AA204" i="1"/>
  <c r="W204" i="1" s="1"/>
  <c r="X181" i="1"/>
  <c r="X169" i="1"/>
  <c r="AA124" i="1"/>
  <c r="AA122" i="1"/>
  <c r="W122" i="1" s="1"/>
  <c r="AA98" i="1"/>
  <c r="AA25" i="1"/>
  <c r="X47" i="1"/>
  <c r="X40" i="1"/>
  <c r="X43" i="1"/>
  <c r="AG63" i="1"/>
  <c r="X67" i="1"/>
  <c r="X63" i="1"/>
  <c r="U42" i="1"/>
  <c r="S42" i="1" s="1"/>
  <c r="P30" i="3"/>
  <c r="P8" i="3"/>
  <c r="AG36" i="1"/>
  <c r="X37" i="1"/>
  <c r="T36" i="1"/>
  <c r="AG40" i="1"/>
  <c r="AA36" i="1"/>
  <c r="W36" i="1" s="1"/>
  <c r="U37" i="1"/>
  <c r="P22" i="3"/>
  <c r="P12" i="3"/>
  <c r="P32" i="3"/>
  <c r="P35" i="3"/>
  <c r="P25" i="3"/>
  <c r="X223" i="1"/>
  <c r="X202" i="1"/>
  <c r="AA201" i="1"/>
  <c r="AA200" i="1"/>
  <c r="X194" i="1"/>
  <c r="AA193" i="1"/>
  <c r="AA192" i="1"/>
  <c r="W192" i="1" s="1"/>
  <c r="X177" i="1"/>
  <c r="X162" i="1"/>
  <c r="X160" i="1"/>
  <c r="X153" i="1"/>
  <c r="AA139" i="1"/>
  <c r="W139" i="1" s="1"/>
  <c r="AA138" i="1"/>
  <c r="W138" i="1" s="1"/>
  <c r="AA136" i="1"/>
  <c r="W136" i="1" s="1"/>
  <c r="AA135" i="1"/>
  <c r="W135" i="1" s="1"/>
  <c r="AA88" i="1"/>
  <c r="AA87" i="1"/>
  <c r="AA65" i="1"/>
  <c r="W65" i="1" s="1"/>
  <c r="P60" i="3"/>
  <c r="P52" i="3"/>
  <c r="X210" i="1"/>
  <c r="AA209" i="1"/>
  <c r="AA207" i="1"/>
  <c r="W207" i="1" s="1"/>
  <c r="AA206" i="1"/>
  <c r="AA198" i="1"/>
  <c r="X189" i="1"/>
  <c r="Q62" i="3"/>
  <c r="AA179" i="1"/>
  <c r="W179" i="1" s="1"/>
  <c r="AA166" i="1"/>
  <c r="W166" i="1" s="1"/>
  <c r="AA162" i="1"/>
  <c r="W162" i="1" s="1"/>
  <c r="X161" i="1"/>
  <c r="W200" i="1"/>
  <c r="Q25" i="3"/>
  <c r="P20" i="3"/>
  <c r="X222" i="1"/>
  <c r="X216" i="1"/>
  <c r="P59" i="3"/>
  <c r="Q32" i="3"/>
  <c r="Q22" i="3"/>
  <c r="X221" i="1"/>
  <c r="X219" i="1"/>
  <c r="X213" i="1"/>
  <c r="X197" i="1"/>
  <c r="AA195" i="1"/>
  <c r="W195" i="1" s="1"/>
  <c r="AA190" i="1"/>
  <c r="AA188" i="1"/>
  <c r="W188" i="1" s="1"/>
  <c r="AA186" i="1"/>
  <c r="AA184" i="1"/>
  <c r="W184" i="1" s="1"/>
  <c r="AA182" i="1"/>
  <c r="AA180" i="1"/>
  <c r="W180" i="1" s="1"/>
  <c r="AA178" i="1"/>
  <c r="AA174" i="1"/>
  <c r="W174" i="1" s="1"/>
  <c r="AA173" i="1"/>
  <c r="W173" i="1" s="1"/>
  <c r="AA172" i="1"/>
  <c r="AA170" i="1"/>
  <c r="AA167" i="1"/>
  <c r="W167" i="1" s="1"/>
  <c r="AA165" i="1"/>
  <c r="W165" i="1" s="1"/>
  <c r="AA164" i="1"/>
  <c r="AA163" i="1"/>
  <c r="W163" i="1" s="1"/>
  <c r="AA159" i="1"/>
  <c r="W159" i="1" s="1"/>
  <c r="X151" i="1"/>
  <c r="AA142" i="1"/>
  <c r="W142" i="1" s="1"/>
  <c r="AA141" i="1"/>
  <c r="W141" i="1" s="1"/>
  <c r="AA140" i="1"/>
  <c r="W140" i="1" s="1"/>
  <c r="AA112" i="1"/>
  <c r="AA111" i="1"/>
  <c r="W111" i="1" s="1"/>
  <c r="AA101" i="1"/>
  <c r="W101" i="1" s="1"/>
  <c r="AA100" i="1"/>
  <c r="W100" i="1" s="1"/>
  <c r="AA90" i="1"/>
  <c r="AG31" i="1"/>
  <c r="U31" i="1" s="1"/>
  <c r="S31" i="1" s="1"/>
  <c r="AA29" i="1"/>
  <c r="AA221" i="1"/>
  <c r="W221" i="1" s="1"/>
  <c r="X205" i="1"/>
  <c r="AA203" i="1"/>
  <c r="W203" i="1" s="1"/>
  <c r="X200" i="1"/>
  <c r="X188" i="1"/>
  <c r="X184" i="1"/>
  <c r="X180" i="1"/>
  <c r="AA175" i="1"/>
  <c r="X167" i="1"/>
  <c r="AA158" i="1"/>
  <c r="W158" i="1" s="1"/>
  <c r="AA157" i="1"/>
  <c r="W157" i="1" s="1"/>
  <c r="AA156" i="1"/>
  <c r="AA154" i="1"/>
  <c r="W154" i="1" s="1"/>
  <c r="AA151" i="1"/>
  <c r="W151" i="1" s="1"/>
  <c r="AA149" i="1"/>
  <c r="W149" i="1" s="1"/>
  <c r="AA148" i="1"/>
  <c r="W148" i="1" s="1"/>
  <c r="AA147" i="1"/>
  <c r="W147" i="1" s="1"/>
  <c r="AA143" i="1"/>
  <c r="W143" i="1" s="1"/>
  <c r="AA132" i="1"/>
  <c r="W132" i="1" s="1"/>
  <c r="AA128" i="1"/>
  <c r="W128" i="1" s="1"/>
  <c r="AA126" i="1"/>
  <c r="W126" i="1" s="1"/>
  <c r="AA118" i="1"/>
  <c r="AA94" i="1"/>
  <c r="AA84" i="1"/>
  <c r="AA81" i="1"/>
  <c r="AA73" i="1"/>
  <c r="W73" i="1" s="1"/>
  <c r="AA62" i="1"/>
  <c r="AA48" i="1"/>
  <c r="AA47" i="1"/>
  <c r="W47" i="1" s="1"/>
  <c r="AG27" i="1"/>
  <c r="AA23" i="1"/>
  <c r="AA22" i="1"/>
  <c r="AA21" i="1"/>
  <c r="AG16" i="1"/>
  <c r="U16" i="1" s="1"/>
  <c r="S16" i="1" s="1"/>
  <c r="AA15" i="1"/>
  <c r="W15" i="1" s="1"/>
  <c r="AA14" i="1"/>
  <c r="W215" i="1"/>
  <c r="AA223" i="1"/>
  <c r="W223" i="1" s="1"/>
  <c r="X212" i="1"/>
  <c r="X203" i="1"/>
  <c r="X195" i="1"/>
  <c r="AG190" i="1"/>
  <c r="X190" i="1"/>
  <c r="X191" i="1"/>
  <c r="AG186" i="1"/>
  <c r="X186" i="1"/>
  <c r="X187" i="1"/>
  <c r="AG182" i="1"/>
  <c r="X182" i="1"/>
  <c r="X183" i="1"/>
  <c r="AG178" i="1"/>
  <c r="X178" i="1"/>
  <c r="X179" i="1"/>
  <c r="AG172" i="1"/>
  <c r="X172" i="1"/>
  <c r="AG206" i="1"/>
  <c r="X206" i="1"/>
  <c r="X207" i="1"/>
  <c r="AG198" i="1"/>
  <c r="W198" i="1" s="1"/>
  <c r="X198" i="1"/>
  <c r="W196" i="1"/>
  <c r="AG170" i="1"/>
  <c r="X170" i="1"/>
  <c r="X171" i="1"/>
  <c r="AG214" i="1"/>
  <c r="W214" i="1" s="1"/>
  <c r="X214" i="1"/>
  <c r="AG201" i="1"/>
  <c r="X201" i="1"/>
  <c r="AG193" i="1"/>
  <c r="X193" i="1"/>
  <c r="AG209" i="1"/>
  <c r="X209" i="1"/>
  <c r="AG175" i="1"/>
  <c r="X175" i="1"/>
  <c r="W67" i="1"/>
  <c r="AA218" i="1"/>
  <c r="W218" i="1" s="1"/>
  <c r="AA217" i="1"/>
  <c r="AA213" i="1"/>
  <c r="W213" i="1" s="1"/>
  <c r="AA202" i="1"/>
  <c r="W202" i="1" s="1"/>
  <c r="AA197" i="1"/>
  <c r="W197" i="1" s="1"/>
  <c r="X173" i="1"/>
  <c r="AA169" i="1"/>
  <c r="W169" i="1" s="1"/>
  <c r="X166" i="1"/>
  <c r="X164" i="1"/>
  <c r="AA160" i="1"/>
  <c r="W160" i="1" s="1"/>
  <c r="X157" i="1"/>
  <c r="X155" i="1"/>
  <c r="AA153" i="1"/>
  <c r="W153" i="1" s="1"/>
  <c r="X150" i="1"/>
  <c r="X148" i="1"/>
  <c r="AA144" i="1"/>
  <c r="W144" i="1" s="1"/>
  <c r="X141" i="1"/>
  <c r="X139" i="1"/>
  <c r="X137" i="1"/>
  <c r="AA130" i="1"/>
  <c r="AA108" i="1"/>
  <c r="W108" i="1" s="1"/>
  <c r="AA103" i="1"/>
  <c r="W103" i="1" s="1"/>
  <c r="AG82" i="1"/>
  <c r="U82" i="1" s="1"/>
  <c r="S82" i="1" s="1"/>
  <c r="AA80" i="1"/>
  <c r="AA75" i="1"/>
  <c r="W75" i="1" s="1"/>
  <c r="AA74" i="1"/>
  <c r="W74" i="1" s="1"/>
  <c r="AA61" i="1"/>
  <c r="AA60" i="1"/>
  <c r="W60" i="1" s="1"/>
  <c r="AA53" i="1"/>
  <c r="AA52" i="1"/>
  <c r="AA51" i="1"/>
  <c r="AA44" i="1"/>
  <c r="AA43" i="1"/>
  <c r="W43" i="1" s="1"/>
  <c r="AA35" i="1"/>
  <c r="AA28" i="1"/>
  <c r="AG25" i="1"/>
  <c r="AG19" i="1"/>
  <c r="W19" i="1" s="1"/>
  <c r="AA18" i="1"/>
  <c r="W18" i="1" s="1"/>
  <c r="W156" i="1"/>
  <c r="X220" i="1"/>
  <c r="X215" i="1"/>
  <c r="AA210" i="1"/>
  <c r="W210" i="1" s="1"/>
  <c r="X208" i="1"/>
  <c r="AA205" i="1"/>
  <c r="W205" i="1" s="1"/>
  <c r="X199" i="1"/>
  <c r="AA194" i="1"/>
  <c r="W194" i="1" s="1"/>
  <c r="X192" i="1"/>
  <c r="AA189" i="1"/>
  <c r="W189" i="1" s="1"/>
  <c r="AA185" i="1"/>
  <c r="W185" i="1" s="1"/>
  <c r="AA181" i="1"/>
  <c r="W181" i="1" s="1"/>
  <c r="AA177" i="1"/>
  <c r="W177" i="1" s="1"/>
  <c r="X174" i="1"/>
  <c r="AA168" i="1"/>
  <c r="W168" i="1" s="1"/>
  <c r="X165" i="1"/>
  <c r="X163" i="1"/>
  <c r="AA161" i="1"/>
  <c r="W161" i="1" s="1"/>
  <c r="X158" i="1"/>
  <c r="X156" i="1"/>
  <c r="AA152" i="1"/>
  <c r="W152" i="1" s="1"/>
  <c r="X149" i="1"/>
  <c r="X147" i="1"/>
  <c r="AA145" i="1"/>
  <c r="W145" i="1" s="1"/>
  <c r="X142" i="1"/>
  <c r="X140" i="1"/>
  <c r="X138" i="1"/>
  <c r="AA137" i="1"/>
  <c r="AA127" i="1"/>
  <c r="W127" i="1" s="1"/>
  <c r="AA116" i="1"/>
  <c r="W116" i="1" s="1"/>
  <c r="AA82" i="1"/>
  <c r="AA72" i="1"/>
  <c r="W72" i="1" s="1"/>
  <c r="AA66" i="1"/>
  <c r="W66" i="1" s="1"/>
  <c r="AG33" i="1"/>
  <c r="AA27" i="1"/>
  <c r="AA26" i="1"/>
  <c r="W26" i="1" s="1"/>
  <c r="AG23" i="1"/>
  <c r="U23" i="1" s="1"/>
  <c r="S23" i="1" s="1"/>
  <c r="W164" i="1"/>
  <c r="X159" i="1"/>
  <c r="X154" i="1"/>
  <c r="X143" i="1"/>
  <c r="W69" i="1"/>
  <c r="AA55" i="1"/>
  <c r="AA54" i="1"/>
  <c r="AA31" i="1"/>
  <c r="AA30" i="1"/>
  <c r="AA24" i="1"/>
  <c r="T223" i="1"/>
  <c r="U223" i="1" s="1"/>
  <c r="S223" i="1" s="1"/>
  <c r="T222" i="1"/>
  <c r="U222" i="1" s="1"/>
  <c r="S222" i="1" s="1"/>
  <c r="T221" i="1"/>
  <c r="U221" i="1" s="1"/>
  <c r="S221" i="1" s="1"/>
  <c r="T220" i="1"/>
  <c r="T219" i="1"/>
  <c r="U219" i="1" s="1"/>
  <c r="S219" i="1" s="1"/>
  <c r="T218" i="1"/>
  <c r="AG217" i="1"/>
  <c r="T217" i="1"/>
  <c r="AA176" i="1"/>
  <c r="AA121" i="1"/>
  <c r="W121" i="1" s="1"/>
  <c r="AA106" i="1"/>
  <c r="T216" i="1"/>
  <c r="U216" i="1" s="1"/>
  <c r="S216" i="1" s="1"/>
  <c r="T215" i="1"/>
  <c r="U215" i="1" s="1"/>
  <c r="S215" i="1" s="1"/>
  <c r="T214" i="1"/>
  <c r="T213" i="1"/>
  <c r="U213" i="1" s="1"/>
  <c r="S213" i="1" s="1"/>
  <c r="T212" i="1"/>
  <c r="U212" i="1" s="1"/>
  <c r="S212" i="1" s="1"/>
  <c r="T211" i="1"/>
  <c r="U211" i="1" s="1"/>
  <c r="S211" i="1" s="1"/>
  <c r="T210" i="1"/>
  <c r="T209" i="1"/>
  <c r="T208" i="1"/>
  <c r="U208" i="1" s="1"/>
  <c r="S208" i="1" s="1"/>
  <c r="T207" i="1"/>
  <c r="U207" i="1" s="1"/>
  <c r="S207" i="1" s="1"/>
  <c r="T206" i="1"/>
  <c r="T205" i="1"/>
  <c r="U205" i="1" s="1"/>
  <c r="S205" i="1" s="1"/>
  <c r="T204" i="1"/>
  <c r="U204" i="1" s="1"/>
  <c r="S204" i="1" s="1"/>
  <c r="T203" i="1"/>
  <c r="U203" i="1" s="1"/>
  <c r="S203" i="1" s="1"/>
  <c r="T202" i="1"/>
  <c r="T201" i="1"/>
  <c r="T200" i="1"/>
  <c r="U200" i="1" s="1"/>
  <c r="S200" i="1" s="1"/>
  <c r="T199" i="1"/>
  <c r="U199" i="1" s="1"/>
  <c r="S199" i="1" s="1"/>
  <c r="T198" i="1"/>
  <c r="T197" i="1"/>
  <c r="U197" i="1" s="1"/>
  <c r="S197" i="1" s="1"/>
  <c r="T196" i="1"/>
  <c r="T195" i="1"/>
  <c r="U195" i="1" s="1"/>
  <c r="S195" i="1" s="1"/>
  <c r="T194" i="1"/>
  <c r="T193" i="1"/>
  <c r="T192" i="1"/>
  <c r="U192" i="1" s="1"/>
  <c r="S192" i="1" s="1"/>
  <c r="T191" i="1"/>
  <c r="U191" i="1" s="1"/>
  <c r="S191" i="1" s="1"/>
  <c r="T190" i="1"/>
  <c r="T189" i="1"/>
  <c r="U189" i="1" s="1"/>
  <c r="S189" i="1" s="1"/>
  <c r="T188" i="1"/>
  <c r="U188" i="1" s="1"/>
  <c r="S188" i="1" s="1"/>
  <c r="T187" i="1"/>
  <c r="U187" i="1" s="1"/>
  <c r="S187" i="1" s="1"/>
  <c r="T186" i="1"/>
  <c r="T185" i="1"/>
  <c r="U185" i="1" s="1"/>
  <c r="S185" i="1" s="1"/>
  <c r="T184" i="1"/>
  <c r="U184" i="1" s="1"/>
  <c r="S184" i="1" s="1"/>
  <c r="T183" i="1"/>
  <c r="U183" i="1" s="1"/>
  <c r="S183" i="1" s="1"/>
  <c r="T182" i="1"/>
  <c r="T181" i="1"/>
  <c r="U181" i="1" s="1"/>
  <c r="S181" i="1" s="1"/>
  <c r="T180" i="1"/>
  <c r="U180" i="1" s="1"/>
  <c r="S180" i="1" s="1"/>
  <c r="T179" i="1"/>
  <c r="U179" i="1" s="1"/>
  <c r="S179" i="1" s="1"/>
  <c r="T178" i="1"/>
  <c r="T177" i="1"/>
  <c r="U177" i="1" s="1"/>
  <c r="S177" i="1" s="1"/>
  <c r="AG176" i="1"/>
  <c r="T176" i="1"/>
  <c r="AA114" i="1"/>
  <c r="W114" i="1" s="1"/>
  <c r="AA113" i="1"/>
  <c r="W113" i="1" s="1"/>
  <c r="AA105" i="1"/>
  <c r="W105" i="1" s="1"/>
  <c r="AA97" i="1"/>
  <c r="W97" i="1" s="1"/>
  <c r="AA89" i="1"/>
  <c r="W89" i="1" s="1"/>
  <c r="AA83" i="1"/>
  <c r="W83" i="1" s="1"/>
  <c r="AG80" i="1"/>
  <c r="U80" i="1" s="1"/>
  <c r="S80" i="1" s="1"/>
  <c r="AA79" i="1"/>
  <c r="W79" i="1" s="1"/>
  <c r="AA71" i="1"/>
  <c r="W71" i="1" s="1"/>
  <c r="AA68" i="1"/>
  <c r="W68" i="1" s="1"/>
  <c r="AG35" i="1"/>
  <c r="AA34" i="1"/>
  <c r="AG32" i="1"/>
  <c r="U32" i="1" s="1"/>
  <c r="S32" i="1" s="1"/>
  <c r="AG30" i="1"/>
  <c r="AG28" i="1"/>
  <c r="AG26" i="1"/>
  <c r="U26" i="1" s="1"/>
  <c r="S26" i="1" s="1"/>
  <c r="AG24" i="1"/>
  <c r="U24" i="1" s="1"/>
  <c r="S24" i="1" s="1"/>
  <c r="AG22" i="1"/>
  <c r="U22" i="1" s="1"/>
  <c r="AA131" i="1"/>
  <c r="W131" i="1" s="1"/>
  <c r="AA123" i="1"/>
  <c r="W123" i="1" s="1"/>
  <c r="AA115" i="1"/>
  <c r="W115" i="1" s="1"/>
  <c r="AA107" i="1"/>
  <c r="W107" i="1" s="1"/>
  <c r="AA99" i="1"/>
  <c r="W99" i="1" s="1"/>
  <c r="AA91" i="1"/>
  <c r="W91" i="1" s="1"/>
  <c r="AA85" i="1"/>
  <c r="W85" i="1" s="1"/>
  <c r="AG81" i="1"/>
  <c r="AA78" i="1"/>
  <c r="W78" i="1" s="1"/>
  <c r="AA70" i="1"/>
  <c r="W70" i="1" s="1"/>
  <c r="AA50" i="1"/>
  <c r="AA46" i="1"/>
  <c r="AA41" i="1"/>
  <c r="AG38" i="1"/>
  <c r="W38" i="1" s="1"/>
  <c r="AG34" i="1"/>
  <c r="U34" i="1" s="1"/>
  <c r="S34" i="1" s="1"/>
  <c r="AG21" i="1"/>
  <c r="U21" i="1" s="1"/>
  <c r="S21" i="1" s="1"/>
  <c r="AA20" i="1"/>
  <c r="W20" i="1" s="1"/>
  <c r="AG17" i="1"/>
  <c r="U17" i="1" s="1"/>
  <c r="S17" i="1" s="1"/>
  <c r="AA16" i="1"/>
  <c r="T175" i="1"/>
  <c r="T174" i="1"/>
  <c r="U174" i="1" s="1"/>
  <c r="S174" i="1" s="1"/>
  <c r="T173" i="1"/>
  <c r="U173" i="1" s="1"/>
  <c r="S173" i="1" s="1"/>
  <c r="T172" i="1"/>
  <c r="T171" i="1"/>
  <c r="U171" i="1" s="1"/>
  <c r="S171" i="1" s="1"/>
  <c r="T170" i="1"/>
  <c r="T169" i="1"/>
  <c r="U169" i="1" s="1"/>
  <c r="S169" i="1" s="1"/>
  <c r="T168" i="1"/>
  <c r="U168" i="1" s="1"/>
  <c r="S168" i="1" s="1"/>
  <c r="T167" i="1"/>
  <c r="U167" i="1" s="1"/>
  <c r="S167" i="1" s="1"/>
  <c r="T166" i="1"/>
  <c r="U166" i="1" s="1"/>
  <c r="S166" i="1" s="1"/>
  <c r="T165" i="1"/>
  <c r="U165" i="1" s="1"/>
  <c r="S165" i="1" s="1"/>
  <c r="T164" i="1"/>
  <c r="U164" i="1" s="1"/>
  <c r="S164" i="1" s="1"/>
  <c r="T163" i="1"/>
  <c r="U163" i="1" s="1"/>
  <c r="S163" i="1" s="1"/>
  <c r="T162" i="1"/>
  <c r="U162" i="1" s="1"/>
  <c r="S162" i="1" s="1"/>
  <c r="T161" i="1"/>
  <c r="U161" i="1" s="1"/>
  <c r="S161" i="1" s="1"/>
  <c r="T160" i="1"/>
  <c r="U160" i="1" s="1"/>
  <c r="S160" i="1" s="1"/>
  <c r="T159" i="1"/>
  <c r="U159" i="1" s="1"/>
  <c r="S159" i="1" s="1"/>
  <c r="T158" i="1"/>
  <c r="U158" i="1" s="1"/>
  <c r="S158" i="1" s="1"/>
  <c r="T157" i="1"/>
  <c r="U157" i="1" s="1"/>
  <c r="S157" i="1" s="1"/>
  <c r="T156" i="1"/>
  <c r="U156" i="1" s="1"/>
  <c r="S156" i="1" s="1"/>
  <c r="T155" i="1"/>
  <c r="U155" i="1" s="1"/>
  <c r="S155" i="1" s="1"/>
  <c r="T154" i="1"/>
  <c r="U154" i="1" s="1"/>
  <c r="S154" i="1" s="1"/>
  <c r="T153" i="1"/>
  <c r="T152" i="1"/>
  <c r="U152" i="1" s="1"/>
  <c r="S152" i="1" s="1"/>
  <c r="T151" i="1"/>
  <c r="U151" i="1" s="1"/>
  <c r="S151" i="1" s="1"/>
  <c r="T150" i="1"/>
  <c r="T149" i="1"/>
  <c r="U149" i="1" s="1"/>
  <c r="S149" i="1" s="1"/>
  <c r="T148" i="1"/>
  <c r="T147" i="1"/>
  <c r="U147" i="1" s="1"/>
  <c r="S147" i="1" s="1"/>
  <c r="T146" i="1"/>
  <c r="U146" i="1" s="1"/>
  <c r="S146" i="1" s="1"/>
  <c r="T145" i="1"/>
  <c r="U145" i="1" s="1"/>
  <c r="S145" i="1" s="1"/>
  <c r="T144" i="1"/>
  <c r="U144" i="1" s="1"/>
  <c r="S144" i="1" s="1"/>
  <c r="T143" i="1"/>
  <c r="U143" i="1" s="1"/>
  <c r="S143" i="1" s="1"/>
  <c r="T142" i="1"/>
  <c r="U142" i="1" s="1"/>
  <c r="S142" i="1" s="1"/>
  <c r="T141" i="1"/>
  <c r="U141" i="1" s="1"/>
  <c r="S141" i="1" s="1"/>
  <c r="T140" i="1"/>
  <c r="U140" i="1" s="1"/>
  <c r="S140" i="1" s="1"/>
  <c r="T139" i="1"/>
  <c r="U139" i="1" s="1"/>
  <c r="S139" i="1" s="1"/>
  <c r="T138" i="1"/>
  <c r="U138" i="1" s="1"/>
  <c r="S138" i="1" s="1"/>
  <c r="AA133" i="1"/>
  <c r="W133" i="1" s="1"/>
  <c r="AA125" i="1"/>
  <c r="W125" i="1" s="1"/>
  <c r="AA117" i="1"/>
  <c r="W117" i="1" s="1"/>
  <c r="AA109" i="1"/>
  <c r="W109" i="1" s="1"/>
  <c r="AA49" i="1"/>
  <c r="W49" i="1" s="1"/>
  <c r="AA45" i="1"/>
  <c r="W45" i="1" s="1"/>
  <c r="U20" i="1"/>
  <c r="S20" i="1" s="1"/>
  <c r="U153" i="1"/>
  <c r="S153" i="1" s="1"/>
  <c r="U150" i="1"/>
  <c r="S150" i="1" s="1"/>
  <c r="U148" i="1"/>
  <c r="S148" i="1" s="1"/>
  <c r="Q29" i="3"/>
  <c r="Q60" i="3"/>
  <c r="U220" i="1"/>
  <c r="S220" i="1" s="1"/>
  <c r="U218" i="1"/>
  <c r="S218" i="1" s="1"/>
  <c r="U210" i="1"/>
  <c r="S210" i="1" s="1"/>
  <c r="U202" i="1"/>
  <c r="S202" i="1" s="1"/>
  <c r="U196" i="1"/>
  <c r="S196" i="1" s="1"/>
  <c r="U194" i="1"/>
  <c r="S194" i="1" s="1"/>
  <c r="T56" i="1"/>
  <c r="X56" i="1"/>
  <c r="AG56" i="1"/>
  <c r="W119" i="1"/>
  <c r="W95" i="1"/>
  <c r="W87" i="1"/>
  <c r="T46" i="1"/>
  <c r="AG46" i="1"/>
  <c r="T41" i="1"/>
  <c r="AG41" i="1"/>
  <c r="AG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T91" i="1"/>
  <c r="U91" i="1" s="1"/>
  <c r="S91" i="1" s="1"/>
  <c r="T89" i="1"/>
  <c r="U89" i="1" s="1"/>
  <c r="S89" i="1" s="1"/>
  <c r="T87" i="1"/>
  <c r="U87" i="1" s="1"/>
  <c r="S87" i="1" s="1"/>
  <c r="T85" i="1"/>
  <c r="U85" i="1" s="1"/>
  <c r="S85" i="1" s="1"/>
  <c r="T83" i="1"/>
  <c r="U83" i="1" s="1"/>
  <c r="S83" i="1" s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X130" i="1"/>
  <c r="T128" i="1"/>
  <c r="U128" i="1" s="1"/>
  <c r="S128" i="1" s="1"/>
  <c r="X128" i="1"/>
  <c r="T126" i="1"/>
  <c r="U126" i="1" s="1"/>
  <c r="S126" i="1" s="1"/>
  <c r="X126" i="1"/>
  <c r="T124" i="1"/>
  <c r="X124" i="1"/>
  <c r="T122" i="1"/>
  <c r="U122" i="1" s="1"/>
  <c r="S122" i="1" s="1"/>
  <c r="X122" i="1"/>
  <c r="T120" i="1"/>
  <c r="U120" i="1" s="1"/>
  <c r="S120" i="1" s="1"/>
  <c r="X120" i="1"/>
  <c r="T118" i="1"/>
  <c r="X118" i="1"/>
  <c r="T116" i="1"/>
  <c r="U116" i="1" s="1"/>
  <c r="S116" i="1" s="1"/>
  <c r="X116" i="1"/>
  <c r="T114" i="1"/>
  <c r="U114" i="1" s="1"/>
  <c r="S114" i="1" s="1"/>
  <c r="X114" i="1"/>
  <c r="T112" i="1"/>
  <c r="X112" i="1"/>
  <c r="T110" i="1"/>
  <c r="U110" i="1" s="1"/>
  <c r="S110" i="1" s="1"/>
  <c r="X110" i="1"/>
  <c r="T108" i="1"/>
  <c r="U108" i="1" s="1"/>
  <c r="S108" i="1" s="1"/>
  <c r="X108" i="1"/>
  <c r="T106" i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X98" i="1"/>
  <c r="T96" i="1"/>
  <c r="X96" i="1"/>
  <c r="T94" i="1"/>
  <c r="T92" i="1"/>
  <c r="T90" i="1"/>
  <c r="T88" i="1"/>
  <c r="T86" i="1"/>
  <c r="T84" i="1"/>
  <c r="W58" i="1"/>
  <c r="AG130" i="1"/>
  <c r="AG124" i="1"/>
  <c r="AG118" i="1"/>
  <c r="AG112" i="1"/>
  <c r="AG106" i="1"/>
  <c r="AG98" i="1"/>
  <c r="AG96" i="1"/>
  <c r="AG94" i="1"/>
  <c r="AG92" i="1"/>
  <c r="AG90" i="1"/>
  <c r="AG88" i="1"/>
  <c r="AG86" i="1"/>
  <c r="W86" i="1" s="1"/>
  <c r="AG84" i="1"/>
  <c r="T55" i="1"/>
  <c r="X55" i="1"/>
  <c r="AG55" i="1"/>
  <c r="T51" i="1"/>
  <c r="X51" i="1"/>
  <c r="AG51" i="1"/>
  <c r="T48" i="1"/>
  <c r="X48" i="1"/>
  <c r="AG48" i="1"/>
  <c r="T44" i="1"/>
  <c r="AG44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T68" i="1"/>
  <c r="U68" i="1" s="1"/>
  <c r="S68" i="1" s="1"/>
  <c r="T66" i="1"/>
  <c r="U66" i="1" s="1"/>
  <c r="S66" i="1" s="1"/>
  <c r="T62" i="1"/>
  <c r="U62" i="1" s="1"/>
  <c r="S62" i="1" s="1"/>
  <c r="T58" i="1"/>
  <c r="U58" i="1" s="1"/>
  <c r="S58" i="1" s="1"/>
  <c r="X58" i="1"/>
  <c r="T57" i="1"/>
  <c r="X57" i="1"/>
  <c r="AG57" i="1"/>
  <c r="AA56" i="1"/>
  <c r="T50" i="1"/>
  <c r="X50" i="1"/>
  <c r="AG50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9" i="1"/>
  <c r="U69" i="1" s="1"/>
  <c r="S69" i="1" s="1"/>
  <c r="T67" i="1"/>
  <c r="U67" i="1" s="1"/>
  <c r="S67" i="1" s="1"/>
  <c r="T65" i="1"/>
  <c r="U65" i="1" s="1"/>
  <c r="S65" i="1" s="1"/>
  <c r="T61" i="1"/>
  <c r="X61" i="1"/>
  <c r="T54" i="1"/>
  <c r="X54" i="1"/>
  <c r="T53" i="1"/>
  <c r="X53" i="1"/>
  <c r="AG53" i="1"/>
  <c r="T52" i="1"/>
  <c r="X52" i="1"/>
  <c r="AG52" i="1"/>
  <c r="AG61" i="1"/>
  <c r="T60" i="1"/>
  <c r="U60" i="1" s="1"/>
  <c r="S60" i="1" s="1"/>
  <c r="X60" i="1"/>
  <c r="T59" i="1"/>
  <c r="X59" i="1"/>
  <c r="AG59" i="1"/>
  <c r="AG54" i="1"/>
  <c r="U15" i="1"/>
  <c r="S15" i="1" s="1"/>
  <c r="U29" i="1"/>
  <c r="S29" i="1" s="1"/>
  <c r="T49" i="1"/>
  <c r="U49" i="1" s="1"/>
  <c r="S49" i="1" s="1"/>
  <c r="X49" i="1"/>
  <c r="T47" i="1"/>
  <c r="U47" i="1" s="1"/>
  <c r="S47" i="1" s="1"/>
  <c r="T45" i="1"/>
  <c r="U45" i="1" s="1"/>
  <c r="S45" i="1" s="1"/>
  <c r="T43" i="1"/>
  <c r="U43" i="1" s="1"/>
  <c r="S43" i="1" s="1"/>
  <c r="S18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P72" i="3"/>
  <c r="P69" i="3"/>
  <c r="Q30" i="3"/>
  <c r="V13" i="1"/>
  <c r="W17" i="1" l="1"/>
  <c r="U172" i="1"/>
  <c r="S172" i="1" s="1"/>
  <c r="W206" i="1"/>
  <c r="U175" i="1"/>
  <c r="S175" i="1" s="1"/>
  <c r="W81" i="1"/>
  <c r="U193" i="1"/>
  <c r="S193" i="1" s="1"/>
  <c r="W33" i="1"/>
  <c r="W25" i="1"/>
  <c r="W23" i="1"/>
  <c r="W62" i="1"/>
  <c r="W92" i="1"/>
  <c r="W201" i="1"/>
  <c r="W35" i="1"/>
  <c r="W14" i="1"/>
  <c r="W29" i="1"/>
  <c r="W190" i="1"/>
  <c r="W28" i="1"/>
  <c r="W193" i="1"/>
  <c r="W106" i="1"/>
  <c r="W209" i="1"/>
  <c r="U36" i="1"/>
  <c r="W41" i="1"/>
  <c r="W27" i="1"/>
  <c r="W80" i="1"/>
  <c r="W56" i="1"/>
  <c r="W16" i="1"/>
  <c r="U178" i="1"/>
  <c r="S178" i="1" s="1"/>
  <c r="U209" i="1"/>
  <c r="S209" i="1" s="1"/>
  <c r="W172" i="1"/>
  <c r="U28" i="1"/>
  <c r="S28" i="1" s="1"/>
  <c r="W170" i="1"/>
  <c r="W178" i="1"/>
  <c r="U19" i="1"/>
  <c r="S19" i="1" s="1"/>
  <c r="U27" i="1"/>
  <c r="S27" i="1" s="1"/>
  <c r="W53" i="1"/>
  <c r="U170" i="1"/>
  <c r="S170" i="1" s="1"/>
  <c r="U182" i="1"/>
  <c r="S182" i="1" s="1"/>
  <c r="U198" i="1"/>
  <c r="S198" i="1" s="1"/>
  <c r="U206" i="1"/>
  <c r="S206" i="1" s="1"/>
  <c r="W31" i="1"/>
  <c r="W186" i="1"/>
  <c r="U25" i="1"/>
  <c r="S25" i="1" s="1"/>
  <c r="U190" i="1"/>
  <c r="S190" i="1" s="1"/>
  <c r="U201" i="1"/>
  <c r="S201" i="1" s="1"/>
  <c r="W112" i="1"/>
  <c r="U33" i="1"/>
  <c r="S33" i="1" s="1"/>
  <c r="W21" i="1"/>
  <c r="W61" i="1"/>
  <c r="W48" i="1"/>
  <c r="U186" i="1"/>
  <c r="S186" i="1" s="1"/>
  <c r="U214" i="1"/>
  <c r="S214" i="1" s="1"/>
  <c r="W82" i="1"/>
  <c r="W24" i="1"/>
  <c r="U176" i="1"/>
  <c r="S176" i="1" s="1"/>
  <c r="W175" i="1"/>
  <c r="W182" i="1"/>
  <c r="W46" i="1"/>
  <c r="U38" i="1"/>
  <c r="S38" i="1" s="1"/>
  <c r="U30" i="1"/>
  <c r="S30" i="1" s="1"/>
  <c r="W30" i="1"/>
  <c r="W32" i="1"/>
  <c r="U217" i="1"/>
  <c r="S217" i="1" s="1"/>
  <c r="W22" i="1"/>
  <c r="W34" i="1"/>
  <c r="U81" i="1"/>
  <c r="S81" i="1" s="1"/>
  <c r="S22" i="1"/>
  <c r="U35" i="1"/>
  <c r="S35" i="1" s="1"/>
  <c r="W176" i="1"/>
  <c r="W217" i="1"/>
  <c r="U52" i="1"/>
  <c r="S52" i="1" s="1"/>
  <c r="U44" i="1"/>
  <c r="S44" i="1" s="1"/>
  <c r="U88" i="1"/>
  <c r="S88" i="1" s="1"/>
  <c r="U96" i="1"/>
  <c r="S96" i="1" s="1"/>
  <c r="U118" i="1"/>
  <c r="S118" i="1" s="1"/>
  <c r="W52" i="1"/>
  <c r="U137" i="1"/>
  <c r="S137" i="1" s="1"/>
  <c r="W118" i="1"/>
  <c r="U46" i="1"/>
  <c r="S46" i="1" s="1"/>
  <c r="U56" i="1"/>
  <c r="S56" i="1" s="1"/>
  <c r="U54" i="1"/>
  <c r="S54" i="1" s="1"/>
  <c r="U55" i="1"/>
  <c r="S55" i="1" s="1"/>
  <c r="U84" i="1"/>
  <c r="S84" i="1" s="1"/>
  <c r="U90" i="1"/>
  <c r="S90" i="1" s="1"/>
  <c r="U98" i="1"/>
  <c r="S98" i="1" s="1"/>
  <c r="U124" i="1"/>
  <c r="S124" i="1" s="1"/>
  <c r="W55" i="1"/>
  <c r="W54" i="1"/>
  <c r="W88" i="1"/>
  <c r="W96" i="1"/>
  <c r="U41" i="1"/>
  <c r="S41" i="1" s="1"/>
  <c r="W137" i="1"/>
  <c r="W57" i="1"/>
  <c r="U57" i="1"/>
  <c r="S57" i="1" s="1"/>
  <c r="U86" i="1"/>
  <c r="S86" i="1" s="1"/>
  <c r="U106" i="1"/>
  <c r="S106" i="1" s="1"/>
  <c r="W124" i="1"/>
  <c r="U59" i="1"/>
  <c r="S59" i="1" s="1"/>
  <c r="W59" i="1"/>
  <c r="U50" i="1"/>
  <c r="S50" i="1" s="1"/>
  <c r="W50" i="1"/>
  <c r="W51" i="1"/>
  <c r="U51" i="1"/>
  <c r="S51" i="1" s="1"/>
  <c r="U92" i="1"/>
  <c r="S92" i="1" s="1"/>
  <c r="U130" i="1"/>
  <c r="S130" i="1" s="1"/>
  <c r="U61" i="1"/>
  <c r="S61" i="1" s="1"/>
  <c r="U53" i="1"/>
  <c r="S53" i="1" s="1"/>
  <c r="W44" i="1"/>
  <c r="U48" i="1"/>
  <c r="S48" i="1" s="1"/>
  <c r="U94" i="1"/>
  <c r="S94" i="1" s="1"/>
  <c r="U112" i="1"/>
  <c r="S112" i="1" s="1"/>
  <c r="W84" i="1"/>
  <c r="W90" i="1"/>
  <c r="W94" i="1"/>
  <c r="W98" i="1"/>
  <c r="W130" i="1"/>
  <c r="K13" i="1"/>
  <c r="AH13" i="1" l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AF13" i="1" l="1"/>
  <c r="AE13" i="1" l="1"/>
  <c r="M18" i="5" l="1"/>
  <c r="AD13" i="1" l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<sst xmlns="http://schemas.openxmlformats.org/spreadsheetml/2006/main" count="2259" uniqueCount="711">
  <si>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</si>
  <si>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</si>
  <si>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</si>
  <si>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</si>
  <si>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</si>
  <si>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</si>
  <si>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</si>
  <si>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</si>
  <si>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</si>
  <si>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</si>
  <si>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</si>
  <si>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</si>
  <si>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</si>
  <si>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</si>
  <si>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</si>
  <si>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</si>
  <si>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</si>
  <si>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</si>
  <si>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</si>
  <si>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</si>
  <si>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</si>
  <si>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</si>
  <si>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</si>
  <si>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</si>
  <si>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</si>
  <si>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</si>
  <si>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</si>
  <si>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</si>
  <si>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</si>
  <si>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</si>
  <si>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</si>
  <si>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</si>
  <si>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</si>
  <si>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</si>
  <si>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</si>
  <si>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</si>
  <si>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</si>
  <si>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</si>
  <si>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</si>
  <si>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</si>
  <si>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</si>
  <si>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</si>
  <si>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</si>
  <si>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</si>
  <si>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</si>
  <si>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</si>
  <si>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</si>
  <si>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</si>
  <si>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</si>
  <si>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</si>
  <si>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</si>
  <si>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</si>
  <si>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</si>
  <si>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</si>
  <si>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</si>
  <si>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</si>
  <si>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</si>
  <si>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</si>
  <si>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</si>
  <si>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</si>
  <si>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</si>
  <si>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204:460</t>
  </si>
  <si>
    <t>204:232977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</si>
  <si>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</si>
  <si>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</si>
  <si>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</si>
  <si>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</si>
  <si>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</si>
  <si>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</si>
  <si>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</si>
  <si>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</si>
  <si>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</si>
  <si>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</si>
  <si>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</si>
  <si>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</si>
  <si>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</si>
  <si>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</si>
  <si>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</si>
  <si>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</si>
  <si>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</si>
  <si>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</si>
  <si>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</si>
  <si>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</si>
  <si>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</si>
  <si>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</si>
  <si>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</si>
  <si>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</si>
  <si>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</si>
  <si>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</si>
  <si>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</si>
  <si>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</si>
  <si>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</si>
  <si>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</si>
  <si>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</si>
  <si>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</si>
  <si>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</si>
  <si>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</si>
  <si>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</si>
  <si>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</si>
  <si>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</si>
  <si>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</si>
  <si>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</si>
  <si>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</si>
  <si>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</si>
  <si>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</si>
  <si>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</si>
  <si>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</si>
  <si>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</si>
  <si>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</si>
  <si>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</si>
  <si>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</si>
  <si>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rtdc.l.rtdc.4015:itc</t>
  </si>
  <si>
    <t>EC or NWGL</t>
  </si>
  <si>
    <t>204:464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</si>
  <si>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</si>
  <si>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</si>
  <si>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</si>
  <si>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</si>
  <si>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</si>
  <si>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</si>
  <si>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</si>
  <si>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</si>
  <si>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</si>
  <si>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</si>
  <si>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</si>
  <si>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</si>
  <si>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</si>
  <si>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</si>
  <si>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</si>
  <si>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</si>
  <si>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</si>
  <si>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</si>
  <si>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</si>
  <si>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</si>
  <si>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</si>
  <si>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</si>
  <si>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</si>
  <si>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</si>
  <si>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</si>
  <si>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</si>
  <si>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</si>
  <si>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</si>
  <si>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</si>
  <si>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</si>
  <si>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</si>
  <si>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204:232996</t>
  </si>
  <si>
    <t>204:233312</t>
  </si>
  <si>
    <t>204:232959</t>
  </si>
  <si>
    <t>ISHMAEL</t>
  </si>
  <si>
    <t>204:232983</t>
  </si>
  <si>
    <t>204:469</t>
  </si>
  <si>
    <t>204:458</t>
  </si>
  <si>
    <t>204:467</t>
  </si>
  <si>
    <t>LEVIN</t>
  </si>
  <si>
    <t>204:163</t>
  </si>
  <si>
    <t>204:457</t>
  </si>
  <si>
    <t>204:233310</t>
  </si>
  <si>
    <t>204:233320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</si>
  <si>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</si>
  <si>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</si>
  <si>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</si>
  <si>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</si>
  <si>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</si>
  <si>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</si>
  <si>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</si>
  <si>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204:466</t>
  </si>
  <si>
    <t>204:442</t>
  </si>
  <si>
    <t>204:165</t>
  </si>
  <si>
    <t>rtdc.l.rtdc.4028:itc</t>
  </si>
  <si>
    <t>rtdc.l.rtdc.4042:itc</t>
  </si>
  <si>
    <t>rtdc.l.rtdc.4038:itc</t>
  </si>
  <si>
    <t>204:232985</t>
  </si>
  <si>
    <t>204:150</t>
  </si>
  <si>
    <t>204:156</t>
  </si>
  <si>
    <t>204:232981</t>
  </si>
  <si>
    <t>204:451</t>
  </si>
  <si>
    <t>204:233291</t>
  </si>
  <si>
    <t>204:154</t>
  </si>
  <si>
    <t>204:232965</t>
  </si>
  <si>
    <t>204:477</t>
  </si>
  <si>
    <t>230-12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</si>
  <si>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</si>
  <si>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</si>
  <si>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</si>
  <si>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</si>
  <si>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</si>
  <si>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</si>
  <si>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</si>
  <si>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</si>
  <si>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</si>
  <si>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</si>
  <si>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</si>
  <si>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</si>
  <si>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</si>
  <si>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</si>
  <si>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</si>
  <si>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64-12</t>
  </si>
  <si>
    <t>908-12</t>
  </si>
  <si>
    <t>rtdc.l.rtdc.4008:itc</t>
  </si>
  <si>
    <t>rtdc.l.rtdc.4020:itc</t>
  </si>
  <si>
    <t>SWITCH UNKNOWN</t>
  </si>
  <si>
    <t>Track device (7)</t>
  </si>
  <si>
    <t>rtdc.l.rtdc.4019:itc</t>
  </si>
  <si>
    <t>NELSON</t>
  </si>
  <si>
    <t>YANAI</t>
  </si>
  <si>
    <t>rtdc.l.rtdc.4022:itc</t>
  </si>
  <si>
    <t>HOMIK</t>
  </si>
  <si>
    <t>313-12</t>
  </si>
  <si>
    <t>204:233295</t>
  </si>
  <si>
    <t>204:446</t>
  </si>
  <si>
    <t>204:167</t>
  </si>
  <si>
    <t>204:233308</t>
  </si>
  <si>
    <t>204:152</t>
  </si>
  <si>
    <t>204:480</t>
  </si>
  <si>
    <t>204:475</t>
  </si>
  <si>
    <t>204:233305</t>
  </si>
  <si>
    <t>rtdc.l.rtdc.4043:itc</t>
  </si>
  <si>
    <t>GRADE CROSSING</t>
  </si>
  <si>
    <t>Bulletin (2)</t>
  </si>
  <si>
    <t>rtdc.l.rtdc.4009:itc</t>
  </si>
  <si>
    <t>ACKERMAN</t>
  </si>
  <si>
    <t>STORY</t>
  </si>
  <si>
    <t>rtdc.l.rtdc.4010:itc</t>
  </si>
  <si>
    <t>BRUDER</t>
  </si>
  <si>
    <t>204:232987</t>
  </si>
  <si>
    <t>204:232971</t>
  </si>
  <si>
    <t>204:232989</t>
  </si>
  <si>
    <t>204:141</t>
  </si>
  <si>
    <t>204:161</t>
  </si>
  <si>
    <t>204:482</t>
  </si>
  <si>
    <t>204:233309</t>
  </si>
  <si>
    <t>204:473</t>
  </si>
  <si>
    <t>204:233007</t>
  </si>
  <si>
    <t>rtdc.l.rtdc.4016:itc</t>
  </si>
  <si>
    <t>STARKS</t>
  </si>
  <si>
    <t>204:232975</t>
  </si>
  <si>
    <t>204:232972</t>
  </si>
  <si>
    <t>300:58922</t>
  </si>
  <si>
    <t>300:58608</t>
  </si>
  <si>
    <t>300:58604</t>
  </si>
  <si>
    <t>300:58602</t>
  </si>
  <si>
    <t>300:58914</t>
  </si>
  <si>
    <t>204:965</t>
  </si>
  <si>
    <t>300:58926</t>
  </si>
  <si>
    <t>204:635</t>
  </si>
  <si>
    <t>SWANSON</t>
  </si>
  <si>
    <t>SPECTOR</t>
  </si>
  <si>
    <t>ROCHA</t>
  </si>
  <si>
    <t>HELVIE</t>
  </si>
  <si>
    <t>OUN</t>
  </si>
  <si>
    <t>CHANDLER</t>
  </si>
  <si>
    <t>Wi-MAX outage</t>
  </si>
  <si>
    <t>Onboard in-route failure</t>
  </si>
  <si>
    <t>Early arrival</t>
  </si>
  <si>
    <t>204:741</t>
  </si>
  <si>
    <t>204:232967</t>
  </si>
  <si>
    <t>204:232991</t>
  </si>
  <si>
    <t>204:233318</t>
  </si>
  <si>
    <t>204:232990</t>
  </si>
  <si>
    <t>204:1182</t>
  </si>
  <si>
    <t>204:232973</t>
  </si>
  <si>
    <t>204:233281</t>
  </si>
  <si>
    <t>204:136</t>
  </si>
  <si>
    <t>204:440</t>
  </si>
  <si>
    <t>204:233011</t>
  </si>
  <si>
    <t>204:233319</t>
  </si>
  <si>
    <t>204:233008</t>
  </si>
  <si>
    <t>204:233314</t>
  </si>
  <si>
    <t>204:233299</t>
  </si>
  <si>
    <t>204:233322</t>
  </si>
  <si>
    <t>204:233285</t>
  </si>
  <si>
    <t>204:232980</t>
  </si>
  <si>
    <t>204:233307</t>
  </si>
  <si>
    <t>204:233298</t>
  </si>
  <si>
    <t>204:232957</t>
  </si>
  <si>
    <t>204:233006</t>
  </si>
  <si>
    <t>204:437</t>
  </si>
  <si>
    <t>204:471</t>
  </si>
  <si>
    <t>204:232979</t>
  </si>
  <si>
    <t>204:125</t>
  </si>
  <si>
    <t>204:424</t>
  </si>
  <si>
    <t>239-16</t>
  </si>
  <si>
    <t>241-16</t>
  </si>
  <si>
    <t>244-16</t>
  </si>
  <si>
    <t>300:23346</t>
  </si>
  <si>
    <t>313-16</t>
  </si>
  <si>
    <t>204:332</t>
  </si>
  <si>
    <t>300:23111</t>
  </si>
  <si>
    <t>315-16</t>
  </si>
  <si>
    <t>204:640</t>
  </si>
  <si>
    <t>300:23312</t>
  </si>
  <si>
    <t>300:58619</t>
  </si>
  <si>
    <t>300:58630</t>
  </si>
  <si>
    <t>300:58596</t>
  </si>
  <si>
    <t>300:58617</t>
  </si>
  <si>
    <t>204:971</t>
  </si>
  <si>
    <t>204:678</t>
  </si>
  <si>
    <t>204:979</t>
  </si>
  <si>
    <t>204:694</t>
  </si>
  <si>
    <t>204:990</t>
  </si>
  <si>
    <t>rtdc.l.rtdc.4003:itc</t>
  </si>
  <si>
    <t>rtdc.l.rtdc.4002:itc</t>
  </si>
  <si>
    <t>rtdc.l.rtdc.4001:itc</t>
  </si>
  <si>
    <t>rtdc.l.rtdc.4017:itc</t>
  </si>
  <si>
    <t>rtdc.l.rtdc.4018:itc</t>
  </si>
  <si>
    <t>TEMPORARY SPEED RESTRICTION</t>
  </si>
  <si>
    <t>rtdc.l.rtdc.4004:itc</t>
  </si>
  <si>
    <t>Increasing Mileposts (1</t>
  </si>
  <si>
    <t>KILLION</t>
  </si>
  <si>
    <t>BRANNON</t>
  </si>
  <si>
    <t>STURGEON</t>
  </si>
  <si>
    <t>ROBINSON</t>
  </si>
  <si>
    <t>rtdc.l.rtdc.4005:itc</t>
  </si>
  <si>
    <t>238-16</t>
  </si>
  <si>
    <t>240-16</t>
  </si>
  <si>
    <t>243-16</t>
  </si>
  <si>
    <t>CHANDLE</t>
  </si>
  <si>
    <t>-</t>
  </si>
  <si>
    <t>:.+((SYSTEM_STATE.+slice.+state.+changed )|(ment ac)|(system.+state.+changed )|(\|lc)|(penalty)|(\[timeout)|(PRM\|1\|D)|(kpr)|(kdp))</t>
  </si>
  <si>
    <t>40th 4S was STOP, cleared a minute later</t>
  </si>
  <si>
    <t>101-17</t>
  </si>
  <si>
    <t>204:737</t>
  </si>
  <si>
    <t>102-17</t>
  </si>
  <si>
    <t>204:232689</t>
  </si>
  <si>
    <t>103-17</t>
  </si>
  <si>
    <t>204:750</t>
  </si>
  <si>
    <t>104-17</t>
  </si>
  <si>
    <t>204:232652</t>
  </si>
  <si>
    <t>105-17</t>
  </si>
  <si>
    <t>204:832</t>
  </si>
  <si>
    <t>204:233288</t>
  </si>
  <si>
    <t>106-17</t>
  </si>
  <si>
    <t>204:232650</t>
  </si>
  <si>
    <t>107-17</t>
  </si>
  <si>
    <t>108-17</t>
  </si>
  <si>
    <t>109-17</t>
  </si>
  <si>
    <t>204:444</t>
  </si>
  <si>
    <t>204:233264</t>
  </si>
  <si>
    <t>110-17</t>
  </si>
  <si>
    <t>111-17</t>
  </si>
  <si>
    <t>204:754</t>
  </si>
  <si>
    <t>204:233311</t>
  </si>
  <si>
    <t>112-17</t>
  </si>
  <si>
    <t>113-17</t>
  </si>
  <si>
    <t>204:233304</t>
  </si>
  <si>
    <t>114-17</t>
  </si>
  <si>
    <t>115-17</t>
  </si>
  <si>
    <t>116-17</t>
  </si>
  <si>
    <t>204:233009</t>
  </si>
  <si>
    <t>117-17</t>
  </si>
  <si>
    <t>204:233321</t>
  </si>
  <si>
    <t>118-17</t>
  </si>
  <si>
    <t>204:233025</t>
  </si>
  <si>
    <t>119-17</t>
  </si>
  <si>
    <t>204:779</t>
  </si>
  <si>
    <t>120-17</t>
  </si>
  <si>
    <t>121-17</t>
  </si>
  <si>
    <t>204:233212</t>
  </si>
  <si>
    <t>122-17</t>
  </si>
  <si>
    <t>204:232889</t>
  </si>
  <si>
    <t>123-17</t>
  </si>
  <si>
    <t>204:233190</t>
  </si>
  <si>
    <t>126-17</t>
  </si>
  <si>
    <t>204:232873</t>
  </si>
  <si>
    <t>129-17</t>
  </si>
  <si>
    <t>204:478</t>
  </si>
  <si>
    <t>131-17</t>
  </si>
  <si>
    <t>132-17</t>
  </si>
  <si>
    <t>204:233004</t>
  </si>
  <si>
    <t>204:145</t>
  </si>
  <si>
    <t>133-17</t>
  </si>
  <si>
    <t>204:233334</t>
  </si>
  <si>
    <t>134-17</t>
  </si>
  <si>
    <t>204:138</t>
  </si>
  <si>
    <t>135-17</t>
  </si>
  <si>
    <t>136-17</t>
  </si>
  <si>
    <t>204:232974</t>
  </si>
  <si>
    <t>137-17</t>
  </si>
  <si>
    <t>138-17</t>
  </si>
  <si>
    <t>139-17</t>
  </si>
  <si>
    <t>204:447</t>
  </si>
  <si>
    <t>140-17</t>
  </si>
  <si>
    <t>141-17</t>
  </si>
  <si>
    <t>142-17</t>
  </si>
  <si>
    <t>143-17</t>
  </si>
  <si>
    <t>204:233282</t>
  </si>
  <si>
    <t>144-17</t>
  </si>
  <si>
    <t>145-17</t>
  </si>
  <si>
    <t>204:233325</t>
  </si>
  <si>
    <t>146-17</t>
  </si>
  <si>
    <t>204:172</t>
  </si>
  <si>
    <t>147-17</t>
  </si>
  <si>
    <t>204:33194</t>
  </si>
  <si>
    <t>148-17</t>
  </si>
  <si>
    <t>149-17</t>
  </si>
  <si>
    <t>150-17</t>
  </si>
  <si>
    <t>204:134</t>
  </si>
  <si>
    <t>153-17</t>
  </si>
  <si>
    <t>204:232786</t>
  </si>
  <si>
    <t>154-17</t>
  </si>
  <si>
    <t>204:232961</t>
  </si>
  <si>
    <t>155-17</t>
  </si>
  <si>
    <t>156-17</t>
  </si>
  <si>
    <t>204:260</t>
  </si>
  <si>
    <t>157-17</t>
  </si>
  <si>
    <t>158-17</t>
  </si>
  <si>
    <t>204:232963</t>
  </si>
  <si>
    <t>159-17</t>
  </si>
  <si>
    <t>204:422</t>
  </si>
  <si>
    <t>160-17</t>
  </si>
  <si>
    <t>161-17</t>
  </si>
  <si>
    <t>162-17</t>
  </si>
  <si>
    <t>163-17</t>
  </si>
  <si>
    <t>164-17</t>
  </si>
  <si>
    <t>165-17</t>
  </si>
  <si>
    <t>204:233351</t>
  </si>
  <si>
    <t>166-17</t>
  </si>
  <si>
    <t>204:233036</t>
  </si>
  <si>
    <t>167-17</t>
  </si>
  <si>
    <t>168-17</t>
  </si>
  <si>
    <t>204:232984</t>
  </si>
  <si>
    <t>169-17</t>
  </si>
  <si>
    <t>204:570</t>
  </si>
  <si>
    <t>170-17</t>
  </si>
  <si>
    <t>171-17</t>
  </si>
  <si>
    <t>204:161831</t>
  </si>
  <si>
    <t>172-17</t>
  </si>
  <si>
    <t>204:232940</t>
  </si>
  <si>
    <t>173-17</t>
  </si>
  <si>
    <t>204:165357</t>
  </si>
  <si>
    <t>174-17</t>
  </si>
  <si>
    <t>204:233010</t>
  </si>
  <si>
    <t>175-17</t>
  </si>
  <si>
    <t>204:167649</t>
  </si>
  <si>
    <t>176-17</t>
  </si>
  <si>
    <t>177-17</t>
  </si>
  <si>
    <t>204:154421</t>
  </si>
  <si>
    <t>178-17</t>
  </si>
  <si>
    <t>204:1169</t>
  </si>
  <si>
    <t>179-17</t>
  </si>
  <si>
    <t>204:233236</t>
  </si>
  <si>
    <t>180-17</t>
  </si>
  <si>
    <t>204:232927</t>
  </si>
  <si>
    <t>204:189</t>
  </si>
  <si>
    <t>181-17</t>
  </si>
  <si>
    <t>204:233306</t>
  </si>
  <si>
    <t>182-17</t>
  </si>
  <si>
    <t>204:129</t>
  </si>
  <si>
    <t>183-17</t>
  </si>
  <si>
    <t>184-17</t>
  </si>
  <si>
    <t>185-17</t>
  </si>
  <si>
    <t>186-17</t>
  </si>
  <si>
    <t>187-17</t>
  </si>
  <si>
    <t>204:233339</t>
  </si>
  <si>
    <t>188-17</t>
  </si>
  <si>
    <t>189-17</t>
  </si>
  <si>
    <t>190-17</t>
  </si>
  <si>
    <t>191-17</t>
  </si>
  <si>
    <t>192-17</t>
  </si>
  <si>
    <t>204:232982</t>
  </si>
  <si>
    <t>193-17</t>
  </si>
  <si>
    <t>204:488</t>
  </si>
  <si>
    <t>194-17</t>
  </si>
  <si>
    <t>204:314</t>
  </si>
  <si>
    <t>195-17</t>
  </si>
  <si>
    <t>204:233326</t>
  </si>
  <si>
    <t>196-17</t>
  </si>
  <si>
    <t>197-17</t>
  </si>
  <si>
    <t>204:233315</t>
  </si>
  <si>
    <t>198-17</t>
  </si>
  <si>
    <t>199-17</t>
  </si>
  <si>
    <t>200-17</t>
  </si>
  <si>
    <t>204:232952</t>
  </si>
  <si>
    <t>201-17</t>
  </si>
  <si>
    <t>202-17</t>
  </si>
  <si>
    <t>203-17</t>
  </si>
  <si>
    <t>204-17</t>
  </si>
  <si>
    <t>204:232986</t>
  </si>
  <si>
    <t>204:4167</t>
  </si>
  <si>
    <t>205-17</t>
  </si>
  <si>
    <t>204:233302</t>
  </si>
  <si>
    <t>206-17</t>
  </si>
  <si>
    <t>207-17</t>
  </si>
  <si>
    <t>204:626</t>
  </si>
  <si>
    <t>208-17</t>
  </si>
  <si>
    <t>209-17</t>
  </si>
  <si>
    <t>210-17</t>
  </si>
  <si>
    <t>211-17</t>
  </si>
  <si>
    <t>212-17</t>
  </si>
  <si>
    <t>213-17</t>
  </si>
  <si>
    <t>214-17</t>
  </si>
  <si>
    <t>215-17</t>
  </si>
  <si>
    <t>216-17</t>
  </si>
  <si>
    <t>204:232992</t>
  </si>
  <si>
    <t>217-17</t>
  </si>
  <si>
    <t>218-17</t>
  </si>
  <si>
    <t>219-17</t>
  </si>
  <si>
    <t>220-17</t>
  </si>
  <si>
    <t>204:232969</t>
  </si>
  <si>
    <t>221-17</t>
  </si>
  <si>
    <t>204:508</t>
  </si>
  <si>
    <t>204:233280</t>
  </si>
  <si>
    <t>222-17</t>
  </si>
  <si>
    <t>204:176</t>
  </si>
  <si>
    <t>223-17</t>
  </si>
  <si>
    <t>224-17</t>
  </si>
  <si>
    <t>225-17</t>
  </si>
  <si>
    <t>204:418</t>
  </si>
  <si>
    <t>226-17</t>
  </si>
  <si>
    <t>204:233013</t>
  </si>
  <si>
    <t>227-17</t>
  </si>
  <si>
    <t>204:233301</t>
  </si>
  <si>
    <t>228-17</t>
  </si>
  <si>
    <t>229-17</t>
  </si>
  <si>
    <t>204:233272</t>
  </si>
  <si>
    <t>230-17</t>
  </si>
  <si>
    <t>231-17</t>
  </si>
  <si>
    <t>232-17</t>
  </si>
  <si>
    <t>233-17</t>
  </si>
  <si>
    <t>234-17</t>
  </si>
  <si>
    <t>235-17</t>
  </si>
  <si>
    <t>204:491</t>
  </si>
  <si>
    <t>236-17</t>
  </si>
  <si>
    <t>204:137</t>
  </si>
  <si>
    <t>237-17</t>
  </si>
  <si>
    <t>204:233263</t>
  </si>
  <si>
    <t>238-17</t>
  </si>
  <si>
    <t>204:180</t>
  </si>
  <si>
    <t>239-17</t>
  </si>
  <si>
    <t>240-17</t>
  </si>
  <si>
    <t>241-17</t>
  </si>
  <si>
    <t>242-17</t>
  </si>
  <si>
    <t>204:157</t>
  </si>
  <si>
    <t>243-17</t>
  </si>
  <si>
    <t>244-17</t>
  </si>
  <si>
    <t>204:117</t>
  </si>
  <si>
    <t>302-17</t>
  </si>
  <si>
    <t>300:22179</t>
  </si>
  <si>
    <t>300:4955</t>
  </si>
  <si>
    <t>304-17</t>
  </si>
  <si>
    <t>300:21930</t>
  </si>
  <si>
    <t>305-17</t>
  </si>
  <si>
    <t>204:1619</t>
  </si>
  <si>
    <t>300:23297</t>
  </si>
  <si>
    <t>204:1847</t>
  </si>
  <si>
    <t>306-17</t>
  </si>
  <si>
    <t>300:21757</t>
  </si>
  <si>
    <t>307-17</t>
  </si>
  <si>
    <t>308-17</t>
  </si>
  <si>
    <t>300:21825</t>
  </si>
  <si>
    <t>309-17</t>
  </si>
  <si>
    <t>300:23301</t>
  </si>
  <si>
    <t>310-17</t>
  </si>
  <si>
    <t>300:21574</t>
  </si>
  <si>
    <t>311-17</t>
  </si>
  <si>
    <t>300:23121</t>
  </si>
  <si>
    <t>313-17</t>
  </si>
  <si>
    <t>204:450</t>
  </si>
  <si>
    <t>52-17</t>
  </si>
  <si>
    <t>300:23722</t>
  </si>
  <si>
    <t>56-17</t>
  </si>
  <si>
    <t>300:23457</t>
  </si>
  <si>
    <t>800-17</t>
  </si>
  <si>
    <t>204:696</t>
  </si>
  <si>
    <t>801-17</t>
  </si>
  <si>
    <t>204:981</t>
  </si>
  <si>
    <t>300:58920</t>
  </si>
  <si>
    <t>802-17</t>
  </si>
  <si>
    <t>204:726</t>
  </si>
  <si>
    <t>803-17</t>
  </si>
  <si>
    <t>300:58954</t>
  </si>
  <si>
    <t>804-17</t>
  </si>
  <si>
    <t>300:58636</t>
  </si>
  <si>
    <t>204:720</t>
  </si>
  <si>
    <t>805-17</t>
  </si>
  <si>
    <t>204:1018</t>
  </si>
  <si>
    <t>300:58941</t>
  </si>
  <si>
    <t>806-17</t>
  </si>
  <si>
    <t>300:58632</t>
  </si>
  <si>
    <t>204:768</t>
  </si>
  <si>
    <t>807-17</t>
  </si>
  <si>
    <t>204:985</t>
  </si>
  <si>
    <t>808-17</t>
  </si>
  <si>
    <t>809-17</t>
  </si>
  <si>
    <t>204:1055</t>
  </si>
  <si>
    <t>300:21816</t>
  </si>
  <si>
    <t>810-17</t>
  </si>
  <si>
    <t>204:771</t>
  </si>
  <si>
    <t>811-17</t>
  </si>
  <si>
    <t>204:960</t>
  </si>
  <si>
    <t>812-17</t>
  </si>
  <si>
    <t>300:58611</t>
  </si>
  <si>
    <t>204:657</t>
  </si>
  <si>
    <t>813-17</t>
  </si>
  <si>
    <t>204:950</t>
  </si>
  <si>
    <t>300:58931</t>
  </si>
  <si>
    <t>814-17</t>
  </si>
  <si>
    <t>204:661</t>
  </si>
  <si>
    <t>815-17</t>
  </si>
  <si>
    <t>204:930</t>
  </si>
  <si>
    <t>816-17</t>
  </si>
  <si>
    <t>204:663</t>
  </si>
  <si>
    <t>817-17</t>
  </si>
  <si>
    <t>204:941</t>
  </si>
  <si>
    <t>818-17</t>
  </si>
  <si>
    <t>819-17</t>
  </si>
  <si>
    <t>204:958</t>
  </si>
  <si>
    <t>300:58909</t>
  </si>
  <si>
    <t>820-17</t>
  </si>
  <si>
    <t>300:58600</t>
  </si>
  <si>
    <t>204:671</t>
  </si>
  <si>
    <t>821-17</t>
  </si>
  <si>
    <t>204:946</t>
  </si>
  <si>
    <t>300:21295</t>
  </si>
  <si>
    <t>822-17</t>
  </si>
  <si>
    <t>300:58647</t>
  </si>
  <si>
    <t>204:649</t>
  </si>
  <si>
    <t>823-17</t>
  </si>
  <si>
    <t>300:58980</t>
  </si>
  <si>
    <t>824-17</t>
  </si>
  <si>
    <t>300:58662</t>
  </si>
  <si>
    <t>825-17</t>
  </si>
  <si>
    <t>204:937</t>
  </si>
  <si>
    <t>300:58986</t>
  </si>
  <si>
    <t>826-17</t>
  </si>
  <si>
    <t>300:58670</t>
  </si>
  <si>
    <t>204:629</t>
  </si>
  <si>
    <t>827-17</t>
  </si>
  <si>
    <t>204:972</t>
  </si>
  <si>
    <t>828-17</t>
  </si>
  <si>
    <t>300:58587</t>
  </si>
  <si>
    <t>204:692</t>
  </si>
  <si>
    <t>829-17</t>
  </si>
  <si>
    <t>204:909</t>
  </si>
  <si>
    <t>830-17</t>
  </si>
  <si>
    <t>300:58672</t>
  </si>
  <si>
    <t>204:631</t>
  </si>
  <si>
    <t>831-17</t>
  </si>
  <si>
    <t>832-17</t>
  </si>
  <si>
    <t>300:58591</t>
  </si>
  <si>
    <t>833-17</t>
  </si>
  <si>
    <t>300:58961</t>
  </si>
  <si>
    <t>834-17</t>
  </si>
  <si>
    <t>300:58638</t>
  </si>
  <si>
    <t>204:622</t>
  </si>
  <si>
    <t>835-17</t>
  </si>
  <si>
    <t>300:58907</t>
  </si>
  <si>
    <t>836-17</t>
  </si>
  <si>
    <t>837-17</t>
  </si>
  <si>
    <t>204:932</t>
  </si>
  <si>
    <t>300:58975</t>
  </si>
  <si>
    <t>838-17</t>
  </si>
  <si>
    <t>300:58664</t>
  </si>
  <si>
    <t>204:652</t>
  </si>
  <si>
    <t>839-17</t>
  </si>
  <si>
    <t>300:58901</t>
  </si>
  <si>
    <t>840-17</t>
  </si>
  <si>
    <t>300:58666</t>
  </si>
  <si>
    <t>841-17</t>
  </si>
  <si>
    <t>204:939</t>
  </si>
  <si>
    <t>842-17</t>
  </si>
  <si>
    <t>843-17</t>
  </si>
  <si>
    <t>300:58978</t>
  </si>
  <si>
    <t>844-17</t>
  </si>
  <si>
    <t>845-17</t>
  </si>
  <si>
    <t>204:922</t>
  </si>
  <si>
    <t>300:58928</t>
  </si>
  <si>
    <t>847-17</t>
  </si>
  <si>
    <t>903-17</t>
  </si>
  <si>
    <t>204:1051</t>
  </si>
  <si>
    <t>300:24207</t>
  </si>
  <si>
    <t>904-17</t>
  </si>
  <si>
    <t>300:24381</t>
  </si>
  <si>
    <t>300:24039</t>
  </si>
  <si>
    <t>906-17</t>
  </si>
  <si>
    <t>300:58589</t>
  </si>
  <si>
    <t>300:21719</t>
  </si>
  <si>
    <t>908-17</t>
  </si>
  <si>
    <t>300:12991</t>
  </si>
  <si>
    <t>NATION-17</t>
  </si>
  <si>
    <t>rtdc.l.rtdc.4026:itc</t>
  </si>
  <si>
    <t>rtdc.l.rtdc.4041:itc</t>
  </si>
  <si>
    <t>rtdc.l.rtdc.4025:itc</t>
  </si>
  <si>
    <t>rtdc.l.rtdc.4007:itc</t>
  </si>
  <si>
    <t>MAELZER</t>
  </si>
  <si>
    <t>STRICKLAND</t>
  </si>
  <si>
    <t>130-17</t>
  </si>
  <si>
    <t>BONDS</t>
  </si>
  <si>
    <t>YORK</t>
  </si>
  <si>
    <t>MOSES</t>
  </si>
  <si>
    <t>50-17</t>
  </si>
  <si>
    <t>NATION</t>
  </si>
  <si>
    <t>rtdc.l.rtdc.4021:itc</t>
  </si>
  <si>
    <t>DE LA ROSA</t>
  </si>
  <si>
    <t>303-17</t>
  </si>
  <si>
    <t>LEVI</t>
  </si>
  <si>
    <t>124-17</t>
  </si>
  <si>
    <t>125-17</t>
  </si>
  <si>
    <t>Did not init</t>
  </si>
  <si>
    <t>127-17</t>
  </si>
  <si>
    <t>128-17</t>
  </si>
  <si>
    <t>151-17</t>
  </si>
  <si>
    <t>152-17</t>
  </si>
  <si>
    <t>Vital link failure at ML1620/ML1678</t>
  </si>
  <si>
    <t>Drove to CRMF</t>
  </si>
  <si>
    <t>CRMF South 2N was STOP, no controls sent from TMDS</t>
  </si>
  <si>
    <t>Form C</t>
  </si>
  <si>
    <t>Bad cable at ML1678</t>
  </si>
  <si>
    <t>http://stevetu21.github.io/eaglep3/load_kml.html?kml=http://rtdc.gmaps-snips.s3.amazonaws.com/6b1de2fe-b58f-4ed2-b014-b19726955b16.kml</t>
  </si>
  <si>
    <t>http://stevetu21.github.io/eaglep3/load_kml.html?kml=http://rtdc.gmaps-snips.s3.amazonaws.com/5af8a7a8-ce6c-43a8-bd24-f676f38eea78.kml</t>
  </si>
  <si>
    <t>http://stevetu21.github.io/eaglep3/load_kml.html?kml=http://rtdc.gmaps-snips.s3.amazonaws.com/98bc9f11-2191-4203-846c-fed4a372ce28.kml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</si>
</sst>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3"/>
  <sheetViews>
    <sheetView tabSelected="1" zoomScaleNormal="100" workbookViewId="0"/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3" customWidth="1"/>
    <col min="22" max="22" width="5.7109375" style="109" customWidth="1"/>
    <col min="23" max="23" width="3.85546875" style="23" customWidth="1"/>
    <col min="24" max="24" width="5.28515625" style="127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2" customWidth="1"/>
    <col min="32" max="32" width="6.28515625" style="99" customWidth="1"/>
    <col min="33" max="33" width="5.42578125" customWidth="1"/>
    <col min="34" max="34" width="5" style="105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128</v>
      </c>
      <c r="J1" s="44"/>
      <c r="K1" s="31"/>
      <c r="L1" s="31"/>
      <c r="M1" s="43"/>
      <c r="N1" s="44"/>
      <c r="O1" s="2"/>
      <c r="P1" s="2"/>
      <c r="R1" s="41" t="s">
        <v>129</v>
      </c>
      <c r="S1" s="44"/>
      <c r="T1" s="31"/>
      <c r="U1" s="130"/>
      <c r="V1" s="43"/>
      <c r="W1" s="44"/>
      <c r="X1" s="123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3">
        <f>Variables!$A$2</f>
        <v>42600</v>
      </c>
      <c r="J2" s="84"/>
      <c r="K2" s="85"/>
      <c r="L2" s="85"/>
      <c r="M2" s="86" t="s">
        <v>8</v>
      </c>
      <c r="N2" s="87"/>
      <c r="O2" s="88"/>
      <c r="P2" s="2"/>
      <c r="R2" s="83">
        <f>Variables!$A$2</f>
        <v>42600</v>
      </c>
      <c r="S2" s="84"/>
      <c r="T2" s="85"/>
      <c r="U2" s="131"/>
      <c r="V2" s="107" t="s">
        <v>8</v>
      </c>
      <c r="W2" s="87"/>
      <c r="X2" s="124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9" t="s">
        <v>10</v>
      </c>
      <c r="J3" s="90"/>
      <c r="K3" s="91"/>
      <c r="L3" s="91"/>
      <c r="M3" s="45" t="s">
        <v>11</v>
      </c>
      <c r="N3" s="46" t="s">
        <v>12</v>
      </c>
      <c r="O3" s="3" t="s">
        <v>13</v>
      </c>
      <c r="P3" s="2"/>
      <c r="R3" s="89" t="s">
        <v>10</v>
      </c>
      <c r="S3" s="90"/>
      <c r="T3" s="91"/>
      <c r="U3" s="132"/>
      <c r="V3" s="45" t="s">
        <v>11</v>
      </c>
      <c r="W3" s="46" t="s">
        <v>12</v>
      </c>
      <c r="X3" s="125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2" t="s">
        <v>14</v>
      </c>
      <c r="J4" s="58">
        <f>SUM(J5:J7)</f>
        <v>144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2" t="s">
        <v>14</v>
      </c>
      <c r="S4" s="58">
        <f>SUM(S5:S7)</f>
        <v>47</v>
      </c>
      <c r="T4" s="47"/>
      <c r="U4" s="133"/>
      <c r="V4" s="48" t="s">
        <v>15</v>
      </c>
      <c r="W4" s="46" t="s">
        <v>15</v>
      </c>
      <c r="X4" s="125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2" t="s">
        <v>17</v>
      </c>
      <c r="J5" s="58">
        <f>COUNTIFS($N$13:$N$9378,"&gt;0",$AG$13:$AG$9378,I1)</f>
        <v>132</v>
      </c>
      <c r="K5" s="47"/>
      <c r="L5" s="47"/>
      <c r="M5" s="48">
        <f>AVERAGEIFS($N$13:$N$9378,$AG$13:$AG$9378,I1)</f>
        <v>51.525505050429437</v>
      </c>
      <c r="N5" s="46">
        <f t="array" ref="N5">MIN(IF($AG$13:$AG$9378=I1,IF(ISNUMBER($N$13:$N$9378),IF($N$13:$N$9378&gt;0,$N$13:$N$9378))))</f>
        <v>35.349999996833503</v>
      </c>
      <c r="O5" s="3">
        <f t="array" ref="O5">MAX(IF($AG$13:$AG$9378=I1,IF(ISNUMBER($N$13:$N$9378),IF($N$13:$N$9378&gt;0,$N$13:$N$9378))))</f>
        <v>356.94999999948777</v>
      </c>
      <c r="P5" s="2"/>
      <c r="R5" s="92" t="s">
        <v>17</v>
      </c>
      <c r="S5" s="58">
        <f>COUNTIFS($N$13:$N$9378,"&gt;0",$AG$13:$AG$9378,R1)</f>
        <v>46</v>
      </c>
      <c r="T5" s="47"/>
      <c r="U5" s="133"/>
      <c r="V5" s="48">
        <f>AVERAGEIFS($N$13:$N$9378,$AG$13:$AG$9378,R1)</f>
        <v>19.859057970461436</v>
      </c>
      <c r="W5" s="46">
        <f t="array" ref="W5">MIN(IF($AG$13:$AG$9378=R1,IF(ISNUMBER($N$13:$N$9378),IF($N$13:$N$9378&gt;0,$N$13:$N$9378))))</f>
        <v>12.20000000204891</v>
      </c>
      <c r="X5" s="125">
        <f t="array" ref="X5">MAX(IF($AG$13:$AG$9378=R1,IF(ISNUMBER($N$13:$N$9378),IF($N$13:$N$9378&gt;0,$N$13:$N$9378))))</f>
        <v>73.949999999022111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3" t="s">
        <v>43</v>
      </c>
      <c r="J6" s="58">
        <f>COUNT($O$13:$O$129)</f>
        <v>0</v>
      </c>
      <c r="K6" s="47"/>
      <c r="L6" s="47"/>
      <c r="M6" s="48">
        <f>IFERROR(AVERAGE($O$13:$O$129),0)</f>
        <v>0</v>
      </c>
      <c r="N6" s="46">
        <f>MIN($O$13:$O$129)</f>
        <v>0</v>
      </c>
      <c r="O6" s="3">
        <f>MAX($O$13:$O$129)</f>
        <v>0</v>
      </c>
      <c r="P6" s="2"/>
      <c r="R6" s="93" t="s">
        <v>43</v>
      </c>
      <c r="S6" s="58">
        <f>COUNT($O$13:$O$129)</f>
        <v>0</v>
      </c>
      <c r="T6" s="47"/>
      <c r="U6" s="133"/>
      <c r="V6" s="48">
        <f>IFERROR(AVERAGE($O$13:$O$129),0)</f>
        <v>0</v>
      </c>
      <c r="W6" s="46">
        <f>MIN($O$13:$O$129)</f>
        <v>0</v>
      </c>
      <c r="X6" s="125">
        <f>MAX($O$13:$O$129)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4" t="s">
        <v>9</v>
      </c>
      <c r="J7" s="58">
        <f>COUNTIFS($P$13:$P$9378,"&gt;0",$AG$13:$AG$9378,I1)</f>
        <v>12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4" t="s">
        <v>9</v>
      </c>
      <c r="S7" s="58">
        <f>COUNTIFS($P$13:$P$9378,"&gt;0",$AG$13:$AG$9378,R1)</f>
        <v>1</v>
      </c>
      <c r="T7" s="47"/>
      <c r="U7" s="133"/>
      <c r="V7" s="48" t="s">
        <v>15</v>
      </c>
      <c r="W7" s="46" t="s">
        <v>15</v>
      </c>
      <c r="X7" s="125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2" t="s">
        <v>16</v>
      </c>
      <c r="J8" s="58">
        <f>J5</f>
        <v>132</v>
      </c>
      <c r="K8" s="47"/>
      <c r="L8" s="47"/>
      <c r="M8" s="48">
        <f>M5</f>
        <v>51.525505050429437</v>
      </c>
      <c r="N8" s="46">
        <f>N5</f>
        <v>35.349999996833503</v>
      </c>
      <c r="O8" s="3">
        <f>O5</f>
        <v>356.94999999948777</v>
      </c>
      <c r="P8" s="2"/>
      <c r="R8" s="92" t="s">
        <v>16</v>
      </c>
      <c r="S8" s="58">
        <f>S5</f>
        <v>46</v>
      </c>
      <c r="T8" s="47"/>
      <c r="U8" s="133"/>
      <c r="V8" s="48">
        <f>V5</f>
        <v>19.859057970461436</v>
      </c>
      <c r="W8" s="46">
        <f>W5</f>
        <v>12.20000000204891</v>
      </c>
      <c r="X8" s="125">
        <f>X5</f>
        <v>73.949999999022111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2" t="s">
        <v>19</v>
      </c>
      <c r="J9" s="72">
        <f>J8/J4</f>
        <v>0.91666666666666663</v>
      </c>
      <c r="K9" s="49"/>
      <c r="L9" s="49"/>
      <c r="M9" s="95"/>
      <c r="N9" s="44"/>
      <c r="O9" s="96"/>
      <c r="P9" s="2"/>
      <c r="R9" s="92" t="s">
        <v>19</v>
      </c>
      <c r="S9" s="72">
        <f>S8/S4</f>
        <v>0.97872340425531912</v>
      </c>
      <c r="T9" s="49"/>
      <c r="U9" s="130"/>
      <c r="V9" s="95"/>
      <c r="W9" s="44"/>
      <c r="X9" s="126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3"/>
      <c r="V10" s="108"/>
      <c r="W10" s="23"/>
      <c r="X10" s="127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50" t="str">
        <f>"Eagle P3 System Performance - "&amp;TEXT(Variables!A2,"yyyy-mm-dd")</f>
        <v>Eagle P3 System Performance - 2016-08-18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S11" s="76">
        <f>AVERAGE(S13:S87)</f>
        <v>0.97342995169082114</v>
      </c>
      <c r="V11" s="108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8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71</v>
      </c>
      <c r="T12" s="57" t="s">
        <v>72</v>
      </c>
      <c r="U12" s="134" t="s">
        <v>73</v>
      </c>
      <c r="V12" s="110" t="s">
        <v>45</v>
      </c>
      <c r="W12" s="54" t="s">
        <v>23</v>
      </c>
      <c r="X12" s="128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97</v>
      </c>
      <c r="AE12" s="103" t="s">
        <v>104</v>
      </c>
      <c r="AF12" s="100" t="s">
        <v>109</v>
      </c>
      <c r="AG12" s="4" t="s">
        <v>130</v>
      </c>
      <c r="AH12" s="106" t="s">
        <v>134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320</v>
      </c>
      <c r="B13" s="7">
        <v>4002</v>
      </c>
      <c r="C13" s="25" t="s">
        <v>118</v>
      </c>
      <c r="D13" s="25" t="s">
        <v>321</v>
      </c>
      <c r="E13" s="16">
        <v>42599.130300925928</v>
      </c>
      <c r="F13" s="16">
        <v>42599.1325</v>
      </c>
      <c r="G13" s="7">
        <v>3</v>
      </c>
      <c r="H13" s="16" t="s">
        <v>269</v>
      </c>
      <c r="I13" s="16">
        <v>42599.162256944444</v>
      </c>
      <c r="J13" s="7">
        <v>0</v>
      </c>
      <c r="K13" s="142" t="str">
        <f t="shared" ref="K13:K35" si="0">IF(ISEVEN(B13),(B13-1)&amp;"/"&amp;B13,B13&amp;"/"&amp;(B13+1))</f>
        <v>4001/4002</v>
      </c>
      <c r="L13" s="25" t="str">
        <f>VLOOKUP(A13,'Trips&amp;Operators'!$C$1:$E$10000,3,FALSE)</f>
        <v>MAELZER</v>
      </c>
      <c r="M13" s="6">
        <f t="shared" ref="M13:M35" si="1">I13-F13</f>
        <v>2.9756944444670808E-2</v>
      </c>
      <c r="N13" s="7">
        <f t="shared" ref="N13:N35" si="2">24*60*SUM($M13:$M13)</f>
        <v>42.850000000325963</v>
      </c>
      <c r="O13" s="7"/>
      <c r="P13" s="7"/>
      <c r="Q13" s="26"/>
      <c r="R13" s="26"/>
      <c r="S13" s="38">
        <f t="shared" ref="S13:S35" si="3">SUM(U13:U13)/IF(AG13="EC",12,1)</f>
        <v>1</v>
      </c>
      <c r="T13" s="53" t="str">
        <f t="shared" ref="T13:T35" si="4">IF(ISEVEN(LEFT(AD13,4)),"Southbound","NorthBound")</f>
        <v>NorthBound</v>
      </c>
      <c r="U13" s="13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1" t="str">
        <f t="shared" ref="V13:V3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https://search-rtdc-monitor-bjffxe2xuh6vdkpspy63sjmuny.us-east-1.es.amazonaws.com/_plugin/kibana/#/discover/Steve-Slow-Train-Analysis-(2080s-and-2083s)?_g=(refreshInterval:(display:Off,section:0,value:0),time:(from:'2016-08-17 02:07:38-0600',mode:absolute,to:'2016-08-17 04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" s="55" t="str">
        <f t="shared" ref="W13:W35" si="6">IF(AA13&lt;IF(AG13="EC",23,5.65),"Y","N")</f>
        <v>N</v>
      </c>
      <c r="X13" s="129" t="e">
        <f t="shared" ref="X13:X35" si="7">VALUE(LEFT(AD13,4))-VALUE(LEFT(AD12,4))</f>
        <v>#VALUE!</v>
      </c>
      <c r="Y13" s="70">
        <f t="shared" ref="Y13:Y35" si="8">RIGHT(D13,LEN(D13)-4)/10000</f>
        <v>7.3700000000000002E-2</v>
      </c>
      <c r="Z13" s="70">
        <f t="shared" ref="Z13:Z35" si="9">RIGHT(H13,LEN(H13)-4)/10000</f>
        <v>23.3322</v>
      </c>
      <c r="AA13" s="70">
        <f t="shared" ref="AA13:AA35" si="10">ABS(Z13-Y13)</f>
        <v>23.258500000000002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 t="shared" ref="AD13:AD35" si="11">IF(LEN(A13)=6,"0"&amp;A13,A13)</f>
        <v>0101-17</v>
      </c>
      <c r="AE13" s="104" t="str">
        <f t="shared" ref="AE13:AE38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13" s="101" t="str">
        <f t="shared" ref="AF13:AF38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/stypes="*4002*20160817*" /stext=" 09:.+((SYSTEM_STATE.+slice.+state.+changed )|(ment ac)|(system.+state.+changed )|(\|lc)|(penalty)|(\[timeout)|(PRM\|1\|D)|(kpr)|(kdp))" /e /r /s</v>
      </c>
      <c r="AG13" s="1" t="str">
        <f t="shared" ref="AG13:AG35" si="14">IFERROR(IF(VALUE(LEFT(AD13,2))&lt;=2,"EC",IF(OR(VALUE(LEFT(AD13,2))=8,VALUE(LEFT(AD13,2))=18),"NW","Other")),"Other")</f>
        <v>EC</v>
      </c>
      <c r="AH13" s="105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101-17 --locoid 4002 --swversion DE.1.0.7.0 --startMP 204:737 --initTime 2016-08-17T03:07:38 --startdatetime 2016-08-17T03:10:48 --delay 3 --endMP 204:233322 --enddatetime 2016-08-17T03:53:39 --enforcementcount 0</v>
      </c>
    </row>
    <row r="14" spans="1:91" s="1" customFormat="1" x14ac:dyDescent="0.25">
      <c r="A14" s="40" t="s">
        <v>322</v>
      </c>
      <c r="B14" s="7">
        <v>4028</v>
      </c>
      <c r="C14" s="25" t="s">
        <v>118</v>
      </c>
      <c r="D14" s="25" t="s">
        <v>323</v>
      </c>
      <c r="E14" s="16">
        <v>42599.167731481481</v>
      </c>
      <c r="F14" s="16">
        <v>42599.168692129628</v>
      </c>
      <c r="G14" s="7">
        <v>1</v>
      </c>
      <c r="H14" s="16" t="s">
        <v>279</v>
      </c>
      <c r="I14" s="16">
        <v>42599.214166666665</v>
      </c>
      <c r="J14" s="7">
        <v>0</v>
      </c>
      <c r="K14" s="142" t="str">
        <f t="shared" si="0"/>
        <v>4027/4028</v>
      </c>
      <c r="L14" s="25" t="str">
        <f>VLOOKUP(A14,'Trips&amp;Operators'!$C$1:$E$10000,3,FALSE)</f>
        <v>MAELZER</v>
      </c>
      <c r="M14" s="6">
        <f t="shared" si="1"/>
        <v>4.5474537037080154E-2</v>
      </c>
      <c r="N14" s="7">
        <f t="shared" si="2"/>
        <v>65.483333333395422</v>
      </c>
      <c r="O14" s="7"/>
      <c r="P14" s="7"/>
      <c r="Q14" s="26"/>
      <c r="R14" s="26"/>
      <c r="S14" s="38">
        <f t="shared" si="3"/>
        <v>1</v>
      </c>
      <c r="T14" s="53" t="str">
        <f t="shared" si="4"/>
        <v>Southbound</v>
      </c>
      <c r="U14" s="13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03:01:32-0600',mode:absolute,to:'2016-08-17 06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" s="55" t="str">
        <f t="shared" si="6"/>
        <v>N</v>
      </c>
      <c r="X14" s="129">
        <f t="shared" si="7"/>
        <v>1</v>
      </c>
      <c r="Y14" s="70">
        <f t="shared" si="8"/>
        <v>23.268899999999999</v>
      </c>
      <c r="Z14" s="70">
        <f t="shared" si="9"/>
        <v>1.2500000000000001E-2</v>
      </c>
      <c r="AA14" s="70">
        <f t="shared" si="10"/>
        <v>23.256399999999999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si="11"/>
        <v>0102-17</v>
      </c>
      <c r="AE14" s="104" t="str">
        <f t="shared" si="12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14" s="101" t="str">
        <f t="shared" si="13"/>
        <v>"C:\Program Files (x86)\AstroGrep\AstroGrep.exe" /spath="%USERPROFILE%\AppData\Local\Temp\OnboardLogs" /stypes="*4028*20160817*" /stext=" 11:.+((SYSTEM_STATE.+slice.+state.+changed )|(ment ac)|(system.+state.+changed )|(\|lc)|(penalty)|(\[timeout)|(PRM\|1\|D)|(kpr)|(kdp))" /e /r /s</v>
      </c>
      <c r="AG14" s="1" t="str">
        <f t="shared" si="14"/>
        <v>EC</v>
      </c>
      <c r="AH14" s="105" t="str">
        <f t="shared" ref="AH14:AH8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102-17 --locoid 4028 --swversion DE.1.0.7.0 --startMP 204:232689 --initTime 2016-08-17T04:01:32 --startdatetime 2016-08-17T04:02:55 --delay 1 --endMP 204:125 --enddatetime 2016-08-17T05:08:24 --enforcementcount 0</v>
      </c>
    </row>
    <row r="15" spans="1:91" s="1" customFormat="1" x14ac:dyDescent="0.25">
      <c r="A15" s="40" t="s">
        <v>324</v>
      </c>
      <c r="B15" s="7">
        <v>4018</v>
      </c>
      <c r="C15" s="25" t="s">
        <v>118</v>
      </c>
      <c r="D15" s="25" t="s">
        <v>325</v>
      </c>
      <c r="E15" s="16">
        <v>42599.155381944445</v>
      </c>
      <c r="F15" s="16">
        <v>42599.156550925924</v>
      </c>
      <c r="G15" s="7">
        <v>1</v>
      </c>
      <c r="H15" s="16" t="s">
        <v>176</v>
      </c>
      <c r="I15" s="16">
        <v>42599.18408564815</v>
      </c>
      <c r="J15" s="7">
        <v>0</v>
      </c>
      <c r="K15" s="142" t="str">
        <f t="shared" si="0"/>
        <v>4017/4018</v>
      </c>
      <c r="L15" s="25" t="str">
        <f>VLOOKUP(A15,'Trips&amp;Operators'!$C$1:$E$10000,3,FALSE)</f>
        <v>ACKERMAN</v>
      </c>
      <c r="M15" s="6">
        <f t="shared" si="1"/>
        <v>2.7534722226846498E-2</v>
      </c>
      <c r="N15" s="7">
        <f t="shared" si="2"/>
        <v>39.650000006658956</v>
      </c>
      <c r="O15" s="7"/>
      <c r="P15" s="7"/>
      <c r="Q15" s="26"/>
      <c r="R15" s="26"/>
      <c r="S15" s="38">
        <f t="shared" si="3"/>
        <v>1</v>
      </c>
      <c r="T15" s="53" t="str">
        <f t="shared" si="4"/>
        <v>NorthBound</v>
      </c>
      <c r="U15" s="13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02:43:45-0600',mode:absolute,to:'2016-08-17 05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5" s="55" t="str">
        <f t="shared" si="6"/>
        <v>N</v>
      </c>
      <c r="X15" s="129">
        <f t="shared" si="7"/>
        <v>1</v>
      </c>
      <c r="Y15" s="70">
        <f t="shared" si="8"/>
        <v>7.4999999999999997E-2</v>
      </c>
      <c r="Z15" s="70">
        <f t="shared" si="9"/>
        <v>23.3291</v>
      </c>
      <c r="AA15" s="70">
        <f t="shared" si="10"/>
        <v>23.254100000000001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 t="shared" si="11"/>
        <v>0103-17</v>
      </c>
      <c r="AE15" s="104" t="str">
        <f t="shared" si="12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5" s="101" t="str">
        <f t="shared" si="13"/>
        <v>"C:\Program Files (x86)\AstroGrep\AstroGrep.exe" /spath="%USERPROFILE%\AppData\Local\Temp\OnboardLogs" /stypes="*4018*20160817*"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5" t="str">
        <f t="shared" si="16"/>
        <v>"%USERPROFILE%\Documents\GitHub\eaglep3\Utilities\RefineRTDCRunTimes.py" --tripid 103-17 --locoid 4018 --swversion DE.1.0.7.0 --startMP 204:750 --initTime 2016-08-17T03:43:45 --startdatetime 2016-08-17T03:45:26 --delay 1 --endMP 204:233291 --enddatetime 2016-08-17T04:25:05 --enforcementcount 0</v>
      </c>
    </row>
    <row r="16" spans="1:91" s="1" customFormat="1" x14ac:dyDescent="0.25">
      <c r="A16" s="40" t="s">
        <v>326</v>
      </c>
      <c r="B16" s="7">
        <v>4026</v>
      </c>
      <c r="C16" s="25" t="s">
        <v>118</v>
      </c>
      <c r="D16" s="25" t="s">
        <v>327</v>
      </c>
      <c r="E16" s="16">
        <v>42599.189791666664</v>
      </c>
      <c r="F16" s="16">
        <v>42599.191087962965</v>
      </c>
      <c r="G16" s="7">
        <v>1</v>
      </c>
      <c r="H16" s="16" t="s">
        <v>262</v>
      </c>
      <c r="I16" s="16">
        <v>42599.236655092594</v>
      </c>
      <c r="J16" s="7">
        <v>0</v>
      </c>
      <c r="K16" s="142" t="str">
        <f t="shared" si="0"/>
        <v>4025/4026</v>
      </c>
      <c r="L16" s="25" t="str">
        <f>VLOOKUP(A16,'Trips&amp;Operators'!$C$1:$E$10000,3,FALSE)</f>
        <v>ACKERMAN</v>
      </c>
      <c r="M16" s="6">
        <f t="shared" si="1"/>
        <v>4.55671296294895E-2</v>
      </c>
      <c r="N16" s="7">
        <f t="shared" si="2"/>
        <v>65.61666666646488</v>
      </c>
      <c r="O16" s="7"/>
      <c r="P16" s="7"/>
      <c r="Q16" s="26"/>
      <c r="R16" s="26"/>
      <c r="S16" s="38">
        <f t="shared" si="3"/>
        <v>1</v>
      </c>
      <c r="T16" s="53" t="str">
        <f t="shared" si="4"/>
        <v>Southbound</v>
      </c>
      <c r="U16" s="13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03:33:18-0600',mode:absolute,to:'2016-08-17 06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" s="55" t="str">
        <f t="shared" si="6"/>
        <v>N</v>
      </c>
      <c r="X16" s="129">
        <f t="shared" si="7"/>
        <v>1</v>
      </c>
      <c r="Y16" s="70">
        <f t="shared" si="8"/>
        <v>23.2652</v>
      </c>
      <c r="Z16" s="70">
        <f t="shared" si="9"/>
        <v>1.3599999999999999E-2</v>
      </c>
      <c r="AA16" s="70">
        <f t="shared" si="10"/>
        <v>23.2516</v>
      </c>
      <c r="AB16" s="67">
        <f>VLOOKUP(A16,Enforcements!$C$7:$J$24,8,0)</f>
        <v>103800</v>
      </c>
      <c r="AC16" s="63" t="str">
        <f>VLOOKUP(A16,Enforcements!$C$7:$E$24,3,0)</f>
        <v>GRADE CROSSING</v>
      </c>
      <c r="AD16" s="64" t="str">
        <f t="shared" si="11"/>
        <v>0104-17</v>
      </c>
      <c r="AE16" s="104" t="str">
        <f t="shared" si="12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16" s="101" t="str">
        <f t="shared" si="13"/>
        <v>"C:\Program Files (x86)\AstroGrep\AstroGrep.exe" /spath="%USERPROFILE%\AppData\Local\Temp\OnboardLogs" /stypes="*4026*20160817*"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5" t="str">
        <f t="shared" si="16"/>
        <v>"%USERPROFILE%\Documents\GitHub\eaglep3\Utilities\RefineRTDCRunTimes.py" --tripid 104-17 --locoid 4026 --swversion DE.1.0.7.0 --startMP 204:232652 --initTime 2016-08-17T04:33:18 --startdatetime 2016-08-17T04:35:10 --delay 1 --endMP 204:136 --enddatetime 2016-08-17T05:40:47 --enforcementcount 0</v>
      </c>
    </row>
    <row r="17" spans="1:34" s="1" customFormat="1" x14ac:dyDescent="0.25">
      <c r="A17" s="40" t="s">
        <v>328</v>
      </c>
      <c r="B17" s="7">
        <v>4009</v>
      </c>
      <c r="C17" s="25" t="s">
        <v>118</v>
      </c>
      <c r="D17" s="25" t="s">
        <v>329</v>
      </c>
      <c r="E17" s="16">
        <v>42599.172361111108</v>
      </c>
      <c r="F17" s="16">
        <v>42599.173784722225</v>
      </c>
      <c r="G17" s="7">
        <v>2</v>
      </c>
      <c r="H17" s="16" t="s">
        <v>330</v>
      </c>
      <c r="I17" s="16">
        <v>42599.204641203702</v>
      </c>
      <c r="J17" s="7">
        <v>0</v>
      </c>
      <c r="K17" s="142" t="str">
        <f t="shared" si="0"/>
        <v>4009/4010</v>
      </c>
      <c r="L17" s="25" t="str">
        <f>VLOOKUP(A17,'Trips&amp;Operators'!$C$1:$E$10000,3,FALSE)</f>
        <v>STRICKLAND</v>
      </c>
      <c r="M17" s="6">
        <f t="shared" si="1"/>
        <v>3.085648147680331E-2</v>
      </c>
      <c r="N17" s="7">
        <f t="shared" si="2"/>
        <v>44.433333326596767</v>
      </c>
      <c r="O17" s="7"/>
      <c r="P17" s="7"/>
      <c r="Q17" s="26"/>
      <c r="R17" s="26"/>
      <c r="S17" s="38">
        <f t="shared" si="3"/>
        <v>1</v>
      </c>
      <c r="T17" s="53" t="str">
        <f t="shared" si="4"/>
        <v>NorthBound</v>
      </c>
      <c r="U17" s="13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03:08:12-0600',mode:absolute,to:'2016-08-17 05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" s="55" t="str">
        <f t="shared" si="6"/>
        <v>N</v>
      </c>
      <c r="X17" s="129">
        <f t="shared" si="7"/>
        <v>1</v>
      </c>
      <c r="Y17" s="70">
        <f t="shared" si="8"/>
        <v>8.3199999999999996E-2</v>
      </c>
      <c r="Z17" s="70">
        <f t="shared" si="9"/>
        <v>23.328800000000001</v>
      </c>
      <c r="AA17" s="70">
        <f t="shared" si="10"/>
        <v>23.2456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11"/>
        <v>0105-17</v>
      </c>
      <c r="AE17" s="104" t="str">
        <f t="shared" si="12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7" s="101" t="str">
        <f t="shared" si="13"/>
        <v>"C:\Program Files (x86)\AstroGrep\AstroGrep.exe" /spath="%USERPROFILE%\AppData\Local\Temp\OnboardLogs" /stypes="*4009*20160817*"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5" t="str">
        <f t="shared" si="16"/>
        <v>"%USERPROFILE%\Documents\GitHub\eaglep3\Utilities\RefineRTDCRunTimes.py" --tripid 105-17 --locoid 4009 --swversion DE.1.0.7.0 --startMP 204:832 --initTime 2016-08-17T04:08:12 --startdatetime 2016-08-17T04:10:15 --delay 2 --endMP 204:233288 --enddatetime 2016-08-17T04:54:41 --enforcementcount 0</v>
      </c>
    </row>
    <row r="18" spans="1:34" s="1" customFormat="1" x14ac:dyDescent="0.25">
      <c r="A18" s="40" t="s">
        <v>331</v>
      </c>
      <c r="B18" s="7">
        <v>4019</v>
      </c>
      <c r="C18" s="25" t="s">
        <v>118</v>
      </c>
      <c r="D18" s="25" t="s">
        <v>332</v>
      </c>
      <c r="E18" s="16">
        <v>42599.212673611109</v>
      </c>
      <c r="F18" s="16">
        <v>42599.213564814818</v>
      </c>
      <c r="G18" s="7">
        <v>1</v>
      </c>
      <c r="H18" s="16" t="s">
        <v>228</v>
      </c>
      <c r="I18" s="16">
        <v>42599.250532407408</v>
      </c>
      <c r="J18" s="7">
        <v>0</v>
      </c>
      <c r="K18" s="142" t="str">
        <f t="shared" si="0"/>
        <v>4019/4020</v>
      </c>
      <c r="L18" s="25" t="str">
        <f>VLOOKUP(A18,'Trips&amp;Operators'!$C$1:$E$10000,3,FALSE)</f>
        <v>STRICKLAND</v>
      </c>
      <c r="M18" s="6">
        <f t="shared" si="1"/>
        <v>3.6967592590372078E-2</v>
      </c>
      <c r="N18" s="7">
        <f t="shared" si="2"/>
        <v>53.233333330135792</v>
      </c>
      <c r="O18" s="7"/>
      <c r="P18" s="7"/>
      <c r="Q18" s="26"/>
      <c r="R18" s="26"/>
      <c r="S18" s="38">
        <f t="shared" si="3"/>
        <v>1</v>
      </c>
      <c r="T18" s="53" t="str">
        <f t="shared" si="4"/>
        <v>Southbound</v>
      </c>
      <c r="U18" s="13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04:06:15-0600',mode:absolute,to:'2016-08-17 07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8" s="55" t="str">
        <f t="shared" si="6"/>
        <v>N</v>
      </c>
      <c r="X18" s="129">
        <f t="shared" si="7"/>
        <v>1</v>
      </c>
      <c r="Y18" s="70">
        <f t="shared" si="8"/>
        <v>23.265000000000001</v>
      </c>
      <c r="Z18" s="70">
        <f t="shared" si="9"/>
        <v>1.61E-2</v>
      </c>
      <c r="AA18" s="70">
        <f t="shared" si="10"/>
        <v>23.248899999999999</v>
      </c>
      <c r="AB18" s="67">
        <f>VLOOKUP(A18,Enforcements!$C$7:$J$24,8,0)</f>
        <v>33257</v>
      </c>
      <c r="AC18" s="63" t="str">
        <f>VLOOKUP(A18,Enforcements!$C$7:$E$24,3,0)</f>
        <v>GRADE CROSSING</v>
      </c>
      <c r="AD18" s="64" t="str">
        <f t="shared" si="11"/>
        <v>0106-17</v>
      </c>
      <c r="AE18" s="104" t="str">
        <f t="shared" si="12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18" s="101" t="str">
        <f t="shared" si="13"/>
        <v>"C:\Program Files (x86)\AstroGrep\AstroGrep.exe" /spath="%USERPROFILE%\AppData\Local\Temp\OnboardLogs" /stypes="*4019*20160817*" /stext=" 12:.+((SYSTEM_STATE.+slice.+state.+changed )|(ment ac)|(system.+state.+changed )|(\|lc)|(penalty)|(\[timeout)|(PRM\|1\|D)|(kpr)|(kdp))" /e /r /s</v>
      </c>
      <c r="AG18" s="1" t="str">
        <f t="shared" si="14"/>
        <v>EC</v>
      </c>
      <c r="AH18" s="105" t="str">
        <f t="shared" si="16"/>
        <v>"%USERPROFILE%\Documents\GitHub\eaglep3\Utilities\RefineRTDCRunTimes.py" --tripid 106-17 --locoid 4019 --swversion DE.1.0.7.0 --startMP 204:232650 --initTime 2016-08-17T05:06:15 --startdatetime 2016-08-17T05:07:32 --delay 1 --endMP 204:161 --enddatetime 2016-08-17T06:00:46 --enforcementcount 0</v>
      </c>
    </row>
    <row r="19" spans="1:34" s="1" customFormat="1" x14ac:dyDescent="0.25">
      <c r="A19" s="40" t="s">
        <v>333</v>
      </c>
      <c r="B19" s="7">
        <v>4003</v>
      </c>
      <c r="C19" s="25" t="s">
        <v>118</v>
      </c>
      <c r="D19" s="25" t="s">
        <v>132</v>
      </c>
      <c r="E19" s="16">
        <v>42599.186018518521</v>
      </c>
      <c r="F19" s="16">
        <v>42599.187534722223</v>
      </c>
      <c r="G19" s="7">
        <v>2</v>
      </c>
      <c r="H19" s="16" t="s">
        <v>265</v>
      </c>
      <c r="I19" s="16">
        <v>42599.216168981482</v>
      </c>
      <c r="J19" s="7">
        <v>0</v>
      </c>
      <c r="K19" s="142" t="str">
        <f t="shared" si="0"/>
        <v>4003/4004</v>
      </c>
      <c r="L19" s="25" t="str">
        <f>VLOOKUP(A19,'Trips&amp;Operators'!$C$1:$E$10000,3,FALSE)</f>
        <v>SPECTOR</v>
      </c>
      <c r="M19" s="6">
        <f t="shared" si="1"/>
        <v>2.8634259258979E-2</v>
      </c>
      <c r="N19" s="7">
        <f t="shared" si="2"/>
        <v>41.23333333292976</v>
      </c>
      <c r="O19" s="7"/>
      <c r="P19" s="7"/>
      <c r="Q19" s="26"/>
      <c r="R19" s="26"/>
      <c r="S19" s="38">
        <f t="shared" si="3"/>
        <v>1</v>
      </c>
      <c r="T19" s="53" t="str">
        <f t="shared" si="4"/>
        <v>NorthBound</v>
      </c>
      <c r="U19" s="13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03:27:52-0600',mode:absolute,to:'2016-08-17 06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9" s="55" t="str">
        <f t="shared" si="6"/>
        <v>N</v>
      </c>
      <c r="X19" s="129">
        <f t="shared" si="7"/>
        <v>1</v>
      </c>
      <c r="Y19" s="70">
        <f t="shared" si="8"/>
        <v>4.5499999999999999E-2</v>
      </c>
      <c r="Z19" s="70">
        <f t="shared" si="9"/>
        <v>23.331900000000001</v>
      </c>
      <c r="AA19" s="70">
        <f t="shared" si="10"/>
        <v>23.2864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11"/>
        <v>0107-17</v>
      </c>
      <c r="AE19" s="104" t="str">
        <f t="shared" si="12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19" s="101" t="str">
        <f t="shared" si="13"/>
        <v>"C:\Program Files (x86)\AstroGrep\AstroGrep.exe" /spath="%USERPROFILE%\AppData\Local\Temp\OnboardLogs" /stypes="*4003*20160817*"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5" t="str">
        <f t="shared" si="16"/>
        <v>"%USERPROFILE%\Documents\GitHub\eaglep3\Utilities\RefineRTDCRunTimes.py" --tripid 107-17 --locoid 4003 --swversion DE.1.0.7.0 --startMP 204:455 --initTime 2016-08-17T04:27:52 --startdatetime 2016-08-17T04:30:03 --delay 2 --endMP 204:233319 --enddatetime 2016-08-17T05:11:17 --enforcementcount 0</v>
      </c>
    </row>
    <row r="20" spans="1:34" s="1" customFormat="1" x14ac:dyDescent="0.25">
      <c r="A20" s="40" t="s">
        <v>334</v>
      </c>
      <c r="B20" s="7">
        <v>4004</v>
      </c>
      <c r="C20" s="25" t="s">
        <v>118</v>
      </c>
      <c r="D20" s="25" t="s">
        <v>275</v>
      </c>
      <c r="E20" s="16">
        <v>42599.222395833334</v>
      </c>
      <c r="F20" s="16">
        <v>42599.223182870373</v>
      </c>
      <c r="G20" s="7">
        <v>1</v>
      </c>
      <c r="H20" s="16" t="s">
        <v>173</v>
      </c>
      <c r="I20" s="16">
        <v>42599.258969907409</v>
      </c>
      <c r="J20" s="7">
        <v>0</v>
      </c>
      <c r="K20" s="142" t="str">
        <f t="shared" si="0"/>
        <v>4003/4004</v>
      </c>
      <c r="L20" s="25" t="str">
        <f>VLOOKUP(A20,'Trips&amp;Operators'!$C$1:$E$10000,3,FALSE)</f>
        <v>SPECTOR</v>
      </c>
      <c r="M20" s="6">
        <f t="shared" si="1"/>
        <v>3.5787037035333924E-2</v>
      </c>
      <c r="N20" s="7">
        <f t="shared" si="2"/>
        <v>51.533333330880851</v>
      </c>
      <c r="O20" s="7"/>
      <c r="P20" s="7"/>
      <c r="Q20" s="26"/>
      <c r="R20" s="26"/>
      <c r="S20" s="38">
        <f t="shared" si="3"/>
        <v>1</v>
      </c>
      <c r="T20" s="53" t="str">
        <f t="shared" si="4"/>
        <v>Southbound</v>
      </c>
      <c r="U20" s="13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04:20:15-0600',mode:absolute,to:'2016-08-17 07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0" s="55" t="str">
        <f t="shared" si="6"/>
        <v>N</v>
      </c>
      <c r="X20" s="129">
        <f t="shared" si="7"/>
        <v>1</v>
      </c>
      <c r="Y20" s="70">
        <f t="shared" si="8"/>
        <v>23.300599999999999</v>
      </c>
      <c r="Z20" s="70">
        <f t="shared" si="9"/>
        <v>1.5599999999999999E-2</v>
      </c>
      <c r="AA20" s="70">
        <f t="shared" si="10"/>
        <v>23.285</v>
      </c>
      <c r="AB20" s="67">
        <f>VLOOKUP(A20,Enforcements!$C$7:$J$24,8,0)</f>
        <v>21848</v>
      </c>
      <c r="AC20" s="63" t="str">
        <f>VLOOKUP(A20,Enforcements!$C$7:$E$24,3,0)</f>
        <v>PERMANENT SPEED RESTRICTION</v>
      </c>
      <c r="AD20" s="64" t="str">
        <f t="shared" si="11"/>
        <v>0108-17</v>
      </c>
      <c r="AE20" s="104" t="str">
        <f t="shared" si="12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20" s="101" t="str">
        <f t="shared" si="13"/>
        <v>"C:\Program Files (x86)\AstroGrep\AstroGrep.exe" /spath="%USERPROFILE%\AppData\Local\Temp\OnboardLogs" /stypes="*4004*20160817*"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5" t="str">
        <f t="shared" si="16"/>
        <v>"%USERPROFILE%\Documents\GitHub\eaglep3\Utilities\RefineRTDCRunTimes.py" --tripid 108-17 --locoid 4004 --swversion DE.1.0.7.0 --startMP 204:233006 --initTime 2016-08-17T05:20:15 --startdatetime 2016-08-17T05:21:23 --delay 1 --endMP 204:156 --enddatetime 2016-08-17T06:12:55 --enforcementcount 0</v>
      </c>
    </row>
    <row r="21" spans="1:34" s="1" customFormat="1" x14ac:dyDescent="0.25">
      <c r="A21" s="40" t="s">
        <v>335</v>
      </c>
      <c r="B21" s="7">
        <v>4014</v>
      </c>
      <c r="C21" s="25" t="s">
        <v>118</v>
      </c>
      <c r="D21" s="25" t="s">
        <v>336</v>
      </c>
      <c r="E21" s="16">
        <v>42599.194699074076</v>
      </c>
      <c r="F21" s="16">
        <v>42599.195648148147</v>
      </c>
      <c r="G21" s="7">
        <v>1</v>
      </c>
      <c r="H21" s="16" t="s">
        <v>337</v>
      </c>
      <c r="I21" s="16">
        <v>42599.235266203701</v>
      </c>
      <c r="J21" s="7">
        <v>0</v>
      </c>
      <c r="K21" s="142" t="str">
        <f t="shared" si="0"/>
        <v>4013/4014</v>
      </c>
      <c r="L21" s="25" t="str">
        <f>VLOOKUP(A21,'Trips&amp;Operators'!$C$1:$E$10000,3,FALSE)</f>
        <v>KILLION</v>
      </c>
      <c r="M21" s="6">
        <f t="shared" si="1"/>
        <v>3.9618055554456078E-2</v>
      </c>
      <c r="N21" s="7">
        <f t="shared" si="2"/>
        <v>57.049999998416752</v>
      </c>
      <c r="O21" s="7"/>
      <c r="P21" s="7"/>
      <c r="Q21" s="26"/>
      <c r="R21" s="26"/>
      <c r="S21" s="38">
        <f t="shared" si="3"/>
        <v>1</v>
      </c>
      <c r="T21" s="53" t="str">
        <f t="shared" si="4"/>
        <v>NorthBound</v>
      </c>
      <c r="U21" s="13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03:40:22-0600',mode:absolute,to:'2016-08-17 06:38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" s="55" t="str">
        <f t="shared" si="6"/>
        <v>N</v>
      </c>
      <c r="X21" s="129">
        <f t="shared" si="7"/>
        <v>1</v>
      </c>
      <c r="Y21" s="70">
        <f t="shared" si="8"/>
        <v>4.4400000000000002E-2</v>
      </c>
      <c r="Z21" s="70">
        <f t="shared" si="9"/>
        <v>23.3264</v>
      </c>
      <c r="AA21" s="70">
        <f t="shared" si="10"/>
        <v>23.282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11"/>
        <v>0109-17</v>
      </c>
      <c r="AE21" s="104" t="str">
        <f t="shared" si="12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21" s="101" t="str">
        <f t="shared" si="13"/>
        <v>"C:\Program Files (x86)\AstroGrep\AstroGrep.exe" /spath="%USERPROFILE%\AppData\Local\Temp\OnboardLogs" /stypes="*4014*20160817*"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5" t="str">
        <f t="shared" si="16"/>
        <v>"%USERPROFILE%\Documents\GitHub\eaglep3\Utilities\RefineRTDCRunTimes.py" --tripid 109-17 --locoid 4014 --swversion DE.1.0.7.0 --startMP 204:444 --initTime 2016-08-17T04:40:22 --startdatetime 2016-08-17T04:41:44 --delay 1 --endMP 204:233264 --enddatetime 2016-08-17T05:38:47 --enforcementcount 0</v>
      </c>
    </row>
    <row r="22" spans="1:34" s="1" customFormat="1" x14ac:dyDescent="0.25">
      <c r="A22" s="40" t="s">
        <v>338</v>
      </c>
      <c r="B22" s="7">
        <v>4013</v>
      </c>
      <c r="C22" s="25" t="s">
        <v>118</v>
      </c>
      <c r="D22" s="25" t="s">
        <v>225</v>
      </c>
      <c r="E22" s="16">
        <v>42599.236631944441</v>
      </c>
      <c r="F22" s="16">
        <v>42599.237638888888</v>
      </c>
      <c r="G22" s="7">
        <v>1</v>
      </c>
      <c r="H22" s="16" t="s">
        <v>227</v>
      </c>
      <c r="I22" s="16">
        <v>42599.271689814814</v>
      </c>
      <c r="J22" s="7">
        <v>0</v>
      </c>
      <c r="K22" s="142" t="str">
        <f t="shared" si="0"/>
        <v>4013/4014</v>
      </c>
      <c r="L22" s="25" t="str">
        <f>VLOOKUP(A22,'Trips&amp;Operators'!$C$1:$E$10000,3,FALSE)</f>
        <v>KILLION</v>
      </c>
      <c r="M22" s="6">
        <f t="shared" si="1"/>
        <v>3.4050925925839692E-2</v>
      </c>
      <c r="N22" s="7">
        <f t="shared" si="2"/>
        <v>49.033333333209157</v>
      </c>
      <c r="O22" s="7"/>
      <c r="P22" s="7"/>
      <c r="Q22" s="26"/>
      <c r="R22" s="26"/>
      <c r="S22" s="38">
        <f t="shared" si="3"/>
        <v>1</v>
      </c>
      <c r="T22" s="53" t="str">
        <f t="shared" si="4"/>
        <v>Southbound</v>
      </c>
      <c r="U22" s="13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2" s="55" t="str">
        <f t="shared" si="6"/>
        <v>N</v>
      </c>
      <c r="X22" s="129">
        <f t="shared" si="7"/>
        <v>1</v>
      </c>
      <c r="Y22" s="70">
        <f t="shared" si="8"/>
        <v>23.2971</v>
      </c>
      <c r="Z22" s="70">
        <f t="shared" si="9"/>
        <v>1.41E-2</v>
      </c>
      <c r="AA22" s="70">
        <f t="shared" si="10"/>
        <v>23.283000000000001</v>
      </c>
      <c r="AB22" s="67">
        <f>VLOOKUP(A22,Enforcements!$C$7:$J$24,8,0)</f>
        <v>30970</v>
      </c>
      <c r="AC22" s="63" t="str">
        <f>VLOOKUP(A22,Enforcements!$C$7:$E$24,3,0)</f>
        <v>GRADE CROSSING</v>
      </c>
      <c r="AD22" s="64" t="str">
        <f t="shared" si="11"/>
        <v>0110-17</v>
      </c>
      <c r="AE22" s="104" t="str">
        <f t="shared" si="12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22" s="101" t="str">
        <f t="shared" si="13"/>
        <v>"C:\Program Files (x86)\AstroGrep\AstroGrep.exe" /spath="%USERPROFILE%\AppData\Local\Temp\OnboardLogs" /stypes="*4013*20160817*"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5" t="str">
        <f t="shared" si="16"/>
        <v>"%USERPROFILE%\Documents\GitHub\eaglep3\Utilities\RefineRTDCRunTimes.py" --tripid 110-17 --locoid 4013 --swversion DE.1.0.7.0 --startMP 204:232971 --initTime 2016-08-17T05:40:45 --startdatetime 2016-08-17T05:42:12 --delay 1 --endMP 204:141 --enddatetime 2016-08-17T06:31:14 --enforcementcount 0</v>
      </c>
    </row>
    <row r="23" spans="1:34" s="1" customFormat="1" x14ac:dyDescent="0.25">
      <c r="A23" s="40" t="s">
        <v>339</v>
      </c>
      <c r="B23" s="7">
        <v>4002</v>
      </c>
      <c r="C23" s="25" t="s">
        <v>118</v>
      </c>
      <c r="D23" s="25" t="s">
        <v>340</v>
      </c>
      <c r="E23" s="16">
        <v>42599.220462962963</v>
      </c>
      <c r="F23" s="16">
        <v>42599.221168981479</v>
      </c>
      <c r="G23" s="7">
        <v>1</v>
      </c>
      <c r="H23" s="16" t="s">
        <v>341</v>
      </c>
      <c r="I23" s="16">
        <v>42599.253252314818</v>
      </c>
      <c r="J23" s="7">
        <v>0</v>
      </c>
      <c r="K23" s="142" t="str">
        <f t="shared" si="0"/>
        <v>4001/4002</v>
      </c>
      <c r="L23" s="25" t="str">
        <f>VLOOKUP(A23,'Trips&amp;Operators'!$C$1:$E$10000,3,FALSE)</f>
        <v>ROCHA</v>
      </c>
      <c r="M23" s="6">
        <f t="shared" si="1"/>
        <v>3.2083333338960074E-2</v>
      </c>
      <c r="N23" s="7">
        <f t="shared" si="2"/>
        <v>46.200000008102506</v>
      </c>
      <c r="O23" s="7"/>
      <c r="P23" s="7"/>
      <c r="Q23" s="26"/>
      <c r="R23" s="26"/>
      <c r="S23" s="38">
        <f t="shared" si="3"/>
        <v>1</v>
      </c>
      <c r="T23" s="53" t="str">
        <f t="shared" si="4"/>
        <v>NorthBound</v>
      </c>
      <c r="U23" s="13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04:17:28-0600',mode:absolute,to:'2016-08-17 07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3" s="55" t="str">
        <f t="shared" si="6"/>
        <v>N</v>
      </c>
      <c r="X23" s="129">
        <f t="shared" si="7"/>
        <v>1</v>
      </c>
      <c r="Y23" s="70">
        <f t="shared" si="8"/>
        <v>7.5399999999999995E-2</v>
      </c>
      <c r="Z23" s="70">
        <f t="shared" si="9"/>
        <v>23.331099999999999</v>
      </c>
      <c r="AA23" s="70">
        <f t="shared" si="10"/>
        <v>23.255700000000001</v>
      </c>
      <c r="AB23" s="67" t="e">
        <f>VLOOKUP(A23,Enforcements!$C$7:$J$24,8,0)</f>
        <v>#N/A</v>
      </c>
      <c r="AC23" s="63" t="e">
        <f>VLOOKUP(A23,Enforcements!$C$7:$E$24,3,0)</f>
        <v>#N/A</v>
      </c>
      <c r="AD23" s="64" t="str">
        <f t="shared" si="11"/>
        <v>0111-17</v>
      </c>
      <c r="AE23" s="104" t="str">
        <f t="shared" si="12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23" s="101" t="str">
        <f t="shared" si="13"/>
        <v>"C:\Program Files (x86)\AstroGrep\AstroGrep.exe" /spath="%USERPROFILE%\AppData\Local\Temp\OnboardLogs" /stypes="*4002*20160817*" /stext=" 12:.+((SYSTEM_STATE.+slice.+state.+changed )|(ment ac)|(system.+state.+changed )|(\|lc)|(penalty)|(\[timeout)|(PRM\|1\|D)|(kpr)|(kdp))" /e /r /s</v>
      </c>
      <c r="AG23" s="1" t="str">
        <f t="shared" si="14"/>
        <v>EC</v>
      </c>
      <c r="AH23" s="105" t="str">
        <f t="shared" si="16"/>
        <v>"%USERPROFILE%\Documents\GitHub\eaglep3\Utilities\RefineRTDCRunTimes.py" --tripid 111-17 --locoid 4002 --swversion DE.1.0.7.0 --startMP 204:754 --initTime 2016-08-17T05:17:28 --startdatetime 2016-08-17T05:18:29 --delay 1 --endMP 204:233311 --enddatetime 2016-08-17T06:04:41 --enforcementcount 0</v>
      </c>
    </row>
    <row r="24" spans="1:34" s="1" customFormat="1" x14ac:dyDescent="0.25">
      <c r="A24" s="40" t="s">
        <v>342</v>
      </c>
      <c r="B24" s="7">
        <v>4001</v>
      </c>
      <c r="C24" s="25" t="s">
        <v>118</v>
      </c>
      <c r="D24" s="25" t="s">
        <v>62</v>
      </c>
      <c r="E24" s="16">
        <v>42599.258206018516</v>
      </c>
      <c r="F24" s="16">
        <v>42599.260115740741</v>
      </c>
      <c r="G24" s="7">
        <v>2</v>
      </c>
      <c r="H24" s="16" t="s">
        <v>144</v>
      </c>
      <c r="I24" s="16">
        <v>42599.291689814818</v>
      </c>
      <c r="J24" s="7">
        <v>0</v>
      </c>
      <c r="K24" s="142" t="str">
        <f t="shared" si="0"/>
        <v>4001/4002</v>
      </c>
      <c r="L24" s="25" t="str">
        <f>VLOOKUP(A24,'Trips&amp;Operators'!$C$1:$E$10000,3,FALSE)</f>
        <v>ROCHA</v>
      </c>
      <c r="M24" s="6">
        <f t="shared" si="1"/>
        <v>3.1574074077070691E-2</v>
      </c>
      <c r="N24" s="7">
        <f t="shared" si="2"/>
        <v>45.466666670981795</v>
      </c>
      <c r="O24" s="7"/>
      <c r="P24" s="7"/>
      <c r="Q24" s="26"/>
      <c r="R24" s="26"/>
      <c r="S24" s="38">
        <f t="shared" si="3"/>
        <v>1</v>
      </c>
      <c r="T24" s="53" t="str">
        <f t="shared" si="4"/>
        <v>Southbound</v>
      </c>
      <c r="U24" s="13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05:11:49-0600',mode:absolute,to:'2016-08-17 08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4" s="55" t="str">
        <f t="shared" si="6"/>
        <v>N</v>
      </c>
      <c r="X24" s="129">
        <f t="shared" si="7"/>
        <v>1</v>
      </c>
      <c r="Y24" s="70">
        <f t="shared" si="8"/>
        <v>23.297699999999999</v>
      </c>
      <c r="Z24" s="70">
        <f t="shared" si="9"/>
        <v>1.49E-2</v>
      </c>
      <c r="AA24" s="70">
        <f t="shared" si="10"/>
        <v>23.282799999999998</v>
      </c>
      <c r="AB24" s="67">
        <f>VLOOKUP(A24,Enforcements!$C$7:$J$24,8,0)</f>
        <v>30970</v>
      </c>
      <c r="AC24" s="63" t="str">
        <f>VLOOKUP(A24,Enforcements!$C$7:$E$24,3,0)</f>
        <v>GRADE CROSSING</v>
      </c>
      <c r="AD24" s="64" t="str">
        <f t="shared" si="11"/>
        <v>0112-17</v>
      </c>
      <c r="AE24" s="104" t="str">
        <f t="shared" si="12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24" s="101" t="str">
        <f t="shared" si="13"/>
        <v>"C:\Program Files (x86)\AstroGrep\AstroGrep.exe" /spath="%USERPROFILE%\AppData\Local\Temp\OnboardLogs" /stypes="*4001*20160817*" /stext=" 13:.+((SYSTEM_STATE.+slice.+state.+changed )|(ment ac)|(system.+state.+changed )|(\|lc)|(penalty)|(\[timeout)|(PRM\|1\|D)|(kpr)|(kdp))" /e /r /s</v>
      </c>
      <c r="AG24" s="1" t="str">
        <f t="shared" si="14"/>
        <v>EC</v>
      </c>
      <c r="AH24" s="105" t="str">
        <f t="shared" si="16"/>
        <v>"%USERPROFILE%\Documents\GitHub\eaglep3\Utilities\RefineRTDCRunTimes.py" --tripid 112-17 --locoid 4001 --swversion DE.1.0.7.0 --startMP 204:232977 --initTime 2016-08-17T06:11:49 --startdatetime 2016-08-17T06:14:34 --delay 2 --endMP 204:149 --enddatetime 2016-08-17T07:00:02 --enforcementcount 0</v>
      </c>
    </row>
    <row r="25" spans="1:34" s="1" customFormat="1" x14ac:dyDescent="0.25">
      <c r="A25" s="40" t="s">
        <v>343</v>
      </c>
      <c r="B25" s="7">
        <v>4027</v>
      </c>
      <c r="C25" s="25" t="s">
        <v>118</v>
      </c>
      <c r="D25" s="25" t="s">
        <v>276</v>
      </c>
      <c r="E25" s="16">
        <v>42599.218576388892</v>
      </c>
      <c r="F25" s="16">
        <v>42599.219502314816</v>
      </c>
      <c r="G25" s="7">
        <v>1</v>
      </c>
      <c r="H25" s="16" t="s">
        <v>344</v>
      </c>
      <c r="I25" s="16">
        <v>42599.264537037037</v>
      </c>
      <c r="J25" s="7">
        <v>0</v>
      </c>
      <c r="K25" s="142" t="str">
        <f t="shared" si="0"/>
        <v>4027/4028</v>
      </c>
      <c r="L25" s="25" t="str">
        <f>VLOOKUP(A25,'Trips&amp;Operators'!$C$1:$E$10000,3,FALSE)</f>
        <v>MAELZER</v>
      </c>
      <c r="M25" s="6">
        <f t="shared" si="1"/>
        <v>4.503472222131677E-2</v>
      </c>
      <c r="N25" s="7">
        <f t="shared" si="2"/>
        <v>64.849999998696148</v>
      </c>
      <c r="O25" s="7"/>
      <c r="P25" s="7"/>
      <c r="Q25" s="26"/>
      <c r="R25" s="26"/>
      <c r="S25" s="38">
        <f t="shared" si="3"/>
        <v>1</v>
      </c>
      <c r="T25" s="53" t="str">
        <f t="shared" si="4"/>
        <v>NorthBound</v>
      </c>
      <c r="U25" s="13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04:14:45-0600',mode:absolute,to:'2016-08-17 07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5" s="55" t="str">
        <f t="shared" si="6"/>
        <v>N</v>
      </c>
      <c r="X25" s="129">
        <f t="shared" si="7"/>
        <v>1</v>
      </c>
      <c r="Y25" s="70">
        <f t="shared" si="8"/>
        <v>4.3700000000000003E-2</v>
      </c>
      <c r="Z25" s="70">
        <f t="shared" si="9"/>
        <v>23.330400000000001</v>
      </c>
      <c r="AA25" s="70">
        <f t="shared" si="10"/>
        <v>23.2867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11"/>
        <v>0113-17</v>
      </c>
      <c r="AE25" s="104" t="str">
        <f t="shared" si="12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25" s="101" t="str">
        <f t="shared" si="13"/>
        <v>"C:\Program Files (x86)\AstroGrep\AstroGrep.exe" /spath="%USERPROFILE%\AppData\Local\Temp\OnboardLogs" /stypes="*4027*20160817*" /stext=" 12:.+((SYSTEM_STATE.+slice.+state.+changed )|(ment ac)|(system.+state.+changed )|(\|lc)|(penalty)|(\[timeout)|(PRM\|1\|D)|(kpr)|(kdp))" /e /r /s</v>
      </c>
      <c r="AG25" s="1" t="str">
        <f t="shared" si="14"/>
        <v>EC</v>
      </c>
      <c r="AH25" s="105" t="str">
        <f t="shared" si="16"/>
        <v>"%USERPROFILE%\Documents\GitHub\eaglep3\Utilities\RefineRTDCRunTimes.py" --tripid 113-17 --locoid 4027 --swversion DE.1.0.7.0 --startMP 204:437 --initTime 2016-08-17T05:14:45 --startdatetime 2016-08-17T05:16:05 --delay 1 --endMP 204:233304 --enddatetime 2016-08-17T06:20:56 --enforcementcount 0</v>
      </c>
    </row>
    <row r="26" spans="1:34" s="1" customFormat="1" ht="16.5" customHeight="1" x14ac:dyDescent="0.25">
      <c r="A26" s="40" t="s">
        <v>345</v>
      </c>
      <c r="B26" s="7">
        <v>4028</v>
      </c>
      <c r="C26" s="25" t="s">
        <v>118</v>
      </c>
      <c r="D26" s="25" t="s">
        <v>226</v>
      </c>
      <c r="E26" s="16">
        <v>42599.268634259257</v>
      </c>
      <c r="F26" s="16">
        <v>42599.269513888888</v>
      </c>
      <c r="G26" s="7">
        <v>1</v>
      </c>
      <c r="H26" s="16" t="s">
        <v>210</v>
      </c>
      <c r="I26" s="16">
        <v>42599.303136574075</v>
      </c>
      <c r="J26" s="7">
        <v>0</v>
      </c>
      <c r="K26" s="142" t="str">
        <f t="shared" si="0"/>
        <v>4027/4028</v>
      </c>
      <c r="L26" s="25" t="str">
        <f>VLOOKUP(A26,'Trips&amp;Operators'!$C$1:$E$10000,3,FALSE)</f>
        <v>MAELZER</v>
      </c>
      <c r="M26" s="6">
        <f t="shared" si="1"/>
        <v>3.3622685186855961E-2</v>
      </c>
      <c r="N26" s="7">
        <f t="shared" si="2"/>
        <v>48.416666669072583</v>
      </c>
      <c r="O26" s="7"/>
      <c r="P26" s="7"/>
      <c r="Q26" s="26"/>
      <c r="R26" s="26"/>
      <c r="S26" s="38">
        <f t="shared" si="3"/>
        <v>1</v>
      </c>
      <c r="T26" s="53" t="str">
        <f t="shared" si="4"/>
        <v>Southbound</v>
      </c>
      <c r="U26" s="13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05:26:50-0600',mode:absolute,to:'2016-08-17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6" s="55" t="str">
        <f t="shared" si="6"/>
        <v>N</v>
      </c>
      <c r="X26" s="129">
        <f t="shared" si="7"/>
        <v>1</v>
      </c>
      <c r="Y26" s="70">
        <f t="shared" si="8"/>
        <v>23.2989</v>
      </c>
      <c r="Z26" s="70">
        <f t="shared" si="9"/>
        <v>1.67E-2</v>
      </c>
      <c r="AA26" s="70">
        <f t="shared" si="10"/>
        <v>23.2822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11"/>
        <v>0114-17</v>
      </c>
      <c r="AE26" s="104" t="str">
        <f t="shared" si="12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26" s="101" t="str">
        <f t="shared" si="13"/>
        <v>"C:\Program Files (x86)\AstroGrep\AstroGrep.exe" /spath="%USERPROFILE%\AppData\Local\Temp\OnboardLogs" /stypes="*4028*20160817*" /stext=" 13:.+((SYSTEM_STATE.+slice.+state.+changed )|(ment ac)|(system.+state.+changed )|(\|lc)|(penalty)|(\[timeout)|(PRM\|1\|D)|(kpr)|(kdp))" /e /r /s</v>
      </c>
      <c r="AG26" s="1" t="str">
        <f t="shared" si="14"/>
        <v>EC</v>
      </c>
      <c r="AH26" s="105" t="str">
        <f t="shared" si="16"/>
        <v>"%USERPROFILE%\Documents\GitHub\eaglep3\Utilities\RefineRTDCRunTimes.py" --tripid 114-17 --locoid 4028 --swversion DE.1.0.7.0 --startMP 204:232989 --initTime 2016-08-17T06:26:50 --startdatetime 2016-08-17T06:28:06 --delay 1 --endMP 204:167 --enddatetime 2016-08-17T07:16:31 --enforcementcount 0</v>
      </c>
    </row>
    <row r="27" spans="1:34" s="1" customFormat="1" x14ac:dyDescent="0.25">
      <c r="A27" s="40" t="s">
        <v>346</v>
      </c>
      <c r="B27" s="7">
        <v>4018</v>
      </c>
      <c r="C27" s="25" t="s">
        <v>118</v>
      </c>
      <c r="D27" s="25" t="s">
        <v>254</v>
      </c>
      <c r="E27" s="16">
        <v>42599.243888888886</v>
      </c>
      <c r="F27" s="16">
        <v>42599.246701388889</v>
      </c>
      <c r="G27" s="7">
        <v>4</v>
      </c>
      <c r="H27" s="16" t="s">
        <v>157</v>
      </c>
      <c r="I27" s="16">
        <v>42599.280034722222</v>
      </c>
      <c r="J27" s="7">
        <v>0</v>
      </c>
      <c r="K27" s="142" t="str">
        <f t="shared" si="0"/>
        <v>4017/4018</v>
      </c>
      <c r="L27" s="25" t="str">
        <f>VLOOKUP(A27,'Trips&amp;Operators'!$C$1:$E$10000,3,FALSE)</f>
        <v>BRANNON</v>
      </c>
      <c r="M27" s="6">
        <f t="shared" si="1"/>
        <v>3.3333333332848269E-2</v>
      </c>
      <c r="N27" s="7">
        <f t="shared" si="2"/>
        <v>47.999999999301508</v>
      </c>
      <c r="O27" s="7"/>
      <c r="P27" s="7"/>
      <c r="Q27" s="26"/>
      <c r="R27" s="26"/>
      <c r="S27" s="38">
        <f t="shared" si="3"/>
        <v>1</v>
      </c>
      <c r="T27" s="53" t="str">
        <f t="shared" si="4"/>
        <v>NorthBound</v>
      </c>
      <c r="U27" s="13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04:51:12-0600',mode:absolute,to:'2016-08-17 07:43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7" s="55" t="str">
        <f t="shared" si="6"/>
        <v>N</v>
      </c>
      <c r="X27" s="129">
        <f t="shared" si="7"/>
        <v>1</v>
      </c>
      <c r="Y27" s="70">
        <f t="shared" si="8"/>
        <v>7.4099999999999999E-2</v>
      </c>
      <c r="Z27" s="70">
        <f t="shared" si="9"/>
        <v>23.332000000000001</v>
      </c>
      <c r="AA27" s="70">
        <f t="shared" si="10"/>
        <v>23.257899999999999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11"/>
        <v>0115-17</v>
      </c>
      <c r="AE27" s="104" t="str">
        <f t="shared" si="12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27" s="101" t="str">
        <f t="shared" si="13"/>
        <v>"C:\Program Files (x86)\AstroGrep\AstroGrep.exe" /spath="%USERPROFILE%\AppData\Local\Temp\OnboardLogs" /stypes="*4018*20160817*"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5" t="str">
        <f t="shared" si="16"/>
        <v>"%USERPROFILE%\Documents\GitHub\eaglep3\Utilities\RefineRTDCRunTimes.py" --tripid 115-17 --locoid 4018 --swversion DE.1.0.7.0 --startMP 204:741 --initTime 2016-08-17T05:51:12 --startdatetime 2016-08-17T05:55:15 --delay 4 --endMP 204:233320 --enddatetime 2016-08-17T06:43:15 --enforcementcount 0</v>
      </c>
    </row>
    <row r="28" spans="1:34" s="32" customFormat="1" x14ac:dyDescent="0.25">
      <c r="A28" s="40" t="s">
        <v>347</v>
      </c>
      <c r="B28" s="7">
        <v>4017</v>
      </c>
      <c r="C28" s="25" t="s">
        <v>118</v>
      </c>
      <c r="D28" s="25" t="s">
        <v>348</v>
      </c>
      <c r="E28" s="16">
        <v>42599.281793981485</v>
      </c>
      <c r="F28" s="16">
        <v>42599.283067129632</v>
      </c>
      <c r="G28" s="7">
        <v>1</v>
      </c>
      <c r="H28" s="16" t="s">
        <v>139</v>
      </c>
      <c r="I28" s="16">
        <v>42599.320763888885</v>
      </c>
      <c r="J28" s="7">
        <v>0</v>
      </c>
      <c r="K28" s="142" t="str">
        <f t="shared" si="0"/>
        <v>4017/4018</v>
      </c>
      <c r="L28" s="25" t="str">
        <f>VLOOKUP(A28,'Trips&amp;Operators'!$C$1:$E$10000,3,FALSE)</f>
        <v>BRANNON</v>
      </c>
      <c r="M28" s="6">
        <f t="shared" si="1"/>
        <v>3.7696759252867196E-2</v>
      </c>
      <c r="N28" s="7">
        <f t="shared" si="2"/>
        <v>54.283333324128762</v>
      </c>
      <c r="O28" s="7"/>
      <c r="P28" s="7"/>
      <c r="Q28" s="26"/>
      <c r="R28" s="26"/>
      <c r="S28" s="38">
        <f t="shared" si="3"/>
        <v>1</v>
      </c>
      <c r="T28" s="53" t="str">
        <f t="shared" si="4"/>
        <v>Southbound</v>
      </c>
      <c r="U28" s="13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05:45:47-0600',mode:absolute,to:'2016-08-17 08:41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8" s="55" t="str">
        <f t="shared" si="6"/>
        <v>N</v>
      </c>
      <c r="X28" s="129">
        <f t="shared" si="7"/>
        <v>1</v>
      </c>
      <c r="Y28" s="70">
        <f t="shared" si="8"/>
        <v>23.300899999999999</v>
      </c>
      <c r="Z28" s="70">
        <f t="shared" si="9"/>
        <v>1.47E-2</v>
      </c>
      <c r="AA28" s="70">
        <f t="shared" si="10"/>
        <v>23.286199999999997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11"/>
        <v>0116-17</v>
      </c>
      <c r="AE28" s="104" t="str">
        <f t="shared" si="12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28" s="101" t="str">
        <f t="shared" si="13"/>
        <v>"C:\Program Files (x86)\AstroGrep\AstroGrep.exe" /spath="%USERPROFILE%\AppData\Local\Temp\OnboardLogs" /stypes="*4017*20160817*"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5" t="str">
        <f t="shared" si="16"/>
        <v>"%USERPROFILE%\Documents\GitHub\eaglep3\Utilities\RefineRTDCRunTimes.py" --tripid 116-17 --locoid 4017 --swversion DE.1.0.7.0 --startMP 204:233009 --initTime 2016-08-17T06:45:47 --startdatetime 2016-08-17T06:47:37 --delay 1 --endMP 204:147 --enddatetime 2016-08-17T07:41:54 --enforcementcount 0</v>
      </c>
    </row>
    <row r="29" spans="1:34" s="1" customFormat="1" x14ac:dyDescent="0.25">
      <c r="A29" s="40" t="s">
        <v>349</v>
      </c>
      <c r="B29" s="7">
        <v>4025</v>
      </c>
      <c r="C29" s="25" t="s">
        <v>118</v>
      </c>
      <c r="D29" s="25" t="s">
        <v>280</v>
      </c>
      <c r="E29" s="16">
        <v>42599.247627314813</v>
      </c>
      <c r="F29" s="16">
        <v>42599.248900462961</v>
      </c>
      <c r="G29" s="7">
        <v>1</v>
      </c>
      <c r="H29" s="16" t="s">
        <v>350</v>
      </c>
      <c r="I29" s="16">
        <v>42599.286307870374</v>
      </c>
      <c r="J29" s="7">
        <v>0</v>
      </c>
      <c r="K29" s="142" t="str">
        <f t="shared" si="0"/>
        <v>4025/4026</v>
      </c>
      <c r="L29" s="25" t="str">
        <f>VLOOKUP(A29,'Trips&amp;Operators'!$C$1:$E$10000,3,FALSE)</f>
        <v>ACKERMAN</v>
      </c>
      <c r="M29" s="6">
        <f t="shared" si="1"/>
        <v>3.740740741341142E-2</v>
      </c>
      <c r="N29" s="7">
        <f t="shared" si="2"/>
        <v>53.866666675312445</v>
      </c>
      <c r="O29" s="7"/>
      <c r="P29" s="7"/>
      <c r="Q29" s="26"/>
      <c r="R29" s="26"/>
      <c r="S29" s="38">
        <f t="shared" si="3"/>
        <v>1</v>
      </c>
      <c r="T29" s="53" t="str">
        <f t="shared" si="4"/>
        <v>NorthBound</v>
      </c>
      <c r="U29" s="13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04:56:35-0600',mode:absolute,to:'2016-08-17 07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9" s="55" t="str">
        <f t="shared" si="6"/>
        <v>N</v>
      </c>
      <c r="X29" s="129">
        <f t="shared" si="7"/>
        <v>1</v>
      </c>
      <c r="Y29" s="70">
        <f t="shared" si="8"/>
        <v>4.24E-2</v>
      </c>
      <c r="Z29" s="70">
        <f t="shared" si="9"/>
        <v>23.332100000000001</v>
      </c>
      <c r="AA29" s="70">
        <f t="shared" si="10"/>
        <v>23.2897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11"/>
        <v>0117-17</v>
      </c>
      <c r="AE29" s="104" t="str">
        <f t="shared" si="12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29" s="101" t="str">
        <f t="shared" si="13"/>
        <v>"C:\Program Files (x86)\AstroGrep\AstroGrep.exe" /spath="%USERPROFILE%\AppData\Local\Temp\OnboardLogs" /stypes="*4025*20160817*"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5" t="str">
        <f t="shared" si="16"/>
        <v>"%USERPROFILE%\Documents\GitHub\eaglep3\Utilities\RefineRTDCRunTimes.py" --tripid 117-17 --locoid 4025 --swversion DE.1.0.7.0 --startMP 204:424 --initTime 2016-08-17T05:56:35 --startdatetime 2016-08-17T05:58:25 --delay 1 --endMP 204:233321 --enddatetime 2016-08-17T06:52:17 --enforcementcount 0</v>
      </c>
    </row>
    <row r="30" spans="1:34" s="1" customFormat="1" x14ac:dyDescent="0.25">
      <c r="A30" s="40" t="s">
        <v>351</v>
      </c>
      <c r="B30" s="7">
        <v>4026</v>
      </c>
      <c r="C30" s="25" t="s">
        <v>118</v>
      </c>
      <c r="D30" s="25" t="s">
        <v>352</v>
      </c>
      <c r="E30" s="16">
        <v>42599.287731481483</v>
      </c>
      <c r="F30" s="16">
        <v>42599.289351851854</v>
      </c>
      <c r="G30" s="7">
        <v>2</v>
      </c>
      <c r="H30" s="16" t="s">
        <v>212</v>
      </c>
      <c r="I30" s="16">
        <v>42599.32545138889</v>
      </c>
      <c r="J30" s="7">
        <v>0</v>
      </c>
      <c r="K30" s="142" t="str">
        <f t="shared" si="0"/>
        <v>4025/4026</v>
      </c>
      <c r="L30" s="25" t="str">
        <f>VLOOKUP(A30,'Trips&amp;Operators'!$C$1:$E$10000,3,FALSE)</f>
        <v>ACKERMAN</v>
      </c>
      <c r="M30" s="6">
        <f t="shared" si="1"/>
        <v>3.6099537035624962E-2</v>
      </c>
      <c r="N30" s="7">
        <f t="shared" si="2"/>
        <v>51.983333331299946</v>
      </c>
      <c r="O30" s="7"/>
      <c r="P30" s="7"/>
      <c r="Q30" s="26"/>
      <c r="R30" s="26"/>
      <c r="S30" s="38">
        <f t="shared" si="3"/>
        <v>1</v>
      </c>
      <c r="T30" s="53" t="str">
        <f t="shared" si="4"/>
        <v>Southbound</v>
      </c>
      <c r="U30" s="13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05:54:20-0600',mode:absolute,to:'2016-08-17 08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30" s="55" t="str">
        <f t="shared" si="6"/>
        <v>N</v>
      </c>
      <c r="X30" s="129">
        <f t="shared" si="7"/>
        <v>1</v>
      </c>
      <c r="Y30" s="70">
        <f t="shared" si="8"/>
        <v>23.302499999999998</v>
      </c>
      <c r="Z30" s="70">
        <f t="shared" si="9"/>
        <v>1.52E-2</v>
      </c>
      <c r="AA30" s="70">
        <f t="shared" si="10"/>
        <v>23.287299999999998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11"/>
        <v>0118-17</v>
      </c>
      <c r="AE30" s="104" t="str">
        <f t="shared" si="12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30" s="101" t="str">
        <f t="shared" si="13"/>
        <v>"C:\Program Files (x86)\AstroGrep\AstroGrep.exe" /spath="%USERPROFILE%\AppData\Local\Temp\OnboardLogs" /stypes="*4026*20160817*"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5" t="str">
        <f t="shared" si="16"/>
        <v>"%USERPROFILE%\Documents\GitHub\eaglep3\Utilities\RefineRTDCRunTimes.py" --tripid 118-17 --locoid 4026 --swversion DE.1.0.7.0 --startMP 204:233025 --initTime 2016-08-17T06:54:20 --startdatetime 2016-08-17T06:56:40 --delay 2 --endMP 204:152 --enddatetime 2016-08-17T07:48:39 --enforcementcount 0</v>
      </c>
    </row>
    <row r="31" spans="1:34" s="1" customFormat="1" x14ac:dyDescent="0.25">
      <c r="A31" s="40" t="s">
        <v>353</v>
      </c>
      <c r="B31" s="7">
        <v>4009</v>
      </c>
      <c r="C31" s="25" t="s">
        <v>118</v>
      </c>
      <c r="D31" s="25" t="s">
        <v>354</v>
      </c>
      <c r="E31" s="16">
        <v>42599.253310185188</v>
      </c>
      <c r="F31" s="16">
        <v>42599.255497685182</v>
      </c>
      <c r="G31" s="7">
        <v>3</v>
      </c>
      <c r="H31" s="16" t="s">
        <v>272</v>
      </c>
      <c r="I31" s="16">
        <v>42599.29246527778</v>
      </c>
      <c r="J31" s="7">
        <v>0</v>
      </c>
      <c r="K31" s="142" t="str">
        <f t="shared" si="0"/>
        <v>4009/4010</v>
      </c>
      <c r="L31" s="25" t="str">
        <f>VLOOKUP(A31,'Trips&amp;Operators'!$C$1:$E$10000,3,FALSE)</f>
        <v>STRICKLAND</v>
      </c>
      <c r="M31" s="6">
        <f t="shared" si="1"/>
        <v>3.6967592597648036E-2</v>
      </c>
      <c r="N31" s="7">
        <f t="shared" si="2"/>
        <v>53.233333340613171</v>
      </c>
      <c r="O31" s="7"/>
      <c r="P31" s="7"/>
      <c r="Q31" s="26"/>
      <c r="R31" s="26"/>
      <c r="S31" s="38">
        <f t="shared" si="3"/>
        <v>1</v>
      </c>
      <c r="T31" s="53" t="str">
        <f t="shared" si="4"/>
        <v>NorthBound</v>
      </c>
      <c r="U31" s="13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1" s="55" t="str">
        <f t="shared" si="6"/>
        <v>N</v>
      </c>
      <c r="X31" s="129">
        <f t="shared" si="7"/>
        <v>1</v>
      </c>
      <c r="Y31" s="70">
        <f t="shared" si="8"/>
        <v>7.7899999999999997E-2</v>
      </c>
      <c r="Z31" s="70">
        <f t="shared" si="9"/>
        <v>23.3307</v>
      </c>
      <c r="AA31" s="70">
        <f t="shared" si="10"/>
        <v>23.252800000000001</v>
      </c>
      <c r="AB31" s="67" t="e">
        <f>VLOOKUP(A31,Enforcements!$C$7:$J$24,8,0)</f>
        <v>#N/A</v>
      </c>
      <c r="AC31" s="63" t="e">
        <f>VLOOKUP(A31,Enforcements!$C$7:$E$24,3,0)</f>
        <v>#N/A</v>
      </c>
      <c r="AD31" s="64" t="str">
        <f t="shared" si="11"/>
        <v>0119-17</v>
      </c>
      <c r="AE31" s="104" t="str">
        <f t="shared" si="12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31" s="101" t="str">
        <f t="shared" si="13"/>
        <v>"C:\Program Files (x86)\AstroGrep\AstroGrep.exe" /spath="%USERPROFILE%\AppData\Local\Temp\OnboardLogs" /stypes="*4009*20160817*" /stext=" 13:.+((SYSTEM_STATE.+slice.+state.+changed )|(ment ac)|(system.+state.+changed )|(\|lc)|(penalty)|(\[timeout)|(PRM\|1\|D)|(kpr)|(kdp))" /e /r /s</v>
      </c>
      <c r="AG31" s="1" t="str">
        <f t="shared" si="14"/>
        <v>EC</v>
      </c>
      <c r="AH31" s="105" t="str">
        <f t="shared" si="16"/>
        <v>"%USERPROFILE%\Documents\GitHub\eaglep3\Utilities\RefineRTDCRunTimes.py" --tripid 119-17 --locoid 4009 --swversion DE.1.0.7.0 --startMP 204:779 --initTime 2016-08-17T06:04:46 --startdatetime 2016-08-17T06:07:55 --delay 3 --endMP 204:233307 --enddatetime 2016-08-17T07:01:09 --enforcementcount 0</v>
      </c>
    </row>
    <row r="32" spans="1:34" s="1" customFormat="1" x14ac:dyDescent="0.25">
      <c r="A32" s="40" t="s">
        <v>355</v>
      </c>
      <c r="B32" s="7">
        <v>4010</v>
      </c>
      <c r="C32" s="25" t="s">
        <v>118</v>
      </c>
      <c r="D32" s="25" t="s">
        <v>131</v>
      </c>
      <c r="E32" s="16">
        <v>42599.296180555553</v>
      </c>
      <c r="F32" s="16">
        <v>42599.297372685185</v>
      </c>
      <c r="G32" s="7">
        <v>1</v>
      </c>
      <c r="H32" s="16" t="s">
        <v>92</v>
      </c>
      <c r="I32" s="16">
        <v>42599.335115740738</v>
      </c>
      <c r="J32" s="7">
        <v>0</v>
      </c>
      <c r="K32" s="142" t="str">
        <f t="shared" si="0"/>
        <v>4009/4010</v>
      </c>
      <c r="L32" s="25" t="str">
        <f>VLOOKUP(A32,'Trips&amp;Operators'!$C$1:$E$10000,3,FALSE)</f>
        <v>STRICKLAND</v>
      </c>
      <c r="M32" s="6">
        <f t="shared" si="1"/>
        <v>3.7743055552709848E-2</v>
      </c>
      <c r="N32" s="7">
        <f t="shared" si="2"/>
        <v>54.349999995902181</v>
      </c>
      <c r="O32" s="7"/>
      <c r="P32" s="7"/>
      <c r="Q32" s="26"/>
      <c r="R32" s="26"/>
      <c r="S32" s="38">
        <f t="shared" si="3"/>
        <v>1</v>
      </c>
      <c r="T32" s="53" t="str">
        <f t="shared" si="4"/>
        <v>Southbound</v>
      </c>
      <c r="U32" s="13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2" s="55" t="str">
        <f t="shared" si="6"/>
        <v>N</v>
      </c>
      <c r="X32" s="129">
        <f t="shared" si="7"/>
        <v>1</v>
      </c>
      <c r="Y32" s="70">
        <f t="shared" si="8"/>
        <v>23.299800000000001</v>
      </c>
      <c r="Z32" s="70">
        <f t="shared" si="9"/>
        <v>1.43E-2</v>
      </c>
      <c r="AA32" s="70">
        <f t="shared" si="10"/>
        <v>23.285500000000003</v>
      </c>
      <c r="AB32" s="67">
        <f>VLOOKUP(A32,Enforcements!$C$7:$J$24,8,0)</f>
        <v>30970</v>
      </c>
      <c r="AC32" s="63" t="str">
        <f>VLOOKUP(A32,Enforcements!$C$7:$E$24,3,0)</f>
        <v>GRADE CROSSING</v>
      </c>
      <c r="AD32" s="64" t="str">
        <f t="shared" si="11"/>
        <v>0120-17</v>
      </c>
      <c r="AE32" s="104" t="str">
        <f t="shared" si="12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32" s="101" t="str">
        <f t="shared" si="13"/>
        <v>"C:\Program Files (x86)\AstroGrep\AstroGrep.exe" /spath="%USERPROFILE%\AppData\Local\Temp\OnboardLogs" /stypes="*4010*20160817*" /stext=" 14:.+((SYSTEM_STATE.+slice.+state.+changed )|(ment ac)|(system.+state.+changed )|(\|lc)|(penalty)|(\[timeout)|(PRM\|1\|D)|(kpr)|(kdp))" /e /r /s</v>
      </c>
      <c r="AG32" s="1" t="str">
        <f t="shared" si="14"/>
        <v>EC</v>
      </c>
      <c r="AH32" s="105" t="str">
        <f t="shared" si="16"/>
        <v>"%USERPROFILE%\Documents\GitHub\eaglep3\Utilities\RefineRTDCRunTimes.py" --tripid 120-17 --locoid 4010 --swversion DE.1.0.7.0 --startMP 204:232998 --initTime 2016-08-17T07:06:30 --startdatetime 2016-08-17T07:08:13 --delay 1 --endMP 204:143 --enddatetime 2016-08-17T08:02:34 --enforcementcount 0</v>
      </c>
    </row>
    <row r="33" spans="1:34" s="1" customFormat="1" x14ac:dyDescent="0.25">
      <c r="A33" s="40" t="s">
        <v>356</v>
      </c>
      <c r="B33" s="7">
        <v>4003</v>
      </c>
      <c r="C33" s="25" t="s">
        <v>118</v>
      </c>
      <c r="D33" s="25" t="s">
        <v>213</v>
      </c>
      <c r="E33" s="16">
        <v>42599.261111111111</v>
      </c>
      <c r="F33" s="16">
        <v>42599.26222222222</v>
      </c>
      <c r="G33" s="7">
        <v>1</v>
      </c>
      <c r="H33" s="16" t="s">
        <v>357</v>
      </c>
      <c r="I33" s="16">
        <v>42599.299386574072</v>
      </c>
      <c r="J33" s="7">
        <v>0</v>
      </c>
      <c r="K33" s="142" t="str">
        <f t="shared" si="0"/>
        <v>4003/4004</v>
      </c>
      <c r="L33" s="25" t="str">
        <f>VLOOKUP(A33,'Trips&amp;Operators'!$C$1:$E$10000,3,FALSE)</f>
        <v>SPECTOR</v>
      </c>
      <c r="M33" s="6">
        <f t="shared" si="1"/>
        <v>3.7164351851970423E-2</v>
      </c>
      <c r="N33" s="7">
        <f t="shared" si="2"/>
        <v>53.516666666837409</v>
      </c>
      <c r="O33" s="7"/>
      <c r="P33" s="7"/>
      <c r="Q33" s="26"/>
      <c r="R33" s="26"/>
      <c r="S33" s="38">
        <f t="shared" si="3"/>
        <v>1</v>
      </c>
      <c r="T33" s="53" t="str">
        <f t="shared" si="4"/>
        <v>NorthBound</v>
      </c>
      <c r="U33" s="13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05:16:00-0600',mode:absolute,to:'2016-08-17 08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33" s="55" t="str">
        <f t="shared" si="6"/>
        <v>N</v>
      </c>
      <c r="X33" s="129">
        <f t="shared" si="7"/>
        <v>1</v>
      </c>
      <c r="Y33" s="70">
        <f t="shared" si="8"/>
        <v>4.8000000000000001E-2</v>
      </c>
      <c r="Z33" s="70">
        <f t="shared" si="9"/>
        <v>23.321200000000001</v>
      </c>
      <c r="AA33" s="70">
        <f t="shared" si="10"/>
        <v>23.273200000000003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11"/>
        <v>0121-17</v>
      </c>
      <c r="AE33" s="104" t="str">
        <f t="shared" si="12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33" s="101" t="str">
        <f t="shared" si="13"/>
        <v>"C:\Program Files (x86)\AstroGrep\AstroGrep.exe" /spath="%USERPROFILE%\AppData\Local\Temp\OnboardLogs" /stypes="*4003*20160817*"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5" t="str">
        <f t="shared" si="16"/>
        <v>"%USERPROFILE%\Documents\GitHub\eaglep3\Utilities\RefineRTDCRunTimes.py" --tripid 121-17 --locoid 4003 --swversion DE.1.0.7.0 --startMP 204:480 --initTime 2016-08-17T06:16:00 --startdatetime 2016-08-17T06:17:36 --delay 1 --endMP 204:233212 --enddatetime 2016-08-17T07:11:07 --enforcementcount 0</v>
      </c>
    </row>
    <row r="34" spans="1:34" s="1" customFormat="1" ht="14.25" customHeight="1" x14ac:dyDescent="0.25">
      <c r="A34" s="40" t="s">
        <v>358</v>
      </c>
      <c r="B34" s="7">
        <v>4004</v>
      </c>
      <c r="C34" s="25" t="s">
        <v>118</v>
      </c>
      <c r="D34" s="25" t="s">
        <v>359</v>
      </c>
      <c r="E34" s="16">
        <v>42599.301678240743</v>
      </c>
      <c r="F34" s="16">
        <v>42599.302627314813</v>
      </c>
      <c r="G34" s="7">
        <v>1</v>
      </c>
      <c r="H34" s="16" t="s">
        <v>139</v>
      </c>
      <c r="I34" s="16">
        <v>42599.340509259258</v>
      </c>
      <c r="J34" s="7">
        <v>0</v>
      </c>
      <c r="K34" s="142" t="str">
        <f t="shared" si="0"/>
        <v>4003/4004</v>
      </c>
      <c r="L34" s="25" t="str">
        <f>VLOOKUP(A34,'Trips&amp;Operators'!$C$1:$E$10000,3,FALSE)</f>
        <v>SPECTOR</v>
      </c>
      <c r="M34" s="6">
        <f t="shared" si="1"/>
        <v>3.7881944444961846E-2</v>
      </c>
      <c r="N34" s="7">
        <f t="shared" si="2"/>
        <v>54.550000000745058</v>
      </c>
      <c r="O34" s="7"/>
      <c r="P34" s="7"/>
      <c r="Q34" s="26"/>
      <c r="R34" s="26"/>
      <c r="S34" s="38">
        <f t="shared" si="3"/>
        <v>1</v>
      </c>
      <c r="T34" s="53" t="str">
        <f t="shared" si="4"/>
        <v>Southbound</v>
      </c>
      <c r="U34" s="13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06:14:25-0600',mode:absolute,to:'2016-08-17 09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34" s="55" t="str">
        <f t="shared" si="6"/>
        <v>N</v>
      </c>
      <c r="X34" s="129">
        <f t="shared" si="7"/>
        <v>1</v>
      </c>
      <c r="Y34" s="70">
        <f t="shared" si="8"/>
        <v>23.288900000000002</v>
      </c>
      <c r="Z34" s="70">
        <f t="shared" si="9"/>
        <v>1.47E-2</v>
      </c>
      <c r="AA34" s="70">
        <f t="shared" si="10"/>
        <v>23.2742</v>
      </c>
      <c r="AB34" s="67" t="e">
        <f>VLOOKUP(A34,Enforcements!$C$7:$J$24,8,0)</f>
        <v>#N/A</v>
      </c>
      <c r="AC34" s="63" t="e">
        <f>VLOOKUP(A34,Enforcements!$C$7:$E$24,3,0)</f>
        <v>#N/A</v>
      </c>
      <c r="AD34" s="64" t="str">
        <f t="shared" si="11"/>
        <v>0122-17</v>
      </c>
      <c r="AE34" s="104" t="str">
        <f t="shared" si="12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34" s="101" t="str">
        <f t="shared" si="13"/>
        <v>"C:\Program Files (x86)\AstroGrep\AstroGrep.exe" /spath="%USERPROFILE%\AppData\Local\Temp\OnboardLogs" /stypes="*4004*20160817*" /stext=" 14:.+((SYSTEM_STATE.+slice.+state.+changed )|(ment ac)|(system.+state.+changed )|(\|lc)|(penalty)|(\[timeout)|(PRM\|1\|D)|(kpr)|(kdp))" /e /r /s</v>
      </c>
      <c r="AG34" s="1" t="str">
        <f t="shared" si="14"/>
        <v>EC</v>
      </c>
      <c r="AH34" s="105" t="str">
        <f t="shared" si="16"/>
        <v>"%USERPROFILE%\Documents\GitHub\eaglep3\Utilities\RefineRTDCRunTimes.py" --tripid 122-17 --locoid 4004 --swversion DE.1.0.7.0 --startMP 204:232889 --initTime 2016-08-17T07:14:25 --startdatetime 2016-08-17T07:15:47 --delay 1 --endMP 204:147 --enddatetime 2016-08-17T08:10:20 --enforcementcount 0</v>
      </c>
    </row>
    <row r="35" spans="1:34" s="1" customFormat="1" x14ac:dyDescent="0.25">
      <c r="A35" s="40" t="s">
        <v>360</v>
      </c>
      <c r="B35" s="7">
        <v>4014</v>
      </c>
      <c r="C35" s="25" t="s">
        <v>118</v>
      </c>
      <c r="D35" s="25" t="s">
        <v>155</v>
      </c>
      <c r="E35" s="16">
        <v>42599.275671296295</v>
      </c>
      <c r="F35" s="16">
        <v>42599.276724537034</v>
      </c>
      <c r="G35" s="7">
        <v>1</v>
      </c>
      <c r="H35" s="16" t="s">
        <v>361</v>
      </c>
      <c r="I35" s="16">
        <v>42599.308425925927</v>
      </c>
      <c r="J35" s="7">
        <v>0</v>
      </c>
      <c r="K35" s="142" t="str">
        <f t="shared" si="0"/>
        <v>4013/4014</v>
      </c>
      <c r="L35" s="25" t="str">
        <f>VLOOKUP(A35,'Trips&amp;Operators'!$C$1:$E$10000,3,FALSE)</f>
        <v>KILLION</v>
      </c>
      <c r="M35" s="6">
        <f t="shared" si="1"/>
        <v>3.1701388892543036E-2</v>
      </c>
      <c r="N35" s="7">
        <f t="shared" si="2"/>
        <v>45.650000005261973</v>
      </c>
      <c r="O35" s="7"/>
      <c r="P35" s="7"/>
      <c r="Q35" s="26"/>
      <c r="R35" s="26"/>
      <c r="S35" s="38">
        <f t="shared" si="3"/>
        <v>1</v>
      </c>
      <c r="T35" s="53" t="str">
        <f t="shared" si="4"/>
        <v>NorthBound</v>
      </c>
      <c r="U35" s="13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5" s="55" t="str">
        <f t="shared" si="6"/>
        <v>N</v>
      </c>
      <c r="X35" s="129">
        <f t="shared" si="7"/>
        <v>1</v>
      </c>
      <c r="Y35" s="70">
        <f t="shared" si="8"/>
        <v>4.5699999999999998E-2</v>
      </c>
      <c r="Z35" s="70">
        <f t="shared" si="9"/>
        <v>23.318999999999999</v>
      </c>
      <c r="AA35" s="70">
        <f t="shared" si="10"/>
        <v>23.273299999999999</v>
      </c>
      <c r="AB35" s="67" t="e">
        <f>VLOOKUP(A35,Enforcements!$C$7:$J$24,8,0)</f>
        <v>#N/A</v>
      </c>
      <c r="AC35" s="63" t="e">
        <f>VLOOKUP(A35,Enforcements!$C$7:$E$24,3,0)</f>
        <v>#N/A</v>
      </c>
      <c r="AD35" s="64" t="str">
        <f t="shared" si="11"/>
        <v>0123-17</v>
      </c>
      <c r="AE35" s="104" t="str">
        <f t="shared" si="12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35" s="101" t="str">
        <f t="shared" si="13"/>
        <v>"C:\Program Files (x86)\AstroGrep\AstroGrep.exe" /spath="%USERPROFILE%\AppData\Local\Temp\OnboardLogs" /stypes="*4014*20160817*"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5" t="str">
        <f t="shared" si="16"/>
        <v>"%USERPROFILE%\Documents\GitHub\eaglep3\Utilities\RefineRTDCRunTimes.py" --tripid 123-17 --locoid 4014 --swversion DE.1.0.7.0 --startMP 204:457 --initTime 2016-08-17T06:36:58 --startdatetime 2016-08-17T06:38:29 --delay 1 --endMP 204:233190 --enddatetime 2016-08-17T07:24:08 --enforcementcount 0</v>
      </c>
    </row>
    <row r="36" spans="1:34" s="1" customFormat="1" x14ac:dyDescent="0.25">
      <c r="A36" s="40" t="s">
        <v>696</v>
      </c>
      <c r="B36" s="7" t="s">
        <v>317</v>
      </c>
      <c r="C36" s="25" t="s">
        <v>118</v>
      </c>
      <c r="D36" s="25" t="s">
        <v>155</v>
      </c>
      <c r="E36" s="16">
        <v>42599.275671296295</v>
      </c>
      <c r="F36" s="16">
        <v>42599.276724537034</v>
      </c>
      <c r="G36" s="7">
        <v>1</v>
      </c>
      <c r="H36" s="16" t="s">
        <v>361</v>
      </c>
      <c r="I36" s="16">
        <v>42599.308425925927</v>
      </c>
      <c r="J36" s="7">
        <v>0</v>
      </c>
      <c r="K36" s="142" t="e">
        <f t="shared" ref="K36:K37" si="17">IF(ISEVEN(B36),(B36-1)&amp;"/"&amp;B36,B36&amp;"/"&amp;(B36+1))</f>
        <v>#VALUE!</v>
      </c>
      <c r="L36" s="25" t="e">
        <f>VLOOKUP(A36,'Trips&amp;Operators'!$C$1:$E$10000,3,FALSE)</f>
        <v>#N/A</v>
      </c>
      <c r="M36" s="6">
        <f t="shared" ref="M36:M37" si="18">I36-F36</f>
        <v>3.1701388892543036E-2</v>
      </c>
      <c r="N36" s="7"/>
      <c r="O36" s="7"/>
      <c r="P36" s="7">
        <v>1</v>
      </c>
      <c r="Q36" s="26"/>
      <c r="R36" s="26" t="s">
        <v>698</v>
      </c>
      <c r="S36" s="38"/>
      <c r="T36" s="53" t="str">
        <f t="shared" ref="T36:T37" si="19">IF(ISEVEN(LEFT(AD36,4)),"Southbound","NorthBound")</f>
        <v>Southbound</v>
      </c>
      <c r="U36" s="13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11" t="str">
        <f t="shared" ref="V36:V37" si="20"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</c>
      <c r="W36" s="55" t="str">
        <f t="shared" ref="W36:W37" si="21">IF(AA36&lt;IF(AG36="EC",23,5.65),"Y","N")</f>
        <v>N</v>
      </c>
      <c r="X36" s="129">
        <f t="shared" ref="X36:X45" si="22">VALUE(LEFT(AD36,4))-VALUE(LEFT(AD35,4))</f>
        <v>1</v>
      </c>
      <c r="Y36" s="70">
        <f t="shared" ref="Y36:Y37" si="23">RIGHT(D36,LEN(D36)-4)/10000</f>
        <v>4.5699999999999998E-2</v>
      </c>
      <c r="Z36" s="70">
        <f t="shared" ref="Z36:Z37" si="24">RIGHT(H36,LEN(H36)-4)/10000</f>
        <v>23.318999999999999</v>
      </c>
      <c r="AA36" s="70">
        <f t="shared" ref="AA36:AA37" si="25">ABS(Z36-Y36)</f>
        <v>23.273299999999999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ref="AD36:AD37" si="26">IF(LEN(A36)=6,"0"&amp;A36,A36)</f>
        <v>0124-17</v>
      </c>
      <c r="AE36" s="104" t="str">
        <f t="shared" si="12"/>
        <v>aws s3 cp s3://rtdc.mdm.uploadarchive/RTDC-/2016-08-17/ "%USERPROFILE%\AppData\Local\Temp\OnboardLogs"\RTDC-\2016-08-17 --recursive &amp; "%USERPROFILE%\Documents\GitHub\mrs-test-scripts\Headless Mode &amp; Sideloading\WalkAndUnGZ.bat" "%USERPROFILE%\AppData\Local\Temp\OnboardLogs"\RTDC-\2016-08-17 &amp; aws s3 cp s3://rtdc.mdm.uploadarchive/RTDC-/2016-08-18/ "%USERPROFILE%\AppData\Local\Temp\OnboardLogs"\RTDC-\2016-08-18 --recursive &amp; "%USERPROFILE%\Documents\GitHub\mrs-test-scripts\Headless Mode &amp; Sideloading\WalkAndUnGZ.bat" "%USERPROFILE%\AppData\Local\Temp\OnboardLogs"\RTDC-\2016-08-18</v>
      </c>
      <c r="AF36" s="101" t="str">
        <f t="shared" si="13"/>
        <v>"C:\Program Files (x86)\AstroGrep\AstroGrep.exe" /spath="%USERPROFILE%\AppData\Local\Temp\OnboardLogs" /stypes="*-*20160817*" /stext=" 13:.+((SYSTEM_STATE.+slice.+state.+changed )|(ment ac)|(system.+state.+changed )|(\|lc)|(penalty)|(\[timeout)|(PRM\|1\|D)|(kpr)|(kdp))" /e /r /s</v>
      </c>
      <c r="AG36" s="1" t="str">
        <f t="shared" ref="AG36:AG37" si="27">IFERROR(IF(VALUE(LEFT(AD36,2))&lt;=2,"EC",IF(OR(VALUE(LEFT(AD36,2))=8,VALUE(LEFT(AD36,2))=18),"NW","Other")),"Other")</f>
        <v>EC</v>
      </c>
      <c r="AH36" s="105" t="str">
        <f t="shared" ref="AH36:AH37" si="28"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</f>
        <v>"%USERPROFILE%\Documents\GitHub\eaglep3\Utilities\RefineRTDCRunTimes.py" --tripid 124-17 --locoid - --swversion DE.1.0.7.0 --startMP 204:457 --initTime 2016-08-17T06:36:58 --startdatetime 2016-08-17T06:38:29 --delay 1 --endMP 204:233190 --enddatetime 2016-08-17T07:24:08 --enforcementcount 0</v>
      </c>
    </row>
    <row r="37" spans="1:34" s="1" customFormat="1" x14ac:dyDescent="0.25">
      <c r="A37" s="40" t="s">
        <v>697</v>
      </c>
      <c r="B37" s="7" t="s">
        <v>317</v>
      </c>
      <c r="C37" s="25" t="s">
        <v>118</v>
      </c>
      <c r="D37" s="25" t="s">
        <v>155</v>
      </c>
      <c r="E37" s="16">
        <v>42599.275671296295</v>
      </c>
      <c r="F37" s="16">
        <v>42599.276724537034</v>
      </c>
      <c r="G37" s="7">
        <v>1</v>
      </c>
      <c r="H37" s="16" t="s">
        <v>361</v>
      </c>
      <c r="I37" s="16">
        <v>42599.308425925927</v>
      </c>
      <c r="J37" s="7">
        <v>0</v>
      </c>
      <c r="K37" s="142" t="e">
        <f t="shared" si="17"/>
        <v>#VALUE!</v>
      </c>
      <c r="L37" s="25" t="e">
        <f>VLOOKUP(A37,'Trips&amp;Operators'!$C$1:$E$10000,3,FALSE)</f>
        <v>#N/A</v>
      </c>
      <c r="M37" s="6">
        <f t="shared" si="18"/>
        <v>3.1701388892543036E-2</v>
      </c>
      <c r="N37" s="7"/>
      <c r="O37" s="7"/>
      <c r="P37" s="7">
        <v>1</v>
      </c>
      <c r="Q37" s="26"/>
      <c r="R37" s="26" t="s">
        <v>698</v>
      </c>
      <c r="S37" s="38"/>
      <c r="T37" s="53" t="str">
        <f t="shared" si="19"/>
        <v>NorthBound</v>
      </c>
      <c r="U37" s="13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</c>
      <c r="W37" s="55" t="str">
        <f t="shared" si="21"/>
        <v>N</v>
      </c>
      <c r="X37" s="129">
        <f t="shared" si="22"/>
        <v>1</v>
      </c>
      <c r="Y37" s="70">
        <f t="shared" si="23"/>
        <v>4.5699999999999998E-2</v>
      </c>
      <c r="Z37" s="70">
        <f t="shared" si="24"/>
        <v>23.318999999999999</v>
      </c>
      <c r="AA37" s="70">
        <f t="shared" si="25"/>
        <v>23.273299999999999</v>
      </c>
      <c r="AB37" s="67" t="e">
        <f>VLOOKUP(A37,Enforcements!$C$7:$J$24,8,0)</f>
        <v>#N/A</v>
      </c>
      <c r="AC37" s="63" t="e">
        <f>VLOOKUP(A37,Enforcements!$C$7:$E$24,3,0)</f>
        <v>#N/A</v>
      </c>
      <c r="AD37" s="64" t="str">
        <f t="shared" si="26"/>
        <v>0125-17</v>
      </c>
      <c r="AE37" s="104" t="str">
        <f t="shared" si="12"/>
        <v>aws s3 cp s3://rtdc.mdm.uploadarchive/RTDC-/2016-08-17/ "%USERPROFILE%\AppData\Local\Temp\OnboardLogs"\RTDC-\2016-08-17 --recursive &amp; "%USERPROFILE%\Documents\GitHub\mrs-test-scripts\Headless Mode &amp; Sideloading\WalkAndUnGZ.bat" "%USERPROFILE%\AppData\Local\Temp\OnboardLogs"\RTDC-\2016-08-17 &amp; aws s3 cp s3://rtdc.mdm.uploadarchive/RTDC-/2016-08-18/ "%USERPROFILE%\AppData\Local\Temp\OnboardLogs"\RTDC-\2016-08-18 --recursive &amp; "%USERPROFILE%\Documents\GitHub\mrs-test-scripts\Headless Mode &amp; Sideloading\WalkAndUnGZ.bat" "%USERPROFILE%\AppData\Local\Temp\OnboardLogs"\RTDC-\2016-08-18</v>
      </c>
      <c r="AF37" s="101" t="str">
        <f t="shared" si="13"/>
        <v>"C:\Program Files (x86)\AstroGrep\AstroGrep.exe" /spath="%USERPROFILE%\AppData\Local\Temp\OnboardLogs" /stypes="*-*20160817*" /stext=" 13:.+((SYSTEM_STATE.+slice.+state.+changed )|(ment ac)|(system.+state.+changed )|(\|lc)|(penalty)|(\[timeout)|(PRM\|1\|D)|(kpr)|(kdp))" /e /r /s</v>
      </c>
      <c r="AG37" s="1" t="str">
        <f t="shared" si="27"/>
        <v>EC</v>
      </c>
      <c r="AH37" s="105" t="str">
        <f t="shared" si="28"/>
        <v>"%USERPROFILE%\Documents\GitHub\eaglep3\Utilities\RefineRTDCRunTimes.py" --tripid 125-17 --locoid - --swversion DE.1.0.7.0 --startMP 204:457 --initTime 2016-08-17T06:36:58 --startdatetime 2016-08-17T06:38:29 --delay 1 --endMP 204:233190 --enddatetime 2016-08-17T07:24:08 --enforcementcount 0</v>
      </c>
    </row>
    <row r="38" spans="1:34" s="1" customFormat="1" x14ac:dyDescent="0.25">
      <c r="A38" s="40" t="s">
        <v>362</v>
      </c>
      <c r="B38" s="7">
        <v>4013</v>
      </c>
      <c r="C38" s="25" t="s">
        <v>118</v>
      </c>
      <c r="D38" s="25" t="s">
        <v>363</v>
      </c>
      <c r="E38" s="16">
        <v>42599.314849537041</v>
      </c>
      <c r="F38" s="16">
        <v>42599.317361111112</v>
      </c>
      <c r="G38" s="7">
        <v>3</v>
      </c>
      <c r="H38" s="16" t="s">
        <v>173</v>
      </c>
      <c r="I38" s="16">
        <v>42599.355358796296</v>
      </c>
      <c r="J38" s="7">
        <v>0</v>
      </c>
      <c r="K38" s="142" t="str">
        <f>IF(ISEVEN(B38),(B38-1)&amp;"/"&amp;B38,B38&amp;"/"&amp;(B38+1))</f>
        <v>4013/4014</v>
      </c>
      <c r="L38" s="25" t="str">
        <f>VLOOKUP(A38,'Trips&amp;Operators'!$C$1:$E$10000,3,FALSE)</f>
        <v>KILLION</v>
      </c>
      <c r="M38" s="6">
        <f>I38-F38</f>
        <v>3.7997685183654539E-2</v>
      </c>
      <c r="N38" s="7">
        <f>24*60*SUM($M38:$M38)</f>
        <v>54.716666664462537</v>
      </c>
      <c r="O38" s="7"/>
      <c r="P38" s="7"/>
      <c r="Q38" s="26"/>
      <c r="R38" s="26"/>
      <c r="S38" s="38">
        <f>SUM(U38:U38)/IF(AG38="EC",12,1)</f>
        <v>1</v>
      </c>
      <c r="T38" s="53" t="str">
        <f t="shared" ref="T38:T69" si="29">IF(ISEVEN(LEFT(AD38,4)),"Southbound","NorthBound")</f>
        <v>Southbound</v>
      </c>
      <c r="U38" s="13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1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https://search-rtdc-monitor-bjffxe2xuh6vdkpspy63sjmuny.us-east-1.es.amazonaws.com/_plugin/kibana/#/discover/Steve-Slow-Train-Analysis-(2080s-and-2083s)?_g=(refreshInterval:(display:Off,section:0,value:0),time:(from:'2016-08-17 06:33:23-0600',mode:absolute,to:'2016-08-17 09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8" s="55" t="str">
        <f>IF(AA38&lt;IF(AG38="EC",23,5.65),"Y","N")</f>
        <v>N</v>
      </c>
      <c r="X38" s="129">
        <f t="shared" si="22"/>
        <v>1</v>
      </c>
      <c r="Y38" s="70">
        <f>RIGHT(D38,LEN(D38)-4)/10000</f>
        <v>23.287299999999998</v>
      </c>
      <c r="Z38" s="70">
        <f>RIGHT(H38,LEN(H38)-4)/10000</f>
        <v>1.5599999999999999E-2</v>
      </c>
      <c r="AA38" s="70">
        <f>ABS(Z38-Y38)</f>
        <v>23.271699999999999</v>
      </c>
      <c r="AB38" s="67" t="e">
        <f>VLOOKUP(A38,Enforcements!$C$7:$J$24,8,0)</f>
        <v>#N/A</v>
      </c>
      <c r="AC38" s="63" t="e">
        <f>VLOOKUP(A38,Enforcements!$C$7:$E$24,3,0)</f>
        <v>#N/A</v>
      </c>
      <c r="AD38" s="64" t="str">
        <f t="shared" ref="AD38:AD69" si="30">IF(LEN(A38)=6,"0"&amp;A38,A38)</f>
        <v>0126-17</v>
      </c>
      <c r="AE38" s="104" t="str">
        <f t="shared" si="12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38" s="101" t="str">
        <f t="shared" si="13"/>
        <v>"C:\Program Files (x86)\AstroGrep\AstroGrep.exe" /spath="%USERPROFILE%\AppData\Local\Temp\OnboardLogs" /stypes="*4013*20160817*" /stext=" 14:.+((SYSTEM_STATE.+slice.+state.+changed )|(ment ac)|(system.+state.+changed )|(\|lc)|(penalty)|(\[timeout)|(PRM\|1\|D)|(kpr)|(kdp))" /e /r /s</v>
      </c>
      <c r="AG38" s="1" t="str">
        <f t="shared" ref="AG38:AG69" si="31">IFERROR(IF(VALUE(LEFT(AD38,2))&lt;=2,"EC",IF(OR(VALUE(LEFT(AD38,2))=8,VALUE(LEFT(AD38,2))=18),"NW","Other")),"Other")</f>
        <v>EC</v>
      </c>
      <c r="AH38" s="105" t="str">
        <f t="shared" si="16"/>
        <v>"%USERPROFILE%\Documents\GitHub\eaglep3\Utilities\RefineRTDCRunTimes.py" --tripid 126-17 --locoid 4013 --swversion DE.1.0.7.0 --startMP 204:232873 --initTime 2016-08-17T07:33:23 --startdatetime 2016-08-17T07:37:00 --delay 3 --endMP 204:156 --enddatetime 2016-08-17T08:31:43 --enforcementcount 0</v>
      </c>
    </row>
    <row r="39" spans="1:34" s="1" customFormat="1" x14ac:dyDescent="0.25">
      <c r="A39" s="40" t="s">
        <v>699</v>
      </c>
      <c r="B39" s="7" t="s">
        <v>317</v>
      </c>
      <c r="C39" s="25" t="s">
        <v>118</v>
      </c>
      <c r="D39" s="25" t="s">
        <v>155</v>
      </c>
      <c r="E39" s="16">
        <v>42599.275671296295</v>
      </c>
      <c r="F39" s="16">
        <v>42599.276724537034</v>
      </c>
      <c r="G39" s="7">
        <v>1</v>
      </c>
      <c r="H39" s="16" t="s">
        <v>361</v>
      </c>
      <c r="I39" s="16">
        <v>42599.308425925927</v>
      </c>
      <c r="J39" s="7">
        <v>0</v>
      </c>
      <c r="K39" s="142" t="e">
        <f t="shared" ref="K39:K40" si="32">IF(ISEVEN(B39),(B39-1)&amp;"/"&amp;B39,B39&amp;"/"&amp;(B39+1))</f>
        <v>#VALUE!</v>
      </c>
      <c r="L39" s="25" t="e">
        <f>VLOOKUP(A39,'Trips&amp;Operators'!$C$1:$E$10000,3,FALSE)</f>
        <v>#N/A</v>
      </c>
      <c r="M39" s="6">
        <f t="shared" ref="M39:M40" si="33">I39-F39</f>
        <v>3.1701388892543036E-2</v>
      </c>
      <c r="N39" s="7"/>
      <c r="O39" s="7"/>
      <c r="P39" s="7">
        <v>1</v>
      </c>
      <c r="Q39" s="26"/>
      <c r="R39" s="26" t="s">
        <v>698</v>
      </c>
      <c r="S39" s="38"/>
      <c r="T39" s="53" t="str">
        <f t="shared" si="29"/>
        <v>NorthBound</v>
      </c>
      <c r="U39" s="135"/>
      <c r="V39" s="111"/>
      <c r="W39" s="55"/>
      <c r="X39" s="129">
        <f t="shared" si="22"/>
        <v>1</v>
      </c>
      <c r="Y39" s="70"/>
      <c r="Z39" s="70"/>
      <c r="AA39" s="70"/>
      <c r="AB39" s="67"/>
      <c r="AC39" s="63"/>
      <c r="AD39" s="64" t="str">
        <f t="shared" si="30"/>
        <v>0127-17</v>
      </c>
      <c r="AE39" s="104"/>
      <c r="AF39" s="101"/>
      <c r="AG39" s="1" t="str">
        <f t="shared" si="31"/>
        <v>EC</v>
      </c>
      <c r="AH39" s="105"/>
    </row>
    <row r="40" spans="1:34" s="1" customFormat="1" x14ac:dyDescent="0.25">
      <c r="A40" s="40" t="s">
        <v>700</v>
      </c>
      <c r="B40" s="7" t="s">
        <v>317</v>
      </c>
      <c r="C40" s="25" t="s">
        <v>118</v>
      </c>
      <c r="D40" s="25" t="s">
        <v>155</v>
      </c>
      <c r="E40" s="16">
        <v>42599.275671296295</v>
      </c>
      <c r="F40" s="16">
        <v>42599.276724537034</v>
      </c>
      <c r="G40" s="7">
        <v>1</v>
      </c>
      <c r="H40" s="16" t="s">
        <v>361</v>
      </c>
      <c r="I40" s="16">
        <v>42599.308425925927</v>
      </c>
      <c r="J40" s="7">
        <v>0</v>
      </c>
      <c r="K40" s="142" t="e">
        <f t="shared" si="32"/>
        <v>#VALUE!</v>
      </c>
      <c r="L40" s="25" t="e">
        <f>VLOOKUP(A40,'Trips&amp;Operators'!$C$1:$E$10000,3,FALSE)</f>
        <v>#N/A</v>
      </c>
      <c r="M40" s="6">
        <f t="shared" si="33"/>
        <v>3.1701388892543036E-2</v>
      </c>
      <c r="N40" s="7"/>
      <c r="O40" s="7"/>
      <c r="P40" s="7">
        <v>1</v>
      </c>
      <c r="Q40" s="26"/>
      <c r="R40" s="26" t="s">
        <v>698</v>
      </c>
      <c r="S40" s="38"/>
      <c r="T40" s="53" t="str">
        <f t="shared" si="29"/>
        <v>Southbound</v>
      </c>
      <c r="U40" s="135"/>
      <c r="V40" s="111"/>
      <c r="W40" s="55"/>
      <c r="X40" s="129">
        <f t="shared" si="22"/>
        <v>1</v>
      </c>
      <c r="Y40" s="70"/>
      <c r="Z40" s="70"/>
      <c r="AA40" s="70"/>
      <c r="AB40" s="67"/>
      <c r="AC40" s="63"/>
      <c r="AD40" s="64" t="str">
        <f t="shared" si="30"/>
        <v>0128-17</v>
      </c>
      <c r="AE40" s="104"/>
      <c r="AF40" s="101"/>
      <c r="AG40" s="1" t="str">
        <f t="shared" si="31"/>
        <v>EC</v>
      </c>
      <c r="AH40" s="105"/>
    </row>
    <row r="41" spans="1:34" s="1" customFormat="1" x14ac:dyDescent="0.25">
      <c r="A41" s="40" t="s">
        <v>364</v>
      </c>
      <c r="B41" s="7">
        <v>4002</v>
      </c>
      <c r="C41" s="25" t="s">
        <v>118</v>
      </c>
      <c r="D41" s="25" t="s">
        <v>365</v>
      </c>
      <c r="E41" s="16">
        <v>42599.294166666667</v>
      </c>
      <c r="F41" s="16">
        <v>42599.295844907407</v>
      </c>
      <c r="G41" s="7">
        <v>2</v>
      </c>
      <c r="H41" s="16" t="s">
        <v>257</v>
      </c>
      <c r="I41" s="16">
        <v>42599.330370370371</v>
      </c>
      <c r="J41" s="7">
        <v>0</v>
      </c>
      <c r="K41" s="142" t="str">
        <f t="shared" ref="K41:K62" si="34">IF(ISEVEN(B41),(B41-1)&amp;"/"&amp;B41,B41&amp;"/"&amp;(B41+1))</f>
        <v>4001/4002</v>
      </c>
      <c r="L41" s="25" t="str">
        <f>VLOOKUP(A41,'Trips&amp;Operators'!$C$1:$E$10000,3,FALSE)</f>
        <v>ROCHA</v>
      </c>
      <c r="M41" s="6">
        <f t="shared" ref="M41:M62" si="35">I41-F41</f>
        <v>3.4525462964666076E-2</v>
      </c>
      <c r="N41" s="7">
        <f>24*60*SUM($M41:$M41)</f>
        <v>49.716666669119149</v>
      </c>
      <c r="O41" s="7"/>
      <c r="P41" s="7"/>
      <c r="Q41" s="26"/>
      <c r="R41" s="26"/>
      <c r="S41" s="38">
        <f t="shared" ref="S41:S62" si="36">SUM(U41:U41)/IF(AG41="EC",12,1)</f>
        <v>1</v>
      </c>
      <c r="T41" s="53" t="str">
        <f t="shared" si="29"/>
        <v>NorthBound</v>
      </c>
      <c r="U41" s="13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1" t="str">
        <f t="shared" ref="V41:V62" si="37"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https://search-rtdc-monitor-bjffxe2xuh6vdkpspy63sjmuny.us-east-1.es.amazonaws.com/_plugin/kibana/#/discover/Steve-Slow-Train-Analysis-(2080s-and-2083s)?_g=(refreshInterval:(display:Off,section:0,value:0),time:(from:'2016-08-17 06:03:36-0600',mode:absolute,to:'2016-08-17 08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1" s="55" t="str">
        <f t="shared" ref="W41:W62" si="38">IF(AA41&lt;IF(AG41="EC",23,5.65),"Y","N")</f>
        <v>N</v>
      </c>
      <c r="X41" s="129">
        <f t="shared" si="22"/>
        <v>1</v>
      </c>
      <c r="Y41" s="70">
        <f t="shared" ref="Y41:Y62" si="39">RIGHT(D41,LEN(D41)-4)/10000</f>
        <v>4.7800000000000002E-2</v>
      </c>
      <c r="Z41" s="70">
        <f t="shared" ref="Z41:Z62" si="40">RIGHT(H41,LEN(H41)-4)/10000</f>
        <v>23.331800000000001</v>
      </c>
      <c r="AA41" s="70">
        <f t="shared" ref="AA41:AA62" si="41">ABS(Z41-Y41)</f>
        <v>23.284000000000002</v>
      </c>
      <c r="AB41" s="67" t="e">
        <f>VLOOKUP(A41,Enforcements!$C$7:$J$24,8,0)</f>
        <v>#N/A</v>
      </c>
      <c r="AC41" s="63" t="e">
        <f>VLOOKUP(A41,Enforcements!$C$7:$E$24,3,0)</f>
        <v>#N/A</v>
      </c>
      <c r="AD41" s="64" t="str">
        <f t="shared" si="30"/>
        <v>0129-17</v>
      </c>
      <c r="AE41" s="104" t="str">
        <f t="shared" ref="AE41:AE62" si="42"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41" s="101" t="str">
        <f t="shared" ref="AF41:AF62" si="43">astrogrep_path&amp;" /spath="&amp;search_path&amp;" /stypes=""*"&amp;B41&amp;"*"&amp;TEXT(I41-utc_offset/24,"YYYYMMDD")&amp;"*"" /stext="" "&amp;TEXT(I41-utc_offset/24,"HH")&amp;search_regexp&amp;""" /e /r /s"</f>
        <v>"C:\Program Files (x86)\AstroGrep\AstroGrep.exe" /spath="%USERPROFILE%\AppData\Local\Temp\OnboardLogs" /stypes="*4002*20160817*" /stext=" 13:.+((SYSTEM_STATE.+slice.+state.+changed )|(ment ac)|(system.+state.+changed )|(\|lc)|(penalty)|(\[timeout)|(PRM\|1\|D)|(kpr)|(kdp))" /e /r /s</v>
      </c>
      <c r="AG41" s="1" t="str">
        <f t="shared" si="31"/>
        <v>EC</v>
      </c>
      <c r="AH41" s="105" t="str">
        <f t="shared" si="16"/>
        <v>"%USERPROFILE%\Documents\GitHub\eaglep3\Utilities\RefineRTDCRunTimes.py" --tripid 129-17 --locoid 4002 --swversion DE.1.0.7.0 --startMP 204:478 --initTime 2016-08-17T07:03:36 --startdatetime 2016-08-17T07:06:01 --delay 2 --endMP 204:233318 --enddatetime 2016-08-17T07:55:44 --enforcementcount 0</v>
      </c>
    </row>
    <row r="42" spans="1:34" s="1" customFormat="1" x14ac:dyDescent="0.25">
      <c r="A42" s="40" t="s">
        <v>686</v>
      </c>
      <c r="B42" s="7">
        <v>4001</v>
      </c>
      <c r="C42" s="25" t="s">
        <v>118</v>
      </c>
      <c r="D42" s="25" t="s">
        <v>155</v>
      </c>
      <c r="E42" s="16">
        <v>42599.275671296295</v>
      </c>
      <c r="F42" s="16">
        <v>42599.337210648147</v>
      </c>
      <c r="G42" s="7">
        <v>2</v>
      </c>
      <c r="H42" s="16" t="s">
        <v>257</v>
      </c>
      <c r="I42" s="16">
        <v>42599.338900462964</v>
      </c>
      <c r="J42" s="7">
        <v>0</v>
      </c>
      <c r="K42" s="142" t="str">
        <f t="shared" si="34"/>
        <v>4001/4002</v>
      </c>
      <c r="L42" s="25" t="str">
        <f>VLOOKUP(A42,'Trips&amp;Operators'!$C$1:$E$10000,3,FALSE)</f>
        <v>ROCHA</v>
      </c>
      <c r="M42" s="6">
        <f t="shared" si="35"/>
        <v>1.6898148169275373E-3</v>
      </c>
      <c r="N42" s="7"/>
      <c r="O42" s="7"/>
      <c r="P42" s="7">
        <f>24*60*SUM($M42:$M42)</f>
        <v>2.4333333363756537</v>
      </c>
      <c r="Q42" s="26"/>
      <c r="R42" s="26" t="s">
        <v>252</v>
      </c>
      <c r="S42" s="38">
        <f t="shared" si="36"/>
        <v>0</v>
      </c>
      <c r="T42" s="53" t="str">
        <f t="shared" si="29"/>
        <v>Southbound</v>
      </c>
      <c r="U42" s="13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09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2" s="55" t="str">
        <f t="shared" si="38"/>
        <v>N</v>
      </c>
      <c r="X42" s="129">
        <f t="shared" si="22"/>
        <v>1</v>
      </c>
      <c r="Y42" s="70">
        <f t="shared" si="39"/>
        <v>4.5699999999999998E-2</v>
      </c>
      <c r="Z42" s="70">
        <f t="shared" si="40"/>
        <v>23.331800000000001</v>
      </c>
      <c r="AA42" s="70">
        <f t="shared" si="41"/>
        <v>23.286100000000001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30"/>
        <v>0130-17</v>
      </c>
      <c r="AE42" s="104" t="str">
        <f t="shared" si="42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42" s="101" t="str">
        <f t="shared" si="43"/>
        <v>"C:\Program Files (x86)\AstroGrep\AstroGrep.exe" /spath="%USERPROFILE%\AppData\Local\Temp\OnboardLogs" /stypes="*4001*20160817*" /stext=" 14:.+((SYSTEM_STATE.+slice.+state.+changed )|(ment ac)|(system.+state.+changed )|(\|lc)|(penalty)|(\[timeout)|(PRM\|1\|D)|(kpr)|(kdp))" /e /r /s</v>
      </c>
      <c r="AG42" s="1" t="str">
        <f t="shared" si="31"/>
        <v>EC</v>
      </c>
      <c r="AH42" s="105" t="str">
        <f t="shared" ref="AH42" si="44"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</f>
        <v>"%USERPROFILE%\Documents\GitHub\eaglep3\Utilities\RefineRTDCRunTimes.py" --tripid 130-17 --locoid 4001 --swversion DE.1.0.7.0 --startMP 204:457 --initTime 2016-08-17T06:36:58 --startdatetime 2016-08-17T08:05:35 --delay 2 --endMP 204:233318 --enddatetime 2016-08-17T08:08:01 --enforcementcount 0</v>
      </c>
    </row>
    <row r="43" spans="1:34" s="1" customFormat="1" x14ac:dyDescent="0.25">
      <c r="A43" s="40" t="s">
        <v>366</v>
      </c>
      <c r="B43" s="7">
        <v>4027</v>
      </c>
      <c r="C43" s="25" t="s">
        <v>118</v>
      </c>
      <c r="D43" s="25" t="s">
        <v>152</v>
      </c>
      <c r="E43" s="16">
        <v>42599.305775462963</v>
      </c>
      <c r="F43" s="16">
        <v>42599.306828703702</v>
      </c>
      <c r="G43" s="7">
        <v>1</v>
      </c>
      <c r="H43" s="16" t="s">
        <v>261</v>
      </c>
      <c r="I43" s="16">
        <v>42599.340833333335</v>
      </c>
      <c r="J43" s="7">
        <v>0</v>
      </c>
      <c r="K43" s="142" t="str">
        <f t="shared" si="34"/>
        <v>4027/4028</v>
      </c>
      <c r="L43" s="25" t="str">
        <f>VLOOKUP(A43,'Trips&amp;Operators'!$C$1:$E$10000,3,FALSE)</f>
        <v>MAELZER</v>
      </c>
      <c r="M43" s="6">
        <f t="shared" si="35"/>
        <v>3.4004629633272998E-2</v>
      </c>
      <c r="N43" s="7">
        <f t="shared" ref="N43:N58" si="45">24*60*SUM($M43:$M43)</f>
        <v>48.966666671913117</v>
      </c>
      <c r="O43" s="7"/>
      <c r="P43" s="7"/>
      <c r="Q43" s="26"/>
      <c r="R43" s="26"/>
      <c r="S43" s="38">
        <f t="shared" si="36"/>
        <v>1</v>
      </c>
      <c r="T43" s="53" t="str">
        <f t="shared" si="29"/>
        <v>NorthBound</v>
      </c>
      <c r="U43" s="13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06:20:19-0600',mode:absolute,to:'2016-08-17 09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3" s="55" t="str">
        <f t="shared" si="38"/>
        <v>N</v>
      </c>
      <c r="X43" s="129">
        <f t="shared" si="22"/>
        <v>1</v>
      </c>
      <c r="Y43" s="70">
        <f t="shared" si="39"/>
        <v>4.6699999999999998E-2</v>
      </c>
      <c r="Z43" s="70">
        <f t="shared" si="40"/>
        <v>23.328099999999999</v>
      </c>
      <c r="AA43" s="70">
        <f t="shared" si="41"/>
        <v>23.281399999999998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30"/>
        <v>0131-17</v>
      </c>
      <c r="AE43" s="104" t="str">
        <f t="shared" si="42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43" s="101" t="str">
        <f t="shared" si="43"/>
        <v>"C:\Program Files (x86)\AstroGrep\AstroGrep.exe" /spath="%USERPROFILE%\AppData\Local\Temp\OnboardLogs" /stypes="*4027*20160817*" /stext=" 14:.+((SYSTEM_STATE.+slice.+state.+changed )|(ment ac)|(system.+state.+changed )|(\|lc)|(penalty)|(\[timeout)|(PRM\|1\|D)|(kpr)|(kdp))" /e /r /s</v>
      </c>
      <c r="AG43" s="1" t="str">
        <f t="shared" si="31"/>
        <v>EC</v>
      </c>
      <c r="AH43" s="105" t="str">
        <f t="shared" si="16"/>
        <v>"%USERPROFILE%\Documents\GitHub\eaglep3\Utilities\RefineRTDCRunTimes.py" --tripid 131-17 --locoid 4027 --swversion DE.1.0.7.0 --startMP 204:467 --initTime 2016-08-17T07:20:19 --startdatetime 2016-08-17T07:21:50 --delay 1 --endMP 204:233281 --enddatetime 2016-08-17T08:10:48 --enforcementcount 0</v>
      </c>
    </row>
    <row r="44" spans="1:34" s="1" customFormat="1" x14ac:dyDescent="0.25">
      <c r="A44" s="40" t="s">
        <v>367</v>
      </c>
      <c r="B44" s="7">
        <v>4028</v>
      </c>
      <c r="C44" s="25" t="s">
        <v>118</v>
      </c>
      <c r="D44" s="25" t="s">
        <v>368</v>
      </c>
      <c r="E44" s="16">
        <v>42599.345254629632</v>
      </c>
      <c r="F44" s="16">
        <v>42599.346134259256</v>
      </c>
      <c r="G44" s="7">
        <v>1</v>
      </c>
      <c r="H44" s="16" t="s">
        <v>369</v>
      </c>
      <c r="I44" s="16">
        <v>42599.381354166668</v>
      </c>
      <c r="J44" s="7">
        <v>0</v>
      </c>
      <c r="K44" s="142" t="str">
        <f t="shared" si="34"/>
        <v>4027/4028</v>
      </c>
      <c r="L44" s="25" t="str">
        <f>VLOOKUP(A44,'Trips&amp;Operators'!$C$1:$E$10000,3,FALSE)</f>
        <v>MAELZER</v>
      </c>
      <c r="M44" s="6">
        <f t="shared" si="35"/>
        <v>3.5219907411374152E-2</v>
      </c>
      <c r="N44" s="7">
        <f t="shared" si="45"/>
        <v>50.716666672378778</v>
      </c>
      <c r="O44" s="7"/>
      <c r="P44" s="7"/>
      <c r="Q44" s="26"/>
      <c r="R44" s="26"/>
      <c r="S44" s="38">
        <f t="shared" si="36"/>
        <v>1</v>
      </c>
      <c r="T44" s="53" t="str">
        <f t="shared" si="29"/>
        <v>Southbound</v>
      </c>
      <c r="U44" s="13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07:17:10-0600',mode:absolute,to:'2016-08-17 10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4" s="55" t="str">
        <f t="shared" si="38"/>
        <v>N</v>
      </c>
      <c r="X44" s="129">
        <f t="shared" si="22"/>
        <v>1</v>
      </c>
      <c r="Y44" s="70">
        <f t="shared" si="39"/>
        <v>23.3004</v>
      </c>
      <c r="Z44" s="70">
        <f t="shared" si="40"/>
        <v>1.4500000000000001E-2</v>
      </c>
      <c r="AA44" s="70">
        <f t="shared" si="41"/>
        <v>23.285899999999998</v>
      </c>
      <c r="AB44" s="67">
        <f>VLOOKUP(A44,Enforcements!$C$7:$J$24,8,0)</f>
        <v>30970</v>
      </c>
      <c r="AC44" s="63" t="str">
        <f>VLOOKUP(A44,Enforcements!$C$7:$E$24,3,0)</f>
        <v>GRADE CROSSING</v>
      </c>
      <c r="AD44" s="64" t="str">
        <f t="shared" si="30"/>
        <v>0132-17</v>
      </c>
      <c r="AE44" s="104" t="str">
        <f t="shared" si="42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44" s="101" t="str">
        <f t="shared" si="43"/>
        <v>"C:\Program Files (x86)\AstroGrep\AstroGrep.exe" /spath="%USERPROFILE%\AppData\Local\Temp\OnboardLogs" /stypes="*4028*20160817*" /stext=" 15:.+((SYSTEM_STATE.+slice.+state.+changed )|(ment ac)|(system.+state.+changed )|(\|lc)|(penalty)|(\[timeout)|(PRM\|1\|D)|(kpr)|(kdp))" /e /r /s</v>
      </c>
      <c r="AG44" s="1" t="str">
        <f t="shared" si="31"/>
        <v>EC</v>
      </c>
      <c r="AH44" s="105" t="str">
        <f t="shared" si="16"/>
        <v>"%USERPROFILE%\Documents\GitHub\eaglep3\Utilities\RefineRTDCRunTimes.py" --tripid 132-17 --locoid 4028 --swversion DE.1.0.7.0 --startMP 204:233004 --initTime 2016-08-17T08:17:10 --startdatetime 2016-08-17T08:18:26 --delay 1 --endMP 204:145 --enddatetime 2016-08-17T09:09:09 --enforcementcount 0</v>
      </c>
    </row>
    <row r="45" spans="1:34" s="1" customFormat="1" x14ac:dyDescent="0.25">
      <c r="A45" s="40" t="s">
        <v>370</v>
      </c>
      <c r="B45" s="7">
        <v>4018</v>
      </c>
      <c r="C45" s="25" t="s">
        <v>118</v>
      </c>
      <c r="D45" s="25" t="s">
        <v>209</v>
      </c>
      <c r="E45" s="16">
        <v>42599.321851851855</v>
      </c>
      <c r="F45" s="16">
        <v>42599.323530092595</v>
      </c>
      <c r="G45" s="7">
        <v>2</v>
      </c>
      <c r="H45" s="16" t="s">
        <v>371</v>
      </c>
      <c r="I45" s="16">
        <v>42599.358668981484</v>
      </c>
      <c r="J45" s="7">
        <v>0</v>
      </c>
      <c r="K45" s="142" t="str">
        <f t="shared" si="34"/>
        <v>4017/4018</v>
      </c>
      <c r="L45" s="25" t="str">
        <f>VLOOKUP(A45,'Trips&amp;Operators'!$C$1:$E$10000,3,FALSE)</f>
        <v>BRANNON</v>
      </c>
      <c r="M45" s="6">
        <f t="shared" si="35"/>
        <v>3.51388888884685E-2</v>
      </c>
      <c r="N45" s="7">
        <f t="shared" si="45"/>
        <v>50.59999999939464</v>
      </c>
      <c r="O45" s="7"/>
      <c r="P45" s="7"/>
      <c r="Q45" s="26"/>
      <c r="R45" s="26"/>
      <c r="S45" s="38">
        <f t="shared" si="36"/>
        <v>1</v>
      </c>
      <c r="T45" s="53" t="str">
        <f t="shared" si="29"/>
        <v>NorthBound</v>
      </c>
      <c r="U45" s="13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06:43:28-0600',mode:absolute,to:'2016-08-17 09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5" s="55" t="str">
        <f t="shared" si="38"/>
        <v>N</v>
      </c>
      <c r="X45" s="129">
        <f t="shared" si="22"/>
        <v>1</v>
      </c>
      <c r="Y45" s="70">
        <f t="shared" si="39"/>
        <v>4.4600000000000001E-2</v>
      </c>
      <c r="Z45" s="70">
        <f t="shared" si="40"/>
        <v>23.333400000000001</v>
      </c>
      <c r="AA45" s="70">
        <f t="shared" si="41"/>
        <v>23.288800000000002</v>
      </c>
      <c r="AB45" s="67">
        <f>VLOOKUP(A45,Enforcements!$C$7:$J$24,8,0)</f>
        <v>27052</v>
      </c>
      <c r="AC45" s="63" t="str">
        <f>VLOOKUP(A45,Enforcements!$C$7:$E$24,3,0)</f>
        <v>GRADE CROSSING</v>
      </c>
      <c r="AD45" s="64" t="str">
        <f t="shared" si="30"/>
        <v>0133-17</v>
      </c>
      <c r="AE45" s="104" t="str">
        <f t="shared" si="42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45" s="101" t="str">
        <f t="shared" si="43"/>
        <v>"C:\Program Files (x86)\AstroGrep\AstroGrep.exe" /spath="%USERPROFILE%\AppData\Local\Temp\OnboardLogs" /stypes="*4018*20160817*" /stext=" 14:.+((SYSTEM_STATE.+slice.+state.+changed )|(ment ac)|(system.+state.+changed )|(\|lc)|(penalty)|(\[timeout)|(PRM\|1\|D)|(kpr)|(kdp))" /e /r /s</v>
      </c>
      <c r="AG45" s="1" t="str">
        <f t="shared" si="31"/>
        <v>EC</v>
      </c>
      <c r="AH45" s="105" t="str">
        <f t="shared" si="16"/>
        <v>"%USERPROFILE%\Documents\GitHub\eaglep3\Utilities\RefineRTDCRunTimes.py" --tripid 133-17 --locoid 4018 --swversion DE.1.0.7.0 --startMP 204:446 --initTime 2016-08-17T07:43:28 --startdatetime 2016-08-17T07:45:53 --delay 2 --endMP 204:233334 --enddatetime 2016-08-17T08:36:29 --enforcementcount 0</v>
      </c>
    </row>
    <row r="46" spans="1:34" s="1" customFormat="1" x14ac:dyDescent="0.25">
      <c r="A46" s="40" t="s">
        <v>372</v>
      </c>
      <c r="B46" s="7">
        <v>4017</v>
      </c>
      <c r="C46" s="25" t="s">
        <v>118</v>
      </c>
      <c r="D46" s="25" t="s">
        <v>258</v>
      </c>
      <c r="E46" s="16">
        <v>42599.36215277778</v>
      </c>
      <c r="F46" s="16">
        <v>42599.363136574073</v>
      </c>
      <c r="G46" s="7">
        <v>1</v>
      </c>
      <c r="H46" s="16" t="s">
        <v>373</v>
      </c>
      <c r="I46" s="16">
        <v>42599.4</v>
      </c>
      <c r="J46" s="7">
        <v>0</v>
      </c>
      <c r="K46" s="142" t="str">
        <f t="shared" si="34"/>
        <v>4017/4018</v>
      </c>
      <c r="L46" s="25" t="str">
        <f>VLOOKUP(A46,'Trips&amp;Operators'!$C$1:$E$10000,3,FALSE)</f>
        <v>BRANNON</v>
      </c>
      <c r="M46" s="6">
        <f t="shared" si="35"/>
        <v>3.6863425928459037E-2</v>
      </c>
      <c r="N46" s="7">
        <f t="shared" si="45"/>
        <v>53.083333336981013</v>
      </c>
      <c r="O46" s="7"/>
      <c r="P46" s="7"/>
      <c r="Q46" s="26"/>
      <c r="R46" s="26"/>
      <c r="S46" s="38">
        <f t="shared" si="36"/>
        <v>1</v>
      </c>
      <c r="T46" s="53" t="str">
        <f t="shared" si="29"/>
        <v>Southbound</v>
      </c>
      <c r="U46" s="13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6" s="55" t="str">
        <f t="shared" si="38"/>
        <v>N</v>
      </c>
      <c r="X46" s="129">
        <f t="shared" ref="X46:X47" si="46">VALUE(LEFT(AD46,4))-VALUE(LEFT(AD45,4))</f>
        <v>1</v>
      </c>
      <c r="Y46" s="70">
        <f t="shared" si="39"/>
        <v>23.298999999999999</v>
      </c>
      <c r="Z46" s="70">
        <f t="shared" si="40"/>
        <v>1.38E-2</v>
      </c>
      <c r="AA46" s="70">
        <f t="shared" si="41"/>
        <v>23.2852</v>
      </c>
      <c r="AB46" s="67">
        <f>VLOOKUP(A46,Enforcements!$C$7:$J$24,8,0)</f>
        <v>42961</v>
      </c>
      <c r="AC46" s="63" t="str">
        <f>VLOOKUP(A46,Enforcements!$C$7:$E$24,3,0)</f>
        <v>GRADE CROSSING</v>
      </c>
      <c r="AD46" s="64" t="str">
        <f t="shared" si="30"/>
        <v>0134-17</v>
      </c>
      <c r="AE46" s="104" t="str">
        <f t="shared" si="42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46" s="101" t="str">
        <f t="shared" si="43"/>
        <v>"C:\Program Files (x86)\AstroGrep\AstroGrep.exe" /spath="%USERPROFILE%\AppData\Local\Temp\OnboardLogs" /stypes="*4017*20160817*" /stext=" 15:.+((SYSTEM_STATE.+slice.+state.+changed )|(ment ac)|(system.+state.+changed )|(\|lc)|(penalty)|(\[timeout)|(PRM\|1\|D)|(kpr)|(kdp))" /e /r /s</v>
      </c>
      <c r="AG46" s="1" t="str">
        <f t="shared" si="31"/>
        <v>EC</v>
      </c>
      <c r="AH46" s="105" t="str">
        <f t="shared" si="16"/>
        <v>"%USERPROFILE%\Documents\GitHub\eaglep3\Utilities\RefineRTDCRunTimes.py" --tripid 134-17 --locoid 4017 --swversion DE.1.0.7.0 --startMP 204:232990 --initTime 2016-08-17T08:41:30 --startdatetime 2016-08-17T08:42:55 --delay 1 --endMP 204:138 --enddatetime 2016-08-17T09:36:00 --enforcementcount 0</v>
      </c>
    </row>
    <row r="47" spans="1:34" s="1" customFormat="1" x14ac:dyDescent="0.25">
      <c r="A47" s="40" t="s">
        <v>374</v>
      </c>
      <c r="B47" s="7">
        <v>4025</v>
      </c>
      <c r="C47" s="25" t="s">
        <v>118</v>
      </c>
      <c r="D47" s="25" t="s">
        <v>143</v>
      </c>
      <c r="E47" s="16">
        <v>42599.329814814817</v>
      </c>
      <c r="F47" s="16">
        <v>42599.331030092595</v>
      </c>
      <c r="G47" s="7">
        <v>1</v>
      </c>
      <c r="H47" s="16" t="s">
        <v>164</v>
      </c>
      <c r="I47" s="16">
        <v>42599.366423611114</v>
      </c>
      <c r="J47" s="7">
        <v>0</v>
      </c>
      <c r="K47" s="142" t="str">
        <f t="shared" si="34"/>
        <v>4025/4026</v>
      </c>
      <c r="L47" s="25" t="str">
        <f>VLOOKUP(A47,'Trips&amp;Operators'!$C$1:$E$10000,3,FALSE)</f>
        <v>ACKERMAN</v>
      </c>
      <c r="M47" s="6">
        <f t="shared" si="35"/>
        <v>3.5393518519413192E-2</v>
      </c>
      <c r="N47" s="7">
        <f t="shared" si="45"/>
        <v>50.966666667954996</v>
      </c>
      <c r="O47" s="7"/>
      <c r="P47" s="7"/>
      <c r="Q47" s="26"/>
      <c r="R47" s="26"/>
      <c r="S47" s="38">
        <f t="shared" si="36"/>
        <v>1</v>
      </c>
      <c r="T47" s="53" t="str">
        <f t="shared" si="29"/>
        <v>NorthBound</v>
      </c>
      <c r="U47" s="13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47" s="55" t="str">
        <f t="shared" si="38"/>
        <v>N</v>
      </c>
      <c r="X47" s="129">
        <f t="shared" si="46"/>
        <v>1</v>
      </c>
      <c r="Y47" s="70">
        <f t="shared" si="39"/>
        <v>4.4900000000000002E-2</v>
      </c>
      <c r="Z47" s="70">
        <f t="shared" si="40"/>
        <v>23.33</v>
      </c>
      <c r="AA47" s="70">
        <f t="shared" si="41"/>
        <v>23.2851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30"/>
        <v>0135-17</v>
      </c>
      <c r="AE47" s="104" t="str">
        <f t="shared" si="42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47" s="101" t="str">
        <f t="shared" si="43"/>
        <v>"C:\Program Files (x86)\AstroGrep\AstroGrep.exe" /spath="%USERPROFILE%\AppData\Local\Temp\OnboardLogs" /stypes="*4025*20160817*" /stext=" 14:.+((SYSTEM_STATE.+slice.+state.+changed )|(ment ac)|(system.+state.+changed )|(\|lc)|(penalty)|(\[timeout)|(PRM\|1\|D)|(kpr)|(kdp))" /e /r /s</v>
      </c>
      <c r="AG47" s="1" t="str">
        <f t="shared" si="31"/>
        <v>EC</v>
      </c>
      <c r="AH47" s="105" t="str">
        <f t="shared" si="16"/>
        <v>"%USERPROFILE%\Documents\GitHub\eaglep3\Utilities\RefineRTDCRunTimes.py" --tripid 135-17 --locoid 4025 --swversion DE.1.0.7.0 --startMP 204:449 --initTime 2016-08-17T07:54:56 --startdatetime 2016-08-17T07:56:41 --delay 1 --endMP 204:233300 --enddatetime 2016-08-17T08:47:39 --enforcementcount 0</v>
      </c>
    </row>
    <row r="48" spans="1:34" s="1" customFormat="1" x14ac:dyDescent="0.25">
      <c r="A48" s="40" t="s">
        <v>375</v>
      </c>
      <c r="B48" s="7">
        <v>4026</v>
      </c>
      <c r="C48" s="25" t="s">
        <v>118</v>
      </c>
      <c r="D48" s="25" t="s">
        <v>376</v>
      </c>
      <c r="E48" s="16">
        <v>42599.367824074077</v>
      </c>
      <c r="F48" s="16">
        <v>42599.36886574074</v>
      </c>
      <c r="G48" s="7">
        <v>1</v>
      </c>
      <c r="H48" s="16" t="s">
        <v>369</v>
      </c>
      <c r="I48" s="16">
        <v>42599.405729166669</v>
      </c>
      <c r="J48" s="7">
        <v>0</v>
      </c>
      <c r="K48" s="142" t="str">
        <f t="shared" si="34"/>
        <v>4025/4026</v>
      </c>
      <c r="L48" s="25" t="str">
        <f>VLOOKUP(A48,'Trips&amp;Operators'!$C$1:$E$10000,3,FALSE)</f>
        <v>ACKERMAN</v>
      </c>
      <c r="M48" s="6">
        <f t="shared" si="35"/>
        <v>3.6863425928459037E-2</v>
      </c>
      <c r="N48" s="7">
        <f t="shared" si="45"/>
        <v>53.083333336981013</v>
      </c>
      <c r="O48" s="7"/>
      <c r="P48" s="7"/>
      <c r="Q48" s="26"/>
      <c r="R48" s="26"/>
      <c r="S48" s="38">
        <f t="shared" si="36"/>
        <v>1</v>
      </c>
      <c r="T48" s="53" t="str">
        <f t="shared" si="29"/>
        <v>Southbound</v>
      </c>
      <c r="U48" s="13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07:49:40-0600',mode:absolute,to:'2016-08-17 10:44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8" s="55" t="str">
        <f t="shared" si="38"/>
        <v>N</v>
      </c>
      <c r="X48" s="129">
        <f t="shared" ref="X48:X61" si="47">VALUE(LEFT(AD48,4))-VALUE(LEFT(AD47,4))</f>
        <v>1</v>
      </c>
      <c r="Y48" s="70">
        <f t="shared" si="39"/>
        <v>23.2974</v>
      </c>
      <c r="Z48" s="70">
        <f t="shared" si="40"/>
        <v>1.4500000000000001E-2</v>
      </c>
      <c r="AA48" s="70">
        <f t="shared" si="41"/>
        <v>23.282899999999998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30"/>
        <v>0136-17</v>
      </c>
      <c r="AE48" s="104" t="str">
        <f t="shared" si="42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48" s="101" t="str">
        <f t="shared" si="43"/>
        <v>"C:\Program Files (x86)\AstroGrep\AstroGrep.exe" /spath="%USERPROFILE%\AppData\Local\Temp\OnboardLogs" /stypes="*4026*20160817*" /stext=" 15:.+((SYSTEM_STATE.+slice.+state.+changed )|(ment ac)|(system.+state.+changed )|(\|lc)|(penalty)|(\[timeout)|(PRM\|1\|D)|(kpr)|(kdp))" /e /r /s</v>
      </c>
      <c r="AG48" s="1" t="str">
        <f t="shared" si="31"/>
        <v>EC</v>
      </c>
      <c r="AH48" s="105" t="str">
        <f t="shared" si="16"/>
        <v>"%USERPROFILE%\Documents\GitHub\eaglep3\Utilities\RefineRTDCRunTimes.py" --tripid 136-17 --locoid 4026 --swversion DE.1.0.7.0 --startMP 204:232974 --initTime 2016-08-17T08:49:40 --startdatetime 2016-08-17T08:51:10 --delay 1 --endMP 204:145 --enddatetime 2016-08-17T09:44:15 --enforcementcount 0</v>
      </c>
    </row>
    <row r="49" spans="1:34" s="1" customFormat="1" x14ac:dyDescent="0.25">
      <c r="A49" s="40" t="s">
        <v>377</v>
      </c>
      <c r="B49" s="7">
        <v>4009</v>
      </c>
      <c r="C49" s="25" t="s">
        <v>118</v>
      </c>
      <c r="D49" s="25" t="s">
        <v>114</v>
      </c>
      <c r="E49" s="16">
        <v>42599.336539351854</v>
      </c>
      <c r="F49" s="16">
        <v>42599.337442129632</v>
      </c>
      <c r="G49" s="7">
        <v>1</v>
      </c>
      <c r="H49" s="16" t="s">
        <v>230</v>
      </c>
      <c r="I49" s="16">
        <v>42599.379374999997</v>
      </c>
      <c r="J49" s="7">
        <v>0</v>
      </c>
      <c r="K49" s="142" t="str">
        <f t="shared" si="34"/>
        <v>4009/4010</v>
      </c>
      <c r="L49" s="25" t="str">
        <f>VLOOKUP(A49,'Trips&amp;Operators'!$C$1:$E$10000,3,FALSE)</f>
        <v>STRICKLAND</v>
      </c>
      <c r="M49" s="6">
        <f t="shared" si="35"/>
        <v>4.1932870364689734E-2</v>
      </c>
      <c r="N49" s="7">
        <f t="shared" si="45"/>
        <v>60.383333325153217</v>
      </c>
      <c r="O49" s="7"/>
      <c r="P49" s="7"/>
      <c r="Q49" s="26"/>
      <c r="R49" s="26"/>
      <c r="S49" s="38">
        <f t="shared" si="36"/>
        <v>1</v>
      </c>
      <c r="T49" s="53" t="str">
        <f t="shared" si="29"/>
        <v>NorthBound</v>
      </c>
      <c r="U49" s="13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07:04:37-0600',mode:absolute,to:'2016-08-17 10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9" s="55" t="str">
        <f t="shared" si="38"/>
        <v>N</v>
      </c>
      <c r="X49" s="129">
        <f t="shared" si="47"/>
        <v>1</v>
      </c>
      <c r="Y49" s="70">
        <f t="shared" si="39"/>
        <v>4.6199999999999998E-2</v>
      </c>
      <c r="Z49" s="70">
        <f t="shared" si="40"/>
        <v>23.3309</v>
      </c>
      <c r="AA49" s="70">
        <f t="shared" si="41"/>
        <v>23.284700000000001</v>
      </c>
      <c r="AB49" s="67" t="e">
        <f>VLOOKUP(A49,Enforcements!$C$7:$J$24,8,0)</f>
        <v>#N/A</v>
      </c>
      <c r="AC49" s="63" t="e">
        <f>VLOOKUP(A49,Enforcements!$C$7:$E$24,3,0)</f>
        <v>#N/A</v>
      </c>
      <c r="AD49" s="64" t="str">
        <f t="shared" si="30"/>
        <v>0137-17</v>
      </c>
      <c r="AE49" s="104" t="str">
        <f t="shared" si="42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49" s="101" t="str">
        <f t="shared" si="43"/>
        <v>"C:\Program Files (x86)\AstroGrep\AstroGrep.exe" /spath="%USERPROFILE%\AppData\Local\Temp\OnboardLogs" /stypes="*4009*20160817*" /stext=" 15:.+((SYSTEM_STATE.+slice.+state.+changed )|(ment ac)|(system.+state.+changed )|(\|lc)|(penalty)|(\[timeout)|(PRM\|1\|D)|(kpr)|(kdp))" /e /r /s</v>
      </c>
      <c r="AG49" s="1" t="str">
        <f t="shared" si="31"/>
        <v>EC</v>
      </c>
      <c r="AH49" s="105" t="str">
        <f t="shared" si="16"/>
        <v>"%USERPROFILE%\Documents\GitHub\eaglep3\Utilities\RefineRTDCRunTimes.py" --tripid 137-17 --locoid 4009 --swversion DE.1.0.7.0 --startMP 204:462 --initTime 2016-08-17T08:04:37 --startdatetime 2016-08-17T08:05:55 --delay 1 --endMP 204:233309 --enddatetime 2016-08-17T09:06:18 --enforcementcount 0</v>
      </c>
    </row>
    <row r="50" spans="1:34" s="1" customFormat="1" x14ac:dyDescent="0.25">
      <c r="A50" s="40" t="s">
        <v>378</v>
      </c>
      <c r="B50" s="7">
        <v>4010</v>
      </c>
      <c r="C50" s="25" t="s">
        <v>118</v>
      </c>
      <c r="D50" s="25" t="s">
        <v>225</v>
      </c>
      <c r="E50" s="16">
        <v>42599.381111111114</v>
      </c>
      <c r="F50" s="16">
        <v>42599.381886574076</v>
      </c>
      <c r="G50" s="7">
        <v>1</v>
      </c>
      <c r="H50" s="16" t="s">
        <v>369</v>
      </c>
      <c r="I50" s="16">
        <v>42599.417013888888</v>
      </c>
      <c r="J50" s="7">
        <v>0</v>
      </c>
      <c r="K50" s="142" t="str">
        <f t="shared" si="34"/>
        <v>4009/4010</v>
      </c>
      <c r="L50" s="25" t="str">
        <f>VLOOKUP(A50,'Trips&amp;Operators'!$C$1:$E$10000,3,FALSE)</f>
        <v>STRICKLAND</v>
      </c>
      <c r="M50" s="6">
        <f t="shared" si="35"/>
        <v>3.5127314811688848E-2</v>
      </c>
      <c r="N50" s="7">
        <f t="shared" si="45"/>
        <v>50.583333328831941</v>
      </c>
      <c r="O50" s="7"/>
      <c r="P50" s="7"/>
      <c r="Q50" s="26"/>
      <c r="R50" s="26"/>
      <c r="S50" s="38">
        <f t="shared" si="36"/>
        <v>1</v>
      </c>
      <c r="T50" s="53" t="str">
        <f t="shared" si="29"/>
        <v>Southbound</v>
      </c>
      <c r="U50" s="13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0" s="55" t="str">
        <f t="shared" si="38"/>
        <v>N</v>
      </c>
      <c r="X50" s="129">
        <f t="shared" si="47"/>
        <v>1</v>
      </c>
      <c r="Y50" s="70">
        <f t="shared" si="39"/>
        <v>23.2971</v>
      </c>
      <c r="Z50" s="70">
        <f t="shared" si="40"/>
        <v>1.4500000000000001E-2</v>
      </c>
      <c r="AA50" s="70">
        <f t="shared" si="41"/>
        <v>23.282599999999999</v>
      </c>
      <c r="AB50" s="67">
        <f>VLOOKUP(A50,Enforcements!$C$7:$J$24,8,0)</f>
        <v>4677</v>
      </c>
      <c r="AC50" s="63" t="str">
        <f>VLOOKUP(A50,Enforcements!$C$7:$E$24,3,0)</f>
        <v>PERMANENT SPEED RESTRICTION</v>
      </c>
      <c r="AD50" s="64" t="str">
        <f t="shared" si="30"/>
        <v>0138-17</v>
      </c>
      <c r="AE50" s="104" t="str">
        <f t="shared" si="42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50" s="101" t="str">
        <f t="shared" si="43"/>
        <v>"C:\Program Files (x86)\AstroGrep\AstroGrep.exe" /spath="%USERPROFILE%\AppData\Local\Temp\OnboardLogs" /stypes="*4010*20160817*" /stext=" 16:.+((SYSTEM_STATE.+slice.+state.+changed )|(ment ac)|(system.+state.+changed )|(\|lc)|(penalty)|(\[timeout)|(PRM\|1\|D)|(kpr)|(kdp))" /e /r /s</v>
      </c>
      <c r="AG50" s="1" t="str">
        <f t="shared" si="31"/>
        <v>EC</v>
      </c>
      <c r="AH50" s="105" t="str">
        <f t="shared" si="16"/>
        <v>"%USERPROFILE%\Documents\GitHub\eaglep3\Utilities\RefineRTDCRunTimes.py" --tripid 138-17 --locoid 4010 --swversion DE.1.0.7.0 --startMP 204:232971 --initTime 2016-08-17T09:08:48 --startdatetime 2016-08-17T09:09:55 --delay 1 --endMP 204:145 --enddatetime 2016-08-17T10:00:30 --enforcementcount 0</v>
      </c>
    </row>
    <row r="51" spans="1:34" s="1" customFormat="1" x14ac:dyDescent="0.25">
      <c r="A51" s="40" t="s">
        <v>379</v>
      </c>
      <c r="B51" s="7">
        <v>4003</v>
      </c>
      <c r="C51" s="25" t="s">
        <v>118</v>
      </c>
      <c r="D51" s="25" t="s">
        <v>380</v>
      </c>
      <c r="E51" s="16">
        <v>42599.349687499998</v>
      </c>
      <c r="F51" s="16">
        <v>42599.350960648146</v>
      </c>
      <c r="G51" s="7">
        <v>1</v>
      </c>
      <c r="H51" s="16" t="s">
        <v>330</v>
      </c>
      <c r="I51" s="16">
        <v>42599.509652777779</v>
      </c>
      <c r="J51" s="7">
        <v>0</v>
      </c>
      <c r="K51" s="142" t="str">
        <f t="shared" si="34"/>
        <v>4003/4004</v>
      </c>
      <c r="L51" s="25" t="str">
        <f>VLOOKUP(A51,'Trips&amp;Operators'!$C$1:$E$10000,3,FALSE)</f>
        <v>SPECTOR</v>
      </c>
      <c r="M51" s="6">
        <f t="shared" si="35"/>
        <v>0.15869212963298196</v>
      </c>
      <c r="N51" s="7">
        <f t="shared" si="45"/>
        <v>228.51666667149402</v>
      </c>
      <c r="O51" s="7"/>
      <c r="P51" s="7"/>
      <c r="Q51" s="26"/>
      <c r="R51" s="26"/>
      <c r="S51" s="38">
        <f t="shared" si="36"/>
        <v>1</v>
      </c>
      <c r="T51" s="53" t="str">
        <f t="shared" si="29"/>
        <v>NorthBound</v>
      </c>
      <c r="U51" s="13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07:23:33-0600',mode:absolute,to:'2016-08-17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51" s="55" t="str">
        <f t="shared" si="38"/>
        <v>N</v>
      </c>
      <c r="X51" s="129">
        <f t="shared" si="47"/>
        <v>1</v>
      </c>
      <c r="Y51" s="70">
        <f t="shared" si="39"/>
        <v>4.4699999999999997E-2</v>
      </c>
      <c r="Z51" s="70">
        <f t="shared" si="40"/>
        <v>23.328800000000001</v>
      </c>
      <c r="AA51" s="70">
        <f t="shared" si="41"/>
        <v>23.284100000000002</v>
      </c>
      <c r="AB51" s="67" t="e">
        <f>VLOOKUP(A51,Enforcements!$C$7:$J$24,8,0)</f>
        <v>#N/A</v>
      </c>
      <c r="AC51" s="63" t="e">
        <f>VLOOKUP(A51,Enforcements!$C$7:$E$24,3,0)</f>
        <v>#N/A</v>
      </c>
      <c r="AD51" s="64" t="str">
        <f t="shared" si="30"/>
        <v>0139-17</v>
      </c>
      <c r="AE51" s="104" t="str">
        <f t="shared" si="42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51" s="101" t="str">
        <f t="shared" si="43"/>
        <v>"C:\Program Files (x86)\AstroGrep\AstroGrep.exe" /spath="%USERPROFILE%\AppData\Local\Temp\OnboardLogs" /stypes="*4003*20160817*" /stext=" 18:.+((SYSTEM_STATE.+slice.+state.+changed )|(ment ac)|(system.+state.+changed )|(\|lc)|(penalty)|(\[timeout)|(PRM\|1\|D)|(kpr)|(kdp))" /e /r /s</v>
      </c>
      <c r="AG51" s="1" t="str">
        <f t="shared" si="31"/>
        <v>EC</v>
      </c>
      <c r="AH51" s="105" t="str">
        <f t="shared" si="16"/>
        <v>"%USERPROFILE%\Documents\GitHub\eaglep3\Utilities\RefineRTDCRunTimes.py" --tripid 139-17 --locoid 4003 --swversion DE.1.0.7.0 --startMP 204:447 --initTime 2016-08-17T08:23:33 --startdatetime 2016-08-17T08:25:23 --delay 1 --endMP 204:233288 --enddatetime 2016-08-17T12:13:54 --enforcementcount 0</v>
      </c>
    </row>
    <row r="52" spans="1:34" s="1" customFormat="1" x14ac:dyDescent="0.25">
      <c r="A52" s="40" t="s">
        <v>381</v>
      </c>
      <c r="B52" s="7">
        <v>4004</v>
      </c>
      <c r="C52" s="25" t="s">
        <v>118</v>
      </c>
      <c r="D52" s="25" t="s">
        <v>131</v>
      </c>
      <c r="E52" s="16">
        <v>42599.396145833336</v>
      </c>
      <c r="F52" s="16">
        <v>42599.397974537038</v>
      </c>
      <c r="G52" s="7">
        <v>2</v>
      </c>
      <c r="H52" s="16" t="s">
        <v>259</v>
      </c>
      <c r="I52" s="16">
        <v>42599.432546296295</v>
      </c>
      <c r="J52" s="7">
        <v>0</v>
      </c>
      <c r="K52" s="142" t="str">
        <f t="shared" si="34"/>
        <v>4003/4004</v>
      </c>
      <c r="L52" s="25" t="str">
        <f>VLOOKUP(A52,'Trips&amp;Operators'!$C$1:$E$10000,3,FALSE)</f>
        <v>SPECTOR</v>
      </c>
      <c r="M52" s="6">
        <f t="shared" si="35"/>
        <v>3.457175925723277E-2</v>
      </c>
      <c r="N52" s="7">
        <f t="shared" si="45"/>
        <v>49.783333330415189</v>
      </c>
      <c r="O52" s="7"/>
      <c r="P52" s="7"/>
      <c r="Q52" s="26"/>
      <c r="R52" s="26"/>
      <c r="S52" s="38">
        <f t="shared" si="36"/>
        <v>1</v>
      </c>
      <c r="T52" s="53" t="str">
        <f t="shared" si="29"/>
        <v>Southbound</v>
      </c>
      <c r="U52" s="13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08:30:27-0600',mode:absolute,to:'2016-08-17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52" s="55" t="str">
        <f t="shared" si="38"/>
        <v>N</v>
      </c>
      <c r="X52" s="129">
        <f t="shared" si="47"/>
        <v>1</v>
      </c>
      <c r="Y52" s="70">
        <f t="shared" si="39"/>
        <v>23.299800000000001</v>
      </c>
      <c r="Z52" s="70">
        <f t="shared" si="40"/>
        <v>0.1182</v>
      </c>
      <c r="AA52" s="70">
        <f t="shared" si="41"/>
        <v>23.1816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30"/>
        <v>0140-17</v>
      </c>
      <c r="AE52" s="104" t="str">
        <f t="shared" si="42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52" s="101" t="str">
        <f t="shared" si="43"/>
        <v>"C:\Program Files (x86)\AstroGrep\AstroGrep.exe" /spath="%USERPROFILE%\AppData\Local\Temp\OnboardLogs" /stypes="*4004*20160817*" /stext=" 16:.+((SYSTEM_STATE.+slice.+state.+changed )|(ment ac)|(system.+state.+changed )|(\|lc)|(penalty)|(\[timeout)|(PRM\|1\|D)|(kpr)|(kdp))" /e /r /s</v>
      </c>
      <c r="AG52" s="1" t="str">
        <f t="shared" si="31"/>
        <v>EC</v>
      </c>
      <c r="AH52" s="105" t="str">
        <f t="shared" si="16"/>
        <v>"%USERPROFILE%\Documents\GitHub\eaglep3\Utilities\RefineRTDCRunTimes.py" --tripid 140-17 --locoid 4004 --swversion DE.1.0.7.0 --startMP 204:232998 --initTime 2016-08-17T09:30:27 --startdatetime 2016-08-17T09:33:05 --delay 2 --endMP 204:1182 --enddatetime 2016-08-17T10:22:52 --enforcementcount 0</v>
      </c>
    </row>
    <row r="53" spans="1:34" s="1" customFormat="1" x14ac:dyDescent="0.25">
      <c r="A53" s="40" t="s">
        <v>382</v>
      </c>
      <c r="B53" s="7">
        <v>4014</v>
      </c>
      <c r="C53" s="25" t="s">
        <v>118</v>
      </c>
      <c r="D53" s="25" t="s">
        <v>132</v>
      </c>
      <c r="E53" s="16">
        <v>42599.362037037034</v>
      </c>
      <c r="F53" s="16">
        <v>42599.362997685188</v>
      </c>
      <c r="G53" s="7">
        <v>1</v>
      </c>
      <c r="H53" s="16" t="s">
        <v>330</v>
      </c>
      <c r="I53" s="16">
        <v>42599.398414351854</v>
      </c>
      <c r="J53" s="7">
        <v>0</v>
      </c>
      <c r="K53" s="142" t="str">
        <f t="shared" si="34"/>
        <v>4013/4014</v>
      </c>
      <c r="L53" s="25" t="str">
        <f>VLOOKUP(A53,'Trips&amp;Operators'!$C$1:$E$10000,3,FALSE)</f>
        <v>KILLION</v>
      </c>
      <c r="M53" s="6">
        <f t="shared" si="35"/>
        <v>3.5416666665696539E-2</v>
      </c>
      <c r="N53" s="7">
        <f t="shared" si="45"/>
        <v>50.999999998603016</v>
      </c>
      <c r="O53" s="7"/>
      <c r="P53" s="7"/>
      <c r="Q53" s="26"/>
      <c r="R53" s="26"/>
      <c r="S53" s="38">
        <f t="shared" si="36"/>
        <v>1</v>
      </c>
      <c r="T53" s="53" t="str">
        <f t="shared" si="29"/>
        <v>NorthBound</v>
      </c>
      <c r="U53" s="13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07:41:20-0600',mode:absolute,to:'2016-08-17 10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3" s="55" t="str">
        <f t="shared" si="38"/>
        <v>N</v>
      </c>
      <c r="X53" s="129">
        <f t="shared" si="47"/>
        <v>1</v>
      </c>
      <c r="Y53" s="70">
        <f t="shared" si="39"/>
        <v>4.5499999999999999E-2</v>
      </c>
      <c r="Z53" s="70">
        <f t="shared" si="40"/>
        <v>23.328800000000001</v>
      </c>
      <c r="AA53" s="70">
        <f t="shared" si="41"/>
        <v>23.283300000000001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30"/>
        <v>0141-17</v>
      </c>
      <c r="AE53" s="104" t="str">
        <f t="shared" si="42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53" s="101" t="str">
        <f t="shared" si="43"/>
        <v>"C:\Program Files (x86)\AstroGrep\AstroGrep.exe" /spath="%USERPROFILE%\AppData\Local\Temp\OnboardLogs" /stypes="*4014*20160817*" /stext=" 15:.+((SYSTEM_STATE.+slice.+state.+changed )|(ment ac)|(system.+state.+changed )|(\|lc)|(penalty)|(\[timeout)|(PRM\|1\|D)|(kpr)|(kdp))" /e /r /s</v>
      </c>
      <c r="AG53" s="1" t="str">
        <f t="shared" si="31"/>
        <v>EC</v>
      </c>
      <c r="AH53" s="105" t="str">
        <f t="shared" si="16"/>
        <v>"%USERPROFILE%\Documents\GitHub\eaglep3\Utilities\RefineRTDCRunTimes.py" --tripid 141-17 --locoid 4014 --swversion DE.1.0.7.0 --startMP 204:455 --initTime 2016-08-17T08:41:20 --startdatetime 2016-08-17T08:42:43 --delay 1 --endMP 204:233288 --enddatetime 2016-08-17T09:33:43 --enforcementcount 0</v>
      </c>
    </row>
    <row r="54" spans="1:34" s="1" customFormat="1" x14ac:dyDescent="0.25">
      <c r="A54" s="40" t="s">
        <v>383</v>
      </c>
      <c r="B54" s="7">
        <v>4013</v>
      </c>
      <c r="C54" s="25" t="s">
        <v>118</v>
      </c>
      <c r="D54" s="25" t="s">
        <v>271</v>
      </c>
      <c r="E54" s="16">
        <v>42599.40353009259</v>
      </c>
      <c r="F54" s="16">
        <v>42599.404363425929</v>
      </c>
      <c r="G54" s="7">
        <v>1</v>
      </c>
      <c r="H54" s="16" t="s">
        <v>144</v>
      </c>
      <c r="I54" s="16">
        <v>42599.437164351853</v>
      </c>
      <c r="J54" s="7">
        <v>0</v>
      </c>
      <c r="K54" s="142" t="str">
        <f t="shared" si="34"/>
        <v>4013/4014</v>
      </c>
      <c r="L54" s="25" t="str">
        <f>VLOOKUP(A54,'Trips&amp;Operators'!$C$1:$E$10000,3,FALSE)</f>
        <v>KILLION</v>
      </c>
      <c r="M54" s="6">
        <f t="shared" si="35"/>
        <v>3.2800925924675539E-2</v>
      </c>
      <c r="N54" s="7">
        <f t="shared" si="45"/>
        <v>47.233333331532776</v>
      </c>
      <c r="O54" s="7"/>
      <c r="P54" s="7"/>
      <c r="Q54" s="26"/>
      <c r="R54" s="26"/>
      <c r="S54" s="38">
        <f t="shared" si="36"/>
        <v>1</v>
      </c>
      <c r="T54" s="53" t="str">
        <f t="shared" si="29"/>
        <v>Southbound</v>
      </c>
      <c r="U54" s="13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08:41:05-0600',mode:absolute,to:'2016-08-17 11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4" s="55" t="str">
        <f t="shared" si="38"/>
        <v>N</v>
      </c>
      <c r="X54" s="129">
        <f t="shared" si="47"/>
        <v>1</v>
      </c>
      <c r="Y54" s="70">
        <f t="shared" si="39"/>
        <v>23.297999999999998</v>
      </c>
      <c r="Z54" s="70">
        <f t="shared" si="40"/>
        <v>1.49E-2</v>
      </c>
      <c r="AA54" s="70">
        <f t="shared" si="41"/>
        <v>23.283099999999997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30"/>
        <v>0142-17</v>
      </c>
      <c r="AE54" s="104" t="str">
        <f t="shared" si="42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54" s="101" t="str">
        <f t="shared" si="43"/>
        <v>"C:\Program Files (x86)\AstroGrep\AstroGrep.exe" /spath="%USERPROFILE%\AppData\Local\Temp\OnboardLogs" /stypes="*4013*20160817*" /stext=" 16:.+((SYSTEM_STATE.+slice.+state.+changed )|(ment ac)|(system.+state.+changed )|(\|lc)|(penalty)|(\[timeout)|(PRM\|1\|D)|(kpr)|(kdp))" /e /r /s</v>
      </c>
      <c r="AG54" s="1" t="str">
        <f t="shared" si="31"/>
        <v>EC</v>
      </c>
      <c r="AH54" s="105" t="str">
        <f t="shared" si="16"/>
        <v>"%USERPROFILE%\Documents\GitHub\eaglep3\Utilities\RefineRTDCRunTimes.py" --tripid 142-17 --locoid 4013 --swversion DE.1.0.7.0 --startMP 204:232980 --initTime 2016-08-17T09:41:05 --startdatetime 2016-08-17T09:42:17 --delay 1 --endMP 204:149 --enddatetime 2016-08-17T10:29:31 --enforcementcount 0</v>
      </c>
    </row>
    <row r="55" spans="1:34" s="1" customFormat="1" x14ac:dyDescent="0.25">
      <c r="A55" s="40" t="s">
        <v>384</v>
      </c>
      <c r="B55" s="7">
        <v>4020</v>
      </c>
      <c r="C55" s="25" t="s">
        <v>118</v>
      </c>
      <c r="D55" s="25" t="s">
        <v>166</v>
      </c>
      <c r="E55" s="16">
        <v>42599.368321759262</v>
      </c>
      <c r="F55" s="16">
        <v>42599.369560185187</v>
      </c>
      <c r="G55" s="7">
        <v>1</v>
      </c>
      <c r="H55" s="16" t="s">
        <v>385</v>
      </c>
      <c r="I55" s="16">
        <v>42599.411562499998</v>
      </c>
      <c r="J55" s="7">
        <v>0</v>
      </c>
      <c r="K55" s="142" t="str">
        <f t="shared" si="34"/>
        <v>4019/4020</v>
      </c>
      <c r="L55" s="25" t="str">
        <f>VLOOKUP(A55,'Trips&amp;Operators'!$C$1:$E$10000,3,FALSE)</f>
        <v>ROCHA</v>
      </c>
      <c r="M55" s="6">
        <f t="shared" si="35"/>
        <v>4.2002314810815733E-2</v>
      </c>
      <c r="N55" s="7">
        <f t="shared" si="45"/>
        <v>60.483333327574655</v>
      </c>
      <c r="O55" s="7"/>
      <c r="P55" s="7"/>
      <c r="Q55" s="26"/>
      <c r="R55" s="26"/>
      <c r="S55" s="38">
        <f t="shared" si="36"/>
        <v>1</v>
      </c>
      <c r="T55" s="53" t="str">
        <f t="shared" si="29"/>
        <v>NorthBound</v>
      </c>
      <c r="U55" s="13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07:50:23-0600',mode:absolute,to:'2016-08-17 10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5" s="55" t="str">
        <f t="shared" si="38"/>
        <v>N</v>
      </c>
      <c r="X55" s="129">
        <f t="shared" si="47"/>
        <v>1</v>
      </c>
      <c r="Y55" s="70">
        <f t="shared" si="39"/>
        <v>4.4200000000000003E-2</v>
      </c>
      <c r="Z55" s="70">
        <f t="shared" si="40"/>
        <v>23.328199999999999</v>
      </c>
      <c r="AA55" s="70">
        <f t="shared" si="41"/>
        <v>23.283999999999999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30"/>
        <v>0143-17</v>
      </c>
      <c r="AE55" s="104" t="str">
        <f t="shared" si="42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55" s="101" t="str">
        <f t="shared" si="43"/>
        <v>"C:\Program Files (x86)\AstroGrep\AstroGrep.exe" /spath="%USERPROFILE%\AppData\Local\Temp\OnboardLogs" /stypes="*4020*20160817*" /stext=" 15:.+((SYSTEM_STATE.+slice.+state.+changed )|(ment ac)|(system.+state.+changed )|(\|lc)|(penalty)|(\[timeout)|(PRM\|1\|D)|(kpr)|(kdp))" /e /r /s</v>
      </c>
      <c r="AG55" s="1" t="str">
        <f t="shared" si="31"/>
        <v>EC</v>
      </c>
      <c r="AH55" s="105" t="str">
        <f t="shared" si="16"/>
        <v>"%USERPROFILE%\Documents\GitHub\eaglep3\Utilities\RefineRTDCRunTimes.py" --tripid 143-17 --locoid 4020 --swversion DE.1.0.7.0 --startMP 204:442 --initTime 2016-08-17T08:50:23 --startdatetime 2016-08-17T08:52:10 --delay 1 --endMP 204:233282 --enddatetime 2016-08-17T09:52:39 --enforcementcount 0</v>
      </c>
    </row>
    <row r="56" spans="1:34" s="1" customFormat="1" x14ac:dyDescent="0.25">
      <c r="A56" s="40" t="s">
        <v>386</v>
      </c>
      <c r="B56" s="7">
        <v>4019</v>
      </c>
      <c r="C56" s="25" t="s">
        <v>118</v>
      </c>
      <c r="D56" s="25" t="s">
        <v>235</v>
      </c>
      <c r="E56" s="16">
        <v>42599.414074074077</v>
      </c>
      <c r="F56" s="16">
        <v>42599.415312500001</v>
      </c>
      <c r="G56" s="7">
        <v>1</v>
      </c>
      <c r="H56" s="16" t="s">
        <v>177</v>
      </c>
      <c r="I56" s="16">
        <v>42599.449259259258</v>
      </c>
      <c r="J56" s="7">
        <v>0</v>
      </c>
      <c r="K56" s="142" t="str">
        <f t="shared" si="34"/>
        <v>4019/4020</v>
      </c>
      <c r="L56" s="25" t="str">
        <f>VLOOKUP(A56,'Trips&amp;Operators'!$C$1:$E$10000,3,FALSE)</f>
        <v>ROCHA</v>
      </c>
      <c r="M56" s="6">
        <f t="shared" si="35"/>
        <v>3.3946759256650694E-2</v>
      </c>
      <c r="N56" s="7">
        <f t="shared" si="45"/>
        <v>48.883333329576999</v>
      </c>
      <c r="O56" s="7"/>
      <c r="P56" s="7"/>
      <c r="Q56" s="26"/>
      <c r="R56" s="26"/>
      <c r="S56" s="38">
        <f t="shared" si="36"/>
        <v>1</v>
      </c>
      <c r="T56" s="53" t="str">
        <f t="shared" si="29"/>
        <v>Southbound</v>
      </c>
      <c r="U56" s="13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08:56:16-0600',mode:absolute,to:'2016-08-17 11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6" s="55" t="str">
        <f t="shared" si="38"/>
        <v>N</v>
      </c>
      <c r="X56" s="129">
        <f t="shared" si="47"/>
        <v>1</v>
      </c>
      <c r="Y56" s="70">
        <f t="shared" si="39"/>
        <v>23.297499999999999</v>
      </c>
      <c r="Z56" s="70">
        <f t="shared" si="40"/>
        <v>1.54E-2</v>
      </c>
      <c r="AA56" s="70">
        <f t="shared" si="41"/>
        <v>23.2821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30"/>
        <v>0144-17</v>
      </c>
      <c r="AE56" s="104" t="str">
        <f t="shared" si="42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56" s="101" t="str">
        <f t="shared" si="43"/>
        <v>"C:\Program Files (x86)\AstroGrep\AstroGrep.exe" /spath="%USERPROFILE%\AppData\Local\Temp\OnboardLogs" /stypes="*4019*20160817*" /stext=" 16:.+((SYSTEM_STATE.+slice.+state.+changed )|(ment ac)|(system.+state.+changed )|(\|lc)|(penalty)|(\[timeout)|(PRM\|1\|D)|(kpr)|(kdp))" /e /r /s</v>
      </c>
      <c r="AG56" s="1" t="str">
        <f t="shared" si="31"/>
        <v>EC</v>
      </c>
      <c r="AH56" s="105" t="str">
        <f t="shared" si="16"/>
        <v>"%USERPROFILE%\Documents\GitHub\eaglep3\Utilities\RefineRTDCRunTimes.py" --tripid 144-17 --locoid 4019 --swversion DE.1.0.7.0 --startMP 204:232975 --initTime 2016-08-17T09:56:16 --startdatetime 2016-08-17T09:58:03 --delay 1 --endMP 204:154 --enddatetime 2016-08-17T10:46:56 --enforcementcount 0</v>
      </c>
    </row>
    <row r="57" spans="1:34" s="1" customFormat="1" x14ac:dyDescent="0.25">
      <c r="A57" s="40" t="s">
        <v>387</v>
      </c>
      <c r="B57" s="7">
        <v>4027</v>
      </c>
      <c r="C57" s="25" t="s">
        <v>118</v>
      </c>
      <c r="D57" s="25" t="s">
        <v>143</v>
      </c>
      <c r="E57" s="16">
        <v>42599.383032407408</v>
      </c>
      <c r="F57" s="16">
        <v>42599.384606481479</v>
      </c>
      <c r="G57" s="7">
        <v>2</v>
      </c>
      <c r="H57" s="16" t="s">
        <v>388</v>
      </c>
      <c r="I57" s="16">
        <v>42599.414224537039</v>
      </c>
      <c r="J57" s="7">
        <v>0</v>
      </c>
      <c r="K57" s="142" t="str">
        <f t="shared" si="34"/>
        <v>4027/4028</v>
      </c>
      <c r="L57" s="25" t="str">
        <f>VLOOKUP(A57,'Trips&amp;Operators'!$C$1:$E$10000,3,FALSE)</f>
        <v>MAELZER</v>
      </c>
      <c r="M57" s="6">
        <f t="shared" si="35"/>
        <v>2.9618055559694767E-2</v>
      </c>
      <c r="N57" s="7">
        <f t="shared" si="45"/>
        <v>42.650000005960464</v>
      </c>
      <c r="O57" s="7"/>
      <c r="P57" s="7"/>
      <c r="Q57" s="26"/>
      <c r="R57" s="26"/>
      <c r="S57" s="38">
        <f t="shared" si="36"/>
        <v>1</v>
      </c>
      <c r="T57" s="53" t="str">
        <f t="shared" si="29"/>
        <v>NorthBound</v>
      </c>
      <c r="U57" s="13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08:11:34-0600',mode:absolute,to:'2016-08-17 10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7" s="55" t="str">
        <f t="shared" si="38"/>
        <v>N</v>
      </c>
      <c r="X57" s="129">
        <f t="shared" si="47"/>
        <v>1</v>
      </c>
      <c r="Y57" s="70">
        <f t="shared" si="39"/>
        <v>4.4900000000000002E-2</v>
      </c>
      <c r="Z57" s="70">
        <f t="shared" si="40"/>
        <v>23.3325</v>
      </c>
      <c r="AA57" s="70">
        <f t="shared" si="41"/>
        <v>23.287600000000001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30"/>
        <v>0145-17</v>
      </c>
      <c r="AE57" s="104" t="str">
        <f t="shared" si="42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57" s="101" t="str">
        <f t="shared" si="43"/>
        <v>"C:\Program Files (x86)\AstroGrep\AstroGrep.exe" /spath="%USERPROFILE%\AppData\Local\Temp\OnboardLogs" /stypes="*4027*20160817*" /stext=" 15:.+((SYSTEM_STATE.+slice.+state.+changed )|(ment ac)|(system.+state.+changed )|(\|lc)|(penalty)|(\[timeout)|(PRM\|1\|D)|(kpr)|(kdp))" /e /r /s</v>
      </c>
      <c r="AG57" s="1" t="str">
        <f t="shared" si="31"/>
        <v>EC</v>
      </c>
      <c r="AH57" s="105" t="str">
        <f t="shared" si="16"/>
        <v>"%USERPROFILE%\Documents\GitHub\eaglep3\Utilities\RefineRTDCRunTimes.py" --tripid 145-17 --locoid 4027 --swversion DE.1.0.7.0 --startMP 204:449 --initTime 2016-08-17T09:11:34 --startdatetime 2016-08-17T09:13:50 --delay 2 --endMP 204:233325 --enddatetime 2016-08-17T09:56:29 --enforcementcount 0</v>
      </c>
    </row>
    <row r="58" spans="1:34" s="1" customFormat="1" x14ac:dyDescent="0.25">
      <c r="A58" s="40" t="s">
        <v>389</v>
      </c>
      <c r="B58" s="7">
        <v>4028</v>
      </c>
      <c r="C58" s="25" t="s">
        <v>118</v>
      </c>
      <c r="D58" s="25" t="s">
        <v>131</v>
      </c>
      <c r="E58" s="16">
        <v>42599.419189814813</v>
      </c>
      <c r="F58" s="16">
        <v>42599.420243055552</v>
      </c>
      <c r="G58" s="7">
        <v>1</v>
      </c>
      <c r="H58" s="16" t="s">
        <v>390</v>
      </c>
      <c r="I58" s="16">
        <v>42599.456597222219</v>
      </c>
      <c r="J58" s="7">
        <v>0</v>
      </c>
      <c r="K58" s="142" t="str">
        <f t="shared" si="34"/>
        <v>4027/4028</v>
      </c>
      <c r="L58" s="25" t="str">
        <f>VLOOKUP(A58,'Trips&amp;Operators'!$C$1:$E$10000,3,FALSE)</f>
        <v>MAELZER</v>
      </c>
      <c r="M58" s="6">
        <f t="shared" si="35"/>
        <v>3.6354166666569654E-2</v>
      </c>
      <c r="N58" s="7">
        <f t="shared" si="45"/>
        <v>52.349999999860302</v>
      </c>
      <c r="O58" s="7"/>
      <c r="P58" s="7"/>
      <c r="Q58" s="26"/>
      <c r="R58" s="26"/>
      <c r="S58" s="38">
        <f t="shared" si="36"/>
        <v>1</v>
      </c>
      <c r="T58" s="53" t="str">
        <f t="shared" si="29"/>
        <v>Southbound</v>
      </c>
      <c r="U58" s="13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09:03:38-0600',mode:absolute,to:'2016-08-17 11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8" s="55" t="str">
        <f t="shared" si="38"/>
        <v>N</v>
      </c>
      <c r="X58" s="129">
        <f t="shared" si="47"/>
        <v>1</v>
      </c>
      <c r="Y58" s="70">
        <f t="shared" si="39"/>
        <v>23.299800000000001</v>
      </c>
      <c r="Z58" s="70">
        <f t="shared" si="40"/>
        <v>1.72E-2</v>
      </c>
      <c r="AA58" s="70">
        <f t="shared" si="41"/>
        <v>23.282600000000002</v>
      </c>
      <c r="AB58" s="67">
        <f>VLOOKUP(A58,Enforcements!$C$7:$J$24,8,0)</f>
        <v>42961</v>
      </c>
      <c r="AC58" s="63" t="str">
        <f>VLOOKUP(A58,Enforcements!$C$7:$E$24,3,0)</f>
        <v>GRADE CROSSING</v>
      </c>
      <c r="AD58" s="64" t="str">
        <f t="shared" si="30"/>
        <v>0146-17</v>
      </c>
      <c r="AE58" s="104" t="str">
        <f t="shared" si="42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58" s="101" t="str">
        <f t="shared" si="43"/>
        <v>"C:\Program Files (x86)\AstroGrep\AstroGrep.exe" /spath="%USERPROFILE%\AppData\Local\Temp\OnboardLogs" /stypes="*4028*20160817*" /stext=" 16:.+((SYSTEM_STATE.+slice.+state.+changed )|(ment ac)|(system.+state.+changed )|(\|lc)|(penalty)|(\[timeout)|(PRM\|1\|D)|(kpr)|(kdp))" /e /r /s</v>
      </c>
      <c r="AG58" s="1" t="str">
        <f t="shared" si="31"/>
        <v>EC</v>
      </c>
      <c r="AH58" s="105" t="str">
        <f t="shared" si="16"/>
        <v>"%USERPROFILE%\Documents\GitHub\eaglep3\Utilities\RefineRTDCRunTimes.py" --tripid 146-17 --locoid 4028 --swversion DE.1.0.7.0 --startMP 204:232998 --initTime 2016-08-17T10:03:38 --startdatetime 2016-08-17T10:05:09 --delay 1 --endMP 204:172 --enddatetime 2016-08-17T10:57:30 --enforcementcount 0</v>
      </c>
    </row>
    <row r="59" spans="1:34" s="1" customFormat="1" x14ac:dyDescent="0.25">
      <c r="A59" s="40" t="s">
        <v>391</v>
      </c>
      <c r="B59" s="7">
        <v>4018</v>
      </c>
      <c r="C59" s="25" t="s">
        <v>118</v>
      </c>
      <c r="D59" s="25" t="s">
        <v>365</v>
      </c>
      <c r="E59" s="16">
        <v>42599.400682870371</v>
      </c>
      <c r="F59" s="16">
        <v>42599.401944444442</v>
      </c>
      <c r="G59" s="7">
        <v>1</v>
      </c>
      <c r="H59" s="16" t="s">
        <v>392</v>
      </c>
      <c r="I59" s="16">
        <v>42599.413124999999</v>
      </c>
      <c r="J59" s="7">
        <v>0</v>
      </c>
      <c r="K59" s="142" t="str">
        <f t="shared" si="34"/>
        <v>4017/4018</v>
      </c>
      <c r="L59" s="25" t="str">
        <f>VLOOKUP(A59,'Trips&amp;Operators'!$C$1:$E$10000,3,FALSE)</f>
        <v>BRANNON</v>
      </c>
      <c r="M59" s="6">
        <f t="shared" si="35"/>
        <v>1.1180555557075422E-2</v>
      </c>
      <c r="N59" s="7"/>
      <c r="O59" s="7"/>
      <c r="P59" s="7">
        <f>24*60*SUM($M59:$M59)</f>
        <v>16.100000002188608</v>
      </c>
      <c r="Q59" s="26"/>
      <c r="R59" s="26" t="s">
        <v>252</v>
      </c>
      <c r="S59" s="38">
        <f t="shared" si="36"/>
        <v>0.16666666666666666</v>
      </c>
      <c r="T59" s="53" t="str">
        <f t="shared" si="29"/>
        <v>NorthBound</v>
      </c>
      <c r="U59" s="13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2</v>
      </c>
      <c r="V59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08:36:59-0600',mode:absolute,to:'2016-08-17 10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9" s="55" t="str">
        <f t="shared" si="38"/>
        <v>Y</v>
      </c>
      <c r="X59" s="129">
        <f t="shared" si="47"/>
        <v>1</v>
      </c>
      <c r="Y59" s="70">
        <f t="shared" si="39"/>
        <v>4.7800000000000002E-2</v>
      </c>
      <c r="Z59" s="70">
        <f t="shared" si="40"/>
        <v>3.3193999999999999</v>
      </c>
      <c r="AA59" s="70">
        <f t="shared" si="41"/>
        <v>3.2715999999999998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30"/>
        <v>0147-17</v>
      </c>
      <c r="AE59" s="104" t="str">
        <f t="shared" si="42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59" s="101" t="str">
        <f t="shared" si="43"/>
        <v>"C:\Program Files (x86)\AstroGrep\AstroGrep.exe" /spath="%USERPROFILE%\AppData\Local\Temp\OnboardLogs" /stypes="*4018*20160817*" /stext=" 15:.+((SYSTEM_STATE.+slice.+state.+changed )|(ment ac)|(system.+state.+changed )|(\|lc)|(penalty)|(\[timeout)|(PRM\|1\|D)|(kpr)|(kdp))" /e /r /s</v>
      </c>
      <c r="AG59" s="1" t="str">
        <f t="shared" si="31"/>
        <v>EC</v>
      </c>
      <c r="AH59" s="105" t="str">
        <f t="shared" si="16"/>
        <v>"%USERPROFILE%\Documents\GitHub\eaglep3\Utilities\RefineRTDCRunTimes.py" --tripid 147-17 --locoid 4018 --swversion DE.1.0.7.0 --startMP 204:478 --initTime 2016-08-17T09:36:59 --startdatetime 2016-08-17T09:38:48 --delay 1 --endMP 204:33194 --enddatetime 2016-08-17T09:54:54 --enforcementcount 0</v>
      </c>
    </row>
    <row r="60" spans="1:34" s="1" customFormat="1" x14ac:dyDescent="0.25">
      <c r="A60" s="40" t="s">
        <v>393</v>
      </c>
      <c r="B60" s="7">
        <v>4017</v>
      </c>
      <c r="C60" s="25" t="s">
        <v>118</v>
      </c>
      <c r="D60" s="25" t="s">
        <v>260</v>
      </c>
      <c r="E60" s="16">
        <v>42599.442662037036</v>
      </c>
      <c r="F60" s="16">
        <v>42599.443749999999</v>
      </c>
      <c r="G60" s="7">
        <v>1</v>
      </c>
      <c r="H60" s="16" t="s">
        <v>177</v>
      </c>
      <c r="I60" s="16">
        <v>42599.691631944443</v>
      </c>
      <c r="J60" s="7">
        <v>0</v>
      </c>
      <c r="K60" s="142" t="str">
        <f t="shared" si="34"/>
        <v>4017/4018</v>
      </c>
      <c r="L60" s="25" t="str">
        <f>VLOOKUP(A60,'Trips&amp;Operators'!$C$1:$E$10000,3,FALSE)</f>
        <v>BRANNON</v>
      </c>
      <c r="M60" s="6">
        <f t="shared" si="35"/>
        <v>0.24788194444408873</v>
      </c>
      <c r="N60" s="7">
        <f>24*60*SUM($M60:$M60)</f>
        <v>356.94999999948777</v>
      </c>
      <c r="O60" s="7"/>
      <c r="P60" s="7"/>
      <c r="Q60" s="26"/>
      <c r="R60" s="26"/>
      <c r="S60" s="38">
        <f t="shared" si="36"/>
        <v>1</v>
      </c>
      <c r="T60" s="53" t="str">
        <f t="shared" si="29"/>
        <v>Southbound</v>
      </c>
      <c r="U60" s="13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09:37:26-0600',mode:absolute,to:'2016-08-17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0" s="55" t="str">
        <f t="shared" si="38"/>
        <v>N</v>
      </c>
      <c r="X60" s="129">
        <f t="shared" si="47"/>
        <v>1</v>
      </c>
      <c r="Y60" s="70">
        <f t="shared" si="39"/>
        <v>23.2973</v>
      </c>
      <c r="Z60" s="70">
        <f t="shared" si="40"/>
        <v>1.54E-2</v>
      </c>
      <c r="AA60" s="70">
        <f t="shared" si="41"/>
        <v>23.2819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30"/>
        <v>0148-17</v>
      </c>
      <c r="AE60" s="104" t="str">
        <f t="shared" si="42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60" s="101" t="str">
        <f t="shared" si="43"/>
        <v>"C:\Program Files (x86)\AstroGrep\AstroGrep.exe" /spath="%USERPROFILE%\AppData\Local\Temp\OnboardLogs" /stypes="*4017*20160817*" /stext=" 22:.+((SYSTEM_STATE.+slice.+state.+changed )|(ment ac)|(system.+state.+changed )|(\|lc)|(penalty)|(\[timeout)|(PRM\|1\|D)|(kpr)|(kdp))" /e /r /s</v>
      </c>
      <c r="AG60" s="1" t="str">
        <f t="shared" si="31"/>
        <v>EC</v>
      </c>
      <c r="AH60" s="105" t="str">
        <f t="shared" si="16"/>
        <v>"%USERPROFILE%\Documents\GitHub\eaglep3\Utilities\RefineRTDCRunTimes.py" --tripid 148-17 --locoid 4017 --swversion DE.1.0.7.0 --startMP 204:232973 --initTime 2016-08-17T10:37:26 --startdatetime 2016-08-17T10:39:00 --delay 1 --endMP 204:154 --enddatetime 2016-08-17T16:35:57 --enforcementcount 0</v>
      </c>
    </row>
    <row r="61" spans="1:34" s="1" customFormat="1" x14ac:dyDescent="0.25">
      <c r="A61" s="40" t="s">
        <v>394</v>
      </c>
      <c r="B61" s="7">
        <v>4025</v>
      </c>
      <c r="C61" s="25" t="s">
        <v>118</v>
      </c>
      <c r="D61" s="25" t="s">
        <v>336</v>
      </c>
      <c r="E61" s="16">
        <v>42599.409050925926</v>
      </c>
      <c r="F61" s="16">
        <v>42599.410162037035</v>
      </c>
      <c r="G61" s="7">
        <v>1</v>
      </c>
      <c r="H61" s="16" t="s">
        <v>267</v>
      </c>
      <c r="I61" s="16">
        <v>42599.448738425926</v>
      </c>
      <c r="J61" s="7">
        <v>0</v>
      </c>
      <c r="K61" s="142" t="str">
        <f t="shared" si="34"/>
        <v>4025/4026</v>
      </c>
      <c r="L61" s="25" t="str">
        <f>VLOOKUP(A61,'Trips&amp;Operators'!$C$1:$E$10000,3,FALSE)</f>
        <v>ACKERMAN</v>
      </c>
      <c r="M61" s="6">
        <f t="shared" si="35"/>
        <v>3.8576388891669922E-2</v>
      </c>
      <c r="N61" s="7">
        <f>24*60*SUM($M61:$M61)</f>
        <v>55.550000004004687</v>
      </c>
      <c r="O61" s="7"/>
      <c r="P61" s="7"/>
      <c r="Q61" s="26"/>
      <c r="R61" s="26"/>
      <c r="S61" s="38">
        <f t="shared" si="36"/>
        <v>1</v>
      </c>
      <c r="T61" s="53" t="str">
        <f t="shared" si="29"/>
        <v>NorthBound</v>
      </c>
      <c r="U61" s="13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08:49:02-0600',mode:absolute,to:'2016-08-17 11:46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1" s="55" t="str">
        <f t="shared" si="38"/>
        <v>N</v>
      </c>
      <c r="X61" s="129">
        <f t="shared" si="47"/>
        <v>1</v>
      </c>
      <c r="Y61" s="70">
        <f t="shared" si="39"/>
        <v>4.4400000000000002E-2</v>
      </c>
      <c r="Z61" s="70">
        <f t="shared" si="40"/>
        <v>23.331399999999999</v>
      </c>
      <c r="AA61" s="70">
        <f t="shared" si="41"/>
        <v>23.286999999999999</v>
      </c>
      <c r="AB61" s="67" t="e">
        <f>VLOOKUP(A61,Enforcements!$C$7:$J$24,8,0)</f>
        <v>#N/A</v>
      </c>
      <c r="AC61" s="63" t="e">
        <f>VLOOKUP(A61,Enforcements!$C$7:$E$24,3,0)</f>
        <v>#N/A</v>
      </c>
      <c r="AD61" s="64" t="str">
        <f t="shared" si="30"/>
        <v>0149-17</v>
      </c>
      <c r="AE61" s="104" t="str">
        <f t="shared" si="42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61" s="101" t="str">
        <f t="shared" si="43"/>
        <v>"C:\Program Files (x86)\AstroGrep\AstroGrep.exe" /spath="%USERPROFILE%\AppData\Local\Temp\OnboardLogs" /stypes="*4025*20160817*" /stext=" 16:.+((SYSTEM_STATE.+slice.+state.+changed )|(ment ac)|(system.+state.+changed )|(\|lc)|(penalty)|(\[timeout)|(PRM\|1\|D)|(kpr)|(kdp))" /e /r /s</v>
      </c>
      <c r="AG61" s="1" t="str">
        <f t="shared" si="31"/>
        <v>EC</v>
      </c>
      <c r="AH61" s="105" t="str">
        <f t="shared" si="16"/>
        <v>"%USERPROFILE%\Documents\GitHub\eaglep3\Utilities\RefineRTDCRunTimes.py" --tripid 149-17 --locoid 4025 --swversion DE.1.0.7.0 --startMP 204:444 --initTime 2016-08-17T09:49:02 --startdatetime 2016-08-17T09:50:38 --delay 1 --endMP 204:233314 --enddatetime 2016-08-17T10:46:11 --enforcementcount 0</v>
      </c>
    </row>
    <row r="62" spans="1:34" s="1" customFormat="1" x14ac:dyDescent="0.25">
      <c r="A62" s="40" t="s">
        <v>395</v>
      </c>
      <c r="B62" s="7">
        <v>4026</v>
      </c>
      <c r="C62" s="25" t="s">
        <v>118</v>
      </c>
      <c r="D62" s="25" t="s">
        <v>171</v>
      </c>
      <c r="E62" s="16">
        <v>42599.45</v>
      </c>
      <c r="F62" s="16">
        <v>42599.450787037036</v>
      </c>
      <c r="G62" s="7">
        <v>1</v>
      </c>
      <c r="H62" s="16" t="s">
        <v>396</v>
      </c>
      <c r="I62" s="16">
        <v>42599.487951388888</v>
      </c>
      <c r="J62" s="7">
        <v>0</v>
      </c>
      <c r="K62" s="142" t="str">
        <f t="shared" si="34"/>
        <v>4025/4026</v>
      </c>
      <c r="L62" s="25" t="str">
        <f>VLOOKUP(A62,'Trips&amp;Operators'!$C$1:$E$10000,3,FALSE)</f>
        <v>ACKERMAN</v>
      </c>
      <c r="M62" s="6">
        <f t="shared" si="35"/>
        <v>3.7164351851970423E-2</v>
      </c>
      <c r="N62" s="7">
        <f>24*60*SUM($M62:$M62)</f>
        <v>53.516666666837409</v>
      </c>
      <c r="O62" s="7"/>
      <c r="P62" s="7"/>
      <c r="Q62" s="26"/>
      <c r="R62" s="26"/>
      <c r="S62" s="38">
        <f t="shared" si="36"/>
        <v>1</v>
      </c>
      <c r="T62" s="53" t="str">
        <f t="shared" si="29"/>
        <v>Southbound</v>
      </c>
      <c r="U62" s="13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09:48:00-0600',mode:absolute,to:'2016-08-17 12:42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2" s="55" t="str">
        <f t="shared" si="38"/>
        <v>N</v>
      </c>
      <c r="X62" s="129">
        <f t="shared" ref="X62:X69" si="48">VALUE(LEFT(AD62,4))-VALUE(LEFT(AD61,4))</f>
        <v>1</v>
      </c>
      <c r="Y62" s="70">
        <f t="shared" si="39"/>
        <v>23.298500000000001</v>
      </c>
      <c r="Z62" s="70">
        <f t="shared" si="40"/>
        <v>1.34E-2</v>
      </c>
      <c r="AA62" s="70">
        <f t="shared" si="41"/>
        <v>23.2851</v>
      </c>
      <c r="AB62" s="67" t="e">
        <f>VLOOKUP(A62,Enforcements!$C$7:$J$24,8,0)</f>
        <v>#N/A</v>
      </c>
      <c r="AC62" s="63" t="e">
        <f>VLOOKUP(A62,Enforcements!$C$7:$E$24,3,0)</f>
        <v>#N/A</v>
      </c>
      <c r="AD62" s="64" t="str">
        <f t="shared" si="30"/>
        <v>0150-17</v>
      </c>
      <c r="AE62" s="104" t="str">
        <f t="shared" si="42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62" s="101" t="str">
        <f t="shared" si="43"/>
        <v>"C:\Program Files (x86)\AstroGrep\AstroGrep.exe" /spath="%USERPROFILE%\AppData\Local\Temp\OnboardLogs" /stypes="*4026*20160817*" /stext=" 17:.+((SYSTEM_STATE.+slice.+state.+changed )|(ment ac)|(system.+state.+changed )|(\|lc)|(penalty)|(\[timeout)|(PRM\|1\|D)|(kpr)|(kdp))" /e /r /s</v>
      </c>
      <c r="AG62" s="1" t="str">
        <f t="shared" si="31"/>
        <v>EC</v>
      </c>
      <c r="AH62" s="105" t="str">
        <f t="shared" si="16"/>
        <v>"%USERPROFILE%\Documents\GitHub\eaglep3\Utilities\RefineRTDCRunTimes.py" --tripid 150-17 --locoid 4026 --swversion DE.1.0.7.0 --startMP 204:232985 --initTime 2016-08-17T10:48:00 --startdatetime 2016-08-17T10:49:08 --delay 1 --endMP 204:134 --enddatetime 2016-08-17T11:42:39 --enforcementcount 0</v>
      </c>
    </row>
    <row r="63" spans="1:34" s="1" customFormat="1" x14ac:dyDescent="0.25">
      <c r="A63" s="40" t="s">
        <v>701</v>
      </c>
      <c r="B63" s="7" t="s">
        <v>317</v>
      </c>
      <c r="C63" s="25" t="s">
        <v>118</v>
      </c>
      <c r="D63" s="25" t="s">
        <v>155</v>
      </c>
      <c r="E63" s="16">
        <v>42599.275671296295</v>
      </c>
      <c r="F63" s="16">
        <v>42599.276724537034</v>
      </c>
      <c r="G63" s="7">
        <v>1</v>
      </c>
      <c r="H63" s="16" t="s">
        <v>361</v>
      </c>
      <c r="I63" s="16">
        <v>42599.308425925927</v>
      </c>
      <c r="J63" s="7">
        <v>0</v>
      </c>
      <c r="K63" s="142" t="e">
        <f t="shared" ref="K63:K64" si="49">IF(ISEVEN(B63),(B63-1)&amp;"/"&amp;B63,B63&amp;"/"&amp;(B63+1))</f>
        <v>#VALUE!</v>
      </c>
      <c r="L63" s="25" t="e">
        <f>VLOOKUP(A63,'Trips&amp;Operators'!$C$1:$E$10000,3,FALSE)</f>
        <v>#N/A</v>
      </c>
      <c r="M63" s="6">
        <f t="shared" ref="M63:M64" si="50">I63-F63</f>
        <v>3.1701388892543036E-2</v>
      </c>
      <c r="N63" s="7"/>
      <c r="O63" s="7"/>
      <c r="P63" s="7">
        <v>1</v>
      </c>
      <c r="Q63" s="26"/>
      <c r="R63" s="26" t="s">
        <v>698</v>
      </c>
      <c r="S63" s="38"/>
      <c r="T63" s="53" t="str">
        <f t="shared" si="29"/>
        <v>NorthBound</v>
      </c>
      <c r="U63" s="135"/>
      <c r="V63" s="111"/>
      <c r="W63" s="55"/>
      <c r="X63" s="129">
        <f t="shared" si="48"/>
        <v>1</v>
      </c>
      <c r="Y63" s="70"/>
      <c r="Z63" s="70"/>
      <c r="AA63" s="70"/>
      <c r="AB63" s="67"/>
      <c r="AC63" s="63"/>
      <c r="AD63" s="64" t="str">
        <f t="shared" si="30"/>
        <v>0151-17</v>
      </c>
      <c r="AE63" s="104"/>
      <c r="AF63" s="101"/>
      <c r="AG63" s="1" t="str">
        <f t="shared" si="31"/>
        <v>EC</v>
      </c>
      <c r="AH63" s="105"/>
    </row>
    <row r="64" spans="1:34" s="1" customFormat="1" x14ac:dyDescent="0.25">
      <c r="A64" s="40" t="s">
        <v>702</v>
      </c>
      <c r="B64" s="7" t="s">
        <v>317</v>
      </c>
      <c r="C64" s="25" t="s">
        <v>118</v>
      </c>
      <c r="D64" s="25" t="s">
        <v>155</v>
      </c>
      <c r="E64" s="16">
        <v>42599.275671296295</v>
      </c>
      <c r="F64" s="16">
        <v>42599.276724537034</v>
      </c>
      <c r="G64" s="7">
        <v>1</v>
      </c>
      <c r="H64" s="16" t="s">
        <v>361</v>
      </c>
      <c r="I64" s="16">
        <v>42599.308425925927</v>
      </c>
      <c r="J64" s="7">
        <v>0</v>
      </c>
      <c r="K64" s="142" t="e">
        <f t="shared" si="49"/>
        <v>#VALUE!</v>
      </c>
      <c r="L64" s="25" t="e">
        <f>VLOOKUP(A64,'Trips&amp;Operators'!$C$1:$E$10000,3,FALSE)</f>
        <v>#N/A</v>
      </c>
      <c r="M64" s="6">
        <f t="shared" si="50"/>
        <v>3.1701388892543036E-2</v>
      </c>
      <c r="N64" s="7"/>
      <c r="O64" s="7"/>
      <c r="P64" s="7">
        <v>1</v>
      </c>
      <c r="Q64" s="26"/>
      <c r="R64" s="26" t="s">
        <v>698</v>
      </c>
      <c r="S64" s="38"/>
      <c r="T64" s="53" t="str">
        <f t="shared" si="29"/>
        <v>Southbound</v>
      </c>
      <c r="U64" s="135"/>
      <c r="V64" s="111"/>
      <c r="W64" s="55"/>
      <c r="X64" s="129">
        <f t="shared" si="48"/>
        <v>1</v>
      </c>
      <c r="Y64" s="70"/>
      <c r="Z64" s="70"/>
      <c r="AA64" s="70"/>
      <c r="AB64" s="67"/>
      <c r="AC64" s="63"/>
      <c r="AD64" s="64" t="str">
        <f t="shared" si="30"/>
        <v>0152-17</v>
      </c>
      <c r="AE64" s="104"/>
      <c r="AF64" s="101"/>
      <c r="AG64" s="1" t="str">
        <f t="shared" si="31"/>
        <v>EC</v>
      </c>
      <c r="AH64" s="105"/>
    </row>
    <row r="65" spans="1:34" s="1" customFormat="1" x14ac:dyDescent="0.25">
      <c r="A65" s="40" t="s">
        <v>397</v>
      </c>
      <c r="B65" s="7">
        <v>4009</v>
      </c>
      <c r="C65" s="25" t="s">
        <v>118</v>
      </c>
      <c r="D65" s="25" t="s">
        <v>143</v>
      </c>
      <c r="E65" s="16">
        <v>42599.41982638889</v>
      </c>
      <c r="F65" s="16">
        <v>42599.421851851854</v>
      </c>
      <c r="G65" s="7">
        <v>2</v>
      </c>
      <c r="H65" s="16" t="s">
        <v>398</v>
      </c>
      <c r="I65" s="16">
        <v>42599.458854166667</v>
      </c>
      <c r="J65" s="7">
        <v>0</v>
      </c>
      <c r="K65" s="142" t="str">
        <f t="shared" ref="K65:K96" si="51">IF(ISEVEN(B65),(B65-1)&amp;"/"&amp;B65,B65&amp;"/"&amp;(B65+1))</f>
        <v>4009/4010</v>
      </c>
      <c r="L65" s="25" t="str">
        <f>VLOOKUP(A65,'Trips&amp;Operators'!$C$1:$E$10000,3,FALSE)</f>
        <v>STRICKLAND</v>
      </c>
      <c r="M65" s="6">
        <f t="shared" ref="M65:M96" si="52">I65-F65</f>
        <v>3.7002314813435078E-2</v>
      </c>
      <c r="N65" s="7">
        <f t="shared" ref="N65:N82" si="53">24*60*SUM($M65:$M65)</f>
        <v>53.283333331346512</v>
      </c>
      <c r="O65" s="7"/>
      <c r="P65" s="7"/>
      <c r="Q65" s="26"/>
      <c r="R65" s="26"/>
      <c r="S65" s="38">
        <f t="shared" ref="S65:S96" si="54">SUM(U65:U65)/IF(AG65="EC",12,1)</f>
        <v>1</v>
      </c>
      <c r="T65" s="53" t="str">
        <f t="shared" si="29"/>
        <v>NorthBound</v>
      </c>
      <c r="U65" s="13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1" t="str">
        <f t="shared" ref="V65:V96" si="55"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5" s="55" t="str">
        <f t="shared" ref="W65:W96" si="56">IF(AA65&lt;IF(AG65="EC",23,5.65),"Y","N")</f>
        <v>N</v>
      </c>
      <c r="X65" s="129">
        <f t="shared" si="48"/>
        <v>1</v>
      </c>
      <c r="Y65" s="70">
        <f t="shared" ref="Y65:Y96" si="57">RIGHT(D65,LEN(D65)-4)/10000</f>
        <v>4.4900000000000002E-2</v>
      </c>
      <c r="Z65" s="70">
        <f t="shared" ref="Z65:Z96" si="58">RIGHT(H65,LEN(H65)-4)/10000</f>
        <v>23.278600000000001</v>
      </c>
      <c r="AA65" s="70">
        <f t="shared" ref="AA65:AA96" si="59">ABS(Z65-Y65)</f>
        <v>23.233700000000002</v>
      </c>
      <c r="AB65" s="67" t="e">
        <f>VLOOKUP(A65,Enforcements!$C$7:$J$24,8,0)</f>
        <v>#N/A</v>
      </c>
      <c r="AC65" s="63" t="e">
        <f>VLOOKUP(A65,Enforcements!$C$7:$E$24,3,0)</f>
        <v>#N/A</v>
      </c>
      <c r="AD65" s="64" t="str">
        <f t="shared" si="30"/>
        <v>0153-17</v>
      </c>
      <c r="AE65" s="104" t="str">
        <f t="shared" ref="AE65:AE96" si="60"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65" s="101" t="str">
        <f t="shared" ref="AF65:AF96" si="61">astrogrep_path&amp;" /spath="&amp;search_path&amp;" /stypes=""*"&amp;B65&amp;"*"&amp;TEXT(I65-utc_offset/24,"YYYYMMDD")&amp;"*"" /stext="" "&amp;TEXT(I65-utc_offset/24,"HH")&amp;search_regexp&amp;""" /e /r /s"</f>
        <v>"C:\Program Files (x86)\AstroGrep\AstroGrep.exe" /spath="%USERPROFILE%\AppData\Local\Temp\OnboardLogs" /stypes="*4009*20160817*" /stext=" 17:.+((SYSTEM_STATE.+slice.+state.+changed )|(ment ac)|(system.+state.+changed )|(\|lc)|(penalty)|(\[timeout)|(PRM\|1\|D)|(kpr)|(kdp))" /e /r /s</v>
      </c>
      <c r="AG65" s="1" t="str">
        <f t="shared" si="31"/>
        <v>EC</v>
      </c>
      <c r="AH65" s="105" t="str">
        <f t="shared" si="16"/>
        <v>"%USERPROFILE%\Documents\GitHub\eaglep3\Utilities\RefineRTDCRunTimes.py" --tripid 153-17 --locoid 4009 --swversion DE.1.0.7.0 --startMP 204:449 --initTime 2016-08-17T10:04:33 --startdatetime 2016-08-17T10:07:28 --delay 2 --endMP 204:232786 --enddatetime 2016-08-17T11:00:45 --enforcementcount 0</v>
      </c>
    </row>
    <row r="66" spans="1:34" s="1" customFormat="1" x14ac:dyDescent="0.25">
      <c r="A66" s="40" t="s">
        <v>399</v>
      </c>
      <c r="B66" s="7">
        <v>4010</v>
      </c>
      <c r="C66" s="25" t="s">
        <v>118</v>
      </c>
      <c r="D66" s="25" t="s">
        <v>400</v>
      </c>
      <c r="E66" s="16">
        <v>42599.461724537039</v>
      </c>
      <c r="F66" s="16">
        <v>42599.462604166663</v>
      </c>
      <c r="G66" s="7">
        <v>1</v>
      </c>
      <c r="H66" s="16" t="s">
        <v>139</v>
      </c>
      <c r="I66" s="16">
        <v>42599.499050925922</v>
      </c>
      <c r="J66" s="7">
        <v>0</v>
      </c>
      <c r="K66" s="142" t="str">
        <f t="shared" si="51"/>
        <v>4009/4010</v>
      </c>
      <c r="L66" s="25" t="str">
        <f>VLOOKUP(A66,'Trips&amp;Operators'!$C$1:$E$10000,3,FALSE)</f>
        <v>STRICKLAND</v>
      </c>
      <c r="M66" s="6">
        <f t="shared" si="52"/>
        <v>3.6446759258979E-2</v>
      </c>
      <c r="N66" s="7">
        <f t="shared" si="53"/>
        <v>52.48333333292976</v>
      </c>
      <c r="O66" s="7"/>
      <c r="P66" s="7"/>
      <c r="Q66" s="26"/>
      <c r="R66" s="26"/>
      <c r="S66" s="38">
        <f t="shared" si="54"/>
        <v>1</v>
      </c>
      <c r="T66" s="53" t="str">
        <f t="shared" si="29"/>
        <v>Southbound</v>
      </c>
      <c r="U66" s="13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6" s="55" t="str">
        <f t="shared" si="56"/>
        <v>N</v>
      </c>
      <c r="X66" s="129">
        <f t="shared" si="48"/>
        <v>1</v>
      </c>
      <c r="Y66" s="70">
        <f t="shared" si="57"/>
        <v>23.296099999999999</v>
      </c>
      <c r="Z66" s="70">
        <f t="shared" si="58"/>
        <v>1.47E-2</v>
      </c>
      <c r="AA66" s="70">
        <f t="shared" si="59"/>
        <v>23.281399999999998</v>
      </c>
      <c r="AB66" s="67">
        <f>VLOOKUP(A66,Enforcements!$C$7:$J$24,8,0)</f>
        <v>30970</v>
      </c>
      <c r="AC66" s="63" t="str">
        <f>VLOOKUP(A66,Enforcements!$C$7:$E$24,3,0)</f>
        <v>GRADE CROSSING</v>
      </c>
      <c r="AD66" s="64" t="str">
        <f t="shared" si="30"/>
        <v>0154-17</v>
      </c>
      <c r="AE66" s="104" t="str">
        <f t="shared" si="60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66" s="101" t="str">
        <f t="shared" si="61"/>
        <v>"C:\Program Files (x86)\AstroGrep\AstroGrep.exe" /spath="%USERPROFILE%\AppData\Local\Temp\OnboardLogs" /stypes="*4010*20160817*" /stext=" 17:.+((SYSTEM_STATE.+slice.+state.+changed )|(ment ac)|(system.+state.+changed )|(\|lc)|(penalty)|(\[timeout)|(PRM\|1\|D)|(kpr)|(kdp))" /e /r /s</v>
      </c>
      <c r="AG66" s="1" t="str">
        <f t="shared" si="31"/>
        <v>EC</v>
      </c>
      <c r="AH66" s="105" t="str">
        <f t="shared" si="16"/>
        <v>"%USERPROFILE%\Documents\GitHub\eaglep3\Utilities\RefineRTDCRunTimes.py" --tripid 154-17 --locoid 4010 --swversion DE.1.0.7.0 --startMP 204:232961 --initTime 2016-08-17T11:04:53 --startdatetime 2016-08-17T11:06:09 --delay 1 --endMP 204:147 --enddatetime 2016-08-17T11:58:38 --enforcementcount 0</v>
      </c>
    </row>
    <row r="67" spans="1:34" s="1" customFormat="1" x14ac:dyDescent="0.25">
      <c r="A67" s="40" t="s">
        <v>401</v>
      </c>
      <c r="B67" s="7">
        <v>4002</v>
      </c>
      <c r="C67" s="25" t="s">
        <v>118</v>
      </c>
      <c r="D67" s="25" t="s">
        <v>151</v>
      </c>
      <c r="E67" s="16">
        <v>42599.432569444441</v>
      </c>
      <c r="F67" s="16">
        <v>42599.433738425927</v>
      </c>
      <c r="G67" s="7">
        <v>1</v>
      </c>
      <c r="H67" s="16" t="s">
        <v>141</v>
      </c>
      <c r="I67" s="16">
        <v>42599.470358796294</v>
      </c>
      <c r="J67" s="7">
        <v>0</v>
      </c>
      <c r="K67" s="142" t="str">
        <f t="shared" si="51"/>
        <v>4001/4002</v>
      </c>
      <c r="L67" s="25" t="str">
        <f>VLOOKUP(A67,'Trips&amp;Operators'!$C$1:$E$10000,3,FALSE)</f>
        <v>STARKS</v>
      </c>
      <c r="M67" s="6">
        <f t="shared" si="52"/>
        <v>3.662037036701804E-2</v>
      </c>
      <c r="N67" s="7">
        <f t="shared" si="53"/>
        <v>52.733333328505978</v>
      </c>
      <c r="O67" s="7"/>
      <c r="P67" s="7"/>
      <c r="Q67" s="26"/>
      <c r="R67" s="26"/>
      <c r="S67" s="38">
        <f t="shared" si="54"/>
        <v>1</v>
      </c>
      <c r="T67" s="53" t="str">
        <f t="shared" si="29"/>
        <v>NorthBound</v>
      </c>
      <c r="U67" s="13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09:22:54-0600',mode:absolute,to:'2016-08-17 12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67" s="55" t="str">
        <f t="shared" si="56"/>
        <v>N</v>
      </c>
      <c r="X67" s="129">
        <f t="shared" si="48"/>
        <v>1</v>
      </c>
      <c r="Y67" s="70">
        <f t="shared" si="57"/>
        <v>4.58E-2</v>
      </c>
      <c r="Z67" s="70">
        <f t="shared" si="58"/>
        <v>23.328900000000001</v>
      </c>
      <c r="AA67" s="70">
        <f t="shared" si="59"/>
        <v>23.283100000000001</v>
      </c>
      <c r="AB67" s="67">
        <f>VLOOKUP(A67,Enforcements!$C$7:$J$24,8,0)</f>
        <v>42779</v>
      </c>
      <c r="AC67" s="63" t="str">
        <f>VLOOKUP(A67,Enforcements!$C$7:$E$24,3,0)</f>
        <v>GRADE CROSSING</v>
      </c>
      <c r="AD67" s="64" t="str">
        <f t="shared" si="30"/>
        <v>0155-17</v>
      </c>
      <c r="AE67" s="104" t="str">
        <f t="shared" si="60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67" s="101" t="str">
        <f t="shared" si="61"/>
        <v>"C:\Program Files (x86)\AstroGrep\AstroGrep.exe" /spath="%USERPROFILE%\AppData\Local\Temp\OnboardLogs" /stypes="*4002*20160817*" /stext=" 17:.+((SYSTEM_STATE.+slice.+state.+changed )|(ment ac)|(system.+state.+changed )|(\|lc)|(penalty)|(\[timeout)|(PRM\|1\|D)|(kpr)|(kdp))" /e /r /s</v>
      </c>
      <c r="AG67" s="1" t="str">
        <f t="shared" si="31"/>
        <v>EC</v>
      </c>
      <c r="AH67" s="105" t="str">
        <f t="shared" si="16"/>
        <v>"%USERPROFILE%\Documents\GitHub\eaglep3\Utilities\RefineRTDCRunTimes.py" --tripid 155-17 --locoid 4002 --swversion DE.1.0.7.0 --startMP 204:458 --initTime 2016-08-17T10:22:54 --startdatetime 2016-08-17T10:24:35 --delay 1 --endMP 204:233289 --enddatetime 2016-08-17T11:17:19 --enforcementcount 0</v>
      </c>
    </row>
    <row r="68" spans="1:34" x14ac:dyDescent="0.25">
      <c r="A68" s="40" t="s">
        <v>402</v>
      </c>
      <c r="B68" s="7">
        <v>4001</v>
      </c>
      <c r="C68" s="25" t="s">
        <v>118</v>
      </c>
      <c r="D68" s="25" t="s">
        <v>224</v>
      </c>
      <c r="E68" s="16">
        <v>42599.475729166668</v>
      </c>
      <c r="F68" s="16">
        <v>42599.476574074077</v>
      </c>
      <c r="G68" s="7">
        <v>1</v>
      </c>
      <c r="H68" s="16" t="s">
        <v>403</v>
      </c>
      <c r="I68" s="16">
        <v>42599.508402777778</v>
      </c>
      <c r="J68" s="7">
        <v>0</v>
      </c>
      <c r="K68" s="142" t="str">
        <f t="shared" si="51"/>
        <v>4001/4002</v>
      </c>
      <c r="L68" s="25" t="str">
        <f>VLOOKUP(A68,'Trips&amp;Operators'!$C$1:$E$10000,3,FALSE)</f>
        <v>STARKS</v>
      </c>
      <c r="M68" s="6">
        <f t="shared" si="52"/>
        <v>3.1828703700739425E-2</v>
      </c>
      <c r="N68" s="7">
        <f t="shared" si="53"/>
        <v>45.833333329064772</v>
      </c>
      <c r="O68" s="7"/>
      <c r="P68" s="7"/>
      <c r="Q68" s="26"/>
      <c r="R68" s="26"/>
      <c r="S68" s="38">
        <f t="shared" si="54"/>
        <v>1</v>
      </c>
      <c r="T68" s="53" t="str">
        <f t="shared" si="29"/>
        <v>Southbound</v>
      </c>
      <c r="U68" s="13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8" s="55" t="str">
        <f t="shared" si="56"/>
        <v>N</v>
      </c>
      <c r="X68" s="129">
        <f t="shared" si="48"/>
        <v>1</v>
      </c>
      <c r="Y68" s="70">
        <f t="shared" si="57"/>
        <v>23.2987</v>
      </c>
      <c r="Z68" s="70">
        <f t="shared" si="58"/>
        <v>2.5999999999999999E-2</v>
      </c>
      <c r="AA68" s="70">
        <f t="shared" si="59"/>
        <v>23.2727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30"/>
        <v>0156-17</v>
      </c>
      <c r="AE68" s="104" t="str">
        <f t="shared" si="60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68" s="101" t="str">
        <f t="shared" si="61"/>
        <v>"C:\Program Files (x86)\AstroGrep\AstroGrep.exe" /spath="%USERPROFILE%\AppData\Local\Temp\OnboardLogs" /stypes="*4001*20160817*" /stext=" 18:.+((SYSTEM_STATE.+slice.+state.+changed )|(ment ac)|(system.+state.+changed )|(\|lc)|(penalty)|(\[timeout)|(PRM\|1\|D)|(kpr)|(kdp))" /e /r /s</v>
      </c>
      <c r="AG68" s="1" t="str">
        <f t="shared" si="31"/>
        <v>EC</v>
      </c>
      <c r="AH68" s="105" t="str">
        <f t="shared" si="16"/>
        <v>"%USERPROFILE%\Documents\GitHub\eaglep3\Utilities\RefineRTDCRunTimes.py" --tripid 156-17 --locoid 4001 --swversion DE.1.0.7.0 --startMP 204:232987 --initTime 2016-08-17T11:25:03 --startdatetime 2016-08-17T11:26:16 --delay 1 --endMP 204:260 --enddatetime 2016-08-17T12:12:06 --enforcementcount 0</v>
      </c>
    </row>
    <row r="69" spans="1:34" x14ac:dyDescent="0.25">
      <c r="A69" s="40" t="s">
        <v>404</v>
      </c>
      <c r="B69" s="7">
        <v>4014</v>
      </c>
      <c r="C69" s="25" t="s">
        <v>118</v>
      </c>
      <c r="D69" s="25" t="s">
        <v>231</v>
      </c>
      <c r="E69" s="16">
        <v>42599.438437500001</v>
      </c>
      <c r="F69" s="16">
        <v>42599.439432870371</v>
      </c>
      <c r="G69" s="7">
        <v>1</v>
      </c>
      <c r="H69" s="16" t="s">
        <v>208</v>
      </c>
      <c r="I69" s="16">
        <v>42599.480787037035</v>
      </c>
      <c r="J69" s="7">
        <v>0</v>
      </c>
      <c r="K69" s="142" t="str">
        <f t="shared" si="51"/>
        <v>4013/4014</v>
      </c>
      <c r="L69" s="25" t="str">
        <f>VLOOKUP(A69,'Trips&amp;Operators'!$C$1:$E$10000,3,FALSE)</f>
        <v>KILLION</v>
      </c>
      <c r="M69" s="6">
        <f t="shared" si="52"/>
        <v>4.1354166663950309E-2</v>
      </c>
      <c r="N69" s="7">
        <f t="shared" si="53"/>
        <v>59.549999996088445</v>
      </c>
      <c r="O69" s="7"/>
      <c r="P69" s="7"/>
      <c r="Q69" s="26"/>
      <c r="R69" s="26"/>
      <c r="S69" s="38">
        <f t="shared" si="54"/>
        <v>1</v>
      </c>
      <c r="T69" s="53" t="str">
        <f t="shared" si="29"/>
        <v>NorthBound</v>
      </c>
      <c r="U69" s="13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09:31:21-0600',mode:absolute,to:'2016-08-17 12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9" s="55" t="str">
        <f t="shared" si="56"/>
        <v>N</v>
      </c>
      <c r="X69" s="129">
        <f t="shared" si="48"/>
        <v>1</v>
      </c>
      <c r="Y69" s="70">
        <f t="shared" si="57"/>
        <v>4.7300000000000002E-2</v>
      </c>
      <c r="Z69" s="70">
        <f t="shared" si="58"/>
        <v>23.329499999999999</v>
      </c>
      <c r="AA69" s="70">
        <f t="shared" si="59"/>
        <v>23.2822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30"/>
        <v>0157-17</v>
      </c>
      <c r="AE69" s="104" t="str">
        <f t="shared" si="60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69" s="101" t="str">
        <f t="shared" si="61"/>
        <v>"C:\Program Files (x86)\AstroGrep\AstroGrep.exe" /spath="%USERPROFILE%\AppData\Local\Temp\OnboardLogs" /stypes="*4014*20160817*" /stext=" 17:.+((SYSTEM_STATE.+slice.+state.+changed )|(ment ac)|(system.+state.+changed )|(\|lc)|(penalty)|(\[timeout)|(PRM\|1\|D)|(kpr)|(kdp))" /e /r /s</v>
      </c>
      <c r="AG69" s="1" t="str">
        <f t="shared" si="31"/>
        <v>EC</v>
      </c>
      <c r="AH69" s="105" t="str">
        <f t="shared" si="16"/>
        <v>"%USERPROFILE%\Documents\GitHub\eaglep3\Utilities\RefineRTDCRunTimes.py" --tripid 157-17 --locoid 4014 --swversion DE.1.0.7.0 --startMP 204:473 --initTime 2016-08-17T10:31:21 --startdatetime 2016-08-17T10:32:47 --delay 1 --endMP 204:233295 --enddatetime 2016-08-17T11:32:20 --enforcementcount 0</v>
      </c>
    </row>
    <row r="70" spans="1:34" s="1" customFormat="1" x14ac:dyDescent="0.25">
      <c r="A70" s="40" t="s">
        <v>405</v>
      </c>
      <c r="B70" s="7">
        <v>4013</v>
      </c>
      <c r="C70" s="25" t="s">
        <v>118</v>
      </c>
      <c r="D70" s="25" t="s">
        <v>406</v>
      </c>
      <c r="E70" s="16">
        <v>42599.486203703702</v>
      </c>
      <c r="F70" s="16">
        <v>42599.487256944441</v>
      </c>
      <c r="G70" s="7">
        <v>1</v>
      </c>
      <c r="H70" s="16" t="s">
        <v>396</v>
      </c>
      <c r="I70" s="16">
        <v>42599.518287037034</v>
      </c>
      <c r="J70" s="7">
        <v>0</v>
      </c>
      <c r="K70" s="142" t="str">
        <f t="shared" si="51"/>
        <v>4013/4014</v>
      </c>
      <c r="L70" s="25" t="str">
        <f>VLOOKUP(A70,'Trips&amp;Operators'!$C$1:$E$10000,3,FALSE)</f>
        <v>KILLION</v>
      </c>
      <c r="M70" s="6">
        <f t="shared" si="52"/>
        <v>3.1030092592118308E-2</v>
      </c>
      <c r="N70" s="7">
        <f t="shared" si="53"/>
        <v>44.683333332650363</v>
      </c>
      <c r="O70" s="7"/>
      <c r="P70" s="7"/>
      <c r="Q70" s="26"/>
      <c r="R70" s="26"/>
      <c r="S70" s="38">
        <f t="shared" si="54"/>
        <v>1</v>
      </c>
      <c r="T70" s="53" t="str">
        <f t="shared" ref="T70:T101" si="62">IF(ISEVEN(LEFT(AD70,4)),"Southbound","NorthBound")</f>
        <v>Southbound</v>
      </c>
      <c r="U70" s="13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10:40:08-0600',mode:absolute,to:'2016-08-17 13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0" s="55" t="str">
        <f t="shared" si="56"/>
        <v>N</v>
      </c>
      <c r="X70" s="129">
        <f t="shared" ref="X70:X79" si="63">VALUE(LEFT(AD70,4))-VALUE(LEFT(AD69,4))</f>
        <v>1</v>
      </c>
      <c r="Y70" s="70">
        <f t="shared" si="57"/>
        <v>23.296299999999999</v>
      </c>
      <c r="Z70" s="70">
        <f t="shared" si="58"/>
        <v>1.34E-2</v>
      </c>
      <c r="AA70" s="70">
        <f t="shared" si="59"/>
        <v>23.282899999999998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ref="AD70:AD101" si="64">IF(LEN(A70)=6,"0"&amp;A70,A70)</f>
        <v>0158-17</v>
      </c>
      <c r="AE70" s="104" t="str">
        <f t="shared" si="60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70" s="101" t="str">
        <f t="shared" si="61"/>
        <v>"C:\Program Files (x86)\AstroGrep\AstroGrep.exe" /spath="%USERPROFILE%\AppData\Local\Temp\OnboardLogs" /stypes="*4013*20160817*" /stext=" 18:.+((SYSTEM_STATE.+slice.+state.+changed )|(ment ac)|(system.+state.+changed )|(\|lc)|(penalty)|(\[timeout)|(PRM\|1\|D)|(kpr)|(kdp))" /e /r /s</v>
      </c>
      <c r="AG70" s="1" t="str">
        <f t="shared" ref="AG70:AG101" si="65">IFERROR(IF(VALUE(LEFT(AD70,2))&lt;=2,"EC",IF(OR(VALUE(LEFT(AD70,2))=8,VALUE(LEFT(AD70,2))=18),"NW","Other")),"Other")</f>
        <v>EC</v>
      </c>
      <c r="AH70" s="105" t="str">
        <f t="shared" si="16"/>
        <v>"%USERPROFILE%\Documents\GitHub\eaglep3\Utilities\RefineRTDCRunTimes.py" --tripid 158-17 --locoid 4013 --swversion DE.1.0.7.0 --startMP 204:232963 --initTime 2016-08-17T11:40:08 --startdatetime 2016-08-17T11:41:39 --delay 1 --endMP 204:134 --enddatetime 2016-08-17T12:26:20 --enforcementcount 0</v>
      </c>
    </row>
    <row r="71" spans="1:34" s="1" customFormat="1" x14ac:dyDescent="0.25">
      <c r="A71" s="40" t="s">
        <v>407</v>
      </c>
      <c r="B71" s="7">
        <v>4020</v>
      </c>
      <c r="C71" s="25" t="s">
        <v>118</v>
      </c>
      <c r="D71" s="25" t="s">
        <v>408</v>
      </c>
      <c r="E71" s="16">
        <v>42599.453344907408</v>
      </c>
      <c r="F71" s="16">
        <v>42599.454675925925</v>
      </c>
      <c r="G71" s="7">
        <v>1</v>
      </c>
      <c r="H71" s="16" t="s">
        <v>176</v>
      </c>
      <c r="I71" s="16">
        <v>42599.491736111115</v>
      </c>
      <c r="J71" s="7">
        <v>0</v>
      </c>
      <c r="K71" s="142" t="str">
        <f t="shared" si="51"/>
        <v>4019/4020</v>
      </c>
      <c r="L71" s="25" t="str">
        <f>VLOOKUP(A71,'Trips&amp;Operators'!$C$1:$E$10000,3,FALSE)</f>
        <v>BONDS</v>
      </c>
      <c r="M71" s="6">
        <f t="shared" si="52"/>
        <v>3.7060185190057382E-2</v>
      </c>
      <c r="N71" s="7">
        <f t="shared" si="53"/>
        <v>53.36666667368263</v>
      </c>
      <c r="O71" s="7"/>
      <c r="P71" s="7"/>
      <c r="Q71" s="26"/>
      <c r="R71" s="26"/>
      <c r="S71" s="38">
        <f t="shared" si="54"/>
        <v>1</v>
      </c>
      <c r="T71" s="53" t="str">
        <f t="shared" si="62"/>
        <v>NorthBound</v>
      </c>
      <c r="U71" s="13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09:52:49-0600',mode:absolute,to:'2016-08-17 12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1" s="55" t="str">
        <f t="shared" si="56"/>
        <v>N</v>
      </c>
      <c r="X71" s="129">
        <f t="shared" si="63"/>
        <v>1</v>
      </c>
      <c r="Y71" s="70">
        <f t="shared" si="57"/>
        <v>4.2200000000000001E-2</v>
      </c>
      <c r="Z71" s="70">
        <f t="shared" si="58"/>
        <v>23.3291</v>
      </c>
      <c r="AA71" s="70">
        <f t="shared" si="59"/>
        <v>23.286899999999999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64"/>
        <v>0159-17</v>
      </c>
      <c r="AE71" s="104" t="str">
        <f t="shared" si="60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71" s="101" t="str">
        <f t="shared" si="61"/>
        <v>"C:\Program Files (x86)\AstroGrep\AstroGrep.exe" /spath="%USERPROFILE%\AppData\Local\Temp\OnboardLogs" /stypes="*4020*20160817*" /stext=" 17:.+((SYSTEM_STATE.+slice.+state.+changed )|(ment ac)|(system.+state.+changed )|(\|lc)|(penalty)|(\[timeout)|(PRM\|1\|D)|(kpr)|(kdp))" /e /r /s</v>
      </c>
      <c r="AG71" s="1" t="str">
        <f t="shared" si="65"/>
        <v>EC</v>
      </c>
      <c r="AH71" s="105" t="str">
        <f t="shared" si="16"/>
        <v>"%USERPROFILE%\Documents\GitHub\eaglep3\Utilities\RefineRTDCRunTimes.py" --tripid 159-17 --locoid 4020 --swversion DE.1.0.7.0 --startMP 204:422 --initTime 2016-08-17T10:52:49 --startdatetime 2016-08-17T10:54:44 --delay 1 --endMP 204:233291 --enddatetime 2016-08-17T11:48:06 --enforcementcount 0</v>
      </c>
    </row>
    <row r="72" spans="1:34" s="1" customFormat="1" x14ac:dyDescent="0.25">
      <c r="A72" s="40" t="s">
        <v>409</v>
      </c>
      <c r="B72" s="7">
        <v>4019</v>
      </c>
      <c r="C72" s="25" t="s">
        <v>118</v>
      </c>
      <c r="D72" s="25" t="s">
        <v>260</v>
      </c>
      <c r="E72" s="16">
        <v>42599.496724537035</v>
      </c>
      <c r="F72" s="16">
        <v>42599.497488425928</v>
      </c>
      <c r="G72" s="7">
        <v>1</v>
      </c>
      <c r="H72" s="16" t="s">
        <v>139</v>
      </c>
      <c r="I72" s="16">
        <v>42599.528344907405</v>
      </c>
      <c r="J72" s="7">
        <v>0</v>
      </c>
      <c r="K72" s="142" t="str">
        <f t="shared" si="51"/>
        <v>4019/4020</v>
      </c>
      <c r="L72" s="25" t="str">
        <f>VLOOKUP(A72,'Trips&amp;Operators'!$C$1:$E$10000,3,FALSE)</f>
        <v>BONDS</v>
      </c>
      <c r="M72" s="6">
        <f t="shared" si="52"/>
        <v>3.085648147680331E-2</v>
      </c>
      <c r="N72" s="7">
        <f t="shared" si="53"/>
        <v>44.433333326596767</v>
      </c>
      <c r="O72" s="7"/>
      <c r="P72" s="7"/>
      <c r="Q72" s="26"/>
      <c r="R72" s="26"/>
      <c r="S72" s="38">
        <f t="shared" si="54"/>
        <v>1</v>
      </c>
      <c r="T72" s="53" t="str">
        <f t="shared" si="62"/>
        <v>Southbound</v>
      </c>
      <c r="U72" s="13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10:55:17-0600',mode:absolute,to:'2016-08-17 13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2" s="55" t="str">
        <f t="shared" si="56"/>
        <v>N</v>
      </c>
      <c r="X72" s="129">
        <f t="shared" si="63"/>
        <v>1</v>
      </c>
      <c r="Y72" s="70">
        <f t="shared" si="57"/>
        <v>23.2973</v>
      </c>
      <c r="Z72" s="70">
        <f t="shared" si="58"/>
        <v>1.47E-2</v>
      </c>
      <c r="AA72" s="70">
        <f t="shared" si="59"/>
        <v>23.282599999999999</v>
      </c>
      <c r="AB72" s="67" t="e">
        <f>VLOOKUP(A72,Enforcements!$C$7:$J$24,8,0)</f>
        <v>#N/A</v>
      </c>
      <c r="AC72" s="63" t="e">
        <f>VLOOKUP(A72,Enforcements!$C$7:$E$24,3,0)</f>
        <v>#N/A</v>
      </c>
      <c r="AD72" s="64" t="str">
        <f t="shared" si="64"/>
        <v>0160-17</v>
      </c>
      <c r="AE72" s="104" t="str">
        <f t="shared" si="60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72" s="101" t="str">
        <f t="shared" si="61"/>
        <v>"C:\Program Files (x86)\AstroGrep\AstroGrep.exe" /spath="%USERPROFILE%\AppData\Local\Temp\OnboardLogs" /stypes="*4019*20160817*" /stext=" 18:.+((SYSTEM_STATE.+slice.+state.+changed )|(ment ac)|(system.+state.+changed )|(\|lc)|(penalty)|(\[timeout)|(PRM\|1\|D)|(kpr)|(kdp))" /e /r /s</v>
      </c>
      <c r="AG72" s="1" t="str">
        <f t="shared" si="65"/>
        <v>EC</v>
      </c>
      <c r="AH72" s="105" t="str">
        <f t="shared" si="16"/>
        <v>"%USERPROFILE%\Documents\GitHub\eaglep3\Utilities\RefineRTDCRunTimes.py" --tripid 160-17 --locoid 4019 --swversion DE.1.0.7.0 --startMP 204:232973 --initTime 2016-08-17T11:55:17 --startdatetime 2016-08-17T11:56:23 --delay 1 --endMP 204:147 --enddatetime 2016-08-17T12:40:49 --enforcementcount 0</v>
      </c>
    </row>
    <row r="73" spans="1:34" x14ac:dyDescent="0.25">
      <c r="A73" s="40" t="s">
        <v>410</v>
      </c>
      <c r="B73" s="7">
        <v>4027</v>
      </c>
      <c r="C73" s="25" t="s">
        <v>118</v>
      </c>
      <c r="D73" s="25" t="s">
        <v>380</v>
      </c>
      <c r="E73" s="16">
        <v>42599.459837962961</v>
      </c>
      <c r="F73" s="16">
        <v>42599.461238425924</v>
      </c>
      <c r="G73" s="7">
        <v>2</v>
      </c>
      <c r="H73" s="16" t="s">
        <v>208</v>
      </c>
      <c r="I73" s="16">
        <v>42599.495497685188</v>
      </c>
      <c r="J73" s="7">
        <v>0</v>
      </c>
      <c r="K73" s="142" t="str">
        <f t="shared" si="51"/>
        <v>4027/4028</v>
      </c>
      <c r="L73" s="25" t="str">
        <f>VLOOKUP(A73,'Trips&amp;Operators'!$C$1:$E$10000,3,FALSE)</f>
        <v>YORK</v>
      </c>
      <c r="M73" s="6">
        <f t="shared" si="52"/>
        <v>3.425925926421769E-2</v>
      </c>
      <c r="N73" s="7">
        <f t="shared" si="53"/>
        <v>49.333333340473473</v>
      </c>
      <c r="O73" s="7"/>
      <c r="P73" s="7"/>
      <c r="Q73" s="26"/>
      <c r="R73" s="26"/>
      <c r="S73" s="38">
        <f t="shared" si="54"/>
        <v>1</v>
      </c>
      <c r="T73" s="53" t="str">
        <f t="shared" si="62"/>
        <v>NorthBound</v>
      </c>
      <c r="U73" s="13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10:02:10-0600',mode:absolute,to:'2016-08-17 12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3" s="55" t="str">
        <f t="shared" si="56"/>
        <v>N</v>
      </c>
      <c r="X73" s="129">
        <f t="shared" si="63"/>
        <v>1</v>
      </c>
      <c r="Y73" s="70">
        <f t="shared" si="57"/>
        <v>4.4699999999999997E-2</v>
      </c>
      <c r="Z73" s="70">
        <f t="shared" si="58"/>
        <v>23.329499999999999</v>
      </c>
      <c r="AA73" s="70">
        <f t="shared" si="59"/>
        <v>23.284800000000001</v>
      </c>
      <c r="AB73" s="67" t="e">
        <f>VLOOKUP(A73,Enforcements!$C$7:$J$24,8,0)</f>
        <v>#N/A</v>
      </c>
      <c r="AC73" s="63" t="e">
        <f>VLOOKUP(A73,Enforcements!$C$7:$E$24,3,0)</f>
        <v>#N/A</v>
      </c>
      <c r="AD73" s="64" t="str">
        <f t="shared" si="64"/>
        <v>0161-17</v>
      </c>
      <c r="AE73" s="104" t="str">
        <f t="shared" si="60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73" s="101" t="str">
        <f t="shared" si="61"/>
        <v>"C:\Program Files (x86)\AstroGrep\AstroGrep.exe" /spath="%USERPROFILE%\AppData\Local\Temp\OnboardLogs" /stypes="*4027*20160817*" /stext=" 17:.+((SYSTEM_STATE.+slice.+state.+changed )|(ment ac)|(system.+state.+changed )|(\|lc)|(penalty)|(\[timeout)|(PRM\|1\|D)|(kpr)|(kdp))" /e /r /s</v>
      </c>
      <c r="AG73" s="1" t="str">
        <f t="shared" si="65"/>
        <v>EC</v>
      </c>
      <c r="AH73" s="105" t="str">
        <f t="shared" si="16"/>
        <v>"%USERPROFILE%\Documents\GitHub\eaglep3\Utilities\RefineRTDCRunTimes.py" --tripid 161-17 --locoid 4027 --swversion DE.1.0.7.0 --startMP 204:447 --initTime 2016-08-17T11:02:10 --startdatetime 2016-08-17T11:04:11 --delay 2 --endMP 204:233295 --enddatetime 2016-08-17T11:53:31 --enforcementcount 0</v>
      </c>
    </row>
    <row r="74" spans="1:34" s="24" customFormat="1" x14ac:dyDescent="0.25">
      <c r="A74" s="40" t="s">
        <v>411</v>
      </c>
      <c r="B74" s="7">
        <v>4028</v>
      </c>
      <c r="C74" s="25" t="s">
        <v>118</v>
      </c>
      <c r="D74" s="25" t="s">
        <v>62</v>
      </c>
      <c r="E74" s="16">
        <v>42599.496805555558</v>
      </c>
      <c r="F74" s="16">
        <v>42599.497731481482</v>
      </c>
      <c r="G74" s="7">
        <v>1</v>
      </c>
      <c r="H74" s="16" t="s">
        <v>212</v>
      </c>
      <c r="I74" s="16">
        <v>42599.534768518519</v>
      </c>
      <c r="J74" s="7">
        <v>0</v>
      </c>
      <c r="K74" s="142" t="str">
        <f t="shared" si="51"/>
        <v>4027/4028</v>
      </c>
      <c r="L74" s="25" t="str">
        <f>VLOOKUP(A74,'Trips&amp;Operators'!$C$1:$E$10000,3,FALSE)</f>
        <v>YORK</v>
      </c>
      <c r="M74" s="6">
        <f t="shared" si="52"/>
        <v>3.7037037036498077E-2</v>
      </c>
      <c r="N74" s="7">
        <f t="shared" si="53"/>
        <v>53.333333332557231</v>
      </c>
      <c r="O74" s="7"/>
      <c r="P74" s="7"/>
      <c r="Q74" s="26"/>
      <c r="R74" s="26"/>
      <c r="S74" s="38">
        <f t="shared" si="54"/>
        <v>1</v>
      </c>
      <c r="T74" s="53" t="str">
        <f t="shared" si="62"/>
        <v>Southbound</v>
      </c>
      <c r="U74" s="13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10:55:24-0600',mode:absolute,to:'2016-08-17 13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4" s="55" t="str">
        <f t="shared" si="56"/>
        <v>N</v>
      </c>
      <c r="X74" s="129">
        <f t="shared" si="63"/>
        <v>1</v>
      </c>
      <c r="Y74" s="70">
        <f t="shared" si="57"/>
        <v>23.297699999999999</v>
      </c>
      <c r="Z74" s="70">
        <f t="shared" si="58"/>
        <v>1.52E-2</v>
      </c>
      <c r="AA74" s="70">
        <f t="shared" si="59"/>
        <v>23.282499999999999</v>
      </c>
      <c r="AB74" s="67" t="e">
        <f>VLOOKUP(A74,Enforcements!$C$7:$J$24,8,0)</f>
        <v>#N/A</v>
      </c>
      <c r="AC74" s="63" t="e">
        <f>VLOOKUP(A74,Enforcements!$C$7:$E$24,3,0)</f>
        <v>#N/A</v>
      </c>
      <c r="AD74" s="64" t="str">
        <f t="shared" si="64"/>
        <v>0162-17</v>
      </c>
      <c r="AE74" s="104" t="str">
        <f t="shared" si="60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74" s="101" t="str">
        <f t="shared" si="61"/>
        <v>"C:\Program Files (x86)\AstroGrep\AstroGrep.exe" /spath="%USERPROFILE%\AppData\Local\Temp\OnboardLogs" /stypes="*4028*20160817*" /stext=" 18:.+((SYSTEM_STATE.+slice.+state.+changed )|(ment ac)|(system.+state.+changed )|(\|lc)|(penalty)|(\[timeout)|(PRM\|1\|D)|(kpr)|(kdp))" /e /r /s</v>
      </c>
      <c r="AG74" s="1" t="str">
        <f t="shared" si="65"/>
        <v>EC</v>
      </c>
      <c r="AH74" s="105" t="str">
        <f t="shared" si="16"/>
        <v>"%USERPROFILE%\Documents\GitHub\eaglep3\Utilities\RefineRTDCRunTimes.py" --tripid 162-17 --locoid 4028 --swversion DE.1.0.7.0 --startMP 204:232977 --initTime 2016-08-17T11:55:24 --startdatetime 2016-08-17T11:56:44 --delay 1 --endMP 204:152 --enddatetime 2016-08-17T12:50:04 --enforcementcount 0</v>
      </c>
    </row>
    <row r="75" spans="1:34" x14ac:dyDescent="0.25">
      <c r="A75" s="40" t="s">
        <v>412</v>
      </c>
      <c r="B75" s="7">
        <v>4003</v>
      </c>
      <c r="C75" s="25" t="s">
        <v>118</v>
      </c>
      <c r="D75" s="25" t="s">
        <v>175</v>
      </c>
      <c r="E75" s="16">
        <v>42599.475312499999</v>
      </c>
      <c r="F75" s="16">
        <v>42599.476898148147</v>
      </c>
      <c r="G75" s="7">
        <v>2</v>
      </c>
      <c r="H75" s="16" t="s">
        <v>330</v>
      </c>
      <c r="I75" s="16">
        <v>42599.509652777779</v>
      </c>
      <c r="J75" s="7">
        <v>0</v>
      </c>
      <c r="K75" s="142" t="str">
        <f t="shared" si="51"/>
        <v>4003/4004</v>
      </c>
      <c r="L75" s="25" t="str">
        <f>VLOOKUP(A75,'Trips&amp;Operators'!$C$1:$E$10000,3,FALSE)</f>
        <v>HELVIE</v>
      </c>
      <c r="M75" s="6">
        <f t="shared" si="52"/>
        <v>3.2754629632108845E-2</v>
      </c>
      <c r="N75" s="7">
        <f t="shared" si="53"/>
        <v>47.166666670236737</v>
      </c>
      <c r="O75" s="7"/>
      <c r="P75" s="7"/>
      <c r="Q75" s="26"/>
      <c r="R75" s="26"/>
      <c r="S75" s="38">
        <f t="shared" si="54"/>
        <v>1</v>
      </c>
      <c r="T75" s="53" t="str">
        <f t="shared" si="62"/>
        <v>NorthBound</v>
      </c>
      <c r="U75" s="13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10:24:27-0600',mode:absolute,to:'2016-08-17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75" s="55" t="str">
        <f t="shared" si="56"/>
        <v>N</v>
      </c>
      <c r="X75" s="129">
        <f t="shared" si="63"/>
        <v>1</v>
      </c>
      <c r="Y75" s="70">
        <f t="shared" si="57"/>
        <v>4.5100000000000001E-2</v>
      </c>
      <c r="Z75" s="70">
        <f t="shared" si="58"/>
        <v>23.328800000000001</v>
      </c>
      <c r="AA75" s="70">
        <f t="shared" si="59"/>
        <v>23.2837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64"/>
        <v>0163-17</v>
      </c>
      <c r="AE75" s="104" t="str">
        <f t="shared" si="60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75" s="101" t="str">
        <f t="shared" si="61"/>
        <v>"C:\Program Files (x86)\AstroGrep\AstroGrep.exe" /spath="%USERPROFILE%\AppData\Local\Temp\OnboardLogs" /stypes="*4003*20160817*" /stext=" 18:.+((SYSTEM_STATE.+slice.+state.+changed )|(ment ac)|(system.+state.+changed )|(\|lc)|(penalty)|(\[timeout)|(PRM\|1\|D)|(kpr)|(kdp))" /e /r /s</v>
      </c>
      <c r="AG75" s="1" t="str">
        <f t="shared" si="65"/>
        <v>EC</v>
      </c>
      <c r="AH75" s="105" t="str">
        <f t="shared" si="16"/>
        <v>"%USERPROFILE%\Documents\GitHub\eaglep3\Utilities\RefineRTDCRunTimes.py" --tripid 163-17 --locoid 4003 --swversion DE.1.0.7.0 --startMP 204:451 --initTime 2016-08-17T11:24:27 --startdatetime 2016-08-17T11:26:44 --delay 2 --endMP 204:233288 --enddatetime 2016-08-17T12:13:54 --enforcementcount 0</v>
      </c>
    </row>
    <row r="76" spans="1:34" x14ac:dyDescent="0.25">
      <c r="A76" s="40" t="s">
        <v>413</v>
      </c>
      <c r="B76" s="7">
        <v>4004</v>
      </c>
      <c r="C76" s="25" t="s">
        <v>118</v>
      </c>
      <c r="D76" s="25" t="s">
        <v>178</v>
      </c>
      <c r="E76" s="16">
        <v>42599.511979166666</v>
      </c>
      <c r="F76" s="16">
        <v>42599.513495370367</v>
      </c>
      <c r="G76" s="7">
        <v>2</v>
      </c>
      <c r="H76" s="16" t="s">
        <v>154</v>
      </c>
      <c r="I76" s="16">
        <v>42599.545763888891</v>
      </c>
      <c r="J76" s="7">
        <v>0</v>
      </c>
      <c r="K76" s="142" t="str">
        <f t="shared" si="51"/>
        <v>4003/4004</v>
      </c>
      <c r="L76" s="25" t="str">
        <f>VLOOKUP(A76,'Trips&amp;Operators'!$C$1:$E$10000,3,FALSE)</f>
        <v>HELVIE</v>
      </c>
      <c r="M76" s="6">
        <f t="shared" si="52"/>
        <v>3.2268518523778766E-2</v>
      </c>
      <c r="N76" s="7">
        <f t="shared" si="53"/>
        <v>46.466666674241424</v>
      </c>
      <c r="O76" s="7"/>
      <c r="P76" s="7"/>
      <c r="Q76" s="26"/>
      <c r="R76" s="26"/>
      <c r="S76" s="38">
        <f t="shared" si="54"/>
        <v>1</v>
      </c>
      <c r="T76" s="53" t="str">
        <f t="shared" si="62"/>
        <v>Southbound</v>
      </c>
      <c r="U76" s="13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11:17:15-0600',mode:absolute,to:'2016-08-17 14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76" s="55" t="str">
        <f t="shared" si="56"/>
        <v>N</v>
      </c>
      <c r="X76" s="129">
        <f t="shared" si="63"/>
        <v>1</v>
      </c>
      <c r="Y76" s="70">
        <f t="shared" si="57"/>
        <v>23.296500000000002</v>
      </c>
      <c r="Z76" s="70">
        <f t="shared" si="58"/>
        <v>1.6299999999999999E-2</v>
      </c>
      <c r="AA76" s="70">
        <f t="shared" si="59"/>
        <v>23.280200000000001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64"/>
        <v>0164-17</v>
      </c>
      <c r="AE76" s="104" t="str">
        <f t="shared" si="60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76" s="101" t="str">
        <f t="shared" si="61"/>
        <v>"C:\Program Files (x86)\AstroGrep\AstroGrep.exe" /spath="%USERPROFILE%\AppData\Local\Temp\OnboardLogs" /stypes="*4004*20160817*" /stext=" 19:.+((SYSTEM_STATE.+slice.+state.+changed )|(ment ac)|(system.+state.+changed )|(\|lc)|(penalty)|(\[timeout)|(PRM\|1\|D)|(kpr)|(kdp))" /e /r /s</v>
      </c>
      <c r="AG76" s="1" t="str">
        <f t="shared" si="65"/>
        <v>EC</v>
      </c>
      <c r="AH76" s="105" t="str">
        <f t="shared" si="16"/>
        <v>"%USERPROFILE%\Documents\GitHub\eaglep3\Utilities\RefineRTDCRunTimes.py" --tripid 164-17 --locoid 4004 --swversion DE.1.0.7.0 --startMP 204:232965 --initTime 2016-08-17T12:17:15 --startdatetime 2016-08-17T12:19:26 --delay 2 --endMP 204:163 --enddatetime 2016-08-17T13:05:54 --enforcementcount 0</v>
      </c>
    </row>
    <row r="77" spans="1:34" x14ac:dyDescent="0.25">
      <c r="A77" s="40" t="s">
        <v>414</v>
      </c>
      <c r="B77" s="7">
        <v>4025</v>
      </c>
      <c r="C77" s="25" t="s">
        <v>118</v>
      </c>
      <c r="D77" s="25" t="s">
        <v>140</v>
      </c>
      <c r="E77" s="16">
        <v>42599.490729166668</v>
      </c>
      <c r="F77" s="16">
        <v>42599.494837962964</v>
      </c>
      <c r="G77" s="7">
        <v>5</v>
      </c>
      <c r="H77" s="16" t="s">
        <v>415</v>
      </c>
      <c r="I77" s="16">
        <v>42599.522638888891</v>
      </c>
      <c r="J77" s="7">
        <v>0</v>
      </c>
      <c r="K77" s="142" t="str">
        <f t="shared" si="51"/>
        <v>4025/4026</v>
      </c>
      <c r="L77" s="25" t="str">
        <f>VLOOKUP(A77,'Trips&amp;Operators'!$C$1:$E$10000,3,FALSE)</f>
        <v>STORY</v>
      </c>
      <c r="M77" s="6">
        <f t="shared" si="52"/>
        <v>2.7800925927294884E-2</v>
      </c>
      <c r="N77" s="7">
        <f t="shared" si="53"/>
        <v>40.033333335304633</v>
      </c>
      <c r="O77" s="7"/>
      <c r="P77" s="7"/>
      <c r="Q77" s="26"/>
      <c r="R77" s="26"/>
      <c r="S77" s="38">
        <f t="shared" si="54"/>
        <v>1</v>
      </c>
      <c r="T77" s="53" t="str">
        <f t="shared" si="62"/>
        <v>NorthBound</v>
      </c>
      <c r="U77" s="13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10:46:39-0600',mode:absolute,to:'2016-08-17 13:32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7" s="55" t="str">
        <f t="shared" si="56"/>
        <v>N</v>
      </c>
      <c r="X77" s="129">
        <f t="shared" si="63"/>
        <v>1</v>
      </c>
      <c r="Y77" s="70">
        <f t="shared" si="57"/>
        <v>4.53E-2</v>
      </c>
      <c r="Z77" s="70">
        <f t="shared" si="58"/>
        <v>23.335100000000001</v>
      </c>
      <c r="AA77" s="70">
        <f t="shared" si="59"/>
        <v>23.2898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si="64"/>
        <v>0165-17</v>
      </c>
      <c r="AE77" s="104" t="str">
        <f t="shared" si="60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77" s="101" t="str">
        <f t="shared" si="61"/>
        <v>"C:\Program Files (x86)\AstroGrep\AstroGrep.exe" /spath="%USERPROFILE%\AppData\Local\Temp\OnboardLogs" /stypes="*4025*20160817*" /stext=" 18:.+((SYSTEM_STATE.+slice.+state.+changed )|(ment ac)|(system.+state.+changed )|(\|lc)|(penalty)|(\[timeout)|(PRM\|1\|D)|(kpr)|(kdp))" /e /r /s</v>
      </c>
      <c r="AG77" s="1" t="str">
        <f t="shared" si="65"/>
        <v>EC</v>
      </c>
      <c r="AH77" s="105" t="str">
        <f t="shared" si="16"/>
        <v>"%USERPROFILE%\Documents\GitHub\eaglep3\Utilities\RefineRTDCRunTimes.py" --tripid 165-17 --locoid 4025 --swversion DE.1.0.7.0 --startMP 204:453 --initTime 2016-08-17T11:46:39 --startdatetime 2016-08-17T11:52:34 --delay 5 --endMP 204:233351 --enddatetime 2016-08-17T12:32:36 --enforcementcount 0</v>
      </c>
    </row>
    <row r="78" spans="1:34" s="24" customFormat="1" x14ac:dyDescent="0.25">
      <c r="A78" s="40" t="s">
        <v>416</v>
      </c>
      <c r="B78" s="7">
        <v>4026</v>
      </c>
      <c r="C78" s="25" t="s">
        <v>118</v>
      </c>
      <c r="D78" s="25" t="s">
        <v>417</v>
      </c>
      <c r="E78" s="16">
        <v>42599.524270833332</v>
      </c>
      <c r="F78" s="16">
        <v>42599.52652777778</v>
      </c>
      <c r="G78" s="7">
        <v>3</v>
      </c>
      <c r="H78" s="16" t="s">
        <v>144</v>
      </c>
      <c r="I78" s="16">
        <v>42599.555520833332</v>
      </c>
      <c r="J78" s="7">
        <v>0</v>
      </c>
      <c r="K78" s="142" t="str">
        <f t="shared" si="51"/>
        <v>4025/4026</v>
      </c>
      <c r="L78" s="25" t="str">
        <f>VLOOKUP(A78,'Trips&amp;Operators'!$C$1:$E$10000,3,FALSE)</f>
        <v>STORY</v>
      </c>
      <c r="M78" s="6">
        <f t="shared" si="52"/>
        <v>2.8993055551836733E-2</v>
      </c>
      <c r="N78" s="7">
        <f t="shared" si="53"/>
        <v>41.749999994644895</v>
      </c>
      <c r="O78" s="7"/>
      <c r="P78" s="7"/>
      <c r="Q78" s="26"/>
      <c r="R78" s="26"/>
      <c r="S78" s="38">
        <f t="shared" si="54"/>
        <v>1</v>
      </c>
      <c r="T78" s="53" t="str">
        <f t="shared" si="62"/>
        <v>Southbound</v>
      </c>
      <c r="U78" s="13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11:34:57-0600',mode:absolute,to:'2016-08-17 14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8" s="55" t="str">
        <f t="shared" si="56"/>
        <v>N</v>
      </c>
      <c r="X78" s="129">
        <f t="shared" si="63"/>
        <v>1</v>
      </c>
      <c r="Y78" s="70">
        <f t="shared" si="57"/>
        <v>23.303599999999999</v>
      </c>
      <c r="Z78" s="70">
        <f t="shared" si="58"/>
        <v>1.49E-2</v>
      </c>
      <c r="AA78" s="70">
        <f t="shared" si="59"/>
        <v>23.288699999999999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64"/>
        <v>0166-17</v>
      </c>
      <c r="AE78" s="104" t="str">
        <f t="shared" si="60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78" s="101" t="str">
        <f t="shared" si="61"/>
        <v>"C:\Program Files (x86)\AstroGrep\AstroGrep.exe" /spath="%USERPROFILE%\AppData\Local\Temp\OnboardLogs" /stypes="*4026*20160817*" /stext=" 19:.+((SYSTEM_STATE.+slice.+state.+changed )|(ment ac)|(system.+state.+changed )|(\|lc)|(penalty)|(\[timeout)|(PRM\|1\|D)|(kpr)|(kdp))" /e /r /s</v>
      </c>
      <c r="AG78" s="1" t="str">
        <f t="shared" si="65"/>
        <v>EC</v>
      </c>
      <c r="AH78" s="105" t="str">
        <f t="shared" si="16"/>
        <v>"%USERPROFILE%\Documents\GitHub\eaglep3\Utilities\RefineRTDCRunTimes.py" --tripid 166-17 --locoid 4026 --swversion DE.1.0.7.0 --startMP 204:233036 --initTime 2016-08-17T12:34:57 --startdatetime 2016-08-17T12:38:12 --delay 3 --endMP 204:149 --enddatetime 2016-08-17T13:19:57 --enforcementcount 0</v>
      </c>
    </row>
    <row r="79" spans="1:34" x14ac:dyDescent="0.25">
      <c r="A79" s="40" t="s">
        <v>418</v>
      </c>
      <c r="B79" s="7">
        <v>4009</v>
      </c>
      <c r="C79" s="25" t="s">
        <v>118</v>
      </c>
      <c r="D79" s="25" t="s">
        <v>114</v>
      </c>
      <c r="E79" s="16">
        <v>42599.500925925924</v>
      </c>
      <c r="F79" s="16">
        <v>42599.502951388888</v>
      </c>
      <c r="G79" s="7">
        <v>2</v>
      </c>
      <c r="H79" s="16" t="s">
        <v>341</v>
      </c>
      <c r="I79" s="16">
        <v>42599.531736111108</v>
      </c>
      <c r="J79" s="7">
        <v>0</v>
      </c>
      <c r="K79" s="142" t="str">
        <f t="shared" si="51"/>
        <v>4009/4010</v>
      </c>
      <c r="L79" s="25" t="str">
        <f>VLOOKUP(A79,'Trips&amp;Operators'!$C$1:$E$10000,3,FALSE)</f>
        <v>STAMBAUGH</v>
      </c>
      <c r="M79" s="6">
        <f t="shared" si="52"/>
        <v>2.8784722220734693E-2</v>
      </c>
      <c r="N79" s="7">
        <f t="shared" si="53"/>
        <v>41.449999997857958</v>
      </c>
      <c r="O79" s="7"/>
      <c r="P79" s="7"/>
      <c r="Q79" s="26"/>
      <c r="R79" s="26"/>
      <c r="S79" s="38">
        <f t="shared" si="54"/>
        <v>1</v>
      </c>
      <c r="T79" s="53" t="str">
        <f t="shared" si="62"/>
        <v>NorthBound</v>
      </c>
      <c r="U79" s="13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11:01:20-0600',mode:absolute,to:'2016-08-17 13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9" s="55" t="str">
        <f t="shared" si="56"/>
        <v>N</v>
      </c>
      <c r="X79" s="129">
        <f t="shared" si="63"/>
        <v>1</v>
      </c>
      <c r="Y79" s="70">
        <f t="shared" si="57"/>
        <v>4.6199999999999998E-2</v>
      </c>
      <c r="Z79" s="70">
        <f t="shared" si="58"/>
        <v>23.331099999999999</v>
      </c>
      <c r="AA79" s="70">
        <f t="shared" si="59"/>
        <v>23.2849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64"/>
        <v>0167-17</v>
      </c>
      <c r="AE79" s="104" t="str">
        <f t="shared" si="60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79" s="101" t="str">
        <f t="shared" si="61"/>
        <v>"C:\Program Files (x86)\AstroGrep\AstroGrep.exe" /spath="%USERPROFILE%\AppData\Local\Temp\OnboardLogs" /stypes="*4009*20160817*" /stext=" 18:.+((SYSTEM_STATE.+slice.+state.+changed )|(ment ac)|(system.+state.+changed )|(\|lc)|(penalty)|(\[timeout)|(PRM\|1\|D)|(kpr)|(kdp))" /e /r /s</v>
      </c>
      <c r="AG79" s="1" t="str">
        <f t="shared" si="65"/>
        <v>EC</v>
      </c>
      <c r="AH79" s="105" t="str">
        <f t="shared" si="16"/>
        <v>"%USERPROFILE%\Documents\GitHub\eaglep3\Utilities\RefineRTDCRunTimes.py" --tripid 167-17 --locoid 4009 --swversion DE.1.0.7.0 --startMP 204:462 --initTime 2016-08-17T12:01:20 --startdatetime 2016-08-17T12:04:15 --delay 2 --endMP 204:233311 --enddatetime 2016-08-17T12:45:42 --enforcementcount 0</v>
      </c>
    </row>
    <row r="80" spans="1:34" x14ac:dyDescent="0.25">
      <c r="A80" s="40" t="s">
        <v>419</v>
      </c>
      <c r="B80" s="7">
        <v>4010</v>
      </c>
      <c r="C80" s="25" t="s">
        <v>118</v>
      </c>
      <c r="D80" s="25" t="s">
        <v>420</v>
      </c>
      <c r="E80" s="16">
        <v>42599.53806712963</v>
      </c>
      <c r="F80" s="16">
        <v>42599.539189814815</v>
      </c>
      <c r="G80" s="7">
        <v>1</v>
      </c>
      <c r="H80" s="16" t="s">
        <v>373</v>
      </c>
      <c r="I80" s="16">
        <v>42599.565798611111</v>
      </c>
      <c r="J80" s="7">
        <v>0</v>
      </c>
      <c r="K80" s="142" t="str">
        <f t="shared" si="51"/>
        <v>4009/4010</v>
      </c>
      <c r="L80" s="25" t="str">
        <f>VLOOKUP(A80,'Trips&amp;Operators'!$C$1:$E$10000,3,FALSE)</f>
        <v>STAMBAUGH</v>
      </c>
      <c r="M80" s="6">
        <f t="shared" si="52"/>
        <v>2.6608796295477077E-2</v>
      </c>
      <c r="N80" s="7">
        <f t="shared" si="53"/>
        <v>38.316666665486991</v>
      </c>
      <c r="O80" s="7"/>
      <c r="P80" s="7"/>
      <c r="Q80" s="26"/>
      <c r="R80" s="26"/>
      <c r="S80" s="38">
        <f t="shared" si="54"/>
        <v>1</v>
      </c>
      <c r="T80" s="53" t="str">
        <f t="shared" si="62"/>
        <v>Southbound</v>
      </c>
      <c r="U80" s="13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11:54:49-0600',mode:absolute,to:'2016-08-17 14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0" s="55" t="str">
        <f t="shared" si="56"/>
        <v>N</v>
      </c>
      <c r="X80" s="129">
        <f t="shared" ref="X80:X94" si="66">VALUE(LEFT(AD80,4))-VALUE(LEFT(AD79,4))</f>
        <v>1</v>
      </c>
      <c r="Y80" s="70">
        <f t="shared" si="57"/>
        <v>23.298400000000001</v>
      </c>
      <c r="Z80" s="70">
        <f t="shared" si="58"/>
        <v>1.38E-2</v>
      </c>
      <c r="AA80" s="70">
        <f t="shared" si="59"/>
        <v>23.284600000000001</v>
      </c>
      <c r="AB80" s="67" t="e">
        <f>VLOOKUP(A80,Enforcements!$C$7:$J$24,8,0)</f>
        <v>#N/A</v>
      </c>
      <c r="AC80" s="63" t="e">
        <f>VLOOKUP(A80,Enforcements!$C$7:$E$24,3,0)</f>
        <v>#N/A</v>
      </c>
      <c r="AD80" s="64" t="str">
        <f t="shared" si="64"/>
        <v>0168-17</v>
      </c>
      <c r="AE80" s="104" t="str">
        <f t="shared" si="60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80" s="101" t="str">
        <f t="shared" si="61"/>
        <v>"C:\Program Files (x86)\AstroGrep\AstroGrep.exe" /spath="%USERPROFILE%\AppData\Local\Temp\OnboardLogs" /stypes="*4010*20160817*" /stext=" 19:.+((SYSTEM_STATE.+slice.+state.+changed )|(ment ac)|(system.+state.+changed )|(\|lc)|(penalty)|(\[timeout)|(PRM\|1\|D)|(kpr)|(kdp))" /e /r /s</v>
      </c>
      <c r="AG80" s="1" t="str">
        <f t="shared" si="65"/>
        <v>EC</v>
      </c>
      <c r="AH80" s="105" t="str">
        <f t="shared" si="16"/>
        <v>"%USERPROFILE%\Documents\GitHub\eaglep3\Utilities\RefineRTDCRunTimes.py" --tripid 168-17 --locoid 4010 --swversion DE.1.0.7.0 --startMP 204:232984 --initTime 2016-08-17T12:54:49 --startdatetime 2016-08-17T12:56:26 --delay 1 --endMP 204:138 --enddatetime 2016-08-17T13:34:45 --enforcementcount 0</v>
      </c>
    </row>
    <row r="81" spans="1:34" x14ac:dyDescent="0.25">
      <c r="A81" s="40" t="s">
        <v>421</v>
      </c>
      <c r="B81" s="7">
        <v>4002</v>
      </c>
      <c r="C81" s="25" t="s">
        <v>118</v>
      </c>
      <c r="D81" s="25" t="s">
        <v>422</v>
      </c>
      <c r="E81" s="16">
        <v>42599.512731481482</v>
      </c>
      <c r="F81" s="16">
        <v>42599.514143518521</v>
      </c>
      <c r="G81" s="7">
        <v>2</v>
      </c>
      <c r="H81" s="16" t="s">
        <v>156</v>
      </c>
      <c r="I81" s="16">
        <v>42599.544074074074</v>
      </c>
      <c r="J81" s="7">
        <v>0</v>
      </c>
      <c r="K81" s="142" t="str">
        <f t="shared" si="51"/>
        <v>4001/4002</v>
      </c>
      <c r="L81" s="25" t="str">
        <f>VLOOKUP(A81,'Trips&amp;Operators'!$C$1:$E$10000,3,FALSE)</f>
        <v>BRUDER</v>
      </c>
      <c r="M81" s="6">
        <f t="shared" si="52"/>
        <v>2.9930555552709848E-2</v>
      </c>
      <c r="N81" s="7">
        <f t="shared" si="53"/>
        <v>43.099999995902181</v>
      </c>
      <c r="O81" s="7"/>
      <c r="P81" s="7"/>
      <c r="Q81" s="26"/>
      <c r="R81" s="26"/>
      <c r="S81" s="38">
        <f t="shared" si="54"/>
        <v>1</v>
      </c>
      <c r="T81" s="53" t="str">
        <f t="shared" si="62"/>
        <v>NorthBound</v>
      </c>
      <c r="U81" s="13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11:18:20-0600',mode:absolute,to:'2016-08-17 14:03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1" s="55" t="str">
        <f t="shared" si="56"/>
        <v>N</v>
      </c>
      <c r="X81" s="129">
        <f t="shared" si="66"/>
        <v>1</v>
      </c>
      <c r="Y81" s="70">
        <f t="shared" si="57"/>
        <v>5.7000000000000002E-2</v>
      </c>
      <c r="Z81" s="70">
        <f t="shared" si="58"/>
        <v>23.331</v>
      </c>
      <c r="AA81" s="70">
        <f t="shared" si="59"/>
        <v>23.274000000000001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64"/>
        <v>0169-17</v>
      </c>
      <c r="AE81" s="104" t="str">
        <f t="shared" si="60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81" s="101" t="str">
        <f t="shared" si="61"/>
        <v>"C:\Program Files (x86)\AstroGrep\AstroGrep.exe" /spath="%USERPROFILE%\AppData\Local\Temp\OnboardLogs" /stypes="*4002*20160817*" /stext=" 19:.+((SYSTEM_STATE.+slice.+state.+changed )|(ment ac)|(system.+state.+changed )|(\|lc)|(penalty)|(\[timeout)|(PRM\|1\|D)|(kpr)|(kdp))" /e /r /s</v>
      </c>
      <c r="AG81" s="1" t="str">
        <f t="shared" si="65"/>
        <v>EC</v>
      </c>
      <c r="AH81" s="105" t="str">
        <f t="shared" si="16"/>
        <v>"%USERPROFILE%\Documents\GitHub\eaglep3\Utilities\RefineRTDCRunTimes.py" --tripid 169-17 --locoid 4002 --swversion DE.1.0.7.0 --startMP 204:570 --initTime 2016-08-17T12:18:20 --startdatetime 2016-08-17T12:20:22 --delay 2 --endMP 204:233310 --enddatetime 2016-08-17T13:03:28 --enforcementcount 0</v>
      </c>
    </row>
    <row r="82" spans="1:34" x14ac:dyDescent="0.25">
      <c r="A82" s="40" t="s">
        <v>423</v>
      </c>
      <c r="B82" s="7">
        <v>4001</v>
      </c>
      <c r="C82" s="25" t="s">
        <v>118</v>
      </c>
      <c r="D82" s="25" t="s">
        <v>121</v>
      </c>
      <c r="E82" s="16">
        <v>42599.54582175926</v>
      </c>
      <c r="F82" s="16">
        <v>42599.547164351854</v>
      </c>
      <c r="G82" s="7">
        <v>1</v>
      </c>
      <c r="H82" s="16" t="s">
        <v>227</v>
      </c>
      <c r="I82" s="16">
        <v>42599.577916666669</v>
      </c>
      <c r="J82" s="7">
        <v>0</v>
      </c>
      <c r="K82" s="142" t="str">
        <f t="shared" si="51"/>
        <v>4001/4002</v>
      </c>
      <c r="L82" s="25" t="str">
        <f>VLOOKUP(A82,'Trips&amp;Operators'!$C$1:$E$10000,3,FALSE)</f>
        <v>BRUDER</v>
      </c>
      <c r="M82" s="6">
        <f t="shared" si="52"/>
        <v>3.0752314814890269E-2</v>
      </c>
      <c r="N82" s="7">
        <f t="shared" si="53"/>
        <v>44.283333333441988</v>
      </c>
      <c r="O82" s="7"/>
      <c r="P82" s="7"/>
      <c r="Q82" s="26"/>
      <c r="R82" s="26"/>
      <c r="S82" s="38">
        <f t="shared" si="54"/>
        <v>1</v>
      </c>
      <c r="T82" s="53" t="str">
        <f t="shared" si="62"/>
        <v>Southbound</v>
      </c>
      <c r="U82" s="13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12:05:59-0600',mode:absolute,to:'2016-08-17 14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2" s="55" t="str">
        <f t="shared" si="56"/>
        <v>N</v>
      </c>
      <c r="X82" s="129">
        <f t="shared" si="66"/>
        <v>1</v>
      </c>
      <c r="Y82" s="70">
        <f t="shared" si="57"/>
        <v>23.299299999999999</v>
      </c>
      <c r="Z82" s="70">
        <f t="shared" si="58"/>
        <v>1.41E-2</v>
      </c>
      <c r="AA82" s="70">
        <f t="shared" si="59"/>
        <v>23.2852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64"/>
        <v>0170-17</v>
      </c>
      <c r="AE82" s="104" t="str">
        <f t="shared" si="60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82" s="101" t="str">
        <f t="shared" si="61"/>
        <v>"C:\Program Files (x86)\AstroGrep\AstroGrep.exe" /spath="%USERPROFILE%\AppData\Local\Temp\OnboardLogs" /stypes="*4001*20160817*" /stext=" 19:.+((SYSTEM_STATE.+slice.+state.+changed )|(ment ac)|(system.+state.+changed )|(\|lc)|(penalty)|(\[timeout)|(PRM\|1\|D)|(kpr)|(kdp))" /e /r /s</v>
      </c>
      <c r="AG82" s="1" t="str">
        <f t="shared" si="65"/>
        <v>EC</v>
      </c>
      <c r="AH82" s="105" t="str">
        <f t="shared" si="16"/>
        <v>"%USERPROFILE%\Documents\GitHub\eaglep3\Utilities\RefineRTDCRunTimes.py" --tripid 170-17 --locoid 4001 --swversion DE.1.0.7.0 --startMP 204:232993 --initTime 2016-08-17T13:05:59 --startdatetime 2016-08-17T13:07:55 --delay 1 --endMP 204:141 --enddatetime 2016-08-17T13:52:12 --enforcementcount 0</v>
      </c>
    </row>
    <row r="83" spans="1:34" x14ac:dyDescent="0.25">
      <c r="A83" s="40" t="s">
        <v>424</v>
      </c>
      <c r="B83" s="7">
        <v>4014</v>
      </c>
      <c r="C83" s="25" t="s">
        <v>118</v>
      </c>
      <c r="D83" s="25" t="s">
        <v>113</v>
      </c>
      <c r="E83" s="16">
        <v>42599.52003472222</v>
      </c>
      <c r="F83" s="16">
        <v>42599.521145833336</v>
      </c>
      <c r="G83" s="7">
        <v>1</v>
      </c>
      <c r="H83" s="16" t="s">
        <v>425</v>
      </c>
      <c r="I83" s="16">
        <v>42599.549444444441</v>
      </c>
      <c r="J83" s="7">
        <v>0</v>
      </c>
      <c r="K83" s="142" t="str">
        <f t="shared" si="51"/>
        <v>4013/4014</v>
      </c>
      <c r="L83" s="25" t="str">
        <f>VLOOKUP(A83,'Trips&amp;Operators'!$C$1:$E$10000,3,FALSE)</f>
        <v>KILLION</v>
      </c>
      <c r="M83" s="6">
        <f t="shared" si="52"/>
        <v>2.8298611105128657E-2</v>
      </c>
      <c r="N83" s="7"/>
      <c r="O83" s="7"/>
      <c r="P83" s="7">
        <f>24*60*SUM($M83:$M83)</f>
        <v>40.749999991385266</v>
      </c>
      <c r="Q83" s="26"/>
      <c r="R83" s="26" t="s">
        <v>703</v>
      </c>
      <c r="S83" s="38">
        <f t="shared" si="54"/>
        <v>1</v>
      </c>
      <c r="T83" s="53" t="str">
        <f t="shared" si="62"/>
        <v>NorthBound</v>
      </c>
      <c r="U83" s="13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3" s="55" t="str">
        <f t="shared" si="56"/>
        <v>Y</v>
      </c>
      <c r="X83" s="129">
        <f t="shared" si="66"/>
        <v>1</v>
      </c>
      <c r="Y83" s="70">
        <f t="shared" si="57"/>
        <v>4.6399999999999997E-2</v>
      </c>
      <c r="Z83" s="70">
        <f t="shared" si="58"/>
        <v>16.1831</v>
      </c>
      <c r="AA83" s="70">
        <f t="shared" si="59"/>
        <v>16.136700000000001</v>
      </c>
      <c r="AB83" s="67" t="e">
        <f>VLOOKUP(A83,Enforcements!$C$7:$J$24,8,0)</f>
        <v>#N/A</v>
      </c>
      <c r="AC83" s="63" t="e">
        <f>VLOOKUP(A83,Enforcements!$C$7:$E$24,3,0)</f>
        <v>#N/A</v>
      </c>
      <c r="AD83" s="64" t="str">
        <f t="shared" si="64"/>
        <v>0171-17</v>
      </c>
      <c r="AE83" s="104" t="str">
        <f t="shared" si="60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83" s="101" t="str">
        <f t="shared" si="61"/>
        <v>"C:\Program Files (x86)\AstroGrep\AstroGrep.exe" /spath="%USERPROFILE%\AppData\Local\Temp\OnboardLogs" /stypes="*4014*20160817*" /stext=" 19:.+((SYSTEM_STATE.+slice.+state.+changed )|(ment ac)|(system.+state.+changed )|(\|lc)|(penalty)|(\[timeout)|(PRM\|1\|D)|(kpr)|(kdp))" /e /r /s</v>
      </c>
      <c r="AG83" s="1" t="str">
        <f t="shared" si="65"/>
        <v>EC</v>
      </c>
      <c r="AH83" s="105" t="str">
        <f t="shared" si="16"/>
        <v>"%USERPROFILE%\Documents\GitHub\eaglep3\Utilities\RefineRTDCRunTimes.py" --tripid 171-17 --locoid 4014 --swversion DE.1.0.7.0 --startMP 204:464 --initTime 2016-08-17T12:28:51 --startdatetime 2016-08-17T12:30:27 --delay 1 --endMP 204:161831 --enddatetime 2016-08-17T13:11:12 --enforcementcount 0</v>
      </c>
    </row>
    <row r="84" spans="1:34" x14ac:dyDescent="0.25">
      <c r="A84" s="40" t="s">
        <v>426</v>
      </c>
      <c r="B84" s="7">
        <v>4013</v>
      </c>
      <c r="C84" s="25" t="s">
        <v>118</v>
      </c>
      <c r="D84" s="25" t="s">
        <v>427</v>
      </c>
      <c r="E84" s="16">
        <v>42599.557754629626</v>
      </c>
      <c r="F84" s="16">
        <v>42599.559004629627</v>
      </c>
      <c r="G84" s="7">
        <v>1</v>
      </c>
      <c r="H84" s="16" t="s">
        <v>172</v>
      </c>
      <c r="I84" s="16">
        <v>42599.590509259258</v>
      </c>
      <c r="J84" s="7">
        <v>0</v>
      </c>
      <c r="K84" s="142" t="str">
        <f t="shared" si="51"/>
        <v>4013/4014</v>
      </c>
      <c r="L84" s="25" t="str">
        <f>VLOOKUP(A84,'Trips&amp;Operators'!$C$1:$E$10000,3,FALSE)</f>
        <v>KILLION</v>
      </c>
      <c r="M84" s="6">
        <f t="shared" si="52"/>
        <v>3.1504629630944692E-2</v>
      </c>
      <c r="N84" s="7">
        <f>24*60*SUM($M84:$M84)</f>
        <v>45.366666668560356</v>
      </c>
      <c r="O84" s="7"/>
      <c r="P84" s="7"/>
      <c r="Q84" s="26"/>
      <c r="R84" s="26"/>
      <c r="S84" s="38">
        <f t="shared" si="54"/>
        <v>1</v>
      </c>
      <c r="T84" s="53" t="str">
        <f t="shared" si="62"/>
        <v>Southbound</v>
      </c>
      <c r="U84" s="13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12:23:10-0600',mode:absolute,to:'2016-08-17 15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4" s="55" t="str">
        <f t="shared" si="56"/>
        <v>N</v>
      </c>
      <c r="X84" s="129">
        <f t="shared" si="66"/>
        <v>1</v>
      </c>
      <c r="Y84" s="70">
        <f t="shared" si="57"/>
        <v>23.294</v>
      </c>
      <c r="Z84" s="70">
        <f t="shared" si="58"/>
        <v>1.4999999999999999E-2</v>
      </c>
      <c r="AA84" s="70">
        <f t="shared" si="59"/>
        <v>23.279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64"/>
        <v>0172-17</v>
      </c>
      <c r="AE84" s="104" t="str">
        <f t="shared" si="60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84" s="101" t="str">
        <f t="shared" si="61"/>
        <v>"C:\Program Files (x86)\AstroGrep\AstroGrep.exe" /spath="%USERPROFILE%\AppData\Local\Temp\OnboardLogs" /stypes="*4013*20160817*" /stext=" 20:.+((SYSTEM_STATE.+slice.+state.+changed )|(ment ac)|(system.+state.+changed )|(\|lc)|(penalty)|(\[timeout)|(PRM\|1\|D)|(kpr)|(kdp))" /e /r /s</v>
      </c>
      <c r="AG84" s="1" t="str">
        <f t="shared" si="65"/>
        <v>EC</v>
      </c>
      <c r="AH84" s="105" t="str">
        <f t="shared" si="16"/>
        <v>"%USERPROFILE%\Documents\GitHub\eaglep3\Utilities\RefineRTDCRunTimes.py" --tripid 172-17 --locoid 4013 --swversion DE.1.0.7.0 --startMP 204:232940 --initTime 2016-08-17T13:23:10 --startdatetime 2016-08-17T13:24:58 --delay 1 --endMP 204:150 --enddatetime 2016-08-17T14:10:20 --enforcementcount 0</v>
      </c>
    </row>
    <row r="85" spans="1:34" s="24" customFormat="1" x14ac:dyDescent="0.25">
      <c r="A85" s="40" t="s">
        <v>428</v>
      </c>
      <c r="B85" s="7">
        <v>4020</v>
      </c>
      <c r="C85" s="25" t="s">
        <v>118</v>
      </c>
      <c r="D85" s="25" t="s">
        <v>365</v>
      </c>
      <c r="E85" s="16">
        <v>42599.529386574075</v>
      </c>
      <c r="F85" s="16">
        <v>42599.530393518522</v>
      </c>
      <c r="G85" s="7">
        <v>1</v>
      </c>
      <c r="H85" s="16" t="s">
        <v>429</v>
      </c>
      <c r="I85" s="16">
        <v>42599.552106481482</v>
      </c>
      <c r="J85" s="7">
        <v>0</v>
      </c>
      <c r="K85" s="142" t="str">
        <f t="shared" si="51"/>
        <v>4019/4020</v>
      </c>
      <c r="L85" s="25" t="str">
        <f>VLOOKUP(A85,'Trips&amp;Operators'!$C$1:$E$10000,3,FALSE)</f>
        <v>BONDS</v>
      </c>
      <c r="M85" s="6">
        <f t="shared" si="52"/>
        <v>2.1712962960009463E-2</v>
      </c>
      <c r="N85" s="7"/>
      <c r="O85" s="7"/>
      <c r="P85" s="7">
        <f>24*60*SUM($M85:$M85)</f>
        <v>31.266666662413627</v>
      </c>
      <c r="Q85" s="26"/>
      <c r="R85" s="26" t="s">
        <v>703</v>
      </c>
      <c r="S85" s="38">
        <f t="shared" si="54"/>
        <v>1</v>
      </c>
      <c r="T85" s="53" t="str">
        <f t="shared" si="62"/>
        <v>NorthBound</v>
      </c>
      <c r="U85" s="13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11:42:19-0600',mode:absolute,to:'2016-08-17 14:15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5" s="55" t="str">
        <f t="shared" si="56"/>
        <v>Y</v>
      </c>
      <c r="X85" s="129">
        <f t="shared" si="66"/>
        <v>1</v>
      </c>
      <c r="Y85" s="70">
        <f t="shared" si="57"/>
        <v>4.7800000000000002E-2</v>
      </c>
      <c r="Z85" s="70">
        <f t="shared" si="58"/>
        <v>16.535699999999999</v>
      </c>
      <c r="AA85" s="70">
        <f t="shared" si="59"/>
        <v>16.4879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64"/>
        <v>0173-17</v>
      </c>
      <c r="AE85" s="104" t="str">
        <f t="shared" si="60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85" s="101" t="str">
        <f t="shared" si="61"/>
        <v>"C:\Program Files (x86)\AstroGrep\AstroGrep.exe" /spath="%USERPROFILE%\AppData\Local\Temp\OnboardLogs" /stypes="*4020*20160817*" /stext=" 19:.+((SYSTEM_STATE.+slice.+state.+changed )|(ment ac)|(system.+state.+changed )|(\|lc)|(penalty)|(\[timeout)|(PRM\|1\|D)|(kpr)|(kdp))" /e /r /s</v>
      </c>
      <c r="AG85" s="1" t="str">
        <f t="shared" si="65"/>
        <v>EC</v>
      </c>
      <c r="AH85" s="105" t="str">
        <f t="shared" ref="AH85:AH146" si="67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</f>
        <v>"%USERPROFILE%\Documents\GitHub\eaglep3\Utilities\RefineRTDCRunTimes.py" --tripid 173-17 --locoid 4020 --swversion DE.1.0.7.0 --startMP 204:478 --initTime 2016-08-17T12:42:19 --startdatetime 2016-08-17T12:43:46 --delay 1 --endMP 204:165357 --enddatetime 2016-08-17T13:15:02 --enforcementcount 0</v>
      </c>
    </row>
    <row r="86" spans="1:34" s="24" customFormat="1" x14ac:dyDescent="0.25">
      <c r="A86" s="40" t="s">
        <v>430</v>
      </c>
      <c r="B86" s="7">
        <v>4019</v>
      </c>
      <c r="C86" s="25" t="s">
        <v>118</v>
      </c>
      <c r="D86" s="25" t="s">
        <v>431</v>
      </c>
      <c r="E86" s="16">
        <v>42599.56354166667</v>
      </c>
      <c r="F86" s="16">
        <v>42599.564328703702</v>
      </c>
      <c r="G86" s="7">
        <v>1</v>
      </c>
      <c r="H86" s="16" t="s">
        <v>262</v>
      </c>
      <c r="I86" s="16">
        <v>42599.597650462965</v>
      </c>
      <c r="J86" s="7">
        <v>0</v>
      </c>
      <c r="K86" s="142" t="str">
        <f t="shared" si="51"/>
        <v>4019/4020</v>
      </c>
      <c r="L86" s="25" t="str">
        <f>VLOOKUP(A86,'Trips&amp;Operators'!$C$1:$E$10000,3,FALSE)</f>
        <v>BONDS</v>
      </c>
      <c r="M86" s="6">
        <f t="shared" si="52"/>
        <v>3.3321759263344575E-2</v>
      </c>
      <c r="N86" s="7">
        <f>24*60*SUM($M86:$M86)</f>
        <v>47.983333339216188</v>
      </c>
      <c r="O86" s="7"/>
      <c r="P86" s="7"/>
      <c r="Q86" s="26"/>
      <c r="R86" s="26"/>
      <c r="S86" s="38">
        <f t="shared" si="54"/>
        <v>1</v>
      </c>
      <c r="T86" s="53" t="str">
        <f t="shared" si="62"/>
        <v>Southbound</v>
      </c>
      <c r="U86" s="13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12:31:30-0600',mode:absolute,to:'2016-08-17 15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6" s="55" t="str">
        <f t="shared" si="56"/>
        <v>N</v>
      </c>
      <c r="X86" s="129">
        <f t="shared" si="66"/>
        <v>1</v>
      </c>
      <c r="Y86" s="70">
        <f t="shared" si="57"/>
        <v>23.300999999999998</v>
      </c>
      <c r="Z86" s="70">
        <f t="shared" si="58"/>
        <v>1.3599999999999999E-2</v>
      </c>
      <c r="AA86" s="70">
        <f t="shared" si="59"/>
        <v>23.287399999999998</v>
      </c>
      <c r="AB86" s="67" t="e">
        <f>VLOOKUP(A86,Enforcements!$C$7:$J$24,8,0)</f>
        <v>#N/A</v>
      </c>
      <c r="AC86" s="63" t="e">
        <f>VLOOKUP(A86,Enforcements!$C$7:$E$24,3,0)</f>
        <v>#N/A</v>
      </c>
      <c r="AD86" s="64" t="str">
        <f t="shared" si="64"/>
        <v>0174-17</v>
      </c>
      <c r="AE86" s="104" t="str">
        <f t="shared" si="60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86" s="101" t="str">
        <f t="shared" si="61"/>
        <v>"C:\Program Files (x86)\AstroGrep\AstroGrep.exe" /spath="%USERPROFILE%\AppData\Local\Temp\OnboardLogs" /stypes="*4019*20160817*" /stext=" 20:.+((SYSTEM_STATE.+slice.+state.+changed )|(ment ac)|(system.+state.+changed )|(\|lc)|(penalty)|(\[timeout)|(PRM\|1\|D)|(kpr)|(kdp))" /e /r /s</v>
      </c>
      <c r="AG86" s="1" t="str">
        <f t="shared" si="65"/>
        <v>EC</v>
      </c>
      <c r="AH86" s="105" t="str">
        <f t="shared" si="67"/>
        <v>"%USERPROFILE%\Documents\GitHub\eaglep3\Utilities\RefineRTDCRunTimes.py" --tripid 174-17 --locoid 4019 --swversion DE.1.0.7.0 --startMP 204:233010 --initTime 2016-08-17T13:31:30 --startdatetime 2016-08-17T13:32:38 --delay 1 --endMP 204:136 --enddatetime 2016-08-17T14:20:37 --enforcementcount 0</v>
      </c>
    </row>
    <row r="87" spans="1:34" x14ac:dyDescent="0.25">
      <c r="A87" s="40" t="s">
        <v>432</v>
      </c>
      <c r="B87" s="7">
        <v>4027</v>
      </c>
      <c r="C87" s="25" t="s">
        <v>118</v>
      </c>
      <c r="D87" s="25" t="s">
        <v>143</v>
      </c>
      <c r="E87" s="16">
        <v>42599.535810185182</v>
      </c>
      <c r="F87" s="16">
        <v>42599.537557870368</v>
      </c>
      <c r="G87" s="7">
        <v>2</v>
      </c>
      <c r="H87" s="16" t="s">
        <v>433</v>
      </c>
      <c r="I87" s="16">
        <v>42599.562303240738</v>
      </c>
      <c r="J87" s="7">
        <v>0</v>
      </c>
      <c r="K87" s="142" t="str">
        <f t="shared" si="51"/>
        <v>4027/4028</v>
      </c>
      <c r="L87" s="25" t="str">
        <f>VLOOKUP(A87,'Trips&amp;Operators'!$C$1:$E$10000,3,FALSE)</f>
        <v>YORK</v>
      </c>
      <c r="M87" s="6">
        <f t="shared" si="52"/>
        <v>2.47453703705105E-2</v>
      </c>
      <c r="N87" s="7"/>
      <c r="O87" s="7"/>
      <c r="P87" s="7">
        <f>24*60*SUM($M87:$M87)</f>
        <v>35.63333333353512</v>
      </c>
      <c r="Q87" s="26"/>
      <c r="R87" s="26" t="s">
        <v>703</v>
      </c>
      <c r="S87" s="38">
        <f t="shared" si="54"/>
        <v>1</v>
      </c>
      <c r="T87" s="53" t="str">
        <f t="shared" si="62"/>
        <v>NorthBound</v>
      </c>
      <c r="U87" s="13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11:51:34-0600',mode:absolute,to:'2016-08-17 14:29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7" s="55" t="str">
        <f t="shared" si="56"/>
        <v>Y</v>
      </c>
      <c r="X87" s="129">
        <f t="shared" si="66"/>
        <v>1</v>
      </c>
      <c r="Y87" s="70">
        <f t="shared" si="57"/>
        <v>4.4900000000000002E-2</v>
      </c>
      <c r="Z87" s="70">
        <f t="shared" si="58"/>
        <v>16.764900000000001</v>
      </c>
      <c r="AA87" s="70">
        <f t="shared" si="59"/>
        <v>16.720000000000002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64"/>
        <v>0175-17</v>
      </c>
      <c r="AE87" s="104" t="str">
        <f t="shared" si="60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87" s="101" t="str">
        <f t="shared" si="61"/>
        <v>"C:\Program Files (x86)\AstroGrep\AstroGrep.exe" /spath="%USERPROFILE%\AppData\Local\Temp\OnboardLogs" /stypes="*4027*20160817*" /stext=" 19:.+((SYSTEM_STATE.+slice.+state.+changed )|(ment ac)|(system.+state.+changed )|(\|lc)|(penalty)|(\[timeout)|(PRM\|1\|D)|(kpr)|(kdp))" /e /r /s</v>
      </c>
      <c r="AG87" s="1" t="str">
        <f t="shared" si="65"/>
        <v>EC</v>
      </c>
      <c r="AH87" s="105" t="str">
        <f t="shared" si="67"/>
        <v>"%USERPROFILE%\Documents\GitHub\eaglep3\Utilities\RefineRTDCRunTimes.py" --tripid 175-17 --locoid 4027 --swversion DE.1.0.7.0 --startMP 204:449 --initTime 2016-08-17T12:51:34 --startdatetime 2016-08-17T12:54:05 --delay 2 --endMP 204:167649 --enddatetime 2016-08-17T13:29:43 --enforcementcount 0</v>
      </c>
    </row>
    <row r="88" spans="1:34" x14ac:dyDescent="0.25">
      <c r="A88" s="40" t="s">
        <v>434</v>
      </c>
      <c r="B88" s="7">
        <v>4028</v>
      </c>
      <c r="C88" s="25" t="s">
        <v>118</v>
      </c>
      <c r="D88" s="25" t="s">
        <v>258</v>
      </c>
      <c r="E88" s="16">
        <v>42599.568692129629</v>
      </c>
      <c r="F88" s="16">
        <v>42599.569340277776</v>
      </c>
      <c r="G88" s="7">
        <v>0</v>
      </c>
      <c r="H88" s="16" t="s">
        <v>369</v>
      </c>
      <c r="I88" s="16">
        <v>42599.606516203705</v>
      </c>
      <c r="J88" s="7">
        <v>0</v>
      </c>
      <c r="K88" s="142" t="str">
        <f t="shared" si="51"/>
        <v>4027/4028</v>
      </c>
      <c r="L88" s="25" t="str">
        <f>VLOOKUP(A88,'Trips&amp;Operators'!$C$1:$E$10000,3,FALSE)</f>
        <v>YORK</v>
      </c>
      <c r="M88" s="6">
        <f t="shared" si="52"/>
        <v>3.7175925928750075E-2</v>
      </c>
      <c r="N88" s="7">
        <f>24*60*SUM($M88:$M88)</f>
        <v>53.533333337400109</v>
      </c>
      <c r="O88" s="7"/>
      <c r="P88" s="7"/>
      <c r="Q88" s="26"/>
      <c r="R88" s="26"/>
      <c r="S88" s="38">
        <f t="shared" si="54"/>
        <v>1</v>
      </c>
      <c r="T88" s="53" t="str">
        <f t="shared" si="62"/>
        <v>Southbound</v>
      </c>
      <c r="U88" s="13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12:38:55-0600',mode:absolute,to:'2016-08-17 15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8" s="55" t="str">
        <f t="shared" si="56"/>
        <v>N</v>
      </c>
      <c r="X88" s="129">
        <f t="shared" si="66"/>
        <v>1</v>
      </c>
      <c r="Y88" s="70">
        <f t="shared" si="57"/>
        <v>23.298999999999999</v>
      </c>
      <c r="Z88" s="70">
        <f t="shared" si="58"/>
        <v>1.4500000000000001E-2</v>
      </c>
      <c r="AA88" s="70">
        <f t="shared" si="59"/>
        <v>23.284499999999998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64"/>
        <v>0176-17</v>
      </c>
      <c r="AE88" s="104" t="str">
        <f t="shared" si="60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88" s="101" t="str">
        <f t="shared" si="61"/>
        <v>"C:\Program Files (x86)\AstroGrep\AstroGrep.exe" /spath="%USERPROFILE%\AppData\Local\Temp\OnboardLogs" /stypes="*4028*20160817*" /stext=" 20:.+((SYSTEM_STATE.+slice.+state.+changed )|(ment ac)|(system.+state.+changed )|(\|lc)|(penalty)|(\[timeout)|(PRM\|1\|D)|(kpr)|(kdp))" /e /r /s</v>
      </c>
      <c r="AG88" s="1" t="str">
        <f t="shared" si="65"/>
        <v>EC</v>
      </c>
      <c r="AH88" s="105" t="str">
        <f t="shared" si="67"/>
        <v>"%USERPROFILE%\Documents\GitHub\eaglep3\Utilities\RefineRTDCRunTimes.py" --tripid 176-17 --locoid 4028 --swversion DE.1.0.7.0 --startMP 204:232990 --initTime 2016-08-17T13:38:55 --startdatetime 2016-08-17T13:39:51 --delay 0 --endMP 204:145 --enddatetime 2016-08-17T14:33:23 --enforcementcount 0</v>
      </c>
    </row>
    <row r="89" spans="1:34" x14ac:dyDescent="0.25">
      <c r="A89" s="40" t="s">
        <v>435</v>
      </c>
      <c r="B89" s="7">
        <v>4003</v>
      </c>
      <c r="C89" s="25" t="s">
        <v>118</v>
      </c>
      <c r="D89" s="25" t="s">
        <v>152</v>
      </c>
      <c r="E89" s="16">
        <v>42599.547881944447</v>
      </c>
      <c r="F89" s="16">
        <v>42599.549120370371</v>
      </c>
      <c r="G89" s="7">
        <v>1</v>
      </c>
      <c r="H89" s="16" t="s">
        <v>436</v>
      </c>
      <c r="I89" s="16">
        <v>42599.571331018517</v>
      </c>
      <c r="J89" s="7">
        <v>0</v>
      </c>
      <c r="K89" s="142" t="str">
        <f t="shared" si="51"/>
        <v>4003/4004</v>
      </c>
      <c r="L89" s="25" t="str">
        <f>VLOOKUP(A89,'Trips&amp;Operators'!$C$1:$E$10000,3,FALSE)</f>
        <v>HELVIE</v>
      </c>
      <c r="M89" s="6">
        <f t="shared" si="52"/>
        <v>2.2210648145119194E-2</v>
      </c>
      <c r="N89" s="7"/>
      <c r="O89" s="7"/>
      <c r="P89" s="7">
        <f>24*60*SUM($M89:$M89)</f>
        <v>31.983333328971639</v>
      </c>
      <c r="Q89" s="26"/>
      <c r="R89" s="26" t="s">
        <v>703</v>
      </c>
      <c r="S89" s="38">
        <f t="shared" si="54"/>
        <v>1</v>
      </c>
      <c r="T89" s="53" t="str">
        <f t="shared" si="62"/>
        <v>NorthBound</v>
      </c>
      <c r="U89" s="13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12:08:57-0600',mode:absolute,to:'2016-08-17 14:42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89" s="55" t="str">
        <f t="shared" si="56"/>
        <v>Y</v>
      </c>
      <c r="X89" s="129">
        <f t="shared" si="66"/>
        <v>1</v>
      </c>
      <c r="Y89" s="70">
        <f t="shared" si="57"/>
        <v>4.6699999999999998E-2</v>
      </c>
      <c r="Z89" s="70">
        <f t="shared" si="58"/>
        <v>15.4421</v>
      </c>
      <c r="AA89" s="70">
        <f t="shared" si="59"/>
        <v>15.3954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64"/>
        <v>0177-17</v>
      </c>
      <c r="AE89" s="104" t="str">
        <f t="shared" si="60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89" s="101" t="str">
        <f t="shared" si="61"/>
        <v>"C:\Program Files (x86)\AstroGrep\AstroGrep.exe" /spath="%USERPROFILE%\AppData\Local\Temp\OnboardLogs" /stypes="*4003*20160817*" /stext=" 19:.+((SYSTEM_STATE.+slice.+state.+changed )|(ment ac)|(system.+state.+changed )|(\|lc)|(penalty)|(\[timeout)|(PRM\|1\|D)|(kpr)|(kdp))" /e /r /s</v>
      </c>
      <c r="AG89" s="1" t="str">
        <f t="shared" si="65"/>
        <v>EC</v>
      </c>
      <c r="AH89" s="105" t="str">
        <f t="shared" si="67"/>
        <v>"%USERPROFILE%\Documents\GitHub\eaglep3\Utilities\RefineRTDCRunTimes.py" --tripid 177-17 --locoid 4003 --swversion DE.1.0.7.0 --startMP 204:467 --initTime 2016-08-17T13:08:57 --startdatetime 2016-08-17T13:10:44 --delay 1 --endMP 204:154421 --enddatetime 2016-08-17T13:42:43 --enforcementcount 0</v>
      </c>
    </row>
    <row r="90" spans="1:34" s="24" customFormat="1" x14ac:dyDescent="0.25">
      <c r="A90" s="40" t="s">
        <v>437</v>
      </c>
      <c r="B90" s="7">
        <v>4004</v>
      </c>
      <c r="C90" s="25" t="s">
        <v>118</v>
      </c>
      <c r="D90" s="25" t="s">
        <v>278</v>
      </c>
      <c r="E90" s="16">
        <v>42599.584560185183</v>
      </c>
      <c r="F90" s="16">
        <v>42599.585925925923</v>
      </c>
      <c r="G90" s="7">
        <v>1</v>
      </c>
      <c r="H90" s="16" t="s">
        <v>438</v>
      </c>
      <c r="I90" s="16">
        <v>42599.618715277778</v>
      </c>
      <c r="J90" s="7">
        <v>0</v>
      </c>
      <c r="K90" s="142" t="str">
        <f t="shared" si="51"/>
        <v>4003/4004</v>
      </c>
      <c r="L90" s="25" t="str">
        <f>VLOOKUP(A90,'Trips&amp;Operators'!$C$1:$E$10000,3,FALSE)</f>
        <v>HELVIE</v>
      </c>
      <c r="M90" s="6">
        <f t="shared" si="52"/>
        <v>3.2789351855171844E-2</v>
      </c>
      <c r="N90" s="7">
        <f t="shared" ref="N90:N121" si="68">24*60*SUM($M90:$M90)</f>
        <v>47.216666671447456</v>
      </c>
      <c r="O90" s="7"/>
      <c r="P90" s="7"/>
      <c r="Q90" s="26"/>
      <c r="R90" s="26"/>
      <c r="S90" s="38">
        <f t="shared" si="54"/>
        <v>1</v>
      </c>
      <c r="T90" s="53" t="str">
        <f t="shared" si="62"/>
        <v>Southbound</v>
      </c>
      <c r="U90" s="13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13:01:46-0600',mode:absolute,to:'2016-08-17 15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90" s="55" t="str">
        <f t="shared" si="56"/>
        <v>N</v>
      </c>
      <c r="X90" s="129">
        <f t="shared" si="66"/>
        <v>1</v>
      </c>
      <c r="Y90" s="70">
        <f t="shared" si="57"/>
        <v>23.297899999999998</v>
      </c>
      <c r="Z90" s="70">
        <f t="shared" si="58"/>
        <v>0.1169</v>
      </c>
      <c r="AA90" s="70">
        <f t="shared" si="59"/>
        <v>23.180999999999997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64"/>
        <v>0178-17</v>
      </c>
      <c r="AE90" s="104" t="str">
        <f t="shared" si="60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90" s="101" t="str">
        <f t="shared" si="61"/>
        <v>"C:\Program Files (x86)\AstroGrep\AstroGrep.exe" /spath="%USERPROFILE%\AppData\Local\Temp\OnboardLogs" /stypes="*4004*20160817*" /stext=" 20:.+((SYSTEM_STATE.+slice.+state.+changed )|(ment ac)|(system.+state.+changed )|(\|lc)|(penalty)|(\[timeout)|(PRM\|1\|D)|(kpr)|(kdp))" /e /r /s</v>
      </c>
      <c r="AG90" s="1" t="str">
        <f t="shared" si="65"/>
        <v>EC</v>
      </c>
      <c r="AH90" s="105" t="str">
        <f t="shared" si="67"/>
        <v>"%USERPROFILE%\Documents\GitHub\eaglep3\Utilities\RefineRTDCRunTimes.py" --tripid 178-17 --locoid 4004 --swversion DE.1.0.7.0 --startMP 204:232979 --initTime 2016-08-17T14:01:46 --startdatetime 2016-08-17T14:03:44 --delay 1 --endMP 204:1169 --enddatetime 2016-08-17T14:50:57 --enforcementcount 0</v>
      </c>
    </row>
    <row r="91" spans="1:34" x14ac:dyDescent="0.25">
      <c r="A91" s="40" t="s">
        <v>439</v>
      </c>
      <c r="B91" s="7">
        <v>4025</v>
      </c>
      <c r="C91" s="25" t="s">
        <v>118</v>
      </c>
      <c r="D91" s="25" t="s">
        <v>229</v>
      </c>
      <c r="E91" s="16">
        <v>42599.556990740741</v>
      </c>
      <c r="F91" s="16">
        <v>42599.56144675926</v>
      </c>
      <c r="G91" s="7">
        <v>6</v>
      </c>
      <c r="H91" s="16" t="s">
        <v>440</v>
      </c>
      <c r="I91" s="16">
        <v>42599.589421296296</v>
      </c>
      <c r="J91" s="7">
        <v>0</v>
      </c>
      <c r="K91" s="142" t="str">
        <f t="shared" si="51"/>
        <v>4025/4026</v>
      </c>
      <c r="L91" s="25" t="str">
        <f>VLOOKUP(A91,'Trips&amp;Operators'!$C$1:$E$10000,3,FALSE)</f>
        <v>STORY</v>
      </c>
      <c r="M91" s="6">
        <f t="shared" si="52"/>
        <v>2.7974537035333924E-2</v>
      </c>
      <c r="N91" s="7">
        <f t="shared" si="68"/>
        <v>40.283333330880851</v>
      </c>
      <c r="O91" s="7"/>
      <c r="P91" s="7"/>
      <c r="Q91" s="26"/>
      <c r="R91" s="26"/>
      <c r="S91" s="38">
        <f t="shared" si="54"/>
        <v>1</v>
      </c>
      <c r="T91" s="53" t="str">
        <f t="shared" si="62"/>
        <v>NorthBound</v>
      </c>
      <c r="U91" s="13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12:22:04-0600',mode:absolute,to:'2016-08-17 15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91" s="55" t="str">
        <f t="shared" si="56"/>
        <v>N</v>
      </c>
      <c r="X91" s="129">
        <f t="shared" si="66"/>
        <v>1</v>
      </c>
      <c r="Y91" s="70">
        <f t="shared" si="57"/>
        <v>4.82E-2</v>
      </c>
      <c r="Z91" s="70">
        <f t="shared" si="58"/>
        <v>23.323599999999999</v>
      </c>
      <c r="AA91" s="70">
        <f t="shared" si="59"/>
        <v>23.275399999999998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64"/>
        <v>0179-17</v>
      </c>
      <c r="AE91" s="104" t="str">
        <f t="shared" si="60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91" s="101" t="str">
        <f t="shared" si="61"/>
        <v>"C:\Program Files (x86)\AstroGrep\AstroGrep.exe" /spath="%USERPROFILE%\AppData\Local\Temp\OnboardLogs" /stypes="*4025*20160817*" /stext=" 20:.+((SYSTEM_STATE.+slice.+state.+changed )|(ment ac)|(system.+state.+changed )|(\|lc)|(penalty)|(\[timeout)|(PRM\|1\|D)|(kpr)|(kdp))" /e /r /s</v>
      </c>
      <c r="AG91" s="1" t="str">
        <f t="shared" si="65"/>
        <v>EC</v>
      </c>
      <c r="AH91" s="105" t="str">
        <f t="shared" si="67"/>
        <v>"%USERPROFILE%\Documents\GitHub\eaglep3\Utilities\RefineRTDCRunTimes.py" --tripid 179-17 --locoid 4025 --swversion DE.1.0.7.0 --startMP 204:482 --initTime 2016-08-17T13:22:04 --startdatetime 2016-08-17T13:28:29 --delay 6 --endMP 204:233236 --enddatetime 2016-08-17T14:08:46 --enforcementcount 0</v>
      </c>
    </row>
    <row r="92" spans="1:34" s="24" customFormat="1" x14ac:dyDescent="0.25">
      <c r="A92" s="40" t="s">
        <v>441</v>
      </c>
      <c r="B92" s="7">
        <v>4026</v>
      </c>
      <c r="C92" s="25" t="s">
        <v>118</v>
      </c>
      <c r="D92" s="25" t="s">
        <v>442</v>
      </c>
      <c r="E92" s="16">
        <v>42599.595775462964</v>
      </c>
      <c r="F92" s="16">
        <v>42599.600300925929</v>
      </c>
      <c r="G92" s="7">
        <v>6</v>
      </c>
      <c r="H92" s="16" t="s">
        <v>443</v>
      </c>
      <c r="I92" s="16">
        <v>42599.631932870368</v>
      </c>
      <c r="J92" s="7">
        <v>0</v>
      </c>
      <c r="K92" s="142" t="str">
        <f t="shared" si="51"/>
        <v>4025/4026</v>
      </c>
      <c r="L92" s="25" t="str">
        <f>VLOOKUP(A92,'Trips&amp;Operators'!$C$1:$E$10000,3,FALSE)</f>
        <v>STORY</v>
      </c>
      <c r="M92" s="6">
        <f t="shared" si="52"/>
        <v>3.163194443914108E-2</v>
      </c>
      <c r="N92" s="7">
        <f t="shared" si="68"/>
        <v>45.549999992363155</v>
      </c>
      <c r="O92" s="7"/>
      <c r="P92" s="7"/>
      <c r="Q92" s="26"/>
      <c r="R92" s="26"/>
      <c r="S92" s="38">
        <f t="shared" si="54"/>
        <v>1</v>
      </c>
      <c r="T92" s="53" t="str">
        <f t="shared" si="62"/>
        <v>Southbound</v>
      </c>
      <c r="U92" s="13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13:17:55-0600',mode:absolute,to:'2016-08-17 16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2" s="55" t="str">
        <f t="shared" si="56"/>
        <v>N</v>
      </c>
      <c r="X92" s="129">
        <f t="shared" si="66"/>
        <v>1</v>
      </c>
      <c r="Y92" s="70">
        <f t="shared" si="57"/>
        <v>23.2927</v>
      </c>
      <c r="Z92" s="70">
        <f t="shared" si="58"/>
        <v>1.89E-2</v>
      </c>
      <c r="AA92" s="70">
        <f t="shared" si="59"/>
        <v>23.273800000000001</v>
      </c>
      <c r="AB92" s="67" t="e">
        <f>VLOOKUP(A92,Enforcements!$C$7:$J$24,8,0)</f>
        <v>#N/A</v>
      </c>
      <c r="AC92" s="63" t="e">
        <f>VLOOKUP(A92,Enforcements!$C$7:$E$24,3,0)</f>
        <v>#N/A</v>
      </c>
      <c r="AD92" s="64" t="str">
        <f t="shared" si="64"/>
        <v>0180-17</v>
      </c>
      <c r="AE92" s="104" t="str">
        <f t="shared" si="60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92" s="101" t="str">
        <f t="shared" si="61"/>
        <v>"C:\Program Files (x86)\AstroGrep\AstroGrep.exe" /spath="%USERPROFILE%\AppData\Local\Temp\OnboardLogs" /stypes="*4026*20160817*" /stext=" 21:.+((SYSTEM_STATE.+slice.+state.+changed )|(ment ac)|(system.+state.+changed )|(\|lc)|(penalty)|(\[timeout)|(PRM\|1\|D)|(kpr)|(kdp))" /e /r /s</v>
      </c>
      <c r="AG92" s="1" t="str">
        <f t="shared" si="65"/>
        <v>EC</v>
      </c>
      <c r="AH92" s="105" t="str">
        <f t="shared" si="67"/>
        <v>"%USERPROFILE%\Documents\GitHub\eaglep3\Utilities\RefineRTDCRunTimes.py" --tripid 180-17 --locoid 4026 --swversion DE.1.0.7.0 --startMP 204:232927 --initTime 2016-08-17T14:17:55 --startdatetime 2016-08-17T14:24:26 --delay 6 --endMP 204:189 --enddatetime 2016-08-17T15:09:59 --enforcementcount 0</v>
      </c>
    </row>
    <row r="93" spans="1:34" x14ac:dyDescent="0.25">
      <c r="A93" s="40" t="s">
        <v>444</v>
      </c>
      <c r="B93" s="7">
        <v>4009</v>
      </c>
      <c r="C93" s="25" t="s">
        <v>118</v>
      </c>
      <c r="D93" s="25" t="s">
        <v>166</v>
      </c>
      <c r="E93" s="16">
        <v>42599.567094907405</v>
      </c>
      <c r="F93" s="16">
        <v>42599.571180555555</v>
      </c>
      <c r="G93" s="7">
        <v>5</v>
      </c>
      <c r="H93" s="16" t="s">
        <v>445</v>
      </c>
      <c r="I93" s="16">
        <v>42599.597581018519</v>
      </c>
      <c r="J93" s="7">
        <v>0</v>
      </c>
      <c r="K93" s="142" t="str">
        <f t="shared" si="51"/>
        <v>4009/4010</v>
      </c>
      <c r="L93" s="25" t="str">
        <f>VLOOKUP(A93,'Trips&amp;Operators'!$C$1:$E$10000,3,FALSE)</f>
        <v>STAMBAUGH</v>
      </c>
      <c r="M93" s="6">
        <f t="shared" si="52"/>
        <v>2.6400462964375038E-2</v>
      </c>
      <c r="N93" s="7">
        <f t="shared" si="68"/>
        <v>38.016666668700054</v>
      </c>
      <c r="O93" s="7"/>
      <c r="P93" s="7"/>
      <c r="Q93" s="26"/>
      <c r="R93" s="26"/>
      <c r="S93" s="38">
        <f t="shared" si="54"/>
        <v>1</v>
      </c>
      <c r="T93" s="53" t="str">
        <f t="shared" si="62"/>
        <v>NorthBound</v>
      </c>
      <c r="U93" s="13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12:36:37-0600',mode:absolute,to:'2016-08-17 15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3" s="55" t="str">
        <f t="shared" si="56"/>
        <v>N</v>
      </c>
      <c r="X93" s="129">
        <f t="shared" si="66"/>
        <v>1</v>
      </c>
      <c r="Y93" s="70">
        <f t="shared" si="57"/>
        <v>4.4200000000000003E-2</v>
      </c>
      <c r="Z93" s="70">
        <f t="shared" si="58"/>
        <v>23.3306</v>
      </c>
      <c r="AA93" s="70">
        <f t="shared" si="59"/>
        <v>23.2864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64"/>
        <v>0181-17</v>
      </c>
      <c r="AE93" s="104" t="str">
        <f t="shared" si="60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93" s="101" t="str">
        <f t="shared" si="61"/>
        <v>"C:\Program Files (x86)\AstroGrep\AstroGrep.exe" /spath="%USERPROFILE%\AppData\Local\Temp\OnboardLogs" /stypes="*4009*20160817*" /stext=" 20:.+((SYSTEM_STATE.+slice.+state.+changed )|(ment ac)|(system.+state.+changed )|(\|lc)|(penalty)|(\[timeout)|(PRM\|1\|D)|(kpr)|(kdp))" /e /r /s</v>
      </c>
      <c r="AG93" s="1" t="str">
        <f t="shared" si="65"/>
        <v>EC</v>
      </c>
      <c r="AH93" s="105" t="str">
        <f t="shared" si="67"/>
        <v>"%USERPROFILE%\Documents\GitHub\eaglep3\Utilities\RefineRTDCRunTimes.py" --tripid 181-17 --locoid 4009 --swversion DE.1.0.7.0 --startMP 204:442 --initTime 2016-08-17T13:36:37 --startdatetime 2016-08-17T13:42:30 --delay 5 --endMP 204:233306 --enddatetime 2016-08-17T14:20:31 --enforcementcount 0</v>
      </c>
    </row>
    <row r="94" spans="1:34" x14ac:dyDescent="0.25">
      <c r="A94" s="40" t="s">
        <v>446</v>
      </c>
      <c r="B94" s="7">
        <v>4010</v>
      </c>
      <c r="C94" s="25" t="s">
        <v>118</v>
      </c>
      <c r="D94" s="25" t="s">
        <v>142</v>
      </c>
      <c r="E94" s="16">
        <v>42599.610092592593</v>
      </c>
      <c r="F94" s="16">
        <v>42599.61109953704</v>
      </c>
      <c r="G94" s="7">
        <v>1</v>
      </c>
      <c r="H94" s="16" t="s">
        <v>447</v>
      </c>
      <c r="I94" s="16">
        <v>42599.638854166667</v>
      </c>
      <c r="J94" s="7">
        <v>0</v>
      </c>
      <c r="K94" s="142" t="str">
        <f t="shared" si="51"/>
        <v>4009/4010</v>
      </c>
      <c r="L94" s="25" t="str">
        <f>VLOOKUP(A94,'Trips&amp;Operators'!$C$1:$E$10000,3,FALSE)</f>
        <v>STAMBAUGH</v>
      </c>
      <c r="M94" s="6">
        <f t="shared" si="52"/>
        <v>2.7754629627452232E-2</v>
      </c>
      <c r="N94" s="7">
        <f t="shared" si="68"/>
        <v>39.966666663531214</v>
      </c>
      <c r="O94" s="7"/>
      <c r="P94" s="7"/>
      <c r="Q94" s="26"/>
      <c r="R94" s="26"/>
      <c r="S94" s="38">
        <f t="shared" si="54"/>
        <v>1</v>
      </c>
      <c r="T94" s="53" t="str">
        <f t="shared" si="62"/>
        <v>Southbound</v>
      </c>
      <c r="U94" s="13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13:38:32-0600',mode:absolute,to:'2016-08-17 16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4" s="55" t="str">
        <f t="shared" si="56"/>
        <v>N</v>
      </c>
      <c r="X94" s="129">
        <f t="shared" si="66"/>
        <v>1</v>
      </c>
      <c r="Y94" s="70">
        <f t="shared" si="57"/>
        <v>23.299399999999999</v>
      </c>
      <c r="Z94" s="70">
        <f t="shared" si="58"/>
        <v>1.29E-2</v>
      </c>
      <c r="AA94" s="70">
        <f t="shared" si="59"/>
        <v>23.2865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64"/>
        <v>0182-17</v>
      </c>
      <c r="AE94" s="104" t="str">
        <f t="shared" si="60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94" s="101" t="str">
        <f t="shared" si="61"/>
        <v>"C:\Program Files (x86)\AstroGrep\AstroGrep.exe" /spath="%USERPROFILE%\AppData\Local\Temp\OnboardLogs" /stypes="*4010*20160817*" /stext=" 21:.+((SYSTEM_STATE.+slice.+state.+changed )|(ment ac)|(system.+state.+changed )|(\|lc)|(penalty)|(\[timeout)|(PRM\|1\|D)|(kpr)|(kdp))" /e /r /s</v>
      </c>
      <c r="AG94" s="1" t="str">
        <f t="shared" si="65"/>
        <v>EC</v>
      </c>
      <c r="AH94" s="105" t="str">
        <f t="shared" si="67"/>
        <v>"%USERPROFILE%\Documents\GitHub\eaglep3\Utilities\RefineRTDCRunTimes.py" --tripid 182-17 --locoid 4010 --swversion DE.1.0.7.0 --startMP 204:232994 --initTime 2016-08-17T14:38:32 --startdatetime 2016-08-17T14:39:59 --delay 1 --endMP 204:129 --enddatetime 2016-08-17T15:19:57 --enforcementcount 0</v>
      </c>
    </row>
    <row r="95" spans="1:34" x14ac:dyDescent="0.25">
      <c r="A95" s="40" t="s">
        <v>448</v>
      </c>
      <c r="B95" s="7">
        <v>4002</v>
      </c>
      <c r="C95" s="25" t="s">
        <v>118</v>
      </c>
      <c r="D95" s="25" t="s">
        <v>152</v>
      </c>
      <c r="E95" s="16">
        <v>42599.579432870371</v>
      </c>
      <c r="F95" s="16">
        <v>42599.580520833333</v>
      </c>
      <c r="G95" s="7">
        <v>1</v>
      </c>
      <c r="H95" s="16" t="s">
        <v>141</v>
      </c>
      <c r="I95" s="16">
        <v>42599.609548611108</v>
      </c>
      <c r="J95" s="7">
        <v>0</v>
      </c>
      <c r="K95" s="142" t="str">
        <f t="shared" si="51"/>
        <v>4001/4002</v>
      </c>
      <c r="L95" s="25" t="str">
        <f>VLOOKUP(A95,'Trips&amp;Operators'!$C$1:$E$10000,3,FALSE)</f>
        <v>BRUDER</v>
      </c>
      <c r="M95" s="6">
        <f t="shared" si="52"/>
        <v>2.9027777774899732E-2</v>
      </c>
      <c r="N95" s="7">
        <f t="shared" si="68"/>
        <v>41.799999995855615</v>
      </c>
      <c r="O95" s="7"/>
      <c r="P95" s="7"/>
      <c r="Q95" s="26"/>
      <c r="R95" s="26"/>
      <c r="S95" s="38">
        <f t="shared" si="54"/>
        <v>1</v>
      </c>
      <c r="T95" s="53" t="str">
        <f t="shared" si="62"/>
        <v>NorthBound</v>
      </c>
      <c r="U95" s="13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12:54:23-0600',mode:absolute,to:'2016-08-17 15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5" s="55" t="str">
        <f t="shared" si="56"/>
        <v>N</v>
      </c>
      <c r="X95" s="129">
        <f t="shared" ref="X95:X126" si="69">VALUE(LEFT(AD95,4))-VALUE(LEFT(AD94,4))</f>
        <v>1</v>
      </c>
      <c r="Y95" s="70">
        <f t="shared" si="57"/>
        <v>4.6699999999999998E-2</v>
      </c>
      <c r="Z95" s="70">
        <f t="shared" si="58"/>
        <v>23.328900000000001</v>
      </c>
      <c r="AA95" s="70">
        <f t="shared" si="59"/>
        <v>23.2822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64"/>
        <v>0183-17</v>
      </c>
      <c r="AE95" s="104" t="str">
        <f t="shared" si="60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95" s="101" t="str">
        <f t="shared" si="61"/>
        <v>"C:\Program Files (x86)\AstroGrep\AstroGrep.exe" /spath="%USERPROFILE%\AppData\Local\Temp\OnboardLogs" /stypes="*4002*20160817*" /stext=" 20:.+((SYSTEM_STATE.+slice.+state.+changed )|(ment ac)|(system.+state.+changed )|(\|lc)|(penalty)|(\[timeout)|(PRM\|1\|D)|(kpr)|(kdp))" /e /r /s</v>
      </c>
      <c r="AG95" s="1" t="str">
        <f t="shared" si="65"/>
        <v>EC</v>
      </c>
      <c r="AH95" s="105" t="str">
        <f t="shared" si="67"/>
        <v>"%USERPROFILE%\Documents\GitHub\eaglep3\Utilities\RefineRTDCRunTimes.py" --tripid 183-17 --locoid 4002 --swversion DE.1.0.7.0 --startMP 204:467 --initTime 2016-08-17T13:54:23 --startdatetime 2016-08-17T13:55:57 --delay 1 --endMP 204:233289 --enddatetime 2016-08-17T14:37:45 --enforcementcount 0</v>
      </c>
    </row>
    <row r="96" spans="1:34" x14ac:dyDescent="0.25">
      <c r="A96" s="40" t="s">
        <v>449</v>
      </c>
      <c r="B96" s="7">
        <v>4001</v>
      </c>
      <c r="C96" s="25" t="s">
        <v>118</v>
      </c>
      <c r="D96" s="25" t="s">
        <v>147</v>
      </c>
      <c r="E96" s="16">
        <v>42599.615787037037</v>
      </c>
      <c r="F96" s="16">
        <v>42599.617268518516</v>
      </c>
      <c r="G96" s="7">
        <v>2</v>
      </c>
      <c r="H96" s="16" t="s">
        <v>138</v>
      </c>
      <c r="I96" s="16">
        <v>42599.649791666663</v>
      </c>
      <c r="J96" s="7">
        <v>0</v>
      </c>
      <c r="K96" s="142" t="str">
        <f t="shared" si="51"/>
        <v>4001/4002</v>
      </c>
      <c r="L96" s="25" t="str">
        <f>VLOOKUP(A96,'Trips&amp;Operators'!$C$1:$E$10000,3,FALSE)</f>
        <v>BRUDER</v>
      </c>
      <c r="M96" s="6">
        <f t="shared" si="52"/>
        <v>3.25231481474475E-2</v>
      </c>
      <c r="N96" s="7">
        <f t="shared" si="68"/>
        <v>46.833333332324401</v>
      </c>
      <c r="O96" s="7"/>
      <c r="P96" s="7"/>
      <c r="Q96" s="26"/>
      <c r="R96" s="26"/>
      <c r="S96" s="38">
        <f t="shared" si="54"/>
        <v>1</v>
      </c>
      <c r="T96" s="53" t="str">
        <f t="shared" si="62"/>
        <v>Southbound</v>
      </c>
      <c r="U96" s="13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13:46:44-0600',mode:absolute,to:'2016-08-17 16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96" s="55" t="str">
        <f t="shared" si="56"/>
        <v>N</v>
      </c>
      <c r="X96" s="129">
        <f t="shared" si="69"/>
        <v>1</v>
      </c>
      <c r="Y96" s="70">
        <f t="shared" si="57"/>
        <v>23.2959</v>
      </c>
      <c r="Z96" s="70">
        <f t="shared" si="58"/>
        <v>1.5800000000000002E-2</v>
      </c>
      <c r="AA96" s="70">
        <f t="shared" si="59"/>
        <v>23.280100000000001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64"/>
        <v>0184-17</v>
      </c>
      <c r="AE96" s="104" t="str">
        <f t="shared" si="60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96" s="101" t="str">
        <f t="shared" si="61"/>
        <v>"C:\Program Files (x86)\AstroGrep\AstroGrep.exe" /spath="%USERPROFILE%\AppData\Local\Temp\OnboardLogs" /stypes="*4001*20160817*" /stext=" 21:.+((SYSTEM_STATE.+slice.+state.+changed )|(ment ac)|(system.+state.+changed )|(\|lc)|(penalty)|(\[timeout)|(PRM\|1\|D)|(kpr)|(kdp))" /e /r /s</v>
      </c>
      <c r="AG96" s="1" t="str">
        <f t="shared" si="65"/>
        <v>EC</v>
      </c>
      <c r="AH96" s="105" t="str">
        <f t="shared" si="67"/>
        <v>"%USERPROFILE%\Documents\GitHub\eaglep3\Utilities\RefineRTDCRunTimes.py" --tripid 184-17 --locoid 4001 --swversion DE.1.0.7.0 --startMP 204:232959 --initTime 2016-08-17T14:46:44 --startdatetime 2016-08-17T14:48:52 --delay 2 --endMP 204:158 --enddatetime 2016-08-17T15:35:42 --enforcementcount 0</v>
      </c>
    </row>
    <row r="97" spans="1:34" x14ac:dyDescent="0.25">
      <c r="A97" s="40" t="s">
        <v>450</v>
      </c>
      <c r="B97" s="7">
        <v>4014</v>
      </c>
      <c r="C97" s="25" t="s">
        <v>118</v>
      </c>
      <c r="D97" s="25" t="s">
        <v>151</v>
      </c>
      <c r="E97" s="16">
        <v>42599.591840277775</v>
      </c>
      <c r="F97" s="16">
        <v>42599.592870370368</v>
      </c>
      <c r="G97" s="7">
        <v>1</v>
      </c>
      <c r="H97" s="16" t="s">
        <v>270</v>
      </c>
      <c r="I97" s="16">
        <v>42599.62091435185</v>
      </c>
      <c r="J97" s="7">
        <v>0</v>
      </c>
      <c r="K97" s="142" t="str">
        <f t="shared" ref="K97:K128" si="70">IF(ISEVEN(B97),(B97-1)&amp;"/"&amp;B97,B97&amp;"/"&amp;(B97+1))</f>
        <v>4013/4014</v>
      </c>
      <c r="L97" s="25" t="str">
        <f>VLOOKUP(A97,'Trips&amp;Operators'!$C$1:$E$10000,3,FALSE)</f>
        <v>KILLION</v>
      </c>
      <c r="M97" s="6">
        <f t="shared" ref="M97:M128" si="71">I97-F97</f>
        <v>2.8043981481459923E-2</v>
      </c>
      <c r="N97" s="7">
        <f t="shared" si="68"/>
        <v>40.383333333302289</v>
      </c>
      <c r="O97" s="7"/>
      <c r="P97" s="7"/>
      <c r="Q97" s="26"/>
      <c r="R97" s="26"/>
      <c r="S97" s="38">
        <f t="shared" ref="S97:S128" si="72">SUM(U97:U97)/IF(AG97="EC",12,1)</f>
        <v>1</v>
      </c>
      <c r="T97" s="53" t="str">
        <f t="shared" si="62"/>
        <v>NorthBound</v>
      </c>
      <c r="U97" s="13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1" t="str">
        <f t="shared" ref="V97:V128" si="73"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https://search-rtdc-monitor-bjffxe2xuh6vdkpspy63sjmuny.us-east-1.es.amazonaws.com/_plugin/kibana/#/discover/Steve-Slow-Train-Analysis-(2080s-and-2083s)?_g=(refreshInterval:(display:Off,section:0,value:0),time:(from:'2016-08-17 13:12:15-0600',mode:absolute,to:'2016-08-17 15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7" s="55" t="str">
        <f t="shared" ref="W97:W128" si="74">IF(AA97&lt;IF(AG97="EC",23,5.65),"Y","N")</f>
        <v>N</v>
      </c>
      <c r="X97" s="129">
        <f t="shared" si="69"/>
        <v>1</v>
      </c>
      <c r="Y97" s="70">
        <f t="shared" ref="Y97:Y128" si="75">RIGHT(D97,LEN(D97)-4)/10000</f>
        <v>4.58E-2</v>
      </c>
      <c r="Z97" s="70">
        <f t="shared" ref="Z97:Z128" si="76">RIGHT(H97,LEN(H97)-4)/10000</f>
        <v>23.328499999999998</v>
      </c>
      <c r="AA97" s="70">
        <f t="shared" ref="AA97:AA128" si="77">ABS(Z97-Y97)</f>
        <v>23.282699999999998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64"/>
        <v>0185-17</v>
      </c>
      <c r="AE97" s="104" t="str">
        <f t="shared" ref="AE97:AE128" si="78"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97" s="101" t="str">
        <f t="shared" ref="AF97:AF128" si="79">astrogrep_path&amp;" /spath="&amp;search_path&amp;" /stypes=""*"&amp;B97&amp;"*"&amp;TEXT(I97-utc_offset/24,"YYYYMMDD")&amp;"*"" /stext="" "&amp;TEXT(I97-utc_offset/24,"HH")&amp;search_regexp&amp;""" /e /r /s"</f>
        <v>"C:\Program Files (x86)\AstroGrep\AstroGrep.exe" /spath="%USERPROFILE%\AppData\Local\Temp\OnboardLogs" /stypes="*4014*20160817*" /stext=" 20:.+((SYSTEM_STATE.+slice.+state.+changed )|(ment ac)|(system.+state.+changed )|(\|lc)|(penalty)|(\[timeout)|(PRM\|1\|D)|(kpr)|(kdp))" /e /r /s</v>
      </c>
      <c r="AG97" s="1" t="str">
        <f t="shared" si="65"/>
        <v>EC</v>
      </c>
      <c r="AH97" s="105" t="str">
        <f t="shared" si="67"/>
        <v>"%USERPROFILE%\Documents\GitHub\eaglep3\Utilities\RefineRTDCRunTimes.py" --tripid 185-17 --locoid 4014 --swversion DE.1.0.7.0 --startMP 204:458 --initTime 2016-08-17T14:12:15 --startdatetime 2016-08-17T14:13:44 --delay 1 --endMP 204:233285 --enddatetime 2016-08-17T14:54:07 --enforcementcount 0</v>
      </c>
    </row>
    <row r="98" spans="1:34" x14ac:dyDescent="0.25">
      <c r="A98" s="40" t="s">
        <v>451</v>
      </c>
      <c r="B98" s="7">
        <v>4013</v>
      </c>
      <c r="C98" s="25" t="s">
        <v>118</v>
      </c>
      <c r="D98" s="25" t="s">
        <v>236</v>
      </c>
      <c r="E98" s="16">
        <v>42599.627268518518</v>
      </c>
      <c r="F98" s="16">
        <v>42599.628275462965</v>
      </c>
      <c r="G98" s="7">
        <v>1</v>
      </c>
      <c r="H98" s="16" t="s">
        <v>92</v>
      </c>
      <c r="I98" s="16">
        <v>42599.660833333335</v>
      </c>
      <c r="J98" s="7">
        <v>0</v>
      </c>
      <c r="K98" s="142" t="str">
        <f t="shared" si="70"/>
        <v>4013/4014</v>
      </c>
      <c r="L98" s="25" t="str">
        <f>VLOOKUP(A98,'Trips&amp;Operators'!$C$1:$E$10000,3,FALSE)</f>
        <v>KILLION</v>
      </c>
      <c r="M98" s="6">
        <f t="shared" si="71"/>
        <v>3.25578703705105E-2</v>
      </c>
      <c r="N98" s="7">
        <f t="shared" si="68"/>
        <v>46.88333333353512</v>
      </c>
      <c r="O98" s="7"/>
      <c r="P98" s="7"/>
      <c r="Q98" s="26"/>
      <c r="R98" s="26"/>
      <c r="S98" s="38">
        <f t="shared" si="72"/>
        <v>1</v>
      </c>
      <c r="T98" s="53" t="str">
        <f t="shared" si="62"/>
        <v>Southbound</v>
      </c>
      <c r="U98" s="13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14:03:16-0600',mode:absolute,to:'2016-08-17 16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98" s="55" t="str">
        <f t="shared" si="74"/>
        <v>N</v>
      </c>
      <c r="X98" s="129">
        <f t="shared" si="69"/>
        <v>1</v>
      </c>
      <c r="Y98" s="70">
        <f t="shared" si="75"/>
        <v>23.2972</v>
      </c>
      <c r="Z98" s="70">
        <f t="shared" si="76"/>
        <v>1.43E-2</v>
      </c>
      <c r="AA98" s="70">
        <f t="shared" si="77"/>
        <v>23.282900000000001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si="64"/>
        <v>0186-17</v>
      </c>
      <c r="AE98" s="104" t="str">
        <f t="shared" si="78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98" s="101" t="str">
        <f t="shared" si="79"/>
        <v>"C:\Program Files (x86)\AstroGrep\AstroGrep.exe" /spath="%USERPROFILE%\AppData\Local\Temp\OnboardLogs" /stypes="*4013*20160817*" /stext=" 21:.+((SYSTEM_STATE.+slice.+state.+changed )|(ment ac)|(system.+state.+changed )|(\|lc)|(penalty)|(\[timeout)|(PRM\|1\|D)|(kpr)|(kdp))" /e /r /s</v>
      </c>
      <c r="AG98" s="1" t="str">
        <f t="shared" si="65"/>
        <v>EC</v>
      </c>
      <c r="AH98" s="105" t="str">
        <f t="shared" si="67"/>
        <v>"%USERPROFILE%\Documents\GitHub\eaglep3\Utilities\RefineRTDCRunTimes.py" --tripid 186-17 --locoid 4013 --swversion DE.1.0.7.0 --startMP 204:232972 --initTime 2016-08-17T15:03:16 --startdatetime 2016-08-17T15:04:43 --delay 1 --endMP 204:143 --enddatetime 2016-08-17T15:51:36 --enforcementcount 0</v>
      </c>
    </row>
    <row r="99" spans="1:34" x14ac:dyDescent="0.25">
      <c r="A99" s="40" t="s">
        <v>452</v>
      </c>
      <c r="B99" s="7">
        <v>4020</v>
      </c>
      <c r="C99" s="25" t="s">
        <v>118</v>
      </c>
      <c r="D99" s="25" t="s">
        <v>61</v>
      </c>
      <c r="E99" s="16">
        <v>42599.598761574074</v>
      </c>
      <c r="F99" s="16">
        <v>42599.599722222221</v>
      </c>
      <c r="G99" s="7">
        <v>1</v>
      </c>
      <c r="H99" s="16" t="s">
        <v>453</v>
      </c>
      <c r="I99" s="16">
        <v>42599.630659722221</v>
      </c>
      <c r="J99" s="7">
        <v>0</v>
      </c>
      <c r="K99" s="142" t="str">
        <f t="shared" si="70"/>
        <v>4019/4020</v>
      </c>
      <c r="L99" s="25" t="str">
        <f>VLOOKUP(A99,'Trips&amp;Operators'!$C$1:$E$10000,3,FALSE)</f>
        <v>BONDS</v>
      </c>
      <c r="M99" s="6">
        <f t="shared" si="71"/>
        <v>3.0937499999708962E-2</v>
      </c>
      <c r="N99" s="7">
        <f t="shared" si="68"/>
        <v>44.549999999580905</v>
      </c>
      <c r="O99" s="7"/>
      <c r="P99" s="7"/>
      <c r="Q99" s="26"/>
      <c r="R99" s="26"/>
      <c r="S99" s="38">
        <f t="shared" si="72"/>
        <v>1</v>
      </c>
      <c r="T99" s="53" t="str">
        <f t="shared" si="62"/>
        <v>NorthBound</v>
      </c>
      <c r="U99" s="13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13:22:13-0600',mode:absolute,to:'2016-08-17 16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9" s="55" t="str">
        <f t="shared" si="74"/>
        <v>N</v>
      </c>
      <c r="X99" s="129">
        <f t="shared" si="69"/>
        <v>1</v>
      </c>
      <c r="Y99" s="70">
        <f t="shared" si="75"/>
        <v>4.5999999999999999E-2</v>
      </c>
      <c r="Z99" s="70">
        <f t="shared" si="76"/>
        <v>23.3339</v>
      </c>
      <c r="AA99" s="70">
        <f t="shared" si="77"/>
        <v>23.2879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64"/>
        <v>0187-17</v>
      </c>
      <c r="AE99" s="104" t="str">
        <f t="shared" si="78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99" s="101" t="str">
        <f t="shared" si="79"/>
        <v>"C:\Program Files (x86)\AstroGrep\AstroGrep.exe" /spath="%USERPROFILE%\AppData\Local\Temp\OnboardLogs" /stypes="*4020*20160817*" /stext=" 21:.+((SYSTEM_STATE.+slice.+state.+changed )|(ment ac)|(system.+state.+changed )|(\|lc)|(penalty)|(\[timeout)|(PRM\|1\|D)|(kpr)|(kdp))" /e /r /s</v>
      </c>
      <c r="AG99" s="1" t="str">
        <f t="shared" si="65"/>
        <v>EC</v>
      </c>
      <c r="AH99" s="105" t="str">
        <f t="shared" si="67"/>
        <v>"%USERPROFILE%\Documents\GitHub\eaglep3\Utilities\RefineRTDCRunTimes.py" --tripid 187-17 --locoid 4020 --swversion DE.1.0.7.0 --startMP 204:460 --initTime 2016-08-17T14:22:13 --startdatetime 2016-08-17T14:23:36 --delay 1 --endMP 204:233339 --enddatetime 2016-08-17T15:08:09 --enforcementcount 0</v>
      </c>
    </row>
    <row r="100" spans="1:34" x14ac:dyDescent="0.25">
      <c r="A100" s="40" t="s">
        <v>454</v>
      </c>
      <c r="B100" s="7">
        <v>4019</v>
      </c>
      <c r="C100" s="25" t="s">
        <v>118</v>
      </c>
      <c r="D100" s="25" t="s">
        <v>62</v>
      </c>
      <c r="E100" s="16">
        <v>42599.636377314811</v>
      </c>
      <c r="F100" s="16">
        <v>42599.637418981481</v>
      </c>
      <c r="G100" s="7">
        <v>1</v>
      </c>
      <c r="H100" s="16" t="s">
        <v>139</v>
      </c>
      <c r="I100" s="16">
        <v>42599.669930555552</v>
      </c>
      <c r="J100" s="7">
        <v>0</v>
      </c>
      <c r="K100" s="142" t="str">
        <f t="shared" si="70"/>
        <v>4019/4020</v>
      </c>
      <c r="L100" s="25" t="str">
        <f>VLOOKUP(A100,'Trips&amp;Operators'!$C$1:$E$10000,3,FALSE)</f>
        <v>BONDS</v>
      </c>
      <c r="M100" s="6">
        <f t="shared" si="71"/>
        <v>3.2511574070667848E-2</v>
      </c>
      <c r="N100" s="7">
        <f t="shared" si="68"/>
        <v>46.816666661761701</v>
      </c>
      <c r="O100" s="7"/>
      <c r="P100" s="7"/>
      <c r="Q100" s="26"/>
      <c r="R100" s="26"/>
      <c r="S100" s="38">
        <f t="shared" si="72"/>
        <v>1</v>
      </c>
      <c r="T100" s="53" t="str">
        <f t="shared" si="62"/>
        <v>Southbound</v>
      </c>
      <c r="U100" s="13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14:16:23-0600',mode:absolute,to:'2016-08-17 17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0" s="55" t="str">
        <f t="shared" si="74"/>
        <v>N</v>
      </c>
      <c r="X100" s="129">
        <f t="shared" si="69"/>
        <v>1</v>
      </c>
      <c r="Y100" s="70">
        <f t="shared" si="75"/>
        <v>23.297699999999999</v>
      </c>
      <c r="Z100" s="70">
        <f t="shared" si="76"/>
        <v>1.47E-2</v>
      </c>
      <c r="AA100" s="70">
        <f t="shared" si="77"/>
        <v>23.282999999999998</v>
      </c>
      <c r="AB100" s="67" t="e">
        <f>VLOOKUP(A100,Enforcements!$C$7:$J$24,8,0)</f>
        <v>#N/A</v>
      </c>
      <c r="AC100" s="63" t="e">
        <f>VLOOKUP(A100,Enforcements!$C$7:$E$24,3,0)</f>
        <v>#N/A</v>
      </c>
      <c r="AD100" s="64" t="str">
        <f t="shared" si="64"/>
        <v>0188-17</v>
      </c>
      <c r="AE100" s="104" t="str">
        <f t="shared" si="78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100" s="101" t="str">
        <f t="shared" si="79"/>
        <v>"C:\Program Files (x86)\AstroGrep\AstroGrep.exe" /spath="%USERPROFILE%\AppData\Local\Temp\OnboardLogs" /stypes="*4019*20160817*" /stext=" 22:.+((SYSTEM_STATE.+slice.+state.+changed )|(ment ac)|(system.+state.+changed )|(\|lc)|(penalty)|(\[timeout)|(PRM\|1\|D)|(kpr)|(kdp))" /e /r /s</v>
      </c>
      <c r="AG100" s="1" t="str">
        <f t="shared" si="65"/>
        <v>EC</v>
      </c>
      <c r="AH100" s="105" t="str">
        <f t="shared" si="67"/>
        <v>"%USERPROFILE%\Documents\GitHub\eaglep3\Utilities\RefineRTDCRunTimes.py" --tripid 188-17 --locoid 4019 --swversion DE.1.0.7.0 --startMP 204:232977 --initTime 2016-08-17T15:16:23 --startdatetime 2016-08-17T15:17:53 --delay 1 --endMP 204:147 --enddatetime 2016-08-17T16:04:42 --enforcementcount 0</v>
      </c>
    </row>
    <row r="101" spans="1:34" s="24" customFormat="1" x14ac:dyDescent="0.25">
      <c r="A101" s="40" t="s">
        <v>455</v>
      </c>
      <c r="B101" s="7">
        <v>4027</v>
      </c>
      <c r="C101" s="25" t="s">
        <v>118</v>
      </c>
      <c r="D101" s="25" t="s">
        <v>143</v>
      </c>
      <c r="E101" s="16">
        <v>42599.607719907406</v>
      </c>
      <c r="F101" s="16">
        <v>42599.608587962961</v>
      </c>
      <c r="G101" s="7">
        <v>1</v>
      </c>
      <c r="H101" s="16" t="s">
        <v>344</v>
      </c>
      <c r="I101" s="16">
        <v>42599.63894675926</v>
      </c>
      <c r="J101" s="7">
        <v>0</v>
      </c>
      <c r="K101" s="142" t="str">
        <f t="shared" si="70"/>
        <v>4027/4028</v>
      </c>
      <c r="L101" s="25" t="str">
        <f>VLOOKUP(A101,'Trips&amp;Operators'!$C$1:$E$10000,3,FALSE)</f>
        <v>YORK</v>
      </c>
      <c r="M101" s="6">
        <f t="shared" si="71"/>
        <v>3.0358796298969537E-2</v>
      </c>
      <c r="N101" s="7">
        <f t="shared" si="68"/>
        <v>43.716666670516133</v>
      </c>
      <c r="O101" s="7"/>
      <c r="P101" s="7"/>
      <c r="Q101" s="26"/>
      <c r="R101" s="26"/>
      <c r="S101" s="38">
        <f t="shared" si="72"/>
        <v>1</v>
      </c>
      <c r="T101" s="53" t="str">
        <f t="shared" si="62"/>
        <v>NorthBound</v>
      </c>
      <c r="U101" s="13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13:35:07-0600',mode:absolute,to:'2016-08-17 16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1" s="55" t="str">
        <f t="shared" si="74"/>
        <v>N</v>
      </c>
      <c r="X101" s="129">
        <f t="shared" si="69"/>
        <v>1</v>
      </c>
      <c r="Y101" s="70">
        <f t="shared" si="75"/>
        <v>4.4900000000000002E-2</v>
      </c>
      <c r="Z101" s="70">
        <f t="shared" si="76"/>
        <v>23.330400000000001</v>
      </c>
      <c r="AA101" s="70">
        <f t="shared" si="77"/>
        <v>23.285500000000003</v>
      </c>
      <c r="AB101" s="67" t="e">
        <f>VLOOKUP(A101,Enforcements!$C$7:$J$24,8,0)</f>
        <v>#N/A</v>
      </c>
      <c r="AC101" s="63" t="e">
        <f>VLOOKUP(A101,Enforcements!$C$7:$E$24,3,0)</f>
        <v>#N/A</v>
      </c>
      <c r="AD101" s="64" t="str">
        <f t="shared" si="64"/>
        <v>0189-17</v>
      </c>
      <c r="AE101" s="104" t="str">
        <f t="shared" si="78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101" s="101" t="str">
        <f t="shared" si="79"/>
        <v>"C:\Program Files (x86)\AstroGrep\AstroGrep.exe" /spath="%USERPROFILE%\AppData\Local\Temp\OnboardLogs" /stypes="*4027*20160817*" /stext=" 21:.+((SYSTEM_STATE.+slice.+state.+changed )|(ment ac)|(system.+state.+changed )|(\|lc)|(penalty)|(\[timeout)|(PRM\|1\|D)|(kpr)|(kdp))" /e /r /s</v>
      </c>
      <c r="AG101" s="1" t="str">
        <f t="shared" si="65"/>
        <v>EC</v>
      </c>
      <c r="AH101" s="105" t="str">
        <f t="shared" si="67"/>
        <v>"%USERPROFILE%\Documents\GitHub\eaglep3\Utilities\RefineRTDCRunTimes.py" --tripid 189-17 --locoid 4027 --swversion DE.1.0.7.0 --startMP 204:449 --initTime 2016-08-17T14:35:07 --startdatetime 2016-08-17T14:36:22 --delay 1 --endMP 204:233304 --enddatetime 2016-08-17T15:20:05 --enforcementcount 0</v>
      </c>
    </row>
    <row r="102" spans="1:34" s="24" customFormat="1" x14ac:dyDescent="0.25">
      <c r="A102" s="40" t="s">
        <v>456</v>
      </c>
      <c r="B102" s="7">
        <v>4028</v>
      </c>
      <c r="C102" s="25" t="s">
        <v>118</v>
      </c>
      <c r="D102" s="25" t="s">
        <v>256</v>
      </c>
      <c r="E102" s="16">
        <v>42599.639803240738</v>
      </c>
      <c r="F102" s="16">
        <v>42599.640532407408</v>
      </c>
      <c r="G102" s="7">
        <v>1</v>
      </c>
      <c r="H102" s="16" t="s">
        <v>210</v>
      </c>
      <c r="I102" s="16">
        <v>42599.679282407407</v>
      </c>
      <c r="J102" s="7">
        <v>0</v>
      </c>
      <c r="K102" s="142" t="str">
        <f t="shared" si="70"/>
        <v>4027/4028</v>
      </c>
      <c r="L102" s="25" t="str">
        <f>VLOOKUP(A102,'Trips&amp;Operators'!$C$1:$E$10000,3,FALSE)</f>
        <v>YORK</v>
      </c>
      <c r="M102" s="6">
        <f t="shared" si="71"/>
        <v>3.8749999999708962E-2</v>
      </c>
      <c r="N102" s="7">
        <f t="shared" si="68"/>
        <v>55.799999999580905</v>
      </c>
      <c r="O102" s="7"/>
      <c r="P102" s="7"/>
      <c r="Q102" s="26"/>
      <c r="R102" s="26"/>
      <c r="S102" s="38">
        <f t="shared" si="72"/>
        <v>1</v>
      </c>
      <c r="T102" s="53" t="str">
        <f t="shared" ref="T102:T133" si="80">IF(ISEVEN(LEFT(AD102,4)),"Southbound","NorthBound")</f>
        <v>Southbound</v>
      </c>
      <c r="U102" s="13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14:21:19-0600',mode:absolute,to:'2016-08-17 17:18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2" s="55" t="str">
        <f t="shared" si="74"/>
        <v>N</v>
      </c>
      <c r="X102" s="129">
        <f t="shared" si="69"/>
        <v>1</v>
      </c>
      <c r="Y102" s="70">
        <f t="shared" si="75"/>
        <v>23.299099999999999</v>
      </c>
      <c r="Z102" s="70">
        <f t="shared" si="76"/>
        <v>1.67E-2</v>
      </c>
      <c r="AA102" s="70">
        <f t="shared" si="77"/>
        <v>23.282399999999999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ref="AD102:AD133" si="81">IF(LEN(A102)=6,"0"&amp;A102,A102)</f>
        <v>0190-17</v>
      </c>
      <c r="AE102" s="104" t="str">
        <f t="shared" si="78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102" s="101" t="str">
        <f t="shared" si="79"/>
        <v>"C:\Program Files (x86)\AstroGrep\AstroGrep.exe" /spath="%USERPROFILE%\AppData\Local\Temp\OnboardLogs" /stypes="*4028*20160817*" /stext=" 22:.+((SYSTEM_STATE.+slice.+state.+changed )|(ment ac)|(system.+state.+changed )|(\|lc)|(penalty)|(\[timeout)|(PRM\|1\|D)|(kpr)|(kdp))" /e /r /s</v>
      </c>
      <c r="AG102" s="1" t="str">
        <f t="shared" ref="AG102:AG133" si="82">IFERROR(IF(VALUE(LEFT(AD102,2))&lt;=2,"EC",IF(OR(VALUE(LEFT(AD102,2))=8,VALUE(LEFT(AD102,2))=18),"NW","Other")),"Other")</f>
        <v>EC</v>
      </c>
      <c r="AH102" s="105" t="str">
        <f t="shared" si="67"/>
        <v>"%USERPROFILE%\Documents\GitHub\eaglep3\Utilities\RefineRTDCRunTimes.py" --tripid 190-17 --locoid 4028 --swversion DE.1.0.7.0 --startMP 204:232991 --initTime 2016-08-17T15:21:19 --startdatetime 2016-08-17T15:22:22 --delay 1 --endMP 204:167 --enddatetime 2016-08-17T16:18:10 --enforcementcount 0</v>
      </c>
    </row>
    <row r="103" spans="1:34" x14ac:dyDescent="0.25">
      <c r="A103" s="40" t="s">
        <v>457</v>
      </c>
      <c r="B103" s="7">
        <v>4018</v>
      </c>
      <c r="C103" s="25" t="s">
        <v>118</v>
      </c>
      <c r="D103" s="25" t="s">
        <v>365</v>
      </c>
      <c r="E103" s="16">
        <v>42599.621574074074</v>
      </c>
      <c r="F103" s="16">
        <v>42599.622743055559</v>
      </c>
      <c r="G103" s="7">
        <v>1</v>
      </c>
      <c r="H103" s="16" t="s">
        <v>215</v>
      </c>
      <c r="I103" s="16">
        <v>42599.650219907409</v>
      </c>
      <c r="J103" s="7">
        <v>0</v>
      </c>
      <c r="K103" s="142" t="str">
        <f t="shared" si="70"/>
        <v>4017/4018</v>
      </c>
      <c r="L103" s="25" t="str">
        <f>VLOOKUP(A103,'Trips&amp;Operators'!$C$1:$E$10000,3,FALSE)</f>
        <v>HELVIE</v>
      </c>
      <c r="M103" s="6">
        <f t="shared" si="71"/>
        <v>2.7476851850224193E-2</v>
      </c>
      <c r="N103" s="7">
        <f t="shared" si="68"/>
        <v>39.566666664322838</v>
      </c>
      <c r="O103" s="7"/>
      <c r="P103" s="7"/>
      <c r="Q103" s="26"/>
      <c r="R103" s="26"/>
      <c r="S103" s="38">
        <f t="shared" si="72"/>
        <v>1</v>
      </c>
      <c r="T103" s="53" t="str">
        <f t="shared" si="80"/>
        <v>NorthBound</v>
      </c>
      <c r="U103" s="13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13:55:04-0600',mode:absolute,to:'2016-08-17 16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3" s="55" t="str">
        <f t="shared" si="74"/>
        <v>N</v>
      </c>
      <c r="X103" s="129">
        <f t="shared" si="69"/>
        <v>1</v>
      </c>
      <c r="Y103" s="70">
        <f t="shared" si="75"/>
        <v>4.7800000000000002E-2</v>
      </c>
      <c r="Z103" s="70">
        <f t="shared" si="76"/>
        <v>23.330500000000001</v>
      </c>
      <c r="AA103" s="70">
        <f t="shared" si="77"/>
        <v>23.282700000000002</v>
      </c>
      <c r="AB103" s="67" t="e">
        <f>VLOOKUP(A103,Enforcements!$C$7:$J$24,8,0)</f>
        <v>#N/A</v>
      </c>
      <c r="AC103" s="63" t="e">
        <f>VLOOKUP(A103,Enforcements!$C$7:$E$24,3,0)</f>
        <v>#N/A</v>
      </c>
      <c r="AD103" s="64" t="str">
        <f t="shared" si="81"/>
        <v>0191-17</v>
      </c>
      <c r="AE103" s="104" t="str">
        <f t="shared" si="78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03" s="101" t="str">
        <f t="shared" si="79"/>
        <v>"C:\Program Files (x86)\AstroGrep\AstroGrep.exe" /spath="%USERPROFILE%\AppData\Local\Temp\OnboardLogs" /stypes="*4018*20160817*" /stext=" 21:.+((SYSTEM_STATE.+slice.+state.+changed )|(ment ac)|(system.+state.+changed )|(\|lc)|(penalty)|(\[timeout)|(PRM\|1\|D)|(kpr)|(kdp))" /e /r /s</v>
      </c>
      <c r="AG103" s="1" t="str">
        <f t="shared" si="82"/>
        <v>EC</v>
      </c>
      <c r="AH103" s="105" t="str">
        <f t="shared" si="67"/>
        <v>"%USERPROFILE%\Documents\GitHub\eaglep3\Utilities\RefineRTDCRunTimes.py" --tripid 191-17 --locoid 4018 --swversion DE.1.0.7.0 --startMP 204:478 --initTime 2016-08-17T14:55:04 --startdatetime 2016-08-17T14:56:45 --delay 1 --endMP 204:233305 --enddatetime 2016-08-17T15:36:19 --enforcementcount 0</v>
      </c>
    </row>
    <row r="104" spans="1:34" x14ac:dyDescent="0.25">
      <c r="A104" s="40" t="s">
        <v>458</v>
      </c>
      <c r="B104" s="7">
        <v>4017</v>
      </c>
      <c r="C104" s="25" t="s">
        <v>118</v>
      </c>
      <c r="D104" s="25" t="s">
        <v>459</v>
      </c>
      <c r="E104" s="16">
        <v>42599.65965277778</v>
      </c>
      <c r="F104" s="16">
        <v>42599.66064814815</v>
      </c>
      <c r="G104" s="7">
        <v>1</v>
      </c>
      <c r="H104" s="16" t="s">
        <v>177</v>
      </c>
      <c r="I104" s="16">
        <v>42599.691631944443</v>
      </c>
      <c r="J104" s="7">
        <v>0</v>
      </c>
      <c r="K104" s="142" t="str">
        <f t="shared" si="70"/>
        <v>4017/4018</v>
      </c>
      <c r="L104" s="25" t="str">
        <f>VLOOKUP(A104,'Trips&amp;Operators'!$C$1:$E$10000,3,FALSE)</f>
        <v>HELVIE</v>
      </c>
      <c r="M104" s="6">
        <f t="shared" si="71"/>
        <v>3.0983796292275656E-2</v>
      </c>
      <c r="N104" s="7">
        <f t="shared" si="68"/>
        <v>44.616666660876945</v>
      </c>
      <c r="O104" s="7"/>
      <c r="P104" s="7"/>
      <c r="Q104" s="26"/>
      <c r="R104" s="26"/>
      <c r="S104" s="38">
        <f t="shared" si="72"/>
        <v>1</v>
      </c>
      <c r="T104" s="53" t="str">
        <f t="shared" si="80"/>
        <v>Southbound</v>
      </c>
      <c r="U104" s="13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14:49:54-0600',mode:absolute,to:'2016-08-17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4" s="55" t="str">
        <f t="shared" si="74"/>
        <v>N</v>
      </c>
      <c r="X104" s="129">
        <f t="shared" si="69"/>
        <v>1</v>
      </c>
      <c r="Y104" s="70">
        <f t="shared" si="75"/>
        <v>23.298200000000001</v>
      </c>
      <c r="Z104" s="70">
        <f t="shared" si="76"/>
        <v>1.54E-2</v>
      </c>
      <c r="AA104" s="70">
        <f t="shared" si="77"/>
        <v>23.282800000000002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81"/>
        <v>0192-17</v>
      </c>
      <c r="AE104" s="104" t="str">
        <f t="shared" si="78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04" s="101" t="str">
        <f t="shared" si="79"/>
        <v>"C:\Program Files (x86)\AstroGrep\AstroGrep.exe" /spath="%USERPROFILE%\AppData\Local\Temp\OnboardLogs" /stypes="*4017*20160817*" /stext=" 22:.+((SYSTEM_STATE.+slice.+state.+changed )|(ment ac)|(system.+state.+changed )|(\|lc)|(penalty)|(\[timeout)|(PRM\|1\|D)|(kpr)|(kdp))" /e /r /s</v>
      </c>
      <c r="AG104" s="1" t="str">
        <f t="shared" si="82"/>
        <v>EC</v>
      </c>
      <c r="AH104" s="105" t="str">
        <f t="shared" si="67"/>
        <v>"%USERPROFILE%\Documents\GitHub\eaglep3\Utilities\RefineRTDCRunTimes.py" --tripid 192-17 --locoid 4017 --swversion DE.1.0.7.0 --startMP 204:232982 --initTime 2016-08-17T15:49:54 --startdatetime 2016-08-17T15:51:20 --delay 1 --endMP 204:154 --enddatetime 2016-08-17T16:35:57 --enforcementcount 0</v>
      </c>
    </row>
    <row r="105" spans="1:34" s="24" customFormat="1" x14ac:dyDescent="0.25">
      <c r="A105" s="40" t="s">
        <v>460</v>
      </c>
      <c r="B105" s="7">
        <v>4025</v>
      </c>
      <c r="C105" s="25" t="s">
        <v>118</v>
      </c>
      <c r="D105" s="25" t="s">
        <v>461</v>
      </c>
      <c r="E105" s="16">
        <v>42599.633657407408</v>
      </c>
      <c r="F105" s="16">
        <v>42599.634618055556</v>
      </c>
      <c r="G105" s="7">
        <v>1</v>
      </c>
      <c r="H105" s="16" t="s">
        <v>156</v>
      </c>
      <c r="I105" s="16">
        <v>42599.660486111112</v>
      </c>
      <c r="J105" s="7">
        <v>0</v>
      </c>
      <c r="K105" s="142" t="str">
        <f t="shared" si="70"/>
        <v>4025/4026</v>
      </c>
      <c r="L105" s="25" t="str">
        <f>VLOOKUP(A105,'Trips&amp;Operators'!$C$1:$E$10000,3,FALSE)</f>
        <v>STORY</v>
      </c>
      <c r="M105" s="6">
        <f t="shared" si="71"/>
        <v>2.5868055556202307E-2</v>
      </c>
      <c r="N105" s="7">
        <f t="shared" si="68"/>
        <v>37.250000000931323</v>
      </c>
      <c r="O105" s="7"/>
      <c r="P105" s="7"/>
      <c r="Q105" s="26"/>
      <c r="R105" s="26"/>
      <c r="S105" s="38">
        <f t="shared" si="72"/>
        <v>1</v>
      </c>
      <c r="T105" s="53" t="str">
        <f t="shared" si="80"/>
        <v>NorthBound</v>
      </c>
      <c r="U105" s="13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14:12:28-0600',mode:absolute,to:'2016-08-17 16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5" s="55" t="str">
        <f t="shared" si="74"/>
        <v>N</v>
      </c>
      <c r="X105" s="129">
        <f t="shared" si="69"/>
        <v>1</v>
      </c>
      <c r="Y105" s="70">
        <f t="shared" si="75"/>
        <v>4.8800000000000003E-2</v>
      </c>
      <c r="Z105" s="70">
        <f t="shared" si="76"/>
        <v>23.331</v>
      </c>
      <c r="AA105" s="70">
        <f t="shared" si="77"/>
        <v>23.2822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81"/>
        <v>0193-17</v>
      </c>
      <c r="AE105" s="104" t="str">
        <f t="shared" si="78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105" s="101" t="str">
        <f t="shared" si="79"/>
        <v>"C:\Program Files (x86)\AstroGrep\AstroGrep.exe" /spath="%USERPROFILE%\AppData\Local\Temp\OnboardLogs" /stypes="*4025*20160817*" /stext=" 21:.+((SYSTEM_STATE.+slice.+state.+changed )|(ment ac)|(system.+state.+changed )|(\|lc)|(penalty)|(\[timeout)|(PRM\|1\|D)|(kpr)|(kdp))" /e /r /s</v>
      </c>
      <c r="AG105" s="1" t="str">
        <f t="shared" si="82"/>
        <v>EC</v>
      </c>
      <c r="AH105" s="105" t="str">
        <f t="shared" si="67"/>
        <v>"%USERPROFILE%\Documents\GitHub\eaglep3\Utilities\RefineRTDCRunTimes.py" --tripid 193-17 --locoid 4025 --swversion DE.1.0.7.0 --startMP 204:488 --initTime 2016-08-17T15:12:28 --startdatetime 2016-08-17T15:13:51 --delay 1 --endMP 204:233310 --enddatetime 2016-08-17T15:51:06 --enforcementcount 0</v>
      </c>
    </row>
    <row r="106" spans="1:34" x14ac:dyDescent="0.25">
      <c r="A106" s="40" t="s">
        <v>462</v>
      </c>
      <c r="B106" s="7">
        <v>4026</v>
      </c>
      <c r="C106" s="25" t="s">
        <v>118</v>
      </c>
      <c r="D106" s="25" t="s">
        <v>145</v>
      </c>
      <c r="E106" s="16">
        <v>42599.669548611113</v>
      </c>
      <c r="F106" s="16">
        <v>42599.670636574076</v>
      </c>
      <c r="G106" s="7">
        <v>1</v>
      </c>
      <c r="H106" s="16" t="s">
        <v>463</v>
      </c>
      <c r="I106" s="16">
        <v>42599.701493055552</v>
      </c>
      <c r="J106" s="7">
        <v>0</v>
      </c>
      <c r="K106" s="142" t="str">
        <f t="shared" si="70"/>
        <v>4025/4026</v>
      </c>
      <c r="L106" s="25" t="str">
        <f>VLOOKUP(A106,'Trips&amp;Operators'!$C$1:$E$10000,3,FALSE)</f>
        <v>STORY</v>
      </c>
      <c r="M106" s="6">
        <f t="shared" si="71"/>
        <v>3.085648147680331E-2</v>
      </c>
      <c r="N106" s="7">
        <f t="shared" si="68"/>
        <v>44.433333326596767</v>
      </c>
      <c r="O106" s="7"/>
      <c r="P106" s="7"/>
      <c r="Q106" s="26"/>
      <c r="R106" s="26"/>
      <c r="S106" s="38">
        <f t="shared" si="72"/>
        <v>1</v>
      </c>
      <c r="T106" s="53" t="str">
        <f t="shared" si="80"/>
        <v>Southbound</v>
      </c>
      <c r="U106" s="13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15:04:09-0600',mode:absolute,to:'2016-08-17 17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6" s="55" t="str">
        <f t="shared" si="74"/>
        <v>N</v>
      </c>
      <c r="X106" s="129">
        <f t="shared" si="69"/>
        <v>1</v>
      </c>
      <c r="Y106" s="70">
        <f t="shared" si="75"/>
        <v>23.299600000000002</v>
      </c>
      <c r="Z106" s="70">
        <f t="shared" si="76"/>
        <v>3.1399999999999997E-2</v>
      </c>
      <c r="AA106" s="70">
        <f t="shared" si="77"/>
        <v>23.2682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81"/>
        <v>0194-17</v>
      </c>
      <c r="AE106" s="104" t="str">
        <f t="shared" si="78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106" s="101" t="str">
        <f t="shared" si="79"/>
        <v>"C:\Program Files (x86)\AstroGrep\AstroGrep.exe" /spath="%USERPROFILE%\AppData\Local\Temp\OnboardLogs" /stypes="*4026*20160817*" /stext=" 22:.+((SYSTEM_STATE.+slice.+state.+changed )|(ment ac)|(system.+state.+changed )|(\|lc)|(penalty)|(\[timeout)|(PRM\|1\|D)|(kpr)|(kdp))" /e /r /s</v>
      </c>
      <c r="AG106" s="1" t="str">
        <f t="shared" si="82"/>
        <v>EC</v>
      </c>
      <c r="AH106" s="105" t="str">
        <f t="shared" si="67"/>
        <v>"%USERPROFILE%\Documents\GitHub\eaglep3\Utilities\RefineRTDCRunTimes.py" --tripid 194-17 --locoid 4026 --swversion DE.1.0.7.0 --startMP 204:232996 --initTime 2016-08-17T16:04:09 --startdatetime 2016-08-17T16:05:43 --delay 1 --endMP 204:314 --enddatetime 2016-08-17T16:50:09 --enforcementcount 0</v>
      </c>
    </row>
    <row r="107" spans="1:34" x14ac:dyDescent="0.25">
      <c r="A107" s="40" t="s">
        <v>464</v>
      </c>
      <c r="B107" s="7">
        <v>4009</v>
      </c>
      <c r="C107" s="25" t="s">
        <v>118</v>
      </c>
      <c r="D107" s="25" t="s">
        <v>336</v>
      </c>
      <c r="E107" s="16">
        <v>42599.643101851849</v>
      </c>
      <c r="F107" s="16">
        <v>42599.643958333334</v>
      </c>
      <c r="G107" s="7">
        <v>1</v>
      </c>
      <c r="H107" s="16" t="s">
        <v>465</v>
      </c>
      <c r="I107" s="16">
        <v>42599.671319444446</v>
      </c>
      <c r="J107" s="7">
        <v>0</v>
      </c>
      <c r="K107" s="142" t="str">
        <f t="shared" si="70"/>
        <v>4009/4010</v>
      </c>
      <c r="L107" s="25" t="str">
        <f>VLOOKUP(A107,'Trips&amp;Operators'!$C$1:$E$10000,3,FALSE)</f>
        <v>STAMBAUGH</v>
      </c>
      <c r="M107" s="6">
        <f t="shared" si="71"/>
        <v>2.73611111115315E-2</v>
      </c>
      <c r="N107" s="7">
        <f t="shared" si="68"/>
        <v>39.40000000060536</v>
      </c>
      <c r="O107" s="7"/>
      <c r="P107" s="7"/>
      <c r="Q107" s="26"/>
      <c r="R107" s="26"/>
      <c r="S107" s="38">
        <f t="shared" si="72"/>
        <v>1</v>
      </c>
      <c r="T107" s="53" t="str">
        <f t="shared" si="80"/>
        <v>NorthBound</v>
      </c>
      <c r="U107" s="13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14:26:04-0600',mode:absolute,to:'2016-08-17 17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7" s="55" t="str">
        <f t="shared" si="74"/>
        <v>N</v>
      </c>
      <c r="X107" s="129">
        <f t="shared" si="69"/>
        <v>1</v>
      </c>
      <c r="Y107" s="70">
        <f t="shared" si="75"/>
        <v>4.4400000000000002E-2</v>
      </c>
      <c r="Z107" s="70">
        <f t="shared" si="76"/>
        <v>23.332599999999999</v>
      </c>
      <c r="AA107" s="70">
        <f t="shared" si="77"/>
        <v>23.2882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81"/>
        <v>0195-17</v>
      </c>
      <c r="AE107" s="104" t="str">
        <f t="shared" si="78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07" s="101" t="str">
        <f t="shared" si="79"/>
        <v>"C:\Program Files (x86)\AstroGrep\AstroGrep.exe" /spath="%USERPROFILE%\AppData\Local\Temp\OnboardLogs" /stypes="*4009*20160817*" /stext=" 22:.+((SYSTEM_STATE.+slice.+state.+changed )|(ment ac)|(system.+state.+changed )|(\|lc)|(penalty)|(\[timeout)|(PRM\|1\|D)|(kpr)|(kdp))" /e /r /s</v>
      </c>
      <c r="AG107" s="1" t="str">
        <f t="shared" si="82"/>
        <v>EC</v>
      </c>
      <c r="AH107" s="105" t="str">
        <f t="shared" si="67"/>
        <v>"%USERPROFILE%\Documents\GitHub\eaglep3\Utilities\RefineRTDCRunTimes.py" --tripid 195-17 --locoid 4009 --swversion DE.1.0.7.0 --startMP 204:444 --initTime 2016-08-17T15:26:04 --startdatetime 2016-08-17T15:27:18 --delay 1 --endMP 204:233326 --enddatetime 2016-08-17T16:06:42 --enforcementcount 0</v>
      </c>
    </row>
    <row r="108" spans="1:34" x14ac:dyDescent="0.25">
      <c r="A108" s="40" t="s">
        <v>466</v>
      </c>
      <c r="B108" s="7">
        <v>4010</v>
      </c>
      <c r="C108" s="25" t="s">
        <v>118</v>
      </c>
      <c r="D108" s="25" t="s">
        <v>232</v>
      </c>
      <c r="E108" s="16">
        <v>42599.682037037041</v>
      </c>
      <c r="F108" s="16">
        <v>42599.682847222219</v>
      </c>
      <c r="G108" s="7">
        <v>1</v>
      </c>
      <c r="H108" s="16" t="s">
        <v>173</v>
      </c>
      <c r="I108" s="16">
        <v>42599.71125</v>
      </c>
      <c r="J108" s="7">
        <v>0</v>
      </c>
      <c r="K108" s="142" t="str">
        <f t="shared" si="70"/>
        <v>4009/4010</v>
      </c>
      <c r="L108" s="25" t="str">
        <f>VLOOKUP(A108,'Trips&amp;Operators'!$C$1:$E$10000,3,FALSE)</f>
        <v>STAMBAUGH</v>
      </c>
      <c r="M108" s="6">
        <f t="shared" si="71"/>
        <v>2.8402777781593613E-2</v>
      </c>
      <c r="N108" s="7">
        <f t="shared" si="68"/>
        <v>40.900000005494803</v>
      </c>
      <c r="O108" s="7"/>
      <c r="P108" s="7"/>
      <c r="Q108" s="26"/>
      <c r="R108" s="26"/>
      <c r="S108" s="38">
        <f t="shared" si="72"/>
        <v>1</v>
      </c>
      <c r="T108" s="53" t="str">
        <f t="shared" si="80"/>
        <v>Southbound</v>
      </c>
      <c r="U108" s="13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15:22:08-0600',mode:absolute,to:'2016-08-17 18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8" s="55" t="str">
        <f t="shared" si="74"/>
        <v>N</v>
      </c>
      <c r="X108" s="129">
        <f t="shared" si="69"/>
        <v>1</v>
      </c>
      <c r="Y108" s="70">
        <f t="shared" si="75"/>
        <v>23.300699999999999</v>
      </c>
      <c r="Z108" s="70">
        <f t="shared" si="76"/>
        <v>1.5599999999999999E-2</v>
      </c>
      <c r="AA108" s="70">
        <f t="shared" si="77"/>
        <v>23.2851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81"/>
        <v>0196-17</v>
      </c>
      <c r="AE108" s="104" t="str">
        <f t="shared" si="78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08" s="101" t="str">
        <f t="shared" si="79"/>
        <v>"C:\Program Files (x86)\AstroGrep\AstroGrep.exe" /spath="%USERPROFILE%\AppData\Local\Temp\OnboardLogs" /stypes="*4010*20160817*" /stext=" 23:.+((SYSTEM_STATE.+slice.+state.+changed )|(ment ac)|(system.+state.+changed )|(\|lc)|(penalty)|(\[timeout)|(PRM\|1\|D)|(kpr)|(kdp))" /e /r /s</v>
      </c>
      <c r="AG108" s="1" t="str">
        <f t="shared" si="82"/>
        <v>EC</v>
      </c>
      <c r="AH108" s="105" t="str">
        <f t="shared" si="67"/>
        <v>"%USERPROFILE%\Documents\GitHub\eaglep3\Utilities\RefineRTDCRunTimes.py" --tripid 196-17 --locoid 4010 --swversion DE.1.0.7.0 --startMP 204:233007 --initTime 2016-08-17T16:22:08 --startdatetime 2016-08-17T16:23:18 --delay 1 --endMP 204:156 --enddatetime 2016-08-17T17:04:12 --enforcementcount 0</v>
      </c>
    </row>
    <row r="109" spans="1:34" x14ac:dyDescent="0.25">
      <c r="A109" s="40" t="s">
        <v>467</v>
      </c>
      <c r="B109" s="7">
        <v>4002</v>
      </c>
      <c r="C109" s="25" t="s">
        <v>118</v>
      </c>
      <c r="D109" s="25" t="s">
        <v>150</v>
      </c>
      <c r="E109" s="16">
        <v>42599.651863425926</v>
      </c>
      <c r="F109" s="16">
        <v>42599.65315972222</v>
      </c>
      <c r="G109" s="7">
        <v>1</v>
      </c>
      <c r="H109" s="16" t="s">
        <v>468</v>
      </c>
      <c r="I109" s="16">
        <v>42599.682835648149</v>
      </c>
      <c r="J109" s="7">
        <v>0</v>
      </c>
      <c r="K109" s="142" t="str">
        <f t="shared" si="70"/>
        <v>4001/4002</v>
      </c>
      <c r="L109" s="25" t="str">
        <f>VLOOKUP(A109,'Trips&amp;Operators'!$C$1:$E$10000,3,FALSE)</f>
        <v>BRUDER</v>
      </c>
      <c r="M109" s="6">
        <f t="shared" si="71"/>
        <v>2.9675925929041114E-2</v>
      </c>
      <c r="N109" s="7">
        <f t="shared" si="68"/>
        <v>42.733333337819204</v>
      </c>
      <c r="O109" s="7"/>
      <c r="P109" s="7"/>
      <c r="Q109" s="26"/>
      <c r="R109" s="26"/>
      <c r="S109" s="38">
        <f t="shared" si="72"/>
        <v>1</v>
      </c>
      <c r="T109" s="53" t="str">
        <f t="shared" si="80"/>
        <v>NorthBound</v>
      </c>
      <c r="U109" s="13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14:38:41-0600',mode:absolute,to:'2016-08-17 17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9" s="55" t="str">
        <f t="shared" si="74"/>
        <v>N</v>
      </c>
      <c r="X109" s="129">
        <f t="shared" si="69"/>
        <v>1</v>
      </c>
      <c r="Y109" s="70">
        <f t="shared" si="75"/>
        <v>4.6899999999999997E-2</v>
      </c>
      <c r="Z109" s="70">
        <f t="shared" si="76"/>
        <v>23.331499999999998</v>
      </c>
      <c r="AA109" s="70">
        <f t="shared" si="77"/>
        <v>23.284599999999998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si="81"/>
        <v>0197-17</v>
      </c>
      <c r="AE109" s="104" t="str">
        <f t="shared" si="78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109" s="101" t="str">
        <f t="shared" si="79"/>
        <v>"C:\Program Files (x86)\AstroGrep\AstroGrep.exe" /spath="%USERPROFILE%\AppData\Local\Temp\OnboardLogs" /stypes="*4002*20160817*" /stext=" 22:.+((SYSTEM_STATE.+slice.+state.+changed )|(ment ac)|(system.+state.+changed )|(\|lc)|(penalty)|(\[timeout)|(PRM\|1\|D)|(kpr)|(kdp))" /e /r /s</v>
      </c>
      <c r="AG109" s="1" t="str">
        <f t="shared" si="82"/>
        <v>EC</v>
      </c>
      <c r="AH109" s="105" t="str">
        <f t="shared" si="67"/>
        <v>"%USERPROFILE%\Documents\GitHub\eaglep3\Utilities\RefineRTDCRunTimes.py" --tripid 197-17 --locoid 4002 --swversion DE.1.0.7.0 --startMP 204:469 --initTime 2016-08-17T15:38:41 --startdatetime 2016-08-17T15:40:33 --delay 1 --endMP 204:233315 --enddatetime 2016-08-17T16:23:17 --enforcementcount 0</v>
      </c>
    </row>
    <row r="110" spans="1:34" x14ac:dyDescent="0.25">
      <c r="A110" s="40" t="s">
        <v>469</v>
      </c>
      <c r="B110" s="7">
        <v>4001</v>
      </c>
      <c r="C110" s="25" t="s">
        <v>118</v>
      </c>
      <c r="D110" s="25" t="s">
        <v>62</v>
      </c>
      <c r="E110" s="16">
        <v>42599.6878125</v>
      </c>
      <c r="F110" s="16">
        <v>42599.689131944448</v>
      </c>
      <c r="G110" s="7">
        <v>1</v>
      </c>
      <c r="H110" s="16" t="s">
        <v>212</v>
      </c>
      <c r="I110" s="16">
        <v>42599.723078703704</v>
      </c>
      <c r="J110" s="7">
        <v>0</v>
      </c>
      <c r="K110" s="142" t="str">
        <f t="shared" si="70"/>
        <v>4001/4002</v>
      </c>
      <c r="L110" s="25" t="str">
        <f>VLOOKUP(A110,'Trips&amp;Operators'!$C$1:$E$10000,3,FALSE)</f>
        <v>BRUDER</v>
      </c>
      <c r="M110" s="6">
        <f t="shared" si="71"/>
        <v>3.3946759256650694E-2</v>
      </c>
      <c r="N110" s="7">
        <f t="shared" si="68"/>
        <v>48.883333329576999</v>
      </c>
      <c r="O110" s="7"/>
      <c r="P110" s="7"/>
      <c r="Q110" s="26"/>
      <c r="R110" s="26"/>
      <c r="S110" s="38">
        <f t="shared" si="72"/>
        <v>1</v>
      </c>
      <c r="T110" s="53" t="str">
        <f t="shared" si="80"/>
        <v>Southbound</v>
      </c>
      <c r="U110" s="13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15:30:27-0600',mode:absolute,to:'2016-08-17 18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0" s="55" t="str">
        <f t="shared" si="74"/>
        <v>N</v>
      </c>
      <c r="X110" s="129">
        <f t="shared" si="69"/>
        <v>1</v>
      </c>
      <c r="Y110" s="70">
        <f t="shared" si="75"/>
        <v>23.297699999999999</v>
      </c>
      <c r="Z110" s="70">
        <f t="shared" si="76"/>
        <v>1.52E-2</v>
      </c>
      <c r="AA110" s="70">
        <f t="shared" si="77"/>
        <v>23.282499999999999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81"/>
        <v>0198-17</v>
      </c>
      <c r="AE110" s="104" t="str">
        <f t="shared" si="78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110" s="101" t="str">
        <f t="shared" si="79"/>
        <v>"C:\Program Files (x86)\AstroGrep\AstroGrep.exe" /spath="%USERPROFILE%\AppData\Local\Temp\OnboardLogs" /stypes="*4001*20160817*" /stext=" 23:.+((SYSTEM_STATE.+slice.+state.+changed )|(ment ac)|(system.+state.+changed )|(\|lc)|(penalty)|(\[timeout)|(PRM\|1\|D)|(kpr)|(kdp))" /e /r /s</v>
      </c>
      <c r="AG110" s="1" t="str">
        <f t="shared" si="82"/>
        <v>EC</v>
      </c>
      <c r="AH110" s="105" t="str">
        <f t="shared" si="67"/>
        <v>"%USERPROFILE%\Documents\GitHub\eaglep3\Utilities\RefineRTDCRunTimes.py" --tripid 198-17 --locoid 4001 --swversion DE.1.0.7.0 --startMP 204:232977 --initTime 2016-08-17T16:30:27 --startdatetime 2016-08-17T16:32:21 --delay 1 --endMP 204:152 --enddatetime 2016-08-17T17:21:14 --enforcementcount 0</v>
      </c>
    </row>
    <row r="111" spans="1:34" s="24" customFormat="1" x14ac:dyDescent="0.25">
      <c r="A111" s="40" t="s">
        <v>470</v>
      </c>
      <c r="B111" s="7">
        <v>4014</v>
      </c>
      <c r="C111" s="25" t="s">
        <v>118</v>
      </c>
      <c r="D111" s="25" t="s">
        <v>263</v>
      </c>
      <c r="E111" s="16">
        <v>42599.663530092592</v>
      </c>
      <c r="F111" s="16">
        <v>42599.664537037039</v>
      </c>
      <c r="G111" s="7">
        <v>1</v>
      </c>
      <c r="H111" s="16" t="s">
        <v>176</v>
      </c>
      <c r="I111" s="16">
        <v>42599.692986111113</v>
      </c>
      <c r="J111" s="7">
        <v>0</v>
      </c>
      <c r="K111" s="142" t="str">
        <f t="shared" si="70"/>
        <v>4013/4014</v>
      </c>
      <c r="L111" s="25" t="str">
        <f>VLOOKUP(A111,'Trips&amp;Operators'!$C$1:$E$10000,3,FALSE)</f>
        <v>KILLION</v>
      </c>
      <c r="M111" s="6">
        <f t="shared" si="71"/>
        <v>2.8449074074160308E-2</v>
      </c>
      <c r="N111" s="7">
        <f t="shared" si="68"/>
        <v>40.966666666790843</v>
      </c>
      <c r="O111" s="7"/>
      <c r="P111" s="7"/>
      <c r="Q111" s="26"/>
      <c r="R111" s="26"/>
      <c r="S111" s="38">
        <f t="shared" si="72"/>
        <v>1</v>
      </c>
      <c r="T111" s="53" t="str">
        <f t="shared" si="80"/>
        <v>NorthBound</v>
      </c>
      <c r="U111" s="13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14:55:29-0600',mode:absolute,to:'2016-08-17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1" s="55" t="str">
        <f t="shared" si="74"/>
        <v>N</v>
      </c>
      <c r="X111" s="129">
        <f t="shared" si="69"/>
        <v>1</v>
      </c>
      <c r="Y111" s="70">
        <f t="shared" si="75"/>
        <v>4.3999999999999997E-2</v>
      </c>
      <c r="Z111" s="70">
        <f t="shared" si="76"/>
        <v>23.3291</v>
      </c>
      <c r="AA111" s="70">
        <f t="shared" si="77"/>
        <v>23.2851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81"/>
        <v>0199-17</v>
      </c>
      <c r="AE111" s="104" t="str">
        <f t="shared" si="78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11" s="101" t="str">
        <f t="shared" si="79"/>
        <v>"C:\Program Files (x86)\AstroGrep\AstroGrep.exe" /spath="%USERPROFILE%\AppData\Local\Temp\OnboardLogs" /stypes="*4014*20160817*" /stext=" 22:.+((SYSTEM_STATE.+slice.+state.+changed )|(ment ac)|(system.+state.+changed )|(\|lc)|(penalty)|(\[timeout)|(PRM\|1\|D)|(kpr)|(kdp))" /e /r /s</v>
      </c>
      <c r="AG111" s="1" t="str">
        <f t="shared" si="82"/>
        <v>EC</v>
      </c>
      <c r="AH111" s="105" t="str">
        <f t="shared" si="67"/>
        <v>"%USERPROFILE%\Documents\GitHub\eaglep3\Utilities\RefineRTDCRunTimes.py" --tripid 199-17 --locoid 4014 --swversion DE.1.0.7.0 --startMP 204:440 --initTime 2016-08-17T15:55:29 --startdatetime 2016-08-17T15:56:56 --delay 1 --endMP 204:233291 --enddatetime 2016-08-17T16:37:54 --enforcementcount 0</v>
      </c>
    </row>
    <row r="112" spans="1:34" s="24" customFormat="1" x14ac:dyDescent="0.25">
      <c r="A112" s="40" t="s">
        <v>471</v>
      </c>
      <c r="B112" s="7">
        <v>4013</v>
      </c>
      <c r="C112" s="25" t="s">
        <v>118</v>
      </c>
      <c r="D112" s="25" t="s">
        <v>472</v>
      </c>
      <c r="E112" s="16">
        <v>42599.700416666667</v>
      </c>
      <c r="F112" s="16">
        <v>42599.701388888891</v>
      </c>
      <c r="G112" s="7">
        <v>1</v>
      </c>
      <c r="H112" s="16" t="s">
        <v>228</v>
      </c>
      <c r="I112" s="16">
        <v>42599.733749999999</v>
      </c>
      <c r="J112" s="7">
        <v>0</v>
      </c>
      <c r="K112" s="142" t="str">
        <f t="shared" si="70"/>
        <v>4013/4014</v>
      </c>
      <c r="L112" s="25" t="str">
        <f>VLOOKUP(A112,'Trips&amp;Operators'!$C$1:$E$10000,3,FALSE)</f>
        <v>KILLION</v>
      </c>
      <c r="M112" s="6">
        <f t="shared" si="71"/>
        <v>3.2361111108912155E-2</v>
      </c>
      <c r="N112" s="7">
        <f t="shared" si="68"/>
        <v>46.599999996833503</v>
      </c>
      <c r="O112" s="7"/>
      <c r="P112" s="7"/>
      <c r="Q112" s="26"/>
      <c r="R112" s="26"/>
      <c r="S112" s="38">
        <f t="shared" si="72"/>
        <v>1</v>
      </c>
      <c r="T112" s="53" t="str">
        <f t="shared" si="80"/>
        <v>Southbound</v>
      </c>
      <c r="U112" s="13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15:48:36-0600',mode:absolute,to:'2016-08-17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2" s="55" t="str">
        <f t="shared" si="74"/>
        <v>N</v>
      </c>
      <c r="X112" s="129">
        <f t="shared" si="69"/>
        <v>1</v>
      </c>
      <c r="Y112" s="70">
        <f t="shared" si="75"/>
        <v>23.295200000000001</v>
      </c>
      <c r="Z112" s="70">
        <f t="shared" si="76"/>
        <v>1.61E-2</v>
      </c>
      <c r="AA112" s="70">
        <f t="shared" si="77"/>
        <v>23.2791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81"/>
        <v>0200-17</v>
      </c>
      <c r="AE112" s="104" t="str">
        <f t="shared" si="78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112" s="101" t="str">
        <f t="shared" si="79"/>
        <v>"C:\Program Files (x86)\AstroGrep\AstroGrep.exe" /spath="%USERPROFILE%\AppData\Local\Temp\OnboardLogs" /stypes="*4013*20160817*" /stext=" 23:.+((SYSTEM_STATE.+slice.+state.+changed )|(ment ac)|(system.+state.+changed )|(\|lc)|(penalty)|(\[timeout)|(PRM\|1\|D)|(kpr)|(kdp))" /e /r /s</v>
      </c>
      <c r="AG112" s="1" t="str">
        <f t="shared" si="82"/>
        <v>EC</v>
      </c>
      <c r="AH112" s="105" t="str">
        <f t="shared" si="67"/>
        <v>"%USERPROFILE%\Documents\GitHub\eaglep3\Utilities\RefineRTDCRunTimes.py" --tripid 200-17 --locoid 4013 --swversion DE.1.0.7.0 --startMP 204:232952 --initTime 2016-08-17T16:48:36 --startdatetime 2016-08-17T16:50:00 --delay 1 --endMP 204:161 --enddatetime 2016-08-17T17:36:36 --enforcementcount 0</v>
      </c>
    </row>
    <row r="113" spans="1:34" x14ac:dyDescent="0.25">
      <c r="A113" s="40" t="s">
        <v>473</v>
      </c>
      <c r="B113" s="7">
        <v>4020</v>
      </c>
      <c r="C113" s="25" t="s">
        <v>118</v>
      </c>
      <c r="D113" s="25" t="s">
        <v>365</v>
      </c>
      <c r="E113" s="16">
        <v>42599.671736111108</v>
      </c>
      <c r="F113" s="16">
        <v>42599.672708333332</v>
      </c>
      <c r="G113" s="7">
        <v>1</v>
      </c>
      <c r="H113" s="16" t="s">
        <v>388</v>
      </c>
      <c r="I113" s="16">
        <v>42599.70380787037</v>
      </c>
      <c r="J113" s="7">
        <v>0</v>
      </c>
      <c r="K113" s="142" t="str">
        <f t="shared" si="70"/>
        <v>4019/4020</v>
      </c>
      <c r="L113" s="25" t="str">
        <f>VLOOKUP(A113,'Trips&amp;Operators'!$C$1:$E$10000,3,FALSE)</f>
        <v>BONDS</v>
      </c>
      <c r="M113" s="6">
        <f t="shared" si="71"/>
        <v>3.1099537038244307E-2</v>
      </c>
      <c r="N113" s="7">
        <f t="shared" si="68"/>
        <v>44.783333335071802</v>
      </c>
      <c r="O113" s="7"/>
      <c r="P113" s="7"/>
      <c r="Q113" s="26"/>
      <c r="R113" s="26"/>
      <c r="S113" s="38">
        <f t="shared" si="72"/>
        <v>1</v>
      </c>
      <c r="T113" s="53" t="str">
        <f t="shared" si="80"/>
        <v>NorthBound</v>
      </c>
      <c r="U113" s="13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15:07:18-0600',mode:absolute,to:'2016-08-17 17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3" s="55" t="str">
        <f t="shared" si="74"/>
        <v>N</v>
      </c>
      <c r="X113" s="129">
        <f t="shared" si="69"/>
        <v>1</v>
      </c>
      <c r="Y113" s="70">
        <f t="shared" si="75"/>
        <v>4.7800000000000002E-2</v>
      </c>
      <c r="Z113" s="70">
        <f t="shared" si="76"/>
        <v>23.3325</v>
      </c>
      <c r="AA113" s="70">
        <f t="shared" si="77"/>
        <v>23.284700000000001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81"/>
        <v>0201-17</v>
      </c>
      <c r="AE113" s="104" t="str">
        <f t="shared" si="78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113" s="101" t="str">
        <f t="shared" si="79"/>
        <v>"C:\Program Files (x86)\AstroGrep\AstroGrep.exe" /spath="%USERPROFILE%\AppData\Local\Temp\OnboardLogs" /stypes="*4020*20160817*" /stext=" 22:.+((SYSTEM_STATE.+slice.+state.+changed )|(ment ac)|(system.+state.+changed )|(\|lc)|(penalty)|(\[timeout)|(PRM\|1\|D)|(kpr)|(kdp))" /e /r /s</v>
      </c>
      <c r="AG113" s="1" t="str">
        <f t="shared" si="82"/>
        <v>EC</v>
      </c>
      <c r="AH113" s="105" t="str">
        <f t="shared" si="67"/>
        <v>"%USERPROFILE%\Documents\GitHub\eaglep3\Utilities\RefineRTDCRunTimes.py" --tripid 201-17 --locoid 4020 --swversion DE.1.0.7.0 --startMP 204:478 --initTime 2016-08-17T16:07:18 --startdatetime 2016-08-17T16:08:42 --delay 1 --endMP 204:233325 --enddatetime 2016-08-17T16:53:29 --enforcementcount 0</v>
      </c>
    </row>
    <row r="114" spans="1:34" x14ac:dyDescent="0.25">
      <c r="A114" s="40" t="s">
        <v>474</v>
      </c>
      <c r="B114" s="7">
        <v>4019</v>
      </c>
      <c r="C114" s="25" t="s">
        <v>118</v>
      </c>
      <c r="D114" s="25" t="s">
        <v>264</v>
      </c>
      <c r="E114" s="16">
        <v>42599.712708333333</v>
      </c>
      <c r="F114" s="16">
        <v>42599.713576388887</v>
      </c>
      <c r="G114" s="7">
        <v>1</v>
      </c>
      <c r="H114" s="16" t="s">
        <v>227</v>
      </c>
      <c r="I114" s="16">
        <v>42599.743564814817</v>
      </c>
      <c r="J114" s="7">
        <v>0</v>
      </c>
      <c r="K114" s="142" t="str">
        <f t="shared" si="70"/>
        <v>4019/4020</v>
      </c>
      <c r="L114" s="25" t="str">
        <f>VLOOKUP(A114,'Trips&amp;Operators'!$C$1:$E$10000,3,FALSE)</f>
        <v>BONDS</v>
      </c>
      <c r="M114" s="6">
        <f t="shared" si="71"/>
        <v>2.9988425929332152E-2</v>
      </c>
      <c r="N114" s="7">
        <f t="shared" si="68"/>
        <v>43.183333338238299</v>
      </c>
      <c r="O114" s="7"/>
      <c r="P114" s="7"/>
      <c r="Q114" s="26"/>
      <c r="R114" s="26"/>
      <c r="S114" s="38">
        <f t="shared" si="72"/>
        <v>1</v>
      </c>
      <c r="T114" s="53" t="str">
        <f t="shared" si="80"/>
        <v>Southbound</v>
      </c>
      <c r="U114" s="13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16:06:18-0600',mode:absolute,to:'2016-08-17 18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4" s="55" t="str">
        <f t="shared" si="74"/>
        <v>N</v>
      </c>
      <c r="X114" s="129">
        <f t="shared" si="69"/>
        <v>1</v>
      </c>
      <c r="Y114" s="70">
        <f t="shared" si="75"/>
        <v>23.301100000000002</v>
      </c>
      <c r="Z114" s="70">
        <f t="shared" si="76"/>
        <v>1.41E-2</v>
      </c>
      <c r="AA114" s="70">
        <f t="shared" si="77"/>
        <v>23.287000000000003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81"/>
        <v>0202-17</v>
      </c>
      <c r="AE114" s="104" t="str">
        <f t="shared" si="78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114" s="101" t="str">
        <f t="shared" si="79"/>
        <v>"C:\Program Files (x86)\AstroGrep\AstroGrep.exe" /spath="%USERPROFILE%\AppData\Local\Temp\OnboardLogs" /stypes="*4019*20160817*" /stext=" 23:.+((SYSTEM_STATE.+slice.+state.+changed )|(ment ac)|(system.+state.+changed )|(\|lc)|(penalty)|(\[timeout)|(PRM\|1\|D)|(kpr)|(kdp))" /e /r /s</v>
      </c>
      <c r="AG114" s="1" t="str">
        <f t="shared" si="82"/>
        <v>EC</v>
      </c>
      <c r="AH114" s="105" t="str">
        <f t="shared" si="67"/>
        <v>"%USERPROFILE%\Documents\GitHub\eaglep3\Utilities\RefineRTDCRunTimes.py" --tripid 202-17 --locoid 4019 --swversion DE.1.0.7.0 --startMP 204:233011 --initTime 2016-08-17T17:06:18 --startdatetime 2016-08-17T17:07:33 --delay 1 --endMP 204:141 --enddatetime 2016-08-17T17:50:44 --enforcementcount 0</v>
      </c>
    </row>
    <row r="115" spans="1:34" s="24" customFormat="1" x14ac:dyDescent="0.25">
      <c r="A115" s="40" t="s">
        <v>475</v>
      </c>
      <c r="B115" s="7">
        <v>4027</v>
      </c>
      <c r="C115" s="25" t="s">
        <v>118</v>
      </c>
      <c r="D115" s="25" t="s">
        <v>229</v>
      </c>
      <c r="E115" s="16">
        <v>42599.681284722225</v>
      </c>
      <c r="F115" s="16">
        <v>42599.682870370372</v>
      </c>
      <c r="G115" s="7">
        <v>2</v>
      </c>
      <c r="H115" s="16" t="s">
        <v>215</v>
      </c>
      <c r="I115" s="16">
        <v>42599.712094907409</v>
      </c>
      <c r="J115" s="7">
        <v>0</v>
      </c>
      <c r="K115" s="142" t="str">
        <f t="shared" si="70"/>
        <v>4027/4028</v>
      </c>
      <c r="L115" s="25" t="str">
        <f>VLOOKUP(A115,'Trips&amp;Operators'!$C$1:$E$10000,3,FALSE)</f>
        <v>YORK</v>
      </c>
      <c r="M115" s="6">
        <f t="shared" si="71"/>
        <v>2.9224537036498077E-2</v>
      </c>
      <c r="N115" s="7">
        <f t="shared" si="68"/>
        <v>42.083333332557231</v>
      </c>
      <c r="O115" s="7"/>
      <c r="P115" s="7"/>
      <c r="Q115" s="26"/>
      <c r="R115" s="26"/>
      <c r="S115" s="38">
        <f t="shared" si="72"/>
        <v>1</v>
      </c>
      <c r="T115" s="53" t="str">
        <f t="shared" si="80"/>
        <v>NorthBound</v>
      </c>
      <c r="U115" s="13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15:21:03-0600',mode:absolute,to:'2016-08-17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5" s="55" t="str">
        <f t="shared" si="74"/>
        <v>N</v>
      </c>
      <c r="X115" s="129">
        <f t="shared" si="69"/>
        <v>1</v>
      </c>
      <c r="Y115" s="70">
        <f t="shared" si="75"/>
        <v>4.82E-2</v>
      </c>
      <c r="Z115" s="70">
        <f t="shared" si="76"/>
        <v>23.330500000000001</v>
      </c>
      <c r="AA115" s="70">
        <f t="shared" si="77"/>
        <v>23.282299999999999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81"/>
        <v>0203-17</v>
      </c>
      <c r="AE115" s="104" t="str">
        <f t="shared" si="78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115" s="101" t="str">
        <f t="shared" si="79"/>
        <v>"C:\Program Files (x86)\AstroGrep\AstroGrep.exe" /spath="%USERPROFILE%\AppData\Local\Temp\OnboardLogs" /stypes="*4027*20160817*" /stext=" 23:.+((SYSTEM_STATE.+slice.+state.+changed )|(ment ac)|(system.+state.+changed )|(\|lc)|(penalty)|(\[timeout)|(PRM\|1\|D)|(kpr)|(kdp))" /e /r /s</v>
      </c>
      <c r="AG115" s="1" t="str">
        <f t="shared" si="82"/>
        <v>EC</v>
      </c>
      <c r="AH115" s="105" t="str">
        <f t="shared" si="67"/>
        <v>"%USERPROFILE%\Documents\GitHub\eaglep3\Utilities\RefineRTDCRunTimes.py" --tripid 203-17 --locoid 4027 --swversion DE.1.0.7.0 --startMP 204:482 --initTime 2016-08-17T16:21:03 --startdatetime 2016-08-17T16:23:20 --delay 2 --endMP 204:233305 --enddatetime 2016-08-17T17:05:25 --enforcementcount 0</v>
      </c>
    </row>
    <row r="116" spans="1:34" x14ac:dyDescent="0.25">
      <c r="A116" s="40" t="s">
        <v>476</v>
      </c>
      <c r="B116" s="7">
        <v>4028</v>
      </c>
      <c r="C116" s="25" t="s">
        <v>118</v>
      </c>
      <c r="D116" s="25" t="s">
        <v>477</v>
      </c>
      <c r="E116" s="16">
        <v>42599.71292824074</v>
      </c>
      <c r="F116" s="16">
        <v>42599.713541666664</v>
      </c>
      <c r="G116" s="7">
        <v>0</v>
      </c>
      <c r="H116" s="16" t="s">
        <v>478</v>
      </c>
      <c r="I116" s="16">
        <v>42599.751354166663</v>
      </c>
      <c r="J116" s="7">
        <v>0</v>
      </c>
      <c r="K116" s="142" t="str">
        <f t="shared" si="70"/>
        <v>4027/4028</v>
      </c>
      <c r="L116" s="25" t="str">
        <f>VLOOKUP(A116,'Trips&amp;Operators'!$C$1:$E$10000,3,FALSE)</f>
        <v>YORK</v>
      </c>
      <c r="M116" s="6">
        <f t="shared" si="71"/>
        <v>3.7812499998835847E-2</v>
      </c>
      <c r="N116" s="7">
        <f t="shared" si="68"/>
        <v>54.449999998323619</v>
      </c>
      <c r="O116" s="7"/>
      <c r="P116" s="7"/>
      <c r="Q116" s="26"/>
      <c r="R116" s="26"/>
      <c r="S116" s="38">
        <f t="shared" si="72"/>
        <v>1</v>
      </c>
      <c r="T116" s="53" t="str">
        <f t="shared" si="80"/>
        <v>Southbound</v>
      </c>
      <c r="U116" s="13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16:06:37-0600',mode:absolute,to:'2016-08-17 19:01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16" s="55" t="str">
        <f t="shared" si="74"/>
        <v>Y</v>
      </c>
      <c r="X116" s="129">
        <f t="shared" si="69"/>
        <v>1</v>
      </c>
      <c r="Y116" s="70">
        <f t="shared" si="75"/>
        <v>23.2986</v>
      </c>
      <c r="Z116" s="70">
        <f t="shared" si="76"/>
        <v>0.41670000000000001</v>
      </c>
      <c r="AA116" s="70">
        <f t="shared" si="77"/>
        <v>22.881900000000002</v>
      </c>
      <c r="AB116" s="67" t="e">
        <f>VLOOKUP(A116,Enforcements!$C$7:$J$24,8,0)</f>
        <v>#N/A</v>
      </c>
      <c r="AC116" s="63" t="e">
        <f>VLOOKUP(A116,Enforcements!$C$7:$E$24,3,0)</f>
        <v>#N/A</v>
      </c>
      <c r="AD116" s="64" t="str">
        <f t="shared" si="81"/>
        <v>0204-17</v>
      </c>
      <c r="AE116" s="104" t="str">
        <f t="shared" si="78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116" s="101" t="str">
        <f t="shared" si="79"/>
        <v>"C:\Program Files (x86)\AstroGrep\AstroGrep.exe" /spath="%USERPROFILE%\AppData\Local\Temp\OnboardLogs" /stypes="*4028*20160818*" /stext=" 00:.+((SYSTEM_STATE.+slice.+state.+changed )|(ment ac)|(system.+state.+changed )|(\|lc)|(penalty)|(\[timeout)|(PRM\|1\|D)|(kpr)|(kdp))" /e /r /s</v>
      </c>
      <c r="AG116" s="1" t="str">
        <f t="shared" si="82"/>
        <v>EC</v>
      </c>
      <c r="AH116" s="105" t="str">
        <f t="shared" si="67"/>
        <v>"%USERPROFILE%\Documents\GitHub\eaglep3\Utilities\RefineRTDCRunTimes.py" --tripid 204-17 --locoid 4028 --swversion DE.1.0.7.0 --startMP 204:232986 --initTime 2016-08-17T17:06:37 --startdatetime 2016-08-17T17:07:30 --delay 0 --endMP 204:4167 --enddatetime 2016-08-17T18:01:57 --enforcementcount 0</v>
      </c>
    </row>
    <row r="117" spans="1:34" x14ac:dyDescent="0.25">
      <c r="A117" s="40" t="s">
        <v>479</v>
      </c>
      <c r="B117" s="7">
        <v>4018</v>
      </c>
      <c r="C117" s="25" t="s">
        <v>118</v>
      </c>
      <c r="D117" s="25" t="s">
        <v>277</v>
      </c>
      <c r="E117" s="16">
        <v>42599.693344907406</v>
      </c>
      <c r="F117" s="16">
        <v>42599.69458333333</v>
      </c>
      <c r="G117" s="7">
        <v>1</v>
      </c>
      <c r="H117" s="16" t="s">
        <v>480</v>
      </c>
      <c r="I117" s="16">
        <v>42599.725590277776</v>
      </c>
      <c r="J117" s="7">
        <v>0</v>
      </c>
      <c r="K117" s="142" t="str">
        <f t="shared" si="70"/>
        <v>4017/4018</v>
      </c>
      <c r="L117" s="25" t="str">
        <f>VLOOKUP(A117,'Trips&amp;Operators'!$C$1:$E$10000,3,FALSE)</f>
        <v>HELVIE</v>
      </c>
      <c r="M117" s="6">
        <f t="shared" si="71"/>
        <v>3.1006944445834961E-2</v>
      </c>
      <c r="N117" s="7">
        <f t="shared" si="68"/>
        <v>44.650000002002344</v>
      </c>
      <c r="O117" s="7"/>
      <c r="P117" s="7"/>
      <c r="Q117" s="26"/>
      <c r="R117" s="26"/>
      <c r="S117" s="38">
        <f t="shared" si="72"/>
        <v>1</v>
      </c>
      <c r="T117" s="53" t="str">
        <f t="shared" si="80"/>
        <v>NorthBound</v>
      </c>
      <c r="U117" s="13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15:38:25-0600',mode:absolute,to:'2016-08-17 18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7" s="55" t="str">
        <f t="shared" si="74"/>
        <v>N</v>
      </c>
      <c r="X117" s="129">
        <f t="shared" si="69"/>
        <v>1</v>
      </c>
      <c r="Y117" s="70">
        <f t="shared" si="75"/>
        <v>4.7100000000000003E-2</v>
      </c>
      <c r="Z117" s="70">
        <f t="shared" si="76"/>
        <v>23.330200000000001</v>
      </c>
      <c r="AA117" s="70">
        <f t="shared" si="77"/>
        <v>23.283100000000001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81"/>
        <v>0205-17</v>
      </c>
      <c r="AE117" s="104" t="str">
        <f t="shared" si="78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17" s="101" t="str">
        <f t="shared" si="79"/>
        <v>"C:\Program Files (x86)\AstroGrep\AstroGrep.exe" /spath="%USERPROFILE%\AppData\Local\Temp\OnboardLogs" /stypes="*4018*20160817*" /stext=" 23:.+((SYSTEM_STATE.+slice.+state.+changed )|(ment ac)|(system.+state.+changed )|(\|lc)|(penalty)|(\[timeout)|(PRM\|1\|D)|(kpr)|(kdp))" /e /r /s</v>
      </c>
      <c r="AG117" s="1" t="str">
        <f t="shared" si="82"/>
        <v>EC</v>
      </c>
      <c r="AH117" s="105" t="str">
        <f t="shared" si="67"/>
        <v>"%USERPROFILE%\Documents\GitHub\eaglep3\Utilities\RefineRTDCRunTimes.py" --tripid 205-17 --locoid 4018 --swversion DE.1.0.7.0 --startMP 204:471 --initTime 2016-08-17T16:38:25 --startdatetime 2016-08-17T16:40:12 --delay 1 --endMP 204:233302 --enddatetime 2016-08-17T17:24:51 --enforcementcount 0</v>
      </c>
    </row>
    <row r="118" spans="1:34" x14ac:dyDescent="0.25">
      <c r="A118" s="40" t="s">
        <v>481</v>
      </c>
      <c r="B118" s="7">
        <v>4017</v>
      </c>
      <c r="C118" s="25" t="s">
        <v>118</v>
      </c>
      <c r="D118" s="25" t="s">
        <v>376</v>
      </c>
      <c r="E118" s="16">
        <v>42599.727523148147</v>
      </c>
      <c r="F118" s="16">
        <v>42599.728391203702</v>
      </c>
      <c r="G118" s="7">
        <v>1</v>
      </c>
      <c r="H118" s="16" t="s">
        <v>144</v>
      </c>
      <c r="I118" s="16">
        <v>42599.765115740738</v>
      </c>
      <c r="J118" s="7">
        <v>0</v>
      </c>
      <c r="K118" s="142" t="str">
        <f t="shared" si="70"/>
        <v>4017/4018</v>
      </c>
      <c r="L118" s="25" t="str">
        <f>VLOOKUP(A118,'Trips&amp;Operators'!$C$1:$E$10000,3,FALSE)</f>
        <v>HELVIE</v>
      </c>
      <c r="M118" s="6">
        <f t="shared" si="71"/>
        <v>3.6724537036207039E-2</v>
      </c>
      <c r="N118" s="7">
        <f t="shared" si="68"/>
        <v>52.883333332138136</v>
      </c>
      <c r="O118" s="7"/>
      <c r="P118" s="7"/>
      <c r="Q118" s="26"/>
      <c r="R118" s="26"/>
      <c r="S118" s="38">
        <f t="shared" si="72"/>
        <v>1</v>
      </c>
      <c r="T118" s="53" t="str">
        <f t="shared" si="80"/>
        <v>Southbound</v>
      </c>
      <c r="U118" s="13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16:27:38-0600',mode:absolute,to:'2016-08-17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8" s="55" t="str">
        <f t="shared" si="74"/>
        <v>N</v>
      </c>
      <c r="X118" s="129">
        <f t="shared" si="69"/>
        <v>1</v>
      </c>
      <c r="Y118" s="70">
        <f t="shared" si="75"/>
        <v>23.2974</v>
      </c>
      <c r="Z118" s="70">
        <f t="shared" si="76"/>
        <v>1.49E-2</v>
      </c>
      <c r="AA118" s="70">
        <f t="shared" si="77"/>
        <v>23.282499999999999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81"/>
        <v>0206-17</v>
      </c>
      <c r="AE118" s="104" t="str">
        <f t="shared" si="78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18" s="101" t="str">
        <f t="shared" si="79"/>
        <v>"C:\Program Files (x86)\AstroGrep\AstroGrep.exe" /spath="%USERPROFILE%\AppData\Local\Temp\OnboardLogs" /stypes="*4017*20160818*" /stext=" 00:.+((SYSTEM_STATE.+slice.+state.+changed )|(ment ac)|(system.+state.+changed )|(\|lc)|(penalty)|(\[timeout)|(PRM\|1\|D)|(kpr)|(kdp))" /e /r /s</v>
      </c>
      <c r="AG118" s="1" t="str">
        <f t="shared" si="82"/>
        <v>EC</v>
      </c>
      <c r="AH118" s="105" t="str">
        <f t="shared" si="67"/>
        <v>"%USERPROFILE%\Documents\GitHub\eaglep3\Utilities\RefineRTDCRunTimes.py" --tripid 206-17 --locoid 4017 --swversion DE.1.0.7.0 --startMP 204:232974 --initTime 2016-08-17T17:27:38 --startdatetime 2016-08-17T17:28:53 --delay 1 --endMP 204:149 --enddatetime 2016-08-17T18:21:46 --enforcementcount 0</v>
      </c>
    </row>
    <row r="119" spans="1:34" x14ac:dyDescent="0.25">
      <c r="A119" s="40" t="s">
        <v>482</v>
      </c>
      <c r="B119" s="7">
        <v>4025</v>
      </c>
      <c r="C119" s="25" t="s">
        <v>118</v>
      </c>
      <c r="D119" s="25" t="s">
        <v>483</v>
      </c>
      <c r="E119" s="16">
        <v>42599.7033912037</v>
      </c>
      <c r="F119" s="16">
        <v>42599.704652777778</v>
      </c>
      <c r="G119" s="7">
        <v>1</v>
      </c>
      <c r="H119" s="16" t="s">
        <v>230</v>
      </c>
      <c r="I119" s="16">
        <v>42599.735879629632</v>
      </c>
      <c r="J119" s="7">
        <v>0</v>
      </c>
      <c r="K119" s="142" t="str">
        <f t="shared" si="70"/>
        <v>4025/4026</v>
      </c>
      <c r="L119" s="25" t="str">
        <f>VLOOKUP(A119,'Trips&amp;Operators'!$C$1:$E$10000,3,FALSE)</f>
        <v>STORY</v>
      </c>
      <c r="M119" s="6">
        <f t="shared" si="71"/>
        <v>3.1226851853716653E-2</v>
      </c>
      <c r="N119" s="7">
        <f t="shared" si="68"/>
        <v>44.96666666935198</v>
      </c>
      <c r="O119" s="7"/>
      <c r="P119" s="7"/>
      <c r="Q119" s="26"/>
      <c r="R119" s="26"/>
      <c r="S119" s="38">
        <f t="shared" si="72"/>
        <v>1</v>
      </c>
      <c r="T119" s="53" t="str">
        <f t="shared" si="80"/>
        <v>NorthBound</v>
      </c>
      <c r="U119" s="13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19" s="55" t="str">
        <f t="shared" si="74"/>
        <v>N</v>
      </c>
      <c r="X119" s="129">
        <f t="shared" si="69"/>
        <v>1</v>
      </c>
      <c r="Y119" s="70">
        <f t="shared" si="75"/>
        <v>6.2600000000000003E-2</v>
      </c>
      <c r="Z119" s="70">
        <f t="shared" si="76"/>
        <v>23.3309</v>
      </c>
      <c r="AA119" s="70">
        <f t="shared" si="77"/>
        <v>23.2683</v>
      </c>
      <c r="AB119" s="67">
        <f>VLOOKUP(A119,Enforcements!$C$7:$J$24,8,0)</f>
        <v>33137</v>
      </c>
      <c r="AC119" s="63" t="str">
        <f>VLOOKUP(A119,Enforcements!$C$7:$E$24,3,0)</f>
        <v>GRADE CROSSING</v>
      </c>
      <c r="AD119" s="64" t="str">
        <f t="shared" si="81"/>
        <v>0207-17</v>
      </c>
      <c r="AE119" s="104" t="str">
        <f t="shared" si="78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119" s="101" t="str">
        <f t="shared" si="79"/>
        <v>"C:\Program Files (x86)\AstroGrep\AstroGrep.exe" /spath="%USERPROFILE%\AppData\Local\Temp\OnboardLogs" /stypes="*4025*20160817*" /stext=" 23:.+((SYSTEM_STATE.+slice.+state.+changed )|(ment ac)|(system.+state.+changed )|(\|lc)|(penalty)|(\[timeout)|(PRM\|1\|D)|(kpr)|(kdp))" /e /r /s</v>
      </c>
      <c r="AG119" s="1" t="str">
        <f t="shared" si="82"/>
        <v>EC</v>
      </c>
      <c r="AH119" s="105" t="str">
        <f t="shared" si="67"/>
        <v>"%USERPROFILE%\Documents\GitHub\eaglep3\Utilities\RefineRTDCRunTimes.py" --tripid 207-17 --locoid 4025 --swversion DE.1.0.7.0 --startMP 204:626 --initTime 2016-08-17T16:52:53 --startdatetime 2016-08-17T16:54:42 --delay 1 --endMP 204:233309 --enddatetime 2016-08-17T17:39:40 --enforcementcount 0</v>
      </c>
    </row>
    <row r="120" spans="1:34" x14ac:dyDescent="0.25">
      <c r="A120" s="40" t="s">
        <v>484</v>
      </c>
      <c r="B120" s="7">
        <v>4026</v>
      </c>
      <c r="C120" s="25" t="s">
        <v>118</v>
      </c>
      <c r="D120" s="25" t="s">
        <v>260</v>
      </c>
      <c r="E120" s="16">
        <v>42599.741863425923</v>
      </c>
      <c r="F120" s="16">
        <v>42599.744131944448</v>
      </c>
      <c r="G120" s="7">
        <v>3</v>
      </c>
      <c r="H120" s="16" t="s">
        <v>177</v>
      </c>
      <c r="I120" s="16">
        <v>42599.774976851855</v>
      </c>
      <c r="J120" s="7">
        <v>0</v>
      </c>
      <c r="K120" s="142" t="str">
        <f t="shared" si="70"/>
        <v>4025/4026</v>
      </c>
      <c r="L120" s="25" t="str">
        <f>VLOOKUP(A120,'Trips&amp;Operators'!$C$1:$E$10000,3,FALSE)</f>
        <v>STORY</v>
      </c>
      <c r="M120" s="6">
        <f t="shared" si="71"/>
        <v>3.0844907407299615E-2</v>
      </c>
      <c r="N120" s="7">
        <f t="shared" si="68"/>
        <v>44.416666666511446</v>
      </c>
      <c r="O120" s="7"/>
      <c r="P120" s="7"/>
      <c r="Q120" s="26"/>
      <c r="R120" s="26"/>
      <c r="S120" s="38">
        <f t="shared" si="72"/>
        <v>1</v>
      </c>
      <c r="T120" s="53" t="str">
        <f t="shared" si="80"/>
        <v>Southbound</v>
      </c>
      <c r="U120" s="13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16:48:17-0600',mode:absolute,to:'2016-08-17 19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20" s="55" t="str">
        <f t="shared" si="74"/>
        <v>N</v>
      </c>
      <c r="X120" s="129">
        <f t="shared" si="69"/>
        <v>1</v>
      </c>
      <c r="Y120" s="70">
        <f t="shared" si="75"/>
        <v>23.2973</v>
      </c>
      <c r="Z120" s="70">
        <f t="shared" si="76"/>
        <v>1.54E-2</v>
      </c>
      <c r="AA120" s="70">
        <f t="shared" si="77"/>
        <v>23.2819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81"/>
        <v>0208-17</v>
      </c>
      <c r="AE120" s="104" t="str">
        <f t="shared" si="78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120" s="101" t="str">
        <f t="shared" si="79"/>
        <v>"C:\Program Files (x86)\AstroGrep\AstroGrep.exe" /spath="%USERPROFILE%\AppData\Local\Temp\OnboardLogs" /stypes="*4026*20160818*" /stext=" 00:.+((SYSTEM_STATE.+slice.+state.+changed )|(ment ac)|(system.+state.+changed )|(\|lc)|(penalty)|(\[timeout)|(PRM\|1\|D)|(kpr)|(kdp))" /e /r /s</v>
      </c>
      <c r="AG120" s="1" t="str">
        <f t="shared" si="82"/>
        <v>EC</v>
      </c>
      <c r="AH120" s="105" t="str">
        <f t="shared" si="67"/>
        <v>"%USERPROFILE%\Documents\GitHub\eaglep3\Utilities\RefineRTDCRunTimes.py" --tripid 208-17 --locoid 4026 --swversion DE.1.0.7.0 --startMP 204:232973 --initTime 2016-08-17T17:48:17 --startdatetime 2016-08-17T17:51:33 --delay 3 --endMP 204:154 --enddatetime 2016-08-17T18:35:58 --enforcementcount 0</v>
      </c>
    </row>
    <row r="121" spans="1:34" s="24" customFormat="1" x14ac:dyDescent="0.25">
      <c r="A121" s="40" t="s">
        <v>485</v>
      </c>
      <c r="B121" s="7">
        <v>4009</v>
      </c>
      <c r="C121" s="25" t="s">
        <v>118</v>
      </c>
      <c r="D121" s="25" t="s">
        <v>132</v>
      </c>
      <c r="E121" s="16">
        <v>42599.713993055557</v>
      </c>
      <c r="F121" s="16">
        <v>42599.715601851851</v>
      </c>
      <c r="G121" s="7">
        <v>2</v>
      </c>
      <c r="H121" s="16" t="s">
        <v>211</v>
      </c>
      <c r="I121" s="16">
        <v>42599.744884259257</v>
      </c>
      <c r="J121" s="7">
        <v>0</v>
      </c>
      <c r="K121" s="142" t="str">
        <f t="shared" si="70"/>
        <v>4009/4010</v>
      </c>
      <c r="L121" s="25" t="str">
        <f>VLOOKUP(A121,'Trips&amp;Operators'!$C$1:$E$10000,3,FALSE)</f>
        <v>STURGEON</v>
      </c>
      <c r="M121" s="6">
        <f t="shared" si="71"/>
        <v>2.9282407405844424E-2</v>
      </c>
      <c r="N121" s="7">
        <f t="shared" si="68"/>
        <v>42.16666666441597</v>
      </c>
      <c r="O121" s="7"/>
      <c r="P121" s="7"/>
      <c r="Q121" s="26"/>
      <c r="R121" s="26"/>
      <c r="S121" s="38">
        <f t="shared" si="72"/>
        <v>1</v>
      </c>
      <c r="T121" s="53" t="str">
        <f t="shared" si="80"/>
        <v>NorthBound</v>
      </c>
      <c r="U121" s="13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16:08:09-0600',mode:absolute,to:'2016-08-17 18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1" s="55" t="str">
        <f t="shared" si="74"/>
        <v>N</v>
      </c>
      <c r="X121" s="129">
        <f t="shared" si="69"/>
        <v>1</v>
      </c>
      <c r="Y121" s="70">
        <f t="shared" si="75"/>
        <v>4.5499999999999999E-2</v>
      </c>
      <c r="Z121" s="70">
        <f t="shared" si="76"/>
        <v>23.3308</v>
      </c>
      <c r="AA121" s="70">
        <f t="shared" si="77"/>
        <v>23.285299999999999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81"/>
        <v>0209-17</v>
      </c>
      <c r="AE121" s="104" t="str">
        <f t="shared" si="78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21" s="101" t="str">
        <f t="shared" si="79"/>
        <v>"C:\Program Files (x86)\AstroGrep\AstroGrep.exe" /spath="%USERPROFILE%\AppData\Local\Temp\OnboardLogs" /stypes="*4009*20160817*" /stext=" 23:.+((SYSTEM_STATE.+slice.+state.+changed )|(ment ac)|(system.+state.+changed )|(\|lc)|(penalty)|(\[timeout)|(PRM\|1\|D)|(kpr)|(kdp))" /e /r /s</v>
      </c>
      <c r="AG121" s="1" t="str">
        <f t="shared" si="82"/>
        <v>EC</v>
      </c>
      <c r="AH121" s="105" t="str">
        <f t="shared" si="67"/>
        <v>"%USERPROFILE%\Documents\GitHub\eaglep3\Utilities\RefineRTDCRunTimes.py" --tripid 209-17 --locoid 4009 --swversion DE.1.0.7.0 --startMP 204:455 --initTime 2016-08-17T17:08:09 --startdatetime 2016-08-17T17:10:28 --delay 2 --endMP 204:233308 --enddatetime 2016-08-17T17:52:38 --enforcementcount 0</v>
      </c>
    </row>
    <row r="122" spans="1:34" x14ac:dyDescent="0.25">
      <c r="A122" s="40" t="s">
        <v>486</v>
      </c>
      <c r="B122" s="7">
        <v>4010</v>
      </c>
      <c r="C122" s="25" t="s">
        <v>118</v>
      </c>
      <c r="D122" s="25" t="s">
        <v>149</v>
      </c>
      <c r="E122" s="16">
        <v>42599.752118055556</v>
      </c>
      <c r="F122" s="16">
        <v>42599.753067129626</v>
      </c>
      <c r="G122" s="7">
        <v>1</v>
      </c>
      <c r="H122" s="16" t="s">
        <v>228</v>
      </c>
      <c r="I122" s="16">
        <v>42599.786574074074</v>
      </c>
      <c r="J122" s="7">
        <v>0</v>
      </c>
      <c r="K122" s="142" t="str">
        <f t="shared" si="70"/>
        <v>4009/4010</v>
      </c>
      <c r="L122" s="25" t="str">
        <f>VLOOKUP(A122,'Trips&amp;Operators'!$C$1:$E$10000,3,FALSE)</f>
        <v>STURGEON</v>
      </c>
      <c r="M122" s="6">
        <f t="shared" si="71"/>
        <v>3.3506944448163267E-2</v>
      </c>
      <c r="N122" s="7">
        <f t="shared" ref="N122:N153" si="83">24*60*SUM($M122:$M122)</f>
        <v>48.250000005355105</v>
      </c>
      <c r="O122" s="7"/>
      <c r="P122" s="7"/>
      <c r="Q122" s="26"/>
      <c r="R122" s="26"/>
      <c r="S122" s="38">
        <f t="shared" si="72"/>
        <v>1</v>
      </c>
      <c r="T122" s="53" t="str">
        <f t="shared" si="80"/>
        <v>Southbound</v>
      </c>
      <c r="U122" s="13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17:03:03-0600',mode:absolute,to:'2016-08-17 19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2" s="55" t="str">
        <f t="shared" si="74"/>
        <v>N</v>
      </c>
      <c r="X122" s="129">
        <f t="shared" si="69"/>
        <v>1</v>
      </c>
      <c r="Y122" s="70">
        <f t="shared" si="75"/>
        <v>23.298300000000001</v>
      </c>
      <c r="Z122" s="70">
        <f t="shared" si="76"/>
        <v>1.61E-2</v>
      </c>
      <c r="AA122" s="70">
        <f t="shared" si="77"/>
        <v>23.2822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81"/>
        <v>0210-17</v>
      </c>
      <c r="AE122" s="104" t="str">
        <f t="shared" si="78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22" s="101" t="str">
        <f t="shared" si="79"/>
        <v>"C:\Program Files (x86)\AstroGrep\AstroGrep.exe" /spath="%USERPROFILE%\AppData\Local\Temp\OnboardLogs" /stypes="*4010*20160818*" /stext=" 00:.+((SYSTEM_STATE.+slice.+state.+changed )|(ment ac)|(system.+state.+changed )|(\|lc)|(penalty)|(\[timeout)|(PRM\|1\|D)|(kpr)|(kdp))" /e /r /s</v>
      </c>
      <c r="AG122" s="1" t="str">
        <f t="shared" si="82"/>
        <v>EC</v>
      </c>
      <c r="AH122" s="105" t="str">
        <f t="shared" si="67"/>
        <v>"%USERPROFILE%\Documents\GitHub\eaglep3\Utilities\RefineRTDCRunTimes.py" --tripid 210-17 --locoid 4010 --swversion DE.1.0.7.0 --startMP 204:232983 --initTime 2016-08-17T18:03:03 --startdatetime 2016-08-17T18:04:25 --delay 1 --endMP 204:161 --enddatetime 2016-08-17T18:52:40 --enforcementcount 0</v>
      </c>
    </row>
    <row r="123" spans="1:34" s="24" customFormat="1" x14ac:dyDescent="0.25">
      <c r="A123" s="40" t="s">
        <v>487</v>
      </c>
      <c r="B123" s="7">
        <v>4002</v>
      </c>
      <c r="C123" s="25" t="s">
        <v>118</v>
      </c>
      <c r="D123" s="25" t="s">
        <v>214</v>
      </c>
      <c r="E123" s="16">
        <v>42599.725671296299</v>
      </c>
      <c r="F123" s="16">
        <v>42599.730115740742</v>
      </c>
      <c r="G123" s="7">
        <v>6</v>
      </c>
      <c r="H123" s="16" t="s">
        <v>146</v>
      </c>
      <c r="I123" s="16">
        <v>42599.754664351851</v>
      </c>
      <c r="J123" s="7">
        <v>0</v>
      </c>
      <c r="K123" s="142" t="str">
        <f t="shared" si="70"/>
        <v>4001/4002</v>
      </c>
      <c r="L123" s="25" t="str">
        <f>VLOOKUP(A123,'Trips&amp;Operators'!$C$1:$E$10000,3,FALSE)</f>
        <v>STAMBAUGH</v>
      </c>
      <c r="M123" s="6">
        <f t="shared" si="71"/>
        <v>2.4548611108912155E-2</v>
      </c>
      <c r="N123" s="7">
        <f t="shared" si="83"/>
        <v>35.349999996833503</v>
      </c>
      <c r="O123" s="7"/>
      <c r="P123" s="7"/>
      <c r="Q123" s="26"/>
      <c r="R123" s="26"/>
      <c r="S123" s="38">
        <f t="shared" si="72"/>
        <v>1</v>
      </c>
      <c r="T123" s="53" t="str">
        <f t="shared" si="80"/>
        <v>NorthBound</v>
      </c>
      <c r="U123" s="13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16:24:58-0600',mode:absolute,to:'2016-08-17 19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3" s="55" t="str">
        <f t="shared" si="74"/>
        <v>N</v>
      </c>
      <c r="X123" s="129">
        <f t="shared" si="69"/>
        <v>1</v>
      </c>
      <c r="Y123" s="70">
        <f t="shared" si="75"/>
        <v>4.7500000000000001E-2</v>
      </c>
      <c r="Z123" s="70">
        <f t="shared" si="76"/>
        <v>23.331199999999999</v>
      </c>
      <c r="AA123" s="70">
        <f t="shared" si="77"/>
        <v>23.2837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81"/>
        <v>0211-17</v>
      </c>
      <c r="AE123" s="104" t="str">
        <f t="shared" si="78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123" s="101" t="str">
        <f t="shared" si="79"/>
        <v>"C:\Program Files (x86)\AstroGrep\AstroGrep.exe" /spath="%USERPROFILE%\AppData\Local\Temp\OnboardLogs" /stypes="*4002*20160818*" /stext=" 00:.+((SYSTEM_STATE.+slice.+state.+changed )|(ment ac)|(system.+state.+changed )|(\|lc)|(penalty)|(\[timeout)|(PRM\|1\|D)|(kpr)|(kdp))" /e /r /s</v>
      </c>
      <c r="AG123" s="1" t="str">
        <f t="shared" si="82"/>
        <v>EC</v>
      </c>
      <c r="AH123" s="105" t="str">
        <f t="shared" si="67"/>
        <v>"%USERPROFILE%\Documents\GitHub\eaglep3\Utilities\RefineRTDCRunTimes.py" --tripid 211-17 --locoid 4002 --swversion DE.1.0.7.0 --startMP 204:475 --initTime 2016-08-17T17:24:58 --startdatetime 2016-08-17T17:31:22 --delay 6 --endMP 204:233312 --enddatetime 2016-08-17T18:06:43 --enforcementcount 0</v>
      </c>
    </row>
    <row r="124" spans="1:34" x14ac:dyDescent="0.25">
      <c r="A124" s="40" t="s">
        <v>488</v>
      </c>
      <c r="B124" s="7">
        <v>4001</v>
      </c>
      <c r="C124" s="25" t="s">
        <v>118</v>
      </c>
      <c r="D124" s="25" t="s">
        <v>459</v>
      </c>
      <c r="E124" s="16">
        <v>42599.766493055555</v>
      </c>
      <c r="F124" s="16">
        <v>42599.767581018517</v>
      </c>
      <c r="G124" s="7">
        <v>1</v>
      </c>
      <c r="H124" s="16" t="s">
        <v>262</v>
      </c>
      <c r="I124" s="16">
        <v>42599.798541666663</v>
      </c>
      <c r="J124" s="7">
        <v>0</v>
      </c>
      <c r="K124" s="142" t="str">
        <f t="shared" si="70"/>
        <v>4001/4002</v>
      </c>
      <c r="L124" s="25" t="str">
        <f>VLOOKUP(A124,'Trips&amp;Operators'!$C$1:$E$10000,3,FALSE)</f>
        <v>STAMBAUGH</v>
      </c>
      <c r="M124" s="6">
        <f t="shared" si="71"/>
        <v>3.0960648145992309E-2</v>
      </c>
      <c r="N124" s="7">
        <f t="shared" si="83"/>
        <v>44.583333330228925</v>
      </c>
      <c r="O124" s="7"/>
      <c r="P124" s="7"/>
      <c r="Q124" s="26"/>
      <c r="R124" s="26"/>
      <c r="S124" s="38">
        <f t="shared" si="72"/>
        <v>1</v>
      </c>
      <c r="T124" s="53" t="str">
        <f t="shared" si="80"/>
        <v>Southbound</v>
      </c>
      <c r="U124" s="13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17:23:45-0600',mode:absolute,to:'2016-08-17 20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24" s="55" t="str">
        <f t="shared" si="74"/>
        <v>N</v>
      </c>
      <c r="X124" s="129">
        <f t="shared" si="69"/>
        <v>1</v>
      </c>
      <c r="Y124" s="70">
        <f t="shared" si="75"/>
        <v>23.298200000000001</v>
      </c>
      <c r="Z124" s="70">
        <f t="shared" si="76"/>
        <v>1.3599999999999999E-2</v>
      </c>
      <c r="AA124" s="70">
        <f t="shared" si="77"/>
        <v>23.284600000000001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81"/>
        <v>0212-17</v>
      </c>
      <c r="AE124" s="104" t="str">
        <f t="shared" si="78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124" s="101" t="str">
        <f t="shared" si="79"/>
        <v>"C:\Program Files (x86)\AstroGrep\AstroGrep.exe" /spath="%USERPROFILE%\AppData\Local\Temp\OnboardLogs" /stypes="*4001*20160818*" /stext=" 01:.+((SYSTEM_STATE.+slice.+state.+changed )|(ment ac)|(system.+state.+changed )|(\|lc)|(penalty)|(\[timeout)|(PRM\|1\|D)|(kpr)|(kdp))" /e /r /s</v>
      </c>
      <c r="AG124" s="1" t="str">
        <f t="shared" si="82"/>
        <v>EC</v>
      </c>
      <c r="AH124" s="105" t="str">
        <f t="shared" si="67"/>
        <v>"%USERPROFILE%\Documents\GitHub\eaglep3\Utilities\RefineRTDCRunTimes.py" --tripid 212-17 --locoid 4001 --swversion DE.1.0.7.0 --startMP 204:232982 --initTime 2016-08-17T18:23:45 --startdatetime 2016-08-17T18:25:19 --delay 1 --endMP 204:136 --enddatetime 2016-08-17T19:09:54 --enforcementcount 0</v>
      </c>
    </row>
    <row r="125" spans="1:34" x14ac:dyDescent="0.25">
      <c r="A125" s="40" t="s">
        <v>489</v>
      </c>
      <c r="B125" s="7">
        <v>4014</v>
      </c>
      <c r="C125" s="25" t="s">
        <v>118</v>
      </c>
      <c r="D125" s="25" t="s">
        <v>143</v>
      </c>
      <c r="E125" s="16">
        <v>42599.735891203702</v>
      </c>
      <c r="F125" s="16">
        <v>42599.736863425926</v>
      </c>
      <c r="G125" s="7">
        <v>1</v>
      </c>
      <c r="H125" s="16" t="s">
        <v>344</v>
      </c>
      <c r="I125" s="16">
        <v>42599.765104166669</v>
      </c>
      <c r="J125" s="7">
        <v>0</v>
      </c>
      <c r="K125" s="142" t="str">
        <f t="shared" si="70"/>
        <v>4013/4014</v>
      </c>
      <c r="L125" s="25" t="str">
        <f>VLOOKUP(A125,'Trips&amp;Operators'!$C$1:$E$10000,3,FALSE)</f>
        <v>ISHMAEL</v>
      </c>
      <c r="M125" s="6">
        <f t="shared" si="71"/>
        <v>2.8240740743058268E-2</v>
      </c>
      <c r="N125" s="7">
        <f t="shared" si="83"/>
        <v>40.666666670003906</v>
      </c>
      <c r="O125" s="7"/>
      <c r="P125" s="7"/>
      <c r="Q125" s="26"/>
      <c r="R125" s="26"/>
      <c r="S125" s="38">
        <f t="shared" si="72"/>
        <v>1</v>
      </c>
      <c r="T125" s="53" t="str">
        <f t="shared" si="80"/>
        <v>NorthBound</v>
      </c>
      <c r="U125" s="13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16:39:41-0600',mode:absolute,to:'2016-08-17 19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5" s="55" t="str">
        <f t="shared" si="74"/>
        <v>N</v>
      </c>
      <c r="X125" s="129">
        <f t="shared" si="69"/>
        <v>1</v>
      </c>
      <c r="Y125" s="70">
        <f t="shared" si="75"/>
        <v>4.4900000000000002E-2</v>
      </c>
      <c r="Z125" s="70">
        <f t="shared" si="76"/>
        <v>23.330400000000001</v>
      </c>
      <c r="AA125" s="70">
        <f t="shared" si="77"/>
        <v>23.285500000000003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81"/>
        <v>0213-17</v>
      </c>
      <c r="AE125" s="104" t="str">
        <f t="shared" si="78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25" s="101" t="str">
        <f t="shared" si="79"/>
        <v>"C:\Program Files (x86)\AstroGrep\AstroGrep.exe" /spath="%USERPROFILE%\AppData\Local\Temp\OnboardLogs" /stypes="*4014*20160818*" /stext=" 00:.+((SYSTEM_STATE.+slice.+state.+changed )|(ment ac)|(system.+state.+changed )|(\|lc)|(penalty)|(\[timeout)|(PRM\|1\|D)|(kpr)|(kdp))" /e /r /s</v>
      </c>
      <c r="AG125" s="1" t="str">
        <f t="shared" si="82"/>
        <v>EC</v>
      </c>
      <c r="AH125" s="105" t="str">
        <f t="shared" si="67"/>
        <v>"%USERPROFILE%\Documents\GitHub\eaglep3\Utilities\RefineRTDCRunTimes.py" --tripid 213-17 --locoid 4014 --swversion DE.1.0.7.0 --startMP 204:449 --initTime 2016-08-17T17:39:41 --startdatetime 2016-08-17T17:41:05 --delay 1 --endMP 204:233304 --enddatetime 2016-08-17T18:21:45 --enforcementcount 0</v>
      </c>
    </row>
    <row r="126" spans="1:34" x14ac:dyDescent="0.25">
      <c r="A126" s="40" t="s">
        <v>490</v>
      </c>
      <c r="B126" s="7">
        <v>4013</v>
      </c>
      <c r="C126" s="25" t="s">
        <v>118</v>
      </c>
      <c r="D126" s="25" t="s">
        <v>256</v>
      </c>
      <c r="E126" s="16">
        <v>42599.773356481484</v>
      </c>
      <c r="F126" s="16">
        <v>42599.774513888886</v>
      </c>
      <c r="G126" s="7">
        <v>1</v>
      </c>
      <c r="H126" s="16" t="s">
        <v>138</v>
      </c>
      <c r="I126" s="16">
        <v>42599.806331018517</v>
      </c>
      <c r="J126" s="7">
        <v>0</v>
      </c>
      <c r="K126" s="142" t="str">
        <f t="shared" si="70"/>
        <v>4013/4014</v>
      </c>
      <c r="L126" s="25" t="str">
        <f>VLOOKUP(A126,'Trips&amp;Operators'!$C$1:$E$10000,3,FALSE)</f>
        <v>ISHMAEL</v>
      </c>
      <c r="M126" s="6">
        <f t="shared" si="71"/>
        <v>3.181712963123573E-2</v>
      </c>
      <c r="N126" s="7">
        <f t="shared" si="83"/>
        <v>45.816666668979451</v>
      </c>
      <c r="O126" s="7"/>
      <c r="P126" s="7"/>
      <c r="Q126" s="26"/>
      <c r="R126" s="26"/>
      <c r="S126" s="38">
        <f t="shared" si="72"/>
        <v>1</v>
      </c>
      <c r="T126" s="53" t="str">
        <f t="shared" si="80"/>
        <v>Southbound</v>
      </c>
      <c r="U126" s="13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17:33:38-0600',mode:absolute,to:'2016-08-17 20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6" s="55" t="str">
        <f t="shared" si="74"/>
        <v>N</v>
      </c>
      <c r="X126" s="129">
        <f t="shared" si="69"/>
        <v>1</v>
      </c>
      <c r="Y126" s="70">
        <f t="shared" si="75"/>
        <v>23.299099999999999</v>
      </c>
      <c r="Z126" s="70">
        <f t="shared" si="76"/>
        <v>1.5800000000000002E-2</v>
      </c>
      <c r="AA126" s="70">
        <f t="shared" si="77"/>
        <v>23.283300000000001</v>
      </c>
      <c r="AB126" s="67" t="e">
        <f>VLOOKUP(A126,Enforcements!$C$7:$J$24,8,0)</f>
        <v>#N/A</v>
      </c>
      <c r="AC126" s="63" t="e">
        <f>VLOOKUP(A126,Enforcements!$C$7:$E$24,3,0)</f>
        <v>#N/A</v>
      </c>
      <c r="AD126" s="64" t="str">
        <f t="shared" si="81"/>
        <v>0214-17</v>
      </c>
      <c r="AE126" s="104" t="str">
        <f t="shared" si="78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126" s="101" t="str">
        <f t="shared" si="79"/>
        <v>"C:\Program Files (x86)\AstroGrep\AstroGrep.exe" /spath="%USERPROFILE%\AppData\Local\Temp\OnboardLogs" /stypes="*4013*20160818*" /stext=" 01:.+((SYSTEM_STATE.+slice.+state.+changed )|(ment ac)|(system.+state.+changed )|(\|lc)|(penalty)|(\[timeout)|(PRM\|1\|D)|(kpr)|(kdp))" /e /r /s</v>
      </c>
      <c r="AG126" s="1" t="str">
        <f t="shared" si="82"/>
        <v>EC</v>
      </c>
      <c r="AH126" s="105" t="str">
        <f t="shared" si="67"/>
        <v>"%USERPROFILE%\Documents\GitHub\eaglep3\Utilities\RefineRTDCRunTimes.py" --tripid 214-17 --locoid 4013 --swversion DE.1.0.7.0 --startMP 204:232991 --initTime 2016-08-17T18:33:38 --startdatetime 2016-08-17T18:35:18 --delay 1 --endMP 204:158 --enddatetime 2016-08-17T19:21:07 --enforcementcount 0</v>
      </c>
    </row>
    <row r="127" spans="1:34" x14ac:dyDescent="0.25">
      <c r="A127" s="40" t="s">
        <v>491</v>
      </c>
      <c r="B127" s="7">
        <v>4020</v>
      </c>
      <c r="C127" s="25" t="s">
        <v>118</v>
      </c>
      <c r="D127" s="25" t="s">
        <v>140</v>
      </c>
      <c r="E127" s="16">
        <v>42599.746041666665</v>
      </c>
      <c r="F127" s="16">
        <v>42599.747569444444</v>
      </c>
      <c r="G127" s="7">
        <v>2</v>
      </c>
      <c r="H127" s="16" t="s">
        <v>272</v>
      </c>
      <c r="I127" s="16">
        <v>42599.778912037036</v>
      </c>
      <c r="J127" s="7">
        <v>0</v>
      </c>
      <c r="K127" s="142" t="str">
        <f t="shared" si="70"/>
        <v>4019/4020</v>
      </c>
      <c r="L127" s="25" t="str">
        <f>VLOOKUP(A127,'Trips&amp;Operators'!$C$1:$E$10000,3,FALSE)</f>
        <v>ROBINSON</v>
      </c>
      <c r="M127" s="6">
        <f t="shared" si="71"/>
        <v>3.1342592592409346E-2</v>
      </c>
      <c r="N127" s="7">
        <f t="shared" si="83"/>
        <v>45.133333333069459</v>
      </c>
      <c r="O127" s="7"/>
      <c r="P127" s="7"/>
      <c r="Q127" s="26"/>
      <c r="R127" s="26"/>
      <c r="S127" s="38">
        <f t="shared" si="72"/>
        <v>1</v>
      </c>
      <c r="T127" s="53" t="str">
        <f t="shared" si="80"/>
        <v>NorthBound</v>
      </c>
      <c r="U127" s="13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16:54:18-0600',mode:absolute,to:'2016-08-17 19:41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7" s="55" t="str">
        <f t="shared" si="74"/>
        <v>N</v>
      </c>
      <c r="X127" s="129">
        <f t="shared" ref="X127:X158" si="84">VALUE(LEFT(AD127,4))-VALUE(LEFT(AD126,4))</f>
        <v>1</v>
      </c>
      <c r="Y127" s="70">
        <f t="shared" si="75"/>
        <v>4.53E-2</v>
      </c>
      <c r="Z127" s="70">
        <f t="shared" si="76"/>
        <v>23.3307</v>
      </c>
      <c r="AA127" s="70">
        <f t="shared" si="77"/>
        <v>23.285399999999999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81"/>
        <v>0215-17</v>
      </c>
      <c r="AE127" s="104" t="str">
        <f t="shared" si="78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127" s="101" t="str">
        <f t="shared" si="79"/>
        <v>"C:\Program Files (x86)\AstroGrep\AstroGrep.exe" /spath="%USERPROFILE%\AppData\Local\Temp\OnboardLogs" /stypes="*4020*20160818*" /stext=" 00:.+((SYSTEM_STATE.+slice.+state.+changed )|(ment ac)|(system.+state.+changed )|(\|lc)|(penalty)|(\[timeout)|(PRM\|1\|D)|(kpr)|(kdp))" /e /r /s</v>
      </c>
      <c r="AG127" s="1" t="str">
        <f t="shared" si="82"/>
        <v>EC</v>
      </c>
      <c r="AH127" s="105" t="str">
        <f t="shared" si="67"/>
        <v>"%USERPROFILE%\Documents\GitHub\eaglep3\Utilities\RefineRTDCRunTimes.py" --tripid 215-17 --locoid 4020 --swversion DE.1.0.7.0 --startMP 204:453 --initTime 2016-08-17T17:54:18 --startdatetime 2016-08-17T17:56:30 --delay 2 --endMP 204:233307 --enddatetime 2016-08-17T18:41:38 --enforcementcount 0</v>
      </c>
    </row>
    <row r="128" spans="1:34" x14ac:dyDescent="0.25">
      <c r="A128" s="40" t="s">
        <v>492</v>
      </c>
      <c r="B128" s="7">
        <v>4019</v>
      </c>
      <c r="C128" s="25" t="s">
        <v>118</v>
      </c>
      <c r="D128" s="25" t="s">
        <v>493</v>
      </c>
      <c r="E128" s="16">
        <v>42599.785266203704</v>
      </c>
      <c r="F128" s="16">
        <v>42599.786435185182</v>
      </c>
      <c r="G128" s="7">
        <v>1</v>
      </c>
      <c r="H128" s="16" t="s">
        <v>144</v>
      </c>
      <c r="I128" s="16">
        <v>42599.816250000003</v>
      </c>
      <c r="J128" s="7">
        <v>0</v>
      </c>
      <c r="K128" s="142" t="str">
        <f t="shared" si="70"/>
        <v>4019/4020</v>
      </c>
      <c r="L128" s="25" t="str">
        <f>VLOOKUP(A128,'Trips&amp;Operators'!$C$1:$E$10000,3,FALSE)</f>
        <v>ROBINSON</v>
      </c>
      <c r="M128" s="6">
        <f t="shared" si="71"/>
        <v>2.9814814821293112E-2</v>
      </c>
      <c r="N128" s="7">
        <f t="shared" si="83"/>
        <v>42.933333342662081</v>
      </c>
      <c r="O128" s="7"/>
      <c r="P128" s="7"/>
      <c r="Q128" s="26"/>
      <c r="R128" s="26"/>
      <c r="S128" s="38">
        <f t="shared" si="72"/>
        <v>1</v>
      </c>
      <c r="T128" s="53" t="str">
        <f t="shared" si="80"/>
        <v>Southbound</v>
      </c>
      <c r="U128" s="13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17:50:47-0600',mode:absolute,to:'2016-08-17 20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8" s="55" t="str">
        <f t="shared" si="74"/>
        <v>N</v>
      </c>
      <c r="X128" s="129">
        <f t="shared" si="84"/>
        <v>1</v>
      </c>
      <c r="Y128" s="70">
        <f t="shared" si="75"/>
        <v>23.299199999999999</v>
      </c>
      <c r="Z128" s="70">
        <f t="shared" si="76"/>
        <v>1.49E-2</v>
      </c>
      <c r="AA128" s="70">
        <f t="shared" si="77"/>
        <v>23.284299999999998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81"/>
        <v>0216-17</v>
      </c>
      <c r="AE128" s="104" t="str">
        <f t="shared" si="78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128" s="101" t="str">
        <f t="shared" si="79"/>
        <v>"C:\Program Files (x86)\AstroGrep\AstroGrep.exe" /spath="%USERPROFILE%\AppData\Local\Temp\OnboardLogs" /stypes="*4019*20160818*" /stext=" 01:.+((SYSTEM_STATE.+slice.+state.+changed )|(ment ac)|(system.+state.+changed )|(\|lc)|(penalty)|(\[timeout)|(PRM\|1\|D)|(kpr)|(kdp))" /e /r /s</v>
      </c>
      <c r="AG128" s="1" t="str">
        <f t="shared" si="82"/>
        <v>EC</v>
      </c>
      <c r="AH128" s="105" t="str">
        <f t="shared" si="67"/>
        <v>"%USERPROFILE%\Documents\GitHub\eaglep3\Utilities\RefineRTDCRunTimes.py" --tripid 216-17 --locoid 4019 --swversion DE.1.0.7.0 --startMP 204:232992 --initTime 2016-08-17T18:50:47 --startdatetime 2016-08-17T18:52:28 --delay 1 --endMP 204:149 --enddatetime 2016-08-17T19:35:24 --enforcementcount 0</v>
      </c>
    </row>
    <row r="129" spans="1:34" s="24" customFormat="1" x14ac:dyDescent="0.25">
      <c r="A129" s="40" t="s">
        <v>494</v>
      </c>
      <c r="B129" s="7">
        <v>4016</v>
      </c>
      <c r="C129" s="25" t="s">
        <v>118</v>
      </c>
      <c r="D129" s="25" t="s">
        <v>336</v>
      </c>
      <c r="E129" s="16">
        <v>42599.75476851852</v>
      </c>
      <c r="F129" s="16">
        <v>42599.755960648145</v>
      </c>
      <c r="G129" s="7">
        <v>1</v>
      </c>
      <c r="H129" s="16" t="s">
        <v>176</v>
      </c>
      <c r="I129" s="16">
        <v>42599.786319444444</v>
      </c>
      <c r="J129" s="7">
        <v>0</v>
      </c>
      <c r="K129" s="142" t="str">
        <f t="shared" ref="K129:K160" si="85">IF(ISEVEN(B129),(B129-1)&amp;"/"&amp;B129,B129&amp;"/"&amp;(B129+1))</f>
        <v>4015/4016</v>
      </c>
      <c r="L129" s="25" t="str">
        <f>VLOOKUP(A129,'Trips&amp;Operators'!$C$1:$E$10000,3,FALSE)</f>
        <v>LEVIN</v>
      </c>
      <c r="M129" s="6">
        <f t="shared" ref="M129:M160" si="86">I129-F129</f>
        <v>3.0358796298969537E-2</v>
      </c>
      <c r="N129" s="7">
        <f t="shared" si="83"/>
        <v>43.716666670516133</v>
      </c>
      <c r="O129" s="7"/>
      <c r="P129" s="7"/>
      <c r="Q129" s="26"/>
      <c r="R129" s="26"/>
      <c r="S129" s="38">
        <f t="shared" ref="S129:S160" si="87">SUM(U129:U129)/IF(AG129="EC",12,1)</f>
        <v>1</v>
      </c>
      <c r="T129" s="53" t="str">
        <f t="shared" si="80"/>
        <v>NorthBound</v>
      </c>
      <c r="U129" s="13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1" t="str">
        <f t="shared" ref="V129:V160" si="88"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https://search-rtdc-monitor-bjffxe2xuh6vdkpspy63sjmuny.us-east-1.es.amazonaws.com/_plugin/kibana/#/discover/Steve-Slow-Train-Analysis-(2080s-and-2083s)?_g=(refreshInterval:(display:Off,section:0,value:0),time:(from:'2016-08-17 17:06:52-0600',mode:absolute,to:'2016-08-17 19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29" s="55" t="str">
        <f t="shared" ref="W129:W160" si="89">IF(AA129&lt;IF(AG129="EC",23,5.65),"Y","N")</f>
        <v>N</v>
      </c>
      <c r="X129" s="129">
        <f t="shared" si="84"/>
        <v>1</v>
      </c>
      <c r="Y129" s="70">
        <f t="shared" ref="Y129:Y160" si="90">RIGHT(D129,LEN(D129)-4)/10000</f>
        <v>4.4400000000000002E-2</v>
      </c>
      <c r="Z129" s="70">
        <f t="shared" ref="Z129:Z160" si="91">RIGHT(H129,LEN(H129)-4)/10000</f>
        <v>23.3291</v>
      </c>
      <c r="AA129" s="70">
        <f t="shared" ref="AA129:AA160" si="92">ABS(Z129-Y129)</f>
        <v>23.284700000000001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81"/>
        <v>0217-17</v>
      </c>
      <c r="AE129" s="104" t="str">
        <f t="shared" ref="AE129:AE160" si="93"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</c>
      <c r="AF129" s="101" t="str">
        <f t="shared" ref="AF129:AF160" si="94">astrogrep_path&amp;" /spath="&amp;search_path&amp;" /stypes=""*"&amp;B129&amp;"*"&amp;TEXT(I129-utc_offset/24,"YYYYMMDD")&amp;"*"" /stext="" "&amp;TEXT(I129-utc_offset/24,"HH")&amp;search_regexp&amp;""" /e /r /s"</f>
        <v>"C:\Program Files (x86)\AstroGrep\AstroGrep.exe" /spath="%USERPROFILE%\AppData\Local\Temp\OnboardLogs" /stypes="*4016*20160818*" /stext=" 00:.+((SYSTEM_STATE.+slice.+state.+changed )|(ment ac)|(system.+state.+changed )|(\|lc)|(penalty)|(\[timeout)|(PRM\|1\|D)|(kpr)|(kdp))" /e /r /s</v>
      </c>
      <c r="AG129" s="1" t="str">
        <f t="shared" si="82"/>
        <v>EC</v>
      </c>
      <c r="AH129" s="105" t="str">
        <f t="shared" si="67"/>
        <v>"%USERPROFILE%\Documents\GitHub\eaglep3\Utilities\RefineRTDCRunTimes.py" --tripid 217-17 --locoid 4016 --swversion DE.1.0.7.0 --startMP 204:444 --initTime 2016-08-17T18:06:52 --startdatetime 2016-08-17T18:08:35 --delay 1 --endMP 204:233291 --enddatetime 2016-08-17T18:52:18 --enforcementcount 0</v>
      </c>
    </row>
    <row r="130" spans="1:34" x14ac:dyDescent="0.25">
      <c r="A130" s="40" t="s">
        <v>495</v>
      </c>
      <c r="B130" s="7">
        <v>4015</v>
      </c>
      <c r="C130" s="25" t="s">
        <v>118</v>
      </c>
      <c r="D130" s="25" t="s">
        <v>266</v>
      </c>
      <c r="E130" s="16">
        <v>42599.79346064815</v>
      </c>
      <c r="F130" s="16">
        <v>42599.794398148151</v>
      </c>
      <c r="G130" s="7">
        <v>1</v>
      </c>
      <c r="H130" s="16" t="s">
        <v>447</v>
      </c>
      <c r="I130" s="16">
        <v>42599.825648148151</v>
      </c>
      <c r="J130" s="7">
        <v>0</v>
      </c>
      <c r="K130" s="142" t="str">
        <f t="shared" si="85"/>
        <v>4015/4016</v>
      </c>
      <c r="L130" s="25" t="str">
        <f>VLOOKUP(A130,'Trips&amp;Operators'!$C$1:$E$10000,3,FALSE)</f>
        <v>LEVIN</v>
      </c>
      <c r="M130" s="6">
        <f t="shared" si="86"/>
        <v>3.125E-2</v>
      </c>
      <c r="N130" s="7">
        <f t="shared" si="83"/>
        <v>45</v>
      </c>
      <c r="O130" s="7"/>
      <c r="P130" s="7"/>
      <c r="Q130" s="26"/>
      <c r="R130" s="26"/>
      <c r="S130" s="38">
        <f t="shared" si="87"/>
        <v>1</v>
      </c>
      <c r="T130" s="53" t="str">
        <f t="shared" si="80"/>
        <v>Southbound</v>
      </c>
      <c r="U130" s="13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18:02:35-0600',mode:absolute,to:'2016-08-17 20:48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30" s="55" t="str">
        <f t="shared" si="89"/>
        <v>N</v>
      </c>
      <c r="X130" s="129">
        <f t="shared" si="84"/>
        <v>1</v>
      </c>
      <c r="Y130" s="70">
        <f t="shared" si="90"/>
        <v>23.300799999999999</v>
      </c>
      <c r="Z130" s="70">
        <f t="shared" si="91"/>
        <v>1.29E-2</v>
      </c>
      <c r="AA130" s="70">
        <f t="shared" si="92"/>
        <v>23.2879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si="81"/>
        <v>0218-17</v>
      </c>
      <c r="AE130" s="104" t="str">
        <f t="shared" si="93"/>
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</c>
      <c r="AF130" s="101" t="str">
        <f t="shared" si="94"/>
        <v>"C:\Program Files (x86)\AstroGrep\AstroGrep.exe" /spath="%USERPROFILE%\AppData\Local\Temp\OnboardLogs" /stypes="*4015*20160818*" /stext=" 01:.+((SYSTEM_STATE.+slice.+state.+changed )|(ment ac)|(system.+state.+changed )|(\|lc)|(penalty)|(\[timeout)|(PRM\|1\|D)|(kpr)|(kdp))" /e /r /s</v>
      </c>
      <c r="AG130" s="1" t="str">
        <f t="shared" si="82"/>
        <v>EC</v>
      </c>
      <c r="AH130" s="105" t="str">
        <f t="shared" si="67"/>
        <v>"%USERPROFILE%\Documents\GitHub\eaglep3\Utilities\RefineRTDCRunTimes.py" --tripid 218-17 --locoid 4015 --swversion DE.1.0.7.0 --startMP 204:233008 --initTime 2016-08-17T19:02:35 --startdatetime 2016-08-17T19:03:56 --delay 1 --endMP 204:129 --enddatetime 2016-08-17T19:48:56 --enforcementcount 0</v>
      </c>
    </row>
    <row r="131" spans="1:34" x14ac:dyDescent="0.25">
      <c r="A131" s="40" t="s">
        <v>496</v>
      </c>
      <c r="B131" s="7">
        <v>4018</v>
      </c>
      <c r="C131" s="25" t="s">
        <v>118</v>
      </c>
      <c r="D131" s="25" t="s">
        <v>113</v>
      </c>
      <c r="E131" s="16">
        <v>42599.767500000002</v>
      </c>
      <c r="F131" s="16">
        <v>42599.76866898148</v>
      </c>
      <c r="G131" s="7">
        <v>1</v>
      </c>
      <c r="H131" s="16" t="s">
        <v>268</v>
      </c>
      <c r="I131" s="16">
        <v>42599.796412037038</v>
      </c>
      <c r="J131" s="7">
        <v>0</v>
      </c>
      <c r="K131" s="142" t="str">
        <f t="shared" si="85"/>
        <v>4017/4018</v>
      </c>
      <c r="L131" s="25" t="str">
        <f>VLOOKUP(A131,'Trips&amp;Operators'!$C$1:$E$10000,3,FALSE)</f>
        <v>DE LA ROSA</v>
      </c>
      <c r="M131" s="6">
        <f t="shared" si="86"/>
        <v>2.7743055557948537E-2</v>
      </c>
      <c r="N131" s="7">
        <f t="shared" si="83"/>
        <v>39.950000003445894</v>
      </c>
      <c r="O131" s="7"/>
      <c r="P131" s="7"/>
      <c r="Q131" s="26"/>
      <c r="R131" s="26"/>
      <c r="S131" s="38">
        <f t="shared" si="87"/>
        <v>1</v>
      </c>
      <c r="T131" s="53" t="str">
        <f t="shared" si="80"/>
        <v>NorthBound</v>
      </c>
      <c r="U131" s="13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17:25:12-0600',mode:absolute,to:'2016-08-17 20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1" s="55" t="str">
        <f t="shared" si="89"/>
        <v>N</v>
      </c>
      <c r="X131" s="129">
        <f t="shared" si="84"/>
        <v>1</v>
      </c>
      <c r="Y131" s="70">
        <f t="shared" si="90"/>
        <v>4.6399999999999997E-2</v>
      </c>
      <c r="Z131" s="70">
        <f t="shared" si="91"/>
        <v>23.329899999999999</v>
      </c>
      <c r="AA131" s="70">
        <f t="shared" si="92"/>
        <v>23.2835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81"/>
        <v>0219-17</v>
      </c>
      <c r="AE131" s="104" t="str">
        <f t="shared" si="93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31" s="101" t="str">
        <f t="shared" si="94"/>
        <v>"C:\Program Files (x86)\AstroGrep\AstroGrep.exe" /spath="%USERPROFILE%\AppData\Local\Temp\OnboardLogs" /stypes="*4018*20160818*" /stext=" 01:.+((SYSTEM_STATE.+slice.+state.+changed )|(ment ac)|(system.+state.+changed )|(\|lc)|(penalty)|(\[timeout)|(PRM\|1\|D)|(kpr)|(kdp))" /e /r /s</v>
      </c>
      <c r="AG131" s="1" t="str">
        <f t="shared" si="82"/>
        <v>EC</v>
      </c>
      <c r="AH131" s="105" t="str">
        <f t="shared" si="67"/>
        <v>"%USERPROFILE%\Documents\GitHub\eaglep3\Utilities\RefineRTDCRunTimes.py" --tripid 219-17 --locoid 4018 --swversion DE.1.0.7.0 --startMP 204:464 --initTime 2016-08-17T18:25:12 --startdatetime 2016-08-17T18:26:53 --delay 1 --endMP 204:233299 --enddatetime 2016-08-17T19:06:50 --enforcementcount 0</v>
      </c>
    </row>
    <row r="132" spans="1:34" x14ac:dyDescent="0.25">
      <c r="A132" s="40" t="s">
        <v>497</v>
      </c>
      <c r="B132" s="7">
        <v>4017</v>
      </c>
      <c r="C132" s="25" t="s">
        <v>118</v>
      </c>
      <c r="D132" s="25" t="s">
        <v>498</v>
      </c>
      <c r="E132" s="16">
        <v>42599.801435185182</v>
      </c>
      <c r="F132" s="16">
        <v>42599.802766203706</v>
      </c>
      <c r="G132" s="7">
        <v>1</v>
      </c>
      <c r="H132" s="16" t="s">
        <v>144</v>
      </c>
      <c r="I132" s="16">
        <v>42599.836805555555</v>
      </c>
      <c r="J132" s="7">
        <v>0</v>
      </c>
      <c r="K132" s="142" t="str">
        <f t="shared" si="85"/>
        <v>4017/4018</v>
      </c>
      <c r="L132" s="25" t="str">
        <f>VLOOKUP(A132,'Trips&amp;Operators'!$C$1:$E$10000,3,FALSE)</f>
        <v>DE LA ROSA</v>
      </c>
      <c r="M132" s="6">
        <f t="shared" si="86"/>
        <v>3.403935184906004E-2</v>
      </c>
      <c r="N132" s="7">
        <f t="shared" si="83"/>
        <v>49.016666662646458</v>
      </c>
      <c r="O132" s="7"/>
      <c r="P132" s="7"/>
      <c r="Q132" s="26"/>
      <c r="R132" s="26"/>
      <c r="S132" s="38">
        <f t="shared" si="87"/>
        <v>1</v>
      </c>
      <c r="T132" s="53" t="str">
        <f t="shared" si="80"/>
        <v>Southbound</v>
      </c>
      <c r="U132" s="13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18:14:04-0600',mode:absolute,to:'2016-08-17 21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2" s="55" t="str">
        <f t="shared" si="89"/>
        <v>N</v>
      </c>
      <c r="X132" s="129">
        <f t="shared" si="84"/>
        <v>1</v>
      </c>
      <c r="Y132" s="70">
        <f t="shared" si="90"/>
        <v>23.296900000000001</v>
      </c>
      <c r="Z132" s="70">
        <f t="shared" si="91"/>
        <v>1.49E-2</v>
      </c>
      <c r="AA132" s="70">
        <f t="shared" si="92"/>
        <v>23.282</v>
      </c>
      <c r="AB132" s="67" t="e">
        <f>VLOOKUP(A132,Enforcements!$C$7:$J$24,8,0)</f>
        <v>#N/A</v>
      </c>
      <c r="AC132" s="63" t="e">
        <f>VLOOKUP(A132,Enforcements!$C$7:$E$24,3,0)</f>
        <v>#N/A</v>
      </c>
      <c r="AD132" s="64" t="str">
        <f t="shared" si="81"/>
        <v>0220-17</v>
      </c>
      <c r="AE132" s="104" t="str">
        <f t="shared" si="93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32" s="101" t="str">
        <f t="shared" si="94"/>
        <v>"C:\Program Files (x86)\AstroGrep\AstroGrep.exe" /spath="%USERPROFILE%\AppData\Local\Temp\OnboardLogs" /stypes="*4017*20160818*" /stext=" 02:.+((SYSTEM_STATE.+slice.+state.+changed )|(ment ac)|(system.+state.+changed )|(\|lc)|(penalty)|(\[timeout)|(PRM\|1\|D)|(kpr)|(kdp))" /e /r /s</v>
      </c>
      <c r="AG132" s="1" t="str">
        <f t="shared" si="82"/>
        <v>EC</v>
      </c>
      <c r="AH132" s="105" t="str">
        <f t="shared" si="67"/>
        <v>"%USERPROFILE%\Documents\GitHub\eaglep3\Utilities\RefineRTDCRunTimes.py" --tripid 220-17 --locoid 4017 --swversion DE.1.0.7.0 --startMP 204:232969 --initTime 2016-08-17T19:14:04 --startdatetime 2016-08-17T19:15:59 --delay 1 --endMP 204:149 --enddatetime 2016-08-17T20:05:00 --enforcementcount 0</v>
      </c>
    </row>
    <row r="133" spans="1:34" x14ac:dyDescent="0.25">
      <c r="A133" s="40" t="s">
        <v>499</v>
      </c>
      <c r="B133" s="7">
        <v>4009</v>
      </c>
      <c r="C133" s="25" t="s">
        <v>118</v>
      </c>
      <c r="D133" s="25" t="s">
        <v>500</v>
      </c>
      <c r="E133" s="16">
        <v>42599.789050925923</v>
      </c>
      <c r="F133" s="16">
        <v>42599.791875000003</v>
      </c>
      <c r="G133" s="7">
        <v>4</v>
      </c>
      <c r="H133" s="16" t="s">
        <v>501</v>
      </c>
      <c r="I133" s="16">
        <v>42599.817071759258</v>
      </c>
      <c r="J133" s="7">
        <v>0</v>
      </c>
      <c r="K133" s="142" t="str">
        <f t="shared" si="85"/>
        <v>4009/4010</v>
      </c>
      <c r="L133" s="25" t="str">
        <f>VLOOKUP(A133,'Trips&amp;Operators'!$C$1:$E$10000,3,FALSE)</f>
        <v>STURGEON</v>
      </c>
      <c r="M133" s="6">
        <f t="shared" si="86"/>
        <v>2.5196759255777579E-2</v>
      </c>
      <c r="N133" s="7">
        <f t="shared" si="83"/>
        <v>36.283333328319713</v>
      </c>
      <c r="O133" s="7"/>
      <c r="P133" s="7"/>
      <c r="Q133" s="26"/>
      <c r="R133" s="26"/>
      <c r="S133" s="38">
        <f t="shared" si="87"/>
        <v>1</v>
      </c>
      <c r="T133" s="53" t="str">
        <f t="shared" si="80"/>
        <v>NorthBound</v>
      </c>
      <c r="U133" s="13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17:56:14-0600',mode:absolute,to:'2016-08-17 20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3" s="55" t="str">
        <f t="shared" si="89"/>
        <v>N</v>
      </c>
      <c r="X133" s="129">
        <f t="shared" si="84"/>
        <v>1</v>
      </c>
      <c r="Y133" s="70">
        <f t="shared" si="90"/>
        <v>5.0799999999999998E-2</v>
      </c>
      <c r="Z133" s="70">
        <f t="shared" si="91"/>
        <v>23.327999999999999</v>
      </c>
      <c r="AA133" s="70">
        <f t="shared" si="92"/>
        <v>23.277200000000001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81"/>
        <v>0221-17</v>
      </c>
      <c r="AE133" s="104" t="str">
        <f t="shared" si="93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33" s="101" t="str">
        <f t="shared" si="94"/>
        <v>"C:\Program Files (x86)\AstroGrep\AstroGrep.exe" /spath="%USERPROFILE%\AppData\Local\Temp\OnboardLogs" /stypes="*4009*20160818*" /stext=" 01:.+((SYSTEM_STATE.+slice.+state.+changed )|(ment ac)|(system.+state.+changed )|(\|lc)|(penalty)|(\[timeout)|(PRM\|1\|D)|(kpr)|(kdp))" /e /r /s</v>
      </c>
      <c r="AG133" s="1" t="str">
        <f t="shared" si="82"/>
        <v>EC</v>
      </c>
      <c r="AH133" s="105" t="str">
        <f t="shared" si="67"/>
        <v>"%USERPROFILE%\Documents\GitHub\eaglep3\Utilities\RefineRTDCRunTimes.py" --tripid 221-17 --locoid 4009 --swversion DE.1.0.7.0 --startMP 204:508 --initTime 2016-08-17T18:56:14 --startdatetime 2016-08-17T19:00:18 --delay 4 --endMP 204:233280 --enddatetime 2016-08-17T19:36:35 --enforcementcount 0</v>
      </c>
    </row>
    <row r="134" spans="1:34" x14ac:dyDescent="0.25">
      <c r="A134" s="40" t="s">
        <v>502</v>
      </c>
      <c r="B134" s="7">
        <v>4010</v>
      </c>
      <c r="C134" s="25" t="s">
        <v>118</v>
      </c>
      <c r="D134" s="25" t="s">
        <v>271</v>
      </c>
      <c r="E134" s="16">
        <v>42599.822002314817</v>
      </c>
      <c r="F134" s="16">
        <v>42599.822939814818</v>
      </c>
      <c r="G134" s="7">
        <v>1</v>
      </c>
      <c r="H134" s="16" t="s">
        <v>503</v>
      </c>
      <c r="I134" s="16">
        <v>42599.860891203702</v>
      </c>
      <c r="J134" s="7">
        <v>0</v>
      </c>
      <c r="K134" s="142" t="str">
        <f t="shared" si="85"/>
        <v>4009/4010</v>
      </c>
      <c r="L134" s="25" t="str">
        <f>VLOOKUP(A134,'Trips&amp;Operators'!$C$1:$E$10000,3,FALSE)</f>
        <v>STURGEON</v>
      </c>
      <c r="M134" s="6">
        <f t="shared" si="86"/>
        <v>3.7951388883811887E-2</v>
      </c>
      <c r="N134" s="7">
        <f t="shared" si="83"/>
        <v>54.649999992689118</v>
      </c>
      <c r="O134" s="7"/>
      <c r="P134" s="7"/>
      <c r="Q134" s="26"/>
      <c r="R134" s="26"/>
      <c r="S134" s="38">
        <f t="shared" si="87"/>
        <v>1</v>
      </c>
      <c r="T134" s="53" t="str">
        <f t="shared" ref="T134:T165" si="95">IF(ISEVEN(LEFT(AD134,4)),"Southbound","NorthBound")</f>
        <v>Southbound</v>
      </c>
      <c r="U134" s="13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18:43:41-0600',mode:absolute,to:'2016-08-17 21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4" s="55" t="str">
        <f t="shared" si="89"/>
        <v>N</v>
      </c>
      <c r="X134" s="129">
        <f t="shared" si="84"/>
        <v>1</v>
      </c>
      <c r="Y134" s="70">
        <f t="shared" si="90"/>
        <v>23.297999999999998</v>
      </c>
      <c r="Z134" s="70">
        <f t="shared" si="91"/>
        <v>1.7600000000000001E-2</v>
      </c>
      <c r="AA134" s="70">
        <f t="shared" si="92"/>
        <v>23.280399999999997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ref="AD134:AD165" si="96">IF(LEN(A134)=6,"0"&amp;A134,A134)</f>
        <v>0222-17</v>
      </c>
      <c r="AE134" s="104" t="str">
        <f t="shared" si="93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34" s="101" t="str">
        <f t="shared" si="94"/>
        <v>"C:\Program Files (x86)\AstroGrep\AstroGrep.exe" /spath="%USERPROFILE%\AppData\Local\Temp\OnboardLogs" /stypes="*4010*20160818*" /stext=" 02:.+((SYSTEM_STATE.+slice.+state.+changed )|(ment ac)|(system.+state.+changed )|(\|lc)|(penalty)|(\[timeout)|(PRM\|1\|D)|(kpr)|(kdp))" /e /r /s</v>
      </c>
      <c r="AG134" s="1" t="str">
        <f t="shared" ref="AG134:AG165" si="97">IFERROR(IF(VALUE(LEFT(AD134,2))&lt;=2,"EC",IF(OR(VALUE(LEFT(AD134,2))=8,VALUE(LEFT(AD134,2))=18),"NW","Other")),"Other")</f>
        <v>EC</v>
      </c>
      <c r="AH134" s="105" t="str">
        <f t="shared" si="67"/>
        <v>"%USERPROFILE%\Documents\GitHub\eaglep3\Utilities\RefineRTDCRunTimes.py" --tripid 222-17 --locoid 4010 --swversion DE.1.0.7.0 --startMP 204:232980 --initTime 2016-08-17T19:43:41 --startdatetime 2016-08-17T19:45:02 --delay 1 --endMP 204:176 --enddatetime 2016-08-17T20:39:41 --enforcementcount 0</v>
      </c>
    </row>
    <row r="135" spans="1:34" x14ac:dyDescent="0.25">
      <c r="A135" s="40" t="s">
        <v>504</v>
      </c>
      <c r="B135" s="7">
        <v>4014</v>
      </c>
      <c r="C135" s="25" t="s">
        <v>118</v>
      </c>
      <c r="D135" s="25" t="s">
        <v>140</v>
      </c>
      <c r="E135" s="16">
        <v>42599.808229166665</v>
      </c>
      <c r="F135" s="16">
        <v>42599.808946759258</v>
      </c>
      <c r="G135" s="7">
        <v>1</v>
      </c>
      <c r="H135" s="16" t="s">
        <v>330</v>
      </c>
      <c r="I135" s="16">
        <v>42599.838680555556</v>
      </c>
      <c r="J135" s="7">
        <v>0</v>
      </c>
      <c r="K135" s="142" t="str">
        <f t="shared" si="85"/>
        <v>4013/4014</v>
      </c>
      <c r="L135" s="25" t="str">
        <f>VLOOKUP(A135,'Trips&amp;Operators'!$C$1:$E$10000,3,FALSE)</f>
        <v>ISHMAEL</v>
      </c>
      <c r="M135" s="6">
        <f t="shared" si="86"/>
        <v>2.973379629838746E-2</v>
      </c>
      <c r="N135" s="7">
        <f t="shared" si="83"/>
        <v>42.816666669677943</v>
      </c>
      <c r="O135" s="7"/>
      <c r="P135" s="7"/>
      <c r="Q135" s="26"/>
      <c r="R135" s="26"/>
      <c r="S135" s="38">
        <f t="shared" si="87"/>
        <v>1</v>
      </c>
      <c r="T135" s="53" t="str">
        <f t="shared" si="95"/>
        <v>NorthBound</v>
      </c>
      <c r="U135" s="13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18:23:51-0600',mode:absolute,to:'2016-08-17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35" s="55" t="str">
        <f t="shared" si="89"/>
        <v>N</v>
      </c>
      <c r="X135" s="129">
        <f t="shared" si="84"/>
        <v>1</v>
      </c>
      <c r="Y135" s="70">
        <f t="shared" si="90"/>
        <v>4.53E-2</v>
      </c>
      <c r="Z135" s="70">
        <f t="shared" si="91"/>
        <v>23.328800000000001</v>
      </c>
      <c r="AA135" s="70">
        <f t="shared" si="92"/>
        <v>23.2835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96"/>
        <v>0223-17</v>
      </c>
      <c r="AE135" s="104" t="str">
        <f t="shared" si="93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35" s="101" t="str">
        <f t="shared" si="94"/>
        <v>"C:\Program Files (x86)\AstroGrep\AstroGrep.exe" /spath="%USERPROFILE%\AppData\Local\Temp\OnboardLogs" /stypes="*4014*20160818*" /stext=" 02:.+((SYSTEM_STATE.+slice.+state.+changed )|(ment ac)|(system.+state.+changed )|(\|lc)|(penalty)|(\[timeout)|(PRM\|1\|D)|(kpr)|(kdp))" /e /r /s</v>
      </c>
      <c r="AG135" s="1" t="str">
        <f t="shared" si="97"/>
        <v>EC</v>
      </c>
      <c r="AH135" s="105" t="str">
        <f t="shared" si="67"/>
        <v>"%USERPROFILE%\Documents\GitHub\eaglep3\Utilities\RefineRTDCRunTimes.py" --tripid 223-17 --locoid 4014 --swversion DE.1.0.7.0 --startMP 204:453 --initTime 2016-08-17T19:23:51 --startdatetime 2016-08-17T19:24:53 --delay 1 --endMP 204:233288 --enddatetime 2016-08-17T20:07:42 --enforcementcount 0</v>
      </c>
    </row>
    <row r="136" spans="1:34" x14ac:dyDescent="0.25">
      <c r="A136" s="40" t="s">
        <v>505</v>
      </c>
      <c r="B136" s="7">
        <v>4013</v>
      </c>
      <c r="C136" s="25" t="s">
        <v>118</v>
      </c>
      <c r="D136" s="25" t="s">
        <v>225</v>
      </c>
      <c r="E136" s="16">
        <v>42599.846238425926</v>
      </c>
      <c r="F136" s="16">
        <v>42599.847175925926</v>
      </c>
      <c r="G136" s="7">
        <v>1</v>
      </c>
      <c r="H136" s="16" t="s">
        <v>177</v>
      </c>
      <c r="I136" s="16">
        <v>42599.878472222219</v>
      </c>
      <c r="J136" s="7">
        <v>0</v>
      </c>
      <c r="K136" s="142" t="str">
        <f t="shared" si="85"/>
        <v>4013/4014</v>
      </c>
      <c r="L136" s="25" t="str">
        <f>VLOOKUP(A136,'Trips&amp;Operators'!$C$1:$E$10000,3,FALSE)</f>
        <v>ISHMAEL</v>
      </c>
      <c r="M136" s="6">
        <f t="shared" si="86"/>
        <v>3.1296296292566694E-2</v>
      </c>
      <c r="N136" s="7">
        <f t="shared" si="83"/>
        <v>45.06666666129604</v>
      </c>
      <c r="O136" s="7"/>
      <c r="P136" s="7"/>
      <c r="Q136" s="26"/>
      <c r="R136" s="26"/>
      <c r="S136" s="38">
        <f t="shared" si="87"/>
        <v>1</v>
      </c>
      <c r="T136" s="53" t="str">
        <f t="shared" si="95"/>
        <v>Southbound</v>
      </c>
      <c r="U136" s="13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19:18:35-0600',mode:absolute,to:'2016-08-17 22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36" s="55" t="str">
        <f t="shared" si="89"/>
        <v>N</v>
      </c>
      <c r="X136" s="129">
        <f t="shared" si="84"/>
        <v>1</v>
      </c>
      <c r="Y136" s="70">
        <f t="shared" si="90"/>
        <v>23.2971</v>
      </c>
      <c r="Z136" s="70">
        <f t="shared" si="91"/>
        <v>1.54E-2</v>
      </c>
      <c r="AA136" s="70">
        <f t="shared" si="92"/>
        <v>23.281700000000001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96"/>
        <v>0224-17</v>
      </c>
      <c r="AE136" s="104" t="str">
        <f t="shared" si="93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136" s="101" t="str">
        <f t="shared" si="94"/>
        <v>"C:\Program Files (x86)\AstroGrep\AstroGrep.exe" /spath="%USERPROFILE%\AppData\Local\Temp\OnboardLogs" /stypes="*4013*20160818*" /stext=" 03:.+((SYSTEM_STATE.+slice.+state.+changed )|(ment ac)|(system.+state.+changed )|(\|lc)|(penalty)|(\[timeout)|(PRM\|1\|D)|(kpr)|(kdp))" /e /r /s</v>
      </c>
      <c r="AG136" s="1" t="str">
        <f t="shared" si="97"/>
        <v>EC</v>
      </c>
      <c r="AH136" s="105" t="str">
        <f t="shared" si="67"/>
        <v>"%USERPROFILE%\Documents\GitHub\eaglep3\Utilities\RefineRTDCRunTimes.py" --tripid 224-17 --locoid 4013 --swversion DE.1.0.7.0 --startMP 204:232971 --initTime 2016-08-17T20:18:35 --startdatetime 2016-08-17T20:19:56 --delay 1 --endMP 204:154 --enddatetime 2016-08-17T21:05:00 --enforcementcount 0</v>
      </c>
    </row>
    <row r="137" spans="1:34" x14ac:dyDescent="0.25">
      <c r="A137" s="40" t="s">
        <v>506</v>
      </c>
      <c r="B137" s="7">
        <v>4016</v>
      </c>
      <c r="C137" s="25" t="s">
        <v>118</v>
      </c>
      <c r="D137" s="25" t="s">
        <v>507</v>
      </c>
      <c r="E137" s="16">
        <v>42599.828819444447</v>
      </c>
      <c r="F137" s="16">
        <v>42599.829988425925</v>
      </c>
      <c r="G137" s="7">
        <v>1</v>
      </c>
      <c r="H137" s="16" t="s">
        <v>371</v>
      </c>
      <c r="I137" s="16">
        <v>42599.858055555553</v>
      </c>
      <c r="J137" s="7">
        <v>0</v>
      </c>
      <c r="K137" s="142" t="str">
        <f t="shared" si="85"/>
        <v>4015/4016</v>
      </c>
      <c r="L137" s="25" t="str">
        <f>VLOOKUP(A137,'Trips&amp;Operators'!$C$1:$E$10000,3,FALSE)</f>
        <v>LEVIN</v>
      </c>
      <c r="M137" s="6">
        <f t="shared" si="86"/>
        <v>2.806712962774327E-2</v>
      </c>
      <c r="N137" s="7">
        <f t="shared" si="83"/>
        <v>40.416666663950309</v>
      </c>
      <c r="O137" s="7"/>
      <c r="P137" s="7"/>
      <c r="Q137" s="26"/>
      <c r="R137" s="26"/>
      <c r="S137" s="38">
        <f t="shared" si="87"/>
        <v>1</v>
      </c>
      <c r="T137" s="53" t="str">
        <f t="shared" si="95"/>
        <v>NorthBound</v>
      </c>
      <c r="U137" s="13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18:53:30-0600',mode:absolute,to:'2016-08-17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37" s="55" t="str">
        <f t="shared" si="89"/>
        <v>N</v>
      </c>
      <c r="X137" s="129">
        <f t="shared" si="84"/>
        <v>1</v>
      </c>
      <c r="Y137" s="70">
        <f t="shared" si="90"/>
        <v>4.1799999999999997E-2</v>
      </c>
      <c r="Z137" s="70">
        <f t="shared" si="91"/>
        <v>23.333400000000001</v>
      </c>
      <c r="AA137" s="70">
        <f t="shared" si="92"/>
        <v>23.291600000000003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96"/>
        <v>0225-17</v>
      </c>
      <c r="AE137" s="104" t="str">
        <f t="shared" si="93"/>
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</c>
      <c r="AF137" s="101" t="str">
        <f t="shared" si="94"/>
        <v>"C:\Program Files (x86)\AstroGrep\AstroGrep.exe" /spath="%USERPROFILE%\AppData\Local\Temp\OnboardLogs" /stypes="*4016*20160818*" /stext=" 02:.+((SYSTEM_STATE.+slice.+state.+changed )|(ment ac)|(system.+state.+changed )|(\|lc)|(penalty)|(\[timeout)|(PRM\|1\|D)|(kpr)|(kdp))" /e /r /s</v>
      </c>
      <c r="AG137" s="1" t="str">
        <f t="shared" si="97"/>
        <v>EC</v>
      </c>
      <c r="AH137" s="105" t="str">
        <f t="shared" si="67"/>
        <v>"%USERPROFILE%\Documents\GitHub\eaglep3\Utilities\RefineRTDCRunTimes.py" --tripid 225-17 --locoid 4016 --swversion DE.1.0.7.0 --startMP 204:418 --initTime 2016-08-17T19:53:30 --startdatetime 2016-08-17T19:55:11 --delay 1 --endMP 204:233334 --enddatetime 2016-08-17T20:35:36 --enforcementcount 0</v>
      </c>
    </row>
    <row r="138" spans="1:34" x14ac:dyDescent="0.25">
      <c r="A138" s="40" t="s">
        <v>508</v>
      </c>
      <c r="B138" s="7">
        <v>4015</v>
      </c>
      <c r="C138" s="25" t="s">
        <v>118</v>
      </c>
      <c r="D138" s="25" t="s">
        <v>509</v>
      </c>
      <c r="E138" s="16">
        <v>42599.86755787037</v>
      </c>
      <c r="F138" s="16">
        <v>42599.868356481478</v>
      </c>
      <c r="G138" s="7">
        <v>1</v>
      </c>
      <c r="H138" s="16" t="s">
        <v>262</v>
      </c>
      <c r="I138" s="16">
        <v>42599.89943287037</v>
      </c>
      <c r="J138" s="7">
        <v>0</v>
      </c>
      <c r="K138" s="142" t="str">
        <f t="shared" si="85"/>
        <v>4015/4016</v>
      </c>
      <c r="L138" s="25" t="str">
        <f>VLOOKUP(A138,'Trips&amp;Operators'!$C$1:$E$10000,3,FALSE)</f>
        <v>LEVIN</v>
      </c>
      <c r="M138" s="6">
        <f t="shared" si="86"/>
        <v>3.107638889196096E-2</v>
      </c>
      <c r="N138" s="7">
        <f t="shared" si="83"/>
        <v>44.750000004423782</v>
      </c>
      <c r="O138" s="7"/>
      <c r="P138" s="7"/>
      <c r="Q138" s="26"/>
      <c r="R138" s="26"/>
      <c r="S138" s="38">
        <f t="shared" si="87"/>
        <v>1</v>
      </c>
      <c r="T138" s="53" t="str">
        <f t="shared" si="95"/>
        <v>Southbound</v>
      </c>
      <c r="U138" s="13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19:49:17-0600',mode:absolute,to:'2016-08-17 22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38" s="55" t="str">
        <f t="shared" si="89"/>
        <v>N</v>
      </c>
      <c r="X138" s="129">
        <f t="shared" si="84"/>
        <v>1</v>
      </c>
      <c r="Y138" s="70">
        <f t="shared" si="90"/>
        <v>23.301300000000001</v>
      </c>
      <c r="Z138" s="70">
        <f t="shared" si="91"/>
        <v>1.3599999999999999E-2</v>
      </c>
      <c r="AA138" s="70">
        <f t="shared" si="92"/>
        <v>23.287700000000001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96"/>
        <v>0226-17</v>
      </c>
      <c r="AE138" s="104" t="str">
        <f t="shared" si="93"/>
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</c>
      <c r="AF138" s="101" t="str">
        <f t="shared" si="94"/>
        <v>"C:\Program Files (x86)\AstroGrep\AstroGrep.exe" /spath="%USERPROFILE%\AppData\Local\Temp\OnboardLogs" /stypes="*4015*20160818*" /stext=" 03:.+((SYSTEM_STATE.+slice.+state.+changed )|(ment ac)|(system.+state.+changed )|(\|lc)|(penalty)|(\[timeout)|(PRM\|1\|D)|(kpr)|(kdp))" /e /r /s</v>
      </c>
      <c r="AG138" s="1" t="str">
        <f t="shared" si="97"/>
        <v>EC</v>
      </c>
      <c r="AH138" s="105" t="str">
        <f t="shared" si="67"/>
        <v>"%USERPROFILE%\Documents\GitHub\eaglep3\Utilities\RefineRTDCRunTimes.py" --tripid 226-17 --locoid 4015 --swversion DE.1.0.7.0 --startMP 204:233013 --initTime 2016-08-17T20:49:17 --startdatetime 2016-08-17T20:50:26 --delay 1 --endMP 204:136 --enddatetime 2016-08-17T21:35:11 --enforcementcount 0</v>
      </c>
    </row>
    <row r="139" spans="1:34" x14ac:dyDescent="0.25">
      <c r="A139" s="40" t="s">
        <v>510</v>
      </c>
      <c r="B139" s="7">
        <v>4018</v>
      </c>
      <c r="C139" s="25" t="s">
        <v>118</v>
      </c>
      <c r="D139" s="25" t="s">
        <v>166</v>
      </c>
      <c r="E139" s="16">
        <v>42599.851585648146</v>
      </c>
      <c r="F139" s="16">
        <v>42599.852743055555</v>
      </c>
      <c r="G139" s="7">
        <v>1</v>
      </c>
      <c r="H139" s="16" t="s">
        <v>511</v>
      </c>
      <c r="I139" s="16">
        <v>42599.880347222221</v>
      </c>
      <c r="J139" s="7">
        <v>0</v>
      </c>
      <c r="K139" s="142" t="str">
        <f t="shared" si="85"/>
        <v>4017/4018</v>
      </c>
      <c r="L139" s="25" t="str">
        <f>VLOOKUP(A139,'Trips&amp;Operators'!$C$1:$E$10000,3,FALSE)</f>
        <v>DE LA ROSA</v>
      </c>
      <c r="M139" s="6">
        <f t="shared" si="86"/>
        <v>2.7604166665696539E-2</v>
      </c>
      <c r="N139" s="7">
        <f t="shared" si="83"/>
        <v>39.749999998603016</v>
      </c>
      <c r="O139" s="7"/>
      <c r="P139" s="7"/>
      <c r="Q139" s="26"/>
      <c r="R139" s="26"/>
      <c r="S139" s="38">
        <f t="shared" si="87"/>
        <v>1</v>
      </c>
      <c r="T139" s="53" t="str">
        <f t="shared" si="95"/>
        <v>NorthBound</v>
      </c>
      <c r="U139" s="13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19:26:17-0600',mode:absolute,to:'2016-08-17 22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9" s="55" t="str">
        <f t="shared" si="89"/>
        <v>N</v>
      </c>
      <c r="X139" s="129">
        <f t="shared" si="84"/>
        <v>1</v>
      </c>
      <c r="Y139" s="70">
        <f t="shared" si="90"/>
        <v>4.4200000000000003E-2</v>
      </c>
      <c r="Z139" s="70">
        <f t="shared" si="91"/>
        <v>23.330100000000002</v>
      </c>
      <c r="AA139" s="70">
        <f t="shared" si="92"/>
        <v>23.285900000000002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96"/>
        <v>0227-17</v>
      </c>
      <c r="AE139" s="104" t="str">
        <f t="shared" si="93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39" s="101" t="str">
        <f t="shared" si="94"/>
        <v>"C:\Program Files (x86)\AstroGrep\AstroGrep.exe" /spath="%USERPROFILE%\AppData\Local\Temp\OnboardLogs" /stypes="*4018*20160818*" /stext=" 03:.+((SYSTEM_STATE.+slice.+state.+changed )|(ment ac)|(system.+state.+changed )|(\|lc)|(penalty)|(\[timeout)|(PRM\|1\|D)|(kpr)|(kdp))" /e /r /s</v>
      </c>
      <c r="AG139" s="1" t="str">
        <f t="shared" si="97"/>
        <v>EC</v>
      </c>
      <c r="AH139" s="105" t="str">
        <f t="shared" si="67"/>
        <v>"%USERPROFILE%\Documents\GitHub\eaglep3\Utilities\RefineRTDCRunTimes.py" --tripid 227-17 --locoid 4018 --swversion DE.1.0.7.0 --startMP 204:442 --initTime 2016-08-17T20:26:17 --startdatetime 2016-08-17T20:27:57 --delay 1 --endMP 204:233301 --enddatetime 2016-08-17T21:07:42 --enforcementcount 0</v>
      </c>
    </row>
    <row r="140" spans="1:34" x14ac:dyDescent="0.25">
      <c r="A140" s="40" t="s">
        <v>512</v>
      </c>
      <c r="B140" s="7">
        <v>4017</v>
      </c>
      <c r="C140" s="25" t="s">
        <v>118</v>
      </c>
      <c r="D140" s="25" t="s">
        <v>406</v>
      </c>
      <c r="E140" s="16">
        <v>42599.890752314815</v>
      </c>
      <c r="F140" s="16">
        <v>42599.891863425924</v>
      </c>
      <c r="G140" s="7">
        <v>1</v>
      </c>
      <c r="H140" s="16" t="s">
        <v>172</v>
      </c>
      <c r="I140" s="16">
        <v>42599.92046296296</v>
      </c>
      <c r="J140" s="7">
        <v>0</v>
      </c>
      <c r="K140" s="142" t="str">
        <f t="shared" si="85"/>
        <v>4017/4018</v>
      </c>
      <c r="L140" s="25" t="str">
        <f>VLOOKUP(A140,'Trips&amp;Operators'!$C$1:$E$10000,3,FALSE)</f>
        <v>DE LA ROSA</v>
      </c>
      <c r="M140" s="6">
        <f t="shared" si="86"/>
        <v>2.8599537035916001E-2</v>
      </c>
      <c r="N140" s="7">
        <f t="shared" si="83"/>
        <v>41.183333331719041</v>
      </c>
      <c r="O140" s="7"/>
      <c r="P140" s="7"/>
      <c r="Q140" s="26"/>
      <c r="R140" s="26"/>
      <c r="S140" s="38">
        <f t="shared" si="87"/>
        <v>1</v>
      </c>
      <c r="T140" s="53" t="str">
        <f t="shared" si="95"/>
        <v>Southbound</v>
      </c>
      <c r="U140" s="13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20:22:41-0600',mode:absolute,to:'2016-08-17 23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0" s="55" t="str">
        <f t="shared" si="89"/>
        <v>N</v>
      </c>
      <c r="X140" s="129">
        <f t="shared" si="84"/>
        <v>1</v>
      </c>
      <c r="Y140" s="70">
        <f t="shared" si="90"/>
        <v>23.296299999999999</v>
      </c>
      <c r="Z140" s="70">
        <f t="shared" si="91"/>
        <v>1.4999999999999999E-2</v>
      </c>
      <c r="AA140" s="70">
        <f t="shared" si="92"/>
        <v>23.281299999999998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96"/>
        <v>0228-17</v>
      </c>
      <c r="AE140" s="104" t="str">
        <f t="shared" si="93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40" s="101" t="str">
        <f t="shared" si="94"/>
        <v>"C:\Program Files (x86)\AstroGrep\AstroGrep.exe" /spath="%USERPROFILE%\AppData\Local\Temp\OnboardLogs" /stypes="*4017*20160818*" /stext=" 04:.+((SYSTEM_STATE.+slice.+state.+changed )|(ment ac)|(system.+state.+changed )|(\|lc)|(penalty)|(\[timeout)|(PRM\|1\|D)|(kpr)|(kdp))" /e /r /s</v>
      </c>
      <c r="AG140" s="1" t="str">
        <f t="shared" si="97"/>
        <v>EC</v>
      </c>
      <c r="AH140" s="105" t="str">
        <f t="shared" si="67"/>
        <v>"%USERPROFILE%\Documents\GitHub\eaglep3\Utilities\RefineRTDCRunTimes.py" --tripid 228-17 --locoid 4017 --swversion DE.1.0.7.0 --startMP 204:232963 --initTime 2016-08-17T21:22:41 --startdatetime 2016-08-17T21:24:17 --delay 1 --endMP 204:150 --enddatetime 2016-08-17T22:05:28 --enforcementcount 0</v>
      </c>
    </row>
    <row r="141" spans="1:34" x14ac:dyDescent="0.25">
      <c r="A141" s="40" t="s">
        <v>513</v>
      </c>
      <c r="B141" s="7">
        <v>4009</v>
      </c>
      <c r="C141" s="25" t="s">
        <v>118</v>
      </c>
      <c r="D141" s="25" t="s">
        <v>213</v>
      </c>
      <c r="E141" s="16">
        <v>42599.868703703702</v>
      </c>
      <c r="F141" s="16">
        <v>42599.869756944441</v>
      </c>
      <c r="G141" s="7">
        <v>1</v>
      </c>
      <c r="H141" s="16" t="s">
        <v>514</v>
      </c>
      <c r="I141" s="16">
        <v>42599.900416666664</v>
      </c>
      <c r="J141" s="7">
        <v>0</v>
      </c>
      <c r="K141" s="142" t="str">
        <f t="shared" si="85"/>
        <v>4009/4010</v>
      </c>
      <c r="L141" s="25" t="str">
        <f>VLOOKUP(A141,'Trips&amp;Operators'!$C$1:$E$10000,3,FALSE)</f>
        <v>STURGEON</v>
      </c>
      <c r="M141" s="6">
        <f t="shared" si="86"/>
        <v>3.0659722222480923E-2</v>
      </c>
      <c r="N141" s="7">
        <f t="shared" si="83"/>
        <v>44.150000000372529</v>
      </c>
      <c r="O141" s="7"/>
      <c r="P141" s="7"/>
      <c r="Q141" s="26"/>
      <c r="R141" s="26"/>
      <c r="S141" s="38">
        <f t="shared" si="87"/>
        <v>1</v>
      </c>
      <c r="T141" s="53" t="str">
        <f t="shared" si="95"/>
        <v>NorthBound</v>
      </c>
      <c r="U141" s="13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19:50:56-0600',mode:absolute,to:'2016-08-17 22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1" s="55" t="str">
        <f t="shared" si="89"/>
        <v>N</v>
      </c>
      <c r="X141" s="129">
        <f t="shared" si="84"/>
        <v>1</v>
      </c>
      <c r="Y141" s="70">
        <f t="shared" si="90"/>
        <v>4.8000000000000001E-2</v>
      </c>
      <c r="Z141" s="70">
        <f t="shared" si="91"/>
        <v>23.327200000000001</v>
      </c>
      <c r="AA141" s="70">
        <f t="shared" si="92"/>
        <v>23.279200000000003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si="96"/>
        <v>0229-17</v>
      </c>
      <c r="AE141" s="104" t="str">
        <f t="shared" si="93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41" s="101" t="str">
        <f t="shared" si="94"/>
        <v>"C:\Program Files (x86)\AstroGrep\AstroGrep.exe" /spath="%USERPROFILE%\AppData\Local\Temp\OnboardLogs" /stypes="*4009*20160818*" /stext=" 03:.+((SYSTEM_STATE.+slice.+state.+changed )|(ment ac)|(system.+state.+changed )|(\|lc)|(penalty)|(\[timeout)|(PRM\|1\|D)|(kpr)|(kdp))" /e /r /s</v>
      </c>
      <c r="AG141" s="1" t="str">
        <f t="shared" si="97"/>
        <v>EC</v>
      </c>
      <c r="AH141" s="105" t="str">
        <f t="shared" si="67"/>
        <v>"%USERPROFILE%\Documents\GitHub\eaglep3\Utilities\RefineRTDCRunTimes.py" --tripid 229-17 --locoid 4009 --swversion DE.1.0.7.0 --startMP 204:480 --initTime 2016-08-17T20:50:56 --startdatetime 2016-08-17T20:52:27 --delay 1 --endMP 204:233272 --enddatetime 2016-08-17T21:36:36 --enforcementcount 0</v>
      </c>
    </row>
    <row r="142" spans="1:34" x14ac:dyDescent="0.25">
      <c r="A142" s="40" t="s">
        <v>515</v>
      </c>
      <c r="B142" s="7">
        <v>4010</v>
      </c>
      <c r="C142" s="25" t="s">
        <v>118</v>
      </c>
      <c r="D142" s="25" t="s">
        <v>255</v>
      </c>
      <c r="E142" s="16">
        <v>42599.906782407408</v>
      </c>
      <c r="F142" s="16">
        <v>42599.908888888887</v>
      </c>
      <c r="G142" s="7">
        <v>3</v>
      </c>
      <c r="H142" s="16" t="s">
        <v>177</v>
      </c>
      <c r="I142" s="16">
        <v>42599.941921296297</v>
      </c>
      <c r="J142" s="7">
        <v>0</v>
      </c>
      <c r="K142" s="142" t="str">
        <f t="shared" si="85"/>
        <v>4009/4010</v>
      </c>
      <c r="L142" s="25" t="str">
        <f>VLOOKUP(A142,'Trips&amp;Operators'!$C$1:$E$10000,3,FALSE)</f>
        <v>STURGEON</v>
      </c>
      <c r="M142" s="6">
        <f t="shared" si="86"/>
        <v>3.3032407409336884E-2</v>
      </c>
      <c r="N142" s="7">
        <f t="shared" si="83"/>
        <v>47.566666669445112</v>
      </c>
      <c r="O142" s="7"/>
      <c r="P142" s="7"/>
      <c r="Q142" s="26"/>
      <c r="R142" s="26"/>
      <c r="S142" s="38">
        <f t="shared" si="87"/>
        <v>1</v>
      </c>
      <c r="T142" s="53" t="str">
        <f t="shared" si="95"/>
        <v>Southbound</v>
      </c>
      <c r="U142" s="13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20:45:46-0600',mode:absolute,to:'2016-08-17 23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2" s="55" t="str">
        <f t="shared" si="89"/>
        <v>N</v>
      </c>
      <c r="X142" s="129">
        <f t="shared" si="84"/>
        <v>1</v>
      </c>
      <c r="Y142" s="70">
        <f t="shared" si="90"/>
        <v>23.296700000000001</v>
      </c>
      <c r="Z142" s="70">
        <f t="shared" si="91"/>
        <v>1.54E-2</v>
      </c>
      <c r="AA142" s="70">
        <f t="shared" si="92"/>
        <v>23.281300000000002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96"/>
        <v>0230-17</v>
      </c>
      <c r="AE142" s="104" t="str">
        <f t="shared" si="93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42" s="101" t="str">
        <f t="shared" si="94"/>
        <v>"C:\Program Files (x86)\AstroGrep\AstroGrep.exe" /spath="%USERPROFILE%\AppData\Local\Temp\OnboardLogs" /stypes="*4010*20160818*" /stext=" 04:.+((SYSTEM_STATE.+slice.+state.+changed )|(ment ac)|(system.+state.+changed )|(\|lc)|(penalty)|(\[timeout)|(PRM\|1\|D)|(kpr)|(kdp))" /e /r /s</v>
      </c>
      <c r="AG142" s="1" t="str">
        <f t="shared" si="97"/>
        <v>EC</v>
      </c>
      <c r="AH142" s="105" t="str">
        <f t="shared" si="67"/>
        <v>"%USERPROFILE%\Documents\GitHub\eaglep3\Utilities\RefineRTDCRunTimes.py" --tripid 230-17 --locoid 4010 --swversion DE.1.0.7.0 --startMP 204:232967 --initTime 2016-08-17T21:45:46 --startdatetime 2016-08-17T21:48:48 --delay 3 --endMP 204:154 --enddatetime 2016-08-17T22:36:22 --enforcementcount 0</v>
      </c>
    </row>
    <row r="143" spans="1:34" x14ac:dyDescent="0.25">
      <c r="A143" s="40" t="s">
        <v>516</v>
      </c>
      <c r="B143" s="7">
        <v>4014</v>
      </c>
      <c r="C143" s="25" t="s">
        <v>118</v>
      </c>
      <c r="D143" s="25" t="s">
        <v>152</v>
      </c>
      <c r="E143" s="16">
        <v>42599.890740740739</v>
      </c>
      <c r="F143" s="16">
        <v>42599.891562500001</v>
      </c>
      <c r="G143" s="7">
        <v>1</v>
      </c>
      <c r="H143" s="16" t="s">
        <v>176</v>
      </c>
      <c r="I143" s="16">
        <v>42599.921527777777</v>
      </c>
      <c r="J143" s="7">
        <v>0</v>
      </c>
      <c r="K143" s="142" t="str">
        <f t="shared" si="85"/>
        <v>4013/4014</v>
      </c>
      <c r="L143" s="25" t="str">
        <f>VLOOKUP(A143,'Trips&amp;Operators'!$C$1:$E$10000,3,FALSE)</f>
        <v>ISHMAEL</v>
      </c>
      <c r="M143" s="6">
        <f t="shared" si="86"/>
        <v>2.9965277775772847E-2</v>
      </c>
      <c r="N143" s="7">
        <f t="shared" si="83"/>
        <v>43.1499999971129</v>
      </c>
      <c r="O143" s="7"/>
      <c r="P143" s="7"/>
      <c r="Q143" s="26"/>
      <c r="R143" s="26"/>
      <c r="S143" s="38">
        <f t="shared" si="87"/>
        <v>1</v>
      </c>
      <c r="T143" s="53" t="str">
        <f t="shared" si="95"/>
        <v>NorthBound</v>
      </c>
      <c r="U143" s="13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20:22:40-0600',mode:absolute,to:'2016-08-17 23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3" s="55" t="str">
        <f t="shared" si="89"/>
        <v>N</v>
      </c>
      <c r="X143" s="129">
        <f t="shared" si="84"/>
        <v>1</v>
      </c>
      <c r="Y143" s="70">
        <f t="shared" si="90"/>
        <v>4.6699999999999998E-2</v>
      </c>
      <c r="Z143" s="70">
        <f t="shared" si="91"/>
        <v>23.3291</v>
      </c>
      <c r="AA143" s="70">
        <f t="shared" si="92"/>
        <v>23.282399999999999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96"/>
        <v>0231-17</v>
      </c>
      <c r="AE143" s="104" t="str">
        <f t="shared" si="93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43" s="101" t="str">
        <f t="shared" si="94"/>
        <v>"C:\Program Files (x86)\AstroGrep\AstroGrep.exe" /spath="%USERPROFILE%\AppData\Local\Temp\OnboardLogs" /stypes="*4014*20160818*" /stext=" 04:.+((SYSTEM_STATE.+slice.+state.+changed )|(ment ac)|(system.+state.+changed )|(\|lc)|(penalty)|(\[timeout)|(PRM\|1\|D)|(kpr)|(kdp))" /e /r /s</v>
      </c>
      <c r="AG143" s="1" t="str">
        <f t="shared" si="97"/>
        <v>EC</v>
      </c>
      <c r="AH143" s="105" t="str">
        <f t="shared" si="67"/>
        <v>"%USERPROFILE%\Documents\GitHub\eaglep3\Utilities\RefineRTDCRunTimes.py" --tripid 231-17 --locoid 4014 --swversion DE.1.0.7.0 --startMP 204:467 --initTime 2016-08-17T21:22:40 --startdatetime 2016-08-17T21:23:51 --delay 1 --endMP 204:233291 --enddatetime 2016-08-17T22:07:00 --enforcementcount 0</v>
      </c>
    </row>
    <row r="144" spans="1:34" x14ac:dyDescent="0.25">
      <c r="A144" s="40" t="s">
        <v>517</v>
      </c>
      <c r="B144" s="7">
        <v>4013</v>
      </c>
      <c r="C144" s="25" t="s">
        <v>118</v>
      </c>
      <c r="D144" s="25" t="s">
        <v>260</v>
      </c>
      <c r="E144" s="16">
        <v>42599.92869212963</v>
      </c>
      <c r="F144" s="16">
        <v>42599.929699074077</v>
      </c>
      <c r="G144" s="7">
        <v>1</v>
      </c>
      <c r="H144" s="16" t="s">
        <v>167</v>
      </c>
      <c r="I144" s="16">
        <v>42599.961493055554</v>
      </c>
      <c r="J144" s="7">
        <v>0</v>
      </c>
      <c r="K144" s="142" t="str">
        <f t="shared" si="85"/>
        <v>4013/4014</v>
      </c>
      <c r="L144" s="25" t="str">
        <f>VLOOKUP(A144,'Trips&amp;Operators'!$C$1:$E$10000,3,FALSE)</f>
        <v>ISHMAEL</v>
      </c>
      <c r="M144" s="6">
        <f t="shared" si="86"/>
        <v>3.1793981477676425E-2</v>
      </c>
      <c r="N144" s="7">
        <f t="shared" si="83"/>
        <v>45.783333327854052</v>
      </c>
      <c r="O144" s="7"/>
      <c r="P144" s="7"/>
      <c r="Q144" s="26"/>
      <c r="R144" s="26"/>
      <c r="S144" s="38">
        <f t="shared" si="87"/>
        <v>1</v>
      </c>
      <c r="T144" s="53" t="str">
        <f t="shared" si="95"/>
        <v>Southbound</v>
      </c>
      <c r="U144" s="13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21:17:19-0600',mode:absolute,to:'2016-08-18 00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4" s="55" t="str">
        <f t="shared" si="89"/>
        <v>N</v>
      </c>
      <c r="X144" s="129">
        <f t="shared" si="84"/>
        <v>1</v>
      </c>
      <c r="Y144" s="70">
        <f t="shared" si="90"/>
        <v>23.2973</v>
      </c>
      <c r="Z144" s="70">
        <f t="shared" si="91"/>
        <v>1.6500000000000001E-2</v>
      </c>
      <c r="AA144" s="70">
        <f t="shared" si="92"/>
        <v>23.280799999999999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96"/>
        <v>0232-17</v>
      </c>
      <c r="AE144" s="104" t="str">
        <f t="shared" si="93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144" s="101" t="str">
        <f t="shared" si="94"/>
        <v>"C:\Program Files (x86)\AstroGrep\AstroGrep.exe" /spath="%USERPROFILE%\AppData\Local\Temp\OnboardLogs" /stypes="*4013*20160818*" /stext=" 05:.+((SYSTEM_STATE.+slice.+state.+changed )|(ment ac)|(system.+state.+changed )|(\|lc)|(penalty)|(\[timeout)|(PRM\|1\|D)|(kpr)|(kdp))" /e /r /s</v>
      </c>
      <c r="AG144" s="1" t="str">
        <f t="shared" si="97"/>
        <v>EC</v>
      </c>
      <c r="AH144" s="105" t="str">
        <f t="shared" si="67"/>
        <v>"%USERPROFILE%\Documents\GitHub\eaglep3\Utilities\RefineRTDCRunTimes.py" --tripid 232-17 --locoid 4013 --swversion DE.1.0.7.0 --startMP 204:232973 --initTime 2016-08-17T22:17:19 --startdatetime 2016-08-17T22:18:46 --delay 1 --endMP 204:165 --enddatetime 2016-08-17T23:04:33 --enforcementcount 0</v>
      </c>
    </row>
    <row r="145" spans="1:34" x14ac:dyDescent="0.25">
      <c r="A145" s="40" t="s">
        <v>518</v>
      </c>
      <c r="B145" s="7">
        <v>4016</v>
      </c>
      <c r="C145" s="25" t="s">
        <v>118</v>
      </c>
      <c r="D145" s="25" t="s">
        <v>140</v>
      </c>
      <c r="E145" s="16">
        <v>42599.91333333333</v>
      </c>
      <c r="F145" s="16">
        <v>42599.914120370369</v>
      </c>
      <c r="G145" s="7">
        <v>1</v>
      </c>
      <c r="H145" s="16" t="s">
        <v>176</v>
      </c>
      <c r="I145" s="16">
        <v>42599.941192129627</v>
      </c>
      <c r="J145" s="7">
        <v>0</v>
      </c>
      <c r="K145" s="142" t="str">
        <f t="shared" si="85"/>
        <v>4015/4016</v>
      </c>
      <c r="L145" s="25" t="str">
        <f>VLOOKUP(A145,'Trips&amp;Operators'!$C$1:$E$10000,3,FALSE)</f>
        <v>LEVIN</v>
      </c>
      <c r="M145" s="6">
        <f t="shared" si="86"/>
        <v>2.7071759257523809E-2</v>
      </c>
      <c r="N145" s="7">
        <f t="shared" si="83"/>
        <v>38.983333330834284</v>
      </c>
      <c r="O145" s="7"/>
      <c r="P145" s="7"/>
      <c r="Q145" s="26"/>
      <c r="R145" s="26"/>
      <c r="S145" s="38">
        <f t="shared" si="87"/>
        <v>1</v>
      </c>
      <c r="T145" s="53" t="str">
        <f t="shared" si="95"/>
        <v>NorthBound</v>
      </c>
      <c r="U145" s="13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20:55:12-0600',mode:absolute,to:'2016-08-17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45" s="55" t="str">
        <f t="shared" si="89"/>
        <v>N</v>
      </c>
      <c r="X145" s="129">
        <f t="shared" si="84"/>
        <v>1</v>
      </c>
      <c r="Y145" s="70">
        <f t="shared" si="90"/>
        <v>4.53E-2</v>
      </c>
      <c r="Z145" s="70">
        <f t="shared" si="91"/>
        <v>23.3291</v>
      </c>
      <c r="AA145" s="70">
        <f t="shared" si="92"/>
        <v>23.283799999999999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96"/>
        <v>0233-17</v>
      </c>
      <c r="AE145" s="104" t="str">
        <f t="shared" si="93"/>
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</c>
      <c r="AF145" s="101" t="str">
        <f t="shared" si="94"/>
        <v>"C:\Program Files (x86)\AstroGrep\AstroGrep.exe" /spath="%USERPROFILE%\AppData\Local\Temp\OnboardLogs" /stypes="*4016*20160818*" /stext=" 04:.+((SYSTEM_STATE.+slice.+state.+changed )|(ment ac)|(system.+state.+changed )|(\|lc)|(penalty)|(\[timeout)|(PRM\|1\|D)|(kpr)|(kdp))" /e /r /s</v>
      </c>
      <c r="AG145" s="1" t="str">
        <f t="shared" si="97"/>
        <v>EC</v>
      </c>
      <c r="AH145" s="105" t="str">
        <f t="shared" si="67"/>
        <v>"%USERPROFILE%\Documents\GitHub\eaglep3\Utilities\RefineRTDCRunTimes.py" --tripid 233-17 --locoid 4016 --swversion DE.1.0.7.0 --startMP 204:453 --initTime 2016-08-17T21:55:12 --startdatetime 2016-08-17T21:56:20 --delay 1 --endMP 204:233291 --enddatetime 2016-08-17T22:35:19 --enforcementcount 0</v>
      </c>
    </row>
    <row r="146" spans="1:34" x14ac:dyDescent="0.25">
      <c r="A146" s="40" t="s">
        <v>519</v>
      </c>
      <c r="B146" s="7">
        <v>4015</v>
      </c>
      <c r="C146" s="25" t="s">
        <v>118</v>
      </c>
      <c r="D146" s="25" t="s">
        <v>232</v>
      </c>
      <c r="E146" s="16">
        <v>42599.947268518517</v>
      </c>
      <c r="F146" s="16">
        <v>42599.948078703703</v>
      </c>
      <c r="G146" s="7">
        <v>1</v>
      </c>
      <c r="H146" s="16" t="s">
        <v>139</v>
      </c>
      <c r="I146" s="16">
        <v>42599.98269675926</v>
      </c>
      <c r="J146" s="7">
        <v>0</v>
      </c>
      <c r="K146" s="142" t="str">
        <f t="shared" si="85"/>
        <v>4015/4016</v>
      </c>
      <c r="L146" s="25" t="str">
        <f>VLOOKUP(A146,'Trips&amp;Operators'!$C$1:$E$10000,3,FALSE)</f>
        <v>LEVIN</v>
      </c>
      <c r="M146" s="6">
        <f t="shared" si="86"/>
        <v>3.4618055557075422E-2</v>
      </c>
      <c r="N146" s="7">
        <f t="shared" si="83"/>
        <v>49.850000002188608</v>
      </c>
      <c r="O146" s="7"/>
      <c r="P146" s="7"/>
      <c r="Q146" s="26"/>
      <c r="R146" s="26"/>
      <c r="S146" s="38">
        <f t="shared" si="87"/>
        <v>1</v>
      </c>
      <c r="T146" s="53" t="str">
        <f t="shared" si="95"/>
        <v>Southbound</v>
      </c>
      <c r="U146" s="13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21:44:04-0600',mode:absolute,to:'2016-08-18 00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46" s="55" t="str">
        <f t="shared" si="89"/>
        <v>N</v>
      </c>
      <c r="X146" s="129">
        <f t="shared" si="84"/>
        <v>1</v>
      </c>
      <c r="Y146" s="70">
        <f t="shared" si="90"/>
        <v>23.300699999999999</v>
      </c>
      <c r="Z146" s="70">
        <f t="shared" si="91"/>
        <v>1.47E-2</v>
      </c>
      <c r="AA146" s="70">
        <f t="shared" si="92"/>
        <v>23.285999999999998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96"/>
        <v>0234-17</v>
      </c>
      <c r="AE146" s="104" t="str">
        <f t="shared" si="93"/>
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</c>
      <c r="AF146" s="101" t="str">
        <f t="shared" si="94"/>
        <v>"C:\Program Files (x86)\AstroGrep\AstroGrep.exe" /spath="%USERPROFILE%\AppData\Local\Temp\OnboardLogs" /stypes="*4015*20160818*" /stext=" 05:.+((SYSTEM_STATE.+slice.+state.+changed )|(ment ac)|(system.+state.+changed )|(\|lc)|(penalty)|(\[timeout)|(PRM\|1\|D)|(kpr)|(kdp))" /e /r /s</v>
      </c>
      <c r="AG146" s="1" t="str">
        <f t="shared" si="97"/>
        <v>EC</v>
      </c>
      <c r="AH146" s="105" t="str">
        <f t="shared" si="67"/>
        <v>"%USERPROFILE%\Documents\GitHub\eaglep3\Utilities\RefineRTDCRunTimes.py" --tripid 234-17 --locoid 4015 --swversion DE.1.0.7.0 --startMP 204:233007 --initTime 2016-08-17T22:44:04 --startdatetime 2016-08-17T22:45:14 --delay 1 --endMP 204:147 --enddatetime 2016-08-17T23:35:05 --enforcementcount 0</v>
      </c>
    </row>
    <row r="147" spans="1:34" x14ac:dyDescent="0.25">
      <c r="A147" s="40" t="s">
        <v>520</v>
      </c>
      <c r="B147" s="7">
        <v>4018</v>
      </c>
      <c r="C147" s="25" t="s">
        <v>118</v>
      </c>
      <c r="D147" s="25" t="s">
        <v>521</v>
      </c>
      <c r="E147" s="16">
        <v>42599.933055555557</v>
      </c>
      <c r="F147" s="16">
        <v>42599.934490740743</v>
      </c>
      <c r="G147" s="7">
        <v>2</v>
      </c>
      <c r="H147" s="16" t="s">
        <v>330</v>
      </c>
      <c r="I147" s="16">
        <v>42599.963483796295</v>
      </c>
      <c r="J147" s="7">
        <v>0</v>
      </c>
      <c r="K147" s="142" t="str">
        <f t="shared" si="85"/>
        <v>4017/4018</v>
      </c>
      <c r="L147" s="25" t="str">
        <f>VLOOKUP(A147,'Trips&amp;Operators'!$C$1:$E$10000,3,FALSE)</f>
        <v>DE LA ROSA</v>
      </c>
      <c r="M147" s="6">
        <f t="shared" si="86"/>
        <v>2.8993055551836733E-2</v>
      </c>
      <c r="N147" s="7">
        <f t="shared" si="83"/>
        <v>41.749999994644895</v>
      </c>
      <c r="O147" s="7"/>
      <c r="P147" s="7"/>
      <c r="Q147" s="26"/>
      <c r="R147" s="26"/>
      <c r="S147" s="38">
        <f t="shared" si="87"/>
        <v>1</v>
      </c>
      <c r="T147" s="53" t="str">
        <f t="shared" si="95"/>
        <v>NorthBound</v>
      </c>
      <c r="U147" s="13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21:23:36-0600',mode:absolute,to:'2016-08-18 00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47" s="55" t="str">
        <f t="shared" si="89"/>
        <v>N</v>
      </c>
      <c r="X147" s="129">
        <f t="shared" si="84"/>
        <v>1</v>
      </c>
      <c r="Y147" s="70">
        <f t="shared" si="90"/>
        <v>4.9099999999999998E-2</v>
      </c>
      <c r="Z147" s="70">
        <f t="shared" si="91"/>
        <v>23.328800000000001</v>
      </c>
      <c r="AA147" s="70">
        <f t="shared" si="92"/>
        <v>23.279700000000002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96"/>
        <v>0235-17</v>
      </c>
      <c r="AE147" s="104" t="str">
        <f t="shared" si="93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47" s="101" t="str">
        <f t="shared" si="94"/>
        <v>"C:\Program Files (x86)\AstroGrep\AstroGrep.exe" /spath="%USERPROFILE%\AppData\Local\Temp\OnboardLogs" /stypes="*4018*20160818*" /stext=" 05:.+((SYSTEM_STATE.+slice.+state.+changed )|(ment ac)|(system.+state.+changed )|(\|lc)|(penalty)|(\[timeout)|(PRM\|1\|D)|(kpr)|(kdp))" /e /r /s</v>
      </c>
      <c r="AG147" s="1" t="str">
        <f t="shared" si="97"/>
        <v>EC</v>
      </c>
      <c r="AH147" s="105" t="str">
        <f t="shared" ref="AH147:AH210" si="98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</f>
        <v>"%USERPROFILE%\Documents\GitHub\eaglep3\Utilities\RefineRTDCRunTimes.py" --tripid 235-17 --locoid 4018 --swversion DE.1.0.7.0 --startMP 204:491 --initTime 2016-08-17T22:23:36 --startdatetime 2016-08-17T22:25:40 --delay 2 --endMP 204:233288 --enddatetime 2016-08-17T23:07:25 --enforcementcount 0</v>
      </c>
    </row>
    <row r="148" spans="1:34" x14ac:dyDescent="0.25">
      <c r="A148" s="40" t="s">
        <v>522</v>
      </c>
      <c r="B148" s="7">
        <v>4017</v>
      </c>
      <c r="C148" s="25" t="s">
        <v>118</v>
      </c>
      <c r="D148" s="25" t="s">
        <v>260</v>
      </c>
      <c r="E148" s="16">
        <v>42599.969131944446</v>
      </c>
      <c r="F148" s="16">
        <v>42599.971296296295</v>
      </c>
      <c r="G148" s="7">
        <v>3</v>
      </c>
      <c r="H148" s="16" t="s">
        <v>523</v>
      </c>
      <c r="I148" s="16">
        <v>42600.007939814815</v>
      </c>
      <c r="J148" s="7">
        <v>0</v>
      </c>
      <c r="K148" s="142" t="str">
        <f t="shared" si="85"/>
        <v>4017/4018</v>
      </c>
      <c r="L148" s="25" t="str">
        <f>VLOOKUP(A148,'Trips&amp;Operators'!$C$1:$E$10000,3,FALSE)</f>
        <v>DE LA ROSA</v>
      </c>
      <c r="M148" s="6">
        <f t="shared" si="86"/>
        <v>3.6643518520577345E-2</v>
      </c>
      <c r="N148" s="7">
        <f t="shared" si="83"/>
        <v>52.766666669631377</v>
      </c>
      <c r="O148" s="7"/>
      <c r="P148" s="7"/>
      <c r="Q148" s="26"/>
      <c r="R148" s="26"/>
      <c r="S148" s="38">
        <f t="shared" si="87"/>
        <v>1</v>
      </c>
      <c r="T148" s="53" t="str">
        <f t="shared" si="95"/>
        <v>Southbound</v>
      </c>
      <c r="U148" s="13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22:15:33-0600',mode:absolute,to:'2016-08-18 01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8" s="55" t="str">
        <f t="shared" si="89"/>
        <v>N</v>
      </c>
      <c r="X148" s="129">
        <f t="shared" si="84"/>
        <v>1</v>
      </c>
      <c r="Y148" s="70">
        <f t="shared" si="90"/>
        <v>23.2973</v>
      </c>
      <c r="Z148" s="70">
        <f t="shared" si="91"/>
        <v>1.37E-2</v>
      </c>
      <c r="AA148" s="70">
        <f t="shared" si="92"/>
        <v>23.2836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96"/>
        <v>0236-17</v>
      </c>
      <c r="AE148" s="104" t="str">
        <f t="shared" si="93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48" s="101" t="str">
        <f t="shared" si="94"/>
        <v>"C:\Program Files (x86)\AstroGrep\AstroGrep.exe" /spath="%USERPROFILE%\AppData\Local\Temp\OnboardLogs" /stypes="*4017*20160818*" /stext=" 06:.+((SYSTEM_STATE.+slice.+state.+changed )|(ment ac)|(system.+state.+changed )|(\|lc)|(penalty)|(\[timeout)|(PRM\|1\|D)|(kpr)|(kdp))" /e /r /s</v>
      </c>
      <c r="AG148" s="1" t="str">
        <f t="shared" si="97"/>
        <v>EC</v>
      </c>
      <c r="AH148" s="105" t="str">
        <f t="shared" si="98"/>
        <v>"%USERPROFILE%\Documents\GitHub\eaglep3\Utilities\RefineRTDCRunTimes.py" --tripid 236-17 --locoid 4017 --swversion DE.1.0.7.0 --startMP 204:232973 --initTime 2016-08-17T23:15:33 --startdatetime 2016-08-17T23:18:40 --delay 3 --endMP 204:137 --enddatetime 2016-08-18T00:11:26 --enforcementcount 0</v>
      </c>
    </row>
    <row r="149" spans="1:34" x14ac:dyDescent="0.25">
      <c r="A149" s="40" t="s">
        <v>524</v>
      </c>
      <c r="B149" s="7">
        <v>4009</v>
      </c>
      <c r="C149" s="25" t="s">
        <v>118</v>
      </c>
      <c r="D149" s="25" t="s">
        <v>179</v>
      </c>
      <c r="E149" s="16">
        <v>42599.95108796296</v>
      </c>
      <c r="F149" s="16">
        <v>42599.952060185184</v>
      </c>
      <c r="G149" s="7">
        <v>1</v>
      </c>
      <c r="H149" s="16" t="s">
        <v>525</v>
      </c>
      <c r="I149" s="16">
        <v>42599.995740740742</v>
      </c>
      <c r="J149" s="7">
        <v>0</v>
      </c>
      <c r="K149" s="142" t="str">
        <f t="shared" si="85"/>
        <v>4009/4010</v>
      </c>
      <c r="L149" s="25" t="str">
        <f>VLOOKUP(A149,'Trips&amp;Operators'!$C$1:$E$10000,3,FALSE)</f>
        <v>STURGEON</v>
      </c>
      <c r="M149" s="6">
        <f t="shared" si="86"/>
        <v>4.3680555558239575E-2</v>
      </c>
      <c r="N149" s="7">
        <f t="shared" si="83"/>
        <v>62.900000003864989</v>
      </c>
      <c r="O149" s="7"/>
      <c r="P149" s="7"/>
      <c r="Q149" s="26"/>
      <c r="R149" s="26"/>
      <c r="S149" s="38">
        <f t="shared" si="87"/>
        <v>1</v>
      </c>
      <c r="T149" s="53" t="str">
        <f t="shared" si="95"/>
        <v>NorthBound</v>
      </c>
      <c r="U149" s="13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21:49:34-0600',mode:absolute,to:'2016-08-18 00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9" s="55" t="str">
        <f t="shared" si="89"/>
        <v>N</v>
      </c>
      <c r="X149" s="129">
        <f t="shared" si="84"/>
        <v>1</v>
      </c>
      <c r="Y149" s="70">
        <f t="shared" si="90"/>
        <v>4.7699999999999999E-2</v>
      </c>
      <c r="Z149" s="70">
        <f t="shared" si="91"/>
        <v>23.3263</v>
      </c>
      <c r="AA149" s="70">
        <f t="shared" si="92"/>
        <v>23.278600000000001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96"/>
        <v>0237-17</v>
      </c>
      <c r="AE149" s="104" t="str">
        <f t="shared" si="93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49" s="101" t="str">
        <f t="shared" si="94"/>
        <v>"C:\Program Files (x86)\AstroGrep\AstroGrep.exe" /spath="%USERPROFILE%\AppData\Local\Temp\OnboardLogs" /stypes="*4009*20160818*" /stext=" 05:.+((SYSTEM_STATE.+slice.+state.+changed )|(ment ac)|(system.+state.+changed )|(\|lc)|(penalty)|(\[timeout)|(PRM\|1\|D)|(kpr)|(kdp))" /e /r /s</v>
      </c>
      <c r="AG149" s="1" t="str">
        <f t="shared" si="97"/>
        <v>EC</v>
      </c>
      <c r="AH149" s="105" t="str">
        <f t="shared" si="98"/>
        <v>"%USERPROFILE%\Documents\GitHub\eaglep3\Utilities\RefineRTDCRunTimes.py" --tripid 237-17 --locoid 4009 --swversion DE.1.0.7.0 --startMP 204:477 --initTime 2016-08-17T22:49:34 --startdatetime 2016-08-17T22:50:58 --delay 1 --endMP 204:233263 --enddatetime 2016-08-17T23:53:52 --enforcementcount 0</v>
      </c>
    </row>
    <row r="150" spans="1:34" x14ac:dyDescent="0.25">
      <c r="A150" s="40" t="s">
        <v>526</v>
      </c>
      <c r="B150" s="7">
        <v>4010</v>
      </c>
      <c r="C150" s="25" t="s">
        <v>118</v>
      </c>
      <c r="D150" s="25" t="s">
        <v>274</v>
      </c>
      <c r="E150" s="16">
        <v>42599.997453703705</v>
      </c>
      <c r="F150" s="16">
        <v>42599.99894675926</v>
      </c>
      <c r="G150" s="7">
        <v>2</v>
      </c>
      <c r="H150" s="16" t="s">
        <v>527</v>
      </c>
      <c r="I150" s="16">
        <v>42600.037106481483</v>
      </c>
      <c r="J150" s="7">
        <v>0</v>
      </c>
      <c r="K150" s="142" t="str">
        <f t="shared" si="85"/>
        <v>4009/4010</v>
      </c>
      <c r="L150" s="25" t="str">
        <f>VLOOKUP(A150,'Trips&amp;Operators'!$C$1:$E$10000,3,FALSE)</f>
        <v>STURGEON</v>
      </c>
      <c r="M150" s="6">
        <f t="shared" si="86"/>
        <v>3.8159722222189885E-2</v>
      </c>
      <c r="N150" s="7">
        <f t="shared" si="83"/>
        <v>54.949999999953434</v>
      </c>
      <c r="O150" s="7"/>
      <c r="P150" s="7"/>
      <c r="Q150" s="26"/>
      <c r="R150" s="26"/>
      <c r="S150" s="38">
        <f t="shared" si="87"/>
        <v>1</v>
      </c>
      <c r="T150" s="53" t="str">
        <f t="shared" si="95"/>
        <v>Southbound</v>
      </c>
      <c r="U150" s="13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22:56:20-0600',mode:absolute,to:'2016-08-18 01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0" s="55" t="str">
        <f t="shared" si="89"/>
        <v>N</v>
      </c>
      <c r="X150" s="129">
        <f t="shared" si="84"/>
        <v>1</v>
      </c>
      <c r="Y150" s="70">
        <f t="shared" si="90"/>
        <v>23.2957</v>
      </c>
      <c r="Z150" s="70">
        <f t="shared" si="91"/>
        <v>1.7999999999999999E-2</v>
      </c>
      <c r="AA150" s="70">
        <f t="shared" si="92"/>
        <v>23.277699999999999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96"/>
        <v>0238-17</v>
      </c>
      <c r="AE150" s="104" t="str">
        <f t="shared" si="93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50" s="101" t="str">
        <f t="shared" si="94"/>
        <v>"C:\Program Files (x86)\AstroGrep\AstroGrep.exe" /spath="%USERPROFILE%\AppData\Local\Temp\OnboardLogs" /stypes="*4010*20160818*" /stext=" 06:.+((SYSTEM_STATE.+slice.+state.+changed )|(ment ac)|(system.+state.+changed )|(\|lc)|(penalty)|(\[timeout)|(PRM\|1\|D)|(kpr)|(kdp))" /e /r /s</v>
      </c>
      <c r="AG150" s="1" t="str">
        <f t="shared" si="97"/>
        <v>EC</v>
      </c>
      <c r="AH150" s="105" t="str">
        <f t="shared" si="98"/>
        <v>"%USERPROFILE%\Documents\GitHub\eaglep3\Utilities\RefineRTDCRunTimes.py" --tripid 238-17 --locoid 4010 --swversion DE.1.0.7.0 --startMP 204:232957 --initTime 2016-08-17T23:56:20 --startdatetime 2016-08-17T23:58:29 --delay 2 --endMP 204:180 --enddatetime 2016-08-18T00:53:26 --enforcementcount 0</v>
      </c>
    </row>
    <row r="151" spans="1:34" x14ac:dyDescent="0.25">
      <c r="A151" s="40" t="s">
        <v>528</v>
      </c>
      <c r="B151" s="7">
        <v>4014</v>
      </c>
      <c r="C151" s="25" t="s">
        <v>118</v>
      </c>
      <c r="D151" s="25" t="s">
        <v>132</v>
      </c>
      <c r="E151" s="16">
        <v>42599.97011574074</v>
      </c>
      <c r="F151" s="16">
        <v>42599.970925925925</v>
      </c>
      <c r="G151" s="7">
        <v>1</v>
      </c>
      <c r="H151" s="16" t="s">
        <v>273</v>
      </c>
      <c r="I151" s="16">
        <v>42600.006435185183</v>
      </c>
      <c r="J151" s="7">
        <v>0</v>
      </c>
      <c r="K151" s="142" t="str">
        <f t="shared" si="85"/>
        <v>4013/4014</v>
      </c>
      <c r="L151" s="25" t="str">
        <f>VLOOKUP(A151,'Trips&amp;Operators'!$C$1:$E$10000,3,FALSE)</f>
        <v>ISHMAEL</v>
      </c>
      <c r="M151" s="6">
        <f t="shared" si="86"/>
        <v>3.5509259258105885E-2</v>
      </c>
      <c r="N151" s="7">
        <f t="shared" si="83"/>
        <v>51.133333331672475</v>
      </c>
      <c r="O151" s="7"/>
      <c r="P151" s="7"/>
      <c r="Q151" s="26"/>
      <c r="R151" s="26"/>
      <c r="S151" s="38">
        <f t="shared" si="87"/>
        <v>1</v>
      </c>
      <c r="T151" s="53" t="str">
        <f t="shared" si="95"/>
        <v>NorthBound</v>
      </c>
      <c r="U151" s="13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22:16:58-0600',mode:absolute,to:'2016-08-18 01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1" s="55" t="str">
        <f t="shared" si="89"/>
        <v>N</v>
      </c>
      <c r="X151" s="129">
        <f t="shared" si="84"/>
        <v>1</v>
      </c>
      <c r="Y151" s="70">
        <f t="shared" si="90"/>
        <v>4.5499999999999999E-2</v>
      </c>
      <c r="Z151" s="70">
        <f t="shared" si="91"/>
        <v>23.329799999999999</v>
      </c>
      <c r="AA151" s="70">
        <f t="shared" si="92"/>
        <v>23.284299999999998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96"/>
        <v>0239-17</v>
      </c>
      <c r="AE151" s="104" t="str">
        <f t="shared" si="93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51" s="101" t="str">
        <f t="shared" si="94"/>
        <v>"C:\Program Files (x86)\AstroGrep\AstroGrep.exe" /spath="%USERPROFILE%\AppData\Local\Temp\OnboardLogs" /stypes="*4014*20160818*" /stext=" 06:.+((SYSTEM_STATE.+slice.+state.+changed )|(ment ac)|(system.+state.+changed )|(\|lc)|(penalty)|(\[timeout)|(PRM\|1\|D)|(kpr)|(kdp))" /e /r /s</v>
      </c>
      <c r="AG151" s="1" t="str">
        <f t="shared" si="97"/>
        <v>EC</v>
      </c>
      <c r="AH151" s="105" t="str">
        <f t="shared" si="98"/>
        <v>"%USERPROFILE%\Documents\GitHub\eaglep3\Utilities\RefineRTDCRunTimes.py" --tripid 239-17 --locoid 4014 --swversion DE.1.0.7.0 --startMP 204:455 --initTime 2016-08-17T23:16:58 --startdatetime 2016-08-17T23:18:08 --delay 1 --endMP 204:233298 --enddatetime 2016-08-18T00:09:16 --enforcementcount 0</v>
      </c>
    </row>
    <row r="152" spans="1:34" x14ac:dyDescent="0.25">
      <c r="A152" s="40" t="s">
        <v>529</v>
      </c>
      <c r="B152" s="7">
        <v>4013</v>
      </c>
      <c r="C152" s="25" t="s">
        <v>118</v>
      </c>
      <c r="D152" s="25" t="s">
        <v>174</v>
      </c>
      <c r="E152" s="16">
        <v>42600.007569444446</v>
      </c>
      <c r="F152" s="16">
        <v>42600.008391203701</v>
      </c>
      <c r="G152" s="7">
        <v>1</v>
      </c>
      <c r="H152" s="16" t="s">
        <v>138</v>
      </c>
      <c r="I152" s="16">
        <v>42600.055486111109</v>
      </c>
      <c r="J152" s="7">
        <v>0</v>
      </c>
      <c r="K152" s="142" t="str">
        <f t="shared" si="85"/>
        <v>4013/4014</v>
      </c>
      <c r="L152" s="25" t="str">
        <f>VLOOKUP(A152,'Trips&amp;Operators'!$C$1:$E$10000,3,FALSE)</f>
        <v>ISHMAEL</v>
      </c>
      <c r="M152" s="6">
        <f t="shared" si="86"/>
        <v>4.7094907407881692E-2</v>
      </c>
      <c r="N152" s="7">
        <f t="shared" si="83"/>
        <v>67.816666667349637</v>
      </c>
      <c r="O152" s="7"/>
      <c r="P152" s="7"/>
      <c r="Q152" s="26"/>
      <c r="R152" s="26"/>
      <c r="S152" s="38">
        <f t="shared" si="87"/>
        <v>1</v>
      </c>
      <c r="T152" s="53" t="str">
        <f t="shared" si="95"/>
        <v>Southbound</v>
      </c>
      <c r="U152" s="13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23:10:54-0600',mode:absolute,to:'2016-08-18 02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2" s="55" t="str">
        <f t="shared" si="89"/>
        <v>N</v>
      </c>
      <c r="X152" s="129">
        <f t="shared" si="84"/>
        <v>1</v>
      </c>
      <c r="Y152" s="70">
        <f t="shared" si="90"/>
        <v>23.298100000000002</v>
      </c>
      <c r="Z152" s="70">
        <f t="shared" si="91"/>
        <v>1.5800000000000002E-2</v>
      </c>
      <c r="AA152" s="70">
        <f t="shared" si="92"/>
        <v>23.282300000000003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96"/>
        <v>0240-17</v>
      </c>
      <c r="AE152" s="104" t="str">
        <f t="shared" si="93"/>
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</c>
      <c r="AF152" s="101" t="str">
        <f t="shared" si="94"/>
        <v>"C:\Program Files (x86)\AstroGrep\AstroGrep.exe" /spath="%USERPROFILE%\AppData\Local\Temp\OnboardLogs" /stypes="*4013*20160818*" /stext=" 07:.+((SYSTEM_STATE.+slice.+state.+changed )|(ment ac)|(system.+state.+changed )|(\|lc)|(penalty)|(\[timeout)|(PRM\|1\|D)|(kpr)|(kdp))" /e /r /s</v>
      </c>
      <c r="AG152" s="1" t="str">
        <f t="shared" si="97"/>
        <v>EC</v>
      </c>
      <c r="AH152" s="105" t="str">
        <f t="shared" si="98"/>
        <v>"%USERPROFILE%\Documents\GitHub\eaglep3\Utilities\RefineRTDCRunTimes.py" --tripid 240-17 --locoid 4013 --swversion DE.1.0.7.0 --startMP 204:232981 --initTime 2016-08-18T00:10:54 --startdatetime 2016-08-18T00:12:05 --delay 1 --endMP 204:158 --enddatetime 2016-08-18T01:19:54 --enforcementcount 0</v>
      </c>
    </row>
    <row r="153" spans="1:34" x14ac:dyDescent="0.25">
      <c r="A153" s="40" t="s">
        <v>530</v>
      </c>
      <c r="B153" s="7">
        <v>4016</v>
      </c>
      <c r="C153" s="25" t="s">
        <v>118</v>
      </c>
      <c r="D153" s="25" t="s">
        <v>277</v>
      </c>
      <c r="E153" s="16">
        <v>42599.992847222224</v>
      </c>
      <c r="F153" s="16">
        <v>42599.993900462963</v>
      </c>
      <c r="G153" s="7">
        <v>1</v>
      </c>
      <c r="H153" s="16" t="s">
        <v>268</v>
      </c>
      <c r="I153" s="16">
        <v>42600.027499999997</v>
      </c>
      <c r="J153" s="7">
        <v>0</v>
      </c>
      <c r="K153" s="142" t="str">
        <f t="shared" si="85"/>
        <v>4015/4016</v>
      </c>
      <c r="L153" s="25" t="str">
        <f>VLOOKUP(A153,'Trips&amp;Operators'!$C$1:$E$10000,3,FALSE)</f>
        <v>LEVIN</v>
      </c>
      <c r="M153" s="6">
        <f t="shared" si="86"/>
        <v>3.3599537033296656E-2</v>
      </c>
      <c r="N153" s="7">
        <f t="shared" si="83"/>
        <v>48.383333327947184</v>
      </c>
      <c r="O153" s="7"/>
      <c r="P153" s="7"/>
      <c r="Q153" s="26"/>
      <c r="R153" s="26"/>
      <c r="S153" s="38">
        <f t="shared" si="87"/>
        <v>1</v>
      </c>
      <c r="T153" s="53" t="str">
        <f t="shared" si="95"/>
        <v>NorthBound</v>
      </c>
      <c r="U153" s="13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22:49:42-0600',mode:absolute,to:'2016-08-18 01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53" s="55" t="str">
        <f t="shared" si="89"/>
        <v>N</v>
      </c>
      <c r="X153" s="129">
        <f t="shared" si="84"/>
        <v>1</v>
      </c>
      <c r="Y153" s="70">
        <f t="shared" si="90"/>
        <v>4.7100000000000003E-2</v>
      </c>
      <c r="Z153" s="70">
        <f t="shared" si="91"/>
        <v>23.329899999999999</v>
      </c>
      <c r="AA153" s="70">
        <f t="shared" si="92"/>
        <v>23.282799999999998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96"/>
        <v>0241-17</v>
      </c>
      <c r="AE153" s="104" t="str">
        <f t="shared" si="93"/>
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</c>
      <c r="AF153" s="101" t="str">
        <f t="shared" si="94"/>
        <v>"C:\Program Files (x86)\AstroGrep\AstroGrep.exe" /spath="%USERPROFILE%\AppData\Local\Temp\OnboardLogs" /stypes="*4016*20160818*" /stext=" 06:.+((SYSTEM_STATE.+slice.+state.+changed )|(ment ac)|(system.+state.+changed )|(\|lc)|(penalty)|(\[timeout)|(PRM\|1\|D)|(kpr)|(kdp))" /e /r /s</v>
      </c>
      <c r="AG153" s="1" t="str">
        <f t="shared" si="97"/>
        <v>EC</v>
      </c>
      <c r="AH153" s="105" t="str">
        <f t="shared" si="98"/>
        <v>"%USERPROFILE%\Documents\GitHub\eaglep3\Utilities\RefineRTDCRunTimes.py" --tripid 241-17 --locoid 4016 --swversion DE.1.0.7.0 --startMP 204:471 --initTime 2016-08-17T23:49:42 --startdatetime 2016-08-17T23:51:13 --delay 1 --endMP 204:233299 --enddatetime 2016-08-18T00:39:36 --enforcementcount 0</v>
      </c>
    </row>
    <row r="154" spans="1:34" x14ac:dyDescent="0.25">
      <c r="A154" s="40" t="s">
        <v>531</v>
      </c>
      <c r="B154" s="7">
        <v>4015</v>
      </c>
      <c r="C154" s="25" t="s">
        <v>118</v>
      </c>
      <c r="D154" s="25" t="s">
        <v>477</v>
      </c>
      <c r="E154" s="16">
        <v>42600.031377314815</v>
      </c>
      <c r="F154" s="16">
        <v>42600.032395833332</v>
      </c>
      <c r="G154" s="7">
        <v>1</v>
      </c>
      <c r="H154" s="16" t="s">
        <v>532</v>
      </c>
      <c r="I154" s="16">
        <v>42600.07613425926</v>
      </c>
      <c r="J154" s="7">
        <v>0</v>
      </c>
      <c r="K154" s="142" t="str">
        <f t="shared" si="85"/>
        <v>4015/4016</v>
      </c>
      <c r="L154" s="25" t="str">
        <f>VLOOKUP(A154,'Trips&amp;Operators'!$C$1:$E$10000,3,FALSE)</f>
        <v>LEVIN</v>
      </c>
      <c r="M154" s="6">
        <f t="shared" si="86"/>
        <v>4.3738425927585922E-2</v>
      </c>
      <c r="N154" s="7">
        <f t="shared" ref="N154:N177" si="99">24*60*SUM($M154:$M154)</f>
        <v>62.983333335723728</v>
      </c>
      <c r="O154" s="7"/>
      <c r="P154" s="7"/>
      <c r="Q154" s="26"/>
      <c r="R154" s="26"/>
      <c r="S154" s="38">
        <f t="shared" si="87"/>
        <v>1</v>
      </c>
      <c r="T154" s="53" t="str">
        <f t="shared" si="95"/>
        <v>Southbound</v>
      </c>
      <c r="U154" s="13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23:45:11-0600',mode:absolute,to:'2016-08-18 02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54" s="55" t="str">
        <f t="shared" si="89"/>
        <v>N</v>
      </c>
      <c r="X154" s="129">
        <f t="shared" si="84"/>
        <v>1</v>
      </c>
      <c r="Y154" s="70">
        <f t="shared" si="90"/>
        <v>23.2986</v>
      </c>
      <c r="Z154" s="70">
        <f t="shared" si="91"/>
        <v>1.5699999999999999E-2</v>
      </c>
      <c r="AA154" s="70">
        <f t="shared" si="92"/>
        <v>23.282900000000001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96"/>
        <v>0242-17</v>
      </c>
      <c r="AE154" s="104" t="str">
        <f t="shared" si="93"/>
        <v>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 &amp; aws s3 cp s3://rtdc.mdm.uploadarchive/RTDC4015/2016-08-19/ "%USERPROFILE%\AppData\Local\Temp\OnboardLogs"\RTDC4015\2016-08-19 --recursive &amp; "%USERPROFILE%\Documents\GitHub\mrs-test-scripts\Headless Mode &amp; Sideloading\WalkAndUnGZ.bat" "%USERPROFILE%\AppData\Local\Temp\OnboardLogs"\RTDC4015\2016-08-19</v>
      </c>
      <c r="AF154" s="101" t="str">
        <f t="shared" si="94"/>
        <v>"C:\Program Files (x86)\AstroGrep\AstroGrep.exe" /spath="%USERPROFILE%\AppData\Local\Temp\OnboardLogs" /stypes="*4015*20160818*" /stext=" 07:.+((SYSTEM_STATE.+slice.+state.+changed )|(ment ac)|(system.+state.+changed )|(\|lc)|(penalty)|(\[timeout)|(PRM\|1\|D)|(kpr)|(kdp))" /e /r /s</v>
      </c>
      <c r="AG154" s="1" t="str">
        <f t="shared" si="97"/>
        <v>EC</v>
      </c>
      <c r="AH154" s="105" t="str">
        <f t="shared" si="98"/>
        <v>"%USERPROFILE%\Documents\GitHub\eaglep3\Utilities\RefineRTDCRunTimes.py" --tripid 242-17 --locoid 4015 --swversion DE.1.0.7.0 --startMP 204:232986 --initTime 2016-08-18T00:45:11 --startdatetime 2016-08-18T00:46:39 --delay 1 --endMP 204:157 --enddatetime 2016-08-18T01:49:38 --enforcementcount 0</v>
      </c>
    </row>
    <row r="155" spans="1:34" x14ac:dyDescent="0.25">
      <c r="A155" s="40" t="s">
        <v>533</v>
      </c>
      <c r="B155" s="7">
        <v>4031</v>
      </c>
      <c r="C155" s="25" t="s">
        <v>118</v>
      </c>
      <c r="D155" s="25" t="s">
        <v>143</v>
      </c>
      <c r="E155" s="16">
        <v>42600.013726851852</v>
      </c>
      <c r="F155" s="16">
        <v>42600.015069444446</v>
      </c>
      <c r="G155" s="7">
        <v>1</v>
      </c>
      <c r="H155" s="16" t="s">
        <v>164</v>
      </c>
      <c r="I155" s="16">
        <v>42600.048125000001</v>
      </c>
      <c r="J155" s="7">
        <v>0</v>
      </c>
      <c r="K155" s="142" t="str">
        <f t="shared" si="85"/>
        <v>4031/4032</v>
      </c>
      <c r="L155" s="25" t="str">
        <f>VLOOKUP(A155,'Trips&amp;Operators'!$C$1:$E$10000,3,FALSE)</f>
        <v>DE LA ROSA</v>
      </c>
      <c r="M155" s="6">
        <f t="shared" si="86"/>
        <v>3.3055555555620231E-2</v>
      </c>
      <c r="N155" s="7">
        <f t="shared" si="99"/>
        <v>47.600000000093132</v>
      </c>
      <c r="O155" s="7"/>
      <c r="P155" s="7"/>
      <c r="Q155" s="26"/>
      <c r="R155" s="26"/>
      <c r="S155" s="38">
        <f t="shared" si="87"/>
        <v>1</v>
      </c>
      <c r="T155" s="53" t="str">
        <f t="shared" si="95"/>
        <v>NorthBound</v>
      </c>
      <c r="U155" s="13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23:19:46-0600',mode:absolute,to:'2016-08-18 02:09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5" s="55" t="str">
        <f t="shared" si="89"/>
        <v>N</v>
      </c>
      <c r="X155" s="129">
        <f t="shared" si="84"/>
        <v>1</v>
      </c>
      <c r="Y155" s="70">
        <f t="shared" si="90"/>
        <v>4.4900000000000002E-2</v>
      </c>
      <c r="Z155" s="70">
        <f t="shared" si="91"/>
        <v>23.33</v>
      </c>
      <c r="AA155" s="70">
        <f t="shared" si="92"/>
        <v>23.2851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96"/>
        <v>0243-17</v>
      </c>
      <c r="AE155" s="104" t="str">
        <f t="shared" si="93"/>
        <v>aws s3 cp s3://rtdc.mdm.uploadarchive/RTDC4031/2016-08-18/ "%USERPROFILE%\AppData\Local\Temp\OnboardLogs"\RTDC4031\2016-08-18 --recursive &amp; "%USERPROFILE%\Documents\GitHub\mrs-test-scripts\Headless Mode &amp; Sideloading\WalkAndUnGZ.bat" "%USERPROFILE%\AppData\Local\Temp\OnboardLogs"\RTDC4031\2016-08-18 &amp; 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</v>
      </c>
      <c r="AF155" s="101" t="str">
        <f t="shared" si="94"/>
        <v>"C:\Program Files (x86)\AstroGrep\AstroGrep.exe" /spath="%USERPROFILE%\AppData\Local\Temp\OnboardLogs" /stypes="*4031*20160818*" /stext=" 07:.+((SYSTEM_STATE.+slice.+state.+changed )|(ment ac)|(system.+state.+changed )|(\|lc)|(penalty)|(\[timeout)|(PRM\|1\|D)|(kpr)|(kdp))" /e /r /s</v>
      </c>
      <c r="AG155" s="1" t="str">
        <f t="shared" si="97"/>
        <v>EC</v>
      </c>
      <c r="AH155" s="105" t="str">
        <f t="shared" si="98"/>
        <v>"%USERPROFILE%\Documents\GitHub\eaglep3\Utilities\RefineRTDCRunTimes.py" --tripid 243-17 --locoid 4031 --swversion DE.1.0.7.0 --startMP 204:449 --initTime 2016-08-18T00:19:46 --startdatetime 2016-08-18T00:21:42 --delay 1 --endMP 204:233300 --enddatetime 2016-08-18T01:09:18 --enforcementcount 0</v>
      </c>
    </row>
    <row r="156" spans="1:34" x14ac:dyDescent="0.25">
      <c r="A156" s="40" t="s">
        <v>534</v>
      </c>
      <c r="B156" s="7">
        <v>4032</v>
      </c>
      <c r="C156" s="25" t="s">
        <v>118</v>
      </c>
      <c r="D156" s="25" t="s">
        <v>174</v>
      </c>
      <c r="E156" s="16">
        <v>42600.056840277779</v>
      </c>
      <c r="F156" s="16">
        <v>42600.057800925926</v>
      </c>
      <c r="G156" s="7">
        <v>1</v>
      </c>
      <c r="H156" s="16" t="s">
        <v>535</v>
      </c>
      <c r="I156" s="16">
        <v>42600.090312499997</v>
      </c>
      <c r="J156" s="7">
        <v>0</v>
      </c>
      <c r="K156" s="142" t="str">
        <f t="shared" si="85"/>
        <v>4031/4032</v>
      </c>
      <c r="L156" s="25" t="str">
        <f>VLOOKUP(A156,'Trips&amp;Operators'!$C$1:$E$10000,3,FALSE)</f>
        <v>DE LA ROSA</v>
      </c>
      <c r="M156" s="6">
        <f t="shared" si="86"/>
        <v>3.2511574070667848E-2</v>
      </c>
      <c r="N156" s="7">
        <f t="shared" si="99"/>
        <v>46.816666661761701</v>
      </c>
      <c r="O156" s="7"/>
      <c r="P156" s="7"/>
      <c r="Q156" s="26"/>
      <c r="R156" s="26"/>
      <c r="S156" s="38">
        <f t="shared" si="87"/>
        <v>1</v>
      </c>
      <c r="T156" s="53" t="str">
        <f t="shared" si="95"/>
        <v>Southbound</v>
      </c>
      <c r="U156" s="13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https://search-rtdc-monitor-bjffxe2xuh6vdkpspy63sjmuny.us-east-1.es.amazonaws.com/_plugin/kibana/#/discover/Steve-Slow-Train-Analysis-(2080s-and-2083s)?_g=(refreshInterval:(display:Off,section:0,value:0),time:(from:'2016-08-18 00:21:51-0600',mode:absolute,to:'2016-08-18 03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6" s="55" t="str">
        <f t="shared" si="89"/>
        <v>N</v>
      </c>
      <c r="X156" s="129">
        <f t="shared" si="84"/>
        <v>1</v>
      </c>
      <c r="Y156" s="70">
        <f t="shared" si="90"/>
        <v>23.298100000000002</v>
      </c>
      <c r="Z156" s="70">
        <f t="shared" si="91"/>
        <v>1.17E-2</v>
      </c>
      <c r="AA156" s="70">
        <f t="shared" si="92"/>
        <v>23.2864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96"/>
        <v>0244-17</v>
      </c>
      <c r="AE156" s="104" t="str">
        <f t="shared" si="93"/>
        <v>aws s3 cp s3://rtdc.mdm.uploadarchive/RTDC4032/2016-08-18/ "%USERPROFILE%\AppData\Local\Temp\OnboardLogs"\RTDC4032\2016-08-18 --recursive &amp; "%USERPROFILE%\Documents\GitHub\mrs-test-scripts\Headless Mode &amp; Sideloading\WalkAndUnGZ.bat" "%USERPROFILE%\AppData\Local\Temp\OnboardLogs"\RTDC4032\2016-08-18 &amp; 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</v>
      </c>
      <c r="AF156" s="101" t="str">
        <f t="shared" si="94"/>
        <v>"C:\Program Files (x86)\AstroGrep\AstroGrep.exe" /spath="%USERPROFILE%\AppData\Local\Temp\OnboardLogs" /stypes="*4032*20160818*" /stext=" 08:.+((SYSTEM_STATE.+slice.+state.+changed )|(ment ac)|(system.+state.+changed )|(\|lc)|(penalty)|(\[timeout)|(PRM\|1\|D)|(kpr)|(kdp))" /e /r /s</v>
      </c>
      <c r="AG156" s="1" t="str">
        <f t="shared" si="97"/>
        <v>EC</v>
      </c>
      <c r="AH156" s="105" t="str">
        <f t="shared" si="98"/>
        <v>"%USERPROFILE%\Documents\GitHub\eaglep3\Utilities\RefineRTDCRunTimes.py" --tripid 244-17 --locoid 4032 --swversion DE.1.0.7.0 --startMP 204:232981 --initTime 2016-08-18T01:21:51 --startdatetime 2016-08-18T01:23:14 --delay 1 --endMP 204:117 --enddatetime 2016-08-18T02:10:03 --enforcementcount 0</v>
      </c>
    </row>
    <row r="157" spans="1:34" x14ac:dyDescent="0.25">
      <c r="A157" s="40" t="s">
        <v>562</v>
      </c>
      <c r="B157" s="7">
        <v>4041</v>
      </c>
      <c r="C157" s="25" t="s">
        <v>118</v>
      </c>
      <c r="D157" s="25" t="s">
        <v>292</v>
      </c>
      <c r="E157" s="16">
        <v>42599.214259259257</v>
      </c>
      <c r="F157" s="16">
        <v>42599.215266203704</v>
      </c>
      <c r="G157" s="7">
        <v>1</v>
      </c>
      <c r="H157" s="16" t="s">
        <v>563</v>
      </c>
      <c r="I157" s="16">
        <v>42599.226006944446</v>
      </c>
      <c r="J157" s="7">
        <v>0</v>
      </c>
      <c r="K157" s="142" t="str">
        <f t="shared" si="85"/>
        <v>4041/4042</v>
      </c>
      <c r="L157" s="25" t="str">
        <f>VLOOKUP(A157,'Trips&amp;Operators'!$C$1:$E$10000,3,FALSE)</f>
        <v>STARKS</v>
      </c>
      <c r="M157" s="6">
        <f t="shared" si="86"/>
        <v>1.0740740741312038E-2</v>
      </c>
      <c r="N157" s="7">
        <f t="shared" si="99"/>
        <v>15.466666667489335</v>
      </c>
      <c r="O157" s="7"/>
      <c r="P157" s="7"/>
      <c r="Q157" s="26"/>
      <c r="R157" s="26"/>
      <c r="S157" s="38">
        <f t="shared" si="87"/>
        <v>1</v>
      </c>
      <c r="T157" s="53" t="str">
        <f t="shared" si="95"/>
        <v>Southbound</v>
      </c>
      <c r="U157" s="13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04:08:32-0600',mode:absolute,to:'2016-08-17 06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7" s="55" t="str">
        <f t="shared" si="89"/>
        <v>N</v>
      </c>
      <c r="X157" s="129">
        <f t="shared" si="84"/>
        <v>556</v>
      </c>
      <c r="Y157" s="70">
        <f t="shared" si="90"/>
        <v>5.8630000000000004</v>
      </c>
      <c r="Z157" s="70">
        <f t="shared" si="91"/>
        <v>6.9599999999999995E-2</v>
      </c>
      <c r="AA157" s="70">
        <f t="shared" si="92"/>
        <v>5.7934000000000001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96"/>
        <v>0800-17</v>
      </c>
      <c r="AE157" s="104" t="str">
        <f t="shared" si="93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57" s="101" t="str">
        <f t="shared" si="94"/>
        <v>"C:\Program Files (x86)\AstroGrep\AstroGrep.exe" /spath="%USERPROFILE%\AppData\Local\Temp\OnboardLogs" /stypes="*4041*20160817*" /stext=" 11:.+((SYSTEM_STATE.+slice.+state.+changed )|(ment ac)|(system.+state.+changed )|(\|lc)|(penalty)|(\[timeout)|(PRM\|1\|D)|(kpr)|(kdp))" /e /r /s</v>
      </c>
      <c r="AG157" s="1" t="str">
        <f t="shared" si="97"/>
        <v>NW</v>
      </c>
      <c r="AH157" s="105" t="str">
        <f t="shared" si="98"/>
        <v>"%USERPROFILE%\Documents\GitHub\eaglep3\Utilities\RefineRTDCRunTimes.py" --tripid 800-17 --locoid 4041 --swversion DE.1.0.7.0 --startMP 300:58630 --initTime 2016-08-17T05:08:32 --startdatetime 2016-08-17T05:09:59 --delay 1 --endMP 204:696 --enddatetime 2016-08-17T05:25:27 --enforcementcount 0</v>
      </c>
    </row>
    <row r="158" spans="1:34" x14ac:dyDescent="0.25">
      <c r="A158" s="40" t="s">
        <v>564</v>
      </c>
      <c r="B158" s="7">
        <v>4042</v>
      </c>
      <c r="C158" s="25" t="s">
        <v>118</v>
      </c>
      <c r="D158" s="25" t="s">
        <v>565</v>
      </c>
      <c r="E158" s="16">
        <v>42599.240682870368</v>
      </c>
      <c r="F158" s="16">
        <v>42599.241828703707</v>
      </c>
      <c r="G158" s="7">
        <v>1</v>
      </c>
      <c r="H158" s="16" t="s">
        <v>566</v>
      </c>
      <c r="I158" s="16">
        <v>42599.253888888888</v>
      </c>
      <c r="J158" s="7">
        <v>0</v>
      </c>
      <c r="K158" s="142" t="str">
        <f t="shared" si="85"/>
        <v>4041/4042</v>
      </c>
      <c r="L158" s="25" t="str">
        <f>VLOOKUP(A158,'Trips&amp;Operators'!$C$1:$E$10000,3,FALSE)</f>
        <v>STARKS</v>
      </c>
      <c r="M158" s="6">
        <f t="shared" si="86"/>
        <v>1.2060185181326233E-2</v>
      </c>
      <c r="N158" s="7">
        <f t="shared" si="99"/>
        <v>17.366666661109775</v>
      </c>
      <c r="O158" s="7"/>
      <c r="P158" s="7"/>
      <c r="Q158" s="26"/>
      <c r="R158" s="26"/>
      <c r="S158" s="38">
        <f t="shared" si="87"/>
        <v>1</v>
      </c>
      <c r="T158" s="53" t="str">
        <f t="shared" si="95"/>
        <v>NorthBound</v>
      </c>
      <c r="U158" s="13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04:46:35-0600',mode:absolute,to:'2016-08-17 07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8" s="55" t="str">
        <f t="shared" si="89"/>
        <v>N</v>
      </c>
      <c r="X158" s="129">
        <f t="shared" si="84"/>
        <v>1</v>
      </c>
      <c r="Y158" s="70">
        <f t="shared" si="90"/>
        <v>9.8100000000000007E-2</v>
      </c>
      <c r="Z158" s="70">
        <f t="shared" si="91"/>
        <v>5.8920000000000003</v>
      </c>
      <c r="AA158" s="70">
        <f t="shared" si="92"/>
        <v>5.7939000000000007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96"/>
        <v>0801-17</v>
      </c>
      <c r="AE158" s="104" t="str">
        <f t="shared" si="93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58" s="101" t="str">
        <f t="shared" si="94"/>
        <v>"C:\Program Files (x86)\AstroGrep\AstroGrep.exe" /spath="%USERPROFILE%\AppData\Local\Temp\OnboardLogs" /stypes="*4042*20160817*" /stext=" 12:.+((SYSTEM_STATE.+slice.+state.+changed )|(ment ac)|(system.+state.+changed )|(\|lc)|(penalty)|(\[timeout)|(PRM\|1\|D)|(kpr)|(kdp))" /e /r /s</v>
      </c>
      <c r="AG158" s="1" t="str">
        <f t="shared" si="97"/>
        <v>NW</v>
      </c>
      <c r="AH158" s="105" t="str">
        <f t="shared" si="98"/>
        <v>"%USERPROFILE%\Documents\GitHub\eaglep3\Utilities\RefineRTDCRunTimes.py" --tripid 801-17 --locoid 4042 --swversion DE.1.0.7.0 --startMP 204:981 --initTime 2016-08-17T05:46:35 --startdatetime 2016-08-17T05:48:14 --delay 1 --endMP 300:58920 --enddatetime 2016-08-17T06:05:36 --enforcementcount 0</v>
      </c>
    </row>
    <row r="159" spans="1:34" x14ac:dyDescent="0.25">
      <c r="A159" s="40" t="s">
        <v>567</v>
      </c>
      <c r="B159" s="7">
        <v>4041</v>
      </c>
      <c r="C159" s="25" t="s">
        <v>118</v>
      </c>
      <c r="D159" s="25" t="s">
        <v>291</v>
      </c>
      <c r="E159" s="16">
        <v>42599.254999999997</v>
      </c>
      <c r="F159" s="16">
        <v>42599.25571759259</v>
      </c>
      <c r="G159" s="7">
        <v>1</v>
      </c>
      <c r="H159" s="16" t="s">
        <v>568</v>
      </c>
      <c r="I159" s="16">
        <v>42599.268171296295</v>
      </c>
      <c r="J159" s="7">
        <v>0</v>
      </c>
      <c r="K159" s="142" t="str">
        <f t="shared" si="85"/>
        <v>4041/4042</v>
      </c>
      <c r="L159" s="25" t="str">
        <f>VLOOKUP(A159,'Trips&amp;Operators'!$C$1:$E$10000,3,FALSE)</f>
        <v>STARKS</v>
      </c>
      <c r="M159" s="6">
        <f t="shared" si="86"/>
        <v>1.2453703704522923E-2</v>
      </c>
      <c r="N159" s="7">
        <f t="shared" si="99"/>
        <v>17.933333334513009</v>
      </c>
      <c r="O159" s="7"/>
      <c r="P159" s="7"/>
      <c r="Q159" s="26"/>
      <c r="R159" s="26"/>
      <c r="S159" s="38">
        <f t="shared" si="87"/>
        <v>1</v>
      </c>
      <c r="T159" s="53" t="str">
        <f t="shared" si="95"/>
        <v>Southbound</v>
      </c>
      <c r="U159" s="13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05:07:12-0600',mode:absolute,to:'2016-08-17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9" s="55" t="str">
        <f t="shared" si="89"/>
        <v>N</v>
      </c>
      <c r="X159" s="129">
        <f t="shared" ref="X159:X190" si="100">VALUE(LEFT(AD159,4))-VALUE(LEFT(AD158,4))</f>
        <v>1</v>
      </c>
      <c r="Y159" s="70">
        <f t="shared" si="90"/>
        <v>5.8619000000000003</v>
      </c>
      <c r="Z159" s="70">
        <f t="shared" si="91"/>
        <v>7.2599999999999998E-2</v>
      </c>
      <c r="AA159" s="70">
        <f t="shared" si="92"/>
        <v>5.7893000000000008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96"/>
        <v>0802-17</v>
      </c>
      <c r="AE159" s="104" t="str">
        <f t="shared" si="93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59" s="101" t="str">
        <f t="shared" si="94"/>
        <v>"C:\Program Files (x86)\AstroGrep\AstroGrep.exe" /spath="%USERPROFILE%\AppData\Local\Temp\OnboardLogs" /stypes="*4041*20160817*" /stext=" 12:.+((SYSTEM_STATE.+slice.+state.+changed )|(ment ac)|(system.+state.+changed )|(\|lc)|(penalty)|(\[timeout)|(PRM\|1\|D)|(kpr)|(kdp))" /e /r /s</v>
      </c>
      <c r="AG159" s="1" t="str">
        <f t="shared" si="97"/>
        <v>NW</v>
      </c>
      <c r="AH159" s="105" t="str">
        <f t="shared" si="98"/>
        <v>"%USERPROFILE%\Documents\GitHub\eaglep3\Utilities\RefineRTDCRunTimes.py" --tripid 802-17 --locoid 4041 --swversion DE.1.0.7.0 --startMP 300:58619 --initTime 2016-08-17T06:07:12 --startdatetime 2016-08-17T06:08:14 --delay 1 --endMP 204:726 --enddatetime 2016-08-17T06:26:10 --enforcementcount 0</v>
      </c>
    </row>
    <row r="160" spans="1:34" x14ac:dyDescent="0.25">
      <c r="A160" s="40" t="s">
        <v>569</v>
      </c>
      <c r="B160" s="7">
        <v>4007</v>
      </c>
      <c r="C160" s="25" t="s">
        <v>118</v>
      </c>
      <c r="D160" s="25" t="s">
        <v>295</v>
      </c>
      <c r="E160" s="16">
        <v>42599.25267361111</v>
      </c>
      <c r="F160" s="16">
        <v>42599.254328703704</v>
      </c>
      <c r="G160" s="7">
        <v>2</v>
      </c>
      <c r="H160" s="16" t="s">
        <v>570</v>
      </c>
      <c r="I160" s="16">
        <v>42599.274236111109</v>
      </c>
      <c r="J160" s="7">
        <v>0</v>
      </c>
      <c r="K160" s="142" t="str">
        <f t="shared" si="85"/>
        <v>4007/4008</v>
      </c>
      <c r="L160" s="25" t="str">
        <f>VLOOKUP(A160,'Trips&amp;Operators'!$C$1:$E$10000,3,FALSE)</f>
        <v>SWANSON</v>
      </c>
      <c r="M160" s="6">
        <f t="shared" si="86"/>
        <v>1.9907407404389232E-2</v>
      </c>
      <c r="N160" s="7">
        <f t="shared" si="99"/>
        <v>28.666666662320495</v>
      </c>
      <c r="O160" s="7"/>
      <c r="P160" s="7"/>
      <c r="Q160" s="26"/>
      <c r="R160" s="26"/>
      <c r="S160" s="38">
        <f t="shared" si="87"/>
        <v>1</v>
      </c>
      <c r="T160" s="53" t="str">
        <f t="shared" si="95"/>
        <v>NorthBound</v>
      </c>
      <c r="U160" s="13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05:03:51-0600',mode:absolute,to:'2016-08-17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0" s="55" t="str">
        <f t="shared" si="89"/>
        <v>N</v>
      </c>
      <c r="X160" s="129">
        <f t="shared" si="100"/>
        <v>1</v>
      </c>
      <c r="Y160" s="70">
        <f t="shared" si="90"/>
        <v>9.7100000000000006E-2</v>
      </c>
      <c r="Z160" s="70">
        <f t="shared" si="91"/>
        <v>5.8954000000000004</v>
      </c>
      <c r="AA160" s="70">
        <f t="shared" si="92"/>
        <v>5.7983000000000002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96"/>
        <v>0803-17</v>
      </c>
      <c r="AE160" s="104" t="str">
        <f t="shared" si="93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60" s="101" t="str">
        <f t="shared" si="94"/>
        <v>"C:\Program Files (x86)\AstroGrep\AstroGrep.exe" /spath="%USERPROFILE%\AppData\Local\Temp\OnboardLogs" /stypes="*4007*20160817*" /stext=" 12:.+((SYSTEM_STATE.+slice.+state.+changed )|(ment ac)|(system.+state.+changed )|(\|lc)|(penalty)|(\[timeout)|(PRM\|1\|D)|(kpr)|(kdp))" /e /r /s</v>
      </c>
      <c r="AG160" s="1" t="str">
        <f t="shared" si="97"/>
        <v>NW</v>
      </c>
      <c r="AH160" s="105" t="str">
        <f t="shared" si="98"/>
        <v>"%USERPROFILE%\Documents\GitHub\eaglep3\Utilities\RefineRTDCRunTimes.py" --tripid 803-17 --locoid 4007 --swversion DE.1.0.7.0 --startMP 204:971 --initTime 2016-08-17T06:03:51 --startdatetime 2016-08-17T06:06:14 --delay 2 --endMP 300:58954 --enddatetime 2016-08-17T06:34:54 --enforcementcount 0</v>
      </c>
    </row>
    <row r="161" spans="1:34" x14ac:dyDescent="0.25">
      <c r="A161" s="40" t="s">
        <v>571</v>
      </c>
      <c r="B161" s="7">
        <v>4008</v>
      </c>
      <c r="C161" s="25" t="s">
        <v>118</v>
      </c>
      <c r="D161" s="25" t="s">
        <v>572</v>
      </c>
      <c r="E161" s="16">
        <v>42599.275590277779</v>
      </c>
      <c r="F161" s="16">
        <v>42599.27684027778</v>
      </c>
      <c r="G161" s="7">
        <v>1</v>
      </c>
      <c r="H161" s="16" t="s">
        <v>573</v>
      </c>
      <c r="I161" s="16">
        <v>42599.288703703707</v>
      </c>
      <c r="J161" s="7">
        <v>0</v>
      </c>
      <c r="K161" s="142" t="str">
        <f t="shared" ref="K161:K192" si="101">IF(ISEVEN(B161),(B161-1)&amp;"/"&amp;B161,B161&amp;"/"&amp;(B161+1))</f>
        <v>4007/4008</v>
      </c>
      <c r="L161" s="25" t="str">
        <f>VLOOKUP(A161,'Trips&amp;Operators'!$C$1:$E$10000,3,FALSE)</f>
        <v>SWANSON</v>
      </c>
      <c r="M161" s="6">
        <f t="shared" ref="M161:M192" si="102">I161-F161</f>
        <v>1.1863425927003846E-2</v>
      </c>
      <c r="N161" s="7">
        <f t="shared" si="99"/>
        <v>17.083333334885538</v>
      </c>
      <c r="O161" s="7"/>
      <c r="P161" s="7"/>
      <c r="Q161" s="26"/>
      <c r="R161" s="26"/>
      <c r="S161" s="38">
        <f t="shared" ref="S161:S192" si="103">SUM(U161:U161)/IF(AG161="EC",12,1)</f>
        <v>1</v>
      </c>
      <c r="T161" s="53" t="str">
        <f t="shared" si="95"/>
        <v>Southbound</v>
      </c>
      <c r="U161" s="13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1" t="str">
        <f t="shared" ref="V161:V192" si="104"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https://search-rtdc-monitor-bjffxe2xuh6vdkpspy63sjmuny.us-east-1.es.amazonaws.com/_plugin/kibana/#/discover/Steve-Slow-Train-Analysis-(2080s-and-2083s)?_g=(refreshInterval:(display:Off,section:0,value:0),time:(from:'2016-08-17 05:36:51-0600',mode:absolute,to:'2016-08-17 07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1" s="55" t="str">
        <f t="shared" ref="W161:W192" si="105">IF(AA161&lt;IF(AG161="EC",23,5.65),"Y","N")</f>
        <v>N</v>
      </c>
      <c r="X161" s="129">
        <f t="shared" si="100"/>
        <v>1</v>
      </c>
      <c r="Y161" s="70">
        <f t="shared" ref="Y161:Y192" si="106">RIGHT(D161,LEN(D161)-4)/10000</f>
        <v>5.8635999999999999</v>
      </c>
      <c r="Z161" s="70">
        <f t="shared" ref="Z161:Z192" si="107">RIGHT(H161,LEN(H161)-4)/10000</f>
        <v>7.1999999999999995E-2</v>
      </c>
      <c r="AA161" s="70">
        <f t="shared" ref="AA161:AA192" si="108">ABS(Z161-Y161)</f>
        <v>5.7915999999999999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96"/>
        <v>0804-17</v>
      </c>
      <c r="AE161" s="104" t="str">
        <f t="shared" ref="AE161:AE192" si="109"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61" s="101" t="str">
        <f t="shared" ref="AF161:AF192" si="110">astrogrep_path&amp;" /spath="&amp;search_path&amp;" /stypes=""*"&amp;B161&amp;"*"&amp;TEXT(I161-utc_offset/24,"YYYYMMDD")&amp;"*"" /stext="" "&amp;TEXT(I161-utc_offset/24,"HH")&amp;search_regexp&amp;""" /e /r /s"</f>
        <v>"C:\Program Files (x86)\AstroGrep\AstroGrep.exe" /spath="%USERPROFILE%\AppData\Local\Temp\OnboardLogs" /stypes="*4008*20160817*" /stext=" 12:.+((SYSTEM_STATE.+slice.+state.+changed )|(ment ac)|(system.+state.+changed )|(\|lc)|(penalty)|(\[timeout)|(PRM\|1\|D)|(kpr)|(kdp))" /e /r /s</v>
      </c>
      <c r="AG161" s="1" t="str">
        <f t="shared" si="97"/>
        <v>NW</v>
      </c>
      <c r="AH161" s="105" t="str">
        <f t="shared" si="98"/>
        <v>"%USERPROFILE%\Documents\GitHub\eaglep3\Utilities\RefineRTDCRunTimes.py" --tripid 804-17 --locoid 4008 --swversion DE.1.0.7.0 --startMP 300:58636 --initTime 2016-08-17T06:36:51 --startdatetime 2016-08-17T06:38:39 --delay 1 --endMP 204:720 --enddatetime 2016-08-17T06:55:44 --enforcementcount 0</v>
      </c>
    </row>
    <row r="162" spans="1:34" x14ac:dyDescent="0.25">
      <c r="A162" s="40" t="s">
        <v>574</v>
      </c>
      <c r="B162" s="7">
        <v>4042</v>
      </c>
      <c r="C162" s="25" t="s">
        <v>118</v>
      </c>
      <c r="D162" s="25" t="s">
        <v>575</v>
      </c>
      <c r="E162" s="16">
        <v>42599.282152777778</v>
      </c>
      <c r="F162" s="16">
        <v>42599.282986111109</v>
      </c>
      <c r="G162" s="7">
        <v>1</v>
      </c>
      <c r="H162" s="16" t="s">
        <v>576</v>
      </c>
      <c r="I162" s="16">
        <v>42599.294942129629</v>
      </c>
      <c r="J162" s="7">
        <v>0</v>
      </c>
      <c r="K162" s="142" t="str">
        <f t="shared" si="101"/>
        <v>4041/4042</v>
      </c>
      <c r="L162" s="25" t="str">
        <f>VLOOKUP(A162,'Trips&amp;Operators'!$C$1:$E$10000,3,FALSE)</f>
        <v>STARKS</v>
      </c>
      <c r="M162" s="6">
        <f t="shared" si="102"/>
        <v>1.1956018519413192E-2</v>
      </c>
      <c r="N162" s="7">
        <f t="shared" si="99"/>
        <v>17.216666667954996</v>
      </c>
      <c r="O162" s="7"/>
      <c r="P162" s="7"/>
      <c r="Q162" s="26"/>
      <c r="R162" s="26"/>
      <c r="S162" s="38">
        <f t="shared" si="103"/>
        <v>1</v>
      </c>
      <c r="T162" s="53" t="str">
        <f t="shared" si="95"/>
        <v>NorthBound</v>
      </c>
      <c r="U162" s="13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05:46:18-0600',mode:absolute,to:'2016-08-17 08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2" s="55" t="str">
        <f t="shared" si="105"/>
        <v>N</v>
      </c>
      <c r="X162" s="129">
        <f t="shared" si="100"/>
        <v>1</v>
      </c>
      <c r="Y162" s="70">
        <f t="shared" si="106"/>
        <v>0.1018</v>
      </c>
      <c r="Z162" s="70">
        <f t="shared" si="107"/>
        <v>5.8940999999999999</v>
      </c>
      <c r="AA162" s="70">
        <f t="shared" si="108"/>
        <v>5.7923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si="96"/>
        <v>0805-17</v>
      </c>
      <c r="AE162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62" s="101" t="str">
        <f t="shared" si="110"/>
        <v>"C:\Program Files (x86)\AstroGrep\AstroGrep.exe" /spath="%USERPROFILE%\AppData\Local\Temp\OnboardLogs" /stypes="*4042*20160817*" /stext=" 13:.+((SYSTEM_STATE.+slice.+state.+changed )|(ment ac)|(system.+state.+changed )|(\|lc)|(penalty)|(\[timeout)|(PRM\|1\|D)|(kpr)|(kdp))" /e /r /s</v>
      </c>
      <c r="AG162" s="1" t="str">
        <f t="shared" si="97"/>
        <v>NW</v>
      </c>
      <c r="AH162" s="105" t="str">
        <f t="shared" si="98"/>
        <v>"%USERPROFILE%\Documents\GitHub\eaglep3\Utilities\RefineRTDCRunTimes.py" --tripid 805-17 --locoid 4042 --swversion DE.1.0.7.0 --startMP 204:1018 --initTime 2016-08-17T06:46:18 --startdatetime 2016-08-17T06:47:30 --delay 1 --endMP 300:58941 --enddatetime 2016-08-17T07:04:43 --enforcementcount 0</v>
      </c>
    </row>
    <row r="163" spans="1:34" s="24" customFormat="1" x14ac:dyDescent="0.25">
      <c r="A163" s="40" t="s">
        <v>577</v>
      </c>
      <c r="B163" s="7">
        <v>4041</v>
      </c>
      <c r="C163" s="25" t="s">
        <v>118</v>
      </c>
      <c r="D163" s="25" t="s">
        <v>578</v>
      </c>
      <c r="E163" s="16">
        <v>42599.295914351853</v>
      </c>
      <c r="F163" s="16">
        <v>42599.296712962961</v>
      </c>
      <c r="G163" s="7">
        <v>1</v>
      </c>
      <c r="H163" s="16" t="s">
        <v>579</v>
      </c>
      <c r="I163" s="16">
        <v>42599.309004629627</v>
      </c>
      <c r="J163" s="7">
        <v>0</v>
      </c>
      <c r="K163" s="142" t="str">
        <f t="shared" si="101"/>
        <v>4041/4042</v>
      </c>
      <c r="L163" s="25" t="str">
        <f>VLOOKUP(A163,'Trips&amp;Operators'!$C$1:$E$10000,3,FALSE)</f>
        <v>STARKS</v>
      </c>
      <c r="M163" s="6">
        <f t="shared" si="102"/>
        <v>1.2291666665987577E-2</v>
      </c>
      <c r="N163" s="7">
        <f t="shared" si="99"/>
        <v>17.699999999022111</v>
      </c>
      <c r="O163" s="7"/>
      <c r="P163" s="7"/>
      <c r="Q163" s="26"/>
      <c r="R163" s="26"/>
      <c r="S163" s="38">
        <f t="shared" si="103"/>
        <v>1</v>
      </c>
      <c r="T163" s="53" t="str">
        <f t="shared" si="95"/>
        <v>Southbound</v>
      </c>
      <c r="U163" s="13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06:06:07-0600',mode:absolute,to:'2016-08-17 08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3" s="55" t="str">
        <f t="shared" si="105"/>
        <v>N</v>
      </c>
      <c r="X163" s="129">
        <f t="shared" si="100"/>
        <v>1</v>
      </c>
      <c r="Y163" s="70">
        <f t="shared" si="106"/>
        <v>5.8632</v>
      </c>
      <c r="Z163" s="70">
        <f t="shared" si="107"/>
        <v>7.6799999999999993E-2</v>
      </c>
      <c r="AA163" s="70">
        <f t="shared" si="108"/>
        <v>5.7863999999999995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96"/>
        <v>0806-17</v>
      </c>
      <c r="AE163" s="104" t="str">
        <f t="shared" si="109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63" s="101" t="str">
        <f t="shared" si="110"/>
        <v>"C:\Program Files (x86)\AstroGrep\AstroGrep.exe" /spath="%USERPROFILE%\AppData\Local\Temp\OnboardLogs" /stypes="*4041*20160817*" /stext=" 13:.+((SYSTEM_STATE.+slice.+state.+changed )|(ment ac)|(system.+state.+changed )|(\|lc)|(penalty)|(\[timeout)|(PRM\|1\|D)|(kpr)|(kdp))" /e /r /s</v>
      </c>
      <c r="AG163" s="1" t="str">
        <f t="shared" si="97"/>
        <v>NW</v>
      </c>
      <c r="AH163" s="105" t="str">
        <f t="shared" si="98"/>
        <v>"%USERPROFILE%\Documents\GitHub\eaglep3\Utilities\RefineRTDCRunTimes.py" --tripid 806-17 --locoid 4041 --swversion DE.1.0.7.0 --startMP 300:58632 --initTime 2016-08-17T07:06:07 --startdatetime 2016-08-17T07:07:16 --delay 1 --endMP 204:768 --enddatetime 2016-08-17T07:24:58 --enforcementcount 0</v>
      </c>
    </row>
    <row r="164" spans="1:34" x14ac:dyDescent="0.25">
      <c r="A164" s="40" t="s">
        <v>580</v>
      </c>
      <c r="B164" s="7">
        <v>4007</v>
      </c>
      <c r="C164" s="25" t="s">
        <v>118</v>
      </c>
      <c r="D164" s="25" t="s">
        <v>581</v>
      </c>
      <c r="E164" s="16">
        <v>42599.304537037038</v>
      </c>
      <c r="F164" s="16">
        <v>42599.305451388886</v>
      </c>
      <c r="G164" s="7">
        <v>1</v>
      </c>
      <c r="H164" s="16" t="s">
        <v>576</v>
      </c>
      <c r="I164" s="16">
        <v>42599.316250000003</v>
      </c>
      <c r="J164" s="7">
        <v>0</v>
      </c>
      <c r="K164" s="142" t="str">
        <f t="shared" si="101"/>
        <v>4007/4008</v>
      </c>
      <c r="L164" s="25" t="str">
        <f>VLOOKUP(A164,'Trips&amp;Operators'!$C$1:$E$10000,3,FALSE)</f>
        <v>SWANSON</v>
      </c>
      <c r="M164" s="6">
        <f t="shared" si="102"/>
        <v>1.0798611117934342E-2</v>
      </c>
      <c r="N164" s="7">
        <f t="shared" si="99"/>
        <v>15.550000009825453</v>
      </c>
      <c r="O164" s="7"/>
      <c r="P164" s="7"/>
      <c r="Q164" s="26"/>
      <c r="R164" s="26"/>
      <c r="S164" s="38">
        <f t="shared" si="103"/>
        <v>1</v>
      </c>
      <c r="T164" s="53" t="str">
        <f t="shared" si="95"/>
        <v>NorthBound</v>
      </c>
      <c r="U164" s="13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06:18:32-0600',mode:absolute,to:'2016-08-17 08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4" s="55" t="str">
        <f t="shared" si="105"/>
        <v>N</v>
      </c>
      <c r="X164" s="129">
        <f t="shared" si="100"/>
        <v>1</v>
      </c>
      <c r="Y164" s="70">
        <f t="shared" si="106"/>
        <v>9.8500000000000004E-2</v>
      </c>
      <c r="Z164" s="70">
        <f t="shared" si="107"/>
        <v>5.8940999999999999</v>
      </c>
      <c r="AA164" s="70">
        <f t="shared" si="108"/>
        <v>5.7956000000000003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96"/>
        <v>0807-17</v>
      </c>
      <c r="AE164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64" s="101" t="str">
        <f t="shared" si="110"/>
        <v>"C:\Program Files (x86)\AstroGrep\AstroGrep.exe" /spath="%USERPROFILE%\AppData\Local\Temp\OnboardLogs" /stypes="*4007*20160817*" /stext=" 13:.+((SYSTEM_STATE.+slice.+state.+changed )|(ment ac)|(system.+state.+changed )|(\|lc)|(penalty)|(\[timeout)|(PRM\|1\|D)|(kpr)|(kdp))" /e /r /s</v>
      </c>
      <c r="AG164" s="1" t="str">
        <f t="shared" si="97"/>
        <v>NW</v>
      </c>
      <c r="AH164" s="105" t="str">
        <f t="shared" si="98"/>
        <v>"%USERPROFILE%\Documents\GitHub\eaglep3\Utilities\RefineRTDCRunTimes.py" --tripid 807-17 --locoid 4007 --swversion DE.1.0.7.0 --startMP 204:985 --initTime 2016-08-17T07:18:32 --startdatetime 2016-08-17T07:19:51 --delay 1 --endMP 300:58941 --enddatetime 2016-08-17T07:35:24 --enforcementcount 0</v>
      </c>
    </row>
    <row r="165" spans="1:34" s="24" customFormat="1" x14ac:dyDescent="0.25">
      <c r="A165" s="40" t="s">
        <v>582</v>
      </c>
      <c r="B165" s="7">
        <v>4008</v>
      </c>
      <c r="C165" s="25" t="s">
        <v>118</v>
      </c>
      <c r="D165" s="25" t="s">
        <v>294</v>
      </c>
      <c r="E165" s="16">
        <v>42599.31726851852</v>
      </c>
      <c r="F165" s="16">
        <v>42599.318020833336</v>
      </c>
      <c r="G165" s="7">
        <v>1</v>
      </c>
      <c r="H165" s="16" t="s">
        <v>296</v>
      </c>
      <c r="I165" s="16">
        <v>42599.33053240741</v>
      </c>
      <c r="J165" s="7">
        <v>0</v>
      </c>
      <c r="K165" s="142" t="str">
        <f t="shared" si="101"/>
        <v>4007/4008</v>
      </c>
      <c r="L165" s="25" t="str">
        <f>VLOOKUP(A165,'Trips&amp;Operators'!$C$1:$E$10000,3,FALSE)</f>
        <v>SWANSON</v>
      </c>
      <c r="M165" s="6">
        <f t="shared" si="102"/>
        <v>1.2511574073869269E-2</v>
      </c>
      <c r="N165" s="7">
        <f t="shared" si="99"/>
        <v>18.016666666371748</v>
      </c>
      <c r="O165" s="7"/>
      <c r="P165" s="7"/>
      <c r="Q165" s="26"/>
      <c r="R165" s="26"/>
      <c r="S165" s="38">
        <f t="shared" si="103"/>
        <v>1</v>
      </c>
      <c r="T165" s="53" t="str">
        <f t="shared" si="95"/>
        <v>Southbound</v>
      </c>
      <c r="U165" s="13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06:36:52-0600',mode:absolute,to:'2016-08-17 08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5" s="55" t="str">
        <f t="shared" si="105"/>
        <v>N</v>
      </c>
      <c r="X165" s="129">
        <f t="shared" si="100"/>
        <v>1</v>
      </c>
      <c r="Y165" s="70">
        <f t="shared" si="106"/>
        <v>5.8616999999999999</v>
      </c>
      <c r="Z165" s="70">
        <f t="shared" si="107"/>
        <v>6.7799999999999999E-2</v>
      </c>
      <c r="AA165" s="70">
        <f t="shared" si="108"/>
        <v>5.7938999999999998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96"/>
        <v>0808-17</v>
      </c>
      <c r="AE165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65" s="101" t="str">
        <f t="shared" si="110"/>
        <v>"C:\Program Files (x86)\AstroGrep\AstroGrep.exe" /spath="%USERPROFILE%\AppData\Local\Temp\OnboardLogs" /stypes="*4008*20160817*" /stext=" 13:.+((SYSTEM_STATE.+slice.+state.+changed )|(ment ac)|(system.+state.+changed )|(\|lc)|(penalty)|(\[timeout)|(PRM\|1\|D)|(kpr)|(kdp))" /e /r /s</v>
      </c>
      <c r="AG165" s="1" t="str">
        <f t="shared" si="97"/>
        <v>NW</v>
      </c>
      <c r="AH165" s="105" t="str">
        <f t="shared" si="98"/>
        <v>"%USERPROFILE%\Documents\GitHub\eaglep3\Utilities\RefineRTDCRunTimes.py" --tripid 808-17 --locoid 4008 --swversion DE.1.0.7.0 --startMP 300:58617 --initTime 2016-08-17T07:36:52 --startdatetime 2016-08-17T07:37:57 --delay 1 --endMP 204:678 --enddatetime 2016-08-17T07:55:58 --enforcementcount 0</v>
      </c>
    </row>
    <row r="166" spans="1:34" x14ac:dyDescent="0.25">
      <c r="A166" s="40" t="s">
        <v>583</v>
      </c>
      <c r="B166" s="7">
        <v>4042</v>
      </c>
      <c r="C166" s="25" t="s">
        <v>118</v>
      </c>
      <c r="D166" s="25" t="s">
        <v>584</v>
      </c>
      <c r="E166" s="16">
        <v>42599.324305555558</v>
      </c>
      <c r="F166" s="16">
        <v>42599.325416666667</v>
      </c>
      <c r="G166" s="7">
        <v>1</v>
      </c>
      <c r="H166" s="16" t="s">
        <v>585</v>
      </c>
      <c r="I166" s="16">
        <v>42599.33388888889</v>
      </c>
      <c r="J166" s="7">
        <v>0</v>
      </c>
      <c r="K166" s="142" t="str">
        <f t="shared" si="101"/>
        <v>4041/4042</v>
      </c>
      <c r="L166" s="25" t="str">
        <f>VLOOKUP(A166,'Trips&amp;Operators'!$C$1:$E$10000,3,FALSE)</f>
        <v>STARKS</v>
      </c>
      <c r="M166" s="6">
        <f t="shared" si="102"/>
        <v>8.4722222236450762E-3</v>
      </c>
      <c r="N166" s="7">
        <f t="shared" si="99"/>
        <v>12.20000000204891</v>
      </c>
      <c r="O166" s="7"/>
      <c r="P166" s="7"/>
      <c r="Q166" s="26"/>
      <c r="R166" s="26" t="s">
        <v>704</v>
      </c>
      <c r="S166" s="38">
        <f t="shared" si="103"/>
        <v>1</v>
      </c>
      <c r="T166" s="53" t="str">
        <f t="shared" ref="T166:T197" si="111">IF(ISEVEN(LEFT(AD166,4)),"Southbound","NorthBound")</f>
        <v>NorthBound</v>
      </c>
      <c r="U166" s="13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06:47:00-0600',mode:absolute,to:'2016-08-17 09:00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6" s="55" t="str">
        <f t="shared" si="105"/>
        <v>Y</v>
      </c>
      <c r="X166" s="129">
        <f t="shared" si="100"/>
        <v>1</v>
      </c>
      <c r="Y166" s="70">
        <f t="shared" si="106"/>
        <v>0.1055</v>
      </c>
      <c r="Z166" s="70">
        <f t="shared" si="107"/>
        <v>2.1816</v>
      </c>
      <c r="AA166" s="70">
        <f t="shared" si="108"/>
        <v>2.0760999999999998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ref="AD166:AD197" si="112">IF(LEN(A166)=6,"0"&amp;A166,A166)</f>
        <v>0809-17</v>
      </c>
      <c r="AE166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66" s="101" t="str">
        <f t="shared" si="110"/>
        <v>"C:\Program Files (x86)\AstroGrep\AstroGrep.exe" /spath="%USERPROFILE%\AppData\Local\Temp\OnboardLogs" /stypes="*4042*20160817*" /stext=" 14:.+((SYSTEM_STATE.+slice.+state.+changed )|(ment ac)|(system.+state.+changed )|(\|lc)|(penalty)|(\[timeout)|(PRM\|1\|D)|(kpr)|(kdp))" /e /r /s</v>
      </c>
      <c r="AG166" s="1" t="str">
        <f t="shared" ref="AG166:AG197" si="113">IFERROR(IF(VALUE(LEFT(AD166,2))&lt;=2,"EC",IF(OR(VALUE(LEFT(AD166,2))=8,VALUE(LEFT(AD166,2))=18),"NW","Other")),"Other")</f>
        <v>NW</v>
      </c>
      <c r="AH166" s="105" t="str">
        <f t="shared" si="98"/>
        <v>"%USERPROFILE%\Documents\GitHub\eaglep3\Utilities\RefineRTDCRunTimes.py" --tripid 809-17 --locoid 4042 --swversion DE.1.0.7.0 --startMP 204:1055 --initTime 2016-08-17T07:47:00 --startdatetime 2016-08-17T07:48:36 --delay 1 --endMP 300:21816 --enddatetime 2016-08-17T08:00:48 --enforcementcount 0</v>
      </c>
    </row>
    <row r="167" spans="1:34" s="24" customFormat="1" x14ac:dyDescent="0.25">
      <c r="A167" s="40" t="s">
        <v>586</v>
      </c>
      <c r="B167" s="7">
        <v>4041</v>
      </c>
      <c r="C167" s="25" t="s">
        <v>118</v>
      </c>
      <c r="D167" s="25" t="s">
        <v>291</v>
      </c>
      <c r="E167" s="16">
        <v>42599.343078703707</v>
      </c>
      <c r="F167" s="16">
        <v>42599.343900462962</v>
      </c>
      <c r="G167" s="7">
        <v>1</v>
      </c>
      <c r="H167" s="16" t="s">
        <v>587</v>
      </c>
      <c r="I167" s="16">
        <v>42599.354108796295</v>
      </c>
      <c r="J167" s="7">
        <v>0</v>
      </c>
      <c r="K167" s="142" t="str">
        <f t="shared" si="101"/>
        <v>4041/4042</v>
      </c>
      <c r="L167" s="25" t="str">
        <f>VLOOKUP(A167,'Trips&amp;Operators'!$C$1:$E$10000,3,FALSE)</f>
        <v>STARKS</v>
      </c>
      <c r="M167" s="6">
        <f t="shared" si="102"/>
        <v>1.0208333333139308E-2</v>
      </c>
      <c r="N167" s="7">
        <f t="shared" si="99"/>
        <v>14.699999999720603</v>
      </c>
      <c r="O167" s="7"/>
      <c r="P167" s="7"/>
      <c r="Q167" s="26"/>
      <c r="R167" s="26"/>
      <c r="S167" s="38">
        <f t="shared" si="103"/>
        <v>1</v>
      </c>
      <c r="T167" s="53" t="str">
        <f t="shared" si="111"/>
        <v>Southbound</v>
      </c>
      <c r="U167" s="13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07:14:02-0600',mode:absolute,to:'2016-08-17 09:29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7" s="55" t="str">
        <f t="shared" si="105"/>
        <v>N</v>
      </c>
      <c r="X167" s="129">
        <f t="shared" si="100"/>
        <v>1</v>
      </c>
      <c r="Y167" s="70">
        <f t="shared" si="106"/>
        <v>5.8619000000000003</v>
      </c>
      <c r="Z167" s="70">
        <f t="shared" si="107"/>
        <v>7.7100000000000002E-2</v>
      </c>
      <c r="AA167" s="70">
        <f t="shared" si="108"/>
        <v>5.7848000000000006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112"/>
        <v>0810-17</v>
      </c>
      <c r="AE167" s="104" t="str">
        <f t="shared" si="109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67" s="101" t="str">
        <f t="shared" si="110"/>
        <v>"C:\Program Files (x86)\AstroGrep\AstroGrep.exe" /spath="%USERPROFILE%\AppData\Local\Temp\OnboardLogs" /stypes="*4041*20160817*" /stext=" 14:.+((SYSTEM_STATE.+slice.+state.+changed )|(ment ac)|(system.+state.+changed )|(\|lc)|(penalty)|(\[timeout)|(PRM\|1\|D)|(kpr)|(kdp))" /e /r /s</v>
      </c>
      <c r="AG167" s="1" t="str">
        <f t="shared" si="113"/>
        <v>NW</v>
      </c>
      <c r="AH167" s="105" t="str">
        <f t="shared" si="98"/>
        <v>"%USERPROFILE%\Documents\GitHub\eaglep3\Utilities\RefineRTDCRunTimes.py" --tripid 810-17 --locoid 4041 --swversion DE.1.0.7.0 --startMP 300:58619 --initTime 2016-08-17T08:14:02 --startdatetime 2016-08-17T08:15:13 --delay 1 --endMP 204:771 --enddatetime 2016-08-17T08:29:55 --enforcementcount 0</v>
      </c>
    </row>
    <row r="168" spans="1:34" s="24" customFormat="1" x14ac:dyDescent="0.25">
      <c r="A168" s="40" t="s">
        <v>588</v>
      </c>
      <c r="B168" s="7">
        <v>4007</v>
      </c>
      <c r="C168" s="25" t="s">
        <v>118</v>
      </c>
      <c r="D168" s="25" t="s">
        <v>589</v>
      </c>
      <c r="E168" s="16">
        <v>42599.345451388886</v>
      </c>
      <c r="F168" s="16">
        <v>42599.346504629626</v>
      </c>
      <c r="G168" s="7">
        <v>1</v>
      </c>
      <c r="H168" s="16" t="s">
        <v>243</v>
      </c>
      <c r="I168" s="16">
        <v>42599.359710648147</v>
      </c>
      <c r="J168" s="7">
        <v>0</v>
      </c>
      <c r="K168" s="142" t="str">
        <f t="shared" si="101"/>
        <v>4007/4008</v>
      </c>
      <c r="L168" s="25" t="str">
        <f>VLOOKUP(A168,'Trips&amp;Operators'!$C$1:$E$10000,3,FALSE)</f>
        <v>SWANSON</v>
      </c>
      <c r="M168" s="6">
        <f t="shared" si="102"/>
        <v>1.3206018520577345E-2</v>
      </c>
      <c r="N168" s="7">
        <f t="shared" si="99"/>
        <v>19.016666669631377</v>
      </c>
      <c r="O168" s="7"/>
      <c r="P168" s="7"/>
      <c r="Q168" s="26"/>
      <c r="R168" s="26"/>
      <c r="S168" s="38">
        <f t="shared" si="103"/>
        <v>1</v>
      </c>
      <c r="T168" s="53" t="str">
        <f t="shared" si="111"/>
        <v>NorthBound</v>
      </c>
      <c r="U168" s="13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07:17:27-0600',mode:absolute,to:'2016-08-17 09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8" s="55" t="str">
        <f t="shared" si="105"/>
        <v>N</v>
      </c>
      <c r="X168" s="129">
        <f t="shared" si="100"/>
        <v>1</v>
      </c>
      <c r="Y168" s="70">
        <f t="shared" si="106"/>
        <v>9.6000000000000002E-2</v>
      </c>
      <c r="Z168" s="70">
        <f t="shared" si="107"/>
        <v>5.8925999999999998</v>
      </c>
      <c r="AA168" s="70">
        <f t="shared" si="108"/>
        <v>5.7965999999999998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112"/>
        <v>0811-17</v>
      </c>
      <c r="AE168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68" s="101" t="str">
        <f t="shared" si="110"/>
        <v>"C:\Program Files (x86)\AstroGrep\AstroGrep.exe" /spath="%USERPROFILE%\AppData\Local\Temp\OnboardLogs" /stypes="*4007*20160817*" /stext=" 14:.+((SYSTEM_STATE.+slice.+state.+changed )|(ment ac)|(system.+state.+changed )|(\|lc)|(penalty)|(\[timeout)|(PRM\|1\|D)|(kpr)|(kdp))" /e /r /s</v>
      </c>
      <c r="AG168" s="1" t="str">
        <f t="shared" si="113"/>
        <v>NW</v>
      </c>
      <c r="AH168" s="105" t="str">
        <f t="shared" si="98"/>
        <v>"%USERPROFILE%\Documents\GitHub\eaglep3\Utilities\RefineRTDCRunTimes.py" --tripid 811-17 --locoid 4007 --swversion DE.1.0.7.0 --startMP 204:960 --initTime 2016-08-17T08:17:27 --startdatetime 2016-08-17T08:18:58 --delay 1 --endMP 300:58926 --enddatetime 2016-08-17T08:37:59 --enforcementcount 0</v>
      </c>
    </row>
    <row r="169" spans="1:34" x14ac:dyDescent="0.25">
      <c r="A169" s="40" t="s">
        <v>590</v>
      </c>
      <c r="B169" s="7">
        <v>4008</v>
      </c>
      <c r="C169" s="25" t="s">
        <v>118</v>
      </c>
      <c r="D169" s="25" t="s">
        <v>591</v>
      </c>
      <c r="E169" s="16">
        <v>42599.360879629632</v>
      </c>
      <c r="F169" s="16">
        <v>42599.361747685187</v>
      </c>
      <c r="G169" s="7">
        <v>1</v>
      </c>
      <c r="H169" s="16" t="s">
        <v>592</v>
      </c>
      <c r="I169" s="16">
        <v>42599.372256944444</v>
      </c>
      <c r="J169" s="7">
        <v>0</v>
      </c>
      <c r="K169" s="142" t="str">
        <f t="shared" si="101"/>
        <v>4007/4008</v>
      </c>
      <c r="L169" s="25" t="str">
        <f>VLOOKUP(A169,'Trips&amp;Operators'!$C$1:$E$10000,3,FALSE)</f>
        <v>SWANSON</v>
      </c>
      <c r="M169" s="6">
        <f t="shared" si="102"/>
        <v>1.0509259256650694E-2</v>
      </c>
      <c r="N169" s="7">
        <f t="shared" si="99"/>
        <v>15.133333329576999</v>
      </c>
      <c r="O169" s="7"/>
      <c r="P169" s="7"/>
      <c r="Q169" s="26"/>
      <c r="R169" s="26"/>
      <c r="S169" s="38">
        <f t="shared" si="103"/>
        <v>1</v>
      </c>
      <c r="T169" s="53" t="str">
        <f t="shared" si="111"/>
        <v>Southbound</v>
      </c>
      <c r="U169" s="13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07:39:40-0600',mode:absolute,to:'2016-08-17 09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9" s="55" t="str">
        <f t="shared" si="105"/>
        <v>N</v>
      </c>
      <c r="X169" s="129">
        <f t="shared" si="100"/>
        <v>1</v>
      </c>
      <c r="Y169" s="70">
        <f t="shared" si="106"/>
        <v>5.8611000000000004</v>
      </c>
      <c r="Z169" s="70">
        <f t="shared" si="107"/>
        <v>6.5699999999999995E-2</v>
      </c>
      <c r="AA169" s="70">
        <f t="shared" si="108"/>
        <v>5.7954000000000008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112"/>
        <v>0812-17</v>
      </c>
      <c r="AE169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69" s="101" t="str">
        <f t="shared" si="110"/>
        <v>"C:\Program Files (x86)\AstroGrep\AstroGrep.exe" /spath="%USERPROFILE%\AppData\Local\Temp\OnboardLogs" /stypes="*4008*20160817*" /stext=" 14:.+((SYSTEM_STATE.+slice.+state.+changed )|(ment ac)|(system.+state.+changed )|(\|lc)|(penalty)|(\[timeout)|(PRM\|1\|D)|(kpr)|(kdp))" /e /r /s</v>
      </c>
      <c r="AG169" s="1" t="str">
        <f t="shared" si="113"/>
        <v>NW</v>
      </c>
      <c r="AH169" s="105" t="str">
        <f t="shared" si="98"/>
        <v>"%USERPROFILE%\Documents\GitHub\eaglep3\Utilities\RefineRTDCRunTimes.py" --tripid 812-17 --locoid 4008 --swversion DE.1.0.7.0 --startMP 300:58611 --initTime 2016-08-17T08:39:40 --startdatetime 2016-08-17T08:40:55 --delay 1 --endMP 204:657 --enddatetime 2016-08-17T08:56:03 --enforcementcount 0</v>
      </c>
    </row>
    <row r="170" spans="1:34" x14ac:dyDescent="0.25">
      <c r="A170" s="40" t="s">
        <v>593</v>
      </c>
      <c r="B170" s="7">
        <v>4007</v>
      </c>
      <c r="C170" s="25" t="s">
        <v>118</v>
      </c>
      <c r="D170" s="25" t="s">
        <v>594</v>
      </c>
      <c r="E170" s="16">
        <v>42599.387974537036</v>
      </c>
      <c r="F170" s="16">
        <v>42599.388761574075</v>
      </c>
      <c r="G170" s="7">
        <v>1</v>
      </c>
      <c r="H170" s="16" t="s">
        <v>595</v>
      </c>
      <c r="I170" s="16">
        <v>42599.399976851855</v>
      </c>
      <c r="J170" s="7">
        <v>0</v>
      </c>
      <c r="K170" s="142" t="str">
        <f t="shared" si="101"/>
        <v>4007/4008</v>
      </c>
      <c r="L170" s="25" t="str">
        <f>VLOOKUP(A170,'Trips&amp;Operators'!$C$1:$E$10000,3,FALSE)</f>
        <v>SWANSON</v>
      </c>
      <c r="M170" s="6">
        <f t="shared" si="102"/>
        <v>1.1215277780138422E-2</v>
      </c>
      <c r="N170" s="7">
        <f t="shared" si="99"/>
        <v>16.150000003399327</v>
      </c>
      <c r="O170" s="7"/>
      <c r="P170" s="7"/>
      <c r="Q170" s="26"/>
      <c r="R170" s="26"/>
      <c r="S170" s="38">
        <f t="shared" si="103"/>
        <v>1</v>
      </c>
      <c r="T170" s="53" t="str">
        <f t="shared" si="111"/>
        <v>NorthBound</v>
      </c>
      <c r="U170" s="13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08:18:41-0600',mode:absolute,to:'2016-08-17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0" s="55" t="str">
        <f t="shared" si="105"/>
        <v>N</v>
      </c>
      <c r="X170" s="129">
        <f t="shared" si="100"/>
        <v>1</v>
      </c>
      <c r="Y170" s="70">
        <f t="shared" si="106"/>
        <v>9.5000000000000001E-2</v>
      </c>
      <c r="Z170" s="70">
        <f t="shared" si="107"/>
        <v>5.8930999999999996</v>
      </c>
      <c r="AA170" s="70">
        <f t="shared" si="108"/>
        <v>5.7980999999999998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112"/>
        <v>0813-17</v>
      </c>
      <c r="AE170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0" s="101" t="str">
        <f t="shared" si="110"/>
        <v>"C:\Program Files (x86)\AstroGrep\AstroGrep.exe" /spath="%USERPROFILE%\AppData\Local\Temp\OnboardLogs" /stypes="*4007*20160817*" /stext=" 15:.+((SYSTEM_STATE.+slice.+state.+changed )|(ment ac)|(system.+state.+changed )|(\|lc)|(penalty)|(\[timeout)|(PRM\|1\|D)|(kpr)|(kdp))" /e /r /s</v>
      </c>
      <c r="AG170" s="1" t="str">
        <f t="shared" si="113"/>
        <v>NW</v>
      </c>
      <c r="AH170" s="105" t="str">
        <f t="shared" si="98"/>
        <v>"%USERPROFILE%\Documents\GitHub\eaglep3\Utilities\RefineRTDCRunTimes.py" --tripid 813-17 --locoid 4007 --swversion DE.1.0.7.0 --startMP 204:950 --initTime 2016-08-17T09:18:41 --startdatetime 2016-08-17T09:19:49 --delay 1 --endMP 300:58931 --enddatetime 2016-08-17T09:35:58 --enforcementcount 0</v>
      </c>
    </row>
    <row r="171" spans="1:34" s="24" customFormat="1" x14ac:dyDescent="0.25">
      <c r="A171" s="40" t="s">
        <v>596</v>
      </c>
      <c r="B171" s="7">
        <v>4008</v>
      </c>
      <c r="C171" s="25" t="s">
        <v>118</v>
      </c>
      <c r="D171" s="25" t="s">
        <v>294</v>
      </c>
      <c r="E171" s="16">
        <v>42599.40111111111</v>
      </c>
      <c r="F171" s="16">
        <v>42599.401898148149</v>
      </c>
      <c r="G171" s="7">
        <v>1</v>
      </c>
      <c r="H171" s="16" t="s">
        <v>597</v>
      </c>
      <c r="I171" s="16">
        <v>42599.413599537038</v>
      </c>
      <c r="J171" s="7">
        <v>0</v>
      </c>
      <c r="K171" s="142" t="str">
        <f t="shared" si="101"/>
        <v>4007/4008</v>
      </c>
      <c r="L171" s="25" t="str">
        <f>VLOOKUP(A171,'Trips&amp;Operators'!$C$1:$E$10000,3,FALSE)</f>
        <v>SWANSON</v>
      </c>
      <c r="M171" s="6">
        <f t="shared" si="102"/>
        <v>1.17013888884685E-2</v>
      </c>
      <c r="N171" s="7">
        <f t="shared" si="99"/>
        <v>16.84999999939464</v>
      </c>
      <c r="O171" s="7"/>
      <c r="P171" s="7"/>
      <c r="Q171" s="26"/>
      <c r="R171" s="26"/>
      <c r="S171" s="38">
        <f t="shared" si="103"/>
        <v>1</v>
      </c>
      <c r="T171" s="53" t="str">
        <f t="shared" si="111"/>
        <v>Southbound</v>
      </c>
      <c r="U171" s="13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08:37:36-0600',mode:absolute,to:'2016-08-17 10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1" s="55" t="str">
        <f t="shared" si="105"/>
        <v>N</v>
      </c>
      <c r="X171" s="129">
        <f t="shared" si="100"/>
        <v>1</v>
      </c>
      <c r="Y171" s="70">
        <f t="shared" si="106"/>
        <v>5.8616999999999999</v>
      </c>
      <c r="Z171" s="70">
        <f t="shared" si="107"/>
        <v>6.6100000000000006E-2</v>
      </c>
      <c r="AA171" s="70">
        <f t="shared" si="108"/>
        <v>5.7956000000000003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112"/>
        <v>0814-17</v>
      </c>
      <c r="AE171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1" s="101" t="str">
        <f t="shared" si="110"/>
        <v>"C:\Program Files (x86)\AstroGrep\AstroGrep.exe" /spath="%USERPROFILE%\AppData\Local\Temp\OnboardLogs" /stypes="*4008*20160817*" /stext=" 15:.+((SYSTEM_STATE.+slice.+state.+changed )|(ment ac)|(system.+state.+changed )|(\|lc)|(penalty)|(\[timeout)|(PRM\|1\|D)|(kpr)|(kdp))" /e /r /s</v>
      </c>
      <c r="AG171" s="1" t="str">
        <f t="shared" si="113"/>
        <v>NW</v>
      </c>
      <c r="AH171" s="105" t="str">
        <f t="shared" si="98"/>
        <v>"%USERPROFILE%\Documents\GitHub\eaglep3\Utilities\RefineRTDCRunTimes.py" --tripid 814-17 --locoid 4008 --swversion DE.1.0.7.0 --startMP 300:58617 --initTime 2016-08-17T09:37:36 --startdatetime 2016-08-17T09:38:44 --delay 1 --endMP 204:661 --enddatetime 2016-08-17T09:55:35 --enforcementcount 0</v>
      </c>
    </row>
    <row r="172" spans="1:34" x14ac:dyDescent="0.25">
      <c r="A172" s="40" t="s">
        <v>598</v>
      </c>
      <c r="B172" s="7">
        <v>4007</v>
      </c>
      <c r="C172" s="25" t="s">
        <v>118</v>
      </c>
      <c r="D172" s="25" t="s">
        <v>599</v>
      </c>
      <c r="E172" s="16">
        <v>42599.429108796299</v>
      </c>
      <c r="F172" s="16">
        <v>42599.4299537037</v>
      </c>
      <c r="G172" s="7">
        <v>1</v>
      </c>
      <c r="H172" s="16" t="s">
        <v>566</v>
      </c>
      <c r="I172" s="16">
        <v>42599.441053240742</v>
      </c>
      <c r="J172" s="7">
        <v>0</v>
      </c>
      <c r="K172" s="142" t="str">
        <f t="shared" si="101"/>
        <v>4007/4008</v>
      </c>
      <c r="L172" s="25" t="str">
        <f>VLOOKUP(A172,'Trips&amp;Operators'!$C$1:$E$10000,3,FALSE)</f>
        <v>SWANSON</v>
      </c>
      <c r="M172" s="6">
        <f t="shared" si="102"/>
        <v>1.1099537041445728E-2</v>
      </c>
      <c r="N172" s="7">
        <f t="shared" si="99"/>
        <v>15.983333339681849</v>
      </c>
      <c r="O172" s="7"/>
      <c r="P172" s="7"/>
      <c r="Q172" s="26"/>
      <c r="R172" s="26"/>
      <c r="S172" s="38">
        <f t="shared" si="103"/>
        <v>1</v>
      </c>
      <c r="T172" s="53" t="str">
        <f t="shared" si="111"/>
        <v>NorthBound</v>
      </c>
      <c r="U172" s="13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09:17:55-0600',mode:absolute,to:'2016-08-17 11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2" s="55" t="str">
        <f t="shared" si="105"/>
        <v>N</v>
      </c>
      <c r="X172" s="129">
        <f t="shared" si="100"/>
        <v>1</v>
      </c>
      <c r="Y172" s="70">
        <f t="shared" si="106"/>
        <v>9.2999999999999999E-2</v>
      </c>
      <c r="Z172" s="70">
        <f t="shared" si="107"/>
        <v>5.8920000000000003</v>
      </c>
      <c r="AA172" s="70">
        <f t="shared" si="108"/>
        <v>5.7990000000000004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112"/>
        <v>0815-17</v>
      </c>
      <c r="AE172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2" s="101" t="str">
        <f t="shared" si="110"/>
        <v>"C:\Program Files (x86)\AstroGrep\AstroGrep.exe" /spath="%USERPROFILE%\AppData\Local\Temp\OnboardLogs" /stypes="*4007*20160817*" /stext=" 16:.+((SYSTEM_STATE.+slice.+state.+changed )|(ment ac)|(system.+state.+changed )|(\|lc)|(penalty)|(\[timeout)|(PRM\|1\|D)|(kpr)|(kdp))" /e /r /s</v>
      </c>
      <c r="AG172" s="1" t="str">
        <f t="shared" si="113"/>
        <v>NW</v>
      </c>
      <c r="AH172" s="105" t="str">
        <f t="shared" si="98"/>
        <v>"%USERPROFILE%\Documents\GitHub\eaglep3\Utilities\RefineRTDCRunTimes.py" --tripid 815-17 --locoid 4007 --swversion DE.1.0.7.0 --startMP 204:930 --initTime 2016-08-17T10:17:55 --startdatetime 2016-08-17T10:19:08 --delay 1 --endMP 300:58920 --enddatetime 2016-08-17T10:35:07 --enforcementcount 0</v>
      </c>
    </row>
    <row r="173" spans="1:34" x14ac:dyDescent="0.25">
      <c r="A173" s="40" t="s">
        <v>600</v>
      </c>
      <c r="B173" s="7">
        <v>4008</v>
      </c>
      <c r="C173" s="25" t="s">
        <v>118</v>
      </c>
      <c r="D173" s="25" t="s">
        <v>240</v>
      </c>
      <c r="E173" s="16">
        <v>42599.442002314812</v>
      </c>
      <c r="F173" s="16">
        <v>42599.442847222221</v>
      </c>
      <c r="G173" s="7">
        <v>1</v>
      </c>
      <c r="H173" s="16" t="s">
        <v>601</v>
      </c>
      <c r="I173" s="16">
        <v>42599.454884259256</v>
      </c>
      <c r="J173" s="7">
        <v>0</v>
      </c>
      <c r="K173" s="142" t="str">
        <f t="shared" si="101"/>
        <v>4007/4008</v>
      </c>
      <c r="L173" s="25" t="str">
        <f>VLOOKUP(A173,'Trips&amp;Operators'!$C$1:$E$10000,3,FALSE)</f>
        <v>SWANSON</v>
      </c>
      <c r="M173" s="6">
        <f t="shared" si="102"/>
        <v>1.2037037035042886E-2</v>
      </c>
      <c r="N173" s="7">
        <f t="shared" si="99"/>
        <v>17.333333330461755</v>
      </c>
      <c r="O173" s="7"/>
      <c r="P173" s="7"/>
      <c r="Q173" s="26"/>
      <c r="R173" s="26"/>
      <c r="S173" s="38">
        <f t="shared" si="103"/>
        <v>1</v>
      </c>
      <c r="T173" s="53" t="str">
        <f t="shared" si="111"/>
        <v>Southbound</v>
      </c>
      <c r="U173" s="13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09:36:29-0600',mode:absolute,to:'2016-08-17 11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3" s="55" t="str">
        <f t="shared" si="105"/>
        <v>N</v>
      </c>
      <c r="X173" s="129">
        <f t="shared" si="100"/>
        <v>1</v>
      </c>
      <c r="Y173" s="70">
        <f t="shared" si="106"/>
        <v>5.8601999999999999</v>
      </c>
      <c r="Z173" s="70">
        <f t="shared" si="107"/>
        <v>6.6299999999999998E-2</v>
      </c>
      <c r="AA173" s="70">
        <f t="shared" si="108"/>
        <v>5.7938999999999998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si="112"/>
        <v>0816-17</v>
      </c>
      <c r="AE173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3" s="101" t="str">
        <f t="shared" si="110"/>
        <v>"C:\Program Files (x86)\AstroGrep\AstroGrep.exe" /spath="%USERPROFILE%\AppData\Local\Temp\OnboardLogs" /stypes="*4008*20160817*" /stext=" 16:.+((SYSTEM_STATE.+slice.+state.+changed )|(ment ac)|(system.+state.+changed )|(\|lc)|(penalty)|(\[timeout)|(PRM\|1\|D)|(kpr)|(kdp))" /e /r /s</v>
      </c>
      <c r="AG173" s="1" t="str">
        <f t="shared" si="113"/>
        <v>NW</v>
      </c>
      <c r="AH173" s="105" t="str">
        <f t="shared" si="98"/>
        <v>"%USERPROFILE%\Documents\GitHub\eaglep3\Utilities\RefineRTDCRunTimes.py" --tripid 816-17 --locoid 4008 --swversion DE.1.0.7.0 --startMP 300:58602 --initTime 2016-08-17T10:36:29 --startdatetime 2016-08-17T10:37:42 --delay 1 --endMP 204:663 --enddatetime 2016-08-17T10:55:02 --enforcementcount 0</v>
      </c>
    </row>
    <row r="174" spans="1:34" x14ac:dyDescent="0.25">
      <c r="A174" s="40" t="s">
        <v>602</v>
      </c>
      <c r="B174" s="7">
        <v>4007</v>
      </c>
      <c r="C174" s="25" t="s">
        <v>118</v>
      </c>
      <c r="D174" s="25" t="s">
        <v>603</v>
      </c>
      <c r="E174" s="16">
        <v>42599.47078703704</v>
      </c>
      <c r="F174" s="16">
        <v>42599.471620370372</v>
      </c>
      <c r="G174" s="7">
        <v>1</v>
      </c>
      <c r="H174" s="16" t="s">
        <v>566</v>
      </c>
      <c r="I174" s="16">
        <v>42599.48296296296</v>
      </c>
      <c r="J174" s="7">
        <v>0</v>
      </c>
      <c r="K174" s="142" t="str">
        <f t="shared" si="101"/>
        <v>4007/4008</v>
      </c>
      <c r="L174" s="25" t="str">
        <f>VLOOKUP(A174,'Trips&amp;Operators'!$C$1:$E$10000,3,FALSE)</f>
        <v>SWANSON</v>
      </c>
      <c r="M174" s="6">
        <f t="shared" si="102"/>
        <v>1.134259258833481E-2</v>
      </c>
      <c r="N174" s="7">
        <f t="shared" si="99"/>
        <v>16.333333327202126</v>
      </c>
      <c r="O174" s="7"/>
      <c r="P174" s="7"/>
      <c r="Q174" s="26"/>
      <c r="R174" s="26"/>
      <c r="S174" s="38">
        <f t="shared" si="103"/>
        <v>1</v>
      </c>
      <c r="T174" s="53" t="str">
        <f t="shared" si="111"/>
        <v>NorthBound</v>
      </c>
      <c r="U174" s="13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10:17:56-0600',mode:absolute,to:'2016-08-17 12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4" s="55" t="str">
        <f t="shared" si="105"/>
        <v>N</v>
      </c>
      <c r="X174" s="129">
        <f t="shared" si="100"/>
        <v>1</v>
      </c>
      <c r="Y174" s="70">
        <f t="shared" si="106"/>
        <v>9.4100000000000003E-2</v>
      </c>
      <c r="Z174" s="70">
        <f t="shared" si="107"/>
        <v>5.8920000000000003</v>
      </c>
      <c r="AA174" s="70">
        <f t="shared" si="108"/>
        <v>5.7979000000000003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112"/>
        <v>0817-17</v>
      </c>
      <c r="AE174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4" s="101" t="str">
        <f t="shared" si="110"/>
        <v>"C:\Program Files (x86)\AstroGrep\AstroGrep.exe" /spath="%USERPROFILE%\AppData\Local\Temp\OnboardLogs" /stypes="*4007*20160817*" /stext=" 17:.+((SYSTEM_STATE.+slice.+state.+changed )|(ment ac)|(system.+state.+changed )|(\|lc)|(penalty)|(\[timeout)|(PRM\|1\|D)|(kpr)|(kdp))" /e /r /s</v>
      </c>
      <c r="AG174" s="1" t="str">
        <f t="shared" si="113"/>
        <v>NW</v>
      </c>
      <c r="AH174" s="105" t="str">
        <f t="shared" si="98"/>
        <v>"%USERPROFILE%\Documents\GitHub\eaglep3\Utilities\RefineRTDCRunTimes.py" --tripid 817-17 --locoid 4007 --swversion DE.1.0.7.0 --startMP 204:941 --initTime 2016-08-17T11:17:56 --startdatetime 2016-08-17T11:19:08 --delay 1 --endMP 300:58920 --enddatetime 2016-08-17T11:35:28 --enforcementcount 0</v>
      </c>
    </row>
    <row r="175" spans="1:34" x14ac:dyDescent="0.25">
      <c r="A175" s="40" t="s">
        <v>604</v>
      </c>
      <c r="B175" s="7">
        <v>4008</v>
      </c>
      <c r="C175" s="25" t="s">
        <v>118</v>
      </c>
      <c r="D175" s="25" t="s">
        <v>238</v>
      </c>
      <c r="E175" s="16">
        <v>42599.484189814815</v>
      </c>
      <c r="F175" s="16">
        <v>42599.485092592593</v>
      </c>
      <c r="G175" s="7">
        <v>1</v>
      </c>
      <c r="H175" s="16" t="s">
        <v>244</v>
      </c>
      <c r="I175" s="16">
        <v>42599.497002314813</v>
      </c>
      <c r="J175" s="7">
        <v>0</v>
      </c>
      <c r="K175" s="142" t="str">
        <f t="shared" si="101"/>
        <v>4007/4008</v>
      </c>
      <c r="L175" s="25" t="str">
        <f>VLOOKUP(A175,'Trips&amp;Operators'!$C$1:$E$10000,3,FALSE)</f>
        <v>SWANSON</v>
      </c>
      <c r="M175" s="6">
        <f t="shared" si="102"/>
        <v>1.190972221957054E-2</v>
      </c>
      <c r="N175" s="7">
        <f t="shared" si="99"/>
        <v>17.149999996181577</v>
      </c>
      <c r="O175" s="7"/>
      <c r="P175" s="7"/>
      <c r="Q175" s="26"/>
      <c r="R175" s="26"/>
      <c r="S175" s="38">
        <f t="shared" si="103"/>
        <v>1</v>
      </c>
      <c r="T175" s="53" t="str">
        <f t="shared" si="111"/>
        <v>Southbound</v>
      </c>
      <c r="U175" s="13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10:37:14-0600',mode:absolute,to:'2016-08-17 12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5" s="55" t="str">
        <f t="shared" si="105"/>
        <v>N</v>
      </c>
      <c r="X175" s="129">
        <f t="shared" si="100"/>
        <v>1</v>
      </c>
      <c r="Y175" s="70">
        <f t="shared" si="106"/>
        <v>5.8608000000000002</v>
      </c>
      <c r="Z175" s="70">
        <f t="shared" si="107"/>
        <v>6.3500000000000001E-2</v>
      </c>
      <c r="AA175" s="70">
        <f t="shared" si="108"/>
        <v>5.7972999999999999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112"/>
        <v>0818-17</v>
      </c>
      <c r="AE175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5" s="101" t="str">
        <f t="shared" si="110"/>
        <v>"C:\Program Files (x86)\AstroGrep\AstroGrep.exe" /spath="%USERPROFILE%\AppData\Local\Temp\OnboardLogs" /stypes="*4008*20160817*" /stext=" 17:.+((SYSTEM_STATE.+slice.+state.+changed )|(ment ac)|(system.+state.+changed )|(\|lc)|(penalty)|(\[timeout)|(PRM\|1\|D)|(kpr)|(kdp))" /e /r /s</v>
      </c>
      <c r="AG175" s="1" t="str">
        <f t="shared" si="113"/>
        <v>NW</v>
      </c>
      <c r="AH175" s="105" t="str">
        <f t="shared" si="98"/>
        <v>"%USERPROFILE%\Documents\GitHub\eaglep3\Utilities\RefineRTDCRunTimes.py" --tripid 818-17 --locoid 4008 --swversion DE.1.0.7.0 --startMP 300:58608 --initTime 2016-08-17T11:37:14 --startdatetime 2016-08-17T11:38:32 --delay 1 --endMP 204:635 --enddatetime 2016-08-17T11:55:41 --enforcementcount 0</v>
      </c>
    </row>
    <row r="176" spans="1:34" x14ac:dyDescent="0.25">
      <c r="A176" s="40" t="s">
        <v>605</v>
      </c>
      <c r="B176" s="7">
        <v>4007</v>
      </c>
      <c r="C176" s="25" t="s">
        <v>118</v>
      </c>
      <c r="D176" s="25" t="s">
        <v>606</v>
      </c>
      <c r="E176" s="16">
        <v>42599.503194444442</v>
      </c>
      <c r="F176" s="16">
        <v>42599.505520833336</v>
      </c>
      <c r="G176" s="7">
        <v>3</v>
      </c>
      <c r="H176" s="16" t="s">
        <v>607</v>
      </c>
      <c r="I176" s="16">
        <v>42599.524930555555</v>
      </c>
      <c r="J176" s="7">
        <v>0</v>
      </c>
      <c r="K176" s="142" t="str">
        <f t="shared" si="101"/>
        <v>4007/4008</v>
      </c>
      <c r="L176" s="25" t="str">
        <f>VLOOKUP(A176,'Trips&amp;Operators'!$C$1:$E$10000,3,FALSE)</f>
        <v>SWANSON</v>
      </c>
      <c r="M176" s="6">
        <f t="shared" si="102"/>
        <v>1.9409722219279502E-2</v>
      </c>
      <c r="N176" s="7">
        <f t="shared" si="99"/>
        <v>27.949999995762482</v>
      </c>
      <c r="O176" s="7"/>
      <c r="P176" s="7"/>
      <c r="Q176" s="26"/>
      <c r="R176" s="26"/>
      <c r="S176" s="38">
        <f t="shared" si="103"/>
        <v>1</v>
      </c>
      <c r="T176" s="53" t="str">
        <f t="shared" si="111"/>
        <v>NorthBound</v>
      </c>
      <c r="U176" s="13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11:04:36-0600',mode:absolute,to:'2016-08-17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6" s="55" t="str">
        <f t="shared" si="105"/>
        <v>N</v>
      </c>
      <c r="X176" s="129">
        <f t="shared" si="100"/>
        <v>1</v>
      </c>
      <c r="Y176" s="70">
        <f t="shared" si="106"/>
        <v>9.5799999999999996E-2</v>
      </c>
      <c r="Z176" s="70">
        <f t="shared" si="107"/>
        <v>5.8909000000000002</v>
      </c>
      <c r="AA176" s="70">
        <f t="shared" si="108"/>
        <v>5.7951000000000006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si="112"/>
        <v>0819-17</v>
      </c>
      <c r="AE176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6" s="101" t="str">
        <f t="shared" si="110"/>
        <v>"C:\Program Files (x86)\AstroGrep\AstroGrep.exe" /spath="%USERPROFILE%\AppData\Local\Temp\OnboardLogs" /stypes="*4007*20160817*" /stext=" 18:.+((SYSTEM_STATE.+slice.+state.+changed )|(ment ac)|(system.+state.+changed )|(\|lc)|(penalty)|(\[timeout)|(PRM\|1\|D)|(kpr)|(kdp))" /e /r /s</v>
      </c>
      <c r="AG176" s="1" t="str">
        <f t="shared" si="113"/>
        <v>NW</v>
      </c>
      <c r="AH176" s="105" t="str">
        <f t="shared" si="98"/>
        <v>"%USERPROFILE%\Documents\GitHub\eaglep3\Utilities\RefineRTDCRunTimes.py" --tripid 819-17 --locoid 4007 --swversion DE.1.0.7.0 --startMP 204:958 --initTime 2016-08-17T12:04:36 --startdatetime 2016-08-17T12:07:57 --delay 3 --endMP 300:58909 --enddatetime 2016-08-17T12:35:54 --enforcementcount 0</v>
      </c>
    </row>
    <row r="177" spans="1:34" x14ac:dyDescent="0.25">
      <c r="A177" s="40" t="s">
        <v>608</v>
      </c>
      <c r="B177" s="7">
        <v>4008</v>
      </c>
      <c r="C177" s="25" t="s">
        <v>118</v>
      </c>
      <c r="D177" s="25" t="s">
        <v>609</v>
      </c>
      <c r="E177" s="16">
        <v>42599.526030092595</v>
      </c>
      <c r="F177" s="16">
        <v>42599.526990740742</v>
      </c>
      <c r="G177" s="7">
        <v>1</v>
      </c>
      <c r="H177" s="16" t="s">
        <v>610</v>
      </c>
      <c r="I177" s="16">
        <v>42599.538854166669</v>
      </c>
      <c r="J177" s="7">
        <v>0</v>
      </c>
      <c r="K177" s="142" t="str">
        <f t="shared" si="101"/>
        <v>4007/4008</v>
      </c>
      <c r="L177" s="25" t="str">
        <f>VLOOKUP(A177,'Trips&amp;Operators'!$C$1:$E$10000,3,FALSE)</f>
        <v>SWANSON</v>
      </c>
      <c r="M177" s="6">
        <f t="shared" si="102"/>
        <v>1.1863425927003846E-2</v>
      </c>
      <c r="N177" s="7">
        <f t="shared" si="99"/>
        <v>17.083333334885538</v>
      </c>
      <c r="O177" s="7"/>
      <c r="P177" s="7"/>
      <c r="Q177" s="26"/>
      <c r="R177" s="26"/>
      <c r="S177" s="38">
        <f t="shared" si="103"/>
        <v>1</v>
      </c>
      <c r="T177" s="53" t="str">
        <f t="shared" si="111"/>
        <v>Southbound</v>
      </c>
      <c r="U177" s="13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11:37:29-0600',mode:absolute,to:'2016-08-17 13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7" s="55" t="str">
        <f t="shared" si="105"/>
        <v>N</v>
      </c>
      <c r="X177" s="129">
        <f t="shared" si="100"/>
        <v>1</v>
      </c>
      <c r="Y177" s="70">
        <f t="shared" si="106"/>
        <v>5.86</v>
      </c>
      <c r="Z177" s="70">
        <f t="shared" si="107"/>
        <v>6.7100000000000007E-2</v>
      </c>
      <c r="AA177" s="70">
        <f t="shared" si="108"/>
        <v>5.7929000000000004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112"/>
        <v>0820-17</v>
      </c>
      <c r="AE177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7" s="101" t="str">
        <f t="shared" si="110"/>
        <v>"C:\Program Files (x86)\AstroGrep\AstroGrep.exe" /spath="%USERPROFILE%\AppData\Local\Temp\OnboardLogs" /stypes="*4008*20160817*" /stext=" 18:.+((SYSTEM_STATE.+slice.+state.+changed )|(ment ac)|(system.+state.+changed )|(\|lc)|(penalty)|(\[timeout)|(PRM\|1\|D)|(kpr)|(kdp))" /e /r /s</v>
      </c>
      <c r="AG177" s="1" t="str">
        <f t="shared" si="113"/>
        <v>NW</v>
      </c>
      <c r="AH177" s="105" t="str">
        <f t="shared" si="98"/>
        <v>"%USERPROFILE%\Documents\GitHub\eaglep3\Utilities\RefineRTDCRunTimes.py" --tripid 820-17 --locoid 4008 --swversion DE.1.0.7.0 --startMP 300:58600 --initTime 2016-08-17T12:37:29 --startdatetime 2016-08-17T12:38:52 --delay 1 --endMP 204:671 --enddatetime 2016-08-17T12:55:57 --enforcementcount 0</v>
      </c>
    </row>
    <row r="178" spans="1:34" x14ac:dyDescent="0.25">
      <c r="A178" s="40" t="s">
        <v>611</v>
      </c>
      <c r="B178" s="7">
        <v>4007</v>
      </c>
      <c r="C178" s="25" t="s">
        <v>118</v>
      </c>
      <c r="D178" s="25" t="s">
        <v>612</v>
      </c>
      <c r="E178" s="16">
        <v>42599.551076388889</v>
      </c>
      <c r="F178" s="16">
        <v>42599.552372685182</v>
      </c>
      <c r="G178" s="7">
        <v>1</v>
      </c>
      <c r="H178" s="16" t="s">
        <v>613</v>
      </c>
      <c r="I178" s="16">
        <v>42599.562928240739</v>
      </c>
      <c r="J178" s="7">
        <v>0</v>
      </c>
      <c r="K178" s="142" t="str">
        <f t="shared" si="101"/>
        <v>4007/4008</v>
      </c>
      <c r="L178" s="25" t="str">
        <f>VLOOKUP(A178,'Trips&amp;Operators'!$C$1:$E$10000,3,FALSE)</f>
        <v>MOSES</v>
      </c>
      <c r="M178" s="6">
        <f t="shared" si="102"/>
        <v>1.0555555556493346E-2</v>
      </c>
      <c r="N178" s="7"/>
      <c r="O178" s="7"/>
      <c r="P178" s="7">
        <f>24*60*SUM($M178:$M178)</f>
        <v>15.200000001350418</v>
      </c>
      <c r="Q178" s="26"/>
      <c r="R178" s="26" t="s">
        <v>705</v>
      </c>
      <c r="S178" s="38">
        <f t="shared" si="103"/>
        <v>1</v>
      </c>
      <c r="T178" s="53" t="str">
        <f t="shared" si="111"/>
        <v>NorthBound</v>
      </c>
      <c r="U178" s="13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12:13:33-0600',mode:absolute,to:'2016-08-17 14:30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8" s="55" t="str">
        <f t="shared" si="105"/>
        <v>Y</v>
      </c>
      <c r="X178" s="129">
        <f t="shared" si="100"/>
        <v>1</v>
      </c>
      <c r="Y178" s="70">
        <f t="shared" si="106"/>
        <v>9.4600000000000004E-2</v>
      </c>
      <c r="Z178" s="70">
        <f t="shared" si="107"/>
        <v>2.1295000000000002</v>
      </c>
      <c r="AA178" s="70">
        <f t="shared" si="108"/>
        <v>2.0349000000000004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112"/>
        <v>0821-17</v>
      </c>
      <c r="AE178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8" s="101" t="str">
        <f t="shared" si="110"/>
        <v>"C:\Program Files (x86)\AstroGrep\AstroGrep.exe" /spath="%USERPROFILE%\AppData\Local\Temp\OnboardLogs" /stypes="*4007*20160817*" /stext=" 19:.+((SYSTEM_STATE.+slice.+state.+changed )|(ment ac)|(system.+state.+changed )|(\|lc)|(penalty)|(\[timeout)|(PRM\|1\|D)|(kpr)|(kdp))" /e /r /s</v>
      </c>
      <c r="AG178" s="1" t="str">
        <f t="shared" si="113"/>
        <v>NW</v>
      </c>
      <c r="AH178" s="105" t="str">
        <f t="shared" si="98"/>
        <v>"%USERPROFILE%\Documents\GitHub\eaglep3\Utilities\RefineRTDCRunTimes.py" --tripid 821-17 --locoid 4007 --swversion DE.1.0.7.0 --startMP 204:946 --initTime 2016-08-17T13:13:33 --startdatetime 2016-08-17T13:15:25 --delay 1 --endMP 300:21295 --enddatetime 2016-08-17T13:30:37 --enforcementcount 0</v>
      </c>
    </row>
    <row r="179" spans="1:34" x14ac:dyDescent="0.25">
      <c r="A179" s="40" t="s">
        <v>614</v>
      </c>
      <c r="B179" s="7">
        <v>4008</v>
      </c>
      <c r="C179" s="25" t="s">
        <v>118</v>
      </c>
      <c r="D179" s="25" t="s">
        <v>615</v>
      </c>
      <c r="E179" s="16">
        <v>42599.571597222224</v>
      </c>
      <c r="F179" s="16">
        <v>42599.572534722225</v>
      </c>
      <c r="G179" s="7">
        <v>1</v>
      </c>
      <c r="H179" s="16" t="s">
        <v>616</v>
      </c>
      <c r="I179" s="16">
        <v>42599.583819444444</v>
      </c>
      <c r="J179" s="7">
        <v>0</v>
      </c>
      <c r="K179" s="142" t="str">
        <f t="shared" si="101"/>
        <v>4007/4008</v>
      </c>
      <c r="L179" s="25" t="str">
        <f>VLOOKUP(A179,'Trips&amp;Operators'!$C$1:$E$10000,3,FALSE)</f>
        <v>MOSES</v>
      </c>
      <c r="M179" s="6">
        <f t="shared" si="102"/>
        <v>1.1284722218988463E-2</v>
      </c>
      <c r="N179" s="7">
        <f t="shared" ref="N179:N223" si="114">24*60*SUM($M179:$M179)</f>
        <v>16.249999995343387</v>
      </c>
      <c r="O179" s="7"/>
      <c r="P179" s="7"/>
      <c r="Q179" s="26"/>
      <c r="R179" s="26"/>
      <c r="S179" s="38">
        <f t="shared" si="103"/>
        <v>1</v>
      </c>
      <c r="T179" s="53" t="str">
        <f t="shared" si="111"/>
        <v>Southbound</v>
      </c>
      <c r="U179" s="13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12:43:06-0600',mode:absolute,to:'2016-08-17 15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9" s="55" t="str">
        <f t="shared" si="105"/>
        <v>N</v>
      </c>
      <c r="X179" s="129">
        <f t="shared" si="100"/>
        <v>1</v>
      </c>
      <c r="Y179" s="70">
        <f t="shared" si="106"/>
        <v>5.8647</v>
      </c>
      <c r="Z179" s="70">
        <f t="shared" si="107"/>
        <v>6.4899999999999999E-2</v>
      </c>
      <c r="AA179" s="70">
        <f t="shared" si="108"/>
        <v>5.7998000000000003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112"/>
        <v>0822-17</v>
      </c>
      <c r="AE179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9" s="101" t="str">
        <f t="shared" si="110"/>
        <v>"C:\Program Files (x86)\AstroGrep\AstroGrep.exe" /spath="%USERPROFILE%\AppData\Local\Temp\OnboardLogs" /stypes="*4008*20160817*" /stext=" 20:.+((SYSTEM_STATE.+slice.+state.+changed )|(ment ac)|(system.+state.+changed )|(\|lc)|(penalty)|(\[timeout)|(PRM\|1\|D)|(kpr)|(kdp))" /e /r /s</v>
      </c>
      <c r="AG179" s="1" t="str">
        <f t="shared" si="113"/>
        <v>NW</v>
      </c>
      <c r="AH179" s="105" t="str">
        <f t="shared" si="98"/>
        <v>"%USERPROFILE%\Documents\GitHub\eaglep3\Utilities\RefineRTDCRunTimes.py" --tripid 822-17 --locoid 4008 --swversion DE.1.0.7.0 --startMP 300:58647 --initTime 2016-08-17T13:43:06 --startdatetime 2016-08-17T13:44:27 --delay 1 --endMP 204:649 --enddatetime 2016-08-17T14:00:42 --enforcementcount 0</v>
      </c>
    </row>
    <row r="180" spans="1:34" x14ac:dyDescent="0.25">
      <c r="A180" s="40" t="s">
        <v>617</v>
      </c>
      <c r="B180" s="7">
        <v>4007</v>
      </c>
      <c r="C180" s="25" t="s">
        <v>118</v>
      </c>
      <c r="D180" s="25" t="s">
        <v>612</v>
      </c>
      <c r="E180" s="16">
        <v>42599.592662037037</v>
      </c>
      <c r="F180" s="16">
        <v>42599.593564814815</v>
      </c>
      <c r="G180" s="7">
        <v>1</v>
      </c>
      <c r="H180" s="16" t="s">
        <v>618</v>
      </c>
      <c r="I180" s="16">
        <v>42599.609178240738</v>
      </c>
      <c r="J180" s="7">
        <v>0</v>
      </c>
      <c r="K180" s="142" t="str">
        <f t="shared" si="101"/>
        <v>4007/4008</v>
      </c>
      <c r="L180" s="25" t="str">
        <f>VLOOKUP(A180,'Trips&amp;Operators'!$C$1:$E$10000,3,FALSE)</f>
        <v>MOSES</v>
      </c>
      <c r="M180" s="6">
        <f t="shared" si="102"/>
        <v>1.5613425923220348E-2</v>
      </c>
      <c r="N180" s="7">
        <f t="shared" si="114"/>
        <v>22.483333329437301</v>
      </c>
      <c r="O180" s="7"/>
      <c r="P180" s="7"/>
      <c r="Q180" s="26"/>
      <c r="R180" s="26"/>
      <c r="S180" s="38">
        <f t="shared" si="103"/>
        <v>1</v>
      </c>
      <c r="T180" s="53" t="str">
        <f t="shared" si="111"/>
        <v>NorthBound</v>
      </c>
      <c r="U180" s="13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13:13:26-0600',mode:absolute,to:'2016-08-17 15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0" s="55" t="str">
        <f t="shared" si="105"/>
        <v>N</v>
      </c>
      <c r="X180" s="129">
        <f t="shared" si="100"/>
        <v>1</v>
      </c>
      <c r="Y180" s="70">
        <f t="shared" si="106"/>
        <v>9.4600000000000004E-2</v>
      </c>
      <c r="Z180" s="70">
        <f t="shared" si="107"/>
        <v>5.8979999999999997</v>
      </c>
      <c r="AA180" s="70">
        <f t="shared" si="108"/>
        <v>5.8033999999999999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112"/>
        <v>0823-17</v>
      </c>
      <c r="AE180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80" s="101" t="str">
        <f t="shared" si="110"/>
        <v>"C:\Program Files (x86)\AstroGrep\AstroGrep.exe" /spath="%USERPROFILE%\AppData\Local\Temp\OnboardLogs" /stypes="*4007*20160817*" /stext=" 20:.+((SYSTEM_STATE.+slice.+state.+changed )|(ment ac)|(system.+state.+changed )|(\|lc)|(penalty)|(\[timeout)|(PRM\|1\|D)|(kpr)|(kdp))" /e /r /s</v>
      </c>
      <c r="AG180" s="1" t="str">
        <f t="shared" si="113"/>
        <v>NW</v>
      </c>
      <c r="AH180" s="105" t="str">
        <f t="shared" si="98"/>
        <v>"%USERPROFILE%\Documents\GitHub\eaglep3\Utilities\RefineRTDCRunTimes.py" --tripid 823-17 --locoid 4007 --swversion DE.1.0.7.0 --startMP 204:946 --initTime 2016-08-17T14:13:26 --startdatetime 2016-08-17T14:14:44 --delay 1 --endMP 300:58980 --enddatetime 2016-08-17T14:37:13 --enforcementcount 0</v>
      </c>
    </row>
    <row r="181" spans="1:34" x14ac:dyDescent="0.25">
      <c r="A181" s="40" t="s">
        <v>619</v>
      </c>
      <c r="B181" s="7">
        <v>4008</v>
      </c>
      <c r="C181" s="25" t="s">
        <v>118</v>
      </c>
      <c r="D181" s="25" t="s">
        <v>620</v>
      </c>
      <c r="E181" s="16">
        <v>42599.610231481478</v>
      </c>
      <c r="F181" s="16">
        <v>42599.611064814817</v>
      </c>
      <c r="G181" s="7">
        <v>1</v>
      </c>
      <c r="H181" s="16" t="s">
        <v>289</v>
      </c>
      <c r="I181" s="16">
        <v>42599.622488425928</v>
      </c>
      <c r="J181" s="7">
        <v>0</v>
      </c>
      <c r="K181" s="142" t="str">
        <f t="shared" si="101"/>
        <v>4007/4008</v>
      </c>
      <c r="L181" s="25" t="str">
        <f>VLOOKUP(A181,'Trips&amp;Operators'!$C$1:$E$10000,3,FALSE)</f>
        <v>MOSES</v>
      </c>
      <c r="M181" s="6">
        <f t="shared" si="102"/>
        <v>1.1423611111240461E-2</v>
      </c>
      <c r="N181" s="7">
        <f t="shared" si="114"/>
        <v>16.450000000186265</v>
      </c>
      <c r="O181" s="7"/>
      <c r="P181" s="7"/>
      <c r="Q181" s="26"/>
      <c r="R181" s="26"/>
      <c r="S181" s="38">
        <f t="shared" si="103"/>
        <v>1</v>
      </c>
      <c r="T181" s="53" t="str">
        <f t="shared" si="111"/>
        <v>Southbound</v>
      </c>
      <c r="U181" s="13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13:38:44-0600',mode:absolute,to:'2016-08-17 15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1" s="55" t="str">
        <f t="shared" si="105"/>
        <v>N</v>
      </c>
      <c r="X181" s="129">
        <f t="shared" si="100"/>
        <v>1</v>
      </c>
      <c r="Y181" s="70">
        <f t="shared" si="106"/>
        <v>5.8662000000000001</v>
      </c>
      <c r="Z181" s="70">
        <f t="shared" si="107"/>
        <v>6.4000000000000001E-2</v>
      </c>
      <c r="AA181" s="70">
        <f t="shared" si="108"/>
        <v>5.8022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112"/>
        <v>0824-17</v>
      </c>
      <c r="AE181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81" s="101" t="str">
        <f t="shared" si="110"/>
        <v>"C:\Program Files (x86)\AstroGrep\AstroGrep.exe" /spath="%USERPROFILE%\AppData\Local\Temp\OnboardLogs" /stypes="*4008*20160817*" /stext=" 20:.+((SYSTEM_STATE.+slice.+state.+changed )|(ment ac)|(system.+state.+changed )|(\|lc)|(penalty)|(\[timeout)|(PRM\|1\|D)|(kpr)|(kdp))" /e /r /s</v>
      </c>
      <c r="AG181" s="1" t="str">
        <f t="shared" si="113"/>
        <v>NW</v>
      </c>
      <c r="AH181" s="105" t="str">
        <f t="shared" si="98"/>
        <v>"%USERPROFILE%\Documents\GitHub\eaglep3\Utilities\RefineRTDCRunTimes.py" --tripid 824-17 --locoid 4008 --swversion DE.1.0.7.0 --startMP 300:58662 --initTime 2016-08-17T14:38:44 --startdatetime 2016-08-17T14:39:56 --delay 1 --endMP 204:640 --enddatetime 2016-08-17T14:56:23 --enforcementcount 0</v>
      </c>
    </row>
    <row r="182" spans="1:34" x14ac:dyDescent="0.25">
      <c r="A182" s="40" t="s">
        <v>621</v>
      </c>
      <c r="B182" s="7">
        <v>4007</v>
      </c>
      <c r="C182" s="25" t="s">
        <v>118</v>
      </c>
      <c r="D182" s="25" t="s">
        <v>622</v>
      </c>
      <c r="E182" s="16">
        <v>42599.636608796296</v>
      </c>
      <c r="F182" s="16">
        <v>42599.637476851851</v>
      </c>
      <c r="G182" s="7">
        <v>1</v>
      </c>
      <c r="H182" s="16" t="s">
        <v>623</v>
      </c>
      <c r="I182" s="16">
        <v>42599.650451388887</v>
      </c>
      <c r="J182" s="7">
        <v>0</v>
      </c>
      <c r="K182" s="142" t="str">
        <f t="shared" si="101"/>
        <v>4007/4008</v>
      </c>
      <c r="L182" s="25" t="str">
        <f>VLOOKUP(A182,'Trips&amp;Operators'!$C$1:$E$10000,3,FALSE)</f>
        <v>MOSES</v>
      </c>
      <c r="M182" s="6">
        <f t="shared" si="102"/>
        <v>1.2974537035916001E-2</v>
      </c>
      <c r="N182" s="7">
        <f t="shared" si="114"/>
        <v>18.683333331719041</v>
      </c>
      <c r="O182" s="7"/>
      <c r="P182" s="7"/>
      <c r="Q182" s="26"/>
      <c r="R182" s="26"/>
      <c r="S182" s="38">
        <f t="shared" si="103"/>
        <v>1</v>
      </c>
      <c r="T182" s="53" t="str">
        <f t="shared" si="111"/>
        <v>NorthBound</v>
      </c>
      <c r="U182" s="13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14:16:43-0600',mode:absolute,to:'2016-08-17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2" s="55" t="str">
        <f t="shared" si="105"/>
        <v>N</v>
      </c>
      <c r="X182" s="129">
        <f t="shared" si="100"/>
        <v>1</v>
      </c>
      <c r="Y182" s="70">
        <f t="shared" si="106"/>
        <v>9.3700000000000006E-2</v>
      </c>
      <c r="Z182" s="70">
        <f t="shared" si="107"/>
        <v>5.8986000000000001</v>
      </c>
      <c r="AA182" s="70">
        <f t="shared" si="108"/>
        <v>5.8048999999999999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112"/>
        <v>0825-17</v>
      </c>
      <c r="AE182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82" s="101" t="str">
        <f t="shared" si="110"/>
        <v>"C:\Program Files (x86)\AstroGrep\AstroGrep.exe" /spath="%USERPROFILE%\AppData\Local\Temp\OnboardLogs" /stypes="*4007*20160817*" /stext=" 21:.+((SYSTEM_STATE.+slice.+state.+changed )|(ment ac)|(system.+state.+changed )|(\|lc)|(penalty)|(\[timeout)|(PRM\|1\|D)|(kpr)|(kdp))" /e /r /s</v>
      </c>
      <c r="AG182" s="1" t="str">
        <f t="shared" si="113"/>
        <v>NW</v>
      </c>
      <c r="AH182" s="105" t="str">
        <f t="shared" si="98"/>
        <v>"%USERPROFILE%\Documents\GitHub\eaglep3\Utilities\RefineRTDCRunTimes.py" --tripid 825-17 --locoid 4007 --swversion DE.1.0.7.0 --startMP 204:937 --initTime 2016-08-17T15:16:43 --startdatetime 2016-08-17T15:17:58 --delay 1 --endMP 300:58986 --enddatetime 2016-08-17T15:36:39 --enforcementcount 0</v>
      </c>
    </row>
    <row r="183" spans="1:34" x14ac:dyDescent="0.25">
      <c r="A183" s="40" t="s">
        <v>624</v>
      </c>
      <c r="B183" s="7">
        <v>4008</v>
      </c>
      <c r="C183" s="25" t="s">
        <v>118</v>
      </c>
      <c r="D183" s="25" t="s">
        <v>625</v>
      </c>
      <c r="E183" s="16">
        <v>42599.651979166665</v>
      </c>
      <c r="F183" s="16">
        <v>42599.652870370373</v>
      </c>
      <c r="G183" s="7">
        <v>1</v>
      </c>
      <c r="H183" s="16" t="s">
        <v>626</v>
      </c>
      <c r="I183" s="16">
        <v>42599.669722222221</v>
      </c>
      <c r="J183" s="7">
        <v>0</v>
      </c>
      <c r="K183" s="142" t="str">
        <f t="shared" si="101"/>
        <v>4007/4008</v>
      </c>
      <c r="L183" s="25" t="str">
        <f>VLOOKUP(A183,'Trips&amp;Operators'!$C$1:$E$10000,3,FALSE)</f>
        <v>MOSES</v>
      </c>
      <c r="M183" s="6">
        <f t="shared" si="102"/>
        <v>1.6851851847604848E-2</v>
      </c>
      <c r="N183" s="7">
        <f t="shared" si="114"/>
        <v>24.266666660550982</v>
      </c>
      <c r="O183" s="7"/>
      <c r="P183" s="7"/>
      <c r="Q183" s="26"/>
      <c r="R183" s="26"/>
      <c r="S183" s="38">
        <f t="shared" si="103"/>
        <v>1</v>
      </c>
      <c r="T183" s="53" t="str">
        <f t="shared" si="111"/>
        <v>Southbound</v>
      </c>
      <c r="U183" s="13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14:38:51-0600',mode:absolute,to:'2016-08-17 17:04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3" s="55" t="str">
        <f t="shared" si="105"/>
        <v>N</v>
      </c>
      <c r="X183" s="129">
        <f t="shared" si="100"/>
        <v>1</v>
      </c>
      <c r="Y183" s="70">
        <f t="shared" si="106"/>
        <v>5.867</v>
      </c>
      <c r="Z183" s="70">
        <f t="shared" si="107"/>
        <v>6.2899999999999998E-2</v>
      </c>
      <c r="AA183" s="70">
        <f t="shared" si="108"/>
        <v>5.8041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112"/>
        <v>0826-17</v>
      </c>
      <c r="AE183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83" s="101" t="str">
        <f t="shared" si="110"/>
        <v>"C:\Program Files (x86)\AstroGrep\AstroGrep.exe" /spath="%USERPROFILE%\AppData\Local\Temp\OnboardLogs" /stypes="*4008*20160817*" /stext=" 22:.+((SYSTEM_STATE.+slice.+state.+changed )|(ment ac)|(system.+state.+changed )|(\|lc)|(penalty)|(\[timeout)|(PRM\|1\|D)|(kpr)|(kdp))" /e /r /s</v>
      </c>
      <c r="AG183" s="1" t="str">
        <f t="shared" si="113"/>
        <v>NW</v>
      </c>
      <c r="AH183" s="105" t="str">
        <f t="shared" si="98"/>
        <v>"%USERPROFILE%\Documents\GitHub\eaglep3\Utilities\RefineRTDCRunTimes.py" --tripid 826-17 --locoid 4008 --swversion DE.1.0.7.0 --startMP 300:58670 --initTime 2016-08-17T15:38:51 --startdatetime 2016-08-17T15:40:08 --delay 1 --endMP 204:629 --enddatetime 2016-08-17T16:04:24 --enforcementcount 0</v>
      </c>
    </row>
    <row r="184" spans="1:34" x14ac:dyDescent="0.25">
      <c r="A184" s="40" t="s">
        <v>627</v>
      </c>
      <c r="B184" s="7">
        <v>4042</v>
      </c>
      <c r="C184" s="25" t="s">
        <v>118</v>
      </c>
      <c r="D184" s="25" t="s">
        <v>628</v>
      </c>
      <c r="E184" s="16">
        <v>42599.654907407406</v>
      </c>
      <c r="F184" s="16">
        <v>42599.656122685185</v>
      </c>
      <c r="G184" s="7">
        <v>1</v>
      </c>
      <c r="H184" s="16" t="s">
        <v>607</v>
      </c>
      <c r="I184" s="16">
        <v>42599.671400462961</v>
      </c>
      <c r="J184" s="7">
        <v>0</v>
      </c>
      <c r="K184" s="142" t="str">
        <f t="shared" si="101"/>
        <v>4041/4042</v>
      </c>
      <c r="L184" s="25" t="str">
        <f>VLOOKUP(A184,'Trips&amp;Operators'!$C$1:$E$10000,3,FALSE)</f>
        <v>OUN</v>
      </c>
      <c r="M184" s="6">
        <f t="shared" si="102"/>
        <v>1.5277777776645962E-2</v>
      </c>
      <c r="N184" s="7">
        <f t="shared" si="114"/>
        <v>21.999999998370185</v>
      </c>
      <c r="O184" s="7"/>
      <c r="P184" s="7"/>
      <c r="Q184" s="26"/>
      <c r="R184" s="26"/>
      <c r="S184" s="38">
        <f t="shared" si="103"/>
        <v>1</v>
      </c>
      <c r="T184" s="53" t="str">
        <f t="shared" si="111"/>
        <v>NorthBound</v>
      </c>
      <c r="U184" s="13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4" s="55" t="str">
        <f t="shared" si="105"/>
        <v>N</v>
      </c>
      <c r="X184" s="129">
        <f t="shared" si="100"/>
        <v>1</v>
      </c>
      <c r="Y184" s="70">
        <f t="shared" si="106"/>
        <v>9.7199999999999995E-2</v>
      </c>
      <c r="Z184" s="70">
        <f t="shared" si="107"/>
        <v>5.8909000000000002</v>
      </c>
      <c r="AA184" s="70">
        <f t="shared" si="108"/>
        <v>5.7937000000000003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112"/>
        <v>0827-17</v>
      </c>
      <c r="AE184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84" s="101" t="str">
        <f t="shared" si="110"/>
        <v>"C:\Program Files (x86)\AstroGrep\AstroGrep.exe" /spath="%USERPROFILE%\AppData\Local\Temp\OnboardLogs" /stypes="*4042*20160817*" /stext=" 22:.+((SYSTEM_STATE.+slice.+state.+changed )|(ment ac)|(system.+state.+changed )|(\|lc)|(penalty)|(\[timeout)|(PRM\|1\|D)|(kpr)|(kdp))" /e /r /s</v>
      </c>
      <c r="AG184" s="1" t="str">
        <f t="shared" si="113"/>
        <v>NW</v>
      </c>
      <c r="AH184" s="105" t="str">
        <f t="shared" si="98"/>
        <v>"%USERPROFILE%\Documents\GitHub\eaglep3\Utilities\RefineRTDCRunTimes.py" --tripid 827-17 --locoid 4042 --swversion DE.1.0.7.0 --startMP 204:972 --initTime 2016-08-17T15:43:04 --startdatetime 2016-08-17T15:44:49 --delay 1 --endMP 300:58909 --enddatetime 2016-08-17T16:06:49 --enforcementcount 0</v>
      </c>
    </row>
    <row r="185" spans="1:34" x14ac:dyDescent="0.25">
      <c r="A185" s="40" t="s">
        <v>629</v>
      </c>
      <c r="B185" s="7">
        <v>4041</v>
      </c>
      <c r="C185" s="25" t="s">
        <v>118</v>
      </c>
      <c r="D185" s="25" t="s">
        <v>630</v>
      </c>
      <c r="E185" s="16">
        <v>42599.67255787037</v>
      </c>
      <c r="F185" s="16">
        <v>42599.673506944448</v>
      </c>
      <c r="G185" s="7">
        <v>1</v>
      </c>
      <c r="H185" s="16" t="s">
        <v>631</v>
      </c>
      <c r="I185" s="16">
        <v>42599.686365740738</v>
      </c>
      <c r="J185" s="7">
        <v>0</v>
      </c>
      <c r="K185" s="142" t="str">
        <f t="shared" si="101"/>
        <v>4041/4042</v>
      </c>
      <c r="L185" s="25" t="str">
        <f>VLOOKUP(A185,'Trips&amp;Operators'!$C$1:$E$10000,3,FALSE)</f>
        <v>OUN</v>
      </c>
      <c r="M185" s="6">
        <f t="shared" si="102"/>
        <v>1.285879628994735E-2</v>
      </c>
      <c r="N185" s="7">
        <f t="shared" si="114"/>
        <v>18.516666657524183</v>
      </c>
      <c r="O185" s="7"/>
      <c r="P185" s="7"/>
      <c r="Q185" s="26"/>
      <c r="R185" s="26"/>
      <c r="S185" s="38">
        <f t="shared" si="103"/>
        <v>1</v>
      </c>
      <c r="T185" s="53" t="str">
        <f t="shared" si="111"/>
        <v>Southbound</v>
      </c>
      <c r="U185" s="13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15:08:29-0600',mode:absolute,to:'2016-08-17 17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5" s="55" t="str">
        <f t="shared" si="105"/>
        <v>N</v>
      </c>
      <c r="X185" s="129">
        <f t="shared" si="100"/>
        <v>1</v>
      </c>
      <c r="Y185" s="70">
        <f t="shared" si="106"/>
        <v>5.8586999999999998</v>
      </c>
      <c r="Z185" s="70">
        <f t="shared" si="107"/>
        <v>6.9199999999999998E-2</v>
      </c>
      <c r="AA185" s="70">
        <f t="shared" si="108"/>
        <v>5.7894999999999994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112"/>
        <v>0828-17</v>
      </c>
      <c r="AE185" s="104" t="str">
        <f t="shared" si="109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85" s="101" t="str">
        <f t="shared" si="110"/>
        <v>"C:\Program Files (x86)\AstroGrep\AstroGrep.exe" /spath="%USERPROFILE%\AppData\Local\Temp\OnboardLogs" /stypes="*4041*20160817*" /stext=" 22:.+((SYSTEM_STATE.+slice.+state.+changed )|(ment ac)|(system.+state.+changed )|(\|lc)|(penalty)|(\[timeout)|(PRM\|1\|D)|(kpr)|(kdp))" /e /r /s</v>
      </c>
      <c r="AG185" s="1" t="str">
        <f t="shared" si="113"/>
        <v>NW</v>
      </c>
      <c r="AH185" s="105" t="str">
        <f t="shared" si="98"/>
        <v>"%USERPROFILE%\Documents\GitHub\eaglep3\Utilities\RefineRTDCRunTimes.py" --tripid 828-17 --locoid 4041 --swversion DE.1.0.7.0 --startMP 300:58587 --initTime 2016-08-17T16:08:29 --startdatetime 2016-08-17T16:09:51 --delay 1 --endMP 204:692 --enddatetime 2016-08-17T16:28:22 --enforcementcount 0</v>
      </c>
    </row>
    <row r="186" spans="1:34" x14ac:dyDescent="0.25">
      <c r="A186" s="40" t="s">
        <v>632</v>
      </c>
      <c r="B186" s="7">
        <v>4007</v>
      </c>
      <c r="C186" s="25" t="s">
        <v>118</v>
      </c>
      <c r="D186" s="25" t="s">
        <v>633</v>
      </c>
      <c r="E186" s="16">
        <v>42599.678159722222</v>
      </c>
      <c r="F186" s="16">
        <v>42599.679189814815</v>
      </c>
      <c r="G186" s="7">
        <v>1</v>
      </c>
      <c r="H186" s="16" t="s">
        <v>623</v>
      </c>
      <c r="I186" s="16">
        <v>42599.691944444443</v>
      </c>
      <c r="J186" s="7">
        <v>0</v>
      </c>
      <c r="K186" s="142" t="str">
        <f t="shared" si="101"/>
        <v>4007/4008</v>
      </c>
      <c r="L186" s="25" t="str">
        <f>VLOOKUP(A186,'Trips&amp;Operators'!$C$1:$E$10000,3,FALSE)</f>
        <v>MOSES</v>
      </c>
      <c r="M186" s="6">
        <f t="shared" si="102"/>
        <v>1.2754629628034309E-2</v>
      </c>
      <c r="N186" s="7">
        <f t="shared" si="114"/>
        <v>18.366666664369404</v>
      </c>
      <c r="O186" s="7"/>
      <c r="P186" s="7"/>
      <c r="Q186" s="26"/>
      <c r="R186" s="26"/>
      <c r="S186" s="38">
        <f t="shared" si="103"/>
        <v>1</v>
      </c>
      <c r="T186" s="53" t="str">
        <f t="shared" si="111"/>
        <v>NorthBound</v>
      </c>
      <c r="U186" s="13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15:16:33-0600',mode:absolute,to:'2016-08-17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6" s="55" t="str">
        <f t="shared" si="105"/>
        <v>N</v>
      </c>
      <c r="X186" s="129">
        <f t="shared" si="100"/>
        <v>1</v>
      </c>
      <c r="Y186" s="70">
        <f t="shared" si="106"/>
        <v>9.0899999999999995E-2</v>
      </c>
      <c r="Z186" s="70">
        <f t="shared" si="107"/>
        <v>5.8986000000000001</v>
      </c>
      <c r="AA186" s="70">
        <f t="shared" si="108"/>
        <v>5.8076999999999996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112"/>
        <v>0829-17</v>
      </c>
      <c r="AE186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86" s="101" t="str">
        <f t="shared" si="110"/>
        <v>"C:\Program Files (x86)\AstroGrep\AstroGrep.exe" /spath="%USERPROFILE%\AppData\Local\Temp\OnboardLogs" /stypes="*4007*20160817*" /stext=" 22:.+((SYSTEM_STATE.+slice.+state.+changed )|(ment ac)|(system.+state.+changed )|(\|lc)|(penalty)|(\[timeout)|(PRM\|1\|D)|(kpr)|(kdp))" /e /r /s</v>
      </c>
      <c r="AG186" s="1" t="str">
        <f t="shared" si="113"/>
        <v>NW</v>
      </c>
      <c r="AH186" s="105" t="str">
        <f t="shared" si="98"/>
        <v>"%USERPROFILE%\Documents\GitHub\eaglep3\Utilities\RefineRTDCRunTimes.py" --tripid 829-17 --locoid 4007 --swversion DE.1.0.7.0 --startMP 204:909 --initTime 2016-08-17T16:16:33 --startdatetime 2016-08-17T16:18:02 --delay 1 --endMP 300:58986 --enddatetime 2016-08-17T16:36:24 --enforcementcount 0</v>
      </c>
    </row>
    <row r="187" spans="1:34" x14ac:dyDescent="0.25">
      <c r="A187" s="40" t="s">
        <v>634</v>
      </c>
      <c r="B187" s="7">
        <v>4008</v>
      </c>
      <c r="C187" s="25" t="s">
        <v>118</v>
      </c>
      <c r="D187" s="25" t="s">
        <v>635</v>
      </c>
      <c r="E187" s="16">
        <v>42599.693414351852</v>
      </c>
      <c r="F187" s="16">
        <v>42599.694340277776</v>
      </c>
      <c r="G187" s="7">
        <v>1</v>
      </c>
      <c r="H187" s="16" t="s">
        <v>636</v>
      </c>
      <c r="I187" s="16">
        <v>42599.707743055558</v>
      </c>
      <c r="J187" s="7">
        <v>0</v>
      </c>
      <c r="K187" s="142" t="str">
        <f t="shared" si="101"/>
        <v>4007/4008</v>
      </c>
      <c r="L187" s="25" t="str">
        <f>VLOOKUP(A187,'Trips&amp;Operators'!$C$1:$E$10000,3,FALSE)</f>
        <v>MOSES</v>
      </c>
      <c r="M187" s="6">
        <f t="shared" si="102"/>
        <v>1.340277778217569E-2</v>
      </c>
      <c r="N187" s="7">
        <f t="shared" si="114"/>
        <v>19.300000006332994</v>
      </c>
      <c r="O187" s="7"/>
      <c r="P187" s="7"/>
      <c r="Q187" s="26"/>
      <c r="R187" s="26"/>
      <c r="S187" s="38">
        <f t="shared" si="103"/>
        <v>1</v>
      </c>
      <c r="T187" s="53" t="str">
        <f t="shared" si="111"/>
        <v>Southbound</v>
      </c>
      <c r="U187" s="13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15:38:31-0600',mode:absolute,to:'2016-08-17 17:59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7" s="55" t="str">
        <f t="shared" si="105"/>
        <v>N</v>
      </c>
      <c r="X187" s="129">
        <f t="shared" si="100"/>
        <v>1</v>
      </c>
      <c r="Y187" s="70">
        <f t="shared" si="106"/>
        <v>5.8672000000000004</v>
      </c>
      <c r="Z187" s="70">
        <f t="shared" si="107"/>
        <v>6.3100000000000003E-2</v>
      </c>
      <c r="AA187" s="70">
        <f t="shared" si="108"/>
        <v>5.8041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112"/>
        <v>0830-17</v>
      </c>
      <c r="AE187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87" s="101" t="str">
        <f t="shared" si="110"/>
        <v>"C:\Program Files (x86)\AstroGrep\AstroGrep.exe" /spath="%USERPROFILE%\AppData\Local\Temp\OnboardLogs" /stypes="*4008*20160817*" /stext=" 22:.+((SYSTEM_STATE.+slice.+state.+changed )|(ment ac)|(system.+state.+changed )|(\|lc)|(penalty)|(\[timeout)|(PRM\|1\|D)|(kpr)|(kdp))" /e /r /s</v>
      </c>
      <c r="AG187" s="1" t="str">
        <f t="shared" si="113"/>
        <v>NW</v>
      </c>
      <c r="AH187" s="105" t="str">
        <f t="shared" si="98"/>
        <v>"%USERPROFILE%\Documents\GitHub\eaglep3\Utilities\RefineRTDCRunTimes.py" --tripid 830-17 --locoid 4008 --swversion DE.1.0.7.0 --startMP 300:58672 --initTime 2016-08-17T16:38:31 --startdatetime 2016-08-17T16:39:51 --delay 1 --endMP 204:631 --enddatetime 2016-08-17T16:59:09 --enforcementcount 0</v>
      </c>
    </row>
    <row r="188" spans="1:34" x14ac:dyDescent="0.25">
      <c r="A188" s="40" t="s">
        <v>637</v>
      </c>
      <c r="B188" s="7">
        <v>4042</v>
      </c>
      <c r="C188" s="25" t="s">
        <v>118</v>
      </c>
      <c r="D188" s="25" t="s">
        <v>299</v>
      </c>
      <c r="E188" s="16">
        <v>42599.695902777778</v>
      </c>
      <c r="F188" s="16">
        <v>42599.696736111109</v>
      </c>
      <c r="G188" s="7">
        <v>1</v>
      </c>
      <c r="H188" s="16" t="s">
        <v>241</v>
      </c>
      <c r="I188" s="16">
        <v>42599.714606481481</v>
      </c>
      <c r="J188" s="7">
        <v>0</v>
      </c>
      <c r="K188" s="142" t="str">
        <f t="shared" si="101"/>
        <v>4041/4042</v>
      </c>
      <c r="L188" s="25" t="str">
        <f>VLOOKUP(A188,'Trips&amp;Operators'!$C$1:$E$10000,3,FALSE)</f>
        <v>OUN</v>
      </c>
      <c r="M188" s="6">
        <f t="shared" si="102"/>
        <v>1.7870370371383615E-2</v>
      </c>
      <c r="N188" s="7">
        <f t="shared" si="114"/>
        <v>25.733333334792405</v>
      </c>
      <c r="O188" s="7"/>
      <c r="P188" s="7"/>
      <c r="Q188" s="26"/>
      <c r="R188" s="26"/>
      <c r="S188" s="38">
        <f t="shared" si="103"/>
        <v>1</v>
      </c>
      <c r="T188" s="53" t="str">
        <f t="shared" si="111"/>
        <v>NorthBound</v>
      </c>
      <c r="U188" s="13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15:42:06-0600',mode:absolute,to:'2016-08-17 18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8" s="55" t="str">
        <f t="shared" si="105"/>
        <v>N</v>
      </c>
      <c r="X188" s="129">
        <f t="shared" si="100"/>
        <v>1</v>
      </c>
      <c r="Y188" s="70">
        <f t="shared" si="106"/>
        <v>9.9000000000000005E-2</v>
      </c>
      <c r="Z188" s="70">
        <f t="shared" si="107"/>
        <v>5.8914</v>
      </c>
      <c r="AA188" s="70">
        <f t="shared" si="108"/>
        <v>5.7923999999999998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112"/>
        <v>0831-17</v>
      </c>
      <c r="AE188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88" s="101" t="str">
        <f t="shared" si="110"/>
        <v>"C:\Program Files (x86)\AstroGrep\AstroGrep.exe" /spath="%USERPROFILE%\AppData\Local\Temp\OnboardLogs" /stypes="*4042*20160817*" /stext=" 23:.+((SYSTEM_STATE.+slice.+state.+changed )|(ment ac)|(system.+state.+changed )|(\|lc)|(penalty)|(\[timeout)|(PRM\|1\|D)|(kpr)|(kdp))" /e /r /s</v>
      </c>
      <c r="AG188" s="1" t="str">
        <f t="shared" si="113"/>
        <v>NW</v>
      </c>
      <c r="AH188" s="105" t="str">
        <f t="shared" si="98"/>
        <v>"%USERPROFILE%\Documents\GitHub\eaglep3\Utilities\RefineRTDCRunTimes.py" --tripid 831-17 --locoid 4042 --swversion DE.1.0.7.0 --startMP 204:990 --initTime 2016-08-17T16:42:06 --startdatetime 2016-08-17T16:43:18 --delay 1 --endMP 300:58914 --enddatetime 2016-08-17T17:09:02 --enforcementcount 0</v>
      </c>
    </row>
    <row r="189" spans="1:34" x14ac:dyDescent="0.25">
      <c r="A189" s="40" t="s">
        <v>638</v>
      </c>
      <c r="B189" s="7">
        <v>4041</v>
      </c>
      <c r="C189" s="25" t="s">
        <v>118</v>
      </c>
      <c r="D189" s="25" t="s">
        <v>639</v>
      </c>
      <c r="E189" s="16">
        <v>42599.715590277781</v>
      </c>
      <c r="F189" s="16">
        <v>42599.716331018521</v>
      </c>
      <c r="G189" s="7">
        <v>1</v>
      </c>
      <c r="H189" s="16" t="s">
        <v>298</v>
      </c>
      <c r="I189" s="16">
        <v>42599.767685185187</v>
      </c>
      <c r="J189" s="7">
        <v>0</v>
      </c>
      <c r="K189" s="142" t="str">
        <f t="shared" si="101"/>
        <v>4041/4042</v>
      </c>
      <c r="L189" s="25" t="str">
        <f>VLOOKUP(A189,'Trips&amp;Operators'!$C$1:$E$10000,3,FALSE)</f>
        <v>OUN</v>
      </c>
      <c r="M189" s="6">
        <f t="shared" si="102"/>
        <v>5.1354166665987577E-2</v>
      </c>
      <c r="N189" s="7">
        <f t="shared" si="114"/>
        <v>73.949999999022111</v>
      </c>
      <c r="O189" s="7"/>
      <c r="P189" s="7"/>
      <c r="Q189" s="26"/>
      <c r="R189" s="26"/>
      <c r="S189" s="38">
        <f t="shared" si="103"/>
        <v>1</v>
      </c>
      <c r="T189" s="53" t="str">
        <f t="shared" si="111"/>
        <v>Southbound</v>
      </c>
      <c r="U189" s="13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16:10:27-0600',mode:absolute,to:'2016-08-17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9" s="55" t="str">
        <f t="shared" si="105"/>
        <v>N</v>
      </c>
      <c r="X189" s="129">
        <f t="shared" si="100"/>
        <v>1</v>
      </c>
      <c r="Y189" s="70">
        <f t="shared" si="106"/>
        <v>5.8590999999999998</v>
      </c>
      <c r="Z189" s="70">
        <f t="shared" si="107"/>
        <v>6.9400000000000003E-2</v>
      </c>
      <c r="AA189" s="70">
        <f t="shared" si="108"/>
        <v>5.7896999999999998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112"/>
        <v>0832-17</v>
      </c>
      <c r="AE189" s="104" t="str">
        <f t="shared" si="109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89" s="101" t="str">
        <f t="shared" si="110"/>
        <v>"C:\Program Files (x86)\AstroGrep\AstroGrep.exe" /spath="%USERPROFILE%\AppData\Local\Temp\OnboardLogs" /stypes="*4041*20160818*" /stext=" 00:.+((SYSTEM_STATE.+slice.+state.+changed )|(ment ac)|(system.+state.+changed )|(\|lc)|(penalty)|(\[timeout)|(PRM\|1\|D)|(kpr)|(kdp))" /e /r /s</v>
      </c>
      <c r="AG189" s="1" t="str">
        <f t="shared" si="113"/>
        <v>NW</v>
      </c>
      <c r="AH189" s="105" t="str">
        <f t="shared" si="98"/>
        <v>"%USERPROFILE%\Documents\GitHub\eaglep3\Utilities\RefineRTDCRunTimes.py" --tripid 832-17 --locoid 4041 --swversion DE.1.0.7.0 --startMP 300:58591 --initTime 2016-08-17T17:10:27 --startdatetime 2016-08-17T17:11:31 --delay 1 --endMP 204:694 --enddatetime 2016-08-17T18:25:28 --enforcementcount 0</v>
      </c>
    </row>
    <row r="190" spans="1:34" x14ac:dyDescent="0.25">
      <c r="A190" s="40" t="s">
        <v>640</v>
      </c>
      <c r="B190" s="7">
        <v>4007</v>
      </c>
      <c r="C190" s="25" t="s">
        <v>118</v>
      </c>
      <c r="D190" s="25" t="s">
        <v>599</v>
      </c>
      <c r="E190" s="16">
        <v>42599.718495370369</v>
      </c>
      <c r="F190" s="16">
        <v>42599.71943287037</v>
      </c>
      <c r="G190" s="7">
        <v>1</v>
      </c>
      <c r="H190" s="16" t="s">
        <v>641</v>
      </c>
      <c r="I190" s="16">
        <v>42599.734016203707</v>
      </c>
      <c r="J190" s="7">
        <v>0</v>
      </c>
      <c r="K190" s="142" t="str">
        <f t="shared" si="101"/>
        <v>4007/4008</v>
      </c>
      <c r="L190" s="25" t="str">
        <f>VLOOKUP(A190,'Trips&amp;Operators'!$C$1:$E$10000,3,FALSE)</f>
        <v>MOSES</v>
      </c>
      <c r="M190" s="6">
        <f t="shared" si="102"/>
        <v>1.4583333337213844E-2</v>
      </c>
      <c r="N190" s="7">
        <f t="shared" si="114"/>
        <v>21.000000005587935</v>
      </c>
      <c r="O190" s="7"/>
      <c r="P190" s="7"/>
      <c r="Q190" s="26"/>
      <c r="R190" s="26"/>
      <c r="S190" s="38">
        <f t="shared" si="103"/>
        <v>1</v>
      </c>
      <c r="T190" s="53" t="str">
        <f t="shared" si="111"/>
        <v>NorthBound</v>
      </c>
      <c r="U190" s="13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16:14:38-0600',mode:absolute,to:'2016-08-17 18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0" s="55" t="str">
        <f t="shared" si="105"/>
        <v>N</v>
      </c>
      <c r="X190" s="129">
        <f t="shared" si="100"/>
        <v>1</v>
      </c>
      <c r="Y190" s="70">
        <f t="shared" si="106"/>
        <v>9.2999999999999999E-2</v>
      </c>
      <c r="Z190" s="70">
        <f t="shared" si="107"/>
        <v>5.8960999999999997</v>
      </c>
      <c r="AA190" s="70">
        <f t="shared" si="108"/>
        <v>5.8030999999999997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112"/>
        <v>0833-17</v>
      </c>
      <c r="AE190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90" s="101" t="str">
        <f t="shared" si="110"/>
        <v>"C:\Program Files (x86)\AstroGrep\AstroGrep.exe" /spath="%USERPROFILE%\AppData\Local\Temp\OnboardLogs" /stypes="*4007*20160817*" /stext=" 23:.+((SYSTEM_STATE.+slice.+state.+changed )|(ment ac)|(system.+state.+changed )|(\|lc)|(penalty)|(\[timeout)|(PRM\|1\|D)|(kpr)|(kdp))" /e /r /s</v>
      </c>
      <c r="AG190" s="1" t="str">
        <f t="shared" si="113"/>
        <v>NW</v>
      </c>
      <c r="AH190" s="105" t="str">
        <f t="shared" si="98"/>
        <v>"%USERPROFILE%\Documents\GitHub\eaglep3\Utilities\RefineRTDCRunTimes.py" --tripid 833-17 --locoid 4007 --swversion DE.1.0.7.0 --startMP 204:930 --initTime 2016-08-17T17:14:38 --startdatetime 2016-08-17T17:15:59 --delay 1 --endMP 300:58961 --enddatetime 2016-08-17T17:36:59 --enforcementcount 0</v>
      </c>
    </row>
    <row r="191" spans="1:34" x14ac:dyDescent="0.25">
      <c r="A191" s="40" t="s">
        <v>642</v>
      </c>
      <c r="B191" s="7">
        <v>4008</v>
      </c>
      <c r="C191" s="25" t="s">
        <v>118</v>
      </c>
      <c r="D191" s="25" t="s">
        <v>643</v>
      </c>
      <c r="E191" s="16">
        <v>42599.73542824074</v>
      </c>
      <c r="F191" s="16">
        <v>42599.736516203702</v>
      </c>
      <c r="G191" s="7">
        <v>1</v>
      </c>
      <c r="H191" s="16" t="s">
        <v>644</v>
      </c>
      <c r="I191" s="16">
        <v>42599.74722222222</v>
      </c>
      <c r="J191" s="7">
        <v>0</v>
      </c>
      <c r="K191" s="142" t="str">
        <f t="shared" si="101"/>
        <v>4007/4008</v>
      </c>
      <c r="L191" s="25" t="str">
        <f>VLOOKUP(A191,'Trips&amp;Operators'!$C$1:$E$10000,3,FALSE)</f>
        <v>MOSES</v>
      </c>
      <c r="M191" s="6">
        <f t="shared" si="102"/>
        <v>1.0706018518249039E-2</v>
      </c>
      <c r="N191" s="7">
        <f t="shared" si="114"/>
        <v>15.416666666278616</v>
      </c>
      <c r="O191" s="7"/>
      <c r="P191" s="7"/>
      <c r="Q191" s="26"/>
      <c r="R191" s="26"/>
      <c r="S191" s="38">
        <f t="shared" si="103"/>
        <v>1</v>
      </c>
      <c r="T191" s="53" t="str">
        <f t="shared" si="111"/>
        <v>Southbound</v>
      </c>
      <c r="U191" s="13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16:39:01-0600',mode:absolute,to:'2016-08-17 18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1" s="55" t="str">
        <f t="shared" si="105"/>
        <v>N</v>
      </c>
      <c r="X191" s="129">
        <f t="shared" ref="X191:X223" si="115">VALUE(LEFT(AD191,4))-VALUE(LEFT(AD190,4))</f>
        <v>1</v>
      </c>
      <c r="Y191" s="70">
        <f t="shared" si="106"/>
        <v>5.8638000000000003</v>
      </c>
      <c r="Z191" s="70">
        <f t="shared" si="107"/>
        <v>6.2199999999999998E-2</v>
      </c>
      <c r="AA191" s="70">
        <f t="shared" si="108"/>
        <v>5.8016000000000005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112"/>
        <v>0834-17</v>
      </c>
      <c r="AE191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91" s="101" t="str">
        <f t="shared" si="110"/>
        <v>"C:\Program Files (x86)\AstroGrep\AstroGrep.exe" /spath="%USERPROFILE%\AppData\Local\Temp\OnboardLogs" /stypes="*4008*20160817*" /stext=" 23:.+((SYSTEM_STATE.+slice.+state.+changed )|(ment ac)|(system.+state.+changed )|(\|lc)|(penalty)|(\[timeout)|(PRM\|1\|D)|(kpr)|(kdp))" /e /r /s</v>
      </c>
      <c r="AG191" s="1" t="str">
        <f t="shared" si="113"/>
        <v>NW</v>
      </c>
      <c r="AH191" s="105" t="str">
        <f t="shared" si="98"/>
        <v>"%USERPROFILE%\Documents\GitHub\eaglep3\Utilities\RefineRTDCRunTimes.py" --tripid 834-17 --locoid 4008 --swversion DE.1.0.7.0 --startMP 300:58638 --initTime 2016-08-17T17:39:01 --startdatetime 2016-08-17T17:40:35 --delay 1 --endMP 204:622 --enddatetime 2016-08-17T17:56:00 --enforcementcount 0</v>
      </c>
    </row>
    <row r="192" spans="1:34" x14ac:dyDescent="0.25">
      <c r="A192" s="40" t="s">
        <v>645</v>
      </c>
      <c r="B192" s="7">
        <v>4042</v>
      </c>
      <c r="C192" s="25" t="s">
        <v>118</v>
      </c>
      <c r="D192" s="25" t="s">
        <v>242</v>
      </c>
      <c r="E192" s="16">
        <v>42599.738738425927</v>
      </c>
      <c r="F192" s="16">
        <v>42599.739675925928</v>
      </c>
      <c r="G192" s="7">
        <v>1</v>
      </c>
      <c r="H192" s="16" t="s">
        <v>646</v>
      </c>
      <c r="I192" s="16">
        <v>42599.753692129627</v>
      </c>
      <c r="J192" s="7">
        <v>0</v>
      </c>
      <c r="K192" s="142" t="str">
        <f t="shared" si="101"/>
        <v>4041/4042</v>
      </c>
      <c r="L192" s="25" t="str">
        <f>VLOOKUP(A192,'Trips&amp;Operators'!$C$1:$E$10000,3,FALSE)</f>
        <v>OUN</v>
      </c>
      <c r="M192" s="6">
        <f t="shared" si="102"/>
        <v>1.4016203698702157E-2</v>
      </c>
      <c r="N192" s="7">
        <f t="shared" si="114"/>
        <v>20.183333326131105</v>
      </c>
      <c r="O192" s="7"/>
      <c r="P192" s="7"/>
      <c r="Q192" s="26"/>
      <c r="R192" s="26"/>
      <c r="S192" s="38">
        <f t="shared" si="103"/>
        <v>1</v>
      </c>
      <c r="T192" s="53" t="str">
        <f t="shared" si="111"/>
        <v>NorthBound</v>
      </c>
      <c r="U192" s="13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16:43:47-0600',mode:absolute,to:'2016-08-17 19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2" s="55" t="str">
        <f t="shared" si="105"/>
        <v>N</v>
      </c>
      <c r="X192" s="129">
        <f t="shared" si="115"/>
        <v>1</v>
      </c>
      <c r="Y192" s="70">
        <f t="shared" si="106"/>
        <v>9.6500000000000002E-2</v>
      </c>
      <c r="Z192" s="70">
        <f t="shared" si="107"/>
        <v>5.8906999999999998</v>
      </c>
      <c r="AA192" s="70">
        <f t="shared" si="108"/>
        <v>5.7942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112"/>
        <v>0835-17</v>
      </c>
      <c r="AE192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92" s="101" t="str">
        <f t="shared" si="110"/>
        <v>"C:\Program Files (x86)\AstroGrep\AstroGrep.exe" /spath="%USERPROFILE%\AppData\Local\Temp\OnboardLogs" /stypes="*4042*20160818*" /stext=" 00:.+((SYSTEM_STATE.+slice.+state.+changed )|(ment ac)|(system.+state.+changed )|(\|lc)|(penalty)|(\[timeout)|(PRM\|1\|D)|(kpr)|(kdp))" /e /r /s</v>
      </c>
      <c r="AG192" s="1" t="str">
        <f t="shared" si="113"/>
        <v>NW</v>
      </c>
      <c r="AH192" s="105" t="str">
        <f t="shared" si="98"/>
        <v>"%USERPROFILE%\Documents\GitHub\eaglep3\Utilities\RefineRTDCRunTimes.py" --tripid 835-17 --locoid 4042 --swversion DE.1.0.7.0 --startMP 204:965 --initTime 2016-08-17T17:43:47 --startdatetime 2016-08-17T17:45:08 --delay 1 --endMP 300:58907 --enddatetime 2016-08-17T18:05:19 --enforcementcount 0</v>
      </c>
    </row>
    <row r="193" spans="1:34" x14ac:dyDescent="0.25">
      <c r="A193" s="40" t="s">
        <v>647</v>
      </c>
      <c r="B193" s="7">
        <v>4041</v>
      </c>
      <c r="C193" s="25" t="s">
        <v>118</v>
      </c>
      <c r="D193" s="25" t="s">
        <v>293</v>
      </c>
      <c r="E193" s="16">
        <v>42599.754733796297</v>
      </c>
      <c r="F193" s="16">
        <v>42599.755752314813</v>
      </c>
      <c r="G193" s="7">
        <v>1</v>
      </c>
      <c r="H193" s="16" t="s">
        <v>298</v>
      </c>
      <c r="I193" s="16">
        <v>42599.767685185187</v>
      </c>
      <c r="J193" s="7">
        <v>0</v>
      </c>
      <c r="K193" s="142" t="str">
        <f t="shared" ref="K193:K223" si="116">IF(ISEVEN(B193),(B193-1)&amp;"/"&amp;B193,B193&amp;"/"&amp;(B193+1))</f>
        <v>4041/4042</v>
      </c>
      <c r="L193" s="25" t="str">
        <f>VLOOKUP(A193,'Trips&amp;Operators'!$C$1:$E$10000,3,FALSE)</f>
        <v>OUN</v>
      </c>
      <c r="M193" s="6">
        <f t="shared" ref="M193:M223" si="117">I193-F193</f>
        <v>1.1932870373129845E-2</v>
      </c>
      <c r="N193" s="7">
        <f t="shared" si="114"/>
        <v>17.183333337306976</v>
      </c>
      <c r="O193" s="7"/>
      <c r="P193" s="7"/>
      <c r="Q193" s="26"/>
      <c r="R193" s="26"/>
      <c r="S193" s="38">
        <f t="shared" ref="S193:S223" si="118">SUM(U193:U193)/IF(AG193="EC",12,1)</f>
        <v>1</v>
      </c>
      <c r="T193" s="53" t="str">
        <f t="shared" si="111"/>
        <v>Southbound</v>
      </c>
      <c r="U193" s="13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1" t="str">
        <f t="shared" ref="V193:V223" si="119"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https://search-rtdc-monitor-bjffxe2xuh6vdkpspy63sjmuny.us-east-1.es.amazonaws.com/_plugin/kibana/#/discover/Steve-Slow-Train-Analysis-(2080s-and-2083s)?_g=(refreshInterval:(display:Off,section:0,value:0),time:(from:'2016-08-17 17:06:49-0600',mode:absolute,to:'2016-08-17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3" s="55" t="str">
        <f t="shared" ref="W193:W223" si="120">IF(AA193&lt;IF(AG193="EC",23,5.65),"Y","N")</f>
        <v>N</v>
      </c>
      <c r="X193" s="129">
        <f t="shared" si="115"/>
        <v>1</v>
      </c>
      <c r="Y193" s="70">
        <f t="shared" ref="Y193:Y223" si="121">RIGHT(D193,LEN(D193)-4)/10000</f>
        <v>5.8596000000000004</v>
      </c>
      <c r="Z193" s="70">
        <f t="shared" ref="Z193:Z223" si="122">RIGHT(H193,LEN(H193)-4)/10000</f>
        <v>6.9400000000000003E-2</v>
      </c>
      <c r="AA193" s="70">
        <f t="shared" ref="AA193:AA224" si="123">ABS(Z193-Y193)</f>
        <v>5.7902000000000005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112"/>
        <v>0836-17</v>
      </c>
      <c r="AE193" s="104" t="str">
        <f t="shared" ref="AE193:AE223" si="124"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93" s="101" t="str">
        <f t="shared" ref="AF193:AF223" si="125">astrogrep_path&amp;" /spath="&amp;search_path&amp;" /stypes=""*"&amp;B193&amp;"*"&amp;TEXT(I193-utc_offset/24,"YYYYMMDD")&amp;"*"" /stext="" "&amp;TEXT(I193-utc_offset/24,"HH")&amp;search_regexp&amp;""" /e /r /s"</f>
        <v>"C:\Program Files (x86)\AstroGrep\AstroGrep.exe" /spath="%USERPROFILE%\AppData\Local\Temp\OnboardLogs" /stypes="*4041*20160818*" /stext=" 00:.+((SYSTEM_STATE.+slice.+state.+changed )|(ment ac)|(system.+state.+changed )|(\|lc)|(penalty)|(\[timeout)|(PRM\|1\|D)|(kpr)|(kdp))" /e /r /s</v>
      </c>
      <c r="AG193" s="1" t="str">
        <f t="shared" si="113"/>
        <v>NW</v>
      </c>
      <c r="AH193" s="105" t="str">
        <f t="shared" si="98"/>
        <v>"%USERPROFILE%\Documents\GitHub\eaglep3\Utilities\RefineRTDCRunTimes.py" --tripid 836-17 --locoid 4041 --swversion DE.1.0.7.0 --startMP 300:58596 --initTime 2016-08-17T18:06:49 --startdatetime 2016-08-17T18:08:17 --delay 1 --endMP 204:694 --enddatetime 2016-08-17T18:25:28 --enforcementcount 0</v>
      </c>
    </row>
    <row r="194" spans="1:34" x14ac:dyDescent="0.25">
      <c r="A194" s="40" t="s">
        <v>648</v>
      </c>
      <c r="B194" s="7">
        <v>4007</v>
      </c>
      <c r="C194" s="25" t="s">
        <v>118</v>
      </c>
      <c r="D194" s="25" t="s">
        <v>649</v>
      </c>
      <c r="E194" s="16">
        <v>42599.761932870373</v>
      </c>
      <c r="F194" s="16">
        <v>42599.763240740744</v>
      </c>
      <c r="G194" s="7">
        <v>1</v>
      </c>
      <c r="H194" s="16" t="s">
        <v>650</v>
      </c>
      <c r="I194" s="16">
        <v>42599.774525462963</v>
      </c>
      <c r="J194" s="7">
        <v>0</v>
      </c>
      <c r="K194" s="142" t="str">
        <f t="shared" si="116"/>
        <v>4007/4008</v>
      </c>
      <c r="L194" s="25" t="str">
        <f>VLOOKUP(A194,'Trips&amp;Operators'!$C$1:$E$10000,3,FALSE)</f>
        <v>MOSES</v>
      </c>
      <c r="M194" s="6">
        <f t="shared" si="117"/>
        <v>1.1284722218988463E-2</v>
      </c>
      <c r="N194" s="7">
        <f t="shared" si="114"/>
        <v>16.249999995343387</v>
      </c>
      <c r="O194" s="7"/>
      <c r="P194" s="7"/>
      <c r="Q194" s="26"/>
      <c r="R194" s="26"/>
      <c r="S194" s="38">
        <f t="shared" si="118"/>
        <v>1</v>
      </c>
      <c r="T194" s="53" t="str">
        <f t="shared" si="111"/>
        <v>NorthBound</v>
      </c>
      <c r="U194" s="13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17:17:11-0600',mode:absolute,to:'2016-08-17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4" s="55" t="str">
        <f t="shared" si="120"/>
        <v>N</v>
      </c>
      <c r="X194" s="129">
        <f t="shared" si="115"/>
        <v>1</v>
      </c>
      <c r="Y194" s="70">
        <f t="shared" si="121"/>
        <v>9.3200000000000005E-2</v>
      </c>
      <c r="Z194" s="70">
        <f t="shared" si="122"/>
        <v>5.8975</v>
      </c>
      <c r="AA194" s="70">
        <f t="shared" si="123"/>
        <v>5.8042999999999996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112"/>
        <v>0837-17</v>
      </c>
      <c r="AE194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94" s="101" t="str">
        <f t="shared" si="125"/>
        <v>"C:\Program Files (x86)\AstroGrep\AstroGrep.exe" /spath="%USERPROFILE%\AppData\Local\Temp\OnboardLogs" /stypes="*4007*20160818*" /stext=" 00:.+((SYSTEM_STATE.+slice.+state.+changed )|(ment ac)|(system.+state.+changed )|(\|lc)|(penalty)|(\[timeout)|(PRM\|1\|D)|(kpr)|(kdp))" /e /r /s</v>
      </c>
      <c r="AG194" s="1" t="str">
        <f t="shared" si="113"/>
        <v>NW</v>
      </c>
      <c r="AH194" s="105" t="str">
        <f t="shared" si="98"/>
        <v>"%USERPROFILE%\Documents\GitHub\eaglep3\Utilities\RefineRTDCRunTimes.py" --tripid 837-17 --locoid 4007 --swversion DE.1.0.7.0 --startMP 204:932 --initTime 2016-08-17T18:17:11 --startdatetime 2016-08-17T18:19:04 --delay 1 --endMP 300:58975 --enddatetime 2016-08-17T18:35:19 --enforcementcount 0</v>
      </c>
    </row>
    <row r="195" spans="1:34" x14ac:dyDescent="0.25">
      <c r="A195" s="40" t="s">
        <v>651</v>
      </c>
      <c r="B195" s="7">
        <v>4008</v>
      </c>
      <c r="C195" s="25" t="s">
        <v>118</v>
      </c>
      <c r="D195" s="25" t="s">
        <v>652</v>
      </c>
      <c r="E195" s="16">
        <v>42599.775856481479</v>
      </c>
      <c r="F195" s="16">
        <v>42599.776666666665</v>
      </c>
      <c r="G195" s="7">
        <v>1</v>
      </c>
      <c r="H195" s="16" t="s">
        <v>653</v>
      </c>
      <c r="I195" s="16">
        <v>42599.789351851854</v>
      </c>
      <c r="J195" s="7">
        <v>0</v>
      </c>
      <c r="K195" s="142" t="str">
        <f t="shared" si="116"/>
        <v>4007/4008</v>
      </c>
      <c r="L195" s="25" t="str">
        <f>VLOOKUP(A195,'Trips&amp;Operators'!$C$1:$E$10000,3,FALSE)</f>
        <v>MOSES</v>
      </c>
      <c r="M195" s="6">
        <f t="shared" si="117"/>
        <v>1.2685185189184267E-2</v>
      </c>
      <c r="N195" s="7">
        <f t="shared" si="114"/>
        <v>18.266666672425345</v>
      </c>
      <c r="O195" s="7"/>
      <c r="P195" s="7"/>
      <c r="Q195" s="26"/>
      <c r="R195" s="26"/>
      <c r="S195" s="38">
        <f t="shared" si="118"/>
        <v>1</v>
      </c>
      <c r="T195" s="53" t="str">
        <f t="shared" si="111"/>
        <v>Southbound</v>
      </c>
      <c r="U195" s="13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17:37:14-0600',mode:absolute,to:'2016-08-17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5" s="55" t="str">
        <f t="shared" si="120"/>
        <v>N</v>
      </c>
      <c r="X195" s="129">
        <f t="shared" si="115"/>
        <v>1</v>
      </c>
      <c r="Y195" s="70">
        <f t="shared" si="121"/>
        <v>5.8663999999999996</v>
      </c>
      <c r="Z195" s="70">
        <f t="shared" si="122"/>
        <v>6.5199999999999994E-2</v>
      </c>
      <c r="AA195" s="70">
        <f t="shared" si="123"/>
        <v>5.8011999999999997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112"/>
        <v>0838-17</v>
      </c>
      <c r="AE195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95" s="101" t="str">
        <f t="shared" si="125"/>
        <v>"C:\Program Files (x86)\AstroGrep\AstroGrep.exe" /spath="%USERPROFILE%\AppData\Local\Temp\OnboardLogs" /stypes="*4008*20160818*" /stext=" 00:.+((SYSTEM_STATE.+slice.+state.+changed )|(ment ac)|(system.+state.+changed )|(\|lc)|(penalty)|(\[timeout)|(PRM\|1\|D)|(kpr)|(kdp))" /e /r /s</v>
      </c>
      <c r="AG195" s="1" t="str">
        <f t="shared" si="113"/>
        <v>NW</v>
      </c>
      <c r="AH195" s="105" t="str">
        <f t="shared" si="98"/>
        <v>"%USERPROFILE%\Documents\GitHub\eaglep3\Utilities\RefineRTDCRunTimes.py" --tripid 838-17 --locoid 4008 --swversion DE.1.0.7.0 --startMP 300:58664 --initTime 2016-08-17T18:37:14 --startdatetime 2016-08-17T18:38:24 --delay 1 --endMP 204:652 --enddatetime 2016-08-17T18:56:40 --enforcementcount 0</v>
      </c>
    </row>
    <row r="196" spans="1:34" x14ac:dyDescent="0.25">
      <c r="A196" s="40" t="s">
        <v>654</v>
      </c>
      <c r="B196" s="7">
        <v>4042</v>
      </c>
      <c r="C196" s="25" t="s">
        <v>118</v>
      </c>
      <c r="D196" s="25" t="s">
        <v>297</v>
      </c>
      <c r="E196" s="16">
        <v>42599.77952546296</v>
      </c>
      <c r="F196" s="16">
        <v>42599.780347222222</v>
      </c>
      <c r="G196" s="7">
        <v>1</v>
      </c>
      <c r="H196" s="16" t="s">
        <v>655</v>
      </c>
      <c r="I196" s="16">
        <v>42599.795891203707</v>
      </c>
      <c r="J196" s="7">
        <v>0</v>
      </c>
      <c r="K196" s="142" t="str">
        <f t="shared" si="116"/>
        <v>4041/4042</v>
      </c>
      <c r="L196" s="25" t="str">
        <f>VLOOKUP(A196,'Trips&amp;Operators'!$C$1:$E$10000,3,FALSE)</f>
        <v>OUN</v>
      </c>
      <c r="M196" s="6">
        <f t="shared" si="117"/>
        <v>1.5543981484370306E-2</v>
      </c>
      <c r="N196" s="7">
        <f t="shared" si="114"/>
        <v>22.383333337493241</v>
      </c>
      <c r="O196" s="7"/>
      <c r="P196" s="7"/>
      <c r="Q196" s="26"/>
      <c r="R196" s="26"/>
      <c r="S196" s="38">
        <f t="shared" si="118"/>
        <v>1</v>
      </c>
      <c r="T196" s="53" t="str">
        <f t="shared" si="111"/>
        <v>NorthBound</v>
      </c>
      <c r="U196" s="13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17:42:31-0600',mode:absolute,to:'2016-08-17 20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6" s="55" t="str">
        <f t="shared" si="120"/>
        <v>N</v>
      </c>
      <c r="X196" s="129">
        <f t="shared" si="115"/>
        <v>1</v>
      </c>
      <c r="Y196" s="70">
        <f t="shared" si="121"/>
        <v>9.7900000000000001E-2</v>
      </c>
      <c r="Z196" s="70">
        <f t="shared" si="122"/>
        <v>5.8901000000000003</v>
      </c>
      <c r="AA196" s="70">
        <f t="shared" si="123"/>
        <v>5.7922000000000002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112"/>
        <v>0839-17</v>
      </c>
      <c r="AE196" s="104" t="str">
        <f t="shared" si="124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96" s="101" t="str">
        <f t="shared" si="125"/>
        <v>"C:\Program Files (x86)\AstroGrep\AstroGrep.exe" /spath="%USERPROFILE%\AppData\Local\Temp\OnboardLogs" /stypes="*4042*20160818*" /stext=" 01:.+((SYSTEM_STATE.+slice.+state.+changed )|(ment ac)|(system.+state.+changed )|(\|lc)|(penalty)|(\[timeout)|(PRM\|1\|D)|(kpr)|(kdp))" /e /r /s</v>
      </c>
      <c r="AG196" s="1" t="str">
        <f t="shared" si="113"/>
        <v>NW</v>
      </c>
      <c r="AH196" s="105" t="str">
        <f t="shared" si="98"/>
        <v>"%USERPROFILE%\Documents\GitHub\eaglep3\Utilities\RefineRTDCRunTimes.py" --tripid 839-17 --locoid 4042 --swversion DE.1.0.7.0 --startMP 204:979 --initTime 2016-08-17T18:42:31 --startdatetime 2016-08-17T18:43:42 --delay 1 --endMP 300:58901 --enddatetime 2016-08-17T19:06:05 --enforcementcount 0</v>
      </c>
    </row>
    <row r="197" spans="1:34" x14ac:dyDescent="0.25">
      <c r="A197" s="40" t="s">
        <v>656</v>
      </c>
      <c r="B197" s="7">
        <v>4008</v>
      </c>
      <c r="C197" s="25" t="s">
        <v>118</v>
      </c>
      <c r="D197" s="25" t="s">
        <v>657</v>
      </c>
      <c r="E197" s="16">
        <v>42599.818414351852</v>
      </c>
      <c r="F197" s="16">
        <v>42599.819490740738</v>
      </c>
      <c r="G197" s="7">
        <v>1</v>
      </c>
      <c r="H197" s="16" t="s">
        <v>289</v>
      </c>
      <c r="I197" s="16">
        <v>42599.830625000002</v>
      </c>
      <c r="J197" s="7">
        <v>0</v>
      </c>
      <c r="K197" s="142" t="str">
        <f t="shared" si="116"/>
        <v>4007/4008</v>
      </c>
      <c r="L197" s="25" t="str">
        <f>VLOOKUP(A197,'Trips&amp;Operators'!$C$1:$E$10000,3,FALSE)</f>
        <v>MOSES</v>
      </c>
      <c r="M197" s="6">
        <f t="shared" si="117"/>
        <v>1.1134259264508728E-2</v>
      </c>
      <c r="N197" s="7">
        <f t="shared" si="114"/>
        <v>16.033333340892568</v>
      </c>
      <c r="O197" s="7"/>
      <c r="P197" s="7"/>
      <c r="Q197" s="26"/>
      <c r="R197" s="26"/>
      <c r="S197" s="38">
        <f t="shared" si="118"/>
        <v>1</v>
      </c>
      <c r="T197" s="53" t="str">
        <f t="shared" si="111"/>
        <v>Southbound</v>
      </c>
      <c r="U197" s="13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18:38:31-0600',mode:absolute,to:'2016-08-17 20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7" s="55" t="str">
        <f t="shared" si="120"/>
        <v>N</v>
      </c>
      <c r="X197" s="129">
        <f t="shared" si="115"/>
        <v>1</v>
      </c>
      <c r="Y197" s="70">
        <f t="shared" si="121"/>
        <v>5.8666</v>
      </c>
      <c r="Z197" s="70">
        <f t="shared" si="122"/>
        <v>6.4000000000000001E-2</v>
      </c>
      <c r="AA197" s="70">
        <f t="shared" si="123"/>
        <v>5.8026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112"/>
        <v>0840-17</v>
      </c>
      <c r="AE197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97" s="101" t="str">
        <f t="shared" si="125"/>
        <v>"C:\Program Files (x86)\AstroGrep\AstroGrep.exe" /spath="%USERPROFILE%\AppData\Local\Temp\OnboardLogs" /stypes="*4008*20160818*" /stext=" 01:.+((SYSTEM_STATE.+slice.+state.+changed )|(ment ac)|(system.+state.+changed )|(\|lc)|(penalty)|(\[timeout)|(PRM\|1\|D)|(kpr)|(kdp))" /e /r /s</v>
      </c>
      <c r="AG197" s="1" t="str">
        <f t="shared" si="113"/>
        <v>NW</v>
      </c>
      <c r="AH197" s="105" t="str">
        <f t="shared" si="98"/>
        <v>"%USERPROFILE%\Documents\GitHub\eaglep3\Utilities\RefineRTDCRunTimes.py" --tripid 840-17 --locoid 4008 --swversion DE.1.0.7.0 --startMP 300:58666 --initTime 2016-08-17T19:38:31 --startdatetime 2016-08-17T19:40:04 --delay 1 --endMP 204:640 --enddatetime 2016-08-17T19:56:06 --enforcementcount 0</v>
      </c>
    </row>
    <row r="198" spans="1:34" x14ac:dyDescent="0.25">
      <c r="A198" s="40" t="s">
        <v>658</v>
      </c>
      <c r="B198" s="7">
        <v>4007</v>
      </c>
      <c r="C198" s="25" t="s">
        <v>118</v>
      </c>
      <c r="D198" s="25" t="s">
        <v>659</v>
      </c>
      <c r="E198" s="16">
        <v>42599.802465277775</v>
      </c>
      <c r="F198" s="16">
        <v>42599.803506944445</v>
      </c>
      <c r="G198" s="7">
        <v>1</v>
      </c>
      <c r="H198" s="16" t="s">
        <v>618</v>
      </c>
      <c r="I198" s="16">
        <v>42599.816886574074</v>
      </c>
      <c r="J198" s="7">
        <v>0</v>
      </c>
      <c r="K198" s="142" t="str">
        <f t="shared" si="116"/>
        <v>4007/4008</v>
      </c>
      <c r="L198" s="25" t="str">
        <f>VLOOKUP(A198,'Trips&amp;Operators'!$C$1:$E$10000,3,FALSE)</f>
        <v>MOSES</v>
      </c>
      <c r="M198" s="6">
        <f t="shared" si="117"/>
        <v>1.3379629628616385E-2</v>
      </c>
      <c r="N198" s="7">
        <f t="shared" si="114"/>
        <v>19.266666665207595</v>
      </c>
      <c r="O198" s="7"/>
      <c r="P198" s="7"/>
      <c r="Q198" s="26"/>
      <c r="R198" s="26"/>
      <c r="S198" s="38">
        <f t="shared" si="118"/>
        <v>1</v>
      </c>
      <c r="T198" s="53" t="str">
        <f t="shared" ref="T198:T223" si="126">IF(ISEVEN(LEFT(AD198,4)),"Southbound","NorthBound")</f>
        <v>NorthBound</v>
      </c>
      <c r="U198" s="13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18:15:33-0600',mode:absolute,to:'2016-08-17 20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8" s="55" t="str">
        <f t="shared" si="120"/>
        <v>N</v>
      </c>
      <c r="X198" s="129">
        <f t="shared" si="115"/>
        <v>1</v>
      </c>
      <c r="Y198" s="70">
        <f t="shared" si="121"/>
        <v>9.3899999999999997E-2</v>
      </c>
      <c r="Z198" s="70">
        <f t="shared" si="122"/>
        <v>5.8979999999999997</v>
      </c>
      <c r="AA198" s="70">
        <f t="shared" si="123"/>
        <v>5.8041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ref="AD198:AD223" si="127">IF(LEN(A198)=6,"0"&amp;A198,A198)</f>
        <v>0841-17</v>
      </c>
      <c r="AE198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98" s="101" t="str">
        <f t="shared" si="125"/>
        <v>"C:\Program Files (x86)\AstroGrep\AstroGrep.exe" /spath="%USERPROFILE%\AppData\Local\Temp\OnboardLogs" /stypes="*4007*20160818*" /stext=" 01:.+((SYSTEM_STATE.+slice.+state.+changed )|(ment ac)|(system.+state.+changed )|(\|lc)|(penalty)|(\[timeout)|(PRM\|1\|D)|(kpr)|(kdp))" /e /r /s</v>
      </c>
      <c r="AG198" s="1" t="str">
        <f t="shared" ref="AG198:AG223" si="128">IFERROR(IF(VALUE(LEFT(AD198,2))&lt;=2,"EC",IF(OR(VALUE(LEFT(AD198,2))=8,VALUE(LEFT(AD198,2))=18),"NW","Other")),"Other")</f>
        <v>NW</v>
      </c>
      <c r="AH198" s="105" t="str">
        <f t="shared" si="98"/>
        <v>"%USERPROFILE%\Documents\GitHub\eaglep3\Utilities\RefineRTDCRunTimes.py" --tripid 841-17 --locoid 4007 --swversion DE.1.0.7.0 --startMP 204:939 --initTime 2016-08-17T19:15:33 --startdatetime 2016-08-17T19:17:03 --delay 1 --endMP 300:58980 --enddatetime 2016-08-17T19:36:19 --enforcementcount 0</v>
      </c>
    </row>
    <row r="199" spans="1:34" x14ac:dyDescent="0.25">
      <c r="A199" s="40" t="s">
        <v>660</v>
      </c>
      <c r="B199" s="7">
        <v>4008</v>
      </c>
      <c r="C199" s="25" t="s">
        <v>118</v>
      </c>
      <c r="D199" s="25" t="s">
        <v>652</v>
      </c>
      <c r="E199" s="16">
        <v>42599.859618055554</v>
      </c>
      <c r="F199" s="16">
        <v>42599.860555555555</v>
      </c>
      <c r="G199" s="7">
        <v>1</v>
      </c>
      <c r="H199" s="16" t="s">
        <v>244</v>
      </c>
      <c r="I199" s="16">
        <v>42599.872152777774</v>
      </c>
      <c r="J199" s="7">
        <v>0</v>
      </c>
      <c r="K199" s="142" t="str">
        <f t="shared" si="116"/>
        <v>4007/4008</v>
      </c>
      <c r="L199" s="25" t="str">
        <f>VLOOKUP(A199,'Trips&amp;Operators'!$C$1:$E$10000,3,FALSE)</f>
        <v>MOSES</v>
      </c>
      <c r="M199" s="6">
        <f t="shared" si="117"/>
        <v>1.1597222219279502E-2</v>
      </c>
      <c r="N199" s="7">
        <f t="shared" si="114"/>
        <v>16.699999995762482</v>
      </c>
      <c r="O199" s="7"/>
      <c r="P199" s="7"/>
      <c r="Q199" s="26"/>
      <c r="R199" s="26"/>
      <c r="S199" s="38">
        <f t="shared" si="118"/>
        <v>1</v>
      </c>
      <c r="T199" s="53" t="str">
        <f t="shared" si="126"/>
        <v>Southbound</v>
      </c>
      <c r="U199" s="13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19:37:51-0600',mode:absolute,to:'2016-08-17 21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9" s="55" t="str">
        <f t="shared" si="120"/>
        <v>N</v>
      </c>
      <c r="X199" s="129">
        <f t="shared" si="115"/>
        <v>1</v>
      </c>
      <c r="Y199" s="70">
        <f t="shared" si="121"/>
        <v>5.8663999999999996</v>
      </c>
      <c r="Z199" s="70">
        <f t="shared" si="122"/>
        <v>6.3500000000000001E-2</v>
      </c>
      <c r="AA199" s="70">
        <f t="shared" si="123"/>
        <v>5.8028999999999993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127"/>
        <v>0842-17</v>
      </c>
      <c r="AE199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99" s="101" t="str">
        <f t="shared" si="125"/>
        <v>"C:\Program Files (x86)\AstroGrep\AstroGrep.exe" /spath="%USERPROFILE%\AppData\Local\Temp\OnboardLogs" /stypes="*4008*20160818*" /stext=" 02:.+((SYSTEM_STATE.+slice.+state.+changed )|(ment ac)|(system.+state.+changed )|(\|lc)|(penalty)|(\[timeout)|(PRM\|1\|D)|(kpr)|(kdp))" /e /r /s</v>
      </c>
      <c r="AG199" s="1" t="str">
        <f t="shared" si="128"/>
        <v>NW</v>
      </c>
      <c r="AH199" s="105" t="str">
        <f t="shared" si="98"/>
        <v>"%USERPROFILE%\Documents\GitHub\eaglep3\Utilities\RefineRTDCRunTimes.py" --tripid 842-17 --locoid 4008 --swversion DE.1.0.7.0 --startMP 300:58664 --initTime 2016-08-17T20:37:51 --startdatetime 2016-08-17T20:39:12 --delay 1 --endMP 204:635 --enddatetime 2016-08-17T20:55:54 --enforcementcount 0</v>
      </c>
    </row>
    <row r="200" spans="1:34" x14ac:dyDescent="0.25">
      <c r="A200" s="40" t="s">
        <v>661</v>
      </c>
      <c r="B200" s="7">
        <v>4007</v>
      </c>
      <c r="C200" s="25" t="s">
        <v>118</v>
      </c>
      <c r="D200" s="25" t="s">
        <v>649</v>
      </c>
      <c r="E200" s="16">
        <v>42599.844039351854</v>
      </c>
      <c r="F200" s="16">
        <v>42599.845243055555</v>
      </c>
      <c r="G200" s="7">
        <v>1</v>
      </c>
      <c r="H200" s="16" t="s">
        <v>662</v>
      </c>
      <c r="I200" s="16">
        <v>42599.85837962963</v>
      </c>
      <c r="J200" s="7">
        <v>0</v>
      </c>
      <c r="K200" s="142" t="str">
        <f t="shared" si="116"/>
        <v>4007/4008</v>
      </c>
      <c r="L200" s="25" t="str">
        <f>VLOOKUP(A200,'Trips&amp;Operators'!$C$1:$E$10000,3,FALSE)</f>
        <v>MOSES</v>
      </c>
      <c r="M200" s="6">
        <f t="shared" si="117"/>
        <v>1.3136574074451346E-2</v>
      </c>
      <c r="N200" s="7">
        <f t="shared" si="114"/>
        <v>18.916666667209938</v>
      </c>
      <c r="O200" s="7"/>
      <c r="P200" s="7"/>
      <c r="Q200" s="26"/>
      <c r="R200" s="26"/>
      <c r="S200" s="38">
        <f t="shared" si="118"/>
        <v>1</v>
      </c>
      <c r="T200" s="53" t="str">
        <f t="shared" si="126"/>
        <v>NorthBound</v>
      </c>
      <c r="U200" s="13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19:15:25-0600',mode:absolute,to:'2016-08-17 21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0" s="55" t="str">
        <f t="shared" si="120"/>
        <v>N</v>
      </c>
      <c r="X200" s="129">
        <f t="shared" si="115"/>
        <v>1</v>
      </c>
      <c r="Y200" s="70">
        <f t="shared" si="121"/>
        <v>9.3200000000000005E-2</v>
      </c>
      <c r="Z200" s="70">
        <f t="shared" si="122"/>
        <v>5.8978000000000002</v>
      </c>
      <c r="AA200" s="70">
        <f t="shared" si="123"/>
        <v>5.8045999999999998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127"/>
        <v>0843-17</v>
      </c>
      <c r="AE200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200" s="101" t="str">
        <f t="shared" si="125"/>
        <v>"C:\Program Files (x86)\AstroGrep\AstroGrep.exe" /spath="%USERPROFILE%\AppData\Local\Temp\OnboardLogs" /stypes="*4007*20160818*" /stext=" 02:.+((SYSTEM_STATE.+slice.+state.+changed )|(ment ac)|(system.+state.+changed )|(\|lc)|(penalty)|(\[timeout)|(PRM\|1\|D)|(kpr)|(kdp))" /e /r /s</v>
      </c>
      <c r="AG200" s="1" t="str">
        <f t="shared" si="128"/>
        <v>NW</v>
      </c>
      <c r="AH200" s="105" t="str">
        <f t="shared" si="98"/>
        <v>"%USERPROFILE%\Documents\GitHub\eaglep3\Utilities\RefineRTDCRunTimes.py" --tripid 843-17 --locoid 4007 --swversion DE.1.0.7.0 --startMP 204:932 --initTime 2016-08-17T20:15:25 --startdatetime 2016-08-17T20:17:09 --delay 1 --endMP 300:58978 --enddatetime 2016-08-17T20:36:04 --enforcementcount 0</v>
      </c>
    </row>
    <row r="201" spans="1:34" x14ac:dyDescent="0.25">
      <c r="A201" s="40" t="s">
        <v>663</v>
      </c>
      <c r="B201" s="7">
        <v>4008</v>
      </c>
      <c r="C201" s="25" t="s">
        <v>118</v>
      </c>
      <c r="D201" s="25" t="s">
        <v>291</v>
      </c>
      <c r="E201" s="16">
        <v>42599.900972222225</v>
      </c>
      <c r="F201" s="16">
        <v>42599.901863425926</v>
      </c>
      <c r="G201" s="7">
        <v>1</v>
      </c>
      <c r="H201" s="16" t="s">
        <v>296</v>
      </c>
      <c r="I201" s="16">
        <v>42599.91369212963</v>
      </c>
      <c r="J201" s="7">
        <v>0</v>
      </c>
      <c r="K201" s="142" t="str">
        <f t="shared" si="116"/>
        <v>4007/4008</v>
      </c>
      <c r="L201" s="25" t="str">
        <f>VLOOKUP(A201,'Trips&amp;Operators'!$C$1:$E$10000,3,FALSE)</f>
        <v>OUN</v>
      </c>
      <c r="M201" s="6">
        <f t="shared" si="117"/>
        <v>1.1828703703940846E-2</v>
      </c>
      <c r="N201" s="7">
        <f t="shared" si="114"/>
        <v>17.033333333674818</v>
      </c>
      <c r="O201" s="7"/>
      <c r="P201" s="7"/>
      <c r="Q201" s="26"/>
      <c r="R201" s="26"/>
      <c r="S201" s="38">
        <f t="shared" si="118"/>
        <v>1</v>
      </c>
      <c r="T201" s="53" t="str">
        <f t="shared" si="126"/>
        <v>Southbound</v>
      </c>
      <c r="U201" s="13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20:37:24-0600',mode:absolute,to:'2016-08-17 22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01" s="55" t="str">
        <f t="shared" si="120"/>
        <v>N</v>
      </c>
      <c r="X201" s="129">
        <f t="shared" si="115"/>
        <v>1</v>
      </c>
      <c r="Y201" s="70">
        <f t="shared" si="121"/>
        <v>5.8619000000000003</v>
      </c>
      <c r="Z201" s="70">
        <f t="shared" si="122"/>
        <v>6.7799999999999999E-2</v>
      </c>
      <c r="AA201" s="70">
        <f t="shared" si="123"/>
        <v>5.7941000000000003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127"/>
        <v>0844-17</v>
      </c>
      <c r="AE201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201" s="101" t="str">
        <f t="shared" si="125"/>
        <v>"C:\Program Files (x86)\AstroGrep\AstroGrep.exe" /spath="%USERPROFILE%\AppData\Local\Temp\OnboardLogs" /stypes="*4008*20160818*" /stext=" 03:.+((SYSTEM_STATE.+slice.+state.+changed )|(ment ac)|(system.+state.+changed )|(\|lc)|(penalty)|(\[timeout)|(PRM\|1\|D)|(kpr)|(kdp))" /e /r /s</v>
      </c>
      <c r="AG201" s="1" t="str">
        <f t="shared" si="128"/>
        <v>NW</v>
      </c>
      <c r="AH201" s="105" t="str">
        <f t="shared" si="98"/>
        <v>"%USERPROFILE%\Documents\GitHub\eaglep3\Utilities\RefineRTDCRunTimes.py" --tripid 844-17 --locoid 4008 --swversion DE.1.0.7.0 --startMP 300:58619 --initTime 2016-08-17T21:37:24 --startdatetime 2016-08-17T21:38:41 --delay 1 --endMP 204:678 --enddatetime 2016-08-17T21:55:43 --enforcementcount 0</v>
      </c>
    </row>
    <row r="202" spans="1:34" x14ac:dyDescent="0.25">
      <c r="A202" s="40" t="s">
        <v>664</v>
      </c>
      <c r="B202" s="7">
        <v>4007</v>
      </c>
      <c r="C202" s="25" t="s">
        <v>118</v>
      </c>
      <c r="D202" s="25" t="s">
        <v>665</v>
      </c>
      <c r="E202" s="16">
        <v>42599.87709490741</v>
      </c>
      <c r="F202" s="16">
        <v>42599.879305555558</v>
      </c>
      <c r="G202" s="7">
        <v>3</v>
      </c>
      <c r="H202" s="16" t="s">
        <v>666</v>
      </c>
      <c r="I202" s="16">
        <v>42599.900138888886</v>
      </c>
      <c r="J202" s="7">
        <v>0</v>
      </c>
      <c r="K202" s="142" t="str">
        <f t="shared" si="116"/>
        <v>4007/4008</v>
      </c>
      <c r="L202" s="25" t="str">
        <f>VLOOKUP(A202,'Trips&amp;Operators'!$C$1:$E$10000,3,FALSE)</f>
        <v>OUN</v>
      </c>
      <c r="M202" s="6">
        <f t="shared" si="117"/>
        <v>2.0833333328482695E-2</v>
      </c>
      <c r="N202" s="7">
        <f t="shared" si="114"/>
        <v>29.999999993015081</v>
      </c>
      <c r="O202" s="7"/>
      <c r="P202" s="7"/>
      <c r="Q202" s="26"/>
      <c r="R202" s="26"/>
      <c r="S202" s="38">
        <f t="shared" si="118"/>
        <v>1</v>
      </c>
      <c r="T202" s="53" t="str">
        <f t="shared" si="126"/>
        <v>NorthBound</v>
      </c>
      <c r="U202" s="13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20:03:01-0600',mode:absolute,to:'2016-08-17 22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2" s="55" t="str">
        <f t="shared" si="120"/>
        <v>N</v>
      </c>
      <c r="X202" s="129">
        <f t="shared" si="115"/>
        <v>1</v>
      </c>
      <c r="Y202" s="70">
        <f t="shared" si="121"/>
        <v>9.2200000000000004E-2</v>
      </c>
      <c r="Z202" s="70">
        <f t="shared" si="122"/>
        <v>5.8928000000000003</v>
      </c>
      <c r="AA202" s="70">
        <f t="shared" si="123"/>
        <v>5.8006000000000002</v>
      </c>
      <c r="AB202" s="67" t="e">
        <f>VLOOKUP(A202,Enforcements!$C$7:$J$24,8,0)</f>
        <v>#N/A</v>
      </c>
      <c r="AC202" s="63" t="e">
        <f>VLOOKUP(A202,Enforcements!$C$7:$E$24,3,0)</f>
        <v>#N/A</v>
      </c>
      <c r="AD202" s="64" t="str">
        <f t="shared" si="127"/>
        <v>0845-17</v>
      </c>
      <c r="AE202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202" s="101" t="str">
        <f t="shared" si="125"/>
        <v>"C:\Program Files (x86)\AstroGrep\AstroGrep.exe" /spath="%USERPROFILE%\AppData\Local\Temp\OnboardLogs" /stypes="*4007*20160818*" /stext=" 03:.+((SYSTEM_STATE.+slice.+state.+changed )|(ment ac)|(system.+state.+changed )|(\|lc)|(penalty)|(\[timeout)|(PRM\|1\|D)|(kpr)|(kdp))" /e /r /s</v>
      </c>
      <c r="AG202" s="1" t="str">
        <f t="shared" si="128"/>
        <v>NW</v>
      </c>
      <c r="AH202" s="105" t="str">
        <f t="shared" si="98"/>
        <v>"%USERPROFILE%\Documents\GitHub\eaglep3\Utilities\RefineRTDCRunTimes.py" --tripid 845-17 --locoid 4007 --swversion DE.1.0.7.0 --startMP 204:922 --initTime 2016-08-17T21:03:01 --startdatetime 2016-08-17T21:06:12 --delay 3 --endMP 300:58928 --enddatetime 2016-08-17T21:36:12 --enforcementcount 0</v>
      </c>
    </row>
    <row r="203" spans="1:34" x14ac:dyDescent="0.25">
      <c r="A203" s="40" t="s">
        <v>667</v>
      </c>
      <c r="B203" s="7">
        <v>4007</v>
      </c>
      <c r="C203" s="25" t="s">
        <v>118</v>
      </c>
      <c r="D203" s="25" t="s">
        <v>606</v>
      </c>
      <c r="E203" s="16">
        <v>42599.928726851853</v>
      </c>
      <c r="F203" s="16">
        <v>42599.929444444446</v>
      </c>
      <c r="G203" s="7">
        <v>1</v>
      </c>
      <c r="H203" s="16" t="s">
        <v>237</v>
      </c>
      <c r="I203" s="16">
        <v>42599.941944444443</v>
      </c>
      <c r="J203" s="7">
        <v>0</v>
      </c>
      <c r="K203" s="142" t="str">
        <f t="shared" si="116"/>
        <v>4007/4008</v>
      </c>
      <c r="L203" s="25" t="str">
        <f>VLOOKUP(A203,'Trips&amp;Operators'!$C$1:$E$10000,3,FALSE)</f>
        <v>OUN</v>
      </c>
      <c r="M203" s="6">
        <f t="shared" si="117"/>
        <v>1.2499999997089617E-2</v>
      </c>
      <c r="N203" s="7">
        <f t="shared" si="114"/>
        <v>17.999999995809048</v>
      </c>
      <c r="O203" s="7"/>
      <c r="P203" s="7"/>
      <c r="Q203" s="26"/>
      <c r="R203" s="26"/>
      <c r="S203" s="38">
        <f t="shared" si="118"/>
        <v>1</v>
      </c>
      <c r="T203" s="53" t="str">
        <f t="shared" si="126"/>
        <v>NorthBound</v>
      </c>
      <c r="U203" s="13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21:17:22-0600',mode:absolute,to:'2016-08-17 23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3" s="55" t="str">
        <f t="shared" si="120"/>
        <v>N</v>
      </c>
      <c r="X203" s="129">
        <f t="shared" si="115"/>
        <v>2</v>
      </c>
      <c r="Y203" s="70">
        <f t="shared" si="121"/>
        <v>9.5799999999999996E-2</v>
      </c>
      <c r="Z203" s="70">
        <f t="shared" si="122"/>
        <v>5.8921999999999999</v>
      </c>
      <c r="AA203" s="70">
        <f t="shared" si="123"/>
        <v>5.7964000000000002</v>
      </c>
      <c r="AB203" s="67" t="e">
        <f>VLOOKUP(A203,Enforcements!$C$7:$J$24,8,0)</f>
        <v>#N/A</v>
      </c>
      <c r="AC203" s="63" t="e">
        <f>VLOOKUP(A203,Enforcements!$C$7:$E$24,3,0)</f>
        <v>#N/A</v>
      </c>
      <c r="AD203" s="64" t="str">
        <f t="shared" si="127"/>
        <v>0847-17</v>
      </c>
      <c r="AE203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203" s="101" t="str">
        <f t="shared" si="125"/>
        <v>"C:\Program Files (x86)\AstroGrep\AstroGrep.exe" /spath="%USERPROFILE%\AppData\Local\Temp\OnboardLogs" /stypes="*4007*20160818*" /stext=" 04:.+((SYSTEM_STATE.+slice.+state.+changed )|(ment ac)|(system.+state.+changed )|(\|lc)|(penalty)|(\[timeout)|(PRM\|1\|D)|(kpr)|(kdp))" /e /r /s</v>
      </c>
      <c r="AG203" s="1" t="str">
        <f t="shared" si="128"/>
        <v>NW</v>
      </c>
      <c r="AH203" s="105" t="str">
        <f t="shared" si="98"/>
        <v>"%USERPROFILE%\Documents\GitHub\eaglep3\Utilities\RefineRTDCRunTimes.py" --tripid 847-17 --locoid 4007 --swversion DE.1.0.7.0 --startMP 204:958 --initTime 2016-08-17T22:17:22 --startdatetime 2016-08-17T22:18:24 --delay 1 --endMP 300:58922 --enddatetime 2016-08-17T22:36:24 --enforcementcount 0</v>
      </c>
    </row>
    <row r="204" spans="1:34" x14ac:dyDescent="0.25">
      <c r="A204" s="40" t="s">
        <v>536</v>
      </c>
      <c r="B204" s="7">
        <v>4028</v>
      </c>
      <c r="C204" s="25" t="s">
        <v>118</v>
      </c>
      <c r="D204" s="25" t="s">
        <v>537</v>
      </c>
      <c r="E204" s="16">
        <v>42599.116122685184</v>
      </c>
      <c r="F204" s="16">
        <v>42599.118206018517</v>
      </c>
      <c r="G204" s="7">
        <v>3</v>
      </c>
      <c r="H204" s="16" t="s">
        <v>538</v>
      </c>
      <c r="I204" s="16">
        <v>42599.125023148146</v>
      </c>
      <c r="J204" s="7">
        <v>0</v>
      </c>
      <c r="K204" s="142" t="str">
        <f t="shared" si="116"/>
        <v>4027/4028</v>
      </c>
      <c r="L204" s="25" t="str">
        <f>VLOOKUP(A204,'Trips&amp;Operators'!$C$1:$E$10000,3,FALSE)</f>
        <v>MAELZER</v>
      </c>
      <c r="M204" s="6">
        <f t="shared" si="117"/>
        <v>6.8171296297805384E-3</v>
      </c>
      <c r="N204" s="7">
        <f t="shared" si="114"/>
        <v>9.8166666668839753</v>
      </c>
      <c r="O204" s="7"/>
      <c r="P204" s="7"/>
      <c r="Q204" s="26"/>
      <c r="R204" s="26"/>
      <c r="S204" s="38">
        <f t="shared" si="118"/>
        <v>1</v>
      </c>
      <c r="T204" s="53" t="str">
        <f t="shared" si="126"/>
        <v>Southbound</v>
      </c>
      <c r="U204" s="13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01:47:13-0600',mode:absolute,to:'2016-08-17 04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04" s="55" t="str">
        <f t="shared" si="120"/>
        <v>Y</v>
      </c>
      <c r="X204" s="129">
        <f t="shared" si="115"/>
        <v>-545</v>
      </c>
      <c r="Y204" s="70">
        <f t="shared" si="121"/>
        <v>2.2179000000000002</v>
      </c>
      <c r="Z204" s="70">
        <f t="shared" si="122"/>
        <v>0.4955</v>
      </c>
      <c r="AA204" s="70">
        <f t="shared" si="123"/>
        <v>1.7224000000000002</v>
      </c>
      <c r="AB204" s="67" t="e">
        <f>VLOOKUP(A204,Enforcements!$C$7:$J$24,8,0)</f>
        <v>#N/A</v>
      </c>
      <c r="AC204" s="63" t="e">
        <f>VLOOKUP(A204,Enforcements!$C$7:$E$24,3,0)</f>
        <v>#N/A</v>
      </c>
      <c r="AD204" s="64" t="str">
        <f t="shared" si="127"/>
        <v>0302-17</v>
      </c>
      <c r="AE204" s="104" t="str">
        <f t="shared" si="124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204" s="101" t="str">
        <f t="shared" si="125"/>
        <v>"C:\Program Files (x86)\AstroGrep\AstroGrep.exe" /spath="%USERPROFILE%\AppData\Local\Temp\OnboardLogs" /stypes="*4028*20160817*" /stext=" 09:.+((SYSTEM_STATE.+slice.+state.+changed )|(ment ac)|(system.+state.+changed )|(\|lc)|(penalty)|(\[timeout)|(PRM\|1\|D)|(kpr)|(kdp))" /e /r /s</v>
      </c>
      <c r="AG204" s="1" t="str">
        <f t="shared" si="128"/>
        <v>Other</v>
      </c>
      <c r="AH204" s="105" t="str">
        <f t="shared" si="98"/>
        <v>"%USERPROFILE%\Documents\GitHub\eaglep3\Utilities\RefineRTDCRunTimes.py" --tripid 302-17 --locoid 4028 --swversion DE.1.0.7.0 --startMP 300:22179 --initTime 2016-08-17T02:47:13 --startdatetime 2016-08-17T02:50:13 --delay 3 --endMP 300:4955 --enddatetime 2016-08-17T03:00:02 --enforcementcount 0</v>
      </c>
    </row>
    <row r="205" spans="1:34" x14ac:dyDescent="0.25">
      <c r="A205" s="40" t="s">
        <v>539</v>
      </c>
      <c r="B205" s="7">
        <v>4026</v>
      </c>
      <c r="C205" s="25" t="s">
        <v>118</v>
      </c>
      <c r="D205" s="25" t="s">
        <v>540</v>
      </c>
      <c r="E205" s="16">
        <v>42599.143854166665</v>
      </c>
      <c r="F205" s="16">
        <v>42599.146041666667</v>
      </c>
      <c r="G205" s="7">
        <v>3</v>
      </c>
      <c r="H205" s="16" t="s">
        <v>138</v>
      </c>
      <c r="I205" s="16">
        <v>42599.153692129628</v>
      </c>
      <c r="J205" s="7">
        <v>0</v>
      </c>
      <c r="K205" s="142" t="str">
        <f t="shared" si="116"/>
        <v>4025/4026</v>
      </c>
      <c r="L205" s="25" t="str">
        <f>VLOOKUP(A205,'Trips&amp;Operators'!$C$1:$E$10000,3,FALSE)</f>
        <v>ACKERMAN</v>
      </c>
      <c r="M205" s="6">
        <f t="shared" si="117"/>
        <v>7.6504629614646547E-3</v>
      </c>
      <c r="N205" s="7">
        <f t="shared" si="114"/>
        <v>11.016666664509103</v>
      </c>
      <c r="O205" s="7"/>
      <c r="P205" s="7"/>
      <c r="Q205" s="26"/>
      <c r="R205" s="26"/>
      <c r="S205" s="38">
        <f t="shared" si="118"/>
        <v>1</v>
      </c>
      <c r="T205" s="53" t="str">
        <f t="shared" si="126"/>
        <v>Southbound</v>
      </c>
      <c r="U205" s="13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02:27:09-0600',mode:absolute,to:'2016-08-17 04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5" s="55" t="str">
        <f t="shared" si="120"/>
        <v>Y</v>
      </c>
      <c r="X205" s="129">
        <f t="shared" si="115"/>
        <v>2</v>
      </c>
      <c r="Y205" s="70">
        <f t="shared" si="121"/>
        <v>2.1930000000000001</v>
      </c>
      <c r="Z205" s="70">
        <f t="shared" si="122"/>
        <v>1.5800000000000002E-2</v>
      </c>
      <c r="AA205" s="70">
        <f t="shared" si="123"/>
        <v>2.1772</v>
      </c>
      <c r="AB205" s="67" t="e">
        <f>VLOOKUP(A205,Enforcements!$C$7:$J$24,8,0)</f>
        <v>#N/A</v>
      </c>
      <c r="AC205" s="63" t="e">
        <f>VLOOKUP(A205,Enforcements!$C$7:$E$24,3,0)</f>
        <v>#N/A</v>
      </c>
      <c r="AD205" s="64" t="str">
        <f t="shared" si="127"/>
        <v>0304-17</v>
      </c>
      <c r="AE205" s="104" t="str">
        <f t="shared" si="124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205" s="101" t="str">
        <f t="shared" si="125"/>
        <v>"C:\Program Files (x86)\AstroGrep\AstroGrep.exe" /spath="%USERPROFILE%\AppData\Local\Temp\OnboardLogs" /stypes="*4026*20160817*" /stext=" 09:.+((SYSTEM_STATE.+slice.+state.+changed )|(ment ac)|(system.+state.+changed )|(\|lc)|(penalty)|(\[timeout)|(PRM\|1\|D)|(kpr)|(kdp))" /e /r /s</v>
      </c>
      <c r="AG205" s="1" t="str">
        <f t="shared" si="128"/>
        <v>Other</v>
      </c>
      <c r="AH205" s="105" t="str">
        <f t="shared" si="98"/>
        <v>"%USERPROFILE%\Documents\GitHub\eaglep3\Utilities\RefineRTDCRunTimes.py" --tripid 304-17 --locoid 4026 --swversion DE.1.0.7.0 --startMP 300:21930 --initTime 2016-08-17T03:27:09 --startdatetime 2016-08-17T03:30:18 --delay 3 --endMP 204:158 --enddatetime 2016-08-17T03:41:19 --enforcementcount 0</v>
      </c>
    </row>
    <row r="206" spans="1:34" x14ac:dyDescent="0.25">
      <c r="A206" s="40" t="s">
        <v>541</v>
      </c>
      <c r="B206" s="7">
        <v>4002</v>
      </c>
      <c r="C206" s="25" t="s">
        <v>118</v>
      </c>
      <c r="D206" s="25" t="s">
        <v>542</v>
      </c>
      <c r="E206" s="16">
        <v>42599.805266203701</v>
      </c>
      <c r="F206" s="16">
        <v>42599.805879629632</v>
      </c>
      <c r="G206" s="7">
        <v>0</v>
      </c>
      <c r="H206" s="16" t="s">
        <v>543</v>
      </c>
      <c r="I206" s="16">
        <v>42599.812731481485</v>
      </c>
      <c r="J206" s="7">
        <v>0</v>
      </c>
      <c r="K206" s="142" t="str">
        <f t="shared" si="116"/>
        <v>4001/4002</v>
      </c>
      <c r="L206" s="25" t="str">
        <f>VLOOKUP(A206,'Trips&amp;Operators'!$C$1:$E$10000,3,FALSE)</f>
        <v>STAMBAUGH</v>
      </c>
      <c r="M206" s="6">
        <f t="shared" si="117"/>
        <v>6.8518518528435379E-3</v>
      </c>
      <c r="N206" s="7">
        <f t="shared" si="114"/>
        <v>9.8666666680946946</v>
      </c>
      <c r="O206" s="7"/>
      <c r="P206" s="7"/>
      <c r="Q206" s="26"/>
      <c r="R206" s="26"/>
      <c r="S206" s="38">
        <f t="shared" si="118"/>
        <v>1</v>
      </c>
      <c r="T206" s="53" t="str">
        <f t="shared" si="126"/>
        <v>NorthBound</v>
      </c>
      <c r="U206" s="13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18:19:35-0600',mode:absolute,to:'2016-08-17 20:30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6" s="55" t="str">
        <f t="shared" si="120"/>
        <v>Y</v>
      </c>
      <c r="X206" s="129">
        <f t="shared" si="115"/>
        <v>1</v>
      </c>
      <c r="Y206" s="70">
        <f t="shared" si="121"/>
        <v>0.16189999999999999</v>
      </c>
      <c r="Z206" s="70">
        <f t="shared" si="122"/>
        <v>2.3296999999999999</v>
      </c>
      <c r="AA206" s="70">
        <f t="shared" si="123"/>
        <v>2.1677999999999997</v>
      </c>
      <c r="AB206" s="67" t="e">
        <f>VLOOKUP(A206,Enforcements!$C$7:$J$24,8,0)</f>
        <v>#N/A</v>
      </c>
      <c r="AC206" s="63" t="e">
        <f>VLOOKUP(A206,Enforcements!$C$7:$E$24,3,0)</f>
        <v>#N/A</v>
      </c>
      <c r="AD206" s="64" t="str">
        <f t="shared" si="127"/>
        <v>0305-17</v>
      </c>
      <c r="AE206" s="104" t="str">
        <f t="shared" si="124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206" s="101" t="str">
        <f t="shared" si="125"/>
        <v>"C:\Program Files (x86)\AstroGrep\AstroGrep.exe" /spath="%USERPROFILE%\AppData\Local\Temp\OnboardLogs" /stypes="*4002*20160818*" /stext=" 01:.+((SYSTEM_STATE.+slice.+state.+changed )|(ment ac)|(system.+state.+changed )|(\|lc)|(penalty)|(\[timeout)|(PRM\|1\|D)|(kpr)|(kdp))" /e /r /s</v>
      </c>
      <c r="AG206" s="1" t="str">
        <f t="shared" si="128"/>
        <v>Other</v>
      </c>
      <c r="AH206" s="105" t="str">
        <f t="shared" si="98"/>
        <v>"%USERPROFILE%\Documents\GitHub\eaglep3\Utilities\RefineRTDCRunTimes.py" --tripid 305-17 --locoid 4002 --swversion DE.1.0.7.0 --startMP 204:1619 --initTime 2016-08-17T19:19:35 --startdatetime 2016-08-17T19:20:28 --delay 0 --endMP 300:23297 --enddatetime 2016-08-17T19:30:20 --enforcementcount 0</v>
      </c>
    </row>
    <row r="207" spans="1:34" x14ac:dyDescent="0.25">
      <c r="A207" s="40" t="s">
        <v>541</v>
      </c>
      <c r="B207" s="7">
        <v>4002</v>
      </c>
      <c r="C207" s="25" t="s">
        <v>118</v>
      </c>
      <c r="D207" s="25" t="s">
        <v>150</v>
      </c>
      <c r="E207" s="16">
        <v>42599.800104166665</v>
      </c>
      <c r="F207" s="16">
        <v>42599.800949074073</v>
      </c>
      <c r="G207" s="7">
        <v>1</v>
      </c>
      <c r="H207" s="16" t="s">
        <v>544</v>
      </c>
      <c r="I207" s="16">
        <v>42599.802071759259</v>
      </c>
      <c r="J207" s="7">
        <v>0</v>
      </c>
      <c r="K207" s="142" t="str">
        <f t="shared" si="116"/>
        <v>4001/4002</v>
      </c>
      <c r="L207" s="25" t="str">
        <f>VLOOKUP(A207,'Trips&amp;Operators'!$C$1:$E$10000,3,FALSE)</f>
        <v>STAMBAUGH</v>
      </c>
      <c r="M207" s="6">
        <f t="shared" si="117"/>
        <v>1.1226851856918074E-3</v>
      </c>
      <c r="N207" s="7">
        <f t="shared" si="114"/>
        <v>1.6166666673962027</v>
      </c>
      <c r="O207" s="7"/>
      <c r="P207" s="7"/>
      <c r="Q207" s="26"/>
      <c r="R207" s="26"/>
      <c r="S207" s="38">
        <f t="shared" si="118"/>
        <v>0</v>
      </c>
      <c r="T207" s="53" t="str">
        <f t="shared" si="126"/>
        <v>NorthBound</v>
      </c>
      <c r="U207" s="13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18:12:09-0600',mode:absolute,to:'2016-08-17 20:14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7" s="55" t="str">
        <f t="shared" si="120"/>
        <v>Y</v>
      </c>
      <c r="X207" s="129">
        <f t="shared" si="115"/>
        <v>0</v>
      </c>
      <c r="Y207" s="70">
        <f t="shared" si="121"/>
        <v>4.6899999999999997E-2</v>
      </c>
      <c r="Z207" s="70">
        <f t="shared" si="122"/>
        <v>0.1847</v>
      </c>
      <c r="AA207" s="70">
        <f t="shared" si="123"/>
        <v>0.13780000000000001</v>
      </c>
      <c r="AB207" s="67" t="e">
        <f>VLOOKUP(A207,Enforcements!$C$7:$J$24,8,0)</f>
        <v>#N/A</v>
      </c>
      <c r="AC207" s="63" t="e">
        <f>VLOOKUP(A207,Enforcements!$C$7:$E$24,3,0)</f>
        <v>#N/A</v>
      </c>
      <c r="AD207" s="64" t="str">
        <f t="shared" si="127"/>
        <v>0305-17</v>
      </c>
      <c r="AE207" s="104" t="str">
        <f t="shared" si="124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207" s="101" t="str">
        <f t="shared" si="125"/>
        <v>"C:\Program Files (x86)\AstroGrep\AstroGrep.exe" /spath="%USERPROFILE%\AppData\Local\Temp\OnboardLogs" /stypes="*4002*20160818*" /stext=" 01:.+((SYSTEM_STATE.+slice.+state.+changed )|(ment ac)|(system.+state.+changed )|(\|lc)|(penalty)|(\[timeout)|(PRM\|1\|D)|(kpr)|(kdp))" /e /r /s</v>
      </c>
      <c r="AG207" s="1" t="str">
        <f t="shared" si="128"/>
        <v>Other</v>
      </c>
      <c r="AH207" s="105" t="str">
        <f t="shared" si="98"/>
        <v>"%USERPROFILE%\Documents\GitHub\eaglep3\Utilities\RefineRTDCRunTimes.py" --tripid 305-17 --locoid 4002 --swversion DE.1.0.7.0 --startMP 204:469 --initTime 2016-08-17T19:12:09 --startdatetime 2016-08-17T19:13:22 --delay 1 --endMP 204:1847 --enddatetime 2016-08-17T19:14:59 --enforcementcount 0</v>
      </c>
    </row>
    <row r="208" spans="1:34" x14ac:dyDescent="0.25">
      <c r="A208" s="40" t="s">
        <v>545</v>
      </c>
      <c r="B208" s="7">
        <v>4019</v>
      </c>
      <c r="C208" s="25" t="s">
        <v>118</v>
      </c>
      <c r="D208" s="25" t="s">
        <v>546</v>
      </c>
      <c r="E208" s="16">
        <v>42599.160636574074</v>
      </c>
      <c r="F208" s="16">
        <v>42599.163530092592</v>
      </c>
      <c r="G208" s="7">
        <v>4</v>
      </c>
      <c r="H208" s="16">
        <v>8.5326388888888882</v>
      </c>
      <c r="I208" s="16">
        <v>42599.170185185183</v>
      </c>
      <c r="J208" s="7">
        <v>0</v>
      </c>
      <c r="K208" s="142" t="str">
        <f t="shared" si="116"/>
        <v>4019/4020</v>
      </c>
      <c r="L208" s="25" t="str">
        <f>VLOOKUP(A208,'Trips&amp;Operators'!$C$1:$E$10000,3,FALSE)</f>
        <v>STRICKLAND</v>
      </c>
      <c r="M208" s="6">
        <f t="shared" si="117"/>
        <v>6.655092591245193E-3</v>
      </c>
      <c r="N208" s="7">
        <f t="shared" si="114"/>
        <v>9.583333331393078</v>
      </c>
      <c r="O208" s="7"/>
      <c r="P208" s="7"/>
      <c r="Q208" s="26"/>
      <c r="R208" s="26"/>
      <c r="S208" s="38">
        <f t="shared" si="118"/>
        <v>0</v>
      </c>
      <c r="T208" s="53" t="str">
        <f t="shared" si="126"/>
        <v>Southbound</v>
      </c>
      <c r="U208" s="13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08" s="55" t="str">
        <f t="shared" si="120"/>
        <v>N</v>
      </c>
      <c r="X208" s="129">
        <f t="shared" si="115"/>
        <v>1</v>
      </c>
      <c r="Y208" s="70">
        <f t="shared" si="121"/>
        <v>2.1757</v>
      </c>
      <c r="Z208" s="70">
        <f t="shared" si="122"/>
        <v>26388888.888900001</v>
      </c>
      <c r="AA208" s="70">
        <f t="shared" si="123"/>
        <v>26388886.713199999</v>
      </c>
      <c r="AB208" s="67" t="e">
        <f>VLOOKUP(A208,Enforcements!$C$7:$J$24,8,0)</f>
        <v>#N/A</v>
      </c>
      <c r="AC208" s="63" t="e">
        <f>VLOOKUP(A208,Enforcements!$C$7:$E$24,3,0)</f>
        <v>#N/A</v>
      </c>
      <c r="AD208" s="64" t="str">
        <f t="shared" si="127"/>
        <v>0306-17</v>
      </c>
      <c r="AE208" s="104" t="str">
        <f t="shared" si="124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208" s="101" t="str">
        <f t="shared" si="125"/>
        <v>"C:\Program Files (x86)\AstroGrep\AstroGrep.exe" /spath="%USERPROFILE%\AppData\Local\Temp\OnboardLogs" /stypes="*4019*20160817*" /stext=" 10:.+((SYSTEM_STATE.+slice.+state.+changed )|(ment ac)|(system.+state.+changed )|(\|lc)|(penalty)|(\[timeout)|(PRM\|1\|D)|(kpr)|(kdp))" /e /r /s</v>
      </c>
      <c r="AG208" s="1" t="str">
        <f t="shared" si="128"/>
        <v>Other</v>
      </c>
      <c r="AH208" s="105" t="str">
        <f t="shared" si="98"/>
        <v>"%USERPROFILE%\Documents\GitHub\eaglep3\Utilities\RefineRTDCRunTimes.py" --tripid 306-17 --locoid 4019 --swversion DE.1.0.7.0 --startMP 300:21757 --initTime 2016-08-17T03:51:19 --startdatetime 2016-08-17T03:55:29 --delay 4 --endMP 8.53263888888889 --enddatetime 2016-08-17T04:05:04 --enforcementcount 0</v>
      </c>
    </row>
    <row r="209" spans="1:34" x14ac:dyDescent="0.25">
      <c r="A209" s="40" t="s">
        <v>547</v>
      </c>
      <c r="B209" s="7">
        <v>4020</v>
      </c>
      <c r="C209" s="25" t="s">
        <v>118</v>
      </c>
      <c r="D209" s="25" t="s">
        <v>165</v>
      </c>
      <c r="E209" s="16">
        <v>42599.818090277775</v>
      </c>
      <c r="F209" s="16">
        <v>42599.819131944445</v>
      </c>
      <c r="G209" s="7">
        <v>1</v>
      </c>
      <c r="H209" s="16" t="s">
        <v>284</v>
      </c>
      <c r="I209" s="16">
        <v>42599.825358796297</v>
      </c>
      <c r="J209" s="7">
        <v>0</v>
      </c>
      <c r="K209" s="142" t="str">
        <f t="shared" si="116"/>
        <v>4019/4020</v>
      </c>
      <c r="L209" s="25" t="str">
        <f>VLOOKUP(A209,'Trips&amp;Operators'!$C$1:$E$10000,3,FALSE)</f>
        <v>ROBINSON</v>
      </c>
      <c r="M209" s="6">
        <f t="shared" si="117"/>
        <v>6.2268518522614613E-3</v>
      </c>
      <c r="N209" s="7">
        <f t="shared" si="114"/>
        <v>8.9666666672565043</v>
      </c>
      <c r="O209" s="7"/>
      <c r="P209" s="7"/>
      <c r="Q209" s="26"/>
      <c r="R209" s="26"/>
      <c r="S209" s="38">
        <f t="shared" si="118"/>
        <v>1</v>
      </c>
      <c r="T209" s="53" t="str">
        <f t="shared" si="126"/>
        <v>NorthBound</v>
      </c>
      <c r="U209" s="13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18:38:03-0600',mode:absolute,to:'2016-08-17 20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9" s="55" t="str">
        <f t="shared" si="120"/>
        <v>Y</v>
      </c>
      <c r="X209" s="129">
        <f t="shared" si="115"/>
        <v>1</v>
      </c>
      <c r="Y209" s="70">
        <f t="shared" si="121"/>
        <v>4.6600000000000003E-2</v>
      </c>
      <c r="Z209" s="70">
        <f t="shared" si="122"/>
        <v>2.3346</v>
      </c>
      <c r="AA209" s="70">
        <f t="shared" si="123"/>
        <v>2.2879999999999998</v>
      </c>
      <c r="AB209" s="67" t="e">
        <f>VLOOKUP(A209,Enforcements!$C$7:$J$24,8,0)</f>
        <v>#N/A</v>
      </c>
      <c r="AC209" s="63" t="e">
        <f>VLOOKUP(A209,Enforcements!$C$7:$E$24,3,0)</f>
        <v>#N/A</v>
      </c>
      <c r="AD209" s="64" t="str">
        <f t="shared" si="127"/>
        <v>0307-17</v>
      </c>
      <c r="AE209" s="104" t="str">
        <f t="shared" si="124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209" s="101" t="str">
        <f t="shared" si="125"/>
        <v>"C:\Program Files (x86)\AstroGrep\AstroGrep.exe" /spath="%USERPROFILE%\AppData\Local\Temp\OnboardLogs" /stypes="*4020*20160818*" /stext=" 01:.+((SYSTEM_STATE.+slice.+state.+changed )|(ment ac)|(system.+state.+changed )|(\|lc)|(penalty)|(\[timeout)|(PRM\|1\|D)|(kpr)|(kdp))" /e /r /s</v>
      </c>
      <c r="AG209" s="1" t="str">
        <f t="shared" si="128"/>
        <v>Other</v>
      </c>
      <c r="AH209" s="105" t="str">
        <f t="shared" si="98"/>
        <v>"%USERPROFILE%\Documents\GitHub\eaglep3\Utilities\RefineRTDCRunTimes.py" --tripid 307-17 --locoid 4020 --swversion DE.1.0.7.0 --startMP 204:466 --initTime 2016-08-17T19:38:03 --startdatetime 2016-08-17T19:39:33 --delay 1 --endMP 300:23346 --enddatetime 2016-08-17T19:48:31 --enforcementcount 0</v>
      </c>
    </row>
    <row r="210" spans="1:34" x14ac:dyDescent="0.25">
      <c r="A210" s="40" t="s">
        <v>548</v>
      </c>
      <c r="B210" s="7">
        <v>4004</v>
      </c>
      <c r="C210" s="25" t="s">
        <v>118</v>
      </c>
      <c r="D210" s="25" t="s">
        <v>549</v>
      </c>
      <c r="E210" s="16">
        <v>42599.176111111112</v>
      </c>
      <c r="F210" s="16">
        <v>42599.17696759259</v>
      </c>
      <c r="G210" s="7">
        <v>1</v>
      </c>
      <c r="H210" s="16" t="s">
        <v>173</v>
      </c>
      <c r="I210" s="16">
        <v>42599.184166666666</v>
      </c>
      <c r="J210" s="7">
        <v>0</v>
      </c>
      <c r="K210" s="142" t="str">
        <f t="shared" si="116"/>
        <v>4003/4004</v>
      </c>
      <c r="L210" s="25" t="str">
        <f>VLOOKUP(A210,'Trips&amp;Operators'!$C$1:$E$10000,3,FALSE)</f>
        <v>SPECTOR</v>
      </c>
      <c r="M210" s="6">
        <f t="shared" si="117"/>
        <v>7.1990740761975758E-3</v>
      </c>
      <c r="N210" s="7">
        <f t="shared" si="114"/>
        <v>10.366666669724509</v>
      </c>
      <c r="O210" s="7"/>
      <c r="P210" s="7"/>
      <c r="Q210" s="26"/>
      <c r="R210" s="26"/>
      <c r="S210" s="38">
        <f t="shared" si="118"/>
        <v>1</v>
      </c>
      <c r="T210" s="53" t="str">
        <f t="shared" si="126"/>
        <v>Southbound</v>
      </c>
      <c r="U210" s="13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03:13:36-0600',mode:absolute,to:'2016-08-17 05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10" s="55" t="str">
        <f t="shared" si="120"/>
        <v>Y</v>
      </c>
      <c r="X210" s="129">
        <f t="shared" si="115"/>
        <v>1</v>
      </c>
      <c r="Y210" s="70">
        <f t="shared" si="121"/>
        <v>2.1825000000000001</v>
      </c>
      <c r="Z210" s="70">
        <f t="shared" si="122"/>
        <v>1.5599999999999999E-2</v>
      </c>
      <c r="AA210" s="70">
        <f t="shared" si="123"/>
        <v>2.1669</v>
      </c>
      <c r="AB210" s="67" t="e">
        <f>VLOOKUP(A210,Enforcements!$C$7:$J$24,8,0)</f>
        <v>#N/A</v>
      </c>
      <c r="AC210" s="63" t="e">
        <f>VLOOKUP(A210,Enforcements!$C$7:$E$24,3,0)</f>
        <v>#N/A</v>
      </c>
      <c r="AD210" s="64" t="str">
        <f t="shared" si="127"/>
        <v>0308-17</v>
      </c>
      <c r="AE210" s="104" t="str">
        <f t="shared" si="124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210" s="101" t="str">
        <f t="shared" si="125"/>
        <v>"C:\Program Files (x86)\AstroGrep\AstroGrep.exe" /spath="%USERPROFILE%\AppData\Local\Temp\OnboardLogs" /stypes="*4004*20160817*" /stext=" 10:.+((SYSTEM_STATE.+slice.+state.+changed )|(ment ac)|(system.+state.+changed )|(\|lc)|(penalty)|(\[timeout)|(PRM\|1\|D)|(kpr)|(kdp))" /e /r /s</v>
      </c>
      <c r="AG210" s="1" t="str">
        <f t="shared" si="128"/>
        <v>Other</v>
      </c>
      <c r="AH210" s="105" t="str">
        <f t="shared" si="98"/>
        <v>"%USERPROFILE%\Documents\GitHub\eaglep3\Utilities\RefineRTDCRunTimes.py" --tripid 308-17 --locoid 4004 --swversion DE.1.0.7.0 --startMP 300:21825 --initTime 2016-08-17T04:13:36 --startdatetime 2016-08-17T04:14:50 --delay 1 --endMP 204:156 --enddatetime 2016-08-17T04:25:12 --enforcementcount 0</v>
      </c>
    </row>
    <row r="211" spans="1:34" x14ac:dyDescent="0.25">
      <c r="A211" s="40" t="s">
        <v>550</v>
      </c>
      <c r="B211" s="7">
        <v>4009</v>
      </c>
      <c r="C211" s="25" t="s">
        <v>118</v>
      </c>
      <c r="D211" s="25" t="s">
        <v>229</v>
      </c>
      <c r="E211" s="16">
        <v>42600.039363425924</v>
      </c>
      <c r="F211" s="16">
        <v>42600.04010416667</v>
      </c>
      <c r="G211" s="7">
        <v>1</v>
      </c>
      <c r="H211" s="16" t="s">
        <v>551</v>
      </c>
      <c r="I211" s="16">
        <v>42600.050138888888</v>
      </c>
      <c r="J211" s="7">
        <v>0</v>
      </c>
      <c r="K211" s="142" t="str">
        <f t="shared" si="116"/>
        <v>4009/4010</v>
      </c>
      <c r="L211" s="25" t="str">
        <f>VLOOKUP(A211,'Trips&amp;Operators'!$C$1:$E$10000,3,FALSE)</f>
        <v>STURGEON</v>
      </c>
      <c r="M211" s="6">
        <f t="shared" si="117"/>
        <v>1.003472221782431E-2</v>
      </c>
      <c r="N211" s="7">
        <f t="shared" si="114"/>
        <v>14.449999993667006</v>
      </c>
      <c r="O211" s="7"/>
      <c r="P211" s="7"/>
      <c r="Q211" s="26"/>
      <c r="R211" s="26"/>
      <c r="S211" s="38">
        <f t="shared" si="118"/>
        <v>1</v>
      </c>
      <c r="T211" s="53" t="str">
        <f t="shared" si="126"/>
        <v>NorthBound</v>
      </c>
      <c r="U211" s="13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23:56:41-0600',mode:absolute,to:'2016-08-18 02:12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1" s="55" t="str">
        <f t="shared" si="120"/>
        <v>Y</v>
      </c>
      <c r="X211" s="129">
        <f t="shared" si="115"/>
        <v>1</v>
      </c>
      <c r="Y211" s="70">
        <f t="shared" si="121"/>
        <v>4.82E-2</v>
      </c>
      <c r="Z211" s="70">
        <f t="shared" si="122"/>
        <v>2.3300999999999998</v>
      </c>
      <c r="AA211" s="70">
        <f t="shared" si="123"/>
        <v>2.2818999999999998</v>
      </c>
      <c r="AB211" s="67" t="e">
        <f>VLOOKUP(A211,Enforcements!$C$7:$J$24,8,0)</f>
        <v>#N/A</v>
      </c>
      <c r="AC211" s="63" t="e">
        <f>VLOOKUP(A211,Enforcements!$C$7:$E$24,3,0)</f>
        <v>#N/A</v>
      </c>
      <c r="AD211" s="64" t="str">
        <f t="shared" si="127"/>
        <v>0309-17</v>
      </c>
      <c r="AE211" s="104" t="str">
        <f t="shared" si="124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211" s="101" t="str">
        <f t="shared" si="125"/>
        <v>"C:\Program Files (x86)\AstroGrep\AstroGrep.exe" /spath="%USERPROFILE%\AppData\Local\Temp\OnboardLogs" /stypes="*4009*20160818*" /stext=" 07:.+((SYSTEM_STATE.+slice.+state.+changed )|(ment ac)|(system.+state.+changed )|(\|lc)|(penalty)|(\[timeout)|(PRM\|1\|D)|(kpr)|(kdp))" /e /r /s</v>
      </c>
      <c r="AG211" s="1" t="str">
        <f t="shared" si="128"/>
        <v>Other</v>
      </c>
      <c r="AH211" s="105" t="str">
        <f t="shared" ref="AH211:AH223" si="129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</f>
        <v>"%USERPROFILE%\Documents\GitHub\eaglep3\Utilities\RefineRTDCRunTimes.py" --tripid 309-17 --locoid 4009 --swversion DE.1.0.7.0 --startMP 204:482 --initTime 2016-08-18T00:56:41 --startdatetime 2016-08-18T00:57:45 --delay 1 --endMP 300:23301 --enddatetime 2016-08-18T01:12:12 --enforcementcount 0</v>
      </c>
    </row>
    <row r="212" spans="1:34" x14ac:dyDescent="0.25">
      <c r="A212" s="40" t="s">
        <v>552</v>
      </c>
      <c r="B212" s="7">
        <v>4013</v>
      </c>
      <c r="C212" s="25" t="s">
        <v>118</v>
      </c>
      <c r="D212" s="25" t="s">
        <v>553</v>
      </c>
      <c r="E212" s="16">
        <v>42599.18109953704</v>
      </c>
      <c r="F212" s="16">
        <v>42599.182314814818</v>
      </c>
      <c r="G212" s="7">
        <v>1</v>
      </c>
      <c r="H212" s="16" t="s">
        <v>172</v>
      </c>
      <c r="I212" s="16">
        <v>42599.194479166668</v>
      </c>
      <c r="J212" s="7">
        <v>0</v>
      </c>
      <c r="K212" s="142" t="str">
        <f t="shared" si="116"/>
        <v>4013/4014</v>
      </c>
      <c r="L212" s="25" t="str">
        <f>VLOOKUP(A212,'Trips&amp;Operators'!$C$1:$E$10000,3,FALSE)</f>
        <v>KILLION</v>
      </c>
      <c r="M212" s="6">
        <f t="shared" si="117"/>
        <v>1.2164351850515231E-2</v>
      </c>
      <c r="N212" s="7">
        <f t="shared" si="114"/>
        <v>17.516666664741933</v>
      </c>
      <c r="O212" s="7"/>
      <c r="P212" s="7"/>
      <c r="Q212" s="26"/>
      <c r="R212" s="26"/>
      <c r="S212" s="38">
        <f t="shared" si="118"/>
        <v>1</v>
      </c>
      <c r="T212" s="53" t="str">
        <f t="shared" si="126"/>
        <v>Southbound</v>
      </c>
      <c r="U212" s="13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03:20:47-0600',mode:absolute,to:'2016-08-17 05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12" s="55" t="str">
        <f t="shared" si="120"/>
        <v>Y</v>
      </c>
      <c r="X212" s="129">
        <f t="shared" si="115"/>
        <v>1</v>
      </c>
      <c r="Y212" s="70">
        <f t="shared" si="121"/>
        <v>2.1574</v>
      </c>
      <c r="Z212" s="70">
        <f t="shared" si="122"/>
        <v>1.4999999999999999E-2</v>
      </c>
      <c r="AA212" s="70">
        <f t="shared" si="123"/>
        <v>2.1423999999999999</v>
      </c>
      <c r="AB212" s="67" t="e">
        <f>VLOOKUP(A212,Enforcements!$C$7:$J$24,8,0)</f>
        <v>#N/A</v>
      </c>
      <c r="AC212" s="63" t="e">
        <f>VLOOKUP(A212,Enforcements!$C$7:$E$24,3,0)</f>
        <v>#N/A</v>
      </c>
      <c r="AD212" s="64" t="str">
        <f t="shared" si="127"/>
        <v>0310-17</v>
      </c>
      <c r="AE212" s="104" t="str">
        <f t="shared" si="124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212" s="101" t="str">
        <f t="shared" si="125"/>
        <v>"C:\Program Files (x86)\AstroGrep\AstroGrep.exe" /spath="%USERPROFILE%\AppData\Local\Temp\OnboardLogs" /stypes="*4013*20160817*" /stext=" 10:.+((SYSTEM_STATE.+slice.+state.+changed )|(ment ac)|(system.+state.+changed )|(\|lc)|(penalty)|(\[timeout)|(PRM\|1\|D)|(kpr)|(kdp))" /e /r /s</v>
      </c>
      <c r="AG212" s="1" t="str">
        <f t="shared" si="128"/>
        <v>Other</v>
      </c>
      <c r="AH212" s="105" t="str">
        <f t="shared" si="129"/>
        <v>"%USERPROFILE%\Documents\GitHub\eaglep3\Utilities\RefineRTDCRunTimes.py" --tripid 310-17 --locoid 4013 --swversion DE.1.0.7.0 --startMP 300:21574 --initTime 2016-08-17T04:20:47 --startdatetime 2016-08-17T04:22:32 --delay 1 --endMP 204:150 --enddatetime 2016-08-17T04:40:03 --enforcementcount 0</v>
      </c>
    </row>
    <row r="213" spans="1:34" x14ac:dyDescent="0.25">
      <c r="A213" s="40" t="s">
        <v>554</v>
      </c>
      <c r="B213" s="7">
        <v>4014</v>
      </c>
      <c r="C213" s="25" t="s">
        <v>118</v>
      </c>
      <c r="D213" s="25" t="s">
        <v>150</v>
      </c>
      <c r="E213" s="16">
        <v>42600.056539351855</v>
      </c>
      <c r="F213" s="16">
        <v>42600.05740740741</v>
      </c>
      <c r="G213" s="7">
        <v>1</v>
      </c>
      <c r="H213" s="16" t="s">
        <v>555</v>
      </c>
      <c r="I213" s="16">
        <v>42600.062083333331</v>
      </c>
      <c r="J213" s="7">
        <v>0</v>
      </c>
      <c r="K213" s="142" t="str">
        <f t="shared" si="116"/>
        <v>4013/4014</v>
      </c>
      <c r="L213" s="25" t="str">
        <f>VLOOKUP(A213,'Trips&amp;Operators'!$C$1:$E$10000,3,FALSE)</f>
        <v>ISHMAEL</v>
      </c>
      <c r="M213" s="6">
        <f t="shared" si="117"/>
        <v>4.6759259203099646E-3</v>
      </c>
      <c r="N213" s="7">
        <f t="shared" si="114"/>
        <v>6.733333325246349</v>
      </c>
      <c r="O213" s="7"/>
      <c r="P213" s="7"/>
      <c r="Q213" s="26"/>
      <c r="R213" s="26"/>
      <c r="S213" s="38">
        <f t="shared" si="118"/>
        <v>1</v>
      </c>
      <c r="T213" s="53" t="str">
        <f t="shared" si="126"/>
        <v>NorthBound</v>
      </c>
      <c r="U213" s="13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https://search-rtdc-monitor-bjffxe2xuh6vdkpspy63sjmuny.us-east-1.es.amazonaws.com/_plugin/kibana/#/discover/Steve-Slow-Train-Analysis-(2080s-and-2083s)?_g=(refreshInterval:(display:Off,section:0,value:0),time:(from:'2016-08-18 00:21:25-0600',mode:absolute,to:'2016-08-18 02:29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3" s="55" t="str">
        <f t="shared" si="120"/>
        <v>Y</v>
      </c>
      <c r="X213" s="129">
        <f t="shared" si="115"/>
        <v>1</v>
      </c>
      <c r="Y213" s="70">
        <f t="shared" si="121"/>
        <v>4.6899999999999997E-2</v>
      </c>
      <c r="Z213" s="70">
        <f t="shared" si="122"/>
        <v>2.3121</v>
      </c>
      <c r="AA213" s="70">
        <f t="shared" si="123"/>
        <v>2.2652000000000001</v>
      </c>
      <c r="AB213" s="67" t="e">
        <f>VLOOKUP(A213,Enforcements!$C$7:$J$24,8,0)</f>
        <v>#N/A</v>
      </c>
      <c r="AC213" s="63" t="e">
        <f>VLOOKUP(A213,Enforcements!$C$7:$E$24,3,0)</f>
        <v>#N/A</v>
      </c>
      <c r="AD213" s="64" t="str">
        <f t="shared" si="127"/>
        <v>0311-17</v>
      </c>
      <c r="AE213" s="104" t="str">
        <f t="shared" si="124"/>
        <v>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 &amp; 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</v>
      </c>
      <c r="AF213" s="101" t="str">
        <f t="shared" si="125"/>
        <v>"C:\Program Files (x86)\AstroGrep\AstroGrep.exe" /spath="%USERPROFILE%\AppData\Local\Temp\OnboardLogs" /stypes="*4014*20160818*" /stext=" 07:.+((SYSTEM_STATE.+slice.+state.+changed )|(ment ac)|(system.+state.+changed )|(\|lc)|(penalty)|(\[timeout)|(PRM\|1\|D)|(kpr)|(kdp))" /e /r /s</v>
      </c>
      <c r="AG213" s="1" t="str">
        <f t="shared" si="128"/>
        <v>Other</v>
      </c>
      <c r="AH213" s="105" t="str">
        <f t="shared" si="129"/>
        <v>"%USERPROFILE%\Documents\GitHub\eaglep3\Utilities\RefineRTDCRunTimes.py" --tripid 311-17 --locoid 4014 --swversion DE.1.0.7.0 --startMP 204:469 --initTime 2016-08-18T01:21:25 --startdatetime 2016-08-18T01:22:40 --delay 1 --endMP 300:23121 --enddatetime 2016-08-18T01:29:24 --enforcementcount 0</v>
      </c>
    </row>
    <row r="214" spans="1:34" x14ac:dyDescent="0.25">
      <c r="A214" s="40" t="s">
        <v>285</v>
      </c>
      <c r="B214" s="7">
        <v>4038</v>
      </c>
      <c r="C214" s="25" t="s">
        <v>118</v>
      </c>
      <c r="D214" s="25" t="s">
        <v>286</v>
      </c>
      <c r="E214" s="16">
        <v>42599.080937500003</v>
      </c>
      <c r="F214" s="16">
        <v>42599.081793981481</v>
      </c>
      <c r="G214" s="7">
        <v>1</v>
      </c>
      <c r="H214" s="16" t="s">
        <v>287</v>
      </c>
      <c r="I214" s="16">
        <v>42599.086805555555</v>
      </c>
      <c r="J214" s="7">
        <v>0</v>
      </c>
      <c r="K214" s="142" t="str">
        <f t="shared" si="116"/>
        <v>4037/4038</v>
      </c>
      <c r="L214" s="25" t="str">
        <f>VLOOKUP(A214,'Trips&amp;Operators'!$C$1:$E$10000,3,FALSE)</f>
        <v>ISHMAEL</v>
      </c>
      <c r="M214" s="6">
        <f t="shared" si="117"/>
        <v>5.0115740741603076E-3</v>
      </c>
      <c r="N214" s="7">
        <f t="shared" si="114"/>
        <v>7.216666666790843</v>
      </c>
      <c r="O214" s="7"/>
      <c r="P214" s="7"/>
      <c r="Q214" s="26"/>
      <c r="R214" s="26"/>
      <c r="S214" s="38">
        <f t="shared" si="118"/>
        <v>1</v>
      </c>
      <c r="T214" s="53" t="str">
        <f t="shared" si="126"/>
        <v>NorthBound</v>
      </c>
      <c r="U214" s="13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00:56:33-0600',mode:absolute,to:'2016-08-17 03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14" s="55" t="str">
        <f t="shared" si="120"/>
        <v>Y</v>
      </c>
      <c r="X214" s="129">
        <f t="shared" si="115"/>
        <v>2</v>
      </c>
      <c r="Y214" s="70">
        <f t="shared" si="121"/>
        <v>3.32E-2</v>
      </c>
      <c r="Z214" s="70">
        <f t="shared" si="122"/>
        <v>2.3111000000000002</v>
      </c>
      <c r="AA214" s="70">
        <f t="shared" si="123"/>
        <v>2.2779000000000003</v>
      </c>
      <c r="AB214" s="67" t="e">
        <f>VLOOKUP(A214,Enforcements!$C$7:$J$24,8,0)</f>
        <v>#N/A</v>
      </c>
      <c r="AC214" s="63" t="e">
        <f>VLOOKUP(A214,Enforcements!$C$7:$E$24,3,0)</f>
        <v>#N/A</v>
      </c>
      <c r="AD214" s="64" t="str">
        <f t="shared" si="127"/>
        <v>0313-16</v>
      </c>
      <c r="AE214" s="104" t="str">
        <f t="shared" si="124"/>
        <v>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 &amp; 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</v>
      </c>
      <c r="AF214" s="101" t="str">
        <f t="shared" si="125"/>
        <v>"C:\Program Files (x86)\AstroGrep\AstroGrep.exe" /spath="%USERPROFILE%\AppData\Local\Temp\OnboardLogs" /stypes="*4038*20160817*" /stext=" 08:.+((SYSTEM_STATE.+slice.+state.+changed )|(ment ac)|(system.+state.+changed )|(\|lc)|(penalty)|(\[timeout)|(PRM\|1\|D)|(kpr)|(kdp))" /e /r /s</v>
      </c>
      <c r="AG214" s="1" t="str">
        <f t="shared" si="128"/>
        <v>Other</v>
      </c>
      <c r="AH214" s="105" t="str">
        <f t="shared" si="129"/>
        <v>"%USERPROFILE%\Documents\GitHub\eaglep3\Utilities\RefineRTDCRunTimes.py" --tripid 313-16 --locoid 4038 --swversion DE.1.0.7.0 --startMP 204:332 --initTime 2016-08-17T01:56:33 --startdatetime 2016-08-17T01:57:47 --delay 1 --endMP 300:23111 --enddatetime 2016-08-17T02:05:00 --enforcementcount 0</v>
      </c>
    </row>
    <row r="215" spans="1:34" x14ac:dyDescent="0.25">
      <c r="A215" s="40" t="s">
        <v>556</v>
      </c>
      <c r="B215" s="7">
        <v>4016</v>
      </c>
      <c r="C215" s="25" t="s">
        <v>118</v>
      </c>
      <c r="D215" s="25" t="s">
        <v>557</v>
      </c>
      <c r="E215" s="16">
        <v>42600.077650462961</v>
      </c>
      <c r="F215" s="16">
        <v>42600.078553240739</v>
      </c>
      <c r="G215" s="7">
        <v>1</v>
      </c>
      <c r="H215" s="16" t="s">
        <v>551</v>
      </c>
      <c r="I215" s="16">
        <v>42600.086145833331</v>
      </c>
      <c r="J215" s="7">
        <v>0</v>
      </c>
      <c r="K215" s="142" t="str">
        <f t="shared" si="116"/>
        <v>4015/4016</v>
      </c>
      <c r="L215" s="25" t="str">
        <f>VLOOKUP(A215,'Trips&amp;Operators'!$C$1:$E$10000,3,FALSE)</f>
        <v>LEVI</v>
      </c>
      <c r="M215" s="6">
        <f t="shared" si="117"/>
        <v>7.5925925921183079E-3</v>
      </c>
      <c r="N215" s="7">
        <f t="shared" si="114"/>
        <v>10.933333332650363</v>
      </c>
      <c r="O215" s="7"/>
      <c r="P215" s="7"/>
      <c r="Q215" s="26"/>
      <c r="R215" s="26"/>
      <c r="S215" s="38">
        <f t="shared" si="118"/>
        <v>1</v>
      </c>
      <c r="T215" s="53" t="str">
        <f t="shared" si="126"/>
        <v>NorthBound</v>
      </c>
      <c r="U215" s="13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https://search-rtdc-monitor-bjffxe2xuh6vdkpspy63sjmuny.us-east-1.es.amazonaws.com/_plugin/kibana/#/discover/Steve-Slow-Train-Analysis-(2080s-and-2083s)?_g=(refreshInterval:(display:Off,section:0,value:0),time:(from:'2016-08-18 00:51:49-0600',mode:absolute,to:'2016-08-18 03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15" s="55" t="str">
        <f t="shared" si="120"/>
        <v>Y</v>
      </c>
      <c r="X215" s="129">
        <f t="shared" si="115"/>
        <v>0</v>
      </c>
      <c r="Y215" s="70">
        <f t="shared" si="121"/>
        <v>4.4999999999999998E-2</v>
      </c>
      <c r="Z215" s="70">
        <f t="shared" si="122"/>
        <v>2.3300999999999998</v>
      </c>
      <c r="AA215" s="70">
        <f t="shared" si="123"/>
        <v>2.2850999999999999</v>
      </c>
      <c r="AB215" s="67" t="e">
        <f>VLOOKUP(A215,Enforcements!$C$7:$J$24,8,0)</f>
        <v>#N/A</v>
      </c>
      <c r="AC215" s="63" t="e">
        <f>VLOOKUP(A215,Enforcements!$C$7:$E$24,3,0)</f>
        <v>#N/A</v>
      </c>
      <c r="AD215" s="64" t="str">
        <f t="shared" si="127"/>
        <v>0313-17</v>
      </c>
      <c r="AE215" s="104" t="str">
        <f t="shared" si="124"/>
        <v>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 &amp; aws s3 cp s3://rtdc.mdm.uploadarchive/RTDC4016/2016-08-19/ "%USERPROFILE%\AppData\Local\Temp\OnboardLogs"\RTDC4016\2016-08-19 --recursive &amp; "%USERPROFILE%\Documents\GitHub\mrs-test-scripts\Headless Mode &amp; Sideloading\WalkAndUnGZ.bat" "%USERPROFILE%\AppData\Local\Temp\OnboardLogs"\RTDC4016\2016-08-19</v>
      </c>
      <c r="AF215" s="101" t="str">
        <f t="shared" si="125"/>
        <v>"C:\Program Files (x86)\AstroGrep\AstroGrep.exe" /spath="%USERPROFILE%\AppData\Local\Temp\OnboardLogs" /stypes="*4016*20160818*" /stext=" 08:.+((SYSTEM_STATE.+slice.+state.+changed )|(ment ac)|(system.+state.+changed )|(\|lc)|(penalty)|(\[timeout)|(PRM\|1\|D)|(kpr)|(kdp))" /e /r /s</v>
      </c>
      <c r="AG215" s="1" t="str">
        <f t="shared" si="128"/>
        <v>Other</v>
      </c>
      <c r="AH215" s="105" t="str">
        <f t="shared" si="129"/>
        <v>"%USERPROFILE%\Documents\GitHub\eaglep3\Utilities\RefineRTDCRunTimes.py" --tripid 313-17 --locoid 4016 --swversion DE.1.0.7.0 --startMP 204:450 --initTime 2016-08-18T01:51:49 --startdatetime 2016-08-18T01:53:07 --delay 1 --endMP 300:23301 --enddatetime 2016-08-18T02:04:03 --enforcementcount 0</v>
      </c>
    </row>
    <row r="216" spans="1:34" x14ac:dyDescent="0.25">
      <c r="A216" s="40" t="s">
        <v>288</v>
      </c>
      <c r="B216" s="7">
        <v>4029</v>
      </c>
      <c r="C216" s="25" t="s">
        <v>118</v>
      </c>
      <c r="D216" s="25" t="s">
        <v>289</v>
      </c>
      <c r="E216" s="16">
        <v>42599.095069444447</v>
      </c>
      <c r="F216" s="16">
        <v>42599.095879629633</v>
      </c>
      <c r="G216" s="7">
        <v>1</v>
      </c>
      <c r="H216" s="16" t="s">
        <v>290</v>
      </c>
      <c r="I216" s="16">
        <v>42599.103321759256</v>
      </c>
      <c r="J216" s="7">
        <v>0</v>
      </c>
      <c r="K216" s="142" t="str">
        <f t="shared" si="116"/>
        <v>4029/4030</v>
      </c>
      <c r="L216" s="25" t="str">
        <f>VLOOKUP(A216,'Trips&amp;Operators'!$C$1:$E$10000,3,FALSE)</f>
        <v>CHANDLER</v>
      </c>
      <c r="M216" s="6">
        <f t="shared" si="117"/>
        <v>7.4421296230866574E-3</v>
      </c>
      <c r="N216" s="7">
        <f t="shared" si="114"/>
        <v>10.716666657244787</v>
      </c>
      <c r="O216" s="7"/>
      <c r="P216" s="7"/>
      <c r="Q216" s="26"/>
      <c r="R216" s="26"/>
      <c r="S216" s="38">
        <f t="shared" si="118"/>
        <v>1</v>
      </c>
      <c r="T216" s="53" t="str">
        <f t="shared" si="126"/>
        <v>NorthBound</v>
      </c>
      <c r="U216" s="13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16" s="55" t="str">
        <f t="shared" si="120"/>
        <v>Y</v>
      </c>
      <c r="X216" s="129">
        <f t="shared" si="115"/>
        <v>2</v>
      </c>
      <c r="Y216" s="70">
        <f t="shared" si="121"/>
        <v>6.4000000000000001E-2</v>
      </c>
      <c r="Z216" s="70">
        <f t="shared" si="122"/>
        <v>2.3311999999999999</v>
      </c>
      <c r="AA216" s="70">
        <f t="shared" si="123"/>
        <v>2.2671999999999999</v>
      </c>
      <c r="AB216" s="67" t="e">
        <f>VLOOKUP(A216,Enforcements!$C$7:$J$24,8,0)</f>
        <v>#N/A</v>
      </c>
      <c r="AC216" s="63" t="e">
        <f>VLOOKUP(A216,Enforcements!$C$7:$E$24,3,0)</f>
        <v>#N/A</v>
      </c>
      <c r="AD216" s="64" t="str">
        <f t="shared" si="127"/>
        <v>0315-16</v>
      </c>
      <c r="AE216" s="104" t="str">
        <f t="shared" si="124"/>
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</c>
      <c r="AF216" s="101" t="str">
        <f t="shared" si="125"/>
        <v>"C:\Program Files (x86)\AstroGrep\AstroGrep.exe" /spath="%USERPROFILE%\AppData\Local\Temp\OnboardLogs" /stypes="*4029*20160817*" /stext=" 08:.+((SYSTEM_STATE.+slice.+state.+changed )|(ment ac)|(system.+state.+changed )|(\|lc)|(penalty)|(\[timeout)|(PRM\|1\|D)|(kpr)|(kdp))" /e /r /s</v>
      </c>
      <c r="AG216" s="1" t="str">
        <f t="shared" si="128"/>
        <v>Other</v>
      </c>
      <c r="AH216" s="105" t="str">
        <f t="shared" si="129"/>
        <v>"%USERPROFILE%\Documents\GitHub\eaglep3\Utilities\RefineRTDCRunTimes.py" --tripid 315-16 --locoid 4029 --swversion DE.1.0.7.0 --startMP 204:640 --initTime 2016-08-17T02:16:54 --startdatetime 2016-08-17T02:18:04 --delay 1 --endMP 300:23312 --enddatetime 2016-08-17T02:28:47 --enforcementcount 0</v>
      </c>
    </row>
    <row r="217" spans="1:34" x14ac:dyDescent="0.25">
      <c r="A217" s="40" t="s">
        <v>288</v>
      </c>
      <c r="B217" s="7">
        <v>4029</v>
      </c>
      <c r="C217" s="25" t="s">
        <v>118</v>
      </c>
      <c r="D217" s="25" t="s">
        <v>290</v>
      </c>
      <c r="E217" s="16">
        <v>42599.095069444447</v>
      </c>
      <c r="F217" s="16">
        <v>42599.103298611109</v>
      </c>
      <c r="G217" s="7">
        <v>11</v>
      </c>
      <c r="H217" s="16" t="s">
        <v>290</v>
      </c>
      <c r="I217" s="16">
        <v>42599.103321759256</v>
      </c>
      <c r="J217" s="7">
        <v>0</v>
      </c>
      <c r="K217" s="142" t="str">
        <f t="shared" si="116"/>
        <v>4029/4030</v>
      </c>
      <c r="L217" s="25" t="str">
        <f>VLOOKUP(A217,'Trips&amp;Operators'!$C$1:$E$10000,3,FALSE)</f>
        <v>CHANDLER</v>
      </c>
      <c r="M217" s="6">
        <f t="shared" si="117"/>
        <v>2.314814628334716E-5</v>
      </c>
      <c r="N217" s="7">
        <f t="shared" si="114"/>
        <v>3.333333064801991E-2</v>
      </c>
      <c r="O217" s="7"/>
      <c r="P217" s="7"/>
      <c r="Q217" s="26"/>
      <c r="R217" s="26"/>
      <c r="S217" s="38">
        <f t="shared" si="118"/>
        <v>0</v>
      </c>
      <c r="T217" s="53" t="str">
        <f t="shared" si="126"/>
        <v>NorthBound</v>
      </c>
      <c r="U217" s="13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17" s="55" t="str">
        <f t="shared" si="120"/>
        <v>Y</v>
      </c>
      <c r="X217" s="129">
        <f t="shared" si="115"/>
        <v>0</v>
      </c>
      <c r="Y217" s="70">
        <f t="shared" si="121"/>
        <v>2.3311999999999999</v>
      </c>
      <c r="Z217" s="70">
        <f t="shared" si="122"/>
        <v>2.3311999999999999</v>
      </c>
      <c r="AA217" s="70">
        <f t="shared" si="123"/>
        <v>0</v>
      </c>
      <c r="AB217" s="67" t="e">
        <f>VLOOKUP(A217,Enforcements!$C$7:$J$24,8,0)</f>
        <v>#N/A</v>
      </c>
      <c r="AC217" s="63" t="e">
        <f>VLOOKUP(A217,Enforcements!$C$7:$E$24,3,0)</f>
        <v>#N/A</v>
      </c>
      <c r="AD217" s="64" t="str">
        <f t="shared" si="127"/>
        <v>0315-16</v>
      </c>
      <c r="AE217" s="104" t="str">
        <f t="shared" si="124"/>
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</c>
      <c r="AF217" s="101" t="str">
        <f t="shared" si="125"/>
        <v>"C:\Program Files (x86)\AstroGrep\AstroGrep.exe" /spath="%USERPROFILE%\AppData\Local\Temp\OnboardLogs" /stypes="*4029*20160817*" /stext=" 08:.+((SYSTEM_STATE.+slice.+state.+changed )|(ment ac)|(system.+state.+changed )|(\|lc)|(penalty)|(\[timeout)|(PRM\|1\|D)|(kpr)|(kdp))" /e /r /s</v>
      </c>
      <c r="AG217" s="1" t="str">
        <f t="shared" si="128"/>
        <v>Other</v>
      </c>
      <c r="AH217" s="105" t="str">
        <f t="shared" si="129"/>
        <v>"%USERPROFILE%\Documents\GitHub\eaglep3\Utilities\RefineRTDCRunTimes.py" --tripid 315-16 --locoid 4029 --swversion DE.1.0.7.0 --startMP 300:23312 --initTime 2016-08-17T02:16:54 --startdatetime 2016-08-17T02:28:45 --delay 11 --endMP 300:23312 --enddatetime 2016-08-17T02:28:47 --enforcementcount 0</v>
      </c>
    </row>
    <row r="218" spans="1:34" x14ac:dyDescent="0.25">
      <c r="A218" s="40" t="s">
        <v>668</v>
      </c>
      <c r="B218" s="7">
        <v>4042</v>
      </c>
      <c r="C218" s="25" t="s">
        <v>118</v>
      </c>
      <c r="D218" s="25" t="s">
        <v>669</v>
      </c>
      <c r="E218" s="16">
        <v>42599.355821759258</v>
      </c>
      <c r="F218" s="16">
        <v>42599.356666666667</v>
      </c>
      <c r="G218" s="7">
        <v>1</v>
      </c>
      <c r="H218" s="16" t="s">
        <v>670</v>
      </c>
      <c r="I218" s="16">
        <v>42599.372523148151</v>
      </c>
      <c r="J218" s="7">
        <v>0</v>
      </c>
      <c r="K218" s="142" t="str">
        <f t="shared" si="116"/>
        <v>4041/4042</v>
      </c>
      <c r="L218" s="25" t="str">
        <f>VLOOKUP(A218,'Trips&amp;Operators'!$C$1:$E$10000,3,FALSE)</f>
        <v>STARKS</v>
      </c>
      <c r="M218" s="6">
        <f t="shared" si="117"/>
        <v>1.5856481484661344E-2</v>
      </c>
      <c r="N218" s="7">
        <f t="shared" si="114"/>
        <v>22.833333337912336</v>
      </c>
      <c r="O218" s="7"/>
      <c r="P218" s="7"/>
      <c r="Q218" s="26"/>
      <c r="R218" s="26"/>
      <c r="S218" s="38">
        <f t="shared" si="118"/>
        <v>1</v>
      </c>
      <c r="T218" s="53" t="str">
        <f t="shared" si="126"/>
        <v>NorthBound</v>
      </c>
      <c r="U218" s="13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07:32:23-0600',mode:absolute,to:'2016-08-17 09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18" s="55" t="str">
        <f t="shared" si="120"/>
        <v>Y</v>
      </c>
      <c r="X218" s="129">
        <f t="shared" si="115"/>
        <v>588</v>
      </c>
      <c r="Y218" s="70">
        <f t="shared" si="121"/>
        <v>0.1051</v>
      </c>
      <c r="Z218" s="70">
        <f t="shared" si="122"/>
        <v>2.4207000000000001</v>
      </c>
      <c r="AA218" s="70">
        <f t="shared" si="123"/>
        <v>2.3155999999999999</v>
      </c>
      <c r="AB218" s="67" t="e">
        <f>VLOOKUP(A218,Enforcements!$C$7:$J$24,8,0)</f>
        <v>#N/A</v>
      </c>
      <c r="AC218" s="63" t="e">
        <f>VLOOKUP(A218,Enforcements!$C$7:$E$24,3,0)</f>
        <v>#N/A</v>
      </c>
      <c r="AD218" s="64" t="str">
        <f t="shared" si="127"/>
        <v>0903-17</v>
      </c>
      <c r="AE218" s="104" t="str">
        <f t="shared" si="124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218" s="101" t="str">
        <f t="shared" si="125"/>
        <v>"C:\Program Files (x86)\AstroGrep\AstroGrep.exe" /spath="%USERPROFILE%\AppData\Local\Temp\OnboardLogs" /stypes="*4042*20160817*" /stext=" 14:.+((SYSTEM_STATE.+slice.+state.+changed )|(ment ac)|(system.+state.+changed )|(\|lc)|(penalty)|(\[timeout)|(PRM\|1\|D)|(kpr)|(kdp))" /e /r /s</v>
      </c>
      <c r="AG218" s="1" t="str">
        <f t="shared" si="128"/>
        <v>Other</v>
      </c>
      <c r="AH218" s="105" t="str">
        <f t="shared" si="129"/>
        <v>"%USERPROFILE%\Documents\GitHub\eaglep3\Utilities\RefineRTDCRunTimes.py" --tripid 903-17 --locoid 4042 --swversion DE.1.0.7.0 --startMP 204:1051 --initTime 2016-08-17T08:32:23 --startdatetime 2016-08-17T08:33:36 --delay 1 --endMP 300:24207 --enddatetime 2016-08-17T08:56:26 --enforcementcount 0</v>
      </c>
    </row>
    <row r="219" spans="1:34" x14ac:dyDescent="0.25">
      <c r="A219" s="40" t="s">
        <v>671</v>
      </c>
      <c r="B219" s="7">
        <v>4041</v>
      </c>
      <c r="C219" s="25" t="s">
        <v>118</v>
      </c>
      <c r="D219" s="25" t="s">
        <v>672</v>
      </c>
      <c r="E219" s="16">
        <v>42599.642071759263</v>
      </c>
      <c r="F219" s="16">
        <v>42599.642962962964</v>
      </c>
      <c r="G219" s="7">
        <v>1</v>
      </c>
      <c r="H219" s="16" t="s">
        <v>673</v>
      </c>
      <c r="I219" s="16">
        <v>42599.646331018521</v>
      </c>
      <c r="J219" s="7">
        <v>0</v>
      </c>
      <c r="K219" s="142" t="str">
        <f t="shared" si="116"/>
        <v>4041/4042</v>
      </c>
      <c r="L219" s="25" t="str">
        <f>VLOOKUP(A219,'Trips&amp;Operators'!$C$1:$E$10000,3,FALSE)</f>
        <v>OUN</v>
      </c>
      <c r="M219" s="6">
        <f t="shared" si="117"/>
        <v>3.3680555570754223E-3</v>
      </c>
      <c r="N219" s="7">
        <f t="shared" si="114"/>
        <v>4.8500000021886081</v>
      </c>
      <c r="O219" s="7"/>
      <c r="P219" s="7"/>
      <c r="Q219" s="26"/>
      <c r="R219" s="26"/>
      <c r="S219" s="38">
        <f t="shared" si="118"/>
        <v>0</v>
      </c>
      <c r="T219" s="53" t="str">
        <f t="shared" si="126"/>
        <v>Southbound</v>
      </c>
      <c r="U219" s="13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14:24:35-0600',mode:absolute,to:'2016-08-17 16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19" s="55" t="str">
        <f t="shared" si="120"/>
        <v>Y</v>
      </c>
      <c r="X219" s="129">
        <f t="shared" si="115"/>
        <v>1</v>
      </c>
      <c r="Y219" s="70">
        <f t="shared" si="121"/>
        <v>2.4380999999999999</v>
      </c>
      <c r="Z219" s="70">
        <f t="shared" si="122"/>
        <v>2.4039000000000001</v>
      </c>
      <c r="AA219" s="70">
        <f t="shared" si="123"/>
        <v>3.4199999999999786E-2</v>
      </c>
      <c r="AB219" s="67" t="e">
        <f>VLOOKUP(A219,Enforcements!$C$7:$J$24,8,0)</f>
        <v>#N/A</v>
      </c>
      <c r="AC219" s="63" t="e">
        <f>VLOOKUP(A219,Enforcements!$C$7:$E$24,3,0)</f>
        <v>#N/A</v>
      </c>
      <c r="AD219" s="64" t="str">
        <f t="shared" si="127"/>
        <v>0904-17</v>
      </c>
      <c r="AE219" s="104" t="str">
        <f t="shared" si="124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219" s="101" t="str">
        <f t="shared" si="125"/>
        <v>"C:\Program Files (x86)\AstroGrep\AstroGrep.exe" /spath="%USERPROFILE%\AppData\Local\Temp\OnboardLogs" /stypes="*4041*20160817*" /stext=" 21:.+((SYSTEM_STATE.+slice.+state.+changed )|(ment ac)|(system.+state.+changed )|(\|lc)|(penalty)|(\[timeout)|(PRM\|1\|D)|(kpr)|(kdp))" /e /r /s</v>
      </c>
      <c r="AG219" s="1" t="str">
        <f t="shared" si="128"/>
        <v>Other</v>
      </c>
      <c r="AH219" s="105" t="str">
        <f t="shared" si="129"/>
        <v>"%USERPROFILE%\Documents\GitHub\eaglep3\Utilities\RefineRTDCRunTimes.py" --tripid 904-17 --locoid 4041 --swversion DE.1.0.7.0 --startMP 300:24381 --initTime 2016-08-17T15:24:35 --startdatetime 2016-08-17T15:25:52 --delay 1 --endMP 300:24039 --enddatetime 2016-08-17T15:30:43 --enforcementcount 0</v>
      </c>
    </row>
    <row r="220" spans="1:34" x14ac:dyDescent="0.25">
      <c r="A220" s="40" t="s">
        <v>674</v>
      </c>
      <c r="B220" s="7">
        <v>4041</v>
      </c>
      <c r="C220" s="25" t="s">
        <v>118</v>
      </c>
      <c r="D220" s="25" t="s">
        <v>675</v>
      </c>
      <c r="E220" s="16">
        <v>42599.796979166669</v>
      </c>
      <c r="F220" s="16">
        <v>42599.79792824074</v>
      </c>
      <c r="G220" s="7">
        <v>1</v>
      </c>
      <c r="H220" s="16" t="s">
        <v>676</v>
      </c>
      <c r="I220" s="16">
        <v>42599.803356481483</v>
      </c>
      <c r="J220" s="7">
        <v>0</v>
      </c>
      <c r="K220" s="142" t="str">
        <f t="shared" si="116"/>
        <v>4041/4042</v>
      </c>
      <c r="L220" s="25" t="str">
        <f>VLOOKUP(A220,'Trips&amp;Operators'!$C$1:$E$10000,3,FALSE)</f>
        <v>OUN</v>
      </c>
      <c r="M220" s="6">
        <f t="shared" si="117"/>
        <v>5.4282407436403446E-3</v>
      </c>
      <c r="N220" s="7">
        <f t="shared" si="114"/>
        <v>7.8166666708420962</v>
      </c>
      <c r="O220" s="7"/>
      <c r="P220" s="7"/>
      <c r="Q220" s="26"/>
      <c r="R220" s="26"/>
      <c r="S220" s="38">
        <f t="shared" si="118"/>
        <v>0</v>
      </c>
      <c r="T220" s="53" t="str">
        <f t="shared" si="126"/>
        <v>Southbound</v>
      </c>
      <c r="U220" s="13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18:07:39-0600',mode:absolute,to:'2016-08-17 20:16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20" s="55" t="str">
        <f t="shared" si="120"/>
        <v>Y</v>
      </c>
      <c r="X220" s="129">
        <f t="shared" si="115"/>
        <v>2</v>
      </c>
      <c r="Y220" s="70">
        <f t="shared" si="121"/>
        <v>5.8589000000000002</v>
      </c>
      <c r="Z220" s="70">
        <f t="shared" si="122"/>
        <v>2.1718999999999999</v>
      </c>
      <c r="AA220" s="70">
        <f t="shared" si="123"/>
        <v>3.6870000000000003</v>
      </c>
      <c r="AB220" s="67" t="e">
        <f>VLOOKUP(A220,Enforcements!$C$7:$J$24,8,0)</f>
        <v>#N/A</v>
      </c>
      <c r="AC220" s="63" t="e">
        <f>VLOOKUP(A220,Enforcements!$C$7:$E$24,3,0)</f>
        <v>#N/A</v>
      </c>
      <c r="AD220" s="64" t="str">
        <f t="shared" si="127"/>
        <v>0906-17</v>
      </c>
      <c r="AE220" s="104" t="str">
        <f t="shared" si="124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220" s="101" t="str">
        <f t="shared" si="125"/>
        <v>"C:\Program Files (x86)\AstroGrep\AstroGrep.exe" /spath="%USERPROFILE%\AppData\Local\Temp\OnboardLogs" /stypes="*4041*20160818*" /stext=" 01:.+((SYSTEM_STATE.+slice.+state.+changed )|(ment ac)|(system.+state.+changed )|(\|lc)|(penalty)|(\[timeout)|(PRM\|1\|D)|(kpr)|(kdp))" /e /r /s</v>
      </c>
      <c r="AG220" s="1" t="str">
        <f t="shared" si="128"/>
        <v>Other</v>
      </c>
      <c r="AH220" s="105" t="str">
        <f t="shared" si="129"/>
        <v>"%USERPROFILE%\Documents\GitHub\eaglep3\Utilities\RefineRTDCRunTimes.py" --tripid 906-17 --locoid 4041 --swversion DE.1.0.7.0 --startMP 300:58589 --initTime 2016-08-17T19:07:39 --startdatetime 2016-08-17T19:09:01 --delay 1 --endMP 300:21719 --enddatetime 2016-08-17T19:16:50 --enforcementcount 0</v>
      </c>
    </row>
    <row r="221" spans="1:34" x14ac:dyDescent="0.25">
      <c r="A221" s="40" t="s">
        <v>677</v>
      </c>
      <c r="B221" s="7">
        <v>4008</v>
      </c>
      <c r="C221" s="25" t="s">
        <v>118</v>
      </c>
      <c r="D221" s="25" t="s">
        <v>239</v>
      </c>
      <c r="E221" s="16">
        <v>42599.943124999998</v>
      </c>
      <c r="F221" s="16">
        <v>42599.943912037037</v>
      </c>
      <c r="G221" s="7">
        <v>1</v>
      </c>
      <c r="H221" s="16" t="s">
        <v>678</v>
      </c>
      <c r="I221" s="16">
        <v>42599.952627314815</v>
      </c>
      <c r="J221" s="7">
        <v>0</v>
      </c>
      <c r="K221" s="142" t="str">
        <f t="shared" si="116"/>
        <v>4007/4008</v>
      </c>
      <c r="L221" s="25" t="str">
        <f>VLOOKUP(A221,'Trips&amp;Operators'!$C$1:$E$10000,3,FALSE)</f>
        <v>OUN</v>
      </c>
      <c r="M221" s="6">
        <f t="shared" si="117"/>
        <v>8.7152777778101154E-3</v>
      </c>
      <c r="N221" s="7">
        <f t="shared" si="114"/>
        <v>12.550000000046566</v>
      </c>
      <c r="O221" s="7"/>
      <c r="P221" s="7"/>
      <c r="Q221" s="26"/>
      <c r="R221" s="26"/>
      <c r="S221" s="38">
        <f t="shared" si="118"/>
        <v>0</v>
      </c>
      <c r="T221" s="53" t="str">
        <f t="shared" si="126"/>
        <v>Southbound</v>
      </c>
      <c r="U221" s="13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21:38:06-0600',mode:absolute,to:'2016-08-17 23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1" s="55" t="str">
        <f t="shared" si="120"/>
        <v>Y</v>
      </c>
      <c r="X221" s="129">
        <f t="shared" si="115"/>
        <v>2</v>
      </c>
      <c r="Y221" s="70">
        <f t="shared" si="121"/>
        <v>5.8604000000000003</v>
      </c>
      <c r="Z221" s="70">
        <f t="shared" si="122"/>
        <v>1.2990999999999999</v>
      </c>
      <c r="AA221" s="70">
        <f t="shared" si="123"/>
        <v>4.5613000000000001</v>
      </c>
      <c r="AB221" s="67" t="e">
        <f>VLOOKUP(A221,Enforcements!$C$7:$J$24,8,0)</f>
        <v>#N/A</v>
      </c>
      <c r="AC221" s="63" t="e">
        <f>VLOOKUP(A221,Enforcements!$C$7:$E$24,3,0)</f>
        <v>#N/A</v>
      </c>
      <c r="AD221" s="64" t="str">
        <f t="shared" si="127"/>
        <v>0908-17</v>
      </c>
      <c r="AE221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221" s="101" t="str">
        <f t="shared" si="125"/>
        <v>"C:\Program Files (x86)\AstroGrep\AstroGrep.exe" /spath="%USERPROFILE%\AppData\Local\Temp\OnboardLogs" /stypes="*4008*20160818*" /stext=" 04:.+((SYSTEM_STATE.+slice.+state.+changed )|(ment ac)|(system.+state.+changed )|(\|lc)|(penalty)|(\[timeout)|(PRM\|1\|D)|(kpr)|(kdp))" /e /r /s</v>
      </c>
      <c r="AG221" s="1" t="str">
        <f t="shared" si="128"/>
        <v>Other</v>
      </c>
      <c r="AH221" s="105" t="str">
        <f t="shared" si="129"/>
        <v>"%USERPROFILE%\Documents\GitHub\eaglep3\Utilities\RefineRTDCRunTimes.py" --tripid 908-17 --locoid 4008 --swversion DE.1.0.7.0 --startMP 300:58604 --initTime 2016-08-17T22:38:06 --startdatetime 2016-08-17T22:39:14 --delay 1 --endMP 300:12991 --enddatetime 2016-08-17T22:51:47 --enforcementcount 0</v>
      </c>
    </row>
    <row r="222" spans="1:34" x14ac:dyDescent="0.25">
      <c r="A222" s="40" t="s">
        <v>558</v>
      </c>
      <c r="B222" s="7">
        <v>4005</v>
      </c>
      <c r="C222" s="25" t="s">
        <v>118</v>
      </c>
      <c r="D222" s="25" t="s">
        <v>559</v>
      </c>
      <c r="E222" s="16">
        <v>42599.695856481485</v>
      </c>
      <c r="F222" s="16">
        <v>42599.697870370372</v>
      </c>
      <c r="G222" s="7">
        <v>2</v>
      </c>
      <c r="H222" s="16" t="s">
        <v>532</v>
      </c>
      <c r="I222" s="16">
        <v>42599.704930555556</v>
      </c>
      <c r="J222" s="7">
        <v>0</v>
      </c>
      <c r="K222" s="142" t="str">
        <f t="shared" si="116"/>
        <v>4005/4006</v>
      </c>
      <c r="L222" s="25" t="str">
        <f>VLOOKUP(A222,'Trips&amp;Operators'!$C$1:$E$10000,3,FALSE)</f>
        <v>STURGEON</v>
      </c>
      <c r="M222" s="6">
        <f t="shared" si="117"/>
        <v>7.0601851839455776E-3</v>
      </c>
      <c r="N222" s="7">
        <f t="shared" si="114"/>
        <v>10.166666664881632</v>
      </c>
      <c r="O222" s="7"/>
      <c r="P222" s="7"/>
      <c r="Q222" s="26"/>
      <c r="R222" s="26"/>
      <c r="S222" s="38">
        <f t="shared" si="118"/>
        <v>0</v>
      </c>
      <c r="T222" s="53" t="e">
        <f t="shared" si="126"/>
        <v>#VALUE!</v>
      </c>
      <c r="U222" s="13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15:42:02-0600',mode:absolute,to:'2016-08-17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W222" s="55" t="str">
        <f t="shared" si="120"/>
        <v>Y</v>
      </c>
      <c r="X222" s="129" t="e">
        <f t="shared" si="115"/>
        <v>#VALUE!</v>
      </c>
      <c r="Y222" s="70">
        <f t="shared" si="121"/>
        <v>2.3721999999999999</v>
      </c>
      <c r="Z222" s="70">
        <f t="shared" si="122"/>
        <v>1.5699999999999999E-2</v>
      </c>
      <c r="AA222" s="70">
        <f t="shared" si="123"/>
        <v>2.3565</v>
      </c>
      <c r="AB222" s="67" t="e">
        <f>VLOOKUP(A222,Enforcements!$C$7:$J$24,8,0)</f>
        <v>#N/A</v>
      </c>
      <c r="AC222" s="63" t="e">
        <f>VLOOKUP(A222,Enforcements!$C$7:$E$24,3,0)</f>
        <v>#N/A</v>
      </c>
      <c r="AD222" s="64" t="str">
        <f t="shared" si="127"/>
        <v>52-17</v>
      </c>
      <c r="AE222" s="104" t="str">
        <f t="shared" si="124"/>
        <v>aws s3 cp s3://rtdc.mdm.uploadarchive/RTDC4005/2016-08-17/ "%USERPROFILE%\AppData\Local\Temp\OnboardLogs"\RTDC4005\2016-08-17 --recursive &amp; "%USERPROFILE%\Documents\GitHub\mrs-test-scripts\Headless Mode &amp; Sideloading\WalkAndUnGZ.bat" "%USERPROFILE%\AppData\Local\Temp\OnboardLogs"\RTDC4005\2016-08-17 &amp; aws s3 cp s3://rtdc.mdm.uploadarchive/RTDC4005/2016-08-18/ "%USERPROFILE%\AppData\Local\Temp\OnboardLogs"\RTDC4005\2016-08-18 --recursive &amp; "%USERPROFILE%\Documents\GitHub\mrs-test-scripts\Headless Mode &amp; Sideloading\WalkAndUnGZ.bat" "%USERPROFILE%\AppData\Local\Temp\OnboardLogs"\RTDC4005\2016-08-18</v>
      </c>
      <c r="AF222" s="101" t="str">
        <f t="shared" si="125"/>
        <v>"C:\Program Files (x86)\AstroGrep\AstroGrep.exe" /spath="%USERPROFILE%\AppData\Local\Temp\OnboardLogs" /stypes="*4005*20160817*" /stext=" 22:.+((SYSTEM_STATE.+slice.+state.+changed )|(ment ac)|(system.+state.+changed )|(\|lc)|(penalty)|(\[timeout)|(PRM\|1\|D)|(kpr)|(kdp))" /e /r /s</v>
      </c>
      <c r="AG222" s="1" t="str">
        <f t="shared" si="128"/>
        <v>Other</v>
      </c>
      <c r="AH222" s="105" t="str">
        <f t="shared" si="129"/>
        <v>"%USERPROFILE%\Documents\GitHub\eaglep3\Utilities\RefineRTDCRunTimes.py" --tripid 52-17 --locoid 4005 --swversion DE.1.0.7.0 --startMP 300:23722 --initTime 2016-08-17T16:42:02 --startdatetime 2016-08-17T16:44:56 --delay 2 --endMP 204:157 --enddatetime 2016-08-17T16:55:06 --enforcementcount 0</v>
      </c>
    </row>
    <row r="223" spans="1:34" x14ac:dyDescent="0.25">
      <c r="A223" s="40" t="s">
        <v>560</v>
      </c>
      <c r="B223" s="7">
        <v>4021</v>
      </c>
      <c r="C223" s="25" t="s">
        <v>118</v>
      </c>
      <c r="D223" s="25" t="s">
        <v>561</v>
      </c>
      <c r="E223" s="16">
        <v>42599.712916666664</v>
      </c>
      <c r="F223" s="16">
        <v>42599.718055555553</v>
      </c>
      <c r="G223" s="7">
        <v>7</v>
      </c>
      <c r="H223" s="16" t="s">
        <v>213</v>
      </c>
      <c r="I223" s="16">
        <v>42599.723668981482</v>
      </c>
      <c r="J223" s="7">
        <v>0</v>
      </c>
      <c r="K223" s="142" t="str">
        <f t="shared" si="116"/>
        <v>4021/4022</v>
      </c>
      <c r="L223" s="25" t="str">
        <f>VLOOKUP(A223,'Trips&amp;Operators'!$C$1:$E$10000,3,FALSE)</f>
        <v>YANAI</v>
      </c>
      <c r="M223" s="6">
        <f t="shared" si="117"/>
        <v>5.6134259284590371E-3</v>
      </c>
      <c r="N223" s="7">
        <f t="shared" si="114"/>
        <v>8.0833333369810134</v>
      </c>
      <c r="O223" s="7"/>
      <c r="P223" s="7"/>
      <c r="Q223" s="26"/>
      <c r="R223" s="26"/>
      <c r="S223" s="38">
        <f t="shared" si="118"/>
        <v>0</v>
      </c>
      <c r="T223" s="53" t="e">
        <f t="shared" si="126"/>
        <v>#VALUE!</v>
      </c>
      <c r="U223" s="13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16:06:36-0600',mode:absolute,to:'2016-08-17 18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23" s="55" t="str">
        <f t="shared" si="120"/>
        <v>Y</v>
      </c>
      <c r="X223" s="129" t="e">
        <f t="shared" si="115"/>
        <v>#VALUE!</v>
      </c>
      <c r="Y223" s="70">
        <f t="shared" si="121"/>
        <v>2.3456999999999999</v>
      </c>
      <c r="Z223" s="70">
        <f t="shared" si="122"/>
        <v>4.8000000000000001E-2</v>
      </c>
      <c r="AA223" s="70">
        <f t="shared" si="123"/>
        <v>2.2976999999999999</v>
      </c>
      <c r="AB223" s="67" t="e">
        <f>VLOOKUP(A223,Enforcements!$C$7:$J$24,8,0)</f>
        <v>#N/A</v>
      </c>
      <c r="AC223" s="63" t="e">
        <f>VLOOKUP(A223,Enforcements!$C$7:$E$24,3,0)</f>
        <v>#N/A</v>
      </c>
      <c r="AD223" s="64" t="str">
        <f t="shared" si="127"/>
        <v>56-17</v>
      </c>
      <c r="AE223" s="104" t="str">
        <f t="shared" si="124"/>
        <v>aws s3 cp s3://rtdc.mdm.uploadarchive/RTDC4021/2016-08-17/ "%USERPROFILE%\AppData\Local\Temp\OnboardLogs"\RTDC4021\2016-08-17 --recursive &amp; "%USERPROFILE%\Documents\GitHub\mrs-test-scripts\Headless Mode &amp; Sideloading\WalkAndUnGZ.bat" "%USERPROFILE%\AppData\Local\Temp\OnboardLogs"\RTDC4021\2016-08-17 &amp; aws s3 cp s3://rtdc.mdm.uploadarchive/RTDC4021/2016-08-18/ "%USERPROFILE%\AppData\Local\Temp\OnboardLogs"\RTDC4021\2016-08-18 --recursive &amp; "%USERPROFILE%\Documents\GitHub\mrs-test-scripts\Headless Mode &amp; Sideloading\WalkAndUnGZ.bat" "%USERPROFILE%\AppData\Local\Temp\OnboardLogs"\RTDC4021\2016-08-18</v>
      </c>
      <c r="AF223" s="101" t="str">
        <f t="shared" si="125"/>
        <v>"C:\Program Files (x86)\AstroGrep\AstroGrep.exe" /spath="%USERPROFILE%\AppData\Local\Temp\OnboardLogs" /stypes="*4021*20160817*" /stext=" 23:.+((SYSTEM_STATE.+slice.+state.+changed )|(ment ac)|(system.+state.+changed )|(\|lc)|(penalty)|(\[timeout)|(PRM\|1\|D)|(kpr)|(kdp))" /e /r /s</v>
      </c>
      <c r="AG223" s="1" t="str">
        <f t="shared" si="128"/>
        <v>Other</v>
      </c>
      <c r="AH223" s="105" t="str">
        <f t="shared" si="129"/>
        <v>"%USERPROFILE%\Documents\GitHub\eaglep3\Utilities\RefineRTDCRunTimes.py" --tripid 56-17 --locoid 4021 --swversion DE.1.0.7.0 --startMP 300:23457 --initTime 2016-08-17T17:06:36 --startdatetime 2016-08-17T17:14:00 --delay 7 --endMP 204:480 --enddatetime 2016-08-17T17:22:05 --enforcementcount 0</v>
      </c>
    </row>
  </sheetData>
  <autoFilter ref="A12:AG22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4" priority="259" operator="equal">
      <formula>"Y"</formula>
    </cfRule>
  </conditionalFormatting>
  <conditionalFormatting sqref="X13:X1048576">
    <cfRule type="cellIs" dxfId="13" priority="242" operator="greaterThan">
      <formula>1</formula>
    </cfRule>
  </conditionalFormatting>
  <conditionalFormatting sqref="X12:X1048576">
    <cfRule type="cellIs" dxfId="12" priority="239" operator="equal">
      <formula>0</formula>
    </cfRule>
  </conditionalFormatting>
  <conditionalFormatting sqref="A13:S223">
    <cfRule type="expression" dxfId="11" priority="235">
      <formula>$O13&gt;0</formula>
    </cfRule>
  </conditionalFormatting>
  <conditionalFormatting sqref="A13:S223">
    <cfRule type="expression" dxfId="10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75"/>
  <sheetViews>
    <sheetView topLeftCell="A22" workbookViewId="0">
      <selection activeCell="W45" sqref="W4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3" customWidth="1"/>
    <col min="14" max="14" width="24.140625" customWidth="1"/>
    <col min="15" max="15" width="5" hidden="1" customWidth="1"/>
    <col min="16" max="16" width="5.7109375" style="102" customWidth="1"/>
    <col min="17" max="17" width="5.7109375" style="116" customWidth="1"/>
    <col min="18" max="18" width="6" style="99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3"/>
      <c r="P1" s="102"/>
      <c r="Q1" s="116"/>
      <c r="R1" s="99"/>
      <c r="T1" s="51"/>
    </row>
    <row r="2" spans="1:22" s="24" customFormat="1" x14ac:dyDescent="0.25">
      <c r="A2" s="8"/>
      <c r="F2" s="2"/>
      <c r="G2" s="2"/>
      <c r="H2" s="2"/>
      <c r="J2" s="2"/>
      <c r="K2" s="143" t="s">
        <v>90</v>
      </c>
      <c r="L2" s="144"/>
      <c r="M2" s="145">
        <f>COUNTIF($M$7:$M$412,"=Y")</f>
        <v>9</v>
      </c>
      <c r="N2" s="146"/>
      <c r="P2" s="102"/>
      <c r="Q2" s="116"/>
      <c r="R2" s="99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7" t="s">
        <v>91</v>
      </c>
      <c r="L3" s="148"/>
      <c r="M3" s="149">
        <f>COUNTA($M$7:$M$412)-M2</f>
        <v>58</v>
      </c>
      <c r="N3" s="146"/>
      <c r="P3" s="102"/>
      <c r="Q3" s="116"/>
      <c r="R3" s="99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3"/>
      <c r="P4" s="102"/>
      <c r="Q4" s="116"/>
      <c r="R4" s="99"/>
      <c r="T4" s="51"/>
    </row>
    <row r="5" spans="1:22" s="12" customFormat="1" ht="15" customHeight="1" x14ac:dyDescent="0.25">
      <c r="A5" s="150" t="str">
        <f>"Eagle P3 Braking Events - "&amp;TEXT(Variables!$A$2,"YYYY-mm-dd")</f>
        <v>Eagle P3 Braking Events - 2016-08-18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3"/>
      <c r="P5" s="113"/>
      <c r="Q5" s="117"/>
      <c r="R5" s="120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40" t="s">
        <v>27</v>
      </c>
      <c r="N6" s="73" t="s">
        <v>24</v>
      </c>
      <c r="O6" s="53"/>
      <c r="P6" s="114" t="s">
        <v>104</v>
      </c>
      <c r="Q6" s="118" t="s">
        <v>63</v>
      </c>
      <c r="R6" s="121" t="s">
        <v>103</v>
      </c>
      <c r="S6" s="73" t="s">
        <v>98</v>
      </c>
      <c r="T6" s="75" t="s">
        <v>99</v>
      </c>
      <c r="U6" s="53" t="s">
        <v>112</v>
      </c>
      <c r="V6" s="53" t="s">
        <v>115</v>
      </c>
    </row>
    <row r="7" spans="1:22" s="1" customFormat="1" x14ac:dyDescent="0.25">
      <c r="A7" s="39">
        <v>42599.329942129632</v>
      </c>
      <c r="B7" s="34" t="s">
        <v>304</v>
      </c>
      <c r="C7" s="34" t="s">
        <v>370</v>
      </c>
      <c r="D7" s="34" t="s">
        <v>49</v>
      </c>
      <c r="E7" s="34" t="s">
        <v>217</v>
      </c>
      <c r="F7" s="50">
        <v>0</v>
      </c>
      <c r="G7" s="50">
        <v>67</v>
      </c>
      <c r="H7" s="50">
        <v>26706</v>
      </c>
      <c r="I7" s="34" t="s">
        <v>218</v>
      </c>
      <c r="J7" s="50">
        <v>27052</v>
      </c>
      <c r="K7" s="34" t="s">
        <v>52</v>
      </c>
      <c r="L7" s="97" t="str">
        <f>VLOOKUP(C7,'Trips&amp;Operators'!$C$1:$E$9999,3,0)</f>
        <v>BRANNON</v>
      </c>
      <c r="M7" s="141" t="s">
        <v>89</v>
      </c>
      <c r="N7" s="10" t="s">
        <v>706</v>
      </c>
      <c r="O7" s="34"/>
      <c r="P7" s="115" t="str">
        <f>VLOOKUP(C7,'Train Runs'!$A$13:$AE$9998,31,0)</f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Q7" s="119" t="str">
        <f>VLOOKUP(C7,'Train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06:43:28-0600',mode:absolute,to:'2016-08-17 09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7" s="122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/stypes="*4018*201608171*" /stext=" 13:.+((SYSTEM_STATE.+slice.+state.+changed )|(ment ac)|(system.+state.+changed )|(\|lc)|(penalty)|(\[timeout)|(PRM\|1\|D)|(kpr)|(kdp))" /e /r /s</v>
      </c>
      <c r="S7" s="9" t="str">
        <f t="shared" ref="S7:S38" si="1">MID(B7,13,4)</f>
        <v>4018</v>
      </c>
      <c r="T7" s="39">
        <f t="shared" ref="T7:T38" si="2">A7+6/24</f>
        <v>42599.579942129632</v>
      </c>
      <c r="U7" s="53" t="str">
        <f t="shared" ref="U7:U38" si="3">IF(VALUE(LEFT(IF(LEN(C7)=6,"0"&amp;C7,C7),2))&lt;=2,"EC",IF(OR(VALUE(LEFT(IF(LEN(C7)=6,"0"&amp;C7,C7),2))=8,VALUE(LEFT(IF(LEN(C7)=6,"0"&amp;C7,C7),2))=18),"NW","Other"))</f>
        <v>EC</v>
      </c>
      <c r="V7" s="53" t="str">
        <f t="shared" ref="V7:V38" si="4">IF(AND(E7="TRACK WARRANT AUTHORITY",G7&lt;10),"OMIT","KEEP")</f>
        <v>KEEP</v>
      </c>
    </row>
    <row r="8" spans="1:22" s="1" customFormat="1" x14ac:dyDescent="0.25">
      <c r="A8" s="39">
        <v>42599.260960648149</v>
      </c>
      <c r="B8" s="34" t="s">
        <v>93</v>
      </c>
      <c r="C8" s="34" t="s">
        <v>338</v>
      </c>
      <c r="D8" s="34" t="s">
        <v>49</v>
      </c>
      <c r="E8" s="34" t="s">
        <v>217</v>
      </c>
      <c r="F8" s="50">
        <v>0</v>
      </c>
      <c r="G8" s="50">
        <v>168</v>
      </c>
      <c r="H8" s="50">
        <v>31926</v>
      </c>
      <c r="I8" s="34" t="s">
        <v>218</v>
      </c>
      <c r="J8" s="50">
        <v>30970</v>
      </c>
      <c r="K8" s="34" t="s">
        <v>53</v>
      </c>
      <c r="L8" s="97" t="str">
        <f>VLOOKUP(C8,'Trips&amp;Operators'!$C$1:$E$9999,3,0)</f>
        <v>KILLION</v>
      </c>
      <c r="M8" s="141" t="s">
        <v>89</v>
      </c>
      <c r="N8" s="10" t="s">
        <v>706</v>
      </c>
      <c r="O8" s="34"/>
      <c r="P8" s="115" t="str">
        <f>VLOOKUP(C8,'Train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8" s="119" t="str">
        <f>VLOOKUP(C8,'Train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8" s="122" t="str">
        <f t="shared" si="0"/>
        <v>"C:\Program Files (x86)\AstroGrep\AstroGrep.exe" /spath="%USERPROFILE%\AppData\Local\Temp\OnboardLogs" /stypes="*4013*201608171*" /stext=" 12:.+((SYSTEM_STATE.+slice.+state.+changed )|(ment ac)|(system.+state.+changed )|(\|lc)|(penalty)|(\[timeout)|(PRM\|1\|D)|(kpr)|(kdp))" /e /r /s</v>
      </c>
      <c r="S8" s="9" t="str">
        <f t="shared" si="1"/>
        <v>4013</v>
      </c>
      <c r="T8" s="39">
        <f t="shared" si="2"/>
        <v>42599.510960648149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42599.284594907411</v>
      </c>
      <c r="B9" s="34" t="s">
        <v>302</v>
      </c>
      <c r="C9" s="34" t="s">
        <v>342</v>
      </c>
      <c r="D9" s="34" t="s">
        <v>49</v>
      </c>
      <c r="E9" s="34" t="s">
        <v>217</v>
      </c>
      <c r="F9" s="50">
        <v>0</v>
      </c>
      <c r="G9" s="50">
        <v>67</v>
      </c>
      <c r="H9" s="50">
        <v>31476</v>
      </c>
      <c r="I9" s="34" t="s">
        <v>218</v>
      </c>
      <c r="J9" s="50">
        <v>30970</v>
      </c>
      <c r="K9" s="34" t="s">
        <v>53</v>
      </c>
      <c r="L9" s="97" t="str">
        <f>VLOOKUP(C9,'Trips&amp;Operators'!$C$1:$E$9999,3,0)</f>
        <v>ROCHA</v>
      </c>
      <c r="M9" s="141" t="s">
        <v>89</v>
      </c>
      <c r="N9" s="10" t="s">
        <v>706</v>
      </c>
      <c r="O9" s="34"/>
      <c r="P9" s="115" t="str">
        <f>VLOOKUP(C9,'Train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9" s="119" t="str">
        <f>VLOOKUP(C9,'Train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05:11:49-0600',mode:absolute,to:'2016-08-17 08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9" s="122" t="str">
        <f t="shared" si="0"/>
        <v>"C:\Program Files (x86)\AstroGrep\AstroGrep.exe" /spath="%USERPROFILE%\AppData\Local\Temp\OnboardLogs" /stypes="*4001*201608171*" /stext=" 12:.+((SYSTEM_STATE.+slice.+state.+changed )|(ment ac)|(system.+state.+changed )|(\|lc)|(penalty)|(\[timeout)|(PRM\|1\|D)|(kpr)|(kdp))" /e /r /s</v>
      </c>
      <c r="S9" s="9" t="str">
        <f t="shared" si="1"/>
        <v>4001</v>
      </c>
      <c r="T9" s="39">
        <f t="shared" si="2"/>
        <v>42599.534594907411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42599.32607638889</v>
      </c>
      <c r="B10" s="34" t="s">
        <v>222</v>
      </c>
      <c r="C10" s="34" t="s">
        <v>355</v>
      </c>
      <c r="D10" s="34" t="s">
        <v>49</v>
      </c>
      <c r="E10" s="34" t="s">
        <v>217</v>
      </c>
      <c r="F10" s="50">
        <v>0</v>
      </c>
      <c r="G10" s="50">
        <v>118</v>
      </c>
      <c r="H10" s="50">
        <v>31539</v>
      </c>
      <c r="I10" s="34" t="s">
        <v>218</v>
      </c>
      <c r="J10" s="50">
        <v>30970</v>
      </c>
      <c r="K10" s="34" t="s">
        <v>53</v>
      </c>
      <c r="L10" s="97" t="str">
        <f>VLOOKUP(C10,'Trips&amp;Operators'!$C$1:$E$9999,3,0)</f>
        <v>STRICKLAND</v>
      </c>
      <c r="M10" s="141" t="s">
        <v>89</v>
      </c>
      <c r="N10" s="10" t="s">
        <v>706</v>
      </c>
      <c r="O10" s="34"/>
      <c r="P10" s="115" t="str">
        <f>VLOOKUP(C10,'Train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10" s="119" t="str">
        <f>VLOOKUP(C10,'Train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" s="122" t="str">
        <f t="shared" si="0"/>
        <v>"C:\Program Files (x86)\AstroGrep\AstroGrep.exe" /spath="%USERPROFILE%\AppData\Local\Temp\OnboardLogs" /stypes="*4010*201608171*" /stext=" 13:.+((SYSTEM_STATE.+slice.+state.+changed )|(ment ac)|(system.+state.+changed )|(\|lc)|(penalty)|(\[timeout)|(PRM\|1\|D)|(kpr)|(kdp))" /e /r /s</v>
      </c>
      <c r="S10" s="9" t="str">
        <f t="shared" si="1"/>
        <v>4010</v>
      </c>
      <c r="T10" s="39">
        <f t="shared" si="2"/>
        <v>42599.57607638889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42599.374201388891</v>
      </c>
      <c r="B11" s="34" t="s">
        <v>168</v>
      </c>
      <c r="C11" s="34" t="s">
        <v>367</v>
      </c>
      <c r="D11" s="34" t="s">
        <v>49</v>
      </c>
      <c r="E11" s="34" t="s">
        <v>217</v>
      </c>
      <c r="F11" s="50">
        <v>0</v>
      </c>
      <c r="G11" s="50">
        <v>163</v>
      </c>
      <c r="H11" s="50">
        <v>31961</v>
      </c>
      <c r="I11" s="34" t="s">
        <v>218</v>
      </c>
      <c r="J11" s="50">
        <v>30970</v>
      </c>
      <c r="K11" s="34" t="s">
        <v>53</v>
      </c>
      <c r="L11" s="97" t="str">
        <f>VLOOKUP(C11,'Trips&amp;Operators'!$C$1:$E$9999,3,0)</f>
        <v>MAELZER</v>
      </c>
      <c r="M11" s="141" t="s">
        <v>89</v>
      </c>
      <c r="N11" s="10" t="s">
        <v>706</v>
      </c>
      <c r="O11" s="34"/>
      <c r="P11" s="115" t="str">
        <f>VLOOKUP(C11,'Train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11" s="119" t="str">
        <f>VLOOKUP(C11,'Train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07:17:10-0600',mode:absolute,to:'2016-08-17 10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1" s="122" t="str">
        <f t="shared" si="0"/>
        <v>"C:\Program Files (x86)\AstroGrep\AstroGrep.exe" /spath="%USERPROFILE%\AppData\Local\Temp\OnboardLogs" /stypes="*4028*201608171*" /stext=" 14:.+((SYSTEM_STATE.+slice.+state.+changed )|(ment ac)|(system.+state.+changed )|(\|lc)|(penalty)|(\[timeout)|(PRM\|1\|D)|(kpr)|(kdp))" /e /r /s</v>
      </c>
      <c r="S11" s="9" t="str">
        <f t="shared" si="1"/>
        <v>4028</v>
      </c>
      <c r="T11" s="39">
        <f t="shared" si="2"/>
        <v>42599.624201388891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42599.490659722222</v>
      </c>
      <c r="B12" s="34" t="s">
        <v>222</v>
      </c>
      <c r="C12" s="34" t="s">
        <v>399</v>
      </c>
      <c r="D12" s="34" t="s">
        <v>49</v>
      </c>
      <c r="E12" s="34" t="s">
        <v>217</v>
      </c>
      <c r="F12" s="50">
        <v>0</v>
      </c>
      <c r="G12" s="50">
        <v>220</v>
      </c>
      <c r="H12" s="50">
        <v>32798</v>
      </c>
      <c r="I12" s="34" t="s">
        <v>218</v>
      </c>
      <c r="J12" s="50">
        <v>30970</v>
      </c>
      <c r="K12" s="34" t="s">
        <v>53</v>
      </c>
      <c r="L12" s="97" t="str">
        <f>VLOOKUP(C12,'Trips&amp;Operators'!$C$1:$E$9999,3,0)</f>
        <v>STRICKLAND</v>
      </c>
      <c r="M12" s="141" t="s">
        <v>89</v>
      </c>
      <c r="N12" s="10" t="s">
        <v>706</v>
      </c>
      <c r="O12" s="34"/>
      <c r="P12" s="115" t="str">
        <f>VLOOKUP(C12,'Train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12" s="119" t="str">
        <f>VLOOKUP(C12,'Train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2" s="122" t="str">
        <f t="shared" si="0"/>
        <v>"C:\Program Files (x86)\AstroGrep\AstroGrep.exe" /spath="%USERPROFILE%\AppData\Local\Temp\OnboardLogs" /stypes="*4010*201608171*" /stext=" 17:.+((SYSTEM_STATE.+slice.+state.+changed )|(ment ac)|(system.+state.+changed )|(\|lc)|(penalty)|(\[timeout)|(PRM\|1\|D)|(kpr)|(kdp))" /e /r /s</v>
      </c>
      <c r="S12" s="9" t="str">
        <f t="shared" si="1"/>
        <v>4010</v>
      </c>
      <c r="T12" s="39">
        <f t="shared" si="2"/>
        <v>42599.740659722222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42599.491053240738</v>
      </c>
      <c r="B13" s="34" t="s">
        <v>222</v>
      </c>
      <c r="C13" s="34" t="s">
        <v>399</v>
      </c>
      <c r="D13" s="34" t="s">
        <v>49</v>
      </c>
      <c r="E13" s="34" t="s">
        <v>217</v>
      </c>
      <c r="F13" s="50">
        <v>0</v>
      </c>
      <c r="G13" s="50">
        <v>82</v>
      </c>
      <c r="H13" s="50">
        <v>32196</v>
      </c>
      <c r="I13" s="34" t="s">
        <v>218</v>
      </c>
      <c r="J13" s="50">
        <v>30970</v>
      </c>
      <c r="K13" s="34" t="s">
        <v>53</v>
      </c>
      <c r="L13" s="97" t="str">
        <f>VLOOKUP(C13,'Trips&amp;Operators'!$C$1:$E$9999,3,0)</f>
        <v>STRICKLAND</v>
      </c>
      <c r="M13" s="141" t="s">
        <v>89</v>
      </c>
      <c r="N13" s="10" t="s">
        <v>706</v>
      </c>
      <c r="O13" s="34"/>
      <c r="P13" s="115" t="str">
        <f>VLOOKUP(C13,'Train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13" s="119" t="str">
        <f>VLOOKUP(C13,'Train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3" s="122" t="str">
        <f t="shared" si="0"/>
        <v>"C:\Program Files (x86)\AstroGrep\AstroGrep.exe" /spath="%USERPROFILE%\AppData\Local\Temp\OnboardLogs" /stypes="*4010*201608171*" /stext=" 17:.+((SYSTEM_STATE.+slice.+state.+changed )|(ment ac)|(system.+state.+changed )|(\|lc)|(penalty)|(\[timeout)|(PRM\|1\|D)|(kpr)|(kdp))" /e /r /s</v>
      </c>
      <c r="S13" s="9" t="str">
        <f t="shared" si="1"/>
        <v>4010</v>
      </c>
      <c r="T13" s="39">
        <f t="shared" si="2"/>
        <v>42599.741053240738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42599.714479166665</v>
      </c>
      <c r="B14" s="34" t="s">
        <v>682</v>
      </c>
      <c r="C14" s="34" t="s">
        <v>482</v>
      </c>
      <c r="D14" s="34" t="s">
        <v>49</v>
      </c>
      <c r="E14" s="34" t="s">
        <v>217</v>
      </c>
      <c r="F14" s="50">
        <v>340</v>
      </c>
      <c r="G14" s="50">
        <v>404</v>
      </c>
      <c r="H14" s="50">
        <v>32631</v>
      </c>
      <c r="I14" s="34" t="s">
        <v>218</v>
      </c>
      <c r="J14" s="50">
        <v>33137</v>
      </c>
      <c r="K14" s="34" t="s">
        <v>52</v>
      </c>
      <c r="L14" s="97" t="str">
        <f>VLOOKUP(C14,'Trips&amp;Operators'!$C$1:$E$9999,3,0)</f>
        <v>STORY</v>
      </c>
      <c r="M14" s="141" t="s">
        <v>89</v>
      </c>
      <c r="N14" s="10" t="s">
        <v>253</v>
      </c>
      <c r="O14" s="34"/>
      <c r="P14" s="115" t="str">
        <f>VLOOKUP(C14,'Train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14" s="119" t="str">
        <f>VLOOKUP(C14,'Train Runs'!$A$13:$AE$9998,22,0)</f>
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4" s="122" t="str">
        <f t="shared" si="0"/>
        <v>"C:\Program Files (x86)\AstroGrep\AstroGrep.exe" /spath="%USERPROFILE%\AppData\Local\Temp\OnboardLogs" /stypes="*4025*201608172*" /stext=" 23:.+((SYSTEM_STATE.+slice.+state.+changed )|(ment ac)|(system.+state.+changed )|(\|lc)|(penalty)|(\[timeout)|(PRM\|1\|D)|(kpr)|(kdp))" /e /r /s</v>
      </c>
      <c r="S14" s="9" t="str">
        <f t="shared" si="1"/>
        <v>4025</v>
      </c>
      <c r="T14" s="39">
        <f t="shared" si="2"/>
        <v>42599.964479166665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42599.240914351853</v>
      </c>
      <c r="B15" s="34" t="s">
        <v>202</v>
      </c>
      <c r="C15" s="34" t="s">
        <v>331</v>
      </c>
      <c r="D15" s="34" t="s">
        <v>49</v>
      </c>
      <c r="E15" s="34" t="s">
        <v>217</v>
      </c>
      <c r="F15" s="50">
        <v>0</v>
      </c>
      <c r="G15" s="50">
        <v>173</v>
      </c>
      <c r="H15" s="50">
        <v>34196</v>
      </c>
      <c r="I15" s="34" t="s">
        <v>218</v>
      </c>
      <c r="J15" s="50">
        <v>33257</v>
      </c>
      <c r="K15" s="34" t="s">
        <v>53</v>
      </c>
      <c r="L15" s="97" t="str">
        <f>VLOOKUP(C15,'Trips&amp;Operators'!$C$1:$E$9999,3,0)</f>
        <v>STRICKLAND</v>
      </c>
      <c r="M15" s="141" t="s">
        <v>89</v>
      </c>
      <c r="N15" s="10" t="s">
        <v>706</v>
      </c>
      <c r="O15" s="34"/>
      <c r="P15" s="115" t="str">
        <f>VLOOKUP(C15,'Train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15" s="119" t="str">
        <f>VLOOKUP(C15,'Train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04:06:15-0600',mode:absolute,to:'2016-08-17 07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5" s="122" t="str">
        <f t="shared" si="0"/>
        <v>"C:\Program Files (x86)\AstroGrep\AstroGrep.exe" /spath="%USERPROFILE%\AppData\Local\Temp\OnboardLogs" /stypes="*4019*201608171*" /stext=" 11:.+((SYSTEM_STATE.+slice.+state.+changed )|(ment ac)|(system.+state.+changed )|(\|lc)|(penalty)|(\[timeout)|(PRM\|1\|D)|(kpr)|(kdp))" /e /r /s</v>
      </c>
      <c r="S15" s="9" t="str">
        <f t="shared" si="1"/>
        <v>4019</v>
      </c>
      <c r="T15" s="39">
        <f t="shared" si="2"/>
        <v>42599.490914351853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42599.450902777775</v>
      </c>
      <c r="B16" s="34" t="s">
        <v>301</v>
      </c>
      <c r="C16" s="34" t="s">
        <v>401</v>
      </c>
      <c r="D16" s="34" t="s">
        <v>49</v>
      </c>
      <c r="E16" s="34" t="s">
        <v>217</v>
      </c>
      <c r="F16" s="50">
        <v>0</v>
      </c>
      <c r="G16" s="50">
        <v>53</v>
      </c>
      <c r="H16" s="50">
        <v>42501</v>
      </c>
      <c r="I16" s="34" t="s">
        <v>218</v>
      </c>
      <c r="J16" s="50">
        <v>42779</v>
      </c>
      <c r="K16" s="34" t="s">
        <v>52</v>
      </c>
      <c r="L16" s="97" t="str">
        <f>VLOOKUP(C16,'Trips&amp;Operators'!$C$1:$E$9999,3,0)</f>
        <v>STARKS</v>
      </c>
      <c r="M16" s="141" t="s">
        <v>89</v>
      </c>
      <c r="N16" s="10" t="s">
        <v>706</v>
      </c>
      <c r="O16" s="34"/>
      <c r="P16" s="115" t="str">
        <f>VLOOKUP(C16,'Train Runs'!$A$13:$AE$9998,31,0)</f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Q16" s="119" t="str">
        <f>VLOOKUP(C16,'Train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09:22:54-0600',mode:absolute,to:'2016-08-17 12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6" s="122" t="str">
        <f t="shared" si="0"/>
        <v>"C:\Program Files (x86)\AstroGrep\AstroGrep.exe" /spath="%USERPROFILE%\AppData\Local\Temp\OnboardLogs" /stypes="*4002*201608171*" /stext=" 16:.+((SYSTEM_STATE.+slice.+state.+changed )|(ment ac)|(system.+state.+changed )|(\|lc)|(penalty)|(\[timeout)|(PRM\|1\|D)|(kpr)|(kdp))" /e /r /s</v>
      </c>
      <c r="S16" s="9" t="str">
        <f t="shared" si="1"/>
        <v>4002</v>
      </c>
      <c r="T16" s="39">
        <f t="shared" si="2"/>
        <v>42599.700902777775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42599.257013888891</v>
      </c>
      <c r="B17" s="34" t="s">
        <v>93</v>
      </c>
      <c r="C17" s="34" t="s">
        <v>338</v>
      </c>
      <c r="D17" s="34" t="s">
        <v>49</v>
      </c>
      <c r="E17" s="34" t="s">
        <v>217</v>
      </c>
      <c r="F17" s="50">
        <v>0</v>
      </c>
      <c r="G17" s="50">
        <v>340</v>
      </c>
      <c r="H17" s="50">
        <v>44666</v>
      </c>
      <c r="I17" s="34" t="s">
        <v>218</v>
      </c>
      <c r="J17" s="50">
        <v>42961</v>
      </c>
      <c r="K17" s="34" t="s">
        <v>53</v>
      </c>
      <c r="L17" s="97" t="str">
        <f>VLOOKUP(C17,'Trips&amp;Operators'!$C$1:$E$9999,3,0)</f>
        <v>KILLION</v>
      </c>
      <c r="M17" s="141" t="s">
        <v>89</v>
      </c>
      <c r="N17" s="10" t="s">
        <v>706</v>
      </c>
      <c r="O17" s="34"/>
      <c r="P17" s="115" t="str">
        <f>VLOOKUP(C17,'Train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17" s="119" t="str">
        <f>VLOOKUP(C17,'Train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7" s="122" t="str">
        <f t="shared" si="0"/>
        <v>"C:\Program Files (x86)\AstroGrep\AstroGrep.exe" /spath="%USERPROFILE%\AppData\Local\Temp\OnboardLogs" /stypes="*4013*201608171*" /stext=" 12:.+((SYSTEM_STATE.+slice.+state.+changed )|(ment ac)|(system.+state.+changed )|(\|lc)|(penalty)|(\[timeout)|(PRM\|1\|D)|(kpr)|(kdp))" /e /r /s</v>
      </c>
      <c r="S17" s="9" t="str">
        <f t="shared" si="1"/>
        <v>4013</v>
      </c>
      <c r="T17" s="39">
        <f t="shared" si="2"/>
        <v>42599.507013888891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42599.38484953704</v>
      </c>
      <c r="B18" s="34" t="s">
        <v>303</v>
      </c>
      <c r="C18" s="34" t="s">
        <v>372</v>
      </c>
      <c r="D18" s="34" t="s">
        <v>49</v>
      </c>
      <c r="E18" s="34" t="s">
        <v>217</v>
      </c>
      <c r="F18" s="50">
        <v>0</v>
      </c>
      <c r="G18" s="50">
        <v>289</v>
      </c>
      <c r="H18" s="50">
        <v>44618</v>
      </c>
      <c r="I18" s="34" t="s">
        <v>218</v>
      </c>
      <c r="J18" s="50">
        <v>42961</v>
      </c>
      <c r="K18" s="34" t="s">
        <v>53</v>
      </c>
      <c r="L18" s="97" t="str">
        <f>VLOOKUP(C18,'Trips&amp;Operators'!$C$1:$E$9999,3,0)</f>
        <v>BRANNON</v>
      </c>
      <c r="M18" s="141" t="s">
        <v>89</v>
      </c>
      <c r="N18" s="10" t="s">
        <v>706</v>
      </c>
      <c r="O18" s="34"/>
      <c r="P18" s="115" t="str">
        <f>VLOOKUP(C18,'Train Runs'!$A$13:$AE$9998,31,0)</f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Q18" s="119" t="str">
        <f>VLOOKUP(C18,'Train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8" s="122" t="str">
        <f t="shared" si="0"/>
        <v>"C:\Program Files (x86)\AstroGrep\AstroGrep.exe" /spath="%USERPROFILE%\AppData\Local\Temp\OnboardLogs" /stypes="*4017*201608171*" /stext=" 15:.+((SYSTEM_STATE.+slice.+state.+changed )|(ment ac)|(system.+state.+changed )|(\|lc)|(penalty)|(\[timeout)|(PRM\|1\|D)|(kpr)|(kdp))" /e /r /s</v>
      </c>
      <c r="S18" s="9" t="str">
        <f t="shared" si="1"/>
        <v>4017</v>
      </c>
      <c r="T18" s="39">
        <f t="shared" si="2"/>
        <v>42599.63484953704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42599.443171296298</v>
      </c>
      <c r="B19" s="34" t="s">
        <v>168</v>
      </c>
      <c r="C19" s="34" t="s">
        <v>389</v>
      </c>
      <c r="D19" s="34" t="s">
        <v>49</v>
      </c>
      <c r="E19" s="34" t="s">
        <v>217</v>
      </c>
      <c r="F19" s="50">
        <v>0</v>
      </c>
      <c r="G19" s="50">
        <v>391</v>
      </c>
      <c r="H19" s="50">
        <v>45066</v>
      </c>
      <c r="I19" s="34" t="s">
        <v>218</v>
      </c>
      <c r="J19" s="50">
        <v>42961</v>
      </c>
      <c r="K19" s="34" t="s">
        <v>53</v>
      </c>
      <c r="L19" s="97" t="str">
        <f>VLOOKUP(C19,'Trips&amp;Operators'!$C$1:$E$9999,3,0)</f>
        <v>MAELZER</v>
      </c>
      <c r="M19" s="141" t="s">
        <v>89</v>
      </c>
      <c r="N19" s="10" t="s">
        <v>706</v>
      </c>
      <c r="O19" s="34"/>
      <c r="P19" s="115" t="str">
        <f>VLOOKUP(C19,'Train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19" s="119" t="str">
        <f>VLOOKUP(C19,'Train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09:03:38-0600',mode:absolute,to:'2016-08-17 11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9" s="122" t="str">
        <f t="shared" si="0"/>
        <v>"C:\Program Files (x86)\AstroGrep\AstroGrep.exe" /spath="%USERPROFILE%\AppData\Local\Temp\OnboardLogs" /stypes="*4028*201608171*" /stext=" 16:.+((SYSTEM_STATE.+slice.+state.+changed )|(ment ac)|(system.+state.+changed )|(\|lc)|(penalty)|(\[timeout)|(PRM\|1\|D)|(kpr)|(kdp))" /e /r /s</v>
      </c>
      <c r="S19" s="9" t="str">
        <f t="shared" si="1"/>
        <v>4028</v>
      </c>
      <c r="T19" s="39">
        <f t="shared" si="2"/>
        <v>42599.693171296298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42599.316805555558</v>
      </c>
      <c r="B20" s="34" t="s">
        <v>222</v>
      </c>
      <c r="C20" s="34" t="s">
        <v>355</v>
      </c>
      <c r="D20" s="34" t="s">
        <v>116</v>
      </c>
      <c r="E20" s="34" t="s">
        <v>217</v>
      </c>
      <c r="F20" s="50">
        <v>0</v>
      </c>
      <c r="G20" s="50">
        <v>424</v>
      </c>
      <c r="H20" s="50">
        <v>78434</v>
      </c>
      <c r="I20" s="34" t="s">
        <v>218</v>
      </c>
      <c r="J20" s="50">
        <v>78469</v>
      </c>
      <c r="K20" s="34" t="s">
        <v>53</v>
      </c>
      <c r="L20" s="97" t="str">
        <f>VLOOKUP(C20,'Trips&amp;Operators'!$C$1:$E$9999,3,0)</f>
        <v>STRICKLAND</v>
      </c>
      <c r="M20" s="141" t="s">
        <v>89</v>
      </c>
      <c r="N20" s="10" t="s">
        <v>253</v>
      </c>
      <c r="O20" s="34"/>
      <c r="P20" s="115" t="str">
        <f>VLOOKUP(C20,'Train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20" s="119" t="str">
        <f>VLOOKUP(C20,'Train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" s="122" t="str">
        <f t="shared" si="0"/>
        <v>"C:\Program Files (x86)\AstroGrep\AstroGrep.exe" /spath="%USERPROFILE%\AppData\Local\Temp\OnboardLogs" /stypes="*4010*201608171*" /stext=" 13:.+((SYSTEM_STATE.+slice.+state.+changed )|(ment ac)|(system.+state.+changed )|(\|lc)|(penalty)|(\[timeout)|(PRM\|1\|D)|(kpr)|(kdp))" /e /r /s</v>
      </c>
      <c r="S20" s="9" t="str">
        <f t="shared" si="1"/>
        <v>4010</v>
      </c>
      <c r="T20" s="39">
        <f t="shared" si="2"/>
        <v>42599.566805555558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42599.210115740738</v>
      </c>
      <c r="B21" s="34" t="s">
        <v>680</v>
      </c>
      <c r="C21" s="34" t="s">
        <v>326</v>
      </c>
      <c r="D21" s="34" t="s">
        <v>49</v>
      </c>
      <c r="E21" s="34" t="s">
        <v>217</v>
      </c>
      <c r="F21" s="50">
        <v>0</v>
      </c>
      <c r="G21" s="50">
        <v>465</v>
      </c>
      <c r="H21" s="50">
        <v>103936</v>
      </c>
      <c r="I21" s="34" t="s">
        <v>218</v>
      </c>
      <c r="J21" s="50">
        <v>103800</v>
      </c>
      <c r="K21" s="34" t="s">
        <v>53</v>
      </c>
      <c r="L21" s="97" t="str">
        <f>VLOOKUP(C21,'Trips&amp;Operators'!$C$1:$E$9999,3,0)</f>
        <v>ACKERMAN</v>
      </c>
      <c r="M21" s="141" t="s">
        <v>89</v>
      </c>
      <c r="N21" s="10" t="s">
        <v>253</v>
      </c>
      <c r="O21" s="34"/>
      <c r="P21" s="115" t="str">
        <f>VLOOKUP(C21,'Train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21" s="119" t="str">
        <f>VLOOKUP(C21,'Train Runs'!$A$13:$AE$9998,22,0)</f>
        <v>https://search-rtdc-monitor-bjffxe2xuh6vdkpspy63sjmuny.us-east-1.es.amazonaws.com/_plugin/kibana/#/discover/Steve-Slow-Train-Analysis-(2080s-and-2083s)?_g=(refreshInterval:(display:Off,section:0,value:0),time:(from:'2016-08-17 03:33:18-0600',mode:absolute,to:'2016-08-17 06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1" s="122" t="str">
        <f t="shared" si="0"/>
        <v>"C:\Program Files (x86)\AstroGrep\AstroGrep.exe" /spath="%USERPROFILE%\AppData\Local\Temp\OnboardLogs" /stypes="*4026*201608171*" /stext=" 11:.+((SYSTEM_STATE.+slice.+state.+changed )|(ment ac)|(system.+state.+changed )|(\|lc)|(penalty)|(\[timeout)|(PRM\|1\|D)|(kpr)|(kdp))" /e /r /s</v>
      </c>
      <c r="S21" s="9" t="str">
        <f t="shared" si="1"/>
        <v>4026</v>
      </c>
      <c r="T21" s="39">
        <f t="shared" si="2"/>
        <v>42599.460115740738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42599.376898148148</v>
      </c>
      <c r="B22" s="34" t="s">
        <v>303</v>
      </c>
      <c r="C22" s="34" t="s">
        <v>372</v>
      </c>
      <c r="D22" s="34" t="s">
        <v>49</v>
      </c>
      <c r="E22" s="34" t="s">
        <v>217</v>
      </c>
      <c r="F22" s="50">
        <v>0</v>
      </c>
      <c r="G22" s="50">
        <v>578</v>
      </c>
      <c r="H22" s="50">
        <v>103860</v>
      </c>
      <c r="I22" s="34" t="s">
        <v>218</v>
      </c>
      <c r="J22" s="50">
        <v>103800</v>
      </c>
      <c r="K22" s="34" t="s">
        <v>53</v>
      </c>
      <c r="L22" s="97" t="str">
        <f>VLOOKUP(C22,'Trips&amp;Operators'!$C$1:$E$9999,3,0)</f>
        <v>BRANNON</v>
      </c>
      <c r="M22" s="141" t="s">
        <v>89</v>
      </c>
      <c r="N22" s="10" t="s">
        <v>253</v>
      </c>
      <c r="O22" s="34"/>
      <c r="P22" s="115" t="str">
        <f>VLOOKUP(C22,'Train Runs'!$A$13:$AE$9998,31,0)</f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Q22" s="119" t="str">
        <f>VLOOKUP(C22,'Train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2" s="122" t="str">
        <f t="shared" si="0"/>
        <v>"C:\Program Files (x86)\AstroGrep\AstroGrep.exe" /spath="%USERPROFILE%\AppData\Local\Temp\OnboardLogs" /stypes="*4017*201608171*" /stext=" 15:.+((SYSTEM_STATE.+slice.+state.+changed )|(ment ac)|(system.+state.+changed )|(\|lc)|(penalty)|(\[timeout)|(PRM\|1\|D)|(kpr)|(kdp))" /e /r /s</v>
      </c>
      <c r="S22" s="9" t="str">
        <f t="shared" si="1"/>
        <v>4017</v>
      </c>
      <c r="T22" s="39">
        <f t="shared" si="2"/>
        <v>42599.626898148148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42599.415659722225</v>
      </c>
      <c r="B23" s="34" t="s">
        <v>222</v>
      </c>
      <c r="C23" s="34" t="s">
        <v>378</v>
      </c>
      <c r="D23" s="34" t="s">
        <v>116</v>
      </c>
      <c r="E23" s="34" t="s">
        <v>56</v>
      </c>
      <c r="F23" s="50">
        <v>150</v>
      </c>
      <c r="G23" s="50">
        <v>203</v>
      </c>
      <c r="H23" s="50">
        <v>2701</v>
      </c>
      <c r="I23" s="34" t="s">
        <v>57</v>
      </c>
      <c r="J23" s="50">
        <v>4677</v>
      </c>
      <c r="K23" s="34" t="s">
        <v>53</v>
      </c>
      <c r="L23" s="97" t="str">
        <f>VLOOKUP(C23,'Trips&amp;Operators'!$C$1:$E$9999,3,0)</f>
        <v>STRICKLAND</v>
      </c>
      <c r="M23" s="141" t="s">
        <v>89</v>
      </c>
      <c r="N23" s="10"/>
      <c r="O23" s="34"/>
      <c r="P23" s="115" t="str">
        <f>VLOOKUP(C23,'Train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23" s="119" t="str">
        <f>VLOOKUP(C23,'Train Runs'!$A$13:$AE$9998,22,0)</f>
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3" s="122" t="str">
        <f t="shared" si="0"/>
        <v>"C:\Program Files (x86)\AstroGrep\AstroGrep.exe" /spath="%USERPROFILE%\AppData\Local\Temp\OnboardLogs" /stypes="*4010*201608171*" /stext=" 15:.+((SYSTEM_STATE.+slice.+state.+changed )|(ment ac)|(system.+state.+changed )|(\|lc)|(penalty)|(\[timeout)|(PRM\|1\|D)|(kpr)|(kdp))" /e /r /s</v>
      </c>
      <c r="S23" s="9" t="str">
        <f t="shared" si="1"/>
        <v>4010</v>
      </c>
      <c r="T23" s="39">
        <f t="shared" si="2"/>
        <v>42599.665659722225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42599.254305555558</v>
      </c>
      <c r="B24" s="34" t="s">
        <v>306</v>
      </c>
      <c r="C24" s="34" t="s">
        <v>334</v>
      </c>
      <c r="D24" s="34" t="s">
        <v>49</v>
      </c>
      <c r="E24" s="34" t="s">
        <v>56</v>
      </c>
      <c r="F24" s="50">
        <v>300</v>
      </c>
      <c r="G24" s="50">
        <v>369</v>
      </c>
      <c r="H24" s="50">
        <v>22933</v>
      </c>
      <c r="I24" s="34" t="s">
        <v>57</v>
      </c>
      <c r="J24" s="50">
        <v>21848</v>
      </c>
      <c r="K24" s="34" t="s">
        <v>53</v>
      </c>
      <c r="L24" s="97" t="str">
        <f>VLOOKUP(C24,'Trips&amp;Operators'!$C$1:$E$9999,3,0)</f>
        <v>SPECTOR</v>
      </c>
      <c r="M24" s="141" t="s">
        <v>89</v>
      </c>
      <c r="N24" s="10"/>
      <c r="O24" s="34"/>
      <c r="P24" s="115" t="str">
        <f>VLOOKUP(C24,'Train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24" s="119" t="str">
        <f>VLOOKUP(C24,'Train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04:20:15-0600',mode:absolute,to:'2016-08-17 07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4" s="122" t="str">
        <f t="shared" si="0"/>
        <v>"C:\Program Files (x86)\AstroGrep\AstroGrep.exe" /spath="%USERPROFILE%\AppData\Local\Temp\OnboardLogs" /stypes="*4004*201608171*" /stext=" 12:.+((SYSTEM_STATE.+slice.+state.+changed )|(ment ac)|(system.+state.+changed )|(\|lc)|(penalty)|(\[timeout)|(PRM\|1\|D)|(kpr)|(kdp))" /e /r /s</v>
      </c>
      <c r="S24" s="9" t="str">
        <f t="shared" si="1"/>
        <v>4004</v>
      </c>
      <c r="T24" s="39">
        <f t="shared" si="2"/>
        <v>42599.504305555558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42599.493784722225</v>
      </c>
      <c r="B25" s="34" t="s">
        <v>222</v>
      </c>
      <c r="C25" s="34" t="s">
        <v>399</v>
      </c>
      <c r="D25" s="34" t="s">
        <v>49</v>
      </c>
      <c r="E25" s="34" t="s">
        <v>56</v>
      </c>
      <c r="F25" s="50">
        <v>300</v>
      </c>
      <c r="G25" s="50">
        <v>510</v>
      </c>
      <c r="H25" s="50">
        <v>24695</v>
      </c>
      <c r="I25" s="34" t="s">
        <v>57</v>
      </c>
      <c r="J25" s="50">
        <v>21848</v>
      </c>
      <c r="K25" s="34" t="s">
        <v>53</v>
      </c>
      <c r="L25" s="97" t="str">
        <f>VLOOKUP(C25,'Trips&amp;Operators'!$C$1:$E$9999,3,0)</f>
        <v>STRICKLAND</v>
      </c>
      <c r="M25" s="141" t="s">
        <v>89</v>
      </c>
      <c r="N25" s="10"/>
      <c r="O25" s="34"/>
      <c r="P25" s="115" t="str">
        <f>VLOOKUP(C25,'Train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25" s="119" t="str">
        <f>VLOOKUP(C25,'Train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5" s="122" t="str">
        <f t="shared" si="0"/>
        <v>"C:\Program Files (x86)\AstroGrep\AstroGrep.exe" /spath="%USERPROFILE%\AppData\Local\Temp\OnboardLogs" /stypes="*4010*201608171*" /stext=" 17:.+((SYSTEM_STATE.+slice.+state.+changed )|(ment ac)|(system.+state.+changed )|(\|lc)|(penalty)|(\[timeout)|(PRM\|1\|D)|(kpr)|(kdp))" /e /r /s</v>
      </c>
      <c r="S25" s="9" t="str">
        <f t="shared" si="1"/>
        <v>4010</v>
      </c>
      <c r="T25" s="39">
        <f t="shared" si="2"/>
        <v>42599.743784722225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42599.280555555553</v>
      </c>
      <c r="B26" s="34" t="s">
        <v>219</v>
      </c>
      <c r="C26" s="34" t="s">
        <v>353</v>
      </c>
      <c r="D26" s="34" t="s">
        <v>49</v>
      </c>
      <c r="E26" s="34" t="s">
        <v>56</v>
      </c>
      <c r="F26" s="50">
        <v>400</v>
      </c>
      <c r="G26" s="50">
        <v>579</v>
      </c>
      <c r="H26" s="50">
        <v>115135</v>
      </c>
      <c r="I26" s="34" t="s">
        <v>57</v>
      </c>
      <c r="J26" s="50">
        <v>116838</v>
      </c>
      <c r="K26" s="34" t="s">
        <v>52</v>
      </c>
      <c r="L26" s="97" t="str">
        <f>VLOOKUP(C26,'Trips&amp;Operators'!$C$1:$E$9999,3,0)</f>
        <v>STRICKLAND</v>
      </c>
      <c r="M26" s="141" t="s">
        <v>89</v>
      </c>
      <c r="N26" s="10"/>
      <c r="O26" s="34"/>
      <c r="P26" s="115" t="str">
        <f>VLOOKUP(C26,'Train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26" s="119" t="str">
        <f>VLOOKUP(C26,'Train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6" s="122" t="str">
        <f t="shared" si="0"/>
        <v>"C:\Program Files (x86)\AstroGrep\AstroGrep.exe" /spath="%USERPROFILE%\AppData\Local\Temp\OnboardLogs" /stypes="*4009*201608171*" /stext=" 12:.+((SYSTEM_STATE.+slice.+state.+changed )|(ment ac)|(system.+state.+changed )|(\|lc)|(penalty)|(\[timeout)|(PRM\|1\|D)|(kpr)|(kdp))" /e /r /s</v>
      </c>
      <c r="S26" s="9" t="str">
        <f t="shared" si="1"/>
        <v>4009</v>
      </c>
      <c r="T26" s="39">
        <f t="shared" si="2"/>
        <v>42599.530555555553</v>
      </c>
      <c r="U26" s="53" t="str">
        <f t="shared" si="3"/>
        <v>EC</v>
      </c>
      <c r="V26" s="53" t="str">
        <f t="shared" si="4"/>
        <v>KEEP</v>
      </c>
    </row>
    <row r="27" spans="1:24" x14ac:dyDescent="0.25">
      <c r="A27" s="39">
        <v>42599.302731481483</v>
      </c>
      <c r="B27" s="34" t="s">
        <v>117</v>
      </c>
      <c r="C27" s="34" t="s">
        <v>360</v>
      </c>
      <c r="D27" s="34" t="s">
        <v>116</v>
      </c>
      <c r="E27" s="34" t="s">
        <v>56</v>
      </c>
      <c r="F27" s="50">
        <v>700</v>
      </c>
      <c r="G27" s="50">
        <v>754</v>
      </c>
      <c r="H27" s="50">
        <v>174223</v>
      </c>
      <c r="I27" s="34" t="s">
        <v>57</v>
      </c>
      <c r="J27" s="50">
        <v>161962</v>
      </c>
      <c r="K27" s="34" t="s">
        <v>52</v>
      </c>
      <c r="L27" s="97" t="str">
        <f>VLOOKUP(C27,'Trips&amp;Operators'!$C$1:$E$9999,3,0)</f>
        <v>KILLION</v>
      </c>
      <c r="M27" s="141" t="s">
        <v>89</v>
      </c>
      <c r="N27" s="10"/>
      <c r="O27" s="34"/>
      <c r="P27" s="115" t="str">
        <f>VLOOKUP(C27,'Train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27" s="119" t="str">
        <f>VLOOKUP(C27,'Train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7" s="122" t="str">
        <f t="shared" si="0"/>
        <v>"C:\Program Files (x86)\AstroGrep\AstroGrep.exe" /spath="%USERPROFILE%\AppData\Local\Temp\OnboardLogs" /stypes="*4014*201608171*" /stext=" 13:.+((SYSTEM_STATE.+slice.+state.+changed )|(ment ac)|(system.+state.+changed )|(\|lc)|(penalty)|(\[timeout)|(PRM\|1\|D)|(kpr)|(kdp))" /e /r /s</v>
      </c>
      <c r="S27" s="9" t="str">
        <f t="shared" si="1"/>
        <v>4014</v>
      </c>
      <c r="T27" s="39">
        <f t="shared" si="2"/>
        <v>42599.552731481483</v>
      </c>
      <c r="U27" s="53" t="str">
        <f t="shared" si="3"/>
        <v>EC</v>
      </c>
      <c r="V27" s="53" t="str">
        <f t="shared" si="4"/>
        <v>KEEP</v>
      </c>
      <c r="W27" s="24"/>
    </row>
    <row r="28" spans="1:24" x14ac:dyDescent="0.25">
      <c r="A28" s="39">
        <v>42599.361180555556</v>
      </c>
      <c r="B28" s="34" t="s">
        <v>682</v>
      </c>
      <c r="C28" s="34" t="s">
        <v>374</v>
      </c>
      <c r="D28" s="34" t="s">
        <v>49</v>
      </c>
      <c r="E28" s="34" t="s">
        <v>56</v>
      </c>
      <c r="F28" s="50">
        <v>450</v>
      </c>
      <c r="G28" s="50">
        <v>583</v>
      </c>
      <c r="H28" s="50">
        <v>188416</v>
      </c>
      <c r="I28" s="34" t="s">
        <v>57</v>
      </c>
      <c r="J28" s="50">
        <v>190834</v>
      </c>
      <c r="K28" s="34" t="s">
        <v>52</v>
      </c>
      <c r="L28" s="97" t="str">
        <f>VLOOKUP(C28,'Trips&amp;Operators'!$C$1:$E$9999,3,0)</f>
        <v>ACKERMAN</v>
      </c>
      <c r="M28" s="141" t="s">
        <v>89</v>
      </c>
      <c r="N28" s="10"/>
      <c r="O28" s="34"/>
      <c r="P28" s="115" t="str">
        <f>VLOOKUP(C28,'Train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28" s="119" t="str">
        <f>VLOOKUP(C28,'Train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8" s="122" t="str">
        <f t="shared" si="0"/>
        <v>"C:\Program Files (x86)\AstroGrep\AstroGrep.exe" /spath="%USERPROFILE%\AppData\Local\Temp\OnboardLogs" /stypes="*4025*201608171*" /stext=" 14:.+((SYSTEM_STATE.+slice.+state.+changed )|(ment ac)|(system.+state.+changed )|(\|lc)|(penalty)|(\[timeout)|(PRM\|1\|D)|(kpr)|(kdp))" /e /r /s</v>
      </c>
      <c r="S28" s="9" t="str">
        <f t="shared" si="1"/>
        <v>4025</v>
      </c>
      <c r="T28" s="39">
        <f t="shared" si="2"/>
        <v>42599.611180555556</v>
      </c>
      <c r="U28" s="53" t="str">
        <f t="shared" si="3"/>
        <v>EC</v>
      </c>
      <c r="V28" s="53" t="str">
        <f t="shared" si="4"/>
        <v>KEEP</v>
      </c>
      <c r="W28" s="24"/>
    </row>
    <row r="29" spans="1:24" x14ac:dyDescent="0.25">
      <c r="A29" s="39">
        <v>42599.456493055557</v>
      </c>
      <c r="B29" s="34" t="s">
        <v>219</v>
      </c>
      <c r="C29" s="34" t="s">
        <v>397</v>
      </c>
      <c r="D29" s="34" t="s">
        <v>49</v>
      </c>
      <c r="E29" s="34" t="s">
        <v>56</v>
      </c>
      <c r="F29" s="50">
        <v>350</v>
      </c>
      <c r="G29" s="50">
        <v>420</v>
      </c>
      <c r="H29" s="50">
        <v>223732</v>
      </c>
      <c r="I29" s="34" t="s">
        <v>57</v>
      </c>
      <c r="J29" s="50">
        <v>224578</v>
      </c>
      <c r="K29" s="34" t="s">
        <v>52</v>
      </c>
      <c r="L29" s="97" t="str">
        <f>VLOOKUP(C29,'Trips&amp;Operators'!$C$1:$E$9999,3,0)</f>
        <v>STRICKLAND</v>
      </c>
      <c r="M29" s="141" t="s">
        <v>89</v>
      </c>
      <c r="N29" s="10"/>
      <c r="O29" s="34"/>
      <c r="P29" s="115" t="str">
        <f>VLOOKUP(C29,'Train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29" s="119" t="str">
        <f>VLOOKUP(C29,'Train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9" s="122" t="str">
        <f t="shared" si="0"/>
        <v>"C:\Program Files (x86)\AstroGrep\AstroGrep.exe" /spath="%USERPROFILE%\AppData\Local\Temp\OnboardLogs" /stypes="*4009*201608171*" /stext=" 16:.+((SYSTEM_STATE.+slice.+state.+changed )|(ment ac)|(system.+state.+changed )|(\|lc)|(penalty)|(\[timeout)|(PRM\|1\|D)|(kpr)|(kdp))" /e /r /s</v>
      </c>
      <c r="S29" s="9" t="str">
        <f t="shared" si="1"/>
        <v>4009</v>
      </c>
      <c r="T29" s="39">
        <f t="shared" si="2"/>
        <v>42599.706493055557</v>
      </c>
      <c r="U29" s="53" t="str">
        <f t="shared" si="3"/>
        <v>EC</v>
      </c>
      <c r="V29" s="53" t="str">
        <f t="shared" si="4"/>
        <v>KEEP</v>
      </c>
      <c r="W29" s="24"/>
      <c r="X29" s="24"/>
    </row>
    <row r="30" spans="1:24" x14ac:dyDescent="0.25">
      <c r="A30" s="39">
        <v>42599.733124999999</v>
      </c>
      <c r="B30" s="34" t="s">
        <v>682</v>
      </c>
      <c r="C30" s="34" t="s">
        <v>482</v>
      </c>
      <c r="D30" s="34" t="s">
        <v>49</v>
      </c>
      <c r="E30" s="34" t="s">
        <v>56</v>
      </c>
      <c r="F30" s="50">
        <v>350</v>
      </c>
      <c r="G30" s="50">
        <v>476</v>
      </c>
      <c r="H30" s="50">
        <v>223313</v>
      </c>
      <c r="I30" s="34" t="s">
        <v>57</v>
      </c>
      <c r="J30" s="50">
        <v>224578</v>
      </c>
      <c r="K30" s="34" t="s">
        <v>52</v>
      </c>
      <c r="L30" s="97" t="str">
        <f>VLOOKUP(C30,'Trips&amp;Operators'!$C$1:$E$9999,3,0)</f>
        <v>STORY</v>
      </c>
      <c r="M30" s="141" t="s">
        <v>89</v>
      </c>
      <c r="N30" s="10"/>
      <c r="O30" s="34"/>
      <c r="P30" s="115" t="str">
        <f>VLOOKUP(C30,'Train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30" s="119" t="str">
        <f>VLOOKUP(C30,'Train Runs'!$A$13:$AE$9998,22,0)</f>
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0" s="122" t="str">
        <f t="shared" si="0"/>
        <v>"C:\Program Files (x86)\AstroGrep\AstroGrep.exe" /spath="%USERPROFILE%\AppData\Local\Temp\OnboardLogs" /stypes="*4025*201608172*" /stext=" 23:.+((SYSTEM_STATE.+slice.+state.+changed )|(ment ac)|(system.+state.+changed )|(\|lc)|(penalty)|(\[timeout)|(PRM\|1\|D)|(kpr)|(kdp))" /e /r /s</v>
      </c>
      <c r="S30" s="9" t="str">
        <f t="shared" si="1"/>
        <v>4025</v>
      </c>
      <c r="T30" s="39">
        <f t="shared" si="2"/>
        <v>42599.983124999999</v>
      </c>
      <c r="U30" s="53" t="str">
        <f t="shared" si="3"/>
        <v>EC</v>
      </c>
      <c r="V30" s="53" t="str">
        <f t="shared" si="4"/>
        <v>KEEP</v>
      </c>
      <c r="W30" s="24"/>
      <c r="X30" s="24"/>
    </row>
    <row r="31" spans="1:24" x14ac:dyDescent="0.25">
      <c r="A31" s="39">
        <v>42599.363946759258</v>
      </c>
      <c r="B31" s="34" t="s">
        <v>682</v>
      </c>
      <c r="C31" s="34" t="s">
        <v>374</v>
      </c>
      <c r="D31" s="34" t="s">
        <v>49</v>
      </c>
      <c r="E31" s="34" t="s">
        <v>56</v>
      </c>
      <c r="F31" s="50">
        <v>350</v>
      </c>
      <c r="G31" s="50">
        <v>418</v>
      </c>
      <c r="H31" s="50">
        <v>224169</v>
      </c>
      <c r="I31" s="34" t="s">
        <v>57</v>
      </c>
      <c r="J31" s="50">
        <v>224581</v>
      </c>
      <c r="K31" s="34" t="s">
        <v>52</v>
      </c>
      <c r="L31" s="97" t="str">
        <f>VLOOKUP(C31,'Trips&amp;Operators'!$C$1:$E$9999,3,0)</f>
        <v>ACKERMAN</v>
      </c>
      <c r="M31" s="141" t="s">
        <v>89</v>
      </c>
      <c r="N31" s="10"/>
      <c r="O31" s="34"/>
      <c r="P31" s="115" t="str">
        <f>VLOOKUP(C31,'Train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31" s="119" t="str">
        <f>VLOOKUP(C31,'Train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1" s="122" t="str">
        <f t="shared" si="0"/>
        <v>"C:\Program Files (x86)\AstroGrep\AstroGrep.exe" /spath="%USERPROFILE%\AppData\Local\Temp\OnboardLogs" /stypes="*4025*201608171*" /stext=" 14:.+((SYSTEM_STATE.+slice.+state.+changed )|(ment ac)|(system.+state.+changed )|(\|lc)|(penalty)|(\[timeout)|(PRM\|1\|D)|(kpr)|(kdp))" /e /r /s</v>
      </c>
      <c r="S31" s="9" t="str">
        <f t="shared" si="1"/>
        <v>4025</v>
      </c>
      <c r="T31" s="39">
        <f t="shared" si="2"/>
        <v>42599.613946759258</v>
      </c>
      <c r="U31" s="53" t="str">
        <f t="shared" si="3"/>
        <v>EC</v>
      </c>
      <c r="V31" s="53" t="str">
        <f t="shared" si="4"/>
        <v>KEEP</v>
      </c>
    </row>
    <row r="32" spans="1:24" ht="15" customHeight="1" x14ac:dyDescent="0.25">
      <c r="A32" s="39">
        <v>42599.468391203707</v>
      </c>
      <c r="B32" s="34" t="s">
        <v>222</v>
      </c>
      <c r="C32" s="34" t="s">
        <v>399</v>
      </c>
      <c r="D32" s="34" t="s">
        <v>116</v>
      </c>
      <c r="E32" s="34" t="s">
        <v>56</v>
      </c>
      <c r="F32" s="50">
        <v>350</v>
      </c>
      <c r="G32" s="50">
        <v>406</v>
      </c>
      <c r="H32" s="50">
        <v>225294</v>
      </c>
      <c r="I32" s="34" t="s">
        <v>57</v>
      </c>
      <c r="J32" s="50">
        <v>228668</v>
      </c>
      <c r="K32" s="34" t="s">
        <v>53</v>
      </c>
      <c r="L32" s="97" t="str">
        <f>VLOOKUP(C32,'Trips&amp;Operators'!$C$1:$E$9999,3,0)</f>
        <v>STRICKLAND</v>
      </c>
      <c r="M32" s="141" t="s">
        <v>89</v>
      </c>
      <c r="N32" s="10"/>
      <c r="O32" s="34"/>
      <c r="P32" s="115" t="str">
        <f>VLOOKUP(C32,'Train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32" s="119" t="str">
        <f>VLOOKUP(C32,'Train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2" s="122" t="str">
        <f t="shared" si="0"/>
        <v>"C:\Program Files (x86)\AstroGrep\AstroGrep.exe" /spath="%USERPROFILE%\AppData\Local\Temp\OnboardLogs" /stypes="*4010*201608171*" /stext=" 17:.+((SYSTEM_STATE.+slice.+state.+changed )|(ment ac)|(system.+state.+changed )|(\|lc)|(penalty)|(\[timeout)|(PRM\|1\|D)|(kpr)|(kdp))" /e /r /s</v>
      </c>
      <c r="S32" s="9" t="str">
        <f t="shared" si="1"/>
        <v>4010</v>
      </c>
      <c r="T32" s="39">
        <f t="shared" si="2"/>
        <v>42599.718391203707</v>
      </c>
      <c r="U32" s="53" t="str">
        <f t="shared" si="3"/>
        <v>EC</v>
      </c>
      <c r="V32" s="53" t="str">
        <f t="shared" si="4"/>
        <v>KEEP</v>
      </c>
    </row>
    <row r="33" spans="1:23" x14ac:dyDescent="0.25">
      <c r="A33" s="39">
        <v>42599.489942129629</v>
      </c>
      <c r="B33" s="34" t="s">
        <v>93</v>
      </c>
      <c r="C33" s="34" t="s">
        <v>405</v>
      </c>
      <c r="D33" s="34" t="s">
        <v>116</v>
      </c>
      <c r="E33" s="34" t="s">
        <v>56</v>
      </c>
      <c r="F33" s="50">
        <v>350</v>
      </c>
      <c r="G33" s="50">
        <v>401</v>
      </c>
      <c r="H33" s="50">
        <v>226012</v>
      </c>
      <c r="I33" s="34" t="s">
        <v>57</v>
      </c>
      <c r="J33" s="50">
        <v>228668</v>
      </c>
      <c r="K33" s="34" t="s">
        <v>53</v>
      </c>
      <c r="L33" s="97" t="str">
        <f>VLOOKUP(C33,'Trips&amp;Operators'!$C$1:$E$9999,3,0)</f>
        <v>KILLION</v>
      </c>
      <c r="M33" s="141" t="s">
        <v>89</v>
      </c>
      <c r="N33" s="10"/>
      <c r="O33" s="34"/>
      <c r="P33" s="115" t="str">
        <f>VLOOKUP(C33,'Train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33" s="119" t="str">
        <f>VLOOKUP(C33,'Train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10:40:08-0600',mode:absolute,to:'2016-08-17 13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3" s="122" t="str">
        <f t="shared" si="0"/>
        <v>"C:\Program Files (x86)\AstroGrep\AstroGrep.exe" /spath="%USERPROFILE%\AppData\Local\Temp\OnboardLogs" /stypes="*4013*201608171*" /stext=" 17:.+((SYSTEM_STATE.+slice.+state.+changed )|(ment ac)|(system.+state.+changed )|(\|lc)|(penalty)|(\[timeout)|(PRM\|1\|D)|(kpr)|(kdp))" /e /r /s</v>
      </c>
      <c r="S33" s="9" t="str">
        <f t="shared" si="1"/>
        <v>4013</v>
      </c>
      <c r="T33" s="39">
        <f t="shared" si="2"/>
        <v>42599.739942129629</v>
      </c>
      <c r="U33" s="53" t="str">
        <f t="shared" si="3"/>
        <v>EC</v>
      </c>
      <c r="V33" s="53" t="str">
        <f t="shared" si="4"/>
        <v>KEEP</v>
      </c>
    </row>
    <row r="34" spans="1:23" x14ac:dyDescent="0.25">
      <c r="A34" s="39">
        <v>42599.659155092595</v>
      </c>
      <c r="B34" s="34" t="s">
        <v>682</v>
      </c>
      <c r="C34" s="34" t="s">
        <v>460</v>
      </c>
      <c r="D34" s="34" t="s">
        <v>116</v>
      </c>
      <c r="E34" s="34" t="s">
        <v>56</v>
      </c>
      <c r="F34" s="50">
        <v>150</v>
      </c>
      <c r="G34" s="50">
        <v>201</v>
      </c>
      <c r="H34" s="50">
        <v>231111</v>
      </c>
      <c r="I34" s="34" t="s">
        <v>57</v>
      </c>
      <c r="J34" s="50">
        <v>230436</v>
      </c>
      <c r="K34" s="34" t="s">
        <v>52</v>
      </c>
      <c r="L34" s="97" t="str">
        <f>VLOOKUP(C34,'Trips&amp;Operators'!$C$1:$E$9999,3,0)</f>
        <v>STORY</v>
      </c>
      <c r="M34" s="141" t="s">
        <v>89</v>
      </c>
      <c r="N34" s="10"/>
      <c r="O34" s="34"/>
      <c r="P34" s="115" t="str">
        <f>VLOOKUP(C34,'Train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34" s="119" t="str">
        <f>VLOOKUP(C34,'Train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14:12:28-0600',mode:absolute,to:'2016-08-17 16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4" s="122" t="str">
        <f t="shared" si="0"/>
        <v>"C:\Program Files (x86)\AstroGrep\AstroGrep.exe" /spath="%USERPROFILE%\AppData\Local\Temp\OnboardLogs" /stypes="*4025*201608172*" /stext=" 21:.+((SYSTEM_STATE.+slice.+state.+changed )|(ment ac)|(system.+state.+changed )|(\|lc)|(penalty)|(\[timeout)|(PRM\|1\|D)|(kpr)|(kdp))" /e /r /s</v>
      </c>
      <c r="S34" s="9" t="str">
        <f t="shared" si="1"/>
        <v>4025</v>
      </c>
      <c r="T34" s="39">
        <f t="shared" si="2"/>
        <v>42599.909155092595</v>
      </c>
      <c r="U34" s="53" t="str">
        <f t="shared" si="3"/>
        <v>EC</v>
      </c>
      <c r="V34" s="53" t="str">
        <f t="shared" si="4"/>
        <v>KEEP</v>
      </c>
    </row>
    <row r="35" spans="1:23" x14ac:dyDescent="0.25">
      <c r="A35" s="39">
        <v>42599.458171296297</v>
      </c>
      <c r="B35" s="34" t="s">
        <v>219</v>
      </c>
      <c r="C35" s="34" t="s">
        <v>397</v>
      </c>
      <c r="D35" s="34" t="s">
        <v>49</v>
      </c>
      <c r="E35" s="34" t="s">
        <v>56</v>
      </c>
      <c r="F35" s="50">
        <v>150</v>
      </c>
      <c r="G35" s="50">
        <v>224</v>
      </c>
      <c r="H35" s="50">
        <v>231387</v>
      </c>
      <c r="I35" s="34" t="s">
        <v>57</v>
      </c>
      <c r="J35" s="50">
        <v>232080</v>
      </c>
      <c r="K35" s="34" t="s">
        <v>52</v>
      </c>
      <c r="L35" s="97" t="str">
        <f>VLOOKUP(C35,'Trips&amp;Operators'!$C$1:$E$9999,3,0)</f>
        <v>STRICKLAND</v>
      </c>
      <c r="M35" s="141" t="s">
        <v>89</v>
      </c>
      <c r="N35" s="10"/>
      <c r="O35" s="34"/>
      <c r="P35" s="115" t="str">
        <f>VLOOKUP(C35,'Train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35" s="119" t="str">
        <f>VLOOKUP(C35,'Train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35" s="122" t="str">
        <f t="shared" si="0"/>
        <v>"C:\Program Files (x86)\AstroGrep\AstroGrep.exe" /spath="%USERPROFILE%\AppData\Local\Temp\OnboardLogs" /stypes="*4009*201608171*" /stext=" 16:.+((SYSTEM_STATE.+slice.+state.+changed )|(ment ac)|(system.+state.+changed )|(\|lc)|(penalty)|(\[timeout)|(PRM\|1\|D)|(kpr)|(kdp))" /e /r /s</v>
      </c>
      <c r="S35" s="9" t="str">
        <f t="shared" si="1"/>
        <v>4009</v>
      </c>
      <c r="T35" s="39">
        <f t="shared" si="2"/>
        <v>42599.708171296297</v>
      </c>
      <c r="U35" s="53" t="str">
        <f t="shared" si="3"/>
        <v>EC</v>
      </c>
      <c r="V35" s="53" t="str">
        <f t="shared" si="4"/>
        <v>KEEP</v>
      </c>
    </row>
    <row r="36" spans="1:23" x14ac:dyDescent="0.25">
      <c r="A36" s="39">
        <v>42599.315567129626</v>
      </c>
      <c r="B36" s="34" t="s">
        <v>306</v>
      </c>
      <c r="C36" s="34" t="s">
        <v>358</v>
      </c>
      <c r="D36" s="34" t="s">
        <v>49</v>
      </c>
      <c r="E36" s="34" t="s">
        <v>54</v>
      </c>
      <c r="F36" s="50">
        <v>0</v>
      </c>
      <c r="G36" s="50">
        <v>100</v>
      </c>
      <c r="H36" s="50">
        <v>127957</v>
      </c>
      <c r="I36" s="34" t="s">
        <v>55</v>
      </c>
      <c r="J36" s="50">
        <v>127587</v>
      </c>
      <c r="K36" s="34" t="s">
        <v>53</v>
      </c>
      <c r="L36" s="97" t="str">
        <f>VLOOKUP(C36,'Trips&amp;Operators'!$C$1:$E$9999,3,0)</f>
        <v>SPECTOR</v>
      </c>
      <c r="M36" s="141" t="s">
        <v>89</v>
      </c>
      <c r="N36" s="10" t="s">
        <v>319</v>
      </c>
      <c r="O36" s="34"/>
      <c r="P36" s="115" t="str">
        <f>VLOOKUP(C36,'Train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36" s="119" t="str">
        <f>VLOOKUP(C36,'Train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06:14:25-0600',mode:absolute,to:'2016-08-17 09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36" s="122" t="str">
        <f t="shared" si="0"/>
        <v>"C:\Program Files (x86)\AstroGrep\AstroGrep.exe" /spath="%USERPROFILE%\AppData\Local\Temp\OnboardLogs" /stypes="*4004*201608171*" /stext=" 13:.+((SYSTEM_STATE.+slice.+state.+changed )|(ment ac)|(system.+state.+changed )|(\|lc)|(penalty)|(\[timeout)|(PRM\|1\|D)|(kpr)|(kdp))" /e /r /s</v>
      </c>
      <c r="S36" s="9" t="str">
        <f t="shared" si="1"/>
        <v>4004</v>
      </c>
      <c r="T36" s="39">
        <f t="shared" si="2"/>
        <v>42599.565567129626</v>
      </c>
      <c r="U36" s="53" t="str">
        <f t="shared" si="3"/>
        <v>EC</v>
      </c>
      <c r="V36" s="53" t="str">
        <f t="shared" si="4"/>
        <v>KEEP</v>
      </c>
    </row>
    <row r="37" spans="1:23" x14ac:dyDescent="0.25">
      <c r="A37" s="39">
        <v>42599.485717592594</v>
      </c>
      <c r="B37" s="34" t="s">
        <v>302</v>
      </c>
      <c r="C37" s="34" t="s">
        <v>402</v>
      </c>
      <c r="D37" s="34" t="s">
        <v>49</v>
      </c>
      <c r="E37" s="34" t="s">
        <v>54</v>
      </c>
      <c r="F37" s="50">
        <v>0</v>
      </c>
      <c r="G37" s="50">
        <v>396</v>
      </c>
      <c r="H37" s="50">
        <v>130238</v>
      </c>
      <c r="I37" s="34" t="s">
        <v>55</v>
      </c>
      <c r="J37" s="50">
        <v>127587</v>
      </c>
      <c r="K37" s="34" t="s">
        <v>53</v>
      </c>
      <c r="L37" s="97" t="str">
        <f>VLOOKUP(C37,'Trips&amp;Operators'!$C$1:$E$9999,3,0)</f>
        <v>STARKS</v>
      </c>
      <c r="M37" s="141" t="s">
        <v>89</v>
      </c>
      <c r="N37" s="10" t="s">
        <v>319</v>
      </c>
      <c r="O37" s="34"/>
      <c r="P37" s="115" t="str">
        <f>VLOOKUP(C37,'Train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37" s="119" t="str">
        <f>VLOOKUP(C37,'Train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37" s="122" t="str">
        <f t="shared" si="0"/>
        <v>"C:\Program Files (x86)\AstroGrep\AstroGrep.exe" /spath="%USERPROFILE%\AppData\Local\Temp\OnboardLogs" /stypes="*4001*201608171*" /stext=" 17:.+((SYSTEM_STATE.+slice.+state.+changed )|(ment ac)|(system.+state.+changed )|(\|lc)|(penalty)|(\[timeout)|(PRM\|1\|D)|(kpr)|(kdp))" /e /r /s</v>
      </c>
      <c r="S37" s="9" t="str">
        <f t="shared" si="1"/>
        <v>4001</v>
      </c>
      <c r="T37" s="39">
        <f t="shared" si="2"/>
        <v>42599.735717592594</v>
      </c>
      <c r="U37" s="53" t="str">
        <f t="shared" si="3"/>
        <v>EC</v>
      </c>
      <c r="V37" s="53" t="str">
        <f t="shared" si="4"/>
        <v>KEEP</v>
      </c>
    </row>
    <row r="38" spans="1:23" x14ac:dyDescent="0.25">
      <c r="A38" s="39">
        <v>42599.52753472222</v>
      </c>
      <c r="B38" s="34" t="s">
        <v>306</v>
      </c>
      <c r="C38" s="34" t="s">
        <v>413</v>
      </c>
      <c r="D38" s="34" t="s">
        <v>49</v>
      </c>
      <c r="E38" s="34" t="s">
        <v>54</v>
      </c>
      <c r="F38" s="50">
        <v>0</v>
      </c>
      <c r="G38" s="50">
        <v>410</v>
      </c>
      <c r="H38" s="50">
        <v>129645</v>
      </c>
      <c r="I38" s="34" t="s">
        <v>55</v>
      </c>
      <c r="J38" s="50">
        <v>127587</v>
      </c>
      <c r="K38" s="34" t="s">
        <v>53</v>
      </c>
      <c r="L38" s="97" t="str">
        <f>VLOOKUP(C38,'Trips&amp;Operators'!$C$1:$E$9999,3,0)</f>
        <v>HELVIE</v>
      </c>
      <c r="M38" s="141" t="s">
        <v>89</v>
      </c>
      <c r="N38" s="10" t="s">
        <v>319</v>
      </c>
      <c r="O38" s="34"/>
      <c r="P38" s="115" t="str">
        <f>VLOOKUP(C38,'Train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38" s="119" t="str">
        <f>VLOOKUP(C38,'Train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11:17:15-0600',mode:absolute,to:'2016-08-17 14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38" s="122" t="str">
        <f t="shared" si="0"/>
        <v>"C:\Program Files (x86)\AstroGrep\AstroGrep.exe" /spath="%USERPROFILE%\AppData\Local\Temp\OnboardLogs" /stypes="*4004*201608171*" /stext=" 18:.+((SYSTEM_STATE.+slice.+state.+changed )|(ment ac)|(system.+state.+changed )|(\|lc)|(penalty)|(\[timeout)|(PRM\|1\|D)|(kpr)|(kdp))" /e /r /s</v>
      </c>
      <c r="S38" s="9" t="str">
        <f t="shared" si="1"/>
        <v>4004</v>
      </c>
      <c r="T38" s="39">
        <f t="shared" si="2"/>
        <v>42599.77753472222</v>
      </c>
      <c r="U38" s="53" t="str">
        <f t="shared" si="3"/>
        <v>EC</v>
      </c>
      <c r="V38" s="53" t="str">
        <f t="shared" si="4"/>
        <v>KEEP</v>
      </c>
    </row>
    <row r="39" spans="1:23" x14ac:dyDescent="0.25">
      <c r="A39" s="39">
        <v>42599.54792824074</v>
      </c>
      <c r="B39" s="34" t="s">
        <v>117</v>
      </c>
      <c r="C39" s="34" t="s">
        <v>424</v>
      </c>
      <c r="D39" s="34" t="s">
        <v>49</v>
      </c>
      <c r="E39" s="34" t="s">
        <v>54</v>
      </c>
      <c r="F39" s="50">
        <v>0</v>
      </c>
      <c r="G39" s="50">
        <v>565</v>
      </c>
      <c r="H39" s="50">
        <v>158587</v>
      </c>
      <c r="I39" s="34" t="s">
        <v>55</v>
      </c>
      <c r="J39" s="50">
        <v>162254</v>
      </c>
      <c r="K39" s="34" t="s">
        <v>52</v>
      </c>
      <c r="L39" s="97" t="str">
        <f>VLOOKUP(C39,'Trips&amp;Operators'!$C$1:$E$9999,3,0)</f>
        <v>KILLION</v>
      </c>
      <c r="M39" s="141" t="s">
        <v>88</v>
      </c>
      <c r="N39" s="10" t="s">
        <v>707</v>
      </c>
      <c r="O39" s="34"/>
      <c r="P39" s="115" t="str">
        <f>VLOOKUP(C39,'Train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39" s="119" t="str">
        <f>VLOOKUP(C39,'Train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39" s="122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/stypes="*4014*201608171*" /stext=" 19:.+((SYSTEM_STATE.+slice.+state.+changed )|(ment ac)|(system.+state.+changed )|(\|lc)|(penalty)|(\[timeout)|(PRM\|1\|D)|(kpr)|(kdp))" /e /r /s</v>
      </c>
      <c r="S39" s="9" t="str">
        <f t="shared" ref="S39:S73" si="6">MID(B39,13,4)</f>
        <v>4014</v>
      </c>
      <c r="T39" s="39">
        <f t="shared" ref="T39:T73" si="7">A39+6/24</f>
        <v>42599.79792824074</v>
      </c>
      <c r="U39" s="53" t="str">
        <f t="shared" ref="U39:U73" si="8">IF(VALUE(LEFT(IF(LEN(C39)=6,"0"&amp;C39,C39),2))&lt;=2,"EC",IF(OR(VALUE(LEFT(IF(LEN(C39)=6,"0"&amp;C39,C39),2))=8,VALUE(LEFT(IF(LEN(C39)=6,"0"&amp;C39,C39),2))=18),"NW","Other"))</f>
        <v>EC</v>
      </c>
      <c r="V39" s="53" t="str">
        <f t="shared" ref="V39:V73" si="9">IF(AND(E39="TRACK WARRANT AUTHORITY",G39&lt;10),"OMIT","KEEP")</f>
        <v>KEEP</v>
      </c>
    </row>
    <row r="40" spans="1:23" x14ac:dyDescent="0.25">
      <c r="A40" s="39">
        <v>42599.548958333333</v>
      </c>
      <c r="B40" s="34" t="s">
        <v>117</v>
      </c>
      <c r="C40" s="34" t="s">
        <v>424</v>
      </c>
      <c r="D40" s="34" t="s">
        <v>49</v>
      </c>
      <c r="E40" s="34" t="s">
        <v>54</v>
      </c>
      <c r="F40" s="50">
        <v>0</v>
      </c>
      <c r="G40" s="50">
        <v>267</v>
      </c>
      <c r="H40" s="50">
        <v>161242</v>
      </c>
      <c r="I40" s="34" t="s">
        <v>55</v>
      </c>
      <c r="J40" s="50">
        <v>162254</v>
      </c>
      <c r="K40" s="34" t="s">
        <v>52</v>
      </c>
      <c r="L40" s="97" t="str">
        <f>VLOOKUP(C40,'Trips&amp;Operators'!$C$1:$E$9999,3,0)</f>
        <v>KILLION</v>
      </c>
      <c r="M40" s="141" t="s">
        <v>88</v>
      </c>
      <c r="N40" s="10" t="s">
        <v>707</v>
      </c>
      <c r="O40" s="34"/>
      <c r="P40" s="115" t="str">
        <f>VLOOKUP(C40,'Train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40" s="119" t="str">
        <f>VLOOKUP(C40,'Train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40" s="122" t="str">
        <f t="shared" si="5"/>
        <v>"C:\Program Files (x86)\AstroGrep\AstroGrep.exe" /spath="%USERPROFILE%\AppData\Local\Temp\OnboardLogs" /stypes="*4014*201608171*" /stext=" 19:.+((SYSTEM_STATE.+slice.+state.+changed )|(ment ac)|(system.+state.+changed )|(\|lc)|(penalty)|(\[timeout)|(PRM\|1\|D)|(kpr)|(kdp))" /e /r /s</v>
      </c>
      <c r="S40" s="9" t="str">
        <f t="shared" si="6"/>
        <v>4014</v>
      </c>
      <c r="T40" s="39">
        <f t="shared" si="7"/>
        <v>42599.798958333333</v>
      </c>
      <c r="U40" s="53" t="str">
        <f t="shared" si="8"/>
        <v>EC</v>
      </c>
      <c r="V40" s="53" t="str">
        <f t="shared" si="9"/>
        <v>KEEP</v>
      </c>
    </row>
    <row r="41" spans="1:23" x14ac:dyDescent="0.25">
      <c r="A41" s="39">
        <v>42599.552002314813</v>
      </c>
      <c r="B41" s="34" t="s">
        <v>199</v>
      </c>
      <c r="C41" s="34" t="s">
        <v>428</v>
      </c>
      <c r="D41" s="34" t="s">
        <v>49</v>
      </c>
      <c r="E41" s="34" t="s">
        <v>54</v>
      </c>
      <c r="F41" s="50">
        <v>0</v>
      </c>
      <c r="G41" s="50">
        <v>702</v>
      </c>
      <c r="H41" s="50">
        <v>162074</v>
      </c>
      <c r="I41" s="34" t="s">
        <v>55</v>
      </c>
      <c r="J41" s="50">
        <v>162254</v>
      </c>
      <c r="K41" s="34" t="s">
        <v>52</v>
      </c>
      <c r="L41" s="97" t="str">
        <f>VLOOKUP(C41,'Trips&amp;Operators'!$C$1:$E$9999,3,0)</f>
        <v>BONDS</v>
      </c>
      <c r="M41" s="141" t="s">
        <v>88</v>
      </c>
      <c r="N41" s="10" t="s">
        <v>707</v>
      </c>
      <c r="O41" s="34"/>
      <c r="P41" s="115" t="str">
        <f>VLOOKUP(C41,'Train Runs'!$A$13:$AE$9998,31,0)</f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Q41" s="119" t="str">
        <f>VLOOKUP(C41,'Train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11:42:19-0600',mode:absolute,to:'2016-08-17 14:15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1" s="122" t="str">
        <f t="shared" si="5"/>
        <v>"C:\Program Files (x86)\AstroGrep\AstroGrep.exe" /spath="%USERPROFILE%\AppData\Local\Temp\OnboardLogs" /stypes="*4020*201608171*" /stext=" 19:.+((SYSTEM_STATE.+slice.+state.+changed )|(ment ac)|(system.+state.+changed )|(\|lc)|(penalty)|(\[timeout)|(PRM\|1\|D)|(kpr)|(kdp))" /e /r /s</v>
      </c>
      <c r="S41" s="9" t="str">
        <f t="shared" si="6"/>
        <v>4020</v>
      </c>
      <c r="T41" s="39">
        <f t="shared" si="7"/>
        <v>42599.802002314813</v>
      </c>
      <c r="U41" s="53" t="str">
        <f t="shared" si="8"/>
        <v>EC</v>
      </c>
      <c r="V41" s="53" t="str">
        <f t="shared" si="9"/>
        <v>KEEP</v>
      </c>
    </row>
    <row r="42" spans="1:23" ht="15" customHeight="1" x14ac:dyDescent="0.25">
      <c r="A42" s="39">
        <v>42599.503483796296</v>
      </c>
      <c r="B42" s="34" t="s">
        <v>300</v>
      </c>
      <c r="C42" s="34" t="s">
        <v>412</v>
      </c>
      <c r="D42" s="34" t="s">
        <v>49</v>
      </c>
      <c r="E42" s="34" t="s">
        <v>54</v>
      </c>
      <c r="F42" s="50">
        <v>0</v>
      </c>
      <c r="G42" s="50">
        <v>311</v>
      </c>
      <c r="H42" s="50">
        <v>166616</v>
      </c>
      <c r="I42" s="34" t="s">
        <v>55</v>
      </c>
      <c r="J42" s="50">
        <v>168003</v>
      </c>
      <c r="K42" s="34" t="s">
        <v>52</v>
      </c>
      <c r="L42" s="97" t="str">
        <f>VLOOKUP(C42,'Trips&amp;Operators'!$C$1:$E$9999,3,0)</f>
        <v>HELVIE</v>
      </c>
      <c r="M42" s="141" t="s">
        <v>88</v>
      </c>
      <c r="N42" s="10" t="s">
        <v>707</v>
      </c>
      <c r="O42" s="34"/>
      <c r="P42" s="115" t="str">
        <f>VLOOKUP(C42,'Train Runs'!$A$13:$AE$9998,31,0)</f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Q42" s="119" t="str">
        <f>VLOOKUP(C42,'Train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10:24:27-0600',mode:absolute,to:'2016-08-17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42" s="122" t="str">
        <f t="shared" si="5"/>
        <v>"C:\Program Files (x86)\AstroGrep\AstroGrep.exe" /spath="%USERPROFILE%\AppData\Local\Temp\OnboardLogs" /stypes="*4003*201608171*" /stext=" 18:.+((SYSTEM_STATE.+slice.+state.+changed )|(ment ac)|(system.+state.+changed )|(\|lc)|(penalty)|(\[timeout)|(PRM\|1\|D)|(kpr)|(kdp))" /e /r /s</v>
      </c>
      <c r="S42" s="9" t="str">
        <f t="shared" si="6"/>
        <v>4003</v>
      </c>
      <c r="T42" s="39">
        <f t="shared" si="7"/>
        <v>42599.753483796296</v>
      </c>
      <c r="U42" s="53" t="str">
        <f t="shared" si="8"/>
        <v>EC</v>
      </c>
      <c r="V42" s="53" t="str">
        <f t="shared" si="9"/>
        <v>KEEP</v>
      </c>
    </row>
    <row r="43" spans="1:23" x14ac:dyDescent="0.25">
      <c r="A43" s="39">
        <v>42599.562268518515</v>
      </c>
      <c r="B43" s="34" t="s">
        <v>96</v>
      </c>
      <c r="C43" s="34" t="s">
        <v>432</v>
      </c>
      <c r="D43" s="34" t="s">
        <v>49</v>
      </c>
      <c r="E43" s="34" t="s">
        <v>54</v>
      </c>
      <c r="F43" s="50">
        <v>0</v>
      </c>
      <c r="G43" s="50">
        <v>706</v>
      </c>
      <c r="H43" s="50">
        <v>164532</v>
      </c>
      <c r="I43" s="34" t="s">
        <v>55</v>
      </c>
      <c r="J43" s="50">
        <v>168003</v>
      </c>
      <c r="K43" s="34" t="s">
        <v>52</v>
      </c>
      <c r="L43" s="97" t="str">
        <f>VLOOKUP(C43,'Trips&amp;Operators'!$C$1:$E$9999,3,0)</f>
        <v>YORK</v>
      </c>
      <c r="M43" s="141" t="s">
        <v>88</v>
      </c>
      <c r="N43" s="10" t="s">
        <v>707</v>
      </c>
      <c r="O43" s="34"/>
      <c r="P43" s="115" t="str">
        <f>VLOOKUP(C43,'Train Runs'!$A$13:$AE$9998,31,0)</f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Q43" s="119" t="str">
        <f>VLOOKUP(C43,'Train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11:51:34-0600',mode:absolute,to:'2016-08-17 14:29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43" s="122" t="str">
        <f t="shared" si="5"/>
        <v>"C:\Program Files (x86)\AstroGrep\AstroGrep.exe" /spath="%USERPROFILE%\AppData\Local\Temp\OnboardLogs" /stypes="*4027*201608171*" /stext=" 19:.+((SYSTEM_STATE.+slice.+state.+changed )|(ment ac)|(system.+state.+changed )|(\|lc)|(penalty)|(\[timeout)|(PRM\|1\|D)|(kpr)|(kdp))" /e /r /s</v>
      </c>
      <c r="S43" s="9" t="str">
        <f t="shared" si="6"/>
        <v>4027</v>
      </c>
      <c r="T43" s="39">
        <f t="shared" si="7"/>
        <v>42599.812268518515</v>
      </c>
      <c r="U43" s="53" t="str">
        <f t="shared" si="8"/>
        <v>EC</v>
      </c>
      <c r="V43" s="53" t="str">
        <f t="shared" si="9"/>
        <v>KEEP</v>
      </c>
    </row>
    <row r="44" spans="1:23" ht="15" customHeight="1" x14ac:dyDescent="0.25">
      <c r="A44" s="39">
        <v>42599.512418981481</v>
      </c>
      <c r="B44" s="34" t="s">
        <v>168</v>
      </c>
      <c r="C44" s="34" t="s">
        <v>411</v>
      </c>
      <c r="D44" s="34" t="s">
        <v>49</v>
      </c>
      <c r="E44" s="34" t="s">
        <v>54</v>
      </c>
      <c r="F44" s="50">
        <v>0</v>
      </c>
      <c r="G44" s="50">
        <v>694</v>
      </c>
      <c r="H44" s="50">
        <v>181677</v>
      </c>
      <c r="I44" s="34" t="s">
        <v>55</v>
      </c>
      <c r="J44" s="50">
        <v>175398</v>
      </c>
      <c r="K44" s="34" t="s">
        <v>53</v>
      </c>
      <c r="L44" s="97" t="str">
        <f>VLOOKUP(C44,'Trips&amp;Operators'!$C$1:$E$9999,3,0)</f>
        <v>YORK</v>
      </c>
      <c r="M44" s="141" t="s">
        <v>88</v>
      </c>
      <c r="N44" s="10" t="s">
        <v>707</v>
      </c>
      <c r="O44" s="34"/>
      <c r="P44" s="115" t="str">
        <f>VLOOKUP(C44,'Train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44" s="119" t="str">
        <f>VLOOKUP(C44,'Train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10:55:24-0600',mode:absolute,to:'2016-08-17 13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44" s="122" t="str">
        <f t="shared" si="5"/>
        <v>"C:\Program Files (x86)\AstroGrep\AstroGrep.exe" /spath="%USERPROFILE%\AppData\Local\Temp\OnboardLogs" /stypes="*4028*201608171*" /stext=" 18:.+((SYSTEM_STATE.+slice.+state.+changed )|(ment ac)|(system.+state.+changed )|(\|lc)|(penalty)|(\[timeout)|(PRM\|1\|D)|(kpr)|(kdp))" /e /r /s</v>
      </c>
      <c r="S44" s="9" t="str">
        <f t="shared" si="6"/>
        <v>4028</v>
      </c>
      <c r="T44" s="39">
        <f t="shared" si="7"/>
        <v>42599.762418981481</v>
      </c>
      <c r="U44" s="53" t="str">
        <f t="shared" si="8"/>
        <v>EC</v>
      </c>
      <c r="V44" s="53" t="str">
        <f t="shared" si="9"/>
        <v>KEEP</v>
      </c>
    </row>
    <row r="45" spans="1:23" x14ac:dyDescent="0.25">
      <c r="A45" s="39">
        <v>42599.260497685187</v>
      </c>
      <c r="B45" s="34" t="s">
        <v>219</v>
      </c>
      <c r="C45" s="34" t="s">
        <v>353</v>
      </c>
      <c r="D45" s="34" t="s">
        <v>116</v>
      </c>
      <c r="E45" s="34" t="s">
        <v>200</v>
      </c>
      <c r="F45" s="50">
        <v>0</v>
      </c>
      <c r="G45" s="50">
        <v>128</v>
      </c>
      <c r="H45" s="50">
        <v>2349</v>
      </c>
      <c r="I45" s="34" t="s">
        <v>201</v>
      </c>
      <c r="J45" s="50">
        <v>1692</v>
      </c>
      <c r="K45" s="34" t="s">
        <v>52</v>
      </c>
      <c r="L45" s="97" t="str">
        <f>VLOOKUP(C45,'Trips&amp;Operators'!$C$1:$E$9999,3,0)</f>
        <v>STRICKLAND</v>
      </c>
      <c r="M45" s="141" t="s">
        <v>88</v>
      </c>
      <c r="N45" s="10" t="s">
        <v>251</v>
      </c>
      <c r="O45" s="34"/>
      <c r="P45" s="115" t="str">
        <f>VLOOKUP(C45,'Train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45" s="119" t="str">
        <f>VLOOKUP(C45,'Train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45" s="122" t="str">
        <f t="shared" si="5"/>
        <v>"C:\Program Files (x86)\AstroGrep\AstroGrep.exe" /spath="%USERPROFILE%\AppData\Local\Temp\OnboardLogs" /stypes="*4009*201608171*" /stext=" 12:.+((SYSTEM_STATE.+slice.+state.+changed )|(ment ac)|(system.+state.+changed )|(\|lc)|(penalty)|(\[timeout)|(PRM\|1\|D)|(kpr)|(kdp))" /e /r /s</v>
      </c>
      <c r="S45" s="9" t="str">
        <f t="shared" si="6"/>
        <v>4009</v>
      </c>
      <c r="T45" s="39">
        <f t="shared" si="7"/>
        <v>42599.510497685187</v>
      </c>
      <c r="U45" s="53" t="str">
        <f t="shared" si="8"/>
        <v>EC</v>
      </c>
      <c r="V45" s="53" t="str">
        <f t="shared" si="9"/>
        <v>KEEP</v>
      </c>
      <c r="W45" s="24" t="s">
        <v>709</v>
      </c>
    </row>
    <row r="46" spans="1:23" x14ac:dyDescent="0.25">
      <c r="A46" s="39">
        <v>42599.260937500003</v>
      </c>
      <c r="B46" s="34" t="s">
        <v>219</v>
      </c>
      <c r="C46" s="34" t="s">
        <v>353</v>
      </c>
      <c r="D46" s="34" t="s">
        <v>116</v>
      </c>
      <c r="E46" s="34" t="s">
        <v>200</v>
      </c>
      <c r="F46" s="50">
        <v>0</v>
      </c>
      <c r="G46" s="50">
        <v>17</v>
      </c>
      <c r="H46" s="50">
        <v>2593</v>
      </c>
      <c r="I46" s="34" t="s">
        <v>201</v>
      </c>
      <c r="J46" s="50">
        <v>1692</v>
      </c>
      <c r="K46" s="34" t="s">
        <v>52</v>
      </c>
      <c r="L46" s="97" t="str">
        <f>VLOOKUP(C46,'Trips&amp;Operators'!$C$1:$E$9999,3,0)</f>
        <v>STRICKLAND</v>
      </c>
      <c r="M46" s="141" t="s">
        <v>88</v>
      </c>
      <c r="N46" s="10" t="s">
        <v>251</v>
      </c>
      <c r="O46" s="34"/>
      <c r="P46" s="115" t="str">
        <f>VLOOKUP(C46,'Train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46" s="119" t="str">
        <f>VLOOKUP(C46,'Train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46" s="122" t="str">
        <f t="shared" si="5"/>
        <v>"C:\Program Files (x86)\AstroGrep\AstroGrep.exe" /spath="%USERPROFILE%\AppData\Local\Temp\OnboardLogs" /stypes="*4009*201608171*" /stext=" 12:.+((SYSTEM_STATE.+slice.+state.+changed )|(ment ac)|(system.+state.+changed )|(\|lc)|(penalty)|(\[timeout)|(PRM\|1\|D)|(kpr)|(kdp))" /e /r /s</v>
      </c>
      <c r="S46" s="9" t="str">
        <f t="shared" si="6"/>
        <v>4009</v>
      </c>
      <c r="T46" s="39">
        <f t="shared" si="7"/>
        <v>42599.510937500003</v>
      </c>
      <c r="U46" s="53" t="str">
        <f t="shared" si="8"/>
        <v>EC</v>
      </c>
      <c r="V46" s="53" t="str">
        <f t="shared" si="9"/>
        <v>KEEP</v>
      </c>
      <c r="W46" s="24" t="s">
        <v>708</v>
      </c>
    </row>
    <row r="47" spans="1:23" x14ac:dyDescent="0.25">
      <c r="A47" s="39">
        <v>42599.833645833336</v>
      </c>
      <c r="B47" s="34" t="s">
        <v>222</v>
      </c>
      <c r="C47" s="34" t="s">
        <v>502</v>
      </c>
      <c r="D47" s="34" t="s">
        <v>116</v>
      </c>
      <c r="E47" s="34" t="s">
        <v>200</v>
      </c>
      <c r="F47" s="50">
        <v>0</v>
      </c>
      <c r="G47" s="50">
        <v>633</v>
      </c>
      <c r="H47" s="50">
        <v>219660</v>
      </c>
      <c r="I47" s="34" t="s">
        <v>201</v>
      </c>
      <c r="J47" s="50">
        <v>219875</v>
      </c>
      <c r="K47" s="34" t="s">
        <v>53</v>
      </c>
      <c r="L47" s="97" t="str">
        <f>VLOOKUP(C47,'Trips&amp;Operators'!$C$1:$E$9999,3,0)</f>
        <v>STURGEON</v>
      </c>
      <c r="M47" s="141" t="s">
        <v>88</v>
      </c>
      <c r="N47" s="10" t="s">
        <v>251</v>
      </c>
      <c r="O47" s="34"/>
      <c r="P47" s="115" t="str">
        <f>VLOOKUP(C47,'Train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47" s="119" t="str">
        <f>VLOOKUP(C47,'Train Runs'!$A$13:$AE$9998,22,0)</f>
        <v>https://search-rtdc-monitor-bjffxe2xuh6vdkpspy63sjmuny.us-east-1.es.amazonaws.com/_plugin/kibana/#/discover/Steve-Slow-Train-Analysis-(2080s-and-2083s)?_g=(refreshInterval:(display:Off,section:0,value:0),time:(from:'2016-08-17 18:43:41-0600',mode:absolute,to:'2016-08-17 21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47" s="122" t="str">
        <f t="shared" si="5"/>
        <v>"C:\Program Files (x86)\AstroGrep\AstroGrep.exe" /spath="%USERPROFILE%\AppData\Local\Temp\OnboardLogs" /stypes="*4010*201608180*" /stext=" 02:.+((SYSTEM_STATE.+slice.+state.+changed )|(ment ac)|(system.+state.+changed )|(\|lc)|(penalty)|(\[timeout)|(PRM\|1\|D)|(kpr)|(kdp))" /e /r /s</v>
      </c>
      <c r="S47" s="9" t="str">
        <f t="shared" si="6"/>
        <v>4010</v>
      </c>
      <c r="T47" s="39">
        <f t="shared" si="7"/>
        <v>42600.083645833336</v>
      </c>
      <c r="U47" s="53" t="str">
        <f t="shared" si="8"/>
        <v>EC</v>
      </c>
      <c r="V47" s="53" t="str">
        <f t="shared" si="9"/>
        <v>KEEP</v>
      </c>
      <c r="W47" s="24" t="s">
        <v>710</v>
      </c>
    </row>
    <row r="48" spans="1:23" ht="15" customHeight="1" x14ac:dyDescent="0.25">
      <c r="A48" s="39">
        <v>42599.30300925926</v>
      </c>
      <c r="B48" s="34" t="s">
        <v>168</v>
      </c>
      <c r="C48" s="34" t="s">
        <v>345</v>
      </c>
      <c r="D48" s="34" t="s">
        <v>49</v>
      </c>
      <c r="E48" s="34" t="s">
        <v>50</v>
      </c>
      <c r="F48" s="50">
        <v>0</v>
      </c>
      <c r="G48" s="50">
        <v>52</v>
      </c>
      <c r="H48" s="50">
        <v>176</v>
      </c>
      <c r="I48" s="34" t="s">
        <v>51</v>
      </c>
      <c r="J48" s="50">
        <v>1</v>
      </c>
      <c r="K48" s="34" t="s">
        <v>53</v>
      </c>
      <c r="L48" s="97" t="str">
        <f>VLOOKUP(C48,'Trips&amp;Operators'!$C$1:$E$9999,3,0)</f>
        <v>MAELZER</v>
      </c>
      <c r="M48" s="141" t="s">
        <v>89</v>
      </c>
      <c r="N48" s="10"/>
      <c r="O48" s="34"/>
      <c r="P48" s="115" t="str">
        <f>VLOOKUP(C48,'Train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48" s="119" t="str">
        <f>VLOOKUP(C48,'Train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05:26:50-0600',mode:absolute,to:'2016-08-17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48" s="122" t="str">
        <f t="shared" si="5"/>
        <v>"C:\Program Files (x86)\AstroGrep\AstroGrep.exe" /spath="%USERPROFILE%\AppData\Local\Temp\OnboardLogs" /stypes="*4028*201608171*" /stext=" 13:.+((SYSTEM_STATE.+slice.+state.+changed )|(ment ac)|(system.+state.+changed )|(\|lc)|(penalty)|(\[timeout)|(PRM\|1\|D)|(kpr)|(kdp))" /e /r /s</v>
      </c>
      <c r="S48" s="9" t="str">
        <f t="shared" si="6"/>
        <v>4028</v>
      </c>
      <c r="T48" s="39">
        <f t="shared" si="7"/>
        <v>42599.55300925926</v>
      </c>
      <c r="U48" s="53" t="str">
        <f t="shared" si="8"/>
        <v>EC</v>
      </c>
      <c r="V48" s="53" t="str">
        <f t="shared" si="9"/>
        <v>KEEP</v>
      </c>
    </row>
    <row r="49" spans="1:22" x14ac:dyDescent="0.25">
      <c r="A49" s="39">
        <v>42599.325416666667</v>
      </c>
      <c r="B49" s="34" t="s">
        <v>680</v>
      </c>
      <c r="C49" s="34" t="s">
        <v>351</v>
      </c>
      <c r="D49" s="34" t="s">
        <v>49</v>
      </c>
      <c r="E49" s="34" t="s">
        <v>50</v>
      </c>
      <c r="F49" s="50">
        <v>0</v>
      </c>
      <c r="G49" s="50">
        <v>37</v>
      </c>
      <c r="H49" s="50">
        <v>145</v>
      </c>
      <c r="I49" s="34" t="s">
        <v>51</v>
      </c>
      <c r="J49" s="50">
        <v>1</v>
      </c>
      <c r="K49" s="34" t="s">
        <v>53</v>
      </c>
      <c r="L49" s="97" t="str">
        <f>VLOOKUP(C49,'Trips&amp;Operators'!$C$1:$E$9999,3,0)</f>
        <v>ACKERMAN</v>
      </c>
      <c r="M49" s="141" t="s">
        <v>89</v>
      </c>
      <c r="N49" s="10"/>
      <c r="O49" s="34"/>
      <c r="P49" s="115" t="str">
        <f>VLOOKUP(C49,'Train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49" s="119" t="str">
        <f>VLOOKUP(C49,'Train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05:54:20-0600',mode:absolute,to:'2016-08-17 08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49" s="122" t="str">
        <f t="shared" si="5"/>
        <v>"C:\Program Files (x86)\AstroGrep\AstroGrep.exe" /spath="%USERPROFILE%\AppData\Local\Temp\OnboardLogs" /stypes="*4026*201608171*" /stext=" 13:.+((SYSTEM_STATE.+slice.+state.+changed )|(ment ac)|(system.+state.+changed )|(\|lc)|(penalty)|(\[timeout)|(PRM\|1\|D)|(kpr)|(kdp))" /e /r /s</v>
      </c>
      <c r="S49" s="9" t="str">
        <f t="shared" si="6"/>
        <v>4026</v>
      </c>
      <c r="T49" s="39">
        <f t="shared" si="7"/>
        <v>42599.575416666667</v>
      </c>
      <c r="U49" s="53" t="str">
        <f t="shared" si="8"/>
        <v>EC</v>
      </c>
      <c r="V49" s="53" t="str">
        <f t="shared" si="9"/>
        <v>KEEP</v>
      </c>
    </row>
    <row r="50" spans="1:22" x14ac:dyDescent="0.25">
      <c r="A50" s="39">
        <v>42599.416886574072</v>
      </c>
      <c r="B50" s="34" t="s">
        <v>222</v>
      </c>
      <c r="C50" s="34" t="s">
        <v>378</v>
      </c>
      <c r="D50" s="34" t="s">
        <v>49</v>
      </c>
      <c r="E50" s="34" t="s">
        <v>50</v>
      </c>
      <c r="F50" s="50">
        <v>0</v>
      </c>
      <c r="G50" s="50">
        <v>48</v>
      </c>
      <c r="H50" s="50">
        <v>141</v>
      </c>
      <c r="I50" s="34" t="s">
        <v>51</v>
      </c>
      <c r="J50" s="50">
        <v>1</v>
      </c>
      <c r="K50" s="34" t="s">
        <v>53</v>
      </c>
      <c r="L50" s="97" t="str">
        <f>VLOOKUP(C50,'Trips&amp;Operators'!$C$1:$E$9999,3,0)</f>
        <v>STRICKLAND</v>
      </c>
      <c r="M50" s="141" t="s">
        <v>89</v>
      </c>
      <c r="N50" s="10"/>
      <c r="O50" s="34"/>
      <c r="P50" s="115" t="str">
        <f>VLOOKUP(C50,'Train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50" s="119" t="str">
        <f>VLOOKUP(C50,'Train Runs'!$A$13:$AE$9998,22,0)</f>
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0" s="122" t="str">
        <f t="shared" si="5"/>
        <v>"C:\Program Files (x86)\AstroGrep\AstroGrep.exe" /spath="%USERPROFILE%\AppData\Local\Temp\OnboardLogs" /stypes="*4010*201608171*" /stext=" 16:.+((SYSTEM_STATE.+slice.+state.+changed )|(ment ac)|(system.+state.+changed )|(\|lc)|(penalty)|(\[timeout)|(PRM\|1\|D)|(kpr)|(kdp))" /e /r /s</v>
      </c>
      <c r="S50" s="9" t="str">
        <f t="shared" si="6"/>
        <v>4010</v>
      </c>
      <c r="T50" s="39">
        <f t="shared" si="7"/>
        <v>42599.666886574072</v>
      </c>
      <c r="U50" s="53" t="str">
        <f t="shared" si="8"/>
        <v>EC</v>
      </c>
      <c r="V50" s="53" t="str">
        <f t="shared" si="9"/>
        <v>KEEP</v>
      </c>
    </row>
    <row r="51" spans="1:22" x14ac:dyDescent="0.25">
      <c r="A51" s="39">
        <v>42599.436631944445</v>
      </c>
      <c r="B51" s="34" t="s">
        <v>93</v>
      </c>
      <c r="C51" s="34" t="s">
        <v>383</v>
      </c>
      <c r="D51" s="34" t="s">
        <v>49</v>
      </c>
      <c r="E51" s="34" t="s">
        <v>50</v>
      </c>
      <c r="F51" s="50">
        <v>0</v>
      </c>
      <c r="G51" s="50">
        <v>54</v>
      </c>
      <c r="H51" s="50">
        <v>167</v>
      </c>
      <c r="I51" s="34" t="s">
        <v>51</v>
      </c>
      <c r="J51" s="50">
        <v>1</v>
      </c>
      <c r="K51" s="34" t="s">
        <v>53</v>
      </c>
      <c r="L51" s="97" t="str">
        <f>VLOOKUP(C51,'Trips&amp;Operators'!$C$1:$E$9999,3,0)</f>
        <v>KILLION</v>
      </c>
      <c r="M51" s="141" t="s">
        <v>89</v>
      </c>
      <c r="N51" s="10"/>
      <c r="O51" s="34"/>
      <c r="P51" s="115" t="str">
        <f>VLOOKUP(C51,'Train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51" s="119" t="str">
        <f>VLOOKUP(C51,'Train Runs'!$A$13:$AE$9998,22,0)</f>
        <v>https://search-rtdc-monitor-bjffxe2xuh6vdkpspy63sjmuny.us-east-1.es.amazonaws.com/_plugin/kibana/#/discover/Steve-Slow-Train-Analysis-(2080s-and-2083s)?_g=(refreshInterval:(display:Off,section:0,value:0),time:(from:'2016-08-17 08:41:05-0600',mode:absolute,to:'2016-08-17 11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51" s="122" t="str">
        <f t="shared" si="5"/>
        <v>"C:\Program Files (x86)\AstroGrep\AstroGrep.exe" /spath="%USERPROFILE%\AppData\Local\Temp\OnboardLogs" /stypes="*4013*201608171*" /stext=" 16:.+((SYSTEM_STATE.+slice.+state.+changed )|(ment ac)|(system.+state.+changed )|(\|lc)|(penalty)|(\[timeout)|(PRM\|1\|D)|(kpr)|(kdp))" /e /r /s</v>
      </c>
      <c r="S51" s="9" t="str">
        <f t="shared" si="6"/>
        <v>4013</v>
      </c>
      <c r="T51" s="39">
        <f t="shared" si="7"/>
        <v>42599.686631944445</v>
      </c>
      <c r="U51" s="53" t="str">
        <f t="shared" si="8"/>
        <v>EC</v>
      </c>
      <c r="V51" s="53" t="str">
        <f t="shared" si="9"/>
        <v>KEEP</v>
      </c>
    </row>
    <row r="52" spans="1:22" x14ac:dyDescent="0.25">
      <c r="A52" s="39">
        <v>42599.507708333331</v>
      </c>
      <c r="B52" s="34" t="s">
        <v>302</v>
      </c>
      <c r="C52" s="34" t="s">
        <v>402</v>
      </c>
      <c r="D52" s="34" t="s">
        <v>49</v>
      </c>
      <c r="E52" s="34" t="s">
        <v>50</v>
      </c>
      <c r="F52" s="50">
        <v>0</v>
      </c>
      <c r="G52" s="50">
        <v>98</v>
      </c>
      <c r="H52" s="50">
        <v>327</v>
      </c>
      <c r="I52" s="34" t="s">
        <v>51</v>
      </c>
      <c r="J52" s="50">
        <v>1</v>
      </c>
      <c r="K52" s="34" t="s">
        <v>53</v>
      </c>
      <c r="L52" s="97" t="str">
        <f>VLOOKUP(C52,'Trips&amp;Operators'!$C$1:$E$9999,3,0)</f>
        <v>STARKS</v>
      </c>
      <c r="M52" s="141" t="s">
        <v>89</v>
      </c>
      <c r="N52" s="10"/>
      <c r="O52" s="34"/>
      <c r="P52" s="115" t="str">
        <f>VLOOKUP(C52,'Train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52" s="119" t="str">
        <f>VLOOKUP(C52,'Train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2" s="122" t="str">
        <f t="shared" si="5"/>
        <v>"C:\Program Files (x86)\AstroGrep\AstroGrep.exe" /spath="%USERPROFILE%\AppData\Local\Temp\OnboardLogs" /stypes="*4001*201608171*" /stext=" 18:.+((SYSTEM_STATE.+slice.+state.+changed )|(ment ac)|(system.+state.+changed )|(\|lc)|(penalty)|(\[timeout)|(PRM\|1\|D)|(kpr)|(kdp))" /e /r /s</v>
      </c>
      <c r="S52" s="9" t="str">
        <f t="shared" si="6"/>
        <v>4001</v>
      </c>
      <c r="T52" s="39">
        <f t="shared" si="7"/>
        <v>42599.757708333331</v>
      </c>
      <c r="U52" s="53" t="str">
        <f t="shared" si="8"/>
        <v>EC</v>
      </c>
      <c r="V52" s="53" t="str">
        <f t="shared" si="9"/>
        <v>KEEP</v>
      </c>
    </row>
    <row r="53" spans="1:22" x14ac:dyDescent="0.25">
      <c r="A53" s="39">
        <v>42599.554918981485</v>
      </c>
      <c r="B53" s="34" t="s">
        <v>680</v>
      </c>
      <c r="C53" s="34" t="s">
        <v>416</v>
      </c>
      <c r="D53" s="34" t="s">
        <v>49</v>
      </c>
      <c r="E53" s="34" t="s">
        <v>50</v>
      </c>
      <c r="F53" s="50">
        <v>0</v>
      </c>
      <c r="G53" s="50">
        <v>115</v>
      </c>
      <c r="H53" s="50">
        <v>486</v>
      </c>
      <c r="I53" s="34" t="s">
        <v>51</v>
      </c>
      <c r="J53" s="50">
        <v>1</v>
      </c>
      <c r="K53" s="34" t="s">
        <v>53</v>
      </c>
      <c r="L53" s="97" t="str">
        <f>VLOOKUP(C53,'Trips&amp;Operators'!$C$1:$E$9999,3,0)</f>
        <v>STORY</v>
      </c>
      <c r="M53" s="141" t="s">
        <v>89</v>
      </c>
      <c r="N53" s="10"/>
      <c r="O53" s="34"/>
      <c r="P53" s="115" t="str">
        <f>VLOOKUP(C53,'Train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53" s="119" t="str">
        <f>VLOOKUP(C53,'Train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11:34:57-0600',mode:absolute,to:'2016-08-17 14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53" s="122" t="str">
        <f t="shared" si="5"/>
        <v>"C:\Program Files (x86)\AstroGrep\AstroGrep.exe" /spath="%USERPROFILE%\AppData\Local\Temp\OnboardLogs" /stypes="*4026*201608171*" /stext=" 19:.+((SYSTEM_STATE.+slice.+state.+changed )|(ment ac)|(system.+state.+changed )|(\|lc)|(penalty)|(\[timeout)|(PRM\|1\|D)|(kpr)|(kdp))" /e /r /s</v>
      </c>
      <c r="S53" s="9" t="str">
        <f t="shared" si="6"/>
        <v>4026</v>
      </c>
      <c r="T53" s="39">
        <f t="shared" si="7"/>
        <v>42599.804918981485</v>
      </c>
      <c r="U53" s="53" t="str">
        <f t="shared" si="8"/>
        <v>EC</v>
      </c>
      <c r="V53" s="53" t="str">
        <f t="shared" si="9"/>
        <v>KEEP</v>
      </c>
    </row>
    <row r="54" spans="1:22" x14ac:dyDescent="0.25">
      <c r="A54" s="39">
        <v>42599.631851851853</v>
      </c>
      <c r="B54" s="34" t="s">
        <v>680</v>
      </c>
      <c r="C54" s="34" t="s">
        <v>441</v>
      </c>
      <c r="D54" s="34" t="s">
        <v>49</v>
      </c>
      <c r="E54" s="34" t="s">
        <v>50</v>
      </c>
      <c r="F54" s="50">
        <v>0</v>
      </c>
      <c r="G54" s="50">
        <v>68</v>
      </c>
      <c r="H54" s="50">
        <v>221</v>
      </c>
      <c r="I54" s="34" t="s">
        <v>51</v>
      </c>
      <c r="J54" s="50">
        <v>1</v>
      </c>
      <c r="K54" s="34" t="s">
        <v>53</v>
      </c>
      <c r="L54" s="97" t="str">
        <f>VLOOKUP(C54,'Trips&amp;Operators'!$C$1:$E$9999,3,0)</f>
        <v>STORY</v>
      </c>
      <c r="M54" s="141" t="s">
        <v>89</v>
      </c>
      <c r="N54" s="10"/>
      <c r="O54" s="34"/>
      <c r="P54" s="115" t="str">
        <f>VLOOKUP(C54,'Train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54" s="119" t="str">
        <f>VLOOKUP(C54,'Train Runs'!$A$13:$AE$9998,22,0)</f>
        <v>https://search-rtdc-monitor-bjffxe2xuh6vdkpspy63sjmuny.us-east-1.es.amazonaws.com/_plugin/kibana/#/discover/Steve-Slow-Train-Analysis-(2080s-and-2083s)?_g=(refreshInterval:(display:Off,section:0,value:0),time:(from:'2016-08-17 13:17:55-0600',mode:absolute,to:'2016-08-17 16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54" s="122" t="str">
        <f t="shared" si="5"/>
        <v>"C:\Program Files (x86)\AstroGrep\AstroGrep.exe" /spath="%USERPROFILE%\AppData\Local\Temp\OnboardLogs" /stypes="*4026*201608172*" /stext=" 21:.+((SYSTEM_STATE.+slice.+state.+changed )|(ment ac)|(system.+state.+changed )|(\|lc)|(penalty)|(\[timeout)|(PRM\|1\|D)|(kpr)|(kdp))" /e /r /s</v>
      </c>
      <c r="S54" s="9" t="str">
        <f t="shared" si="6"/>
        <v>4026</v>
      </c>
      <c r="T54" s="39">
        <f t="shared" si="7"/>
        <v>42599.881851851853</v>
      </c>
      <c r="U54" s="53" t="str">
        <f t="shared" si="8"/>
        <v>EC</v>
      </c>
      <c r="V54" s="53" t="str">
        <f t="shared" si="9"/>
        <v>KEEP</v>
      </c>
    </row>
    <row r="55" spans="1:22" x14ac:dyDescent="0.25">
      <c r="A55" s="39">
        <v>42599.638726851852</v>
      </c>
      <c r="B55" s="34" t="s">
        <v>222</v>
      </c>
      <c r="C55" s="34" t="s">
        <v>446</v>
      </c>
      <c r="D55" s="34" t="s">
        <v>49</v>
      </c>
      <c r="E55" s="34" t="s">
        <v>50</v>
      </c>
      <c r="F55" s="50">
        <v>0</v>
      </c>
      <c r="G55" s="50">
        <v>51</v>
      </c>
      <c r="H55" s="50">
        <v>163</v>
      </c>
      <c r="I55" s="34" t="s">
        <v>51</v>
      </c>
      <c r="J55" s="50">
        <v>1</v>
      </c>
      <c r="K55" s="34" t="s">
        <v>53</v>
      </c>
      <c r="L55" s="97" t="str">
        <f>VLOOKUP(C55,'Trips&amp;Operators'!$C$1:$E$9999,3,0)</f>
        <v>STAMBAUGH</v>
      </c>
      <c r="M55" s="141" t="s">
        <v>89</v>
      </c>
      <c r="N55" s="10"/>
      <c r="O55" s="34"/>
      <c r="P55" s="115" t="str">
        <f>VLOOKUP(C55,'Train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55" s="119" t="str">
        <f>VLOOKUP(C55,'Train Runs'!$A$13:$AE$9998,22,0)</f>
        <v>https://search-rtdc-monitor-bjffxe2xuh6vdkpspy63sjmuny.us-east-1.es.amazonaws.com/_plugin/kibana/#/discover/Steve-Slow-Train-Analysis-(2080s-and-2083s)?_g=(refreshInterval:(display:Off,section:0,value:0),time:(from:'2016-08-17 13:38:32-0600',mode:absolute,to:'2016-08-17 16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5" s="122" t="str">
        <f t="shared" si="5"/>
        <v>"C:\Program Files (x86)\AstroGrep\AstroGrep.exe" /spath="%USERPROFILE%\AppData\Local\Temp\OnboardLogs" /stypes="*4010*201608172*" /stext=" 21:.+((SYSTEM_STATE.+slice.+state.+changed )|(ment ac)|(system.+state.+changed )|(\|lc)|(penalty)|(\[timeout)|(PRM\|1\|D)|(kpr)|(kdp))" /e /r /s</v>
      </c>
      <c r="S55" s="9" t="str">
        <f t="shared" si="6"/>
        <v>4010</v>
      </c>
      <c r="T55" s="39">
        <f t="shared" si="7"/>
        <v>42599.888726851852</v>
      </c>
      <c r="U55" s="53" t="str">
        <f t="shared" si="8"/>
        <v>EC</v>
      </c>
      <c r="V55" s="53" t="str">
        <f t="shared" si="9"/>
        <v>KEEP</v>
      </c>
    </row>
    <row r="56" spans="1:22" x14ac:dyDescent="0.25">
      <c r="A56" s="39">
        <v>42599.701296296298</v>
      </c>
      <c r="B56" s="34" t="s">
        <v>680</v>
      </c>
      <c r="C56" s="34" t="s">
        <v>462</v>
      </c>
      <c r="D56" s="34" t="s">
        <v>49</v>
      </c>
      <c r="E56" s="34" t="s">
        <v>50</v>
      </c>
      <c r="F56" s="50">
        <v>0</v>
      </c>
      <c r="G56" s="50">
        <v>95</v>
      </c>
      <c r="H56" s="50">
        <v>424</v>
      </c>
      <c r="I56" s="34" t="s">
        <v>51</v>
      </c>
      <c r="J56" s="50">
        <v>1</v>
      </c>
      <c r="K56" s="34" t="s">
        <v>53</v>
      </c>
      <c r="L56" s="97" t="str">
        <f>VLOOKUP(C56,'Trips&amp;Operators'!$C$1:$E$9999,3,0)</f>
        <v>STORY</v>
      </c>
      <c r="M56" s="141" t="s">
        <v>89</v>
      </c>
      <c r="N56" s="10"/>
      <c r="O56" s="34"/>
      <c r="P56" s="115" t="str">
        <f>VLOOKUP(C56,'Train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56" s="119" t="str">
        <f>VLOOKUP(C56,'Train Runs'!$A$13:$AE$9998,22,0)</f>
        <v>https://search-rtdc-monitor-bjffxe2xuh6vdkpspy63sjmuny.us-east-1.es.amazonaws.com/_plugin/kibana/#/discover/Steve-Slow-Train-Analysis-(2080s-and-2083s)?_g=(refreshInterval:(display:Off,section:0,value:0),time:(from:'2016-08-17 15:04:09-0600',mode:absolute,to:'2016-08-17 17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56" s="122" t="str">
        <f t="shared" si="5"/>
        <v>"C:\Program Files (x86)\AstroGrep\AstroGrep.exe" /spath="%USERPROFILE%\AppData\Local\Temp\OnboardLogs" /stypes="*4026*201608172*" /stext=" 22:.+((SYSTEM_STATE.+slice.+state.+changed )|(ment ac)|(system.+state.+changed )|(\|lc)|(penalty)|(\[timeout)|(PRM\|1\|D)|(kpr)|(kdp))" /e /r /s</v>
      </c>
      <c r="S56" s="9" t="str">
        <f t="shared" si="6"/>
        <v>4026</v>
      </c>
      <c r="T56" s="39">
        <f t="shared" si="7"/>
        <v>42599.951296296298</v>
      </c>
      <c r="U56" s="53" t="str">
        <f t="shared" si="8"/>
        <v>EC</v>
      </c>
      <c r="V56" s="53" t="str">
        <f t="shared" si="9"/>
        <v>KEEP</v>
      </c>
    </row>
    <row r="57" spans="1:22" x14ac:dyDescent="0.25">
      <c r="A57" s="39">
        <v>42599.183912037035</v>
      </c>
      <c r="B57" s="34" t="s">
        <v>304</v>
      </c>
      <c r="C57" s="34" t="s">
        <v>324</v>
      </c>
      <c r="D57" s="34" t="s">
        <v>49</v>
      </c>
      <c r="E57" s="34" t="s">
        <v>50</v>
      </c>
      <c r="F57" s="50">
        <v>0</v>
      </c>
      <c r="G57" s="50">
        <v>45</v>
      </c>
      <c r="H57" s="50">
        <v>233297</v>
      </c>
      <c r="I57" s="34" t="s">
        <v>51</v>
      </c>
      <c r="J57" s="50">
        <v>233491</v>
      </c>
      <c r="K57" s="34" t="s">
        <v>52</v>
      </c>
      <c r="L57" s="97" t="str">
        <f>VLOOKUP(C57,'Trips&amp;Operators'!$C$1:$E$9999,3,0)</f>
        <v>ACKERMAN</v>
      </c>
      <c r="M57" s="141" t="s">
        <v>89</v>
      </c>
      <c r="N57" s="10"/>
      <c r="O57" s="34"/>
      <c r="P57" s="115" t="str">
        <f>VLOOKUP(C57,'Train Runs'!$A$13:$AE$9998,31,0)</f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Q57" s="119" t="str">
        <f>VLOOKUP(C57,'Train Runs'!$A$13:$AE$9998,22,0)</f>
        <v>https://search-rtdc-monitor-bjffxe2xuh6vdkpspy63sjmuny.us-east-1.es.amazonaws.com/_plugin/kibana/#/discover/Steve-Slow-Train-Analysis-(2080s-and-2083s)?_g=(refreshInterval:(display:Off,section:0,value:0),time:(from:'2016-08-17 02:43:45-0600',mode:absolute,to:'2016-08-17 05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57" s="122" t="str">
        <f t="shared" si="5"/>
        <v>"C:\Program Files (x86)\AstroGrep\AstroGrep.exe" /spath="%USERPROFILE%\AppData\Local\Temp\OnboardLogs" /stypes="*4018*201608171*" /stext=" 10:.+((SYSTEM_STATE.+slice.+state.+changed )|(ment ac)|(system.+state.+changed )|(\|lc)|(penalty)|(\[timeout)|(PRM\|1\|D)|(kpr)|(kdp))" /e /r /s</v>
      </c>
      <c r="S57" s="9" t="str">
        <f t="shared" si="6"/>
        <v>4018</v>
      </c>
      <c r="T57" s="39">
        <f t="shared" si="7"/>
        <v>42599.433912037035</v>
      </c>
      <c r="U57" s="53" t="str">
        <f t="shared" si="8"/>
        <v>EC</v>
      </c>
      <c r="V57" s="53" t="str">
        <f t="shared" si="9"/>
        <v>KEEP</v>
      </c>
    </row>
    <row r="58" spans="1:22" x14ac:dyDescent="0.25">
      <c r="A58" s="39">
        <v>42599.299293981479</v>
      </c>
      <c r="B58" s="34" t="s">
        <v>300</v>
      </c>
      <c r="C58" s="34" t="s">
        <v>356</v>
      </c>
      <c r="D58" s="34" t="s">
        <v>49</v>
      </c>
      <c r="E58" s="34" t="s">
        <v>50</v>
      </c>
      <c r="F58" s="50">
        <v>0</v>
      </c>
      <c r="G58" s="50">
        <v>93</v>
      </c>
      <c r="H58" s="50">
        <v>233117</v>
      </c>
      <c r="I58" s="34" t="s">
        <v>51</v>
      </c>
      <c r="J58" s="50">
        <v>233491</v>
      </c>
      <c r="K58" s="34" t="s">
        <v>52</v>
      </c>
      <c r="L58" s="97" t="str">
        <f>VLOOKUP(C58,'Trips&amp;Operators'!$C$1:$E$9999,3,0)</f>
        <v>SPECTOR</v>
      </c>
      <c r="M58" s="141" t="s">
        <v>89</v>
      </c>
      <c r="N58" s="10"/>
      <c r="O58" s="34"/>
      <c r="P58" s="115" t="str">
        <f>VLOOKUP(C58,'Train Runs'!$A$13:$AE$9998,31,0)</f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Q58" s="119" t="str">
        <f>VLOOKUP(C58,'Train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05:16:00-0600',mode:absolute,to:'2016-08-17 08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58" s="122" t="str">
        <f t="shared" si="5"/>
        <v>"C:\Program Files (x86)\AstroGrep\AstroGrep.exe" /spath="%USERPROFILE%\AppData\Local\Temp\OnboardLogs" /stypes="*4003*201608171*" /stext=" 13:.+((SYSTEM_STATE.+slice.+state.+changed )|(ment ac)|(system.+state.+changed )|(\|lc)|(penalty)|(\[timeout)|(PRM\|1\|D)|(kpr)|(kdp))" /e /r /s</v>
      </c>
      <c r="S58" s="9" t="str">
        <f t="shared" si="6"/>
        <v>4003</v>
      </c>
      <c r="T58" s="39">
        <f t="shared" si="7"/>
        <v>42599.549293981479</v>
      </c>
      <c r="U58" s="53" t="str">
        <f t="shared" si="8"/>
        <v>EC</v>
      </c>
      <c r="V58" s="53" t="str">
        <f t="shared" si="9"/>
        <v>KEEP</v>
      </c>
    </row>
    <row r="59" spans="1:22" x14ac:dyDescent="0.25">
      <c r="A59" s="39">
        <v>42599.307881944442</v>
      </c>
      <c r="B59" s="34" t="s">
        <v>117</v>
      </c>
      <c r="C59" s="34" t="s">
        <v>360</v>
      </c>
      <c r="D59" s="34" t="s">
        <v>49</v>
      </c>
      <c r="E59" s="34" t="s">
        <v>50</v>
      </c>
      <c r="F59" s="50">
        <v>0</v>
      </c>
      <c r="G59" s="50">
        <v>95</v>
      </c>
      <c r="H59" s="50">
        <v>233124</v>
      </c>
      <c r="I59" s="34" t="s">
        <v>51</v>
      </c>
      <c r="J59" s="50">
        <v>233491</v>
      </c>
      <c r="K59" s="34" t="s">
        <v>52</v>
      </c>
      <c r="L59" s="97" t="str">
        <f>VLOOKUP(C59,'Trips&amp;Operators'!$C$1:$E$9999,3,0)</f>
        <v>KILLION</v>
      </c>
      <c r="M59" s="141" t="s">
        <v>89</v>
      </c>
      <c r="N59" s="10"/>
      <c r="O59" s="34"/>
      <c r="P59" s="115" t="str">
        <f>VLOOKUP(C59,'Train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59" s="119" t="str">
        <f>VLOOKUP(C59,'Train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9" s="122" t="str">
        <f t="shared" si="5"/>
        <v>"C:\Program Files (x86)\AstroGrep\AstroGrep.exe" /spath="%USERPROFILE%\AppData\Local\Temp\OnboardLogs" /stypes="*4014*201608171*" /stext=" 13:.+((SYSTEM_STATE.+slice.+state.+changed )|(ment ac)|(system.+state.+changed )|(\|lc)|(penalty)|(\[timeout)|(PRM\|1\|D)|(kpr)|(kdp))" /e /r /s</v>
      </c>
      <c r="S59" s="9" t="str">
        <f t="shared" si="6"/>
        <v>4014</v>
      </c>
      <c r="T59" s="39">
        <f t="shared" si="7"/>
        <v>42599.557881944442</v>
      </c>
      <c r="U59" s="53" t="str">
        <f t="shared" si="8"/>
        <v>EC</v>
      </c>
      <c r="V59" s="53" t="str">
        <f t="shared" si="9"/>
        <v>KEEP</v>
      </c>
    </row>
    <row r="60" spans="1:22" x14ac:dyDescent="0.25">
      <c r="A60" s="39">
        <v>42599.458761574075</v>
      </c>
      <c r="B60" s="34" t="s">
        <v>219</v>
      </c>
      <c r="C60" s="34" t="s">
        <v>397</v>
      </c>
      <c r="D60" s="34" t="s">
        <v>49</v>
      </c>
      <c r="E60" s="34" t="s">
        <v>50</v>
      </c>
      <c r="F60" s="50">
        <v>0</v>
      </c>
      <c r="G60" s="50">
        <v>171</v>
      </c>
      <c r="H60" s="50">
        <v>232537</v>
      </c>
      <c r="I60" s="34" t="s">
        <v>51</v>
      </c>
      <c r="J60" s="50">
        <v>233491</v>
      </c>
      <c r="K60" s="34" t="s">
        <v>52</v>
      </c>
      <c r="L60" s="97" t="str">
        <f>VLOOKUP(C60,'Trips&amp;Operators'!$C$1:$E$9999,3,0)</f>
        <v>STRICKLAND</v>
      </c>
      <c r="M60" s="141" t="s">
        <v>89</v>
      </c>
      <c r="N60" s="10"/>
      <c r="O60" s="34"/>
      <c r="P60" s="115" t="str">
        <f>VLOOKUP(C60,'Train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60" s="119" t="str">
        <f>VLOOKUP(C60,'Train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60" s="122" t="str">
        <f t="shared" si="5"/>
        <v>"C:\Program Files (x86)\AstroGrep\AstroGrep.exe" /spath="%USERPROFILE%\AppData\Local\Temp\OnboardLogs" /stypes="*4009*201608171*" /stext=" 17:.+((SYSTEM_STATE.+slice.+state.+changed )|(ment ac)|(system.+state.+changed )|(\|lc)|(penalty)|(\[timeout)|(PRM\|1\|D)|(kpr)|(kdp))" /e /r /s</v>
      </c>
      <c r="S60" s="9" t="str">
        <f t="shared" si="6"/>
        <v>4009</v>
      </c>
      <c r="T60" s="39">
        <f t="shared" si="7"/>
        <v>42599.708761574075</v>
      </c>
      <c r="U60" s="53" t="str">
        <f t="shared" si="8"/>
        <v>EC</v>
      </c>
      <c r="V60" s="53" t="str">
        <f t="shared" si="9"/>
        <v>KEEP</v>
      </c>
    </row>
    <row r="61" spans="1:22" x14ac:dyDescent="0.25">
      <c r="A61" s="39">
        <v>42599.93577546296</v>
      </c>
      <c r="B61" s="34" t="s">
        <v>683</v>
      </c>
      <c r="C61" s="34" t="s">
        <v>667</v>
      </c>
      <c r="D61" s="34" t="s">
        <v>116</v>
      </c>
      <c r="E61" s="34" t="s">
        <v>56</v>
      </c>
      <c r="F61" s="50">
        <v>300</v>
      </c>
      <c r="G61" s="50">
        <v>351</v>
      </c>
      <c r="H61" s="50">
        <v>21344</v>
      </c>
      <c r="I61" s="34" t="s">
        <v>57</v>
      </c>
      <c r="J61" s="50">
        <v>21299</v>
      </c>
      <c r="K61" s="34" t="s">
        <v>307</v>
      </c>
      <c r="L61" s="97" t="str">
        <f>VLOOKUP(C61,'Trips&amp;Operators'!$C$1:$E$9999,3,0)</f>
        <v>OUN</v>
      </c>
      <c r="M61" s="141" t="s">
        <v>89</v>
      </c>
      <c r="N61" s="10"/>
      <c r="O61" s="34"/>
      <c r="P61" s="115" t="str">
        <f>VLOOKUP(C61,'Train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61" s="119" t="str">
        <f>VLOOKUP(C61,'Train Runs'!$A$13:$AE$9998,22,0)</f>
        <v>https://search-rtdc-monitor-bjffxe2xuh6vdkpspy63sjmuny.us-east-1.es.amazonaws.com/_plugin/kibana/#/discover/Steve-Slow-Train-Analysis-(2080s-and-2083s)?_g=(refreshInterval:(display:Off,section:0,value:0),time:(from:'2016-08-17 21:17:22-0600',mode:absolute,to:'2016-08-17 23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61" s="122" t="str">
        <f t="shared" si="5"/>
        <v>"C:\Program Files (x86)\AstroGrep\AstroGrep.exe" /spath="%USERPROFILE%\AppData\Local\Temp\OnboardLogs" /stypes="*4007*201608180*" /stext=" 04:.+((SYSTEM_STATE.+slice.+state.+changed )|(ment ac)|(system.+state.+changed )|(\|lc)|(penalty)|(\[timeout)|(PRM\|1\|D)|(kpr)|(kdp))" /e /r /s</v>
      </c>
      <c r="S61" s="9" t="str">
        <f t="shared" si="6"/>
        <v>4007</v>
      </c>
      <c r="T61" s="39">
        <f t="shared" si="7"/>
        <v>42600.18577546296</v>
      </c>
      <c r="U61" s="53" t="str">
        <f t="shared" si="8"/>
        <v>NW</v>
      </c>
      <c r="V61" s="53" t="str">
        <f t="shared" si="9"/>
        <v>KEEP</v>
      </c>
    </row>
    <row r="62" spans="1:22" x14ac:dyDescent="0.25">
      <c r="A62" s="39">
        <v>42599.667650462965</v>
      </c>
      <c r="B62" s="34" t="s">
        <v>169</v>
      </c>
      <c r="C62" s="34" t="s">
        <v>627</v>
      </c>
      <c r="D62" s="34" t="s">
        <v>116</v>
      </c>
      <c r="E62" s="34" t="s">
        <v>56</v>
      </c>
      <c r="F62" s="50">
        <v>400</v>
      </c>
      <c r="G62" s="50">
        <v>451</v>
      </c>
      <c r="H62" s="50">
        <v>43740</v>
      </c>
      <c r="I62" s="34" t="s">
        <v>57</v>
      </c>
      <c r="J62" s="50">
        <v>41797</v>
      </c>
      <c r="K62" s="34" t="s">
        <v>52</v>
      </c>
      <c r="L62" s="97" t="str">
        <f>VLOOKUP(C62,'Trips&amp;Operators'!$C$1:$E$9999,3,0)</f>
        <v>OUN</v>
      </c>
      <c r="M62" s="141" t="s">
        <v>89</v>
      </c>
      <c r="N62" s="10"/>
      <c r="O62" s="34"/>
      <c r="P62" s="115" t="str">
        <f>VLOOKUP(C62,'Train Runs'!$A$13:$AE$9998,31,0)</f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Q62" s="119" t="str">
        <f>VLOOKUP(C62,'Train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62" s="122" t="str">
        <f t="shared" si="5"/>
        <v>"C:\Program Files (x86)\AstroGrep\AstroGrep.exe" /spath="%USERPROFILE%\AppData\Local\Temp\OnboardLogs" /stypes="*4042*201608172*" /stext=" 22:.+((SYSTEM_STATE.+slice.+state.+changed )|(ment ac)|(system.+state.+changed )|(\|lc)|(penalty)|(\[timeout)|(PRM\|1\|D)|(kpr)|(kdp))" /e /r /s</v>
      </c>
      <c r="S62" s="9" t="str">
        <f t="shared" si="6"/>
        <v>4042</v>
      </c>
      <c r="T62" s="39">
        <f t="shared" si="7"/>
        <v>42599.917650462965</v>
      </c>
      <c r="U62" s="53" t="str">
        <f t="shared" si="8"/>
        <v>NW</v>
      </c>
      <c r="V62" s="53" t="str">
        <f t="shared" si="9"/>
        <v>KEEP</v>
      </c>
    </row>
    <row r="63" spans="1:22" x14ac:dyDescent="0.25">
      <c r="A63" s="39">
        <v>42599.350208333337</v>
      </c>
      <c r="B63" s="34" t="s">
        <v>681</v>
      </c>
      <c r="C63" s="34" t="s">
        <v>586</v>
      </c>
      <c r="D63" s="34" t="s">
        <v>49</v>
      </c>
      <c r="E63" s="34" t="s">
        <v>305</v>
      </c>
      <c r="F63" s="50">
        <v>100</v>
      </c>
      <c r="G63" s="50">
        <v>448</v>
      </c>
      <c r="H63" s="50">
        <v>13457</v>
      </c>
      <c r="I63" s="34" t="s">
        <v>218</v>
      </c>
      <c r="J63" s="50">
        <v>11000</v>
      </c>
      <c r="K63" s="34" t="s">
        <v>53</v>
      </c>
      <c r="L63" s="97" t="str">
        <f>VLOOKUP(C63,'Trips&amp;Operators'!$C$1:$E$9999,3,0)</f>
        <v>STARKS</v>
      </c>
      <c r="M63" s="141" t="s">
        <v>89</v>
      </c>
      <c r="N63" s="10"/>
      <c r="O63" s="34"/>
      <c r="P63" s="115" t="str">
        <f>VLOOKUP(C63,'Train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63" s="119" t="str">
        <f>VLOOKUP(C63,'Train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07:14:02-0600',mode:absolute,to:'2016-08-17 09:29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63" s="122" t="str">
        <f t="shared" si="5"/>
        <v>"C:\Program Files (x86)\AstroGrep\AstroGrep.exe" /spath="%USERPROFILE%\AppData\Local\Temp\OnboardLogs" /stypes="*4041*201608171*" /stext=" 14:.+((SYSTEM_STATE.+slice.+state.+changed )|(ment ac)|(system.+state.+changed )|(\|lc)|(penalty)|(\[timeout)|(PRM\|1\|D)|(kpr)|(kdp))" /e /r /s</v>
      </c>
      <c r="S63" s="9" t="str">
        <f t="shared" si="6"/>
        <v>4041</v>
      </c>
      <c r="T63" s="39">
        <f t="shared" si="7"/>
        <v>42599.600208333337</v>
      </c>
      <c r="U63" s="53" t="str">
        <f t="shared" si="8"/>
        <v>NW</v>
      </c>
      <c r="V63" s="53" t="str">
        <f t="shared" si="9"/>
        <v>KEEP</v>
      </c>
    </row>
    <row r="64" spans="1:22" x14ac:dyDescent="0.25">
      <c r="A64" s="39">
        <v>42599.225775462961</v>
      </c>
      <c r="B64" s="34" t="s">
        <v>681</v>
      </c>
      <c r="C64" s="34" t="s">
        <v>562</v>
      </c>
      <c r="D64" s="34" t="s">
        <v>49</v>
      </c>
      <c r="E64" s="34" t="s">
        <v>50</v>
      </c>
      <c r="F64" s="50">
        <v>0</v>
      </c>
      <c r="G64" s="50">
        <v>45</v>
      </c>
      <c r="H64" s="50">
        <v>703</v>
      </c>
      <c r="I64" s="34" t="s">
        <v>51</v>
      </c>
      <c r="J64" s="50">
        <v>575</v>
      </c>
      <c r="K64" s="34" t="s">
        <v>53</v>
      </c>
      <c r="L64" s="97" t="str">
        <f>VLOOKUP(C64,'Trips&amp;Operators'!$C$1:$E$9999,3,0)</f>
        <v>STARKS</v>
      </c>
      <c r="M64" s="141" t="s">
        <v>89</v>
      </c>
      <c r="N64" s="10"/>
      <c r="O64" s="34"/>
      <c r="P64" s="115" t="str">
        <f>VLOOKUP(C64,'Train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64" s="119" t="str">
        <f>VLOOKUP(C64,'Train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04:08:32-0600',mode:absolute,to:'2016-08-17 06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64" s="122" t="str">
        <f t="shared" si="5"/>
        <v>"C:\Program Files (x86)\AstroGrep\AstroGrep.exe" /spath="%USERPROFILE%\AppData\Local\Temp\OnboardLogs" /stypes="*4041*201608171*" /stext=" 11:.+((SYSTEM_STATE.+slice.+state.+changed )|(ment ac)|(system.+state.+changed )|(\|lc)|(penalty)|(\[timeout)|(PRM\|1\|D)|(kpr)|(kdp))" /e /r /s</v>
      </c>
      <c r="S64" s="9" t="str">
        <f t="shared" si="6"/>
        <v>4041</v>
      </c>
      <c r="T64" s="39">
        <f t="shared" si="7"/>
        <v>42599.475775462961</v>
      </c>
      <c r="U64" s="53" t="str">
        <f t="shared" si="8"/>
        <v>NW</v>
      </c>
      <c r="V64" s="53" t="str">
        <f t="shared" si="9"/>
        <v>KEEP</v>
      </c>
    </row>
    <row r="65" spans="1:22" x14ac:dyDescent="0.25">
      <c r="A65" s="39">
        <v>42599.268055555556</v>
      </c>
      <c r="B65" s="34" t="s">
        <v>681</v>
      </c>
      <c r="C65" s="34" t="s">
        <v>567</v>
      </c>
      <c r="D65" s="34" t="s">
        <v>49</v>
      </c>
      <c r="E65" s="34" t="s">
        <v>50</v>
      </c>
      <c r="F65" s="50">
        <v>0</v>
      </c>
      <c r="G65" s="50">
        <v>41</v>
      </c>
      <c r="H65" s="50">
        <v>726</v>
      </c>
      <c r="I65" s="34" t="s">
        <v>51</v>
      </c>
      <c r="J65" s="50">
        <v>575</v>
      </c>
      <c r="K65" s="34" t="s">
        <v>53</v>
      </c>
      <c r="L65" s="97" t="str">
        <f>VLOOKUP(C65,'Trips&amp;Operators'!$C$1:$E$9999,3,0)</f>
        <v>STARKS</v>
      </c>
      <c r="M65" s="141" t="s">
        <v>89</v>
      </c>
      <c r="N65" s="10"/>
      <c r="O65" s="34"/>
      <c r="P65" s="115" t="str">
        <f>VLOOKUP(C65,'Train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65" s="119" t="str">
        <f>VLOOKUP(C65,'Train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05:07:12-0600',mode:absolute,to:'2016-08-17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65" s="122" t="str">
        <f t="shared" si="5"/>
        <v>"C:\Program Files (x86)\AstroGrep\AstroGrep.exe" /spath="%USERPROFILE%\AppData\Local\Temp\OnboardLogs" /stypes="*4041*201608171*" /stext=" 12:.+((SYSTEM_STATE.+slice.+state.+changed )|(ment ac)|(system.+state.+changed )|(\|lc)|(penalty)|(\[timeout)|(PRM\|1\|D)|(kpr)|(kdp))" /e /r /s</v>
      </c>
      <c r="S65" s="9" t="str">
        <f t="shared" si="6"/>
        <v>4041</v>
      </c>
      <c r="T65" s="39">
        <f t="shared" si="7"/>
        <v>42599.518055555556</v>
      </c>
      <c r="U65" s="53" t="str">
        <f t="shared" si="8"/>
        <v>NW</v>
      </c>
      <c r="V65" s="53" t="str">
        <f t="shared" si="9"/>
        <v>KEEP</v>
      </c>
    </row>
    <row r="66" spans="1:22" x14ac:dyDescent="0.25">
      <c r="A66" s="39">
        <v>42599.372025462966</v>
      </c>
      <c r="B66" s="34" t="s">
        <v>198</v>
      </c>
      <c r="C66" s="34" t="s">
        <v>590</v>
      </c>
      <c r="D66" s="34" t="s">
        <v>49</v>
      </c>
      <c r="E66" s="34" t="s">
        <v>50</v>
      </c>
      <c r="F66" s="50">
        <v>0</v>
      </c>
      <c r="G66" s="50">
        <v>22</v>
      </c>
      <c r="H66" s="50">
        <v>647</v>
      </c>
      <c r="I66" s="34" t="s">
        <v>51</v>
      </c>
      <c r="J66" s="50">
        <v>575</v>
      </c>
      <c r="K66" s="34" t="s">
        <v>53</v>
      </c>
      <c r="L66" s="97" t="str">
        <f>VLOOKUP(C66,'Trips&amp;Operators'!$C$1:$E$9999,3,0)</f>
        <v>SWANSON</v>
      </c>
      <c r="M66" s="141" t="s">
        <v>89</v>
      </c>
      <c r="N66" s="10"/>
      <c r="O66" s="34"/>
      <c r="P66" s="115" t="str">
        <f>VLOOKUP(C66,'Train Runs'!$A$13:$AE$9998,31,0)</f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Q66" s="119" t="str">
        <f>VLOOKUP(C66,'Train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07:39:40-0600',mode:absolute,to:'2016-08-17 09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66" s="122" t="str">
        <f t="shared" si="5"/>
        <v>"C:\Program Files (x86)\AstroGrep\AstroGrep.exe" /spath="%USERPROFILE%\AppData\Local\Temp\OnboardLogs" /stypes="*4008*201608171*" /stext=" 14:.+((SYSTEM_STATE.+slice.+state.+changed )|(ment ac)|(system.+state.+changed )|(\|lc)|(penalty)|(\[timeout)|(PRM\|1\|D)|(kpr)|(kdp))" /e /r /s</v>
      </c>
      <c r="S66" s="9" t="str">
        <f t="shared" si="6"/>
        <v>4008</v>
      </c>
      <c r="T66" s="39">
        <f t="shared" si="7"/>
        <v>42599.622025462966</v>
      </c>
      <c r="U66" s="53" t="str">
        <f t="shared" si="8"/>
        <v>NW</v>
      </c>
      <c r="V66" s="53" t="str">
        <f t="shared" si="9"/>
        <v>KEEP</v>
      </c>
    </row>
    <row r="67" spans="1:22" x14ac:dyDescent="0.25">
      <c r="A67" s="39">
        <v>42599.747083333335</v>
      </c>
      <c r="B67" s="34" t="s">
        <v>198</v>
      </c>
      <c r="C67" s="34" t="s">
        <v>642</v>
      </c>
      <c r="D67" s="34" t="s">
        <v>49</v>
      </c>
      <c r="E67" s="34" t="s">
        <v>50</v>
      </c>
      <c r="F67" s="50">
        <v>0</v>
      </c>
      <c r="G67" s="50">
        <v>31</v>
      </c>
      <c r="H67" s="50">
        <v>643</v>
      </c>
      <c r="I67" s="34" t="s">
        <v>51</v>
      </c>
      <c r="J67" s="50">
        <v>575</v>
      </c>
      <c r="K67" s="34" t="s">
        <v>53</v>
      </c>
      <c r="L67" s="97" t="str">
        <f>VLOOKUP(C67,'Trips&amp;Operators'!$C$1:$E$9999,3,0)</f>
        <v>MOSES</v>
      </c>
      <c r="M67" s="141" t="s">
        <v>89</v>
      </c>
      <c r="N67" s="10"/>
      <c r="O67" s="34"/>
      <c r="P67" s="115" t="str">
        <f>VLOOKUP(C67,'Train Runs'!$A$13:$AE$9998,31,0)</f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Q67" s="119" t="str">
        <f>VLOOKUP(C67,'Train Runs'!$A$13:$AE$9998,22,0)</f>
        <v>https://search-rtdc-monitor-bjffxe2xuh6vdkpspy63sjmuny.us-east-1.es.amazonaws.com/_plugin/kibana/#/discover/Steve-Slow-Train-Analysis-(2080s-and-2083s)?_g=(refreshInterval:(display:Off,section:0,value:0),time:(from:'2016-08-17 16:39:01-0600',mode:absolute,to:'2016-08-17 18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67" s="122" t="str">
        <f t="shared" si="5"/>
        <v>"C:\Program Files (x86)\AstroGrep\AstroGrep.exe" /spath="%USERPROFILE%\AppData\Local\Temp\OnboardLogs" /stypes="*4008*201608172*" /stext=" 23:.+((SYSTEM_STATE.+slice.+state.+changed )|(ment ac)|(system.+state.+changed )|(\|lc)|(penalty)|(\[timeout)|(PRM\|1\|D)|(kpr)|(kdp))" /e /r /s</v>
      </c>
      <c r="S67" s="9" t="str">
        <f t="shared" si="6"/>
        <v>4008</v>
      </c>
      <c r="T67" s="39">
        <f t="shared" si="7"/>
        <v>42599.997083333335</v>
      </c>
      <c r="U67" s="53" t="str">
        <f t="shared" si="8"/>
        <v>NW</v>
      </c>
      <c r="V67" s="53" t="str">
        <f t="shared" si="9"/>
        <v>KEEP</v>
      </c>
    </row>
    <row r="68" spans="1:22" x14ac:dyDescent="0.25">
      <c r="A68" s="39">
        <v>42599.650335648148</v>
      </c>
      <c r="B68" s="34" t="s">
        <v>683</v>
      </c>
      <c r="C68" s="34" t="s">
        <v>621</v>
      </c>
      <c r="D68" s="34" t="s">
        <v>49</v>
      </c>
      <c r="E68" s="34" t="s">
        <v>50</v>
      </c>
      <c r="F68" s="50">
        <v>0</v>
      </c>
      <c r="G68" s="50">
        <v>21</v>
      </c>
      <c r="H68" s="50">
        <v>58995</v>
      </c>
      <c r="I68" s="34" t="s">
        <v>51</v>
      </c>
      <c r="J68" s="50">
        <v>59048</v>
      </c>
      <c r="K68" s="34" t="s">
        <v>52</v>
      </c>
      <c r="L68" s="97" t="str">
        <f>VLOOKUP(C68,'Trips&amp;Operators'!$C$1:$E$9999,3,0)</f>
        <v>MOSES</v>
      </c>
      <c r="M68" s="141" t="s">
        <v>89</v>
      </c>
      <c r="N68" s="10"/>
      <c r="O68" s="34"/>
      <c r="P68" s="115" t="str">
        <f>VLOOKUP(C68,'Train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68" s="119" t="str">
        <f>VLOOKUP(C68,'Train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14:16:43-0600',mode:absolute,to:'2016-08-17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68" s="122" t="str">
        <f t="shared" si="5"/>
        <v>"C:\Program Files (x86)\AstroGrep\AstroGrep.exe" /spath="%USERPROFILE%\AppData\Local\Temp\OnboardLogs" /stypes="*4007*201608172*" /stext=" 21:.+((SYSTEM_STATE.+slice.+state.+changed )|(ment ac)|(system.+state.+changed )|(\|lc)|(penalty)|(\[timeout)|(PRM\|1\|D)|(kpr)|(kdp))" /e /r /s</v>
      </c>
      <c r="S68" s="9" t="str">
        <f t="shared" si="6"/>
        <v>4007</v>
      </c>
      <c r="T68" s="39">
        <f t="shared" si="7"/>
        <v>42599.900335648148</v>
      </c>
      <c r="U68" s="53" t="str">
        <f t="shared" si="8"/>
        <v>NW</v>
      </c>
      <c r="V68" s="53" t="str">
        <f t="shared" si="9"/>
        <v>KEEP</v>
      </c>
    </row>
    <row r="69" spans="1:22" x14ac:dyDescent="0.25">
      <c r="A69" s="39">
        <v>42599.671180555553</v>
      </c>
      <c r="B69" s="34" t="s">
        <v>169</v>
      </c>
      <c r="C69" s="34" t="s">
        <v>627</v>
      </c>
      <c r="D69" s="34" t="s">
        <v>49</v>
      </c>
      <c r="E69" s="34" t="s">
        <v>50</v>
      </c>
      <c r="F69" s="50">
        <v>0</v>
      </c>
      <c r="G69" s="50">
        <v>50</v>
      </c>
      <c r="H69" s="50">
        <v>58918</v>
      </c>
      <c r="I69" s="34" t="s">
        <v>51</v>
      </c>
      <c r="J69" s="50">
        <v>59048</v>
      </c>
      <c r="K69" s="34" t="s">
        <v>52</v>
      </c>
      <c r="L69" s="97" t="str">
        <f>VLOOKUP(C69,'Trips&amp;Operators'!$C$1:$E$9999,3,0)</f>
        <v>OUN</v>
      </c>
      <c r="M69" s="141" t="s">
        <v>89</v>
      </c>
      <c r="N69" s="10"/>
      <c r="O69" s="34"/>
      <c r="P69" s="115" t="str">
        <f>VLOOKUP(C69,'Train Runs'!$A$13:$AE$9998,31,0)</f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Q69" s="119" t="str">
        <f>VLOOKUP(C69,'Train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69" s="122" t="str">
        <f t="shared" si="5"/>
        <v>"C:\Program Files (x86)\AstroGrep\AstroGrep.exe" /spath="%USERPROFILE%\AppData\Local\Temp\OnboardLogs" /stypes="*4042*201608172*" /stext=" 22:.+((SYSTEM_STATE.+slice.+state.+changed )|(ment ac)|(system.+state.+changed )|(\|lc)|(penalty)|(\[timeout)|(PRM\|1\|D)|(kpr)|(kdp))" /e /r /s</v>
      </c>
      <c r="S69" s="9" t="str">
        <f t="shared" si="6"/>
        <v>4042</v>
      </c>
      <c r="T69" s="39">
        <f t="shared" si="7"/>
        <v>42599.921180555553</v>
      </c>
      <c r="U69" s="53" t="str">
        <f t="shared" si="8"/>
        <v>NW</v>
      </c>
      <c r="V69" s="53" t="str">
        <f t="shared" si="9"/>
        <v>KEEP</v>
      </c>
    </row>
    <row r="70" spans="1:22" x14ac:dyDescent="0.25">
      <c r="A70" s="39">
        <v>42599.733842592592</v>
      </c>
      <c r="B70" s="34" t="s">
        <v>683</v>
      </c>
      <c r="C70" s="34" t="s">
        <v>640</v>
      </c>
      <c r="D70" s="34" t="s">
        <v>49</v>
      </c>
      <c r="E70" s="34" t="s">
        <v>50</v>
      </c>
      <c r="F70" s="50">
        <v>0</v>
      </c>
      <c r="G70" s="50">
        <v>31</v>
      </c>
      <c r="H70" s="50">
        <v>58960</v>
      </c>
      <c r="I70" s="34" t="s">
        <v>51</v>
      </c>
      <c r="J70" s="50">
        <v>59048</v>
      </c>
      <c r="K70" s="34" t="s">
        <v>52</v>
      </c>
      <c r="L70" s="97" t="str">
        <f>VLOOKUP(C70,'Trips&amp;Operators'!$C$1:$E$9999,3,0)</f>
        <v>MOSES</v>
      </c>
      <c r="M70" s="141" t="s">
        <v>89</v>
      </c>
      <c r="N70" s="10"/>
      <c r="O70" s="34"/>
      <c r="P70" s="115" t="str">
        <f>VLOOKUP(C70,'Train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70" s="119" t="str">
        <f>VLOOKUP(C70,'Train Runs'!$A$13:$AE$9998,22,0)</f>
        <v>https://search-rtdc-monitor-bjffxe2xuh6vdkpspy63sjmuny.us-east-1.es.amazonaws.com/_plugin/kibana/#/discover/Steve-Slow-Train-Analysis-(2080s-and-2083s)?_g=(refreshInterval:(display:Off,section:0,value:0),time:(from:'2016-08-17 16:14:38-0600',mode:absolute,to:'2016-08-17 18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70" s="122" t="str">
        <f t="shared" si="5"/>
        <v>"C:\Program Files (x86)\AstroGrep\AstroGrep.exe" /spath="%USERPROFILE%\AppData\Local\Temp\OnboardLogs" /stypes="*4007*201608172*" /stext=" 23:.+((SYSTEM_STATE.+slice.+state.+changed )|(ment ac)|(system.+state.+changed )|(\|lc)|(penalty)|(\[timeout)|(PRM\|1\|D)|(kpr)|(kdp))" /e /r /s</v>
      </c>
      <c r="S70" s="9" t="str">
        <f t="shared" si="6"/>
        <v>4007</v>
      </c>
      <c r="T70" s="39">
        <f t="shared" si="7"/>
        <v>42599.983842592592</v>
      </c>
      <c r="U70" s="53" t="str">
        <f t="shared" si="8"/>
        <v>NW</v>
      </c>
      <c r="V70" s="53" t="str">
        <f t="shared" si="9"/>
        <v>KEEP</v>
      </c>
    </row>
    <row r="71" spans="1:22" x14ac:dyDescent="0.25">
      <c r="A71" s="39">
        <v>42599.645486111112</v>
      </c>
      <c r="B71" s="34" t="s">
        <v>681</v>
      </c>
      <c r="C71" s="34" t="s">
        <v>671</v>
      </c>
      <c r="D71" s="34" t="s">
        <v>116</v>
      </c>
      <c r="E71" s="34" t="s">
        <v>54</v>
      </c>
      <c r="F71" s="50">
        <v>0</v>
      </c>
      <c r="G71" s="50">
        <v>76</v>
      </c>
      <c r="H71" s="50">
        <v>24120</v>
      </c>
      <c r="I71" s="34" t="s">
        <v>55</v>
      </c>
      <c r="J71" s="50">
        <v>24199</v>
      </c>
      <c r="K71" s="34" t="s">
        <v>53</v>
      </c>
      <c r="L71" s="97" t="str">
        <f>VLOOKUP(C71,'Trips&amp;Operators'!$C$1:$E$9999,3,0)</f>
        <v>OUN</v>
      </c>
      <c r="M71" s="141" t="s">
        <v>89</v>
      </c>
      <c r="N71" s="10"/>
      <c r="O71" s="34"/>
      <c r="P71" s="115" t="str">
        <f>VLOOKUP(C71,'Train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71" s="119" t="str">
        <f>VLOOKUP(C71,'Train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14:24:35-0600',mode:absolute,to:'2016-08-17 16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71" s="122" t="str">
        <f t="shared" ref="R71:R102" si="10">astrogrep_path&amp;" /spath="&amp;search_path&amp;" /stypes=""*"&amp;S71&amp;"*"&amp;TEXT(A71-utc_offset/24,"YYYYMMDD")&amp;LEFT(TEXT(A71-utc_offset/24,"HH"),1)&amp;"*""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/stypes="*4041*201608172*" /stext=" 21:.+((SYSTEM_STATE.+slice.+state.+changed )|(ment ac)|(system.+state.+changed )|(\|lc)|(penalty)|(\[timeout)|(PRM\|1\|D)|(kpr)|(kdp))" /e /r /s</v>
      </c>
      <c r="S71" s="9" t="str">
        <f t="shared" si="6"/>
        <v>4041</v>
      </c>
      <c r="T71" s="39">
        <f t="shared" si="7"/>
        <v>42599.895486111112</v>
      </c>
      <c r="U71" s="53" t="str">
        <f t="shared" si="8"/>
        <v>Other</v>
      </c>
      <c r="V71" s="53" t="str">
        <f t="shared" si="9"/>
        <v>KEEP</v>
      </c>
    </row>
    <row r="72" spans="1:22" x14ac:dyDescent="0.25">
      <c r="A72" s="39">
        <v>42599.169687499998</v>
      </c>
      <c r="B72" s="34" t="s">
        <v>202</v>
      </c>
      <c r="C72" s="34" t="s">
        <v>545</v>
      </c>
      <c r="D72" s="34" t="s">
        <v>49</v>
      </c>
      <c r="E72" s="34" t="s">
        <v>50</v>
      </c>
      <c r="F72" s="50">
        <v>0</v>
      </c>
      <c r="G72" s="50">
        <v>29</v>
      </c>
      <c r="H72" s="50">
        <v>103</v>
      </c>
      <c r="I72" s="34" t="s">
        <v>51</v>
      </c>
      <c r="J72" s="50">
        <v>1</v>
      </c>
      <c r="K72" s="34" t="s">
        <v>53</v>
      </c>
      <c r="L72" s="97" t="str">
        <f>VLOOKUP(C72,'Trips&amp;Operators'!$C$1:$E$9999,3,0)</f>
        <v>STRICKLAND</v>
      </c>
      <c r="M72" s="141" t="s">
        <v>89</v>
      </c>
      <c r="N72" s="10"/>
      <c r="O72" s="34"/>
      <c r="P72" s="115" t="str">
        <f>VLOOKUP(C72,'Train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72" s="119" t="str">
        <f>VLOOKUP(C72,'Train Runs'!$A$13:$AE$9998,22,0)</f>
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2" s="122" t="str">
        <f t="shared" si="10"/>
        <v>"C:\Program Files (x86)\AstroGrep\AstroGrep.exe" /spath="%USERPROFILE%\AppData\Local\Temp\OnboardLogs" /stypes="*4019*201608171*" /stext=" 10:.+((SYSTEM_STATE.+slice.+state.+changed )|(ment ac)|(system.+state.+changed )|(\|lc)|(penalty)|(\[timeout)|(PRM\|1\|D)|(kpr)|(kdp))" /e /r /s</v>
      </c>
      <c r="S72" s="9" t="str">
        <f t="shared" si="6"/>
        <v>4019</v>
      </c>
      <c r="T72" s="39">
        <f t="shared" si="7"/>
        <v>42599.419687499998</v>
      </c>
      <c r="U72" s="53" t="str">
        <f t="shared" si="8"/>
        <v>Other</v>
      </c>
      <c r="V72" s="53" t="str">
        <f t="shared" si="9"/>
        <v>KEEP</v>
      </c>
    </row>
    <row r="73" spans="1:22" x14ac:dyDescent="0.25">
      <c r="A73" s="39">
        <v>42599.170092592591</v>
      </c>
      <c r="B73" s="34" t="s">
        <v>202</v>
      </c>
      <c r="C73" s="34" t="s">
        <v>545</v>
      </c>
      <c r="D73" s="34" t="s">
        <v>49</v>
      </c>
      <c r="E73" s="34" t="s">
        <v>50</v>
      </c>
      <c r="F73" s="50">
        <v>0</v>
      </c>
      <c r="G73" s="50">
        <v>17</v>
      </c>
      <c r="H73" s="50">
        <v>52</v>
      </c>
      <c r="I73" s="34" t="s">
        <v>51</v>
      </c>
      <c r="J73" s="50">
        <v>1</v>
      </c>
      <c r="K73" s="34" t="s">
        <v>53</v>
      </c>
      <c r="L73" s="97" t="str">
        <f>VLOOKUP(C73,'Trips&amp;Operators'!$C$1:$E$9999,3,0)</f>
        <v>STRICKLAND</v>
      </c>
      <c r="M73" s="141" t="s">
        <v>89</v>
      </c>
      <c r="N73" s="10"/>
      <c r="O73" s="34"/>
      <c r="P73" s="115" t="str">
        <f>VLOOKUP(C73,'Train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73" s="119" t="str">
        <f>VLOOKUP(C73,'Train Runs'!$A$13:$AE$9998,22,0)</f>
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3" s="122" t="str">
        <f t="shared" si="10"/>
        <v>"C:\Program Files (x86)\AstroGrep\AstroGrep.exe" /spath="%USERPROFILE%\AppData\Local\Temp\OnboardLogs" /stypes="*4019*201608171*" /stext=" 10:.+((SYSTEM_STATE.+slice.+state.+changed )|(ment ac)|(system.+state.+changed )|(\|lc)|(penalty)|(\[timeout)|(PRM\|1\|D)|(kpr)|(kdp))" /e /r /s</v>
      </c>
      <c r="S73" s="9" t="str">
        <f t="shared" si="6"/>
        <v>4019</v>
      </c>
      <c r="T73" s="39">
        <f t="shared" si="7"/>
        <v>42599.420092592591</v>
      </c>
      <c r="U73" s="53" t="str">
        <f t="shared" si="8"/>
        <v>Other</v>
      </c>
      <c r="V73" s="53" t="str">
        <f t="shared" si="9"/>
        <v>KEEP</v>
      </c>
    </row>
    <row r="74" spans="1:22" x14ac:dyDescent="0.25">
      <c r="A74" s="39"/>
      <c r="B74" s="34"/>
      <c r="C74" s="34"/>
      <c r="D74" s="34"/>
      <c r="E74" s="34"/>
      <c r="F74" s="50"/>
      <c r="G74" s="50"/>
      <c r="H74" s="50"/>
      <c r="I74" s="34"/>
      <c r="J74" s="50"/>
      <c r="K74" s="34"/>
      <c r="L74" s="97"/>
      <c r="M74" s="141"/>
      <c r="N74" s="10"/>
      <c r="O74" s="34"/>
      <c r="P74" s="115"/>
      <c r="Q74" s="119"/>
      <c r="R74" s="122"/>
      <c r="S74" s="9"/>
      <c r="T74" s="39"/>
      <c r="U74" s="53"/>
      <c r="V74" s="53"/>
    </row>
    <row r="75" spans="1:22" x14ac:dyDescent="0.25">
      <c r="A75" s="39"/>
      <c r="B75" s="34"/>
      <c r="C75" s="34"/>
      <c r="D75" s="34"/>
      <c r="E75" s="34"/>
      <c r="F75" s="50"/>
      <c r="G75" s="50"/>
      <c r="H75" s="50"/>
      <c r="I75" s="34"/>
      <c r="J75" s="50"/>
      <c r="K75" s="34"/>
      <c r="L75" s="97"/>
      <c r="M75" s="141"/>
      <c r="N75" s="10"/>
      <c r="O75" s="34"/>
      <c r="P75" s="115"/>
      <c r="Q75" s="119"/>
      <c r="R75" s="122"/>
      <c r="S75" s="9"/>
      <c r="T75" s="39"/>
      <c r="U75" s="53"/>
      <c r="V75" s="53"/>
    </row>
  </sheetData>
  <autoFilter ref="A6:V73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8" priority="14" operator="equal">
      <formula>"Y"</formula>
    </cfRule>
  </conditionalFormatting>
  <conditionalFormatting sqref="A7:N75">
    <cfRule type="expression" dxfId="7" priority="7">
      <formula>$M7="Y"</formula>
    </cfRule>
  </conditionalFormatting>
  <conditionalFormatting sqref="M2:M3">
    <cfRule type="cellIs" dxfId="6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C37" sqref="C37"/>
    </sheetView>
  </sheetViews>
  <sheetFormatPr defaultRowHeight="15" x14ac:dyDescent="0.25"/>
  <cols>
    <col min="1" max="1" width="9.140625" style="71" customWidth="1"/>
    <col min="2" max="2" width="8" style="139" bestFit="1" customWidth="1"/>
    <col min="3" max="3" width="9.85546875" style="130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1" t="str">
        <f>"Trips that did not appear in PTC Data "&amp;TEXT(Variables!$A$2,"YYYY-mm-dd")</f>
        <v>Trips that did not appear in PTC Data 2016-08-18</v>
      </c>
      <c r="B1" s="151"/>
      <c r="C1" s="151"/>
      <c r="D1" s="151"/>
      <c r="E1" s="151"/>
    </row>
    <row r="2" spans="1:10" s="27" customFormat="1" ht="45" x14ac:dyDescent="0.25">
      <c r="A2" s="112" t="s">
        <v>66</v>
      </c>
      <c r="B2" s="136" t="s">
        <v>67</v>
      </c>
      <c r="C2" s="137" t="s">
        <v>68</v>
      </c>
      <c r="D2" s="27" t="s">
        <v>64</v>
      </c>
      <c r="E2" s="27" t="s">
        <v>65</v>
      </c>
      <c r="F2" s="27" t="s">
        <v>69</v>
      </c>
      <c r="G2" s="32" t="s">
        <v>70</v>
      </c>
      <c r="H2" s="32" t="s">
        <v>127</v>
      </c>
    </row>
    <row r="3" spans="1:10" x14ac:dyDescent="0.25">
      <c r="A3" s="40"/>
      <c r="B3" s="138"/>
      <c r="C3" s="138"/>
      <c r="D3" s="53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40"/>
      <c r="B4" s="138"/>
      <c r="C4" s="138"/>
      <c r="D4" s="53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40"/>
      <c r="B5" s="138"/>
      <c r="C5" s="138"/>
      <c r="D5" s="53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40"/>
      <c r="B6" s="138"/>
      <c r="C6" s="138"/>
      <c r="D6" s="53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77"/>
      <c r="B7" s="138"/>
      <c r="C7" s="138"/>
      <c r="D7" s="53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77"/>
      <c r="B8" s="138"/>
      <c r="C8" s="138"/>
      <c r="D8" s="53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3"/>
      <c r="C9" s="123"/>
      <c r="H9" s="24"/>
      <c r="I9" s="24"/>
      <c r="J9" s="24"/>
    </row>
    <row r="10" spans="1:10" x14ac:dyDescent="0.25">
      <c r="B10" s="123"/>
      <c r="C10" s="123"/>
      <c r="H10" s="24"/>
      <c r="I10" s="24"/>
      <c r="J10" s="24"/>
    </row>
    <row r="11" spans="1:10" x14ac:dyDescent="0.25">
      <c r="B11" s="123"/>
      <c r="C11" s="123"/>
      <c r="H11" s="24"/>
      <c r="I11" s="24"/>
      <c r="J11" s="24"/>
    </row>
    <row r="12" spans="1:10" x14ac:dyDescent="0.25">
      <c r="B12" s="123"/>
      <c r="C12" s="123"/>
      <c r="H12" s="24"/>
      <c r="I12" s="24"/>
      <c r="J12" s="24"/>
    </row>
    <row r="13" spans="1:10" x14ac:dyDescent="0.25">
      <c r="B13" s="123"/>
      <c r="C13" s="123"/>
      <c r="H13" s="24"/>
      <c r="I13" s="24"/>
      <c r="J13" s="24"/>
    </row>
    <row r="14" spans="1:10" x14ac:dyDescent="0.25">
      <c r="B14" s="123"/>
      <c r="C14" s="123"/>
      <c r="H14" s="24"/>
      <c r="I14" s="24"/>
      <c r="J14" s="24"/>
    </row>
    <row r="15" spans="1:10" x14ac:dyDescent="0.25">
      <c r="B15" s="123"/>
      <c r="C15" s="123"/>
      <c r="H15" s="24"/>
      <c r="I15" s="24"/>
      <c r="J15" s="24"/>
    </row>
    <row r="16" spans="1:10" x14ac:dyDescent="0.25">
      <c r="B16" s="123"/>
      <c r="C16" s="123"/>
      <c r="H16" s="24"/>
      <c r="I16" s="24"/>
      <c r="J16" s="24"/>
    </row>
    <row r="17" spans="2:10" x14ac:dyDescent="0.25">
      <c r="B17" s="123"/>
      <c r="C17" s="123"/>
      <c r="H17" s="24"/>
      <c r="I17" s="24"/>
      <c r="J17" s="24"/>
    </row>
    <row r="18" spans="2:10" x14ac:dyDescent="0.25">
      <c r="B18" s="123"/>
      <c r="C18" s="123"/>
      <c r="H18" s="24"/>
      <c r="I18" s="24"/>
      <c r="J18" s="24"/>
    </row>
    <row r="19" spans="2:10" x14ac:dyDescent="0.25">
      <c r="B19" s="123"/>
      <c r="C19" s="123"/>
      <c r="H19" s="24"/>
      <c r="I19" s="24"/>
      <c r="J19" s="24"/>
    </row>
    <row r="20" spans="2:10" x14ac:dyDescent="0.25">
      <c r="B20" s="123"/>
      <c r="C20" s="123"/>
      <c r="H20" s="24"/>
      <c r="I20" s="24"/>
      <c r="J20" s="24"/>
    </row>
    <row r="21" spans="2:10" x14ac:dyDescent="0.25">
      <c r="B21" s="123"/>
      <c r="C21" s="123"/>
      <c r="H21" s="24"/>
      <c r="I21" s="24"/>
      <c r="J21" s="24"/>
    </row>
    <row r="22" spans="2:10" x14ac:dyDescent="0.25">
      <c r="B22" s="123"/>
      <c r="C22" s="123"/>
      <c r="H22" s="24"/>
      <c r="I22" s="24"/>
      <c r="J22" s="24"/>
    </row>
    <row r="23" spans="2:10" x14ac:dyDescent="0.25">
      <c r="B23" s="123"/>
      <c r="C23" s="123"/>
      <c r="H23" s="24"/>
      <c r="I23" s="24"/>
      <c r="J23" s="24"/>
    </row>
    <row r="24" spans="2:10" x14ac:dyDescent="0.25">
      <c r="B24" s="123"/>
      <c r="C24" s="123"/>
      <c r="H24" s="24"/>
      <c r="I24" s="24"/>
      <c r="J24" s="24"/>
    </row>
    <row r="25" spans="2:10" x14ac:dyDescent="0.25">
      <c r="B25" s="123"/>
      <c r="C25" s="123"/>
      <c r="H25" s="24"/>
      <c r="I25" s="24"/>
      <c r="J25" s="24"/>
    </row>
    <row r="26" spans="2:10" x14ac:dyDescent="0.25">
      <c r="B26" s="123"/>
      <c r="C26" s="123"/>
      <c r="H26" s="24"/>
      <c r="I26" s="24"/>
      <c r="J26" s="24"/>
    </row>
    <row r="27" spans="2:10" x14ac:dyDescent="0.25">
      <c r="B27" s="123"/>
      <c r="C27" s="123"/>
      <c r="H27" s="24"/>
      <c r="I27" s="24"/>
      <c r="J27" s="24"/>
    </row>
    <row r="28" spans="2:10" x14ac:dyDescent="0.25">
      <c r="B28" s="123"/>
      <c r="C28" s="123"/>
      <c r="H28" s="24"/>
      <c r="I28" s="24"/>
      <c r="J28" s="24"/>
    </row>
    <row r="29" spans="2:10" x14ac:dyDescent="0.25">
      <c r="B29" s="123"/>
      <c r="C29" s="123"/>
      <c r="H29" s="24"/>
      <c r="I29" s="24"/>
      <c r="J29" s="24"/>
    </row>
    <row r="30" spans="2:10" x14ac:dyDescent="0.25">
      <c r="B30" s="123"/>
      <c r="C30" s="123"/>
      <c r="H30" s="24"/>
      <c r="I30" s="24"/>
      <c r="J30" s="24"/>
    </row>
    <row r="31" spans="2:10" x14ac:dyDescent="0.25">
      <c r="B31" s="123"/>
      <c r="C31" s="123"/>
      <c r="H31" s="24"/>
      <c r="I31" s="24"/>
      <c r="J31" s="24"/>
    </row>
    <row r="32" spans="2:10" x14ac:dyDescent="0.25">
      <c r="B32" s="123"/>
      <c r="C32" s="123"/>
      <c r="H32" s="24"/>
      <c r="I32" s="24"/>
      <c r="J32" s="24"/>
    </row>
    <row r="33" spans="2:10" x14ac:dyDescent="0.25">
      <c r="B33" s="123"/>
      <c r="C33" s="123"/>
      <c r="H33" s="24"/>
      <c r="I33" s="24"/>
      <c r="J33" s="24"/>
    </row>
    <row r="34" spans="2:10" x14ac:dyDescent="0.25">
      <c r="B34" s="123"/>
      <c r="C34" s="123"/>
      <c r="H34" s="24"/>
      <c r="I34" s="24"/>
      <c r="J34" s="24"/>
    </row>
    <row r="35" spans="2:10" x14ac:dyDescent="0.25">
      <c r="B35" s="123"/>
      <c r="C35" s="123"/>
      <c r="H35" s="24"/>
      <c r="I35" s="24"/>
      <c r="J35" s="24"/>
    </row>
    <row r="36" spans="2:10" x14ac:dyDescent="0.25">
      <c r="B36" s="123"/>
      <c r="C36" s="123"/>
      <c r="H36" s="24"/>
      <c r="I36" s="24"/>
      <c r="J36" s="24"/>
    </row>
    <row r="37" spans="2:10" x14ac:dyDescent="0.25">
      <c r="B37" s="123"/>
      <c r="C37" s="123"/>
      <c r="H37" s="24"/>
      <c r="I37" s="24"/>
      <c r="J37" s="24"/>
    </row>
    <row r="38" spans="2:10" x14ac:dyDescent="0.25">
      <c r="B38" s="123"/>
      <c r="C38" s="123"/>
      <c r="H38" s="24"/>
      <c r="I38" s="24"/>
      <c r="J38" s="24"/>
    </row>
    <row r="39" spans="2:10" x14ac:dyDescent="0.25">
      <c r="B39" s="123"/>
      <c r="C39" s="123"/>
      <c r="H39" s="24"/>
      <c r="I39" s="24"/>
      <c r="J39" s="24"/>
    </row>
    <row r="40" spans="2:10" x14ac:dyDescent="0.25">
      <c r="B40" s="123"/>
      <c r="C40" s="123"/>
      <c r="H40" s="24"/>
      <c r="I40" s="24"/>
      <c r="J40" s="24"/>
    </row>
    <row r="41" spans="2:10" x14ac:dyDescent="0.25">
      <c r="B41" s="123"/>
      <c r="C41" s="123"/>
      <c r="H41" s="24"/>
      <c r="I41" s="24"/>
      <c r="J41" s="24"/>
    </row>
    <row r="42" spans="2:10" x14ac:dyDescent="0.25">
      <c r="B42" s="123"/>
      <c r="C42" s="123"/>
      <c r="H42" s="24"/>
      <c r="I42" s="24"/>
      <c r="J42" s="24"/>
    </row>
    <row r="43" spans="2:10" x14ac:dyDescent="0.25">
      <c r="B43" s="123"/>
      <c r="C43" s="123"/>
      <c r="H43" s="24"/>
      <c r="I43" s="24"/>
      <c r="J43" s="24"/>
    </row>
    <row r="44" spans="2:10" x14ac:dyDescent="0.25">
      <c r="B44" s="123"/>
      <c r="C44" s="123"/>
      <c r="H44" s="24"/>
      <c r="I44" s="24"/>
      <c r="J44" s="24"/>
    </row>
    <row r="45" spans="2:10" x14ac:dyDescent="0.25">
      <c r="B45" s="123"/>
      <c r="C45" s="123"/>
      <c r="H45" s="24"/>
      <c r="I45" s="24"/>
      <c r="J45" s="24"/>
    </row>
    <row r="46" spans="2:10" x14ac:dyDescent="0.25">
      <c r="B46" s="123"/>
      <c r="C46" s="123"/>
      <c r="H46" s="24"/>
      <c r="I46" s="24"/>
      <c r="J46" s="24"/>
    </row>
    <row r="47" spans="2:10" x14ac:dyDescent="0.25">
      <c r="B47" s="123"/>
      <c r="C47" s="123"/>
      <c r="H47" s="24"/>
      <c r="I47" s="24"/>
      <c r="J47" s="24"/>
    </row>
    <row r="48" spans="2:10" x14ac:dyDescent="0.25">
      <c r="B48" s="123"/>
      <c r="C48" s="123"/>
      <c r="H48" s="24"/>
      <c r="I48" s="24"/>
      <c r="J48" s="24"/>
    </row>
    <row r="49" spans="2:10" x14ac:dyDescent="0.25">
      <c r="B49" s="123"/>
      <c r="C49" s="123"/>
      <c r="H49" s="24"/>
      <c r="I49" s="24"/>
      <c r="J49" s="24"/>
    </row>
    <row r="50" spans="2:10" x14ac:dyDescent="0.25">
      <c r="B50" s="123"/>
      <c r="C50" s="123"/>
      <c r="H50" s="24"/>
      <c r="I50" s="24"/>
      <c r="J50" s="24"/>
    </row>
    <row r="51" spans="2:10" x14ac:dyDescent="0.25">
      <c r="B51" s="123"/>
      <c r="C51" s="123"/>
      <c r="H51" s="24"/>
      <c r="I51" s="24"/>
      <c r="J51" s="24"/>
    </row>
    <row r="52" spans="2:10" x14ac:dyDescent="0.25">
      <c r="B52" s="123"/>
      <c r="C52" s="123"/>
      <c r="H52" s="24"/>
      <c r="I52" s="24"/>
      <c r="J52" s="24"/>
    </row>
    <row r="53" spans="2:10" x14ac:dyDescent="0.25">
      <c r="B53" s="123"/>
      <c r="C53" s="123"/>
      <c r="H53" s="24"/>
      <c r="I53" s="24"/>
      <c r="J53" s="24"/>
    </row>
    <row r="54" spans="2:10" x14ac:dyDescent="0.25">
      <c r="B54" s="123"/>
      <c r="C54" s="123"/>
      <c r="H54" s="24"/>
      <c r="I54" s="24"/>
      <c r="J54" s="24"/>
    </row>
    <row r="55" spans="2:10" x14ac:dyDescent="0.25">
      <c r="B55" s="123"/>
      <c r="C55" s="123"/>
      <c r="H55" s="24"/>
      <c r="I55" s="24"/>
      <c r="J55" s="24"/>
    </row>
    <row r="56" spans="2:10" x14ac:dyDescent="0.25">
      <c r="B56" s="123"/>
      <c r="C56" s="123"/>
      <c r="H56" s="24"/>
      <c r="I56" s="24"/>
      <c r="J56" s="24"/>
    </row>
    <row r="57" spans="2:10" x14ac:dyDescent="0.25">
      <c r="B57" s="123"/>
      <c r="C57" s="123"/>
      <c r="H57" s="24"/>
      <c r="I57" s="24"/>
      <c r="J57" s="24"/>
    </row>
    <row r="58" spans="2:10" x14ac:dyDescent="0.25">
      <c r="B58" s="123"/>
      <c r="C58" s="123"/>
      <c r="H58" s="24"/>
      <c r="I58" s="24"/>
      <c r="J58" s="24"/>
    </row>
    <row r="59" spans="2:10" x14ac:dyDescent="0.25">
      <c r="B59" s="123"/>
      <c r="C59" s="123"/>
      <c r="H59" s="24"/>
      <c r="I59" s="24"/>
      <c r="J59" s="24"/>
    </row>
    <row r="60" spans="2:10" x14ac:dyDescent="0.25">
      <c r="B60" s="123"/>
      <c r="C60" s="123"/>
      <c r="H60" s="24"/>
      <c r="I60" s="24"/>
      <c r="J60" s="24"/>
    </row>
    <row r="61" spans="2:10" x14ac:dyDescent="0.25">
      <c r="B61" s="123"/>
      <c r="C61" s="123"/>
      <c r="H61" s="24"/>
      <c r="I61" s="24"/>
      <c r="J61" s="24"/>
    </row>
    <row r="62" spans="2:10" x14ac:dyDescent="0.25">
      <c r="B62" s="123"/>
      <c r="C62" s="123"/>
      <c r="H62" s="24"/>
      <c r="I62" s="24"/>
      <c r="J62" s="24"/>
    </row>
    <row r="63" spans="2:10" x14ac:dyDescent="0.25">
      <c r="B63" s="123"/>
      <c r="C63" s="123"/>
      <c r="H63" s="24"/>
      <c r="I63" s="24"/>
      <c r="J63" s="24"/>
    </row>
    <row r="64" spans="2:10" x14ac:dyDescent="0.25">
      <c r="B64" s="123"/>
      <c r="C64" s="123"/>
      <c r="H64" s="24"/>
      <c r="I64" s="24"/>
      <c r="J64" s="24"/>
    </row>
    <row r="65" spans="2:10" x14ac:dyDescent="0.25">
      <c r="B65" s="123"/>
      <c r="C65" s="123"/>
      <c r="H65" s="24"/>
      <c r="I65" s="24"/>
      <c r="J65" s="24"/>
    </row>
    <row r="66" spans="2:10" x14ac:dyDescent="0.25">
      <c r="B66" s="123"/>
      <c r="C66" s="123"/>
      <c r="H66" s="24"/>
      <c r="I66" s="24"/>
      <c r="J66" s="24"/>
    </row>
    <row r="67" spans="2:10" x14ac:dyDescent="0.25">
      <c r="B67" s="123"/>
      <c r="C67" s="123"/>
      <c r="H67" s="24"/>
      <c r="I67" s="24"/>
      <c r="J67" s="24"/>
    </row>
    <row r="68" spans="2:10" x14ac:dyDescent="0.25">
      <c r="B68" s="123"/>
      <c r="C68" s="123"/>
      <c r="H68" s="24"/>
      <c r="I68" s="24"/>
      <c r="J68" s="24"/>
    </row>
    <row r="69" spans="2:10" x14ac:dyDescent="0.25">
      <c r="B69" s="123"/>
      <c r="C69" s="123"/>
      <c r="H69" s="24"/>
      <c r="I69" s="24"/>
      <c r="J69" s="24"/>
    </row>
    <row r="70" spans="2:10" x14ac:dyDescent="0.25">
      <c r="B70" s="123"/>
      <c r="C70" s="123"/>
      <c r="H70" s="24"/>
      <c r="I70" s="24"/>
      <c r="J70" s="24"/>
    </row>
    <row r="71" spans="2:10" x14ac:dyDescent="0.25">
      <c r="B71" s="123"/>
      <c r="C71" s="123"/>
      <c r="H71" s="24"/>
      <c r="I71" s="24"/>
      <c r="J71" s="24"/>
    </row>
    <row r="72" spans="2:10" x14ac:dyDescent="0.25">
      <c r="B72" s="123"/>
      <c r="C72" s="123"/>
      <c r="H72" s="24"/>
      <c r="I72" s="24"/>
      <c r="J72" s="24"/>
    </row>
    <row r="73" spans="2:10" x14ac:dyDescent="0.25">
      <c r="B73" s="123"/>
      <c r="C73" s="123"/>
      <c r="H73" s="24"/>
      <c r="I73" s="24"/>
      <c r="J73" s="24"/>
    </row>
    <row r="74" spans="2:10" x14ac:dyDescent="0.25">
      <c r="B74" s="123"/>
      <c r="C74" s="123"/>
      <c r="H74" s="24"/>
      <c r="I74" s="24"/>
      <c r="J74" s="24"/>
    </row>
    <row r="75" spans="2:10" x14ac:dyDescent="0.25">
      <c r="B75" s="123"/>
      <c r="C75" s="123"/>
      <c r="H75" s="24"/>
      <c r="I75" s="24"/>
      <c r="J75" s="24"/>
    </row>
    <row r="76" spans="2:10" x14ac:dyDescent="0.25">
      <c r="B76" s="123"/>
      <c r="C76" s="123"/>
      <c r="H76" s="24"/>
      <c r="I76" s="24"/>
      <c r="J76" s="24"/>
    </row>
    <row r="77" spans="2:10" x14ac:dyDescent="0.25">
      <c r="B77" s="123"/>
      <c r="C77" s="123"/>
      <c r="H77" s="24"/>
      <c r="I77" s="24"/>
      <c r="J77" s="24"/>
    </row>
    <row r="78" spans="2:10" x14ac:dyDescent="0.25">
      <c r="B78" s="123"/>
      <c r="C78" s="123"/>
      <c r="H78" s="24"/>
      <c r="I78" s="24"/>
      <c r="J78" s="24"/>
    </row>
    <row r="79" spans="2:10" x14ac:dyDescent="0.25">
      <c r="B79" s="123"/>
      <c r="C79" s="123"/>
      <c r="H79" s="24"/>
      <c r="I79" s="24"/>
      <c r="J79" s="24"/>
    </row>
    <row r="80" spans="2:10" x14ac:dyDescent="0.25">
      <c r="B80" s="123"/>
      <c r="C80" s="123"/>
      <c r="H80" s="24"/>
      <c r="I80" s="24"/>
      <c r="J80" s="24"/>
    </row>
    <row r="81" spans="2:10" x14ac:dyDescent="0.25">
      <c r="B81" s="123"/>
      <c r="C81" s="123"/>
      <c r="H81" s="24"/>
      <c r="I81" s="24"/>
      <c r="J81" s="24"/>
    </row>
    <row r="82" spans="2:10" x14ac:dyDescent="0.25">
      <c r="B82" s="123"/>
      <c r="C82" s="123"/>
      <c r="H82" s="24"/>
      <c r="I82" s="24"/>
      <c r="J82" s="24"/>
    </row>
    <row r="83" spans="2:10" x14ac:dyDescent="0.25">
      <c r="B83" s="123"/>
      <c r="C83" s="123"/>
      <c r="H83" s="24"/>
      <c r="I83" s="24"/>
      <c r="J83" s="24"/>
    </row>
    <row r="84" spans="2:10" x14ac:dyDescent="0.25">
      <c r="B84" s="123"/>
      <c r="C84" s="123"/>
      <c r="H84" s="24"/>
      <c r="I84" s="24"/>
      <c r="J84" s="24"/>
    </row>
    <row r="85" spans="2:10" x14ac:dyDescent="0.25">
      <c r="B85" s="123"/>
      <c r="C85" s="123"/>
      <c r="H85" s="24"/>
      <c r="I85" s="24"/>
      <c r="J85" s="24"/>
    </row>
    <row r="86" spans="2:10" x14ac:dyDescent="0.25">
      <c r="B86" s="123"/>
      <c r="C86" s="123"/>
      <c r="H86" s="24"/>
      <c r="I86" s="24"/>
      <c r="J86" s="24"/>
    </row>
    <row r="87" spans="2:10" x14ac:dyDescent="0.25">
      <c r="B87" s="123"/>
      <c r="C87" s="123"/>
      <c r="H87" s="24"/>
      <c r="I87" s="24"/>
      <c r="J87" s="24"/>
    </row>
    <row r="88" spans="2:10" x14ac:dyDescent="0.25">
      <c r="B88" s="123"/>
      <c r="C88" s="123"/>
      <c r="H88" s="24"/>
      <c r="I88" s="24"/>
      <c r="J88" s="24"/>
    </row>
    <row r="89" spans="2:10" x14ac:dyDescent="0.25">
      <c r="B89" s="123"/>
      <c r="C89" s="123"/>
      <c r="H89" s="24"/>
      <c r="I89" s="24"/>
      <c r="J89" s="24"/>
    </row>
    <row r="90" spans="2:10" x14ac:dyDescent="0.25">
      <c r="B90" s="123"/>
      <c r="C90" s="123"/>
      <c r="H90" s="24"/>
      <c r="I90" s="24"/>
      <c r="J90" s="24"/>
    </row>
    <row r="91" spans="2:10" x14ac:dyDescent="0.25">
      <c r="B91" s="123"/>
      <c r="C91" s="123"/>
      <c r="H91" s="24"/>
      <c r="I91" s="24"/>
      <c r="J91" s="24"/>
    </row>
    <row r="92" spans="2:10" x14ac:dyDescent="0.25">
      <c r="B92" s="123"/>
      <c r="C92" s="123"/>
      <c r="H92" s="24"/>
      <c r="I92" s="24"/>
      <c r="J92" s="24"/>
    </row>
    <row r="93" spans="2:10" x14ac:dyDescent="0.25">
      <c r="B93" s="123"/>
      <c r="C93" s="123"/>
      <c r="H93" s="24"/>
      <c r="I93" s="24"/>
      <c r="J93" s="24"/>
    </row>
    <row r="94" spans="2:10" x14ac:dyDescent="0.25">
      <c r="B94" s="123"/>
      <c r="C94" s="123"/>
      <c r="H94" s="24"/>
      <c r="I94" s="24"/>
      <c r="J94" s="24"/>
    </row>
    <row r="95" spans="2:10" x14ac:dyDescent="0.25">
      <c r="B95" s="123"/>
      <c r="C95" s="123"/>
      <c r="H95" s="24"/>
      <c r="I95" s="24"/>
      <c r="J95" s="24"/>
    </row>
    <row r="96" spans="2:10" x14ac:dyDescent="0.25">
      <c r="B96" s="123"/>
      <c r="C96" s="123"/>
      <c r="H96" s="24"/>
      <c r="I96" s="24"/>
      <c r="J96" s="24"/>
    </row>
    <row r="97" spans="2:10" x14ac:dyDescent="0.25">
      <c r="B97" s="123"/>
      <c r="C97" s="123"/>
      <c r="H97" s="24"/>
      <c r="I97" s="24"/>
      <c r="J97" s="24"/>
    </row>
    <row r="98" spans="2:10" x14ac:dyDescent="0.25">
      <c r="B98" s="123"/>
      <c r="C98" s="123"/>
      <c r="H98" s="24"/>
      <c r="I98" s="24"/>
      <c r="J98" s="24"/>
    </row>
    <row r="99" spans="2:10" x14ac:dyDescent="0.25">
      <c r="B99" s="123"/>
      <c r="C99" s="123"/>
      <c r="H99" s="24"/>
      <c r="I99" s="24"/>
      <c r="J99" s="24"/>
    </row>
    <row r="100" spans="2:10" x14ac:dyDescent="0.25">
      <c r="B100" s="123"/>
      <c r="C100" s="123"/>
      <c r="H100" s="24"/>
      <c r="I100" s="24"/>
      <c r="J100" s="24"/>
    </row>
    <row r="101" spans="2:10" x14ac:dyDescent="0.25">
      <c r="B101" s="123"/>
      <c r="C101" s="123"/>
      <c r="H101" s="24"/>
      <c r="I101" s="24"/>
      <c r="J101" s="24"/>
    </row>
    <row r="102" spans="2:10" x14ac:dyDescent="0.25">
      <c r="B102" s="123"/>
      <c r="C102" s="123"/>
      <c r="H102" s="24"/>
      <c r="I102" s="24"/>
      <c r="J102" s="24"/>
    </row>
    <row r="103" spans="2:10" x14ac:dyDescent="0.25">
      <c r="B103" s="123"/>
      <c r="C103" s="123"/>
      <c r="H103" s="24"/>
      <c r="I103" s="24"/>
      <c r="J103" s="24"/>
    </row>
    <row r="104" spans="2:10" x14ac:dyDescent="0.25">
      <c r="B104" s="123"/>
      <c r="C104" s="123"/>
      <c r="H104" s="24"/>
      <c r="I104" s="24"/>
      <c r="J104" s="24"/>
    </row>
    <row r="105" spans="2:10" x14ac:dyDescent="0.25">
      <c r="B105" s="123"/>
      <c r="C105" s="123"/>
      <c r="H105" s="24"/>
      <c r="I105" s="24"/>
      <c r="J105" s="24"/>
    </row>
    <row r="106" spans="2:10" x14ac:dyDescent="0.25">
      <c r="B106" s="123"/>
      <c r="C106" s="123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conditionalFormatting sqref="A5:A6">
    <cfRule type="expression" dxfId="5" priority="9">
      <formula>$O5&gt;0</formula>
    </cfRule>
  </conditionalFormatting>
  <conditionalFormatting sqref="A5:A6">
    <cfRule type="expression" dxfId="4" priority="8">
      <formula>$P5&gt;0</formula>
    </cfRule>
  </conditionalFormatting>
  <conditionalFormatting sqref="A3:A4">
    <cfRule type="expression" dxfId="3" priority="3">
      <formula>$O3&gt;0</formula>
    </cfRule>
  </conditionalFormatting>
  <conditionalFormatting sqref="A3:A4">
    <cfRule type="expression" dxfId="2" priority="2">
      <formula>$P3&gt;0</formula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8B93EFA5-C73B-4B11-BC52-43970A2FDE50}">
            <xm:f>IF($AG5="EC",$N5&gt;Variables!$C$2,$N5&gt;Variables!$D$2)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A5:A6</xm:sqref>
        </x14:conditionalFormatting>
        <x14:conditionalFormatting xmlns:xm="http://schemas.microsoft.com/office/excel/2006/main">
          <x14:cfRule type="expression" priority="1" id="{18EA03FC-6265-46A3-B2A7-060032ACB64E}">
            <xm:f>IF($AG3="EC",$N3&gt;Variables!$C$2,$N3&gt;Variables!$D$2)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A3:A4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42599.059386574074</v>
      </c>
      <c r="B1" s="24" t="s">
        <v>95</v>
      </c>
      <c r="C1" s="24" t="s">
        <v>283</v>
      </c>
      <c r="D1" s="24">
        <v>1800000</v>
      </c>
      <c r="E1" s="24" t="s">
        <v>250</v>
      </c>
      <c r="F1" s="24" t="str">
        <f>B1</f>
        <v>rtdc.l.rtdc.4030:itc</v>
      </c>
      <c r="G1" s="8">
        <f>A1</f>
        <v>42599.059386574074</v>
      </c>
    </row>
    <row r="2" spans="1:7" x14ac:dyDescent="0.25">
      <c r="A2" s="8">
        <v>42599.081250000003</v>
      </c>
      <c r="B2" s="24" t="s">
        <v>170</v>
      </c>
      <c r="C2" s="24" t="s">
        <v>285</v>
      </c>
      <c r="D2" s="24">
        <v>2100000</v>
      </c>
      <c r="E2" s="24" t="s">
        <v>148</v>
      </c>
      <c r="F2" s="24" t="str">
        <f t="shared" ref="F2:F65" si="0">B2</f>
        <v>rtdc.l.rtdc.4038:itc</v>
      </c>
      <c r="G2" s="8">
        <f t="shared" ref="G2:G65" si="1">A2</f>
        <v>42599.081250000003</v>
      </c>
    </row>
    <row r="3" spans="1:7" x14ac:dyDescent="0.25">
      <c r="A3" s="8">
        <v>42599.092766203707</v>
      </c>
      <c r="B3" s="24" t="s">
        <v>94</v>
      </c>
      <c r="C3" s="24" t="s">
        <v>283</v>
      </c>
      <c r="D3" s="24">
        <v>1800000</v>
      </c>
      <c r="E3" s="24" t="s">
        <v>250</v>
      </c>
      <c r="F3" s="24" t="str">
        <f t="shared" si="0"/>
        <v>rtdc.l.rtdc.4029:itc</v>
      </c>
      <c r="G3" s="8">
        <f t="shared" si="1"/>
        <v>42599.092766203707</v>
      </c>
    </row>
    <row r="4" spans="1:7" x14ac:dyDescent="0.25">
      <c r="A4" s="8">
        <v>42599.095381944448</v>
      </c>
      <c r="B4" s="24" t="s">
        <v>94</v>
      </c>
      <c r="C4" s="24" t="s">
        <v>288</v>
      </c>
      <c r="D4" s="24">
        <v>1800000</v>
      </c>
      <c r="E4" s="24" t="s">
        <v>250</v>
      </c>
      <c r="F4" s="24" t="str">
        <f t="shared" si="0"/>
        <v>rtdc.l.rtdc.4029:itc</v>
      </c>
      <c r="G4" s="8">
        <f t="shared" si="1"/>
        <v>42599.095381944448</v>
      </c>
    </row>
    <row r="5" spans="1:7" x14ac:dyDescent="0.25">
      <c r="A5" s="8">
        <v>42599.116655092592</v>
      </c>
      <c r="B5" s="24" t="s">
        <v>168</v>
      </c>
      <c r="C5" s="24" t="s">
        <v>536</v>
      </c>
      <c r="D5" s="24">
        <v>2010000</v>
      </c>
      <c r="E5" s="24" t="s">
        <v>684</v>
      </c>
      <c r="F5" s="24" t="str">
        <f t="shared" si="0"/>
        <v>rtdc.l.rtdc.4028:itc</v>
      </c>
      <c r="G5" s="8">
        <f t="shared" si="1"/>
        <v>42599.116655092592</v>
      </c>
    </row>
    <row r="6" spans="1:7" x14ac:dyDescent="0.25">
      <c r="A6" s="8">
        <v>42599.130740740744</v>
      </c>
      <c r="B6" s="24" t="s">
        <v>301</v>
      </c>
      <c r="C6" s="24" t="s">
        <v>320</v>
      </c>
      <c r="D6" s="24">
        <v>2010000</v>
      </c>
      <c r="E6" s="24" t="s">
        <v>684</v>
      </c>
      <c r="F6" s="24" t="str">
        <f t="shared" si="0"/>
        <v>rtdc.l.rtdc.4002:itc</v>
      </c>
      <c r="G6" s="8">
        <f t="shared" si="1"/>
        <v>42599.130740740744</v>
      </c>
    </row>
    <row r="7" spans="1:7" x14ac:dyDescent="0.25">
      <c r="A7" s="8">
        <v>42599.145543981482</v>
      </c>
      <c r="B7" s="24" t="s">
        <v>680</v>
      </c>
      <c r="C7" s="24" t="s">
        <v>539</v>
      </c>
      <c r="D7" s="24">
        <v>1260000</v>
      </c>
      <c r="E7" s="24" t="s">
        <v>220</v>
      </c>
      <c r="F7" s="24" t="str">
        <f t="shared" si="0"/>
        <v>rtdc.l.rtdc.4026:itc</v>
      </c>
      <c r="G7" s="8">
        <f t="shared" si="1"/>
        <v>42599.145543981482</v>
      </c>
    </row>
    <row r="8" spans="1:7" x14ac:dyDescent="0.25">
      <c r="A8" s="8">
        <v>42599.15587962963</v>
      </c>
      <c r="B8" s="24" t="s">
        <v>304</v>
      </c>
      <c r="C8" s="24" t="s">
        <v>324</v>
      </c>
      <c r="D8" s="24">
        <v>1260000</v>
      </c>
      <c r="E8" s="24" t="s">
        <v>220</v>
      </c>
      <c r="F8" s="24" t="str">
        <f t="shared" si="0"/>
        <v>rtdc.l.rtdc.4018:itc</v>
      </c>
      <c r="G8" s="8">
        <f t="shared" si="1"/>
        <v>42599.15587962963</v>
      </c>
    </row>
    <row r="9" spans="1:7" ht="15.75" thickBot="1" x14ac:dyDescent="0.3">
      <c r="A9" s="28">
        <v>42599.161550925928</v>
      </c>
      <c r="B9" s="24" t="s">
        <v>202</v>
      </c>
      <c r="C9" s="24" t="s">
        <v>545</v>
      </c>
      <c r="D9" s="24">
        <v>1760000</v>
      </c>
      <c r="E9" s="24" t="s">
        <v>685</v>
      </c>
      <c r="F9" s="24" t="str">
        <f t="shared" si="0"/>
        <v>rtdc.l.rtdc.4019:itc</v>
      </c>
      <c r="G9" s="8">
        <f t="shared" si="1"/>
        <v>42599.161550925928</v>
      </c>
    </row>
    <row r="10" spans="1:7" x14ac:dyDescent="0.25">
      <c r="A10" s="8">
        <v>42599.168182870373</v>
      </c>
      <c r="B10" s="24" t="s">
        <v>168</v>
      </c>
      <c r="C10" s="24" t="s">
        <v>322</v>
      </c>
      <c r="D10" s="24">
        <v>2010000</v>
      </c>
      <c r="E10" s="24" t="s">
        <v>684</v>
      </c>
      <c r="F10" s="24" t="str">
        <f t="shared" si="0"/>
        <v>rtdc.l.rtdc.4028:itc</v>
      </c>
      <c r="G10" s="8">
        <f t="shared" si="1"/>
        <v>42599.168182870373</v>
      </c>
    </row>
    <row r="11" spans="1:7" x14ac:dyDescent="0.25">
      <c r="A11" s="8">
        <v>42599.173125000001</v>
      </c>
      <c r="B11" s="24" t="s">
        <v>219</v>
      </c>
      <c r="C11" s="24" t="s">
        <v>328</v>
      </c>
      <c r="D11" s="24">
        <v>1760000</v>
      </c>
      <c r="E11" s="24" t="s">
        <v>685</v>
      </c>
      <c r="F11" s="24" t="str">
        <f t="shared" si="0"/>
        <v>rtdc.l.rtdc.4009:itc</v>
      </c>
      <c r="G11" s="8">
        <f t="shared" si="1"/>
        <v>42599.173125000001</v>
      </c>
    </row>
    <row r="12" spans="1:7" x14ac:dyDescent="0.25">
      <c r="A12" s="8">
        <v>42599.176608796297</v>
      </c>
      <c r="B12" s="24" t="s">
        <v>306</v>
      </c>
      <c r="C12" s="24" t="s">
        <v>548</v>
      </c>
      <c r="D12" s="24">
        <v>1090000</v>
      </c>
      <c r="E12" s="24" t="s">
        <v>246</v>
      </c>
      <c r="F12" s="24" t="str">
        <f t="shared" si="0"/>
        <v>rtdc.l.rtdc.4004:itc</v>
      </c>
      <c r="G12" s="8">
        <f t="shared" si="1"/>
        <v>42599.176608796297</v>
      </c>
    </row>
    <row r="13" spans="1:7" x14ac:dyDescent="0.25">
      <c r="A13" s="8">
        <v>42599.18167824074</v>
      </c>
      <c r="B13" s="24" t="s">
        <v>93</v>
      </c>
      <c r="C13" s="24" t="s">
        <v>552</v>
      </c>
      <c r="D13" s="24">
        <v>2030000</v>
      </c>
      <c r="E13" s="24" t="s">
        <v>308</v>
      </c>
      <c r="F13" s="24" t="str">
        <f t="shared" si="0"/>
        <v>rtdc.l.rtdc.4013:itc</v>
      </c>
      <c r="G13" s="8">
        <f t="shared" si="1"/>
        <v>42599.18167824074</v>
      </c>
    </row>
    <row r="14" spans="1:7" x14ac:dyDescent="0.25">
      <c r="A14" s="8">
        <v>42599.186620370368</v>
      </c>
      <c r="B14" s="24" t="s">
        <v>300</v>
      </c>
      <c r="C14" s="24" t="s">
        <v>333</v>
      </c>
      <c r="D14" s="24">
        <v>1090000</v>
      </c>
      <c r="E14" s="24" t="s">
        <v>246</v>
      </c>
      <c r="F14" s="24" t="str">
        <f t="shared" si="0"/>
        <v>rtdc.l.rtdc.4003:itc</v>
      </c>
      <c r="G14" s="8">
        <f t="shared" si="1"/>
        <v>42599.186620370368</v>
      </c>
    </row>
    <row r="15" spans="1:7" x14ac:dyDescent="0.25">
      <c r="A15" s="8">
        <v>42599.190636574072</v>
      </c>
      <c r="B15" s="24" t="s">
        <v>680</v>
      </c>
      <c r="C15" s="24" t="s">
        <v>326</v>
      </c>
      <c r="D15" s="24">
        <v>1260000</v>
      </c>
      <c r="E15" s="24" t="s">
        <v>220</v>
      </c>
      <c r="F15" s="24" t="str">
        <f t="shared" si="0"/>
        <v>rtdc.l.rtdc.4026:itc</v>
      </c>
      <c r="G15" s="8">
        <f t="shared" si="1"/>
        <v>42599.190636574072</v>
      </c>
    </row>
    <row r="16" spans="1:7" x14ac:dyDescent="0.25">
      <c r="A16" s="8">
        <v>42599.195219907408</v>
      </c>
      <c r="B16" s="24" t="s">
        <v>117</v>
      </c>
      <c r="C16" s="24" t="s">
        <v>335</v>
      </c>
      <c r="D16" s="24">
        <v>2030000</v>
      </c>
      <c r="E16" s="24" t="s">
        <v>308</v>
      </c>
      <c r="F16" s="24" t="str">
        <f t="shared" si="0"/>
        <v>rtdc.l.rtdc.4014:itc</v>
      </c>
      <c r="G16" s="8">
        <f t="shared" si="1"/>
        <v>42599.195219907408</v>
      </c>
    </row>
    <row r="17" spans="1:7" x14ac:dyDescent="0.25">
      <c r="A17" s="8">
        <v>42599.213206018518</v>
      </c>
      <c r="B17" s="24" t="s">
        <v>202</v>
      </c>
      <c r="C17" s="24" t="s">
        <v>331</v>
      </c>
      <c r="D17" s="24">
        <v>1760000</v>
      </c>
      <c r="E17" s="24" t="s">
        <v>685</v>
      </c>
      <c r="F17" s="24" t="str">
        <f t="shared" si="0"/>
        <v>rtdc.l.rtdc.4019:itc</v>
      </c>
      <c r="G17" s="8">
        <f t="shared" si="1"/>
        <v>42599.213206018518</v>
      </c>
    </row>
    <row r="18" spans="1:7" x14ac:dyDescent="0.25">
      <c r="A18" s="8">
        <v>42599.214814814812</v>
      </c>
      <c r="B18" s="24" t="s">
        <v>681</v>
      </c>
      <c r="C18" s="24" t="s">
        <v>562</v>
      </c>
      <c r="D18" s="24">
        <v>1110000</v>
      </c>
      <c r="E18" s="24" t="s">
        <v>234</v>
      </c>
      <c r="F18" s="24" t="str">
        <f t="shared" si="0"/>
        <v>rtdc.l.rtdc.4041:itc</v>
      </c>
      <c r="G18" s="8">
        <f t="shared" si="1"/>
        <v>42599.214814814812</v>
      </c>
    </row>
    <row r="19" spans="1:7" x14ac:dyDescent="0.25">
      <c r="A19" s="8">
        <v>42599.218738425923</v>
      </c>
      <c r="B19" s="24" t="s">
        <v>301</v>
      </c>
      <c r="C19" s="24" t="s">
        <v>339</v>
      </c>
      <c r="D19" s="24">
        <v>900000</v>
      </c>
      <c r="E19" s="24" t="s">
        <v>247</v>
      </c>
      <c r="F19" s="24" t="str">
        <f t="shared" si="0"/>
        <v>rtdc.l.rtdc.4002:itc</v>
      </c>
      <c r="G19" s="8">
        <f t="shared" si="1"/>
        <v>42599.218738425923</v>
      </c>
    </row>
    <row r="20" spans="1:7" x14ac:dyDescent="0.25">
      <c r="A20" s="8">
        <v>42599.219050925924</v>
      </c>
      <c r="B20" s="24" t="s">
        <v>96</v>
      </c>
      <c r="C20" s="24" t="s">
        <v>343</v>
      </c>
      <c r="D20" s="24">
        <v>2010000</v>
      </c>
      <c r="E20" s="24" t="s">
        <v>684</v>
      </c>
      <c r="F20" s="24" t="str">
        <f t="shared" si="0"/>
        <v>rtdc.l.rtdc.4027:itc</v>
      </c>
      <c r="G20" s="8">
        <f t="shared" si="1"/>
        <v>42599.219050925924</v>
      </c>
    </row>
    <row r="21" spans="1:7" x14ac:dyDescent="0.25">
      <c r="A21" s="8">
        <v>42599.219317129631</v>
      </c>
      <c r="B21" s="24" t="s">
        <v>301</v>
      </c>
      <c r="C21" s="24" t="s">
        <v>339</v>
      </c>
      <c r="D21" s="24">
        <v>900000</v>
      </c>
      <c r="E21" s="24" t="s">
        <v>247</v>
      </c>
      <c r="F21" s="24" t="str">
        <f t="shared" si="0"/>
        <v>rtdc.l.rtdc.4002:itc</v>
      </c>
      <c r="G21" s="8">
        <f t="shared" si="1"/>
        <v>42599.219317129631</v>
      </c>
    </row>
    <row r="22" spans="1:7" x14ac:dyDescent="0.25">
      <c r="A22" s="30">
        <v>42599.220729166664</v>
      </c>
      <c r="B22" s="24" t="s">
        <v>301</v>
      </c>
      <c r="C22" s="24" t="s">
        <v>339</v>
      </c>
      <c r="D22" s="24">
        <v>900000</v>
      </c>
      <c r="E22" s="24" t="s">
        <v>247</v>
      </c>
      <c r="F22" s="24" t="str">
        <f t="shared" si="0"/>
        <v>rtdc.l.rtdc.4002:itc</v>
      </c>
      <c r="G22" s="8">
        <f t="shared" si="1"/>
        <v>42599.220729166664</v>
      </c>
    </row>
    <row r="23" spans="1:7" x14ac:dyDescent="0.25">
      <c r="A23" s="8">
        <v>42599.222824074073</v>
      </c>
      <c r="B23" s="24" t="s">
        <v>306</v>
      </c>
      <c r="C23" s="24" t="s">
        <v>334</v>
      </c>
      <c r="D23" s="24">
        <v>1090000</v>
      </c>
      <c r="E23" s="24" t="s">
        <v>246</v>
      </c>
      <c r="F23" s="24" t="str">
        <f t="shared" si="0"/>
        <v>rtdc.l.rtdc.4004:itc</v>
      </c>
      <c r="G23" s="8">
        <f t="shared" si="1"/>
        <v>42599.222824074073</v>
      </c>
    </row>
    <row r="24" spans="1:7" x14ac:dyDescent="0.25">
      <c r="A24" s="8">
        <v>42599.237303240741</v>
      </c>
      <c r="B24" s="24" t="s">
        <v>93</v>
      </c>
      <c r="C24" s="24" t="s">
        <v>338</v>
      </c>
      <c r="D24" s="24">
        <v>2030000</v>
      </c>
      <c r="E24" s="24" t="s">
        <v>308</v>
      </c>
      <c r="F24" s="24" t="str">
        <f t="shared" si="0"/>
        <v>rtdc.l.rtdc.4013:itc</v>
      </c>
      <c r="G24" s="8">
        <f t="shared" si="1"/>
        <v>42599.237303240741</v>
      </c>
    </row>
    <row r="25" spans="1:7" x14ac:dyDescent="0.25">
      <c r="A25" s="8">
        <v>42599.241365740738</v>
      </c>
      <c r="B25" s="24" t="s">
        <v>169</v>
      </c>
      <c r="C25" s="24" t="s">
        <v>564</v>
      </c>
      <c r="D25" s="24">
        <v>1110000</v>
      </c>
      <c r="E25" s="24" t="s">
        <v>234</v>
      </c>
      <c r="F25" s="24" t="str">
        <f t="shared" si="0"/>
        <v>rtdc.l.rtdc.4042:itc</v>
      </c>
      <c r="G25" s="8">
        <f t="shared" si="1"/>
        <v>42599.241365740738</v>
      </c>
    </row>
    <row r="26" spans="1:7" x14ac:dyDescent="0.25">
      <c r="A26" s="8">
        <v>42599.244502314818</v>
      </c>
      <c r="B26" s="24" t="s">
        <v>304</v>
      </c>
      <c r="C26" s="24" t="s">
        <v>346</v>
      </c>
      <c r="D26" s="24">
        <v>1190000</v>
      </c>
      <c r="E26" s="24" t="s">
        <v>309</v>
      </c>
      <c r="F26" s="24" t="str">
        <f t="shared" si="0"/>
        <v>rtdc.l.rtdc.4018:itc</v>
      </c>
      <c r="G26" s="8">
        <f t="shared" si="1"/>
        <v>42599.244502314818</v>
      </c>
    </row>
    <row r="27" spans="1:7" x14ac:dyDescent="0.25">
      <c r="A27" s="8">
        <v>42599.248437499999</v>
      </c>
      <c r="B27" s="24" t="s">
        <v>682</v>
      </c>
      <c r="C27" s="24" t="s">
        <v>349</v>
      </c>
      <c r="D27" s="24">
        <v>1260000</v>
      </c>
      <c r="E27" s="24" t="s">
        <v>220</v>
      </c>
      <c r="F27" s="24" t="str">
        <f t="shared" si="0"/>
        <v>rtdc.l.rtdc.4025:itc</v>
      </c>
      <c r="G27" s="8">
        <f t="shared" si="1"/>
        <v>42599.248437499999</v>
      </c>
    </row>
    <row r="28" spans="1:7" x14ac:dyDescent="0.25">
      <c r="A28" s="8">
        <v>42599.25372685185</v>
      </c>
      <c r="B28" s="24" t="s">
        <v>683</v>
      </c>
      <c r="C28" s="24" t="s">
        <v>569</v>
      </c>
      <c r="D28" s="24">
        <v>2150000</v>
      </c>
      <c r="E28" s="24" t="s">
        <v>245</v>
      </c>
      <c r="F28" s="24" t="str">
        <f t="shared" si="0"/>
        <v>rtdc.l.rtdc.4007:itc</v>
      </c>
      <c r="G28" s="8">
        <f t="shared" si="1"/>
        <v>42599.25372685185</v>
      </c>
    </row>
    <row r="29" spans="1:7" x14ac:dyDescent="0.25">
      <c r="A29" s="8">
        <v>42599.253958333335</v>
      </c>
      <c r="B29" s="24" t="s">
        <v>219</v>
      </c>
      <c r="C29" s="24" t="s">
        <v>353</v>
      </c>
      <c r="D29" s="24">
        <v>1760000</v>
      </c>
      <c r="E29" s="24" t="s">
        <v>685</v>
      </c>
      <c r="F29" s="24" t="str">
        <f t="shared" si="0"/>
        <v>rtdc.l.rtdc.4009:itc</v>
      </c>
      <c r="G29" s="8">
        <f t="shared" si="1"/>
        <v>42599.253958333335</v>
      </c>
    </row>
    <row r="30" spans="1:7" x14ac:dyDescent="0.25">
      <c r="A30" s="8">
        <v>42599.255347222221</v>
      </c>
      <c r="B30" s="24" t="s">
        <v>681</v>
      </c>
      <c r="C30" s="24" t="s">
        <v>567</v>
      </c>
      <c r="D30" s="24">
        <v>1110000</v>
      </c>
      <c r="E30" s="24" t="s">
        <v>234</v>
      </c>
      <c r="F30" s="24" t="str">
        <f t="shared" si="0"/>
        <v>rtdc.l.rtdc.4041:itc</v>
      </c>
      <c r="G30" s="8">
        <f t="shared" si="1"/>
        <v>42599.255347222221</v>
      </c>
    </row>
    <row r="31" spans="1:7" x14ac:dyDescent="0.25">
      <c r="A31" s="8">
        <v>42599.259409722225</v>
      </c>
      <c r="B31" s="24" t="s">
        <v>302</v>
      </c>
      <c r="C31" s="24" t="s">
        <v>342</v>
      </c>
      <c r="D31" s="24">
        <v>900000</v>
      </c>
      <c r="E31" s="24" t="s">
        <v>247</v>
      </c>
      <c r="F31" s="24" t="str">
        <f t="shared" si="0"/>
        <v>rtdc.l.rtdc.4001:itc</v>
      </c>
      <c r="G31" s="8">
        <f t="shared" si="1"/>
        <v>42599.259409722225</v>
      </c>
    </row>
    <row r="32" spans="1:7" x14ac:dyDescent="0.25">
      <c r="A32" s="8">
        <v>42599.261747685188</v>
      </c>
      <c r="B32" s="24" t="s">
        <v>300</v>
      </c>
      <c r="C32" s="24" t="s">
        <v>356</v>
      </c>
      <c r="D32" s="24">
        <v>1090000</v>
      </c>
      <c r="E32" s="24" t="s">
        <v>246</v>
      </c>
      <c r="F32" s="24" t="str">
        <f t="shared" si="0"/>
        <v>rtdc.l.rtdc.4003:itc</v>
      </c>
      <c r="G32" s="8">
        <f t="shared" si="1"/>
        <v>42599.261747685188</v>
      </c>
    </row>
    <row r="33" spans="1:7" x14ac:dyDescent="0.25">
      <c r="A33" s="8">
        <v>42599.269131944442</v>
      </c>
      <c r="B33" s="24" t="s">
        <v>168</v>
      </c>
      <c r="C33" s="24" t="s">
        <v>345</v>
      </c>
      <c r="D33" s="24">
        <v>2010000</v>
      </c>
      <c r="E33" s="24" t="s">
        <v>684</v>
      </c>
      <c r="F33" s="24" t="str">
        <f t="shared" si="0"/>
        <v>rtdc.l.rtdc.4028:itc</v>
      </c>
      <c r="G33" s="8">
        <f t="shared" si="1"/>
        <v>42599.269131944442</v>
      </c>
    </row>
    <row r="34" spans="1:7" x14ac:dyDescent="0.25">
      <c r="A34" s="8">
        <v>42599.27615740741</v>
      </c>
      <c r="B34" s="24" t="s">
        <v>117</v>
      </c>
      <c r="C34" s="24" t="s">
        <v>360</v>
      </c>
      <c r="D34" s="24">
        <v>2030000</v>
      </c>
      <c r="E34" s="24" t="s">
        <v>308</v>
      </c>
      <c r="F34" s="24" t="str">
        <f t="shared" si="0"/>
        <v>rtdc.l.rtdc.4014:itc</v>
      </c>
      <c r="G34" s="8">
        <f t="shared" si="1"/>
        <v>42599.27615740741</v>
      </c>
    </row>
    <row r="35" spans="1:7" x14ac:dyDescent="0.25">
      <c r="A35" s="8">
        <v>42599.276331018518</v>
      </c>
      <c r="B35" s="24" t="s">
        <v>198</v>
      </c>
      <c r="C35" s="24" t="s">
        <v>571</v>
      </c>
      <c r="D35" s="24">
        <v>2150000</v>
      </c>
      <c r="E35" s="24" t="s">
        <v>245</v>
      </c>
      <c r="F35" s="24" t="str">
        <f t="shared" si="0"/>
        <v>rtdc.l.rtdc.4008:itc</v>
      </c>
      <c r="G35" s="8">
        <f t="shared" si="1"/>
        <v>42599.276331018518</v>
      </c>
    </row>
    <row r="36" spans="1:7" x14ac:dyDescent="0.25">
      <c r="A36" s="8">
        <v>42599.282546296294</v>
      </c>
      <c r="B36" s="24" t="s">
        <v>169</v>
      </c>
      <c r="C36" s="24" t="s">
        <v>574</v>
      </c>
      <c r="D36" s="24">
        <v>1110000</v>
      </c>
      <c r="E36" s="24" t="s">
        <v>234</v>
      </c>
      <c r="F36" s="24" t="str">
        <f t="shared" si="0"/>
        <v>rtdc.l.rtdc.4042:itc</v>
      </c>
      <c r="G36" s="8">
        <f t="shared" si="1"/>
        <v>42599.282546296294</v>
      </c>
    </row>
    <row r="37" spans="1:7" x14ac:dyDescent="0.25">
      <c r="A37" s="8">
        <v>42599.282592592594</v>
      </c>
      <c r="B37" s="24" t="s">
        <v>303</v>
      </c>
      <c r="C37" s="24" t="s">
        <v>347</v>
      </c>
      <c r="D37" s="24">
        <v>1190000</v>
      </c>
      <c r="E37" s="24" t="s">
        <v>309</v>
      </c>
      <c r="F37" s="24" t="str">
        <f t="shared" si="0"/>
        <v>rtdc.l.rtdc.4017:itc</v>
      </c>
      <c r="G37" s="8">
        <f t="shared" si="1"/>
        <v>42599.282592592594</v>
      </c>
    </row>
    <row r="38" spans="1:7" x14ac:dyDescent="0.25">
      <c r="A38" s="8">
        <v>42599.288414351853</v>
      </c>
      <c r="B38" s="24" t="s">
        <v>680</v>
      </c>
      <c r="C38" s="24" t="s">
        <v>351</v>
      </c>
      <c r="D38" s="24">
        <v>1260000</v>
      </c>
      <c r="E38" s="24" t="s">
        <v>220</v>
      </c>
      <c r="F38" s="24" t="str">
        <f t="shared" si="0"/>
        <v>rtdc.l.rtdc.4026:itc</v>
      </c>
      <c r="G38" s="8">
        <f t="shared" si="1"/>
        <v>42599.288414351853</v>
      </c>
    </row>
    <row r="39" spans="1:7" x14ac:dyDescent="0.25">
      <c r="A39" s="8">
        <v>42599.295219907406</v>
      </c>
      <c r="B39" s="24" t="s">
        <v>301</v>
      </c>
      <c r="C39" s="24" t="s">
        <v>364</v>
      </c>
      <c r="D39" s="24">
        <v>900000</v>
      </c>
      <c r="E39" s="24" t="s">
        <v>247</v>
      </c>
      <c r="F39" s="24" t="str">
        <f t="shared" si="0"/>
        <v>rtdc.l.rtdc.4002:itc</v>
      </c>
      <c r="G39" s="8">
        <f t="shared" si="1"/>
        <v>42599.295219907406</v>
      </c>
    </row>
    <row r="40" spans="1:7" x14ac:dyDescent="0.25">
      <c r="A40" s="8">
        <v>42599.296284722222</v>
      </c>
      <c r="B40" s="29" t="s">
        <v>681</v>
      </c>
      <c r="C40" s="24" t="s">
        <v>577</v>
      </c>
      <c r="D40" s="24">
        <v>1110000</v>
      </c>
      <c r="E40" s="24" t="s">
        <v>234</v>
      </c>
      <c r="F40" s="24" t="str">
        <f t="shared" si="0"/>
        <v>rtdc.l.rtdc.4041:itc</v>
      </c>
      <c r="G40" s="8">
        <f t="shared" si="1"/>
        <v>42599.296284722222</v>
      </c>
    </row>
    <row r="41" spans="1:7" x14ac:dyDescent="0.25">
      <c r="A41" s="8">
        <v>42599.296944444446</v>
      </c>
      <c r="B41" s="24" t="s">
        <v>222</v>
      </c>
      <c r="C41" s="24" t="s">
        <v>355</v>
      </c>
      <c r="D41" s="24">
        <v>1760000</v>
      </c>
      <c r="E41" s="24" t="s">
        <v>685</v>
      </c>
      <c r="F41" s="24" t="str">
        <f t="shared" si="0"/>
        <v>rtdc.l.rtdc.4010:itc</v>
      </c>
      <c r="G41" s="8">
        <f t="shared" si="1"/>
        <v>42599.296944444446</v>
      </c>
    </row>
    <row r="42" spans="1:7" x14ac:dyDescent="0.25">
      <c r="A42" s="8">
        <v>42599.302060185182</v>
      </c>
      <c r="B42" s="24" t="s">
        <v>306</v>
      </c>
      <c r="C42" s="24" t="s">
        <v>358</v>
      </c>
      <c r="D42" s="24">
        <v>1090000</v>
      </c>
      <c r="E42" s="24" t="s">
        <v>246</v>
      </c>
      <c r="F42" s="24" t="str">
        <f t="shared" si="0"/>
        <v>rtdc.l.rtdc.4004:itc</v>
      </c>
      <c r="G42" s="8">
        <f t="shared" si="1"/>
        <v>42599.302060185182</v>
      </c>
    </row>
    <row r="43" spans="1:7" x14ac:dyDescent="0.25">
      <c r="A43" s="8">
        <v>42599.305011574077</v>
      </c>
      <c r="B43" s="24" t="s">
        <v>683</v>
      </c>
      <c r="C43" s="24" t="s">
        <v>580</v>
      </c>
      <c r="D43" s="24">
        <v>2150000</v>
      </c>
      <c r="E43" s="24" t="s">
        <v>245</v>
      </c>
      <c r="F43" s="24" t="str">
        <f t="shared" si="0"/>
        <v>rtdc.l.rtdc.4007:itc</v>
      </c>
      <c r="G43" s="8">
        <f t="shared" si="1"/>
        <v>42599.305011574077</v>
      </c>
    </row>
    <row r="44" spans="1:7" x14ac:dyDescent="0.25">
      <c r="A44" s="8">
        <v>42599.306168981479</v>
      </c>
      <c r="B44" s="24" t="s">
        <v>96</v>
      </c>
      <c r="C44" s="24" t="s">
        <v>366</v>
      </c>
      <c r="D44" s="24">
        <v>2010000</v>
      </c>
      <c r="E44" s="24" t="s">
        <v>684</v>
      </c>
      <c r="F44" s="24" t="str">
        <f t="shared" si="0"/>
        <v>rtdc.l.rtdc.4027:itc</v>
      </c>
      <c r="G44" s="8">
        <f t="shared" si="1"/>
        <v>42599.306168981479</v>
      </c>
    </row>
    <row r="45" spans="1:7" x14ac:dyDescent="0.25">
      <c r="A45" s="8">
        <v>42599.316874999997</v>
      </c>
      <c r="B45" s="24" t="s">
        <v>93</v>
      </c>
      <c r="C45" s="24" t="s">
        <v>362</v>
      </c>
      <c r="D45" s="24">
        <v>2030000</v>
      </c>
      <c r="E45" s="24" t="s">
        <v>308</v>
      </c>
      <c r="F45" s="24" t="str">
        <f t="shared" si="0"/>
        <v>rtdc.l.rtdc.4013:itc</v>
      </c>
      <c r="G45" s="8">
        <f t="shared" si="1"/>
        <v>42599.316874999997</v>
      </c>
    </row>
    <row r="46" spans="1:7" x14ac:dyDescent="0.25">
      <c r="A46" s="8">
        <v>42599.317673611113</v>
      </c>
      <c r="B46" s="24" t="s">
        <v>198</v>
      </c>
      <c r="C46" s="24" t="s">
        <v>582</v>
      </c>
      <c r="D46" s="24">
        <v>2150000</v>
      </c>
      <c r="E46" s="24" t="s">
        <v>245</v>
      </c>
      <c r="F46" s="24" t="str">
        <f t="shared" si="0"/>
        <v>rtdc.l.rtdc.4008:itc</v>
      </c>
      <c r="G46" s="8">
        <f t="shared" si="1"/>
        <v>42599.317673611113</v>
      </c>
    </row>
    <row r="47" spans="1:7" x14ac:dyDescent="0.25">
      <c r="A47" s="8">
        <v>42599.322442129633</v>
      </c>
      <c r="B47" s="24" t="s">
        <v>304</v>
      </c>
      <c r="C47" s="24" t="s">
        <v>370</v>
      </c>
      <c r="D47" s="24">
        <v>1190000</v>
      </c>
      <c r="E47" s="24" t="s">
        <v>309</v>
      </c>
      <c r="F47" s="24" t="str">
        <f t="shared" si="0"/>
        <v>rtdc.l.rtdc.4018:itc</v>
      </c>
      <c r="G47" s="8">
        <f t="shared" si="1"/>
        <v>42599.322442129633</v>
      </c>
    </row>
    <row r="48" spans="1:7" x14ac:dyDescent="0.25">
      <c r="A48" s="8">
        <v>42599.324930555558</v>
      </c>
      <c r="B48" s="24" t="s">
        <v>169</v>
      </c>
      <c r="C48" s="24" t="s">
        <v>583</v>
      </c>
      <c r="D48" s="24">
        <v>1110000</v>
      </c>
      <c r="E48" s="24" t="s">
        <v>234</v>
      </c>
      <c r="F48" s="24" t="str">
        <f t="shared" si="0"/>
        <v>rtdc.l.rtdc.4042:itc</v>
      </c>
      <c r="G48" s="8">
        <f t="shared" si="1"/>
        <v>42599.324930555558</v>
      </c>
    </row>
    <row r="49" spans="1:7" x14ac:dyDescent="0.25">
      <c r="A49" s="8">
        <v>42599.330335648148</v>
      </c>
      <c r="B49" s="24" t="s">
        <v>682</v>
      </c>
      <c r="C49" s="24" t="s">
        <v>374</v>
      </c>
      <c r="D49" s="24">
        <v>1260000</v>
      </c>
      <c r="E49" s="24" t="s">
        <v>220</v>
      </c>
      <c r="F49" s="24" t="str">
        <f t="shared" si="0"/>
        <v>rtdc.l.rtdc.4025:itc</v>
      </c>
      <c r="G49" s="8">
        <f t="shared" si="1"/>
        <v>42599.330335648148</v>
      </c>
    </row>
    <row r="50" spans="1:7" x14ac:dyDescent="0.25">
      <c r="A50" s="8">
        <v>42599.33697916667</v>
      </c>
      <c r="B50" s="24" t="s">
        <v>219</v>
      </c>
      <c r="C50" s="24" t="s">
        <v>377</v>
      </c>
      <c r="D50" s="24">
        <v>1760000</v>
      </c>
      <c r="E50" s="24" t="s">
        <v>685</v>
      </c>
      <c r="F50" s="24" t="str">
        <f t="shared" si="0"/>
        <v>rtdc.l.rtdc.4009:itc</v>
      </c>
      <c r="G50" s="8">
        <f t="shared" si="1"/>
        <v>42599.33697916667</v>
      </c>
    </row>
    <row r="51" spans="1:7" x14ac:dyDescent="0.25">
      <c r="A51" s="8">
        <v>42599.337280092594</v>
      </c>
      <c r="B51" s="24" t="s">
        <v>302</v>
      </c>
      <c r="C51" s="24" t="s">
        <v>686</v>
      </c>
      <c r="D51" s="24">
        <v>900000</v>
      </c>
      <c r="E51" s="24" t="s">
        <v>247</v>
      </c>
      <c r="F51" s="24" t="str">
        <f t="shared" si="0"/>
        <v>rtdc.l.rtdc.4001:itc</v>
      </c>
      <c r="G51" s="8">
        <f t="shared" si="1"/>
        <v>42599.337280092594</v>
      </c>
    </row>
    <row r="52" spans="1:7" x14ac:dyDescent="0.25">
      <c r="A52" s="8">
        <v>42599.3434375</v>
      </c>
      <c r="B52" s="24" t="s">
        <v>681</v>
      </c>
      <c r="C52" s="24" t="s">
        <v>586</v>
      </c>
      <c r="D52" s="24">
        <v>1110000</v>
      </c>
      <c r="E52" s="24" t="s">
        <v>234</v>
      </c>
      <c r="F52" s="24" t="str">
        <f t="shared" si="0"/>
        <v>rtdc.l.rtdc.4041:itc</v>
      </c>
      <c r="G52" s="8">
        <f t="shared" si="1"/>
        <v>42599.3434375</v>
      </c>
    </row>
    <row r="53" spans="1:7" x14ac:dyDescent="0.25">
      <c r="A53" s="8">
        <v>42599.345717592594</v>
      </c>
      <c r="B53" s="24" t="s">
        <v>168</v>
      </c>
      <c r="C53" s="24" t="s">
        <v>367</v>
      </c>
      <c r="D53" s="24">
        <v>2010000</v>
      </c>
      <c r="E53" s="24" t="s">
        <v>684</v>
      </c>
      <c r="F53" s="24" t="str">
        <f t="shared" si="0"/>
        <v>rtdc.l.rtdc.4028:itc</v>
      </c>
      <c r="G53" s="8">
        <f t="shared" si="1"/>
        <v>42599.345717592594</v>
      </c>
    </row>
    <row r="54" spans="1:7" x14ac:dyDescent="0.25">
      <c r="A54" s="8">
        <v>42599.346006944441</v>
      </c>
      <c r="B54" s="24" t="s">
        <v>683</v>
      </c>
      <c r="C54" s="24" t="s">
        <v>588</v>
      </c>
      <c r="D54" s="24">
        <v>2150000</v>
      </c>
      <c r="E54" s="24" t="s">
        <v>245</v>
      </c>
      <c r="F54" s="24" t="str">
        <f t="shared" si="0"/>
        <v>rtdc.l.rtdc.4007:itc</v>
      </c>
      <c r="G54" s="8">
        <f t="shared" si="1"/>
        <v>42599.346006944441</v>
      </c>
    </row>
    <row r="55" spans="1:7" x14ac:dyDescent="0.25">
      <c r="A55" s="8">
        <v>42599.350254629629</v>
      </c>
      <c r="B55" s="24" t="s">
        <v>300</v>
      </c>
      <c r="C55" s="24" t="s">
        <v>379</v>
      </c>
      <c r="D55" s="24">
        <v>1090000</v>
      </c>
      <c r="E55" s="24" t="s">
        <v>246</v>
      </c>
      <c r="F55" s="24" t="str">
        <f t="shared" si="0"/>
        <v>rtdc.l.rtdc.4003:itc</v>
      </c>
      <c r="G55" s="8">
        <f t="shared" si="1"/>
        <v>42599.350254629629</v>
      </c>
    </row>
    <row r="56" spans="1:7" x14ac:dyDescent="0.25">
      <c r="A56" s="8">
        <v>42599.35628472222</v>
      </c>
      <c r="B56" s="24" t="s">
        <v>169</v>
      </c>
      <c r="C56" s="24" t="s">
        <v>668</v>
      </c>
      <c r="D56" s="24">
        <v>1110000</v>
      </c>
      <c r="E56" s="24" t="s">
        <v>234</v>
      </c>
      <c r="F56" s="24" t="str">
        <f t="shared" si="0"/>
        <v>rtdc.l.rtdc.4042:itc</v>
      </c>
      <c r="G56" s="8">
        <f t="shared" si="1"/>
        <v>42599.35628472222</v>
      </c>
    </row>
    <row r="57" spans="1:7" x14ac:dyDescent="0.25">
      <c r="A57" s="8">
        <v>42599.36136574074</v>
      </c>
      <c r="B57" s="24" t="s">
        <v>198</v>
      </c>
      <c r="C57" s="24" t="s">
        <v>590</v>
      </c>
      <c r="D57" s="24">
        <v>2150000</v>
      </c>
      <c r="E57" s="24" t="s">
        <v>245</v>
      </c>
      <c r="F57" s="24" t="str">
        <f t="shared" si="0"/>
        <v>rtdc.l.rtdc.4008:itc</v>
      </c>
      <c r="G57" s="8">
        <f t="shared" si="1"/>
        <v>42599.36136574074</v>
      </c>
    </row>
    <row r="58" spans="1:7" x14ac:dyDescent="0.25">
      <c r="A58" s="8">
        <v>42599.362662037034</v>
      </c>
      <c r="B58" s="24" t="s">
        <v>117</v>
      </c>
      <c r="C58" s="24" t="s">
        <v>382</v>
      </c>
      <c r="D58" s="24">
        <v>2030000</v>
      </c>
      <c r="E58" s="24" t="s">
        <v>308</v>
      </c>
      <c r="F58" s="24" t="str">
        <f t="shared" si="0"/>
        <v>rtdc.l.rtdc.4014:itc</v>
      </c>
      <c r="G58" s="8">
        <f t="shared" si="1"/>
        <v>42599.362662037034</v>
      </c>
    </row>
    <row r="59" spans="1:7" x14ac:dyDescent="0.25">
      <c r="A59" s="8">
        <v>42599.362719907411</v>
      </c>
      <c r="B59" s="24" t="s">
        <v>303</v>
      </c>
      <c r="C59" s="24" t="s">
        <v>372</v>
      </c>
      <c r="D59" s="24">
        <v>1190000</v>
      </c>
      <c r="E59" s="24" t="s">
        <v>309</v>
      </c>
      <c r="F59" s="24" t="str">
        <f t="shared" si="0"/>
        <v>rtdc.l.rtdc.4017:itc</v>
      </c>
      <c r="G59" s="8">
        <f t="shared" si="1"/>
        <v>42599.362719907411</v>
      </c>
    </row>
    <row r="60" spans="1:7" x14ac:dyDescent="0.25">
      <c r="A60" s="8">
        <v>42599.368379629632</v>
      </c>
      <c r="B60" s="24" t="s">
        <v>680</v>
      </c>
      <c r="C60" s="24" t="s">
        <v>375</v>
      </c>
      <c r="D60" s="24">
        <v>1260000</v>
      </c>
      <c r="E60" s="24" t="s">
        <v>220</v>
      </c>
      <c r="F60" s="24" t="str">
        <f t="shared" si="0"/>
        <v>rtdc.l.rtdc.4026:itc</v>
      </c>
      <c r="G60" s="8">
        <f t="shared" si="1"/>
        <v>42599.368379629632</v>
      </c>
    </row>
    <row r="61" spans="1:7" x14ac:dyDescent="0.25">
      <c r="A61" s="8">
        <v>42599.369131944448</v>
      </c>
      <c r="B61" s="24" t="s">
        <v>199</v>
      </c>
      <c r="C61" s="24" t="s">
        <v>384</v>
      </c>
      <c r="D61" s="24">
        <v>900000</v>
      </c>
      <c r="E61" s="24" t="s">
        <v>247</v>
      </c>
      <c r="F61" s="24" t="str">
        <f t="shared" si="0"/>
        <v>rtdc.l.rtdc.4020:itc</v>
      </c>
      <c r="G61" s="8">
        <f t="shared" si="1"/>
        <v>42599.369131944448</v>
      </c>
    </row>
    <row r="62" spans="1:7" x14ac:dyDescent="0.25">
      <c r="A62" s="8">
        <v>42599.381481481483</v>
      </c>
      <c r="B62" s="24" t="s">
        <v>222</v>
      </c>
      <c r="C62" s="24" t="s">
        <v>378</v>
      </c>
      <c r="D62" s="24">
        <v>1760000</v>
      </c>
      <c r="E62" s="24" t="s">
        <v>685</v>
      </c>
      <c r="F62" s="24" t="str">
        <f t="shared" si="0"/>
        <v>rtdc.l.rtdc.4010:itc</v>
      </c>
      <c r="G62" s="8">
        <f t="shared" si="1"/>
        <v>42599.381481481483</v>
      </c>
    </row>
    <row r="63" spans="1:7" x14ac:dyDescent="0.25">
      <c r="A63" s="8">
        <v>42599.384027777778</v>
      </c>
      <c r="B63" s="24" t="s">
        <v>96</v>
      </c>
      <c r="C63" s="24" t="s">
        <v>387</v>
      </c>
      <c r="D63" s="24">
        <v>2010000</v>
      </c>
      <c r="E63" s="24" t="s">
        <v>684</v>
      </c>
      <c r="F63" s="24" t="str">
        <f t="shared" si="0"/>
        <v>rtdc.l.rtdc.4027:itc</v>
      </c>
      <c r="G63" s="8">
        <f t="shared" si="1"/>
        <v>42599.384027777778</v>
      </c>
    </row>
    <row r="64" spans="1:7" x14ac:dyDescent="0.25">
      <c r="A64" s="30">
        <v>42599.388356481482</v>
      </c>
      <c r="B64" s="24" t="s">
        <v>683</v>
      </c>
      <c r="C64" s="24" t="s">
        <v>593</v>
      </c>
      <c r="D64" s="24">
        <v>2150000</v>
      </c>
      <c r="E64" s="24" t="s">
        <v>245</v>
      </c>
      <c r="F64" s="24" t="str">
        <f t="shared" si="0"/>
        <v>rtdc.l.rtdc.4007:itc</v>
      </c>
      <c r="G64" s="8">
        <f t="shared" si="1"/>
        <v>42599.388356481482</v>
      </c>
    </row>
    <row r="65" spans="1:7" x14ac:dyDescent="0.25">
      <c r="A65" s="8">
        <v>42599.396527777775</v>
      </c>
      <c r="B65" s="24" t="s">
        <v>306</v>
      </c>
      <c r="C65" s="24" t="s">
        <v>381</v>
      </c>
      <c r="D65" s="24">
        <v>1090000</v>
      </c>
      <c r="E65" s="24" t="s">
        <v>246</v>
      </c>
      <c r="F65" s="24" t="str">
        <f t="shared" si="0"/>
        <v>rtdc.l.rtdc.4004:itc</v>
      </c>
      <c r="G65" s="8">
        <f t="shared" si="1"/>
        <v>42599.396527777775</v>
      </c>
    </row>
    <row r="66" spans="1:7" x14ac:dyDescent="0.25">
      <c r="A66" s="8">
        <v>42599.401342592595</v>
      </c>
      <c r="B66" s="24" t="s">
        <v>304</v>
      </c>
      <c r="C66" s="24" t="s">
        <v>391</v>
      </c>
      <c r="D66" s="24">
        <v>1190000</v>
      </c>
      <c r="E66" s="24" t="s">
        <v>309</v>
      </c>
      <c r="F66" s="24" t="str">
        <f t="shared" ref="F66:F129" si="2">B66</f>
        <v>rtdc.l.rtdc.4018:itc</v>
      </c>
      <c r="G66" s="8">
        <f t="shared" ref="G66:G129" si="3">A66</f>
        <v>42599.401342592595</v>
      </c>
    </row>
    <row r="67" spans="1:7" x14ac:dyDescent="0.25">
      <c r="A67" s="8">
        <v>42599.401562500003</v>
      </c>
      <c r="B67" s="24" t="s">
        <v>198</v>
      </c>
      <c r="C67" s="24" t="s">
        <v>596</v>
      </c>
      <c r="D67" s="24">
        <v>2150000</v>
      </c>
      <c r="E67" s="24" t="s">
        <v>245</v>
      </c>
      <c r="F67" s="24" t="str">
        <f t="shared" si="2"/>
        <v>rtdc.l.rtdc.4008:itc</v>
      </c>
      <c r="G67" s="8">
        <f t="shared" si="3"/>
        <v>42599.401562500003</v>
      </c>
    </row>
    <row r="68" spans="1:7" x14ac:dyDescent="0.25">
      <c r="A68" s="8">
        <v>42599.403958333336</v>
      </c>
      <c r="B68" s="24" t="s">
        <v>93</v>
      </c>
      <c r="C68" s="24" t="s">
        <v>383</v>
      </c>
      <c r="D68" s="24">
        <v>2030000</v>
      </c>
      <c r="E68" s="24" t="s">
        <v>308</v>
      </c>
      <c r="F68" s="24" t="str">
        <f t="shared" si="2"/>
        <v>rtdc.l.rtdc.4013:itc</v>
      </c>
      <c r="G68" s="8">
        <f t="shared" si="3"/>
        <v>42599.403958333336</v>
      </c>
    </row>
    <row r="69" spans="1:7" x14ac:dyDescent="0.25">
      <c r="A69" s="8">
        <v>42599.409571759257</v>
      </c>
      <c r="B69" s="24" t="s">
        <v>682</v>
      </c>
      <c r="C69" s="24" t="s">
        <v>394</v>
      </c>
      <c r="D69" s="24">
        <v>1260000</v>
      </c>
      <c r="E69" s="24" t="s">
        <v>220</v>
      </c>
      <c r="F69" s="24" t="str">
        <f t="shared" si="2"/>
        <v>rtdc.l.rtdc.4025:itc</v>
      </c>
      <c r="G69" s="8">
        <f t="shared" si="3"/>
        <v>42599.409571759257</v>
      </c>
    </row>
    <row r="70" spans="1:7" x14ac:dyDescent="0.25">
      <c r="A70" s="8">
        <v>42599.41474537037</v>
      </c>
      <c r="B70" s="24" t="s">
        <v>202</v>
      </c>
      <c r="C70" s="24" t="s">
        <v>386</v>
      </c>
      <c r="D70" s="24">
        <v>900000</v>
      </c>
      <c r="E70" s="24" t="s">
        <v>247</v>
      </c>
      <c r="F70" s="24" t="str">
        <f t="shared" si="2"/>
        <v>rtdc.l.rtdc.4019:itc</v>
      </c>
      <c r="G70" s="8">
        <f t="shared" si="3"/>
        <v>42599.41474537037</v>
      </c>
    </row>
    <row r="71" spans="1:7" x14ac:dyDescent="0.25">
      <c r="A71" s="8">
        <v>42599.419560185182</v>
      </c>
      <c r="B71" s="24" t="s">
        <v>168</v>
      </c>
      <c r="C71" s="24" t="s">
        <v>389</v>
      </c>
      <c r="D71" s="24">
        <v>2010000</v>
      </c>
      <c r="E71" s="24" t="s">
        <v>684</v>
      </c>
      <c r="F71" s="24" t="str">
        <f t="shared" si="2"/>
        <v>rtdc.l.rtdc.4028:itc</v>
      </c>
      <c r="G71" s="8">
        <f t="shared" si="3"/>
        <v>42599.419560185182</v>
      </c>
    </row>
    <row r="72" spans="1:7" x14ac:dyDescent="0.25">
      <c r="A72" s="8">
        <v>42599.42046296296</v>
      </c>
      <c r="B72" s="24" t="s">
        <v>219</v>
      </c>
      <c r="C72" s="24" t="s">
        <v>397</v>
      </c>
      <c r="D72" s="24">
        <v>1760000</v>
      </c>
      <c r="E72" s="24" t="s">
        <v>685</v>
      </c>
      <c r="F72" s="24" t="str">
        <f t="shared" si="2"/>
        <v>rtdc.l.rtdc.4009:itc</v>
      </c>
      <c r="G72" s="8">
        <f t="shared" si="3"/>
        <v>42599.42046296296</v>
      </c>
    </row>
    <row r="73" spans="1:7" x14ac:dyDescent="0.25">
      <c r="A73" s="8">
        <v>42599.429490740738</v>
      </c>
      <c r="B73" s="24" t="s">
        <v>683</v>
      </c>
      <c r="C73" s="24" t="s">
        <v>598</v>
      </c>
      <c r="D73" s="24">
        <v>2150000</v>
      </c>
      <c r="E73" s="24" t="s">
        <v>245</v>
      </c>
      <c r="F73" s="24" t="str">
        <f t="shared" si="2"/>
        <v>rtdc.l.rtdc.4007:itc</v>
      </c>
      <c r="G73" s="8">
        <f t="shared" si="3"/>
        <v>42599.429490740738</v>
      </c>
    </row>
    <row r="74" spans="1:7" x14ac:dyDescent="0.25">
      <c r="A74" s="8">
        <v>42599.433032407411</v>
      </c>
      <c r="B74" s="24" t="s">
        <v>301</v>
      </c>
      <c r="C74" s="24" t="s">
        <v>401</v>
      </c>
      <c r="D74" s="24">
        <v>1110000</v>
      </c>
      <c r="E74" s="24" t="s">
        <v>234</v>
      </c>
      <c r="F74" s="24" t="str">
        <f t="shared" si="2"/>
        <v>rtdc.l.rtdc.4002:itc</v>
      </c>
      <c r="G74" s="8">
        <f t="shared" si="3"/>
        <v>42599.433032407411</v>
      </c>
    </row>
    <row r="75" spans="1:7" x14ac:dyDescent="0.25">
      <c r="A75" s="8">
        <v>42599.438831018517</v>
      </c>
      <c r="B75" s="24" t="s">
        <v>117</v>
      </c>
      <c r="C75" s="24" t="s">
        <v>404</v>
      </c>
      <c r="D75" s="24">
        <v>2030000</v>
      </c>
      <c r="E75" s="24" t="s">
        <v>308</v>
      </c>
      <c r="F75" s="24" t="str">
        <f t="shared" si="2"/>
        <v>rtdc.l.rtdc.4014:itc</v>
      </c>
      <c r="G75" s="8">
        <f t="shared" si="3"/>
        <v>42599.438831018517</v>
      </c>
    </row>
    <row r="76" spans="1:7" x14ac:dyDescent="0.25">
      <c r="A76" s="8">
        <v>42599.442407407405</v>
      </c>
      <c r="B76" s="24" t="s">
        <v>198</v>
      </c>
      <c r="C76" s="24" t="s">
        <v>600</v>
      </c>
      <c r="D76" s="24">
        <v>2150000</v>
      </c>
      <c r="E76" s="24" t="s">
        <v>245</v>
      </c>
      <c r="F76" s="24" t="str">
        <f t="shared" si="2"/>
        <v>rtdc.l.rtdc.4008:itc</v>
      </c>
      <c r="G76" s="8">
        <f t="shared" si="3"/>
        <v>42599.442407407405</v>
      </c>
    </row>
    <row r="77" spans="1:7" x14ac:dyDescent="0.25">
      <c r="A77" s="8">
        <v>42599.443113425928</v>
      </c>
      <c r="B77" s="24" t="s">
        <v>303</v>
      </c>
      <c r="C77" s="24" t="s">
        <v>393</v>
      </c>
      <c r="D77" s="24">
        <v>1190000</v>
      </c>
      <c r="E77" s="24" t="s">
        <v>309</v>
      </c>
      <c r="F77" s="24" t="str">
        <f t="shared" si="2"/>
        <v>rtdc.l.rtdc.4017:itc</v>
      </c>
      <c r="G77" s="8">
        <f t="shared" si="3"/>
        <v>42599.443113425928</v>
      </c>
    </row>
    <row r="78" spans="1:7" x14ac:dyDescent="0.25">
      <c r="A78" s="8">
        <v>42599.450428240743</v>
      </c>
      <c r="B78" s="24" t="s">
        <v>680</v>
      </c>
      <c r="C78" s="24" t="s">
        <v>395</v>
      </c>
      <c r="D78" s="24">
        <v>1260000</v>
      </c>
      <c r="E78" s="24" t="s">
        <v>220</v>
      </c>
      <c r="F78" s="24" t="str">
        <f t="shared" si="2"/>
        <v>rtdc.l.rtdc.4026:itc</v>
      </c>
      <c r="G78" s="8">
        <f t="shared" si="3"/>
        <v>42599.450428240743</v>
      </c>
    </row>
    <row r="79" spans="1:7" x14ac:dyDescent="0.25">
      <c r="A79" s="8">
        <v>42599.451805555553</v>
      </c>
      <c r="B79" s="24" t="s">
        <v>199</v>
      </c>
      <c r="C79" s="24" t="s">
        <v>407</v>
      </c>
      <c r="D79" s="24">
        <v>940000</v>
      </c>
      <c r="E79" s="24" t="s">
        <v>687</v>
      </c>
      <c r="F79" s="24" t="str">
        <f t="shared" si="2"/>
        <v>rtdc.l.rtdc.4020:itc</v>
      </c>
      <c r="G79" s="8">
        <f t="shared" si="3"/>
        <v>42599.451805555553</v>
      </c>
    </row>
    <row r="80" spans="1:7" x14ac:dyDescent="0.25">
      <c r="A80" s="8">
        <v>42599.45412037037</v>
      </c>
      <c r="B80" s="24" t="s">
        <v>199</v>
      </c>
      <c r="C80" s="24" t="s">
        <v>407</v>
      </c>
      <c r="D80" s="24">
        <v>940000</v>
      </c>
      <c r="E80" s="24" t="s">
        <v>687</v>
      </c>
      <c r="F80" s="24" t="str">
        <f t="shared" si="2"/>
        <v>rtdc.l.rtdc.4020:itc</v>
      </c>
      <c r="G80" s="8">
        <f t="shared" si="3"/>
        <v>42599.45412037037</v>
      </c>
    </row>
    <row r="81" spans="1:7" x14ac:dyDescent="0.25">
      <c r="A81" s="8">
        <v>42599.460578703707</v>
      </c>
      <c r="B81" s="24" t="s">
        <v>96</v>
      </c>
      <c r="C81" s="24" t="s">
        <v>410</v>
      </c>
      <c r="D81" s="24">
        <v>1830000</v>
      </c>
      <c r="E81" s="24" t="s">
        <v>688</v>
      </c>
      <c r="F81" s="24" t="str">
        <f t="shared" si="2"/>
        <v>rtdc.l.rtdc.4027:itc</v>
      </c>
      <c r="G81" s="8">
        <f t="shared" si="3"/>
        <v>42599.460578703707</v>
      </c>
    </row>
    <row r="82" spans="1:7" x14ac:dyDescent="0.25">
      <c r="A82" s="8">
        <v>42599.462094907409</v>
      </c>
      <c r="B82" s="24" t="s">
        <v>222</v>
      </c>
      <c r="C82" s="24" t="s">
        <v>399</v>
      </c>
      <c r="D82" s="24">
        <v>1760000</v>
      </c>
      <c r="E82" s="24" t="s">
        <v>685</v>
      </c>
      <c r="F82" s="24" t="str">
        <f t="shared" si="2"/>
        <v>rtdc.l.rtdc.4010:itc</v>
      </c>
      <c r="G82" s="8">
        <f t="shared" si="3"/>
        <v>42599.462094907409</v>
      </c>
    </row>
    <row r="83" spans="1:7" x14ac:dyDescent="0.25">
      <c r="A83" s="8">
        <v>42599.471203703702</v>
      </c>
      <c r="B83" s="24" t="s">
        <v>683</v>
      </c>
      <c r="C83" s="24" t="s">
        <v>602</v>
      </c>
      <c r="D83" s="24">
        <v>2150000</v>
      </c>
      <c r="E83" s="24" t="s">
        <v>245</v>
      </c>
      <c r="F83" s="24" t="str">
        <f t="shared" si="2"/>
        <v>rtdc.l.rtdc.4007:itc</v>
      </c>
      <c r="G83" s="8">
        <f t="shared" si="3"/>
        <v>42599.471203703702</v>
      </c>
    </row>
    <row r="84" spans="1:7" x14ac:dyDescent="0.25">
      <c r="A84" s="8">
        <v>42599.476145833331</v>
      </c>
      <c r="B84" s="24" t="s">
        <v>302</v>
      </c>
      <c r="C84" s="24" t="s">
        <v>402</v>
      </c>
      <c r="D84" s="24">
        <v>1110000</v>
      </c>
      <c r="E84" s="24" t="s">
        <v>234</v>
      </c>
      <c r="F84" s="24" t="str">
        <f t="shared" si="2"/>
        <v>rtdc.l.rtdc.4001:itc</v>
      </c>
      <c r="G84" s="8">
        <f t="shared" si="3"/>
        <v>42599.476145833331</v>
      </c>
    </row>
    <row r="85" spans="1:7" x14ac:dyDescent="0.25">
      <c r="A85" s="8">
        <v>42599.476388888892</v>
      </c>
      <c r="B85" s="24" t="s">
        <v>300</v>
      </c>
      <c r="C85" s="24" t="s">
        <v>412</v>
      </c>
      <c r="D85" s="24">
        <v>1540000</v>
      </c>
      <c r="E85" s="24" t="s">
        <v>248</v>
      </c>
      <c r="F85" s="24" t="str">
        <f t="shared" si="2"/>
        <v>rtdc.l.rtdc.4003:itc</v>
      </c>
      <c r="G85" s="8">
        <f t="shared" si="3"/>
        <v>42599.476388888892</v>
      </c>
    </row>
    <row r="86" spans="1:7" x14ac:dyDescent="0.25">
      <c r="A86" s="8">
        <v>42599.484618055554</v>
      </c>
      <c r="B86" s="24" t="s">
        <v>198</v>
      </c>
      <c r="C86" s="24" t="s">
        <v>604</v>
      </c>
      <c r="D86" s="24">
        <v>2150000</v>
      </c>
      <c r="E86" s="24" t="s">
        <v>245</v>
      </c>
      <c r="F86" s="24" t="str">
        <f t="shared" si="2"/>
        <v>rtdc.l.rtdc.4008:itc</v>
      </c>
      <c r="G86" s="8">
        <f t="shared" si="3"/>
        <v>42599.484618055554</v>
      </c>
    </row>
    <row r="87" spans="1:7" x14ac:dyDescent="0.25">
      <c r="A87" s="8">
        <v>42599.486620370371</v>
      </c>
      <c r="B87" s="24" t="s">
        <v>93</v>
      </c>
      <c r="C87" s="24" t="s">
        <v>405</v>
      </c>
      <c r="D87" s="24">
        <v>2030000</v>
      </c>
      <c r="E87" s="24" t="s">
        <v>308</v>
      </c>
      <c r="F87" s="24" t="str">
        <f t="shared" si="2"/>
        <v>rtdc.l.rtdc.4013:itc</v>
      </c>
      <c r="G87" s="8">
        <f t="shared" si="3"/>
        <v>42599.486620370371</v>
      </c>
    </row>
    <row r="88" spans="1:7" x14ac:dyDescent="0.25">
      <c r="A88" s="8">
        <v>42599.493032407408</v>
      </c>
      <c r="B88" s="24" t="s">
        <v>682</v>
      </c>
      <c r="C88" s="24" t="s">
        <v>414</v>
      </c>
      <c r="D88" s="24">
        <v>1740000</v>
      </c>
      <c r="E88" s="24" t="s">
        <v>221</v>
      </c>
      <c r="F88" s="24" t="str">
        <f t="shared" si="2"/>
        <v>rtdc.l.rtdc.4025:itc</v>
      </c>
      <c r="G88" s="8">
        <f t="shared" si="3"/>
        <v>42599.493032407408</v>
      </c>
    </row>
    <row r="89" spans="1:7" x14ac:dyDescent="0.25">
      <c r="A89" s="8">
        <v>42599.496134259258</v>
      </c>
      <c r="B89" s="24" t="s">
        <v>202</v>
      </c>
      <c r="C89" s="24" t="s">
        <v>409</v>
      </c>
      <c r="D89" s="24">
        <v>940000</v>
      </c>
      <c r="E89" s="24" t="s">
        <v>687</v>
      </c>
      <c r="F89" s="24" t="str">
        <f t="shared" si="2"/>
        <v>rtdc.l.rtdc.4019:itc</v>
      </c>
      <c r="G89" s="8">
        <f t="shared" si="3"/>
        <v>42599.496134259258</v>
      </c>
    </row>
    <row r="90" spans="1:7" x14ac:dyDescent="0.25">
      <c r="A90" s="8">
        <v>42599.497048611112</v>
      </c>
      <c r="B90" s="24" t="s">
        <v>202</v>
      </c>
      <c r="C90" s="24" t="s">
        <v>409</v>
      </c>
      <c r="D90" s="24">
        <v>940000</v>
      </c>
      <c r="E90" s="24" t="s">
        <v>687</v>
      </c>
      <c r="F90" s="24" t="str">
        <f t="shared" si="2"/>
        <v>rtdc.l.rtdc.4019:itc</v>
      </c>
      <c r="G90" s="8">
        <f t="shared" si="3"/>
        <v>42599.497048611112</v>
      </c>
    </row>
    <row r="91" spans="1:7" x14ac:dyDescent="0.25">
      <c r="A91" s="8">
        <v>42599.497303240743</v>
      </c>
      <c r="B91" s="24" t="s">
        <v>168</v>
      </c>
      <c r="C91" s="24" t="s">
        <v>411</v>
      </c>
      <c r="D91" s="24">
        <v>1830000</v>
      </c>
      <c r="E91" s="24" t="s">
        <v>688</v>
      </c>
      <c r="F91" s="24" t="str">
        <f t="shared" si="2"/>
        <v>rtdc.l.rtdc.4028:itc</v>
      </c>
      <c r="G91" s="8">
        <f t="shared" si="3"/>
        <v>42599.497303240743</v>
      </c>
    </row>
    <row r="92" spans="1:7" x14ac:dyDescent="0.25">
      <c r="A92" s="8">
        <v>42599.502523148149</v>
      </c>
      <c r="B92" s="24" t="s">
        <v>219</v>
      </c>
      <c r="C92" s="24" t="s">
        <v>418</v>
      </c>
      <c r="D92" s="24">
        <v>2000000</v>
      </c>
      <c r="E92" s="24" t="s">
        <v>158</v>
      </c>
      <c r="F92" s="24" t="str">
        <f t="shared" si="2"/>
        <v>rtdc.l.rtdc.4009:itc</v>
      </c>
      <c r="G92" s="8">
        <f t="shared" si="3"/>
        <v>42599.502523148149</v>
      </c>
    </row>
    <row r="93" spans="1:7" x14ac:dyDescent="0.25">
      <c r="A93" s="8">
        <v>42599.505115740743</v>
      </c>
      <c r="B93" s="24" t="s">
        <v>683</v>
      </c>
      <c r="C93" s="24" t="s">
        <v>605</v>
      </c>
      <c r="D93" s="24">
        <v>2150000</v>
      </c>
      <c r="E93" s="24" t="s">
        <v>245</v>
      </c>
      <c r="F93" s="24" t="str">
        <f t="shared" si="2"/>
        <v>rtdc.l.rtdc.4007:itc</v>
      </c>
      <c r="G93" s="8">
        <f t="shared" si="3"/>
        <v>42599.505115740743</v>
      </c>
    </row>
    <row r="94" spans="1:7" x14ac:dyDescent="0.25">
      <c r="A94" s="8">
        <v>42599.512916666667</v>
      </c>
      <c r="B94" s="24" t="s">
        <v>306</v>
      </c>
      <c r="C94" s="24" t="s">
        <v>413</v>
      </c>
      <c r="D94" s="24">
        <v>1540000</v>
      </c>
      <c r="E94" s="24" t="s">
        <v>248</v>
      </c>
      <c r="F94" s="24" t="str">
        <f t="shared" si="2"/>
        <v>rtdc.l.rtdc.4004:itc</v>
      </c>
      <c r="G94" s="8">
        <f t="shared" si="3"/>
        <v>42599.512916666667</v>
      </c>
    </row>
    <row r="95" spans="1:7" x14ac:dyDescent="0.25">
      <c r="A95" s="8">
        <v>42599.51353009259</v>
      </c>
      <c r="B95" s="24" t="s">
        <v>301</v>
      </c>
      <c r="C95" s="24" t="s">
        <v>421</v>
      </c>
      <c r="D95" s="24">
        <v>1770000</v>
      </c>
      <c r="E95" s="24" t="s">
        <v>223</v>
      </c>
      <c r="F95" s="24" t="str">
        <f t="shared" si="2"/>
        <v>rtdc.l.rtdc.4002:itc</v>
      </c>
      <c r="G95" s="8">
        <f t="shared" si="3"/>
        <v>42599.51353009259</v>
      </c>
    </row>
    <row r="96" spans="1:7" x14ac:dyDescent="0.25">
      <c r="A96" s="8">
        <v>42599.520601851851</v>
      </c>
      <c r="B96" s="24" t="s">
        <v>117</v>
      </c>
      <c r="C96" s="24" t="s">
        <v>424</v>
      </c>
      <c r="D96" s="24">
        <v>2030000</v>
      </c>
      <c r="E96" s="24" t="s">
        <v>308</v>
      </c>
      <c r="F96" s="24" t="str">
        <f t="shared" si="2"/>
        <v>rtdc.l.rtdc.4014:itc</v>
      </c>
      <c r="G96" s="8">
        <f t="shared" si="3"/>
        <v>42599.520601851851</v>
      </c>
    </row>
    <row r="97" spans="1:7" x14ac:dyDescent="0.25">
      <c r="A97" s="8">
        <v>42599.525625000002</v>
      </c>
      <c r="B97" s="24" t="s">
        <v>680</v>
      </c>
      <c r="C97" s="24" t="s">
        <v>416</v>
      </c>
      <c r="D97" s="24">
        <v>1740000</v>
      </c>
      <c r="E97" s="24" t="s">
        <v>221</v>
      </c>
      <c r="F97" s="24" t="str">
        <f t="shared" si="2"/>
        <v>rtdc.l.rtdc.4026:itc</v>
      </c>
      <c r="G97" s="8">
        <f t="shared" si="3"/>
        <v>42599.525625000002</v>
      </c>
    </row>
    <row r="98" spans="1:7" x14ac:dyDescent="0.25">
      <c r="A98" s="8">
        <v>42599.526562500003</v>
      </c>
      <c r="B98" s="24" t="s">
        <v>198</v>
      </c>
      <c r="C98" s="24" t="s">
        <v>608</v>
      </c>
      <c r="D98" s="24">
        <v>2150000</v>
      </c>
      <c r="E98" s="24" t="s">
        <v>245</v>
      </c>
      <c r="F98" s="24" t="str">
        <f t="shared" si="2"/>
        <v>rtdc.l.rtdc.4008:itc</v>
      </c>
      <c r="G98" s="8">
        <f t="shared" si="3"/>
        <v>42599.526562500003</v>
      </c>
    </row>
    <row r="99" spans="1:7" x14ac:dyDescent="0.25">
      <c r="A99" s="8">
        <v>42599.529826388891</v>
      </c>
      <c r="B99" s="24" t="s">
        <v>199</v>
      </c>
      <c r="C99" s="24" t="s">
        <v>428</v>
      </c>
      <c r="D99" s="24">
        <v>940000</v>
      </c>
      <c r="E99" s="24" t="s">
        <v>687</v>
      </c>
      <c r="F99" s="24" t="str">
        <f t="shared" si="2"/>
        <v>rtdc.l.rtdc.4020:itc</v>
      </c>
      <c r="G99" s="8">
        <f t="shared" si="3"/>
        <v>42599.529826388891</v>
      </c>
    </row>
    <row r="100" spans="1:7" x14ac:dyDescent="0.25">
      <c r="A100" s="8">
        <v>42599.536111111112</v>
      </c>
      <c r="B100" s="24" t="s">
        <v>96</v>
      </c>
      <c r="C100" s="24" t="s">
        <v>432</v>
      </c>
      <c r="D100" s="24">
        <v>1830000</v>
      </c>
      <c r="E100" s="24" t="s">
        <v>688</v>
      </c>
      <c r="F100" s="24" t="str">
        <f t="shared" si="2"/>
        <v>rtdc.l.rtdc.4027:itc</v>
      </c>
      <c r="G100" s="8">
        <f t="shared" si="3"/>
        <v>42599.536111111112</v>
      </c>
    </row>
    <row r="101" spans="1:7" x14ac:dyDescent="0.25">
      <c r="A101" s="8">
        <v>42599.538541666669</v>
      </c>
      <c r="B101" s="24" t="s">
        <v>222</v>
      </c>
      <c r="C101" s="24" t="s">
        <v>419</v>
      </c>
      <c r="D101" s="24">
        <v>2000000</v>
      </c>
      <c r="E101" s="24" t="s">
        <v>158</v>
      </c>
      <c r="F101" s="24" t="str">
        <f t="shared" si="2"/>
        <v>rtdc.l.rtdc.4010:itc</v>
      </c>
      <c r="G101" s="8">
        <f t="shared" si="3"/>
        <v>42599.538541666669</v>
      </c>
    </row>
    <row r="102" spans="1:7" x14ac:dyDescent="0.25">
      <c r="A102" s="8">
        <v>42599.542222222219</v>
      </c>
      <c r="B102" s="24" t="s">
        <v>96</v>
      </c>
      <c r="C102" s="24" t="s">
        <v>432</v>
      </c>
      <c r="D102" s="24">
        <v>1830000</v>
      </c>
      <c r="E102" s="24" t="s">
        <v>688</v>
      </c>
      <c r="F102" s="24" t="str">
        <f t="shared" si="2"/>
        <v>rtdc.l.rtdc.4027:itc</v>
      </c>
      <c r="G102" s="8">
        <f t="shared" si="3"/>
        <v>42599.542222222219</v>
      </c>
    </row>
    <row r="103" spans="1:7" x14ac:dyDescent="0.25">
      <c r="A103" s="8">
        <v>42599.543379629627</v>
      </c>
      <c r="B103" s="24" t="s">
        <v>96</v>
      </c>
      <c r="C103" s="24" t="s">
        <v>432</v>
      </c>
      <c r="D103" s="24">
        <v>1830000</v>
      </c>
      <c r="E103" s="24" t="s">
        <v>688</v>
      </c>
      <c r="F103" s="24" t="str">
        <f t="shared" si="2"/>
        <v>rtdc.l.rtdc.4027:itc</v>
      </c>
      <c r="G103" s="8">
        <f t="shared" si="3"/>
        <v>42599.543379629627</v>
      </c>
    </row>
    <row r="104" spans="1:7" x14ac:dyDescent="0.25">
      <c r="A104" s="8">
        <v>42599.546446759261</v>
      </c>
      <c r="B104" s="24" t="s">
        <v>302</v>
      </c>
      <c r="C104" s="24" t="s">
        <v>423</v>
      </c>
      <c r="D104" s="24">
        <v>1770000</v>
      </c>
      <c r="E104" s="24" t="s">
        <v>223</v>
      </c>
      <c r="F104" s="24" t="str">
        <f t="shared" si="2"/>
        <v>rtdc.l.rtdc.4001:itc</v>
      </c>
      <c r="G104" s="8">
        <f t="shared" si="3"/>
        <v>42599.546446759261</v>
      </c>
    </row>
    <row r="105" spans="1:7" x14ac:dyDescent="0.25">
      <c r="A105" s="8">
        <v>42599.548368055555</v>
      </c>
      <c r="B105" s="24" t="s">
        <v>300</v>
      </c>
      <c r="C105" s="24" t="s">
        <v>435</v>
      </c>
      <c r="D105" s="24">
        <v>1540000</v>
      </c>
      <c r="E105" s="24" t="s">
        <v>248</v>
      </c>
      <c r="F105" s="24" t="str">
        <f t="shared" si="2"/>
        <v>rtdc.l.rtdc.4003:itc</v>
      </c>
      <c r="G105" s="8">
        <f t="shared" si="3"/>
        <v>42599.548368055555</v>
      </c>
    </row>
    <row r="106" spans="1:7" x14ac:dyDescent="0.25">
      <c r="A106" s="8">
        <v>42599.55190972222</v>
      </c>
      <c r="B106" s="24" t="s">
        <v>683</v>
      </c>
      <c r="C106" s="24" t="s">
        <v>611</v>
      </c>
      <c r="D106" s="24">
        <v>2040000</v>
      </c>
      <c r="E106" s="24" t="s">
        <v>689</v>
      </c>
      <c r="F106" s="24" t="str">
        <f t="shared" si="2"/>
        <v>rtdc.l.rtdc.4007:itc</v>
      </c>
      <c r="G106" s="8">
        <f t="shared" si="3"/>
        <v>42599.55190972222</v>
      </c>
    </row>
    <row r="107" spans="1:7" x14ac:dyDescent="0.25">
      <c r="A107" s="8">
        <v>42599.557708333334</v>
      </c>
      <c r="B107" s="24" t="s">
        <v>682</v>
      </c>
      <c r="C107" s="24" t="s">
        <v>439</v>
      </c>
      <c r="D107" s="24">
        <v>1740000</v>
      </c>
      <c r="E107" s="24" t="s">
        <v>221</v>
      </c>
      <c r="F107" s="24" t="str">
        <f t="shared" si="2"/>
        <v>rtdc.l.rtdc.4025:itc</v>
      </c>
      <c r="G107" s="8">
        <f t="shared" si="3"/>
        <v>42599.557708333334</v>
      </c>
    </row>
    <row r="108" spans="1:7" x14ac:dyDescent="0.25">
      <c r="A108" s="8">
        <v>42599.558310185188</v>
      </c>
      <c r="B108" s="24" t="s">
        <v>93</v>
      </c>
      <c r="C108" s="24" t="s">
        <v>426</v>
      </c>
      <c r="D108" s="24">
        <v>2030000</v>
      </c>
      <c r="E108" s="24" t="s">
        <v>308</v>
      </c>
      <c r="F108" s="24" t="str">
        <f t="shared" si="2"/>
        <v>rtdc.l.rtdc.4013:itc</v>
      </c>
      <c r="G108" s="8">
        <f t="shared" si="3"/>
        <v>42599.558310185188</v>
      </c>
    </row>
    <row r="109" spans="1:7" x14ac:dyDescent="0.25">
      <c r="A109" s="8">
        <v>42599.563888888886</v>
      </c>
      <c r="B109" s="24" t="s">
        <v>202</v>
      </c>
      <c r="C109" s="24" t="s">
        <v>430</v>
      </c>
      <c r="D109" s="24">
        <v>940000</v>
      </c>
      <c r="E109" s="24" t="s">
        <v>687</v>
      </c>
      <c r="F109" s="24" t="str">
        <f t="shared" si="2"/>
        <v>rtdc.l.rtdc.4019:itc</v>
      </c>
      <c r="G109" s="8">
        <f t="shared" si="3"/>
        <v>42599.563888888886</v>
      </c>
    </row>
    <row r="110" spans="1:7" x14ac:dyDescent="0.25">
      <c r="A110" s="8">
        <v>42599.567442129628</v>
      </c>
      <c r="B110" s="24" t="s">
        <v>219</v>
      </c>
      <c r="C110" s="24" t="s">
        <v>444</v>
      </c>
      <c r="D110" s="24">
        <v>2000000</v>
      </c>
      <c r="E110" s="24" t="s">
        <v>158</v>
      </c>
      <c r="F110" s="24" t="str">
        <f t="shared" si="2"/>
        <v>rtdc.l.rtdc.4009:itc</v>
      </c>
      <c r="G110" s="8">
        <f t="shared" si="3"/>
        <v>42599.567442129628</v>
      </c>
    </row>
    <row r="111" spans="1:7" x14ac:dyDescent="0.25">
      <c r="A111" s="8">
        <v>42599.569016203706</v>
      </c>
      <c r="B111" s="24" t="s">
        <v>168</v>
      </c>
      <c r="C111" s="24" t="s">
        <v>434</v>
      </c>
      <c r="D111" s="24">
        <v>1830000</v>
      </c>
      <c r="E111" s="24" t="s">
        <v>688</v>
      </c>
      <c r="F111" s="24" t="str">
        <f t="shared" si="2"/>
        <v>rtdc.l.rtdc.4028:itc</v>
      </c>
      <c r="G111" s="8">
        <f t="shared" si="3"/>
        <v>42599.569016203706</v>
      </c>
    </row>
    <row r="112" spans="1:7" x14ac:dyDescent="0.25">
      <c r="A112" s="8">
        <v>42599.572164351855</v>
      </c>
      <c r="B112" s="24" t="s">
        <v>198</v>
      </c>
      <c r="C112" s="24" t="s">
        <v>614</v>
      </c>
      <c r="D112" s="24">
        <v>2040000</v>
      </c>
      <c r="E112" s="24" t="s">
        <v>689</v>
      </c>
      <c r="F112" s="24" t="str">
        <f t="shared" si="2"/>
        <v>rtdc.l.rtdc.4008:itc</v>
      </c>
      <c r="G112" s="8">
        <f t="shared" si="3"/>
        <v>42599.572164351855</v>
      </c>
    </row>
    <row r="113" spans="1:7" x14ac:dyDescent="0.25">
      <c r="A113" s="8">
        <v>42599.579895833333</v>
      </c>
      <c r="B113" s="24" t="s">
        <v>301</v>
      </c>
      <c r="C113" s="24" t="s">
        <v>448</v>
      </c>
      <c r="D113" s="24">
        <v>1770000</v>
      </c>
      <c r="E113" s="24" t="s">
        <v>223</v>
      </c>
      <c r="F113" s="24" t="str">
        <f t="shared" si="2"/>
        <v>rtdc.l.rtdc.4002:itc</v>
      </c>
      <c r="G113" s="8">
        <f t="shared" si="3"/>
        <v>42599.579895833333</v>
      </c>
    </row>
    <row r="114" spans="1:7" x14ac:dyDescent="0.25">
      <c r="A114" s="8">
        <v>42599.585011574076</v>
      </c>
      <c r="B114" s="24" t="s">
        <v>306</v>
      </c>
      <c r="C114" s="24" t="s">
        <v>437</v>
      </c>
      <c r="D114" s="24">
        <v>1540000</v>
      </c>
      <c r="E114" s="24" t="s">
        <v>248</v>
      </c>
      <c r="F114" s="24" t="str">
        <f t="shared" si="2"/>
        <v>rtdc.l.rtdc.4004:itc</v>
      </c>
      <c r="G114" s="8">
        <f t="shared" si="3"/>
        <v>42599.585011574076</v>
      </c>
    </row>
    <row r="115" spans="1:7" x14ac:dyDescent="0.25">
      <c r="A115" s="8">
        <v>42599.592291666668</v>
      </c>
      <c r="B115" s="24" t="s">
        <v>117</v>
      </c>
      <c r="C115" s="24" t="s">
        <v>450</v>
      </c>
      <c r="D115" s="24">
        <v>2030000</v>
      </c>
      <c r="E115" s="24" t="s">
        <v>308</v>
      </c>
      <c r="F115" s="24" t="str">
        <f t="shared" si="2"/>
        <v>rtdc.l.rtdc.4014:itc</v>
      </c>
      <c r="G115" s="8">
        <f t="shared" si="3"/>
        <v>42599.592291666668</v>
      </c>
    </row>
    <row r="116" spans="1:7" x14ac:dyDescent="0.25">
      <c r="A116" s="8">
        <v>42599.593217592592</v>
      </c>
      <c r="B116" s="24" t="s">
        <v>683</v>
      </c>
      <c r="C116" s="24" t="s">
        <v>617</v>
      </c>
      <c r="D116" s="24">
        <v>2040000</v>
      </c>
      <c r="E116" s="24" t="s">
        <v>689</v>
      </c>
      <c r="F116" s="24" t="str">
        <f t="shared" si="2"/>
        <v>rtdc.l.rtdc.4007:itc</v>
      </c>
      <c r="G116" s="8">
        <f t="shared" si="3"/>
        <v>42599.593217592592</v>
      </c>
    </row>
    <row r="117" spans="1:7" x14ac:dyDescent="0.25">
      <c r="A117" s="8">
        <v>42599.596562500003</v>
      </c>
      <c r="B117" s="24" t="s">
        <v>680</v>
      </c>
      <c r="C117" s="24" t="s">
        <v>441</v>
      </c>
      <c r="D117" s="24">
        <v>1740000</v>
      </c>
      <c r="E117" s="24" t="s">
        <v>221</v>
      </c>
      <c r="F117" s="24" t="str">
        <f t="shared" si="2"/>
        <v>rtdc.l.rtdc.4026:itc</v>
      </c>
      <c r="G117" s="8">
        <f t="shared" si="3"/>
        <v>42599.596562500003</v>
      </c>
    </row>
    <row r="118" spans="1:7" x14ac:dyDescent="0.25">
      <c r="A118" s="8">
        <v>42599.59915509259</v>
      </c>
      <c r="B118" s="24" t="s">
        <v>199</v>
      </c>
      <c r="C118" s="24" t="s">
        <v>452</v>
      </c>
      <c r="D118" s="24">
        <v>940000</v>
      </c>
      <c r="E118" s="24" t="s">
        <v>687</v>
      </c>
      <c r="F118" s="24" t="str">
        <f t="shared" si="2"/>
        <v>rtdc.l.rtdc.4020:itc</v>
      </c>
      <c r="G118" s="8">
        <f t="shared" si="3"/>
        <v>42599.59915509259</v>
      </c>
    </row>
    <row r="119" spans="1:7" x14ac:dyDescent="0.25">
      <c r="A119" s="8">
        <v>42599.60800925926</v>
      </c>
      <c r="B119" s="24" t="s">
        <v>96</v>
      </c>
      <c r="C119" s="24" t="s">
        <v>455</v>
      </c>
      <c r="D119" s="24">
        <v>1830000</v>
      </c>
      <c r="E119" s="24" t="s">
        <v>688</v>
      </c>
      <c r="F119" s="24" t="str">
        <f t="shared" si="2"/>
        <v>rtdc.l.rtdc.4027:itc</v>
      </c>
      <c r="G119" s="8">
        <f t="shared" si="3"/>
        <v>42599.60800925926</v>
      </c>
    </row>
    <row r="120" spans="1:7" x14ac:dyDescent="0.25">
      <c r="A120" s="8">
        <v>42599.610520833332</v>
      </c>
      <c r="B120" s="24" t="s">
        <v>222</v>
      </c>
      <c r="C120" s="24" t="s">
        <v>446</v>
      </c>
      <c r="D120" s="24">
        <v>2000000</v>
      </c>
      <c r="E120" s="24" t="s">
        <v>158</v>
      </c>
      <c r="F120" s="24" t="str">
        <f t="shared" si="2"/>
        <v>rtdc.l.rtdc.4010:itc</v>
      </c>
      <c r="G120" s="8">
        <f t="shared" si="3"/>
        <v>42599.610520833332</v>
      </c>
    </row>
    <row r="121" spans="1:7" x14ac:dyDescent="0.25">
      <c r="A121" s="8">
        <v>42599.610613425924</v>
      </c>
      <c r="B121" s="24" t="s">
        <v>198</v>
      </c>
      <c r="C121" s="24" t="s">
        <v>619</v>
      </c>
      <c r="D121" s="24">
        <v>2040000</v>
      </c>
      <c r="E121" s="24" t="s">
        <v>689</v>
      </c>
      <c r="F121" s="24" t="str">
        <f t="shared" si="2"/>
        <v>rtdc.l.rtdc.4008:itc</v>
      </c>
      <c r="G121" s="8">
        <f t="shared" si="3"/>
        <v>42599.610613425924</v>
      </c>
    </row>
    <row r="122" spans="1:7" x14ac:dyDescent="0.25">
      <c r="A122" s="8">
        <v>42599.616562499999</v>
      </c>
      <c r="B122" s="29" t="s">
        <v>302</v>
      </c>
      <c r="C122" s="24" t="s">
        <v>449</v>
      </c>
      <c r="D122" s="24">
        <v>1770000</v>
      </c>
      <c r="E122" s="24" t="s">
        <v>223</v>
      </c>
      <c r="F122" s="24" t="str">
        <f t="shared" si="2"/>
        <v>rtdc.l.rtdc.4001:itc</v>
      </c>
      <c r="G122" s="8">
        <f t="shared" si="3"/>
        <v>42599.616562499999</v>
      </c>
    </row>
    <row r="123" spans="1:7" x14ac:dyDescent="0.25">
      <c r="A123" s="8">
        <v>42599.622233796297</v>
      </c>
      <c r="B123" s="24" t="s">
        <v>304</v>
      </c>
      <c r="C123" s="24" t="s">
        <v>457</v>
      </c>
      <c r="D123" s="24">
        <v>1540000</v>
      </c>
      <c r="E123" s="24" t="s">
        <v>248</v>
      </c>
      <c r="F123" s="24" t="str">
        <f t="shared" si="2"/>
        <v>rtdc.l.rtdc.4018:itc</v>
      </c>
      <c r="G123" s="8">
        <f t="shared" si="3"/>
        <v>42599.622233796297</v>
      </c>
    </row>
    <row r="124" spans="1:7" x14ac:dyDescent="0.25">
      <c r="A124" s="8">
        <v>42599.627685185187</v>
      </c>
      <c r="B124" s="24" t="s">
        <v>93</v>
      </c>
      <c r="C124" s="24" t="s">
        <v>451</v>
      </c>
      <c r="D124" s="24">
        <v>2030000</v>
      </c>
      <c r="E124" s="24" t="s">
        <v>308</v>
      </c>
      <c r="F124" s="24" t="str">
        <f t="shared" si="2"/>
        <v>rtdc.l.rtdc.4013:itc</v>
      </c>
      <c r="G124" s="8">
        <f t="shared" si="3"/>
        <v>42599.627685185187</v>
      </c>
    </row>
    <row r="125" spans="1:7" x14ac:dyDescent="0.25">
      <c r="A125" s="8">
        <v>42599.634039351855</v>
      </c>
      <c r="B125" s="24" t="s">
        <v>682</v>
      </c>
      <c r="C125" s="24" t="s">
        <v>460</v>
      </c>
      <c r="D125" s="24">
        <v>1740000</v>
      </c>
      <c r="E125" s="24" t="s">
        <v>221</v>
      </c>
      <c r="F125" s="24" t="str">
        <f t="shared" si="2"/>
        <v>rtdc.l.rtdc.4025:itc</v>
      </c>
      <c r="G125" s="8">
        <f t="shared" si="3"/>
        <v>42599.634039351855</v>
      </c>
    </row>
    <row r="126" spans="1:7" x14ac:dyDescent="0.25">
      <c r="A126" s="8">
        <v>42599.63685185185</v>
      </c>
      <c r="B126" s="24" t="s">
        <v>202</v>
      </c>
      <c r="C126" s="24" t="s">
        <v>454</v>
      </c>
      <c r="D126" s="24">
        <v>940000</v>
      </c>
      <c r="E126" s="24" t="s">
        <v>687</v>
      </c>
      <c r="F126" s="24" t="str">
        <f t="shared" si="2"/>
        <v>rtdc.l.rtdc.4019:itc</v>
      </c>
      <c r="G126" s="8">
        <f t="shared" si="3"/>
        <v>42599.63685185185</v>
      </c>
    </row>
    <row r="127" spans="1:7" x14ac:dyDescent="0.25">
      <c r="A127" s="8">
        <v>42599.637025462966</v>
      </c>
      <c r="B127" s="24" t="s">
        <v>683</v>
      </c>
      <c r="C127" s="24" t="s">
        <v>621</v>
      </c>
      <c r="D127" s="24">
        <v>2040000</v>
      </c>
      <c r="E127" s="24" t="s">
        <v>689</v>
      </c>
      <c r="F127" s="24" t="str">
        <f t="shared" si="2"/>
        <v>rtdc.l.rtdc.4007:itc</v>
      </c>
      <c r="G127" s="8">
        <f t="shared" si="3"/>
        <v>42599.637025462966</v>
      </c>
    </row>
    <row r="128" spans="1:7" x14ac:dyDescent="0.25">
      <c r="A128" s="8">
        <v>42599.640092592592</v>
      </c>
      <c r="B128" s="24" t="s">
        <v>168</v>
      </c>
      <c r="C128" s="24" t="s">
        <v>456</v>
      </c>
      <c r="D128" s="24">
        <v>1830000</v>
      </c>
      <c r="E128" s="24" t="s">
        <v>688</v>
      </c>
      <c r="F128" s="24" t="str">
        <f t="shared" si="2"/>
        <v>rtdc.l.rtdc.4028:itc</v>
      </c>
      <c r="G128" s="8">
        <f t="shared" si="3"/>
        <v>42599.640092592592</v>
      </c>
    </row>
    <row r="129" spans="1:7" x14ac:dyDescent="0.25">
      <c r="A129" s="8">
        <v>42599.642569444448</v>
      </c>
      <c r="B129" s="24" t="s">
        <v>681</v>
      </c>
      <c r="C129" s="24" t="s">
        <v>671</v>
      </c>
      <c r="D129" s="24">
        <v>2110000</v>
      </c>
      <c r="E129" s="24" t="s">
        <v>249</v>
      </c>
      <c r="F129" s="24" t="str">
        <f t="shared" si="2"/>
        <v>rtdc.l.rtdc.4041:itc</v>
      </c>
      <c r="G129" s="8">
        <f t="shared" si="3"/>
        <v>42599.642569444448</v>
      </c>
    </row>
    <row r="130" spans="1:7" x14ac:dyDescent="0.25">
      <c r="A130" s="8">
        <v>42599.643587962964</v>
      </c>
      <c r="B130" s="24" t="s">
        <v>219</v>
      </c>
      <c r="C130" s="24" t="s">
        <v>464</v>
      </c>
      <c r="D130" s="24">
        <v>2000000</v>
      </c>
      <c r="E130" s="24" t="s">
        <v>158</v>
      </c>
      <c r="F130" s="24" t="str">
        <f t="shared" ref="F130:F193" si="4">B130</f>
        <v>rtdc.l.rtdc.4009:itc</v>
      </c>
      <c r="G130" s="8">
        <f t="shared" ref="G130:G193" si="5">A130</f>
        <v>42599.643587962964</v>
      </c>
    </row>
    <row r="131" spans="1:7" x14ac:dyDescent="0.25">
      <c r="A131" s="8">
        <v>42599.652430555558</v>
      </c>
      <c r="B131" s="24" t="s">
        <v>198</v>
      </c>
      <c r="C131" s="24" t="s">
        <v>624</v>
      </c>
      <c r="D131" s="24">
        <v>2040000</v>
      </c>
      <c r="E131" s="24" t="s">
        <v>689</v>
      </c>
      <c r="F131" s="24" t="str">
        <f t="shared" si="4"/>
        <v>rtdc.l.rtdc.4008:itc</v>
      </c>
      <c r="G131" s="8">
        <f t="shared" si="5"/>
        <v>42599.652430555558</v>
      </c>
    </row>
    <row r="132" spans="1:7" x14ac:dyDescent="0.25">
      <c r="A132" s="8">
        <v>42599.65247685185</v>
      </c>
      <c r="B132" s="24" t="s">
        <v>301</v>
      </c>
      <c r="C132" s="24" t="s">
        <v>467</v>
      </c>
      <c r="D132" s="24">
        <v>1770000</v>
      </c>
      <c r="E132" s="24" t="s">
        <v>223</v>
      </c>
      <c r="F132" s="24" t="str">
        <f t="shared" si="4"/>
        <v>rtdc.l.rtdc.4002:itc</v>
      </c>
      <c r="G132" s="8">
        <f t="shared" si="5"/>
        <v>42599.65247685185</v>
      </c>
    </row>
    <row r="133" spans="1:7" x14ac:dyDescent="0.25">
      <c r="A133" s="8">
        <v>42599.655763888892</v>
      </c>
      <c r="B133" s="24" t="s">
        <v>169</v>
      </c>
      <c r="C133" s="24" t="s">
        <v>627</v>
      </c>
      <c r="D133" s="24">
        <v>2110000</v>
      </c>
      <c r="E133" s="24" t="s">
        <v>249</v>
      </c>
      <c r="F133" s="24" t="str">
        <f t="shared" si="4"/>
        <v>rtdc.l.rtdc.4042:itc</v>
      </c>
      <c r="G133" s="8">
        <f t="shared" si="5"/>
        <v>42599.655763888892</v>
      </c>
    </row>
    <row r="134" spans="1:7" x14ac:dyDescent="0.25">
      <c r="A134" s="8">
        <v>42599.656365740739</v>
      </c>
      <c r="B134" s="24" t="s">
        <v>120</v>
      </c>
      <c r="C134" s="24" t="s">
        <v>690</v>
      </c>
      <c r="D134" s="24">
        <v>750000</v>
      </c>
      <c r="E134" s="24" t="s">
        <v>691</v>
      </c>
      <c r="F134" s="24" t="str">
        <f t="shared" si="4"/>
        <v>rtdc.l.rtdc.4032:itc</v>
      </c>
      <c r="G134" s="8">
        <f t="shared" si="5"/>
        <v>42599.656365740739</v>
      </c>
    </row>
    <row r="135" spans="1:7" x14ac:dyDescent="0.25">
      <c r="A135" s="8">
        <v>42599.657314814816</v>
      </c>
      <c r="B135" s="24" t="s">
        <v>120</v>
      </c>
      <c r="C135" s="24" t="s">
        <v>690</v>
      </c>
      <c r="D135" s="24">
        <v>750000</v>
      </c>
      <c r="E135" s="24" t="s">
        <v>691</v>
      </c>
      <c r="F135" s="24" t="str">
        <f t="shared" si="4"/>
        <v>rtdc.l.rtdc.4032:itc</v>
      </c>
      <c r="G135" s="8">
        <f t="shared" si="5"/>
        <v>42599.657314814816</v>
      </c>
    </row>
    <row r="136" spans="1:7" x14ac:dyDescent="0.25">
      <c r="A136" s="8">
        <v>42599.660277777781</v>
      </c>
      <c r="B136" s="24" t="s">
        <v>303</v>
      </c>
      <c r="C136" s="24" t="s">
        <v>458</v>
      </c>
      <c r="D136" s="24">
        <v>1540000</v>
      </c>
      <c r="E136" s="24" t="s">
        <v>248</v>
      </c>
      <c r="F136" s="24" t="str">
        <f t="shared" si="4"/>
        <v>rtdc.l.rtdc.4017:itc</v>
      </c>
      <c r="G136" s="8">
        <f t="shared" si="5"/>
        <v>42599.660277777781</v>
      </c>
    </row>
    <row r="137" spans="1:7" x14ac:dyDescent="0.25">
      <c r="A137" s="8">
        <v>42599.663946759261</v>
      </c>
      <c r="B137" s="24" t="s">
        <v>117</v>
      </c>
      <c r="C137" s="24" t="s">
        <v>470</v>
      </c>
      <c r="D137" s="24">
        <v>2030000</v>
      </c>
      <c r="E137" s="24" t="s">
        <v>308</v>
      </c>
      <c r="F137" s="24" t="str">
        <f t="shared" si="4"/>
        <v>rtdc.l.rtdc.4014:itc</v>
      </c>
      <c r="G137" s="8">
        <f t="shared" si="5"/>
        <v>42599.663946759261</v>
      </c>
    </row>
    <row r="138" spans="1:7" x14ac:dyDescent="0.25">
      <c r="A138" s="8">
        <v>42599.669988425929</v>
      </c>
      <c r="B138" s="24" t="s">
        <v>680</v>
      </c>
      <c r="C138" s="24" t="s">
        <v>462</v>
      </c>
      <c r="D138" s="24">
        <v>1740000</v>
      </c>
      <c r="E138" s="24" t="s">
        <v>221</v>
      </c>
      <c r="F138" s="24" t="str">
        <f t="shared" si="4"/>
        <v>rtdc.l.rtdc.4026:itc</v>
      </c>
      <c r="G138" s="8">
        <f t="shared" si="5"/>
        <v>42599.669988425929</v>
      </c>
    </row>
    <row r="139" spans="1:7" x14ac:dyDescent="0.25">
      <c r="A139" s="8">
        <v>42599.672129629631</v>
      </c>
      <c r="B139" s="24" t="s">
        <v>199</v>
      </c>
      <c r="C139" s="24" t="s">
        <v>473</v>
      </c>
      <c r="D139" s="24">
        <v>940000</v>
      </c>
      <c r="E139" s="24" t="s">
        <v>687</v>
      </c>
      <c r="F139" s="24" t="str">
        <f t="shared" si="4"/>
        <v>rtdc.l.rtdc.4020:itc</v>
      </c>
      <c r="G139" s="8">
        <f t="shared" si="5"/>
        <v>42599.672129629631</v>
      </c>
    </row>
    <row r="140" spans="1:7" x14ac:dyDescent="0.25">
      <c r="A140" s="8">
        <v>42599.673043981478</v>
      </c>
      <c r="B140" s="24" t="s">
        <v>681</v>
      </c>
      <c r="C140" s="24" t="s">
        <v>629</v>
      </c>
      <c r="D140" s="24">
        <v>2110000</v>
      </c>
      <c r="E140" s="24" t="s">
        <v>249</v>
      </c>
      <c r="F140" s="24" t="str">
        <f t="shared" si="4"/>
        <v>rtdc.l.rtdc.4041:itc</v>
      </c>
      <c r="G140" s="8">
        <f t="shared" si="5"/>
        <v>42599.673043981478</v>
      </c>
    </row>
    <row r="141" spans="1:7" x14ac:dyDescent="0.25">
      <c r="A141" s="8">
        <v>42599.678784722222</v>
      </c>
      <c r="B141" s="24" t="s">
        <v>683</v>
      </c>
      <c r="C141" s="24" t="s">
        <v>632</v>
      </c>
      <c r="D141" s="24">
        <v>2040000</v>
      </c>
      <c r="E141" s="24" t="s">
        <v>689</v>
      </c>
      <c r="F141" s="24" t="str">
        <f t="shared" si="4"/>
        <v>rtdc.l.rtdc.4007:itc</v>
      </c>
      <c r="G141" s="8">
        <f t="shared" si="5"/>
        <v>42599.678784722222</v>
      </c>
    </row>
    <row r="142" spans="1:7" x14ac:dyDescent="0.25">
      <c r="A142" s="8">
        <v>42599.682280092595</v>
      </c>
      <c r="B142" s="24" t="s">
        <v>96</v>
      </c>
      <c r="C142" s="24" t="s">
        <v>475</v>
      </c>
      <c r="D142" s="24">
        <v>1830000</v>
      </c>
      <c r="E142" s="24" t="s">
        <v>688</v>
      </c>
      <c r="F142" s="24" t="str">
        <f t="shared" si="4"/>
        <v>rtdc.l.rtdc.4027:itc</v>
      </c>
      <c r="G142" s="8">
        <f t="shared" si="5"/>
        <v>42599.682280092595</v>
      </c>
    </row>
    <row r="143" spans="1:7" x14ac:dyDescent="0.25">
      <c r="A143" s="8">
        <v>42599.68236111111</v>
      </c>
      <c r="B143" s="24" t="s">
        <v>222</v>
      </c>
      <c r="C143" s="24" t="s">
        <v>466</v>
      </c>
      <c r="D143" s="24">
        <v>2000000</v>
      </c>
      <c r="E143" s="24" t="s">
        <v>158</v>
      </c>
      <c r="F143" s="24" t="str">
        <f t="shared" si="4"/>
        <v>rtdc.l.rtdc.4010:itc</v>
      </c>
      <c r="G143" s="8">
        <f t="shared" si="5"/>
        <v>42599.68236111111</v>
      </c>
    </row>
    <row r="144" spans="1:7" x14ac:dyDescent="0.25">
      <c r="A144" s="8">
        <v>42599.688599537039</v>
      </c>
      <c r="B144" s="24" t="s">
        <v>302</v>
      </c>
      <c r="C144" s="24" t="s">
        <v>469</v>
      </c>
      <c r="D144" s="24">
        <v>1770000</v>
      </c>
      <c r="E144" s="24" t="s">
        <v>223</v>
      </c>
      <c r="F144" s="24" t="str">
        <f t="shared" si="4"/>
        <v>rtdc.l.rtdc.4001:itc</v>
      </c>
      <c r="G144" s="8">
        <f t="shared" si="5"/>
        <v>42599.688599537039</v>
      </c>
    </row>
    <row r="145" spans="1:7" x14ac:dyDescent="0.25">
      <c r="A145" s="8">
        <v>42599.688715277778</v>
      </c>
      <c r="B145" s="24" t="s">
        <v>300</v>
      </c>
      <c r="C145" s="24" t="s">
        <v>679</v>
      </c>
      <c r="D145" s="24">
        <v>750000</v>
      </c>
      <c r="E145" s="24" t="s">
        <v>691</v>
      </c>
      <c r="F145" s="24" t="str">
        <f t="shared" si="4"/>
        <v>rtdc.l.rtdc.4003:itc</v>
      </c>
      <c r="G145" s="8">
        <f t="shared" si="5"/>
        <v>42599.688715277778</v>
      </c>
    </row>
    <row r="146" spans="1:7" x14ac:dyDescent="0.25">
      <c r="A146" s="8">
        <v>42599.693842592591</v>
      </c>
      <c r="B146" s="24" t="s">
        <v>304</v>
      </c>
      <c r="C146" s="24" t="s">
        <v>479</v>
      </c>
      <c r="D146" s="24">
        <v>1540000</v>
      </c>
      <c r="E146" s="24" t="s">
        <v>248</v>
      </c>
      <c r="F146" s="24" t="str">
        <f t="shared" si="4"/>
        <v>rtdc.l.rtdc.4018:itc</v>
      </c>
      <c r="G146" s="8">
        <f t="shared" si="5"/>
        <v>42599.693842592591</v>
      </c>
    </row>
    <row r="147" spans="1:7" x14ac:dyDescent="0.25">
      <c r="A147" s="8">
        <v>42599.693877314814</v>
      </c>
      <c r="B147" s="24" t="s">
        <v>198</v>
      </c>
      <c r="C147" s="24" t="s">
        <v>634</v>
      </c>
      <c r="D147" s="24">
        <v>2040000</v>
      </c>
      <c r="E147" s="24" t="s">
        <v>689</v>
      </c>
      <c r="F147" s="24" t="str">
        <f t="shared" si="4"/>
        <v>rtdc.l.rtdc.4008:itc</v>
      </c>
      <c r="G147" s="8">
        <f t="shared" si="5"/>
        <v>42599.693877314814</v>
      </c>
    </row>
    <row r="148" spans="1:7" x14ac:dyDescent="0.25">
      <c r="A148" s="8">
        <v>42599.696331018517</v>
      </c>
      <c r="B148" s="24" t="s">
        <v>169</v>
      </c>
      <c r="C148" s="24" t="s">
        <v>637</v>
      </c>
      <c r="D148" s="24">
        <v>2110000</v>
      </c>
      <c r="E148" s="24" t="s">
        <v>249</v>
      </c>
      <c r="F148" s="24" t="str">
        <f t="shared" si="4"/>
        <v>rtdc.l.rtdc.4042:itc</v>
      </c>
      <c r="G148" s="8">
        <f t="shared" si="5"/>
        <v>42599.696331018517</v>
      </c>
    </row>
    <row r="149" spans="1:7" x14ac:dyDescent="0.25">
      <c r="A149" s="8">
        <v>42599.69636574074</v>
      </c>
      <c r="B149" s="24" t="s">
        <v>312</v>
      </c>
      <c r="C149" s="24" t="s">
        <v>558</v>
      </c>
      <c r="D149" s="24">
        <v>1480000</v>
      </c>
      <c r="E149" s="24" t="s">
        <v>310</v>
      </c>
      <c r="F149" s="24" t="str">
        <f t="shared" si="4"/>
        <v>rtdc.l.rtdc.4005:itc</v>
      </c>
      <c r="G149" s="8">
        <f t="shared" si="5"/>
        <v>42599.69636574074</v>
      </c>
    </row>
    <row r="150" spans="1:7" x14ac:dyDescent="0.25">
      <c r="A150" s="8">
        <v>42599.699386574073</v>
      </c>
      <c r="B150" s="24" t="s">
        <v>300</v>
      </c>
      <c r="C150" s="24" t="s">
        <v>679</v>
      </c>
      <c r="D150" s="24">
        <v>750000</v>
      </c>
      <c r="E150" s="24" t="s">
        <v>691</v>
      </c>
      <c r="F150" s="24" t="str">
        <f t="shared" si="4"/>
        <v>rtdc.l.rtdc.4003:itc</v>
      </c>
      <c r="G150" s="8">
        <f t="shared" si="5"/>
        <v>42599.699386574073</v>
      </c>
    </row>
    <row r="151" spans="1:7" x14ac:dyDescent="0.25">
      <c r="A151" s="8">
        <v>42599.700810185182</v>
      </c>
      <c r="B151" s="24" t="s">
        <v>93</v>
      </c>
      <c r="C151" s="24" t="s">
        <v>471</v>
      </c>
      <c r="D151" s="24">
        <v>2030000</v>
      </c>
      <c r="E151" s="24" t="s">
        <v>308</v>
      </c>
      <c r="F151" s="24" t="str">
        <f t="shared" si="4"/>
        <v>rtdc.l.rtdc.4013:itc</v>
      </c>
      <c r="G151" s="8">
        <f t="shared" si="5"/>
        <v>42599.700810185182</v>
      </c>
    </row>
    <row r="152" spans="1:7" x14ac:dyDescent="0.25">
      <c r="A152" s="8">
        <v>42599.704085648147</v>
      </c>
      <c r="B152" s="24" t="s">
        <v>682</v>
      </c>
      <c r="C152" s="24" t="s">
        <v>482</v>
      </c>
      <c r="D152" s="24">
        <v>1740000</v>
      </c>
      <c r="E152" s="24" t="s">
        <v>221</v>
      </c>
      <c r="F152" s="24" t="str">
        <f t="shared" si="4"/>
        <v>rtdc.l.rtdc.4025:itc</v>
      </c>
      <c r="G152" s="8">
        <f t="shared" si="5"/>
        <v>42599.704085648147</v>
      </c>
    </row>
    <row r="153" spans="1:7" x14ac:dyDescent="0.25">
      <c r="A153" s="8">
        <v>42599.71193287037</v>
      </c>
      <c r="B153" s="24" t="s">
        <v>202</v>
      </c>
      <c r="C153" s="24" t="s">
        <v>473</v>
      </c>
      <c r="D153" s="24">
        <v>940000</v>
      </c>
      <c r="E153" s="24" t="s">
        <v>687</v>
      </c>
      <c r="F153" s="24" t="str">
        <f t="shared" si="4"/>
        <v>rtdc.l.rtdc.4019:itc</v>
      </c>
      <c r="G153" s="8">
        <f t="shared" si="5"/>
        <v>42599.71193287037</v>
      </c>
    </row>
    <row r="154" spans="1:7" x14ac:dyDescent="0.25">
      <c r="A154" s="8">
        <v>42599.713101851848</v>
      </c>
      <c r="B154" s="24" t="s">
        <v>202</v>
      </c>
      <c r="C154" s="24" t="s">
        <v>474</v>
      </c>
      <c r="D154" s="24">
        <v>940000</v>
      </c>
      <c r="E154" s="24" t="s">
        <v>687</v>
      </c>
      <c r="F154" s="24" t="str">
        <f t="shared" si="4"/>
        <v>rtdc.l.rtdc.4019:itc</v>
      </c>
      <c r="G154" s="8">
        <f t="shared" si="5"/>
        <v>42599.713101851848</v>
      </c>
    </row>
    <row r="155" spans="1:7" x14ac:dyDescent="0.25">
      <c r="A155" s="8">
        <v>42599.713252314818</v>
      </c>
      <c r="B155" s="24" t="s">
        <v>168</v>
      </c>
      <c r="C155" s="24" t="s">
        <v>476</v>
      </c>
      <c r="D155" s="24">
        <v>1830000</v>
      </c>
      <c r="E155" s="24" t="s">
        <v>688</v>
      </c>
      <c r="F155" s="24" t="str">
        <f t="shared" si="4"/>
        <v>rtdc.l.rtdc.4028:itc</v>
      </c>
      <c r="G155" s="8">
        <f t="shared" si="5"/>
        <v>42599.713252314818</v>
      </c>
    </row>
    <row r="156" spans="1:7" x14ac:dyDescent="0.25">
      <c r="A156" s="8">
        <v>42599.71361111111</v>
      </c>
      <c r="B156" s="24" t="s">
        <v>692</v>
      </c>
      <c r="C156" s="24" t="s">
        <v>560</v>
      </c>
      <c r="D156" s="24">
        <v>1230000</v>
      </c>
      <c r="E156" s="24" t="s">
        <v>204</v>
      </c>
      <c r="F156" s="24" t="str">
        <f t="shared" si="4"/>
        <v>rtdc.l.rtdc.4021:itc</v>
      </c>
      <c r="G156" s="8">
        <f t="shared" si="5"/>
        <v>42599.71361111111</v>
      </c>
    </row>
    <row r="157" spans="1:7" x14ac:dyDescent="0.25">
      <c r="A157" s="8">
        <v>42599.714884259258</v>
      </c>
      <c r="B157" s="24" t="s">
        <v>219</v>
      </c>
      <c r="C157" s="24" t="s">
        <v>485</v>
      </c>
      <c r="D157" s="24">
        <v>1480000</v>
      </c>
      <c r="E157" s="24" t="s">
        <v>310</v>
      </c>
      <c r="F157" s="24" t="str">
        <f t="shared" si="4"/>
        <v>rtdc.l.rtdc.4009:itc</v>
      </c>
      <c r="G157" s="8">
        <f t="shared" si="5"/>
        <v>42599.714884259258</v>
      </c>
    </row>
    <row r="158" spans="1:7" x14ac:dyDescent="0.25">
      <c r="A158" s="8">
        <v>42599.715995370374</v>
      </c>
      <c r="B158" s="24" t="s">
        <v>681</v>
      </c>
      <c r="C158" s="24" t="s">
        <v>638</v>
      </c>
      <c r="D158" s="24">
        <v>2110000</v>
      </c>
      <c r="E158" s="24" t="s">
        <v>249</v>
      </c>
      <c r="F158" s="24" t="str">
        <f t="shared" si="4"/>
        <v>rtdc.l.rtdc.4041:itc</v>
      </c>
      <c r="G158" s="8">
        <f t="shared" si="5"/>
        <v>42599.715995370374</v>
      </c>
    </row>
    <row r="159" spans="1:7" x14ac:dyDescent="0.25">
      <c r="A159" s="8">
        <v>42599.718888888892</v>
      </c>
      <c r="B159" s="24" t="s">
        <v>683</v>
      </c>
      <c r="C159" s="24" t="s">
        <v>640</v>
      </c>
      <c r="D159" s="24">
        <v>2040000</v>
      </c>
      <c r="E159" s="24" t="s">
        <v>689</v>
      </c>
      <c r="F159" s="24" t="str">
        <f t="shared" si="4"/>
        <v>rtdc.l.rtdc.4007:itc</v>
      </c>
      <c r="G159" s="8">
        <f t="shared" si="5"/>
        <v>42599.718888888892</v>
      </c>
    </row>
    <row r="160" spans="1:7" x14ac:dyDescent="0.25">
      <c r="A160" s="8">
        <v>42599.727280092593</v>
      </c>
      <c r="B160" s="24" t="s">
        <v>301</v>
      </c>
      <c r="C160" s="24" t="s">
        <v>487</v>
      </c>
      <c r="D160" s="24">
        <v>2000000</v>
      </c>
      <c r="E160" s="24" t="s">
        <v>158</v>
      </c>
      <c r="F160" s="24" t="str">
        <f t="shared" si="4"/>
        <v>rtdc.l.rtdc.4002:itc</v>
      </c>
      <c r="G160" s="8">
        <f t="shared" si="5"/>
        <v>42599.727280092593</v>
      </c>
    </row>
    <row r="161" spans="1:7" x14ac:dyDescent="0.25">
      <c r="A161" s="8">
        <v>42599.728043981479</v>
      </c>
      <c r="B161" s="24" t="s">
        <v>303</v>
      </c>
      <c r="C161" s="24" t="s">
        <v>481</v>
      </c>
      <c r="D161" s="24">
        <v>1540000</v>
      </c>
      <c r="E161" s="24" t="s">
        <v>248</v>
      </c>
      <c r="F161" s="24" t="str">
        <f t="shared" si="4"/>
        <v>rtdc.l.rtdc.4017:itc</v>
      </c>
      <c r="G161" s="8">
        <f t="shared" si="5"/>
        <v>42599.728043981479</v>
      </c>
    </row>
    <row r="162" spans="1:7" x14ac:dyDescent="0.25">
      <c r="A162" s="8">
        <v>42599.731817129628</v>
      </c>
      <c r="B162" s="24" t="s">
        <v>205</v>
      </c>
      <c r="C162" s="24" t="s">
        <v>560</v>
      </c>
      <c r="D162" s="24">
        <v>1770000</v>
      </c>
      <c r="E162" s="24" t="s">
        <v>223</v>
      </c>
      <c r="F162" s="24" t="str">
        <f t="shared" si="4"/>
        <v>rtdc.l.rtdc.4022:itc</v>
      </c>
      <c r="G162" s="8">
        <f t="shared" si="5"/>
        <v>42599.731817129628</v>
      </c>
    </row>
    <row r="163" spans="1:7" x14ac:dyDescent="0.25">
      <c r="A163" s="8">
        <v>42599.732789351852</v>
      </c>
      <c r="B163" s="24" t="s">
        <v>205</v>
      </c>
      <c r="C163" s="24" t="s">
        <v>560</v>
      </c>
      <c r="D163" s="24">
        <v>1770000</v>
      </c>
      <c r="E163" s="24" t="s">
        <v>223</v>
      </c>
      <c r="F163" s="24" t="str">
        <f t="shared" si="4"/>
        <v>rtdc.l.rtdc.4022:itc</v>
      </c>
      <c r="G163" s="8">
        <f t="shared" si="5"/>
        <v>42599.732789351852</v>
      </c>
    </row>
    <row r="164" spans="1:7" x14ac:dyDescent="0.25">
      <c r="A164" s="8">
        <v>42599.736006944448</v>
      </c>
      <c r="B164" s="24" t="s">
        <v>198</v>
      </c>
      <c r="C164" s="24" t="s">
        <v>642</v>
      </c>
      <c r="D164" s="24">
        <v>2040000</v>
      </c>
      <c r="E164" s="24" t="s">
        <v>689</v>
      </c>
      <c r="F164" s="24" t="str">
        <f t="shared" si="4"/>
        <v>rtdc.l.rtdc.4008:itc</v>
      </c>
      <c r="G164" s="8">
        <f t="shared" si="5"/>
        <v>42599.736006944448</v>
      </c>
    </row>
    <row r="165" spans="1:7" x14ac:dyDescent="0.25">
      <c r="A165" s="8">
        <v>42599.73641203704</v>
      </c>
      <c r="B165" s="24" t="s">
        <v>117</v>
      </c>
      <c r="C165" s="24" t="s">
        <v>489</v>
      </c>
      <c r="D165" s="24">
        <v>2100000</v>
      </c>
      <c r="E165" s="24" t="s">
        <v>148</v>
      </c>
      <c r="F165" s="24" t="str">
        <f t="shared" si="4"/>
        <v>rtdc.l.rtdc.4014:itc</v>
      </c>
      <c r="G165" s="8">
        <f t="shared" si="5"/>
        <v>42599.73641203704</v>
      </c>
    </row>
    <row r="166" spans="1:7" x14ac:dyDescent="0.25">
      <c r="A166" s="8">
        <v>42599.739247685182</v>
      </c>
      <c r="B166" s="24" t="s">
        <v>169</v>
      </c>
      <c r="C166" s="24" t="s">
        <v>645</v>
      </c>
      <c r="D166" s="24">
        <v>2110000</v>
      </c>
      <c r="E166" s="24" t="s">
        <v>249</v>
      </c>
      <c r="F166" s="24" t="str">
        <f t="shared" si="4"/>
        <v>rtdc.l.rtdc.4042:itc</v>
      </c>
      <c r="G166" s="8">
        <f t="shared" si="5"/>
        <v>42599.739247685182</v>
      </c>
    </row>
    <row r="167" spans="1:7" x14ac:dyDescent="0.25">
      <c r="A167" s="8">
        <v>42599.742662037039</v>
      </c>
      <c r="B167" s="24" t="s">
        <v>680</v>
      </c>
      <c r="C167" s="24" t="s">
        <v>484</v>
      </c>
      <c r="D167" s="24">
        <v>1740000</v>
      </c>
      <c r="E167" s="24" t="s">
        <v>221</v>
      </c>
      <c r="F167" s="24" t="str">
        <f t="shared" si="4"/>
        <v>rtdc.l.rtdc.4026:itc</v>
      </c>
      <c r="G167" s="8">
        <f t="shared" si="5"/>
        <v>42599.742662037039</v>
      </c>
    </row>
    <row r="168" spans="1:7" x14ac:dyDescent="0.25">
      <c r="A168" s="8">
        <v>42599.746886574074</v>
      </c>
      <c r="B168" s="24" t="s">
        <v>199</v>
      </c>
      <c r="C168" s="24" t="s">
        <v>491</v>
      </c>
      <c r="D168" s="24">
        <v>2140000</v>
      </c>
      <c r="E168" s="24" t="s">
        <v>311</v>
      </c>
      <c r="F168" s="24" t="str">
        <f t="shared" si="4"/>
        <v>rtdc.l.rtdc.4020:itc</v>
      </c>
      <c r="G168" s="8">
        <f t="shared" si="5"/>
        <v>42599.746886574074</v>
      </c>
    </row>
    <row r="169" spans="1:7" x14ac:dyDescent="0.25">
      <c r="A169" s="8">
        <v>42599.752743055556</v>
      </c>
      <c r="B169" s="24" t="s">
        <v>222</v>
      </c>
      <c r="C169" s="24" t="s">
        <v>486</v>
      </c>
      <c r="D169" s="24">
        <v>1480000</v>
      </c>
      <c r="E169" s="24" t="s">
        <v>310</v>
      </c>
      <c r="F169" s="24" t="str">
        <f t="shared" si="4"/>
        <v>rtdc.l.rtdc.4010:itc</v>
      </c>
      <c r="G169" s="8">
        <f t="shared" si="5"/>
        <v>42599.752743055556</v>
      </c>
    </row>
    <row r="170" spans="1:7" x14ac:dyDescent="0.25">
      <c r="A170" s="8">
        <v>42599.755231481482</v>
      </c>
      <c r="B170" s="24" t="s">
        <v>681</v>
      </c>
      <c r="C170" s="24" t="s">
        <v>647</v>
      </c>
      <c r="D170" s="24">
        <v>2110000</v>
      </c>
      <c r="E170" s="24" t="s">
        <v>249</v>
      </c>
      <c r="F170" s="24" t="str">
        <f t="shared" si="4"/>
        <v>rtdc.l.rtdc.4041:itc</v>
      </c>
      <c r="G170" s="8">
        <f t="shared" si="5"/>
        <v>42599.755231481482</v>
      </c>
    </row>
    <row r="171" spans="1:7" x14ac:dyDescent="0.25">
      <c r="A171" s="8">
        <v>42599.755474537036</v>
      </c>
      <c r="B171" s="24" t="s">
        <v>233</v>
      </c>
      <c r="C171" s="24" t="s">
        <v>494</v>
      </c>
      <c r="D171" s="24">
        <v>1300000</v>
      </c>
      <c r="E171" s="24" t="s">
        <v>153</v>
      </c>
      <c r="F171" s="24" t="str">
        <f t="shared" si="4"/>
        <v>rtdc.l.rtdc.4016:itc</v>
      </c>
      <c r="G171" s="8">
        <f t="shared" si="5"/>
        <v>42599.755474537036</v>
      </c>
    </row>
    <row r="172" spans="1:7" x14ac:dyDescent="0.25">
      <c r="A172" s="8">
        <v>42599.762546296297</v>
      </c>
      <c r="B172" s="24" t="s">
        <v>683</v>
      </c>
      <c r="C172" s="24" t="s">
        <v>648</v>
      </c>
      <c r="D172" s="24">
        <v>2040000</v>
      </c>
      <c r="E172" s="24" t="s">
        <v>689</v>
      </c>
      <c r="F172" s="24" t="str">
        <f t="shared" si="4"/>
        <v>rtdc.l.rtdc.4007:itc</v>
      </c>
      <c r="G172" s="8">
        <f t="shared" si="5"/>
        <v>42599.762546296297</v>
      </c>
    </row>
    <row r="173" spans="1:7" x14ac:dyDescent="0.25">
      <c r="A173" s="8">
        <v>42599.76703703704</v>
      </c>
      <c r="B173" s="24" t="s">
        <v>302</v>
      </c>
      <c r="C173" s="24" t="s">
        <v>488</v>
      </c>
      <c r="D173" s="24">
        <v>2000000</v>
      </c>
      <c r="E173" s="24" t="s">
        <v>158</v>
      </c>
      <c r="F173" s="24" t="str">
        <f t="shared" si="4"/>
        <v>rtdc.l.rtdc.4001:itc</v>
      </c>
      <c r="G173" s="8">
        <f t="shared" si="5"/>
        <v>42599.76703703704</v>
      </c>
    </row>
    <row r="174" spans="1:7" x14ac:dyDescent="0.25">
      <c r="A174" s="8">
        <v>42599.768009259256</v>
      </c>
      <c r="B174" s="24" t="s">
        <v>304</v>
      </c>
      <c r="C174" s="24" t="s">
        <v>496</v>
      </c>
      <c r="D174" s="24">
        <v>1780000</v>
      </c>
      <c r="E174" s="24" t="s">
        <v>693</v>
      </c>
      <c r="F174" s="24" t="str">
        <f t="shared" si="4"/>
        <v>rtdc.l.rtdc.4018:itc</v>
      </c>
      <c r="G174" s="8">
        <f t="shared" si="5"/>
        <v>42599.768009259256</v>
      </c>
    </row>
    <row r="175" spans="1:7" x14ac:dyDescent="0.25">
      <c r="A175" s="8">
        <v>42599.773946759262</v>
      </c>
      <c r="B175" s="24" t="s">
        <v>93</v>
      </c>
      <c r="C175" s="24" t="s">
        <v>490</v>
      </c>
      <c r="D175" s="24">
        <v>2100000</v>
      </c>
      <c r="E175" s="24" t="s">
        <v>148</v>
      </c>
      <c r="F175" s="24" t="str">
        <f t="shared" si="4"/>
        <v>rtdc.l.rtdc.4013:itc</v>
      </c>
      <c r="G175" s="8">
        <f t="shared" si="5"/>
        <v>42599.773946759262</v>
      </c>
    </row>
    <row r="176" spans="1:7" x14ac:dyDescent="0.25">
      <c r="A176" s="8">
        <v>42599.776226851849</v>
      </c>
      <c r="B176" s="24" t="s">
        <v>198</v>
      </c>
      <c r="C176" s="24" t="s">
        <v>651</v>
      </c>
      <c r="D176" s="24">
        <v>2040000</v>
      </c>
      <c r="E176" s="24" t="s">
        <v>689</v>
      </c>
      <c r="F176" s="24" t="str">
        <f t="shared" si="4"/>
        <v>rtdc.l.rtdc.4008:itc</v>
      </c>
      <c r="G176" s="8">
        <f t="shared" si="5"/>
        <v>42599.776226851849</v>
      </c>
    </row>
    <row r="177" spans="1:7" x14ac:dyDescent="0.25">
      <c r="A177" s="8">
        <v>42599.776990740742</v>
      </c>
      <c r="B177" s="24" t="s">
        <v>682</v>
      </c>
      <c r="C177" s="24" t="s">
        <v>694</v>
      </c>
      <c r="D177" s="24">
        <v>1740000</v>
      </c>
      <c r="E177" s="24" t="s">
        <v>221</v>
      </c>
      <c r="F177" s="24" t="str">
        <f t="shared" si="4"/>
        <v>rtdc.l.rtdc.4025:itc</v>
      </c>
      <c r="G177" s="8">
        <f t="shared" si="5"/>
        <v>42599.776990740742</v>
      </c>
    </row>
    <row r="178" spans="1:7" x14ac:dyDescent="0.25">
      <c r="A178" s="8">
        <v>42599.779895833337</v>
      </c>
      <c r="B178" s="24" t="s">
        <v>169</v>
      </c>
      <c r="C178" s="24" t="s">
        <v>654</v>
      </c>
      <c r="D178" s="24">
        <v>2110000</v>
      </c>
      <c r="E178" s="24" t="s">
        <v>249</v>
      </c>
      <c r="F178" s="24" t="str">
        <f t="shared" si="4"/>
        <v>rtdc.l.rtdc.4042:itc</v>
      </c>
      <c r="G178" s="8">
        <f t="shared" si="5"/>
        <v>42599.779895833337</v>
      </c>
    </row>
    <row r="179" spans="1:7" x14ac:dyDescent="0.25">
      <c r="A179" s="8">
        <v>42599.785995370374</v>
      </c>
      <c r="B179" s="24" t="s">
        <v>202</v>
      </c>
      <c r="C179" s="24" t="s">
        <v>492</v>
      </c>
      <c r="D179" s="24">
        <v>2140000</v>
      </c>
      <c r="E179" s="24" t="s">
        <v>311</v>
      </c>
      <c r="F179" s="24" t="str">
        <f t="shared" si="4"/>
        <v>rtdc.l.rtdc.4019:itc</v>
      </c>
      <c r="G179" s="8">
        <f t="shared" si="5"/>
        <v>42599.785995370374</v>
      </c>
    </row>
    <row r="180" spans="1:7" x14ac:dyDescent="0.25">
      <c r="A180" s="8">
        <v>42599.789444444446</v>
      </c>
      <c r="B180" s="24" t="s">
        <v>219</v>
      </c>
      <c r="C180" s="24" t="s">
        <v>499</v>
      </c>
      <c r="D180" s="24">
        <v>1480000</v>
      </c>
      <c r="E180" s="24" t="s">
        <v>310</v>
      </c>
      <c r="F180" s="24" t="str">
        <f t="shared" si="4"/>
        <v>rtdc.l.rtdc.4009:itc</v>
      </c>
      <c r="G180" s="8">
        <f t="shared" si="5"/>
        <v>42599.789444444446</v>
      </c>
    </row>
    <row r="181" spans="1:7" x14ac:dyDescent="0.25">
      <c r="A181" s="8">
        <v>42599.793969907405</v>
      </c>
      <c r="B181" s="24" t="s">
        <v>111</v>
      </c>
      <c r="C181" s="24" t="s">
        <v>495</v>
      </c>
      <c r="D181" s="24">
        <v>1300000</v>
      </c>
      <c r="E181" s="24" t="s">
        <v>153</v>
      </c>
      <c r="F181" s="24" t="str">
        <f t="shared" si="4"/>
        <v>rtdc.l.rtdc.4015:itc</v>
      </c>
      <c r="G181" s="8">
        <f t="shared" si="5"/>
        <v>42599.793969907405</v>
      </c>
    </row>
    <row r="182" spans="1:7" x14ac:dyDescent="0.25">
      <c r="A182" s="8">
        <v>42599.797430555554</v>
      </c>
      <c r="B182" s="24" t="s">
        <v>681</v>
      </c>
      <c r="C182" s="24" t="s">
        <v>674</v>
      </c>
      <c r="D182" s="24">
        <v>2110000</v>
      </c>
      <c r="E182" s="24" t="s">
        <v>249</v>
      </c>
      <c r="F182" s="24" t="str">
        <f t="shared" si="4"/>
        <v>rtdc.l.rtdc.4041:itc</v>
      </c>
      <c r="G182" s="8">
        <f t="shared" si="5"/>
        <v>42599.797430555554</v>
      </c>
    </row>
    <row r="183" spans="1:7" x14ac:dyDescent="0.25">
      <c r="A183" s="8">
        <v>42599.800393518519</v>
      </c>
      <c r="B183" s="24" t="s">
        <v>301</v>
      </c>
      <c r="C183" s="24" t="s">
        <v>541</v>
      </c>
      <c r="D183" s="24">
        <v>2000000</v>
      </c>
      <c r="E183" s="24" t="s">
        <v>158</v>
      </c>
      <c r="F183" s="24" t="str">
        <f t="shared" si="4"/>
        <v>rtdc.l.rtdc.4002:itc</v>
      </c>
      <c r="G183" s="8">
        <f t="shared" si="5"/>
        <v>42599.800393518519</v>
      </c>
    </row>
    <row r="184" spans="1:7" x14ac:dyDescent="0.25">
      <c r="A184" s="8">
        <v>42599.802210648151</v>
      </c>
      <c r="B184" s="24" t="s">
        <v>303</v>
      </c>
      <c r="C184" s="24" t="s">
        <v>497</v>
      </c>
      <c r="D184" s="24">
        <v>1780000</v>
      </c>
      <c r="E184" s="24" t="s">
        <v>693</v>
      </c>
      <c r="F184" s="24" t="str">
        <f t="shared" si="4"/>
        <v>rtdc.l.rtdc.4017:itc</v>
      </c>
      <c r="G184" s="8">
        <f t="shared" si="5"/>
        <v>42599.802210648151</v>
      </c>
    </row>
    <row r="185" spans="1:7" x14ac:dyDescent="0.25">
      <c r="A185" s="8">
        <v>42599.803032407406</v>
      </c>
      <c r="B185" s="24" t="s">
        <v>683</v>
      </c>
      <c r="C185" s="24" t="s">
        <v>658</v>
      </c>
      <c r="D185" s="24">
        <v>2040000</v>
      </c>
      <c r="E185" s="24" t="s">
        <v>689</v>
      </c>
      <c r="F185" s="24" t="str">
        <f t="shared" si="4"/>
        <v>rtdc.l.rtdc.4007:itc</v>
      </c>
      <c r="G185" s="8">
        <f t="shared" si="5"/>
        <v>42599.803032407406</v>
      </c>
    </row>
    <row r="186" spans="1:7" x14ac:dyDescent="0.25">
      <c r="A186" s="8">
        <v>42599.805578703701</v>
      </c>
      <c r="B186" s="24" t="s">
        <v>301</v>
      </c>
      <c r="C186" s="24" t="s">
        <v>541</v>
      </c>
      <c r="D186" s="24">
        <v>2000000</v>
      </c>
      <c r="E186" s="24" t="s">
        <v>158</v>
      </c>
      <c r="F186" s="24" t="str">
        <f t="shared" si="4"/>
        <v>rtdc.l.rtdc.4002:itc</v>
      </c>
      <c r="G186" s="8">
        <f t="shared" si="5"/>
        <v>42599.805578703701</v>
      </c>
    </row>
    <row r="187" spans="1:7" x14ac:dyDescent="0.25">
      <c r="A187" s="8">
        <v>42599.808576388888</v>
      </c>
      <c r="B187" s="24" t="s">
        <v>117</v>
      </c>
      <c r="C187" s="24" t="s">
        <v>504</v>
      </c>
      <c r="D187" s="24">
        <v>2100000</v>
      </c>
      <c r="E187" s="24" t="s">
        <v>148</v>
      </c>
      <c r="F187" s="24" t="str">
        <f t="shared" si="4"/>
        <v>rtdc.l.rtdc.4014:itc</v>
      </c>
      <c r="G187" s="8">
        <f t="shared" si="5"/>
        <v>42599.808576388888</v>
      </c>
    </row>
    <row r="188" spans="1:7" x14ac:dyDescent="0.25">
      <c r="A188" s="8">
        <v>42599.818495370368</v>
      </c>
      <c r="B188" s="24" t="s">
        <v>199</v>
      </c>
      <c r="C188" s="24" t="s">
        <v>547</v>
      </c>
      <c r="D188" s="24">
        <v>2140000</v>
      </c>
      <c r="E188" s="24" t="s">
        <v>311</v>
      </c>
      <c r="F188" s="24" t="str">
        <f t="shared" si="4"/>
        <v>rtdc.l.rtdc.4020:itc</v>
      </c>
      <c r="G188" s="8">
        <f t="shared" si="5"/>
        <v>42599.818495370368</v>
      </c>
    </row>
    <row r="189" spans="1:7" x14ac:dyDescent="0.25">
      <c r="A189" s="8">
        <v>42599.819074074076</v>
      </c>
      <c r="B189" s="24" t="s">
        <v>198</v>
      </c>
      <c r="C189" s="24" t="s">
        <v>656</v>
      </c>
      <c r="D189" s="24">
        <v>2040000</v>
      </c>
      <c r="E189" s="24" t="s">
        <v>689</v>
      </c>
      <c r="F189" s="24" t="str">
        <f t="shared" si="4"/>
        <v>rtdc.l.rtdc.4008:itc</v>
      </c>
      <c r="G189" s="8">
        <f t="shared" si="5"/>
        <v>42599.819074074076</v>
      </c>
    </row>
    <row r="190" spans="1:7" x14ac:dyDescent="0.25">
      <c r="A190" s="8">
        <v>42599.822465277779</v>
      </c>
      <c r="B190" s="24" t="s">
        <v>222</v>
      </c>
      <c r="C190" s="24" t="s">
        <v>502</v>
      </c>
      <c r="D190" s="24">
        <v>1480000</v>
      </c>
      <c r="E190" s="24" t="s">
        <v>310</v>
      </c>
      <c r="F190" s="24" t="str">
        <f t="shared" si="4"/>
        <v>rtdc.l.rtdc.4010:itc</v>
      </c>
      <c r="G190" s="8">
        <f t="shared" si="5"/>
        <v>42599.822465277779</v>
      </c>
    </row>
    <row r="191" spans="1:7" x14ac:dyDescent="0.25">
      <c r="A191" s="8">
        <v>42599.829351851855</v>
      </c>
      <c r="B191" s="24" t="s">
        <v>233</v>
      </c>
      <c r="C191" s="24" t="s">
        <v>506</v>
      </c>
      <c r="D191" s="24">
        <v>1300000</v>
      </c>
      <c r="E191" s="24" t="s">
        <v>153</v>
      </c>
      <c r="F191" s="24" t="str">
        <f t="shared" si="4"/>
        <v>rtdc.l.rtdc.4016:itc</v>
      </c>
      <c r="G191" s="8">
        <f t="shared" si="5"/>
        <v>42599.829351851855</v>
      </c>
    </row>
    <row r="192" spans="1:7" x14ac:dyDescent="0.25">
      <c r="A192" s="8">
        <v>42599.844780092593</v>
      </c>
      <c r="B192" s="24" t="s">
        <v>683</v>
      </c>
      <c r="C192" s="24" t="s">
        <v>661</v>
      </c>
      <c r="D192" s="24">
        <v>2040000</v>
      </c>
      <c r="E192" s="24" t="s">
        <v>689</v>
      </c>
      <c r="F192" s="24" t="str">
        <f t="shared" si="4"/>
        <v>rtdc.l.rtdc.4007:itc</v>
      </c>
      <c r="G192" s="8">
        <f t="shared" si="5"/>
        <v>42599.844780092593</v>
      </c>
    </row>
    <row r="193" spans="1:7" x14ac:dyDescent="0.25">
      <c r="A193" s="8">
        <v>42599.846608796295</v>
      </c>
      <c r="B193" s="24" t="s">
        <v>93</v>
      </c>
      <c r="C193" s="24" t="s">
        <v>505</v>
      </c>
      <c r="D193" s="24">
        <v>2100000</v>
      </c>
      <c r="E193" s="24" t="s">
        <v>148</v>
      </c>
      <c r="F193" s="24" t="str">
        <f t="shared" si="4"/>
        <v>rtdc.l.rtdc.4013:itc</v>
      </c>
      <c r="G193" s="8">
        <f t="shared" si="5"/>
        <v>42599.846608796295</v>
      </c>
    </row>
    <row r="194" spans="1:7" x14ac:dyDescent="0.25">
      <c r="A194" s="8">
        <v>42599.852094907408</v>
      </c>
      <c r="B194" s="24" t="s">
        <v>304</v>
      </c>
      <c r="C194" s="24" t="s">
        <v>510</v>
      </c>
      <c r="D194" s="24">
        <v>1780000</v>
      </c>
      <c r="E194" s="24" t="s">
        <v>693</v>
      </c>
      <c r="F194" s="24" t="str">
        <f t="shared" ref="F194:F235" si="6">B194</f>
        <v>rtdc.l.rtdc.4018:itc</v>
      </c>
      <c r="G194" s="8">
        <f t="shared" ref="G194:G235" si="7">A194</f>
        <v>42599.852094907408</v>
      </c>
    </row>
    <row r="195" spans="1:7" x14ac:dyDescent="0.25">
      <c r="A195" s="8">
        <v>42599.860069444447</v>
      </c>
      <c r="B195" s="24" t="s">
        <v>198</v>
      </c>
      <c r="C195" s="24" t="s">
        <v>660</v>
      </c>
      <c r="D195" s="24">
        <v>2040000</v>
      </c>
      <c r="E195" s="24" t="s">
        <v>689</v>
      </c>
      <c r="F195" s="24" t="str">
        <f t="shared" si="6"/>
        <v>rtdc.l.rtdc.4008:itc</v>
      </c>
      <c r="G195" s="8">
        <f t="shared" si="7"/>
        <v>42599.860069444447</v>
      </c>
    </row>
    <row r="196" spans="1:7" x14ac:dyDescent="0.25">
      <c r="A196" s="8">
        <v>42599.867905092593</v>
      </c>
      <c r="B196" s="24" t="s">
        <v>111</v>
      </c>
      <c r="C196" s="24" t="s">
        <v>508</v>
      </c>
      <c r="D196" s="24">
        <v>1300000</v>
      </c>
      <c r="E196" s="24" t="s">
        <v>153</v>
      </c>
      <c r="F196" s="24" t="str">
        <f t="shared" si="6"/>
        <v>rtdc.l.rtdc.4015:itc</v>
      </c>
      <c r="G196" s="8">
        <f t="shared" si="7"/>
        <v>42599.867905092593</v>
      </c>
    </row>
    <row r="197" spans="1:7" x14ac:dyDescent="0.25">
      <c r="A197" s="8">
        <v>42599.869166666664</v>
      </c>
      <c r="B197" s="24" t="s">
        <v>219</v>
      </c>
      <c r="C197" s="24" t="s">
        <v>513</v>
      </c>
      <c r="D197" s="24">
        <v>1480000</v>
      </c>
      <c r="E197" s="24" t="s">
        <v>310</v>
      </c>
      <c r="F197" s="24" t="str">
        <f t="shared" si="6"/>
        <v>rtdc.l.rtdc.4009:itc</v>
      </c>
      <c r="G197" s="8">
        <f t="shared" si="7"/>
        <v>42599.869166666664</v>
      </c>
    </row>
    <row r="198" spans="1:7" x14ac:dyDescent="0.25">
      <c r="A198" s="8">
        <v>42599.878958333335</v>
      </c>
      <c r="B198" s="24" t="s">
        <v>683</v>
      </c>
      <c r="C198" s="24" t="s">
        <v>664</v>
      </c>
      <c r="D198" s="24">
        <v>2110000</v>
      </c>
      <c r="E198" s="24" t="s">
        <v>249</v>
      </c>
      <c r="F198" s="24" t="str">
        <f t="shared" si="6"/>
        <v>rtdc.l.rtdc.4007:itc</v>
      </c>
      <c r="G198" s="8">
        <f t="shared" si="7"/>
        <v>42599.878958333335</v>
      </c>
    </row>
    <row r="199" spans="1:7" x14ac:dyDescent="0.25">
      <c r="A199" s="8">
        <v>42599.891099537039</v>
      </c>
      <c r="B199" s="24" t="s">
        <v>117</v>
      </c>
      <c r="C199" s="24" t="s">
        <v>516</v>
      </c>
      <c r="D199" s="24">
        <v>2100000</v>
      </c>
      <c r="E199" s="24" t="s">
        <v>148</v>
      </c>
      <c r="F199" s="24" t="str">
        <f t="shared" si="6"/>
        <v>rtdc.l.rtdc.4014:itc</v>
      </c>
      <c r="G199" s="8">
        <f t="shared" si="7"/>
        <v>42599.891099537039</v>
      </c>
    </row>
    <row r="200" spans="1:7" x14ac:dyDescent="0.25">
      <c r="A200" s="8">
        <v>42599.891423611109</v>
      </c>
      <c r="B200" s="24" t="s">
        <v>303</v>
      </c>
      <c r="C200" s="24" t="s">
        <v>512</v>
      </c>
      <c r="D200" s="24">
        <v>1780000</v>
      </c>
      <c r="E200" s="24" t="s">
        <v>693</v>
      </c>
      <c r="F200" s="24" t="str">
        <f t="shared" si="6"/>
        <v>rtdc.l.rtdc.4017:itc</v>
      </c>
      <c r="G200" s="8">
        <f t="shared" si="7"/>
        <v>42599.891423611109</v>
      </c>
    </row>
    <row r="201" spans="1:7" x14ac:dyDescent="0.25">
      <c r="A201" s="8">
        <v>42599.90152777778</v>
      </c>
      <c r="B201" s="24" t="s">
        <v>198</v>
      </c>
      <c r="C201" s="24" t="s">
        <v>663</v>
      </c>
      <c r="D201" s="24">
        <v>2110000</v>
      </c>
      <c r="E201" s="24" t="s">
        <v>249</v>
      </c>
      <c r="F201" s="24" t="str">
        <f t="shared" si="6"/>
        <v>rtdc.l.rtdc.4008:itc</v>
      </c>
      <c r="G201" s="8">
        <f t="shared" si="7"/>
        <v>42599.90152777778</v>
      </c>
    </row>
    <row r="202" spans="1:7" x14ac:dyDescent="0.25">
      <c r="A202" s="30">
        <v>42599.907129629632</v>
      </c>
      <c r="B202" s="24" t="s">
        <v>222</v>
      </c>
      <c r="C202" s="24" t="s">
        <v>515</v>
      </c>
      <c r="D202" s="24">
        <v>1480000</v>
      </c>
      <c r="E202" s="24" t="s">
        <v>310</v>
      </c>
      <c r="F202" s="24" t="str">
        <f t="shared" si="6"/>
        <v>rtdc.l.rtdc.4010:itc</v>
      </c>
      <c r="G202" s="8">
        <f t="shared" si="7"/>
        <v>42599.907129629632</v>
      </c>
    </row>
    <row r="203" spans="1:7" x14ac:dyDescent="0.25">
      <c r="A203" s="8">
        <v>42599.91369212963</v>
      </c>
      <c r="B203" s="24" t="s">
        <v>233</v>
      </c>
      <c r="C203" s="24" t="s">
        <v>518</v>
      </c>
      <c r="D203" s="24">
        <v>1300000</v>
      </c>
      <c r="E203" s="24" t="s">
        <v>153</v>
      </c>
      <c r="F203" s="24" t="str">
        <f t="shared" si="6"/>
        <v>rtdc.l.rtdc.4016:itc</v>
      </c>
      <c r="G203" s="8">
        <f t="shared" si="7"/>
        <v>42599.91369212963</v>
      </c>
    </row>
    <row r="204" spans="1:7" x14ac:dyDescent="0.25">
      <c r="A204" s="8">
        <v>42599.929062499999</v>
      </c>
      <c r="B204" s="24" t="s">
        <v>93</v>
      </c>
      <c r="C204" s="24" t="s">
        <v>517</v>
      </c>
      <c r="D204" s="24">
        <v>2100000</v>
      </c>
      <c r="E204" s="24" t="s">
        <v>148</v>
      </c>
      <c r="F204" s="24" t="str">
        <f t="shared" si="6"/>
        <v>rtdc.l.rtdc.4013:itc</v>
      </c>
      <c r="G204" s="8">
        <f t="shared" si="7"/>
        <v>42599.929062499999</v>
      </c>
    </row>
    <row r="205" spans="1:7" x14ac:dyDescent="0.25">
      <c r="A205" s="8">
        <v>42599.929074074076</v>
      </c>
      <c r="B205" s="24" t="s">
        <v>683</v>
      </c>
      <c r="C205" s="24" t="s">
        <v>667</v>
      </c>
      <c r="D205" s="24">
        <v>2110000</v>
      </c>
      <c r="E205" s="24" t="s">
        <v>249</v>
      </c>
      <c r="F205" s="24" t="str">
        <f t="shared" si="6"/>
        <v>rtdc.l.rtdc.4007:itc</v>
      </c>
      <c r="G205" s="8">
        <f t="shared" si="7"/>
        <v>42599.929074074076</v>
      </c>
    </row>
    <row r="206" spans="1:7" x14ac:dyDescent="0.25">
      <c r="A206" s="8">
        <v>42599.933657407404</v>
      </c>
      <c r="B206" s="24" t="s">
        <v>304</v>
      </c>
      <c r="C206" s="24" t="s">
        <v>520</v>
      </c>
      <c r="D206" s="24">
        <v>1780000</v>
      </c>
      <c r="E206" s="24" t="s">
        <v>693</v>
      </c>
      <c r="F206" s="24" t="str">
        <f t="shared" si="6"/>
        <v>rtdc.l.rtdc.4018:itc</v>
      </c>
      <c r="G206" s="8">
        <f t="shared" si="7"/>
        <v>42599.933657407404</v>
      </c>
    </row>
    <row r="207" spans="1:7" x14ac:dyDescent="0.25">
      <c r="A207" s="8">
        <v>42599.943576388891</v>
      </c>
      <c r="B207" s="24" t="s">
        <v>198</v>
      </c>
      <c r="C207" s="24" t="s">
        <v>677</v>
      </c>
      <c r="D207" s="24">
        <v>2110000</v>
      </c>
      <c r="E207" s="24" t="s">
        <v>249</v>
      </c>
      <c r="F207" s="24" t="str">
        <f t="shared" si="6"/>
        <v>rtdc.l.rtdc.4008:itc</v>
      </c>
      <c r="G207" s="8">
        <f t="shared" si="7"/>
        <v>42599.943576388891</v>
      </c>
    </row>
    <row r="208" spans="1:7" x14ac:dyDescent="0.25">
      <c r="A208" s="8">
        <v>42599.947685185187</v>
      </c>
      <c r="B208" s="24" t="s">
        <v>111</v>
      </c>
      <c r="C208" s="24" t="s">
        <v>519</v>
      </c>
      <c r="D208" s="24">
        <v>1300000</v>
      </c>
      <c r="E208" s="24" t="s">
        <v>153</v>
      </c>
      <c r="F208" s="24" t="str">
        <f t="shared" si="6"/>
        <v>rtdc.l.rtdc.4015:itc</v>
      </c>
      <c r="G208" s="8">
        <f t="shared" si="7"/>
        <v>42599.947685185187</v>
      </c>
    </row>
    <row r="209" spans="1:7" x14ac:dyDescent="0.25">
      <c r="A209" s="8">
        <v>42599.951493055552</v>
      </c>
      <c r="B209" s="24" t="s">
        <v>219</v>
      </c>
      <c r="C209" s="24" t="s">
        <v>524</v>
      </c>
      <c r="D209" s="24">
        <v>1480000</v>
      </c>
      <c r="E209" s="24" t="s">
        <v>310</v>
      </c>
      <c r="F209" s="24" t="str">
        <f t="shared" si="6"/>
        <v>rtdc.l.rtdc.4009:itc</v>
      </c>
      <c r="G209" s="8">
        <f t="shared" si="7"/>
        <v>42599.951493055552</v>
      </c>
    </row>
    <row r="210" spans="1:7" x14ac:dyDescent="0.25">
      <c r="A210" s="8">
        <v>42599.97042824074</v>
      </c>
      <c r="B210" s="24" t="s">
        <v>117</v>
      </c>
      <c r="C210" s="24" t="s">
        <v>528</v>
      </c>
      <c r="D210" s="24">
        <v>2100000</v>
      </c>
      <c r="E210" s="24" t="s">
        <v>148</v>
      </c>
      <c r="F210" s="24" t="str">
        <f t="shared" si="6"/>
        <v>rtdc.l.rtdc.4014:itc</v>
      </c>
      <c r="G210" s="8">
        <f t="shared" si="7"/>
        <v>42599.97042824074</v>
      </c>
    </row>
    <row r="211" spans="1:7" x14ac:dyDescent="0.25">
      <c r="A211" s="8">
        <v>42599.970775462964</v>
      </c>
      <c r="B211" s="24" t="s">
        <v>303</v>
      </c>
      <c r="C211" s="24" t="s">
        <v>522</v>
      </c>
      <c r="D211" s="24">
        <v>1780000</v>
      </c>
      <c r="E211" s="24" t="s">
        <v>693</v>
      </c>
      <c r="F211" s="24" t="str">
        <f t="shared" si="6"/>
        <v>rtdc.l.rtdc.4017:itc</v>
      </c>
      <c r="G211" s="8">
        <f t="shared" si="7"/>
        <v>42599.970775462964</v>
      </c>
    </row>
    <row r="212" spans="1:7" x14ac:dyDescent="0.25">
      <c r="A212" s="8">
        <v>42599.993263888886</v>
      </c>
      <c r="B212" s="24" t="s">
        <v>233</v>
      </c>
      <c r="C212" s="24" t="s">
        <v>530</v>
      </c>
      <c r="D212" s="24">
        <v>1300000</v>
      </c>
      <c r="E212" s="24" t="s">
        <v>153</v>
      </c>
      <c r="F212" s="24" t="str">
        <f t="shared" si="6"/>
        <v>rtdc.l.rtdc.4016:itc</v>
      </c>
      <c r="G212" s="8">
        <f t="shared" si="7"/>
        <v>42599.993263888886</v>
      </c>
    </row>
    <row r="213" spans="1:7" x14ac:dyDescent="0.25">
      <c r="A213" s="8">
        <v>42599.997847222221</v>
      </c>
      <c r="B213" s="24" t="s">
        <v>222</v>
      </c>
      <c r="C213" s="24" t="s">
        <v>526</v>
      </c>
      <c r="D213" s="24">
        <v>1480000</v>
      </c>
      <c r="E213" s="24" t="s">
        <v>310</v>
      </c>
      <c r="F213" s="24" t="str">
        <f t="shared" si="6"/>
        <v>rtdc.l.rtdc.4010:itc</v>
      </c>
      <c r="G213" s="8">
        <f t="shared" si="7"/>
        <v>42599.997847222221</v>
      </c>
    </row>
    <row r="214" spans="1:7" x14ac:dyDescent="0.25">
      <c r="A214" s="8">
        <v>42600.007928240739</v>
      </c>
      <c r="B214" s="24" t="s">
        <v>93</v>
      </c>
      <c r="C214" s="24" t="s">
        <v>529</v>
      </c>
      <c r="D214" s="24">
        <v>2100000</v>
      </c>
      <c r="E214" s="24" t="s">
        <v>148</v>
      </c>
      <c r="F214" s="24" t="str">
        <f t="shared" si="6"/>
        <v>rtdc.l.rtdc.4013:itc</v>
      </c>
      <c r="G214" s="8">
        <f t="shared" si="7"/>
        <v>42600.007928240739</v>
      </c>
    </row>
    <row r="215" spans="1:7" x14ac:dyDescent="0.25">
      <c r="A215" s="8">
        <v>42600.012719907405</v>
      </c>
      <c r="B215" s="24" t="s">
        <v>119</v>
      </c>
      <c r="C215" s="24" t="s">
        <v>533</v>
      </c>
      <c r="D215" s="24">
        <v>1780000</v>
      </c>
      <c r="E215" s="24" t="s">
        <v>693</v>
      </c>
      <c r="F215" s="24" t="str">
        <f t="shared" si="6"/>
        <v>rtdc.l.rtdc.4031:itc</v>
      </c>
      <c r="G215" s="8">
        <f t="shared" si="7"/>
        <v>42600.012719907405</v>
      </c>
    </row>
    <row r="216" spans="1:7" x14ac:dyDescent="0.25">
      <c r="A216" s="8">
        <v>42600.014409722222</v>
      </c>
      <c r="B216" s="24" t="s">
        <v>119</v>
      </c>
      <c r="C216" s="24" t="s">
        <v>533</v>
      </c>
      <c r="D216" s="24">
        <v>1780000</v>
      </c>
      <c r="E216" s="24" t="s">
        <v>693</v>
      </c>
      <c r="F216" s="24" t="str">
        <f t="shared" si="6"/>
        <v>rtdc.l.rtdc.4031:itc</v>
      </c>
      <c r="G216" s="8">
        <f t="shared" si="7"/>
        <v>42600.014409722222</v>
      </c>
    </row>
    <row r="217" spans="1:7" x14ac:dyDescent="0.25">
      <c r="A217" s="8">
        <v>42600.032002314816</v>
      </c>
      <c r="B217" s="24" t="s">
        <v>111</v>
      </c>
      <c r="C217" s="24" t="s">
        <v>531</v>
      </c>
      <c r="D217" s="24">
        <v>1300000</v>
      </c>
      <c r="E217" s="24" t="s">
        <v>153</v>
      </c>
      <c r="F217" s="24" t="str">
        <f t="shared" si="6"/>
        <v>rtdc.l.rtdc.4015:itc</v>
      </c>
      <c r="G217" s="8">
        <f t="shared" si="7"/>
        <v>42600.032002314816</v>
      </c>
    </row>
    <row r="218" spans="1:7" x14ac:dyDescent="0.25">
      <c r="A218" s="8">
        <v>42600.039780092593</v>
      </c>
      <c r="B218" s="24" t="s">
        <v>219</v>
      </c>
      <c r="C218" s="24" t="s">
        <v>550</v>
      </c>
      <c r="D218" s="24">
        <v>1480000</v>
      </c>
      <c r="E218" s="24" t="s">
        <v>310</v>
      </c>
      <c r="F218" s="24" t="str">
        <f t="shared" si="6"/>
        <v>rtdc.l.rtdc.4009:itc</v>
      </c>
      <c r="G218" s="8">
        <f t="shared" si="7"/>
        <v>42600.039780092593</v>
      </c>
    </row>
    <row r="219" spans="1:7" x14ac:dyDescent="0.25">
      <c r="A219" s="8">
        <v>42600.056909722225</v>
      </c>
      <c r="B219" s="24" t="s">
        <v>117</v>
      </c>
      <c r="C219" s="24" t="s">
        <v>554</v>
      </c>
      <c r="D219" s="24">
        <v>2100000</v>
      </c>
      <c r="E219" s="24" t="s">
        <v>148</v>
      </c>
      <c r="F219" s="24" t="str">
        <f t="shared" si="6"/>
        <v>rtdc.l.rtdc.4014:itc</v>
      </c>
      <c r="G219" s="8">
        <f t="shared" si="7"/>
        <v>42600.056909722225</v>
      </c>
    </row>
    <row r="220" spans="1:7" x14ac:dyDescent="0.25">
      <c r="A220" s="8">
        <v>42600.057430555556</v>
      </c>
      <c r="B220" s="24" t="s">
        <v>120</v>
      </c>
      <c r="C220" s="24" t="s">
        <v>534</v>
      </c>
      <c r="D220" s="24">
        <v>1780000</v>
      </c>
      <c r="E220" s="24" t="s">
        <v>693</v>
      </c>
      <c r="F220" s="24" t="str">
        <f t="shared" si="6"/>
        <v>rtdc.l.rtdc.4032:itc</v>
      </c>
      <c r="G220" s="8">
        <f t="shared" si="7"/>
        <v>42600.057430555556</v>
      </c>
    </row>
    <row r="221" spans="1:7" x14ac:dyDescent="0.25">
      <c r="A221" s="8">
        <v>42600.077986111108</v>
      </c>
      <c r="B221" s="24" t="s">
        <v>233</v>
      </c>
      <c r="C221" s="24" t="s">
        <v>556</v>
      </c>
      <c r="D221" s="24">
        <v>1300000</v>
      </c>
      <c r="E221" s="24" t="s">
        <v>695</v>
      </c>
      <c r="F221" s="24" t="str">
        <f t="shared" si="6"/>
        <v>rtdc.l.rtdc.4016:itc</v>
      </c>
      <c r="G221" s="8">
        <f t="shared" si="7"/>
        <v>42600.077986111108</v>
      </c>
    </row>
    <row r="222" spans="1:7" x14ac:dyDescent="0.25">
      <c r="A222" s="8">
        <v>42598.976400462961</v>
      </c>
      <c r="B222" s="24" t="s">
        <v>233</v>
      </c>
      <c r="C222" s="24" t="s">
        <v>281</v>
      </c>
      <c r="D222" s="24">
        <v>1740000</v>
      </c>
      <c r="E222" s="24" t="s">
        <v>221</v>
      </c>
      <c r="F222" s="24" t="str">
        <f t="shared" si="6"/>
        <v>rtdc.l.rtdc.4016:itc</v>
      </c>
      <c r="G222" s="8">
        <f t="shared" si="7"/>
        <v>42598.976400462961</v>
      </c>
    </row>
    <row r="223" spans="1:7" x14ac:dyDescent="0.25">
      <c r="A223" s="8">
        <v>42598.992256944446</v>
      </c>
      <c r="B223" s="24" t="s">
        <v>216</v>
      </c>
      <c r="C223" s="24" t="s">
        <v>313</v>
      </c>
      <c r="D223" s="24">
        <v>2110000</v>
      </c>
      <c r="E223" s="24" t="s">
        <v>249</v>
      </c>
      <c r="F223" s="24" t="str">
        <f t="shared" si="6"/>
        <v>rtdc.l.rtdc.4043:itc</v>
      </c>
      <c r="G223" s="8">
        <f t="shared" si="7"/>
        <v>42598.992256944446</v>
      </c>
    </row>
    <row r="224" spans="1:7" x14ac:dyDescent="0.25">
      <c r="A224" s="8">
        <v>42598.994328703702</v>
      </c>
      <c r="B224" t="s">
        <v>170</v>
      </c>
      <c r="C224" t="s">
        <v>282</v>
      </c>
      <c r="D224">
        <v>2100000</v>
      </c>
      <c r="E224" t="s">
        <v>148</v>
      </c>
      <c r="F224" s="24" t="str">
        <f t="shared" si="6"/>
        <v>rtdc.l.rtdc.4038:itc</v>
      </c>
      <c r="G224" s="8">
        <f t="shared" si="7"/>
        <v>42598.994328703702</v>
      </c>
    </row>
    <row r="225" spans="1:7" x14ac:dyDescent="0.25">
      <c r="A225" s="8">
        <v>42599.011666666665</v>
      </c>
      <c r="B225" t="s">
        <v>111</v>
      </c>
      <c r="C225" t="s">
        <v>314</v>
      </c>
      <c r="D225">
        <v>1740000</v>
      </c>
      <c r="E225" t="s">
        <v>221</v>
      </c>
      <c r="F225" s="24" t="str">
        <f t="shared" si="6"/>
        <v>rtdc.l.rtdc.4015:itc</v>
      </c>
      <c r="G225" s="8">
        <f t="shared" si="7"/>
        <v>42599.011666666665</v>
      </c>
    </row>
    <row r="226" spans="1:7" x14ac:dyDescent="0.25">
      <c r="A226" s="8">
        <v>42599.02071759259</v>
      </c>
      <c r="B226" t="s">
        <v>94</v>
      </c>
      <c r="C226" t="s">
        <v>315</v>
      </c>
      <c r="D226">
        <v>1800000</v>
      </c>
      <c r="E226" t="s">
        <v>250</v>
      </c>
      <c r="F226" s="24" t="str">
        <f t="shared" si="6"/>
        <v>rtdc.l.rtdc.4029:itc</v>
      </c>
      <c r="G226" s="8">
        <f t="shared" si="7"/>
        <v>42599.02071759259</v>
      </c>
    </row>
    <row r="227" spans="1:7" x14ac:dyDescent="0.25">
      <c r="A227" s="8">
        <v>42599.059386574074</v>
      </c>
      <c r="B227" t="s">
        <v>95</v>
      </c>
      <c r="C227" t="s">
        <v>283</v>
      </c>
      <c r="D227">
        <v>1800000</v>
      </c>
      <c r="E227" t="s">
        <v>250</v>
      </c>
      <c r="F227" s="24" t="str">
        <f t="shared" si="6"/>
        <v>rtdc.l.rtdc.4030:itc</v>
      </c>
      <c r="G227" s="8">
        <f t="shared" si="7"/>
        <v>42599.059386574074</v>
      </c>
    </row>
    <row r="228" spans="1:7" x14ac:dyDescent="0.25">
      <c r="A228" s="8">
        <v>42599.081250000003</v>
      </c>
      <c r="B228" t="s">
        <v>170</v>
      </c>
      <c r="C228" t="s">
        <v>285</v>
      </c>
      <c r="D228">
        <v>2100000</v>
      </c>
      <c r="E228" t="s">
        <v>148</v>
      </c>
      <c r="F228" s="24" t="str">
        <f t="shared" si="6"/>
        <v>rtdc.l.rtdc.4038:itc</v>
      </c>
      <c r="G228" s="8">
        <f t="shared" si="7"/>
        <v>42599.081250000003</v>
      </c>
    </row>
    <row r="229" spans="1:7" x14ac:dyDescent="0.25">
      <c r="A229" s="8">
        <v>42599.092766203707</v>
      </c>
      <c r="B229" t="s">
        <v>94</v>
      </c>
      <c r="C229" t="s">
        <v>283</v>
      </c>
      <c r="D229">
        <v>1800000</v>
      </c>
      <c r="E229" t="s">
        <v>250</v>
      </c>
      <c r="F229" s="24" t="str">
        <f t="shared" si="6"/>
        <v>rtdc.l.rtdc.4029:itc</v>
      </c>
      <c r="G229" s="8">
        <f t="shared" si="7"/>
        <v>42599.092766203707</v>
      </c>
    </row>
    <row r="230" spans="1:7" x14ac:dyDescent="0.25">
      <c r="A230" s="8">
        <v>42599.095381944448</v>
      </c>
      <c r="B230" t="s">
        <v>94</v>
      </c>
      <c r="C230" t="s">
        <v>288</v>
      </c>
      <c r="D230">
        <v>1800000</v>
      </c>
      <c r="E230" t="s">
        <v>316</v>
      </c>
      <c r="F230" s="24" t="str">
        <f t="shared" si="6"/>
        <v>rtdc.l.rtdc.4029:itc</v>
      </c>
      <c r="G230" s="8">
        <f t="shared" si="7"/>
        <v>42599.095381944448</v>
      </c>
    </row>
    <row r="231" spans="1:7" x14ac:dyDescent="0.25">
      <c r="A231" s="8">
        <v>42594.933275462965</v>
      </c>
      <c r="B231" t="s">
        <v>159</v>
      </c>
      <c r="C231" t="s">
        <v>180</v>
      </c>
      <c r="D231">
        <v>1300000</v>
      </c>
      <c r="E231" t="s">
        <v>153</v>
      </c>
      <c r="F231" s="24" t="str">
        <f t="shared" si="6"/>
        <v>rtdc.l.rtdc.4037:itc</v>
      </c>
      <c r="G231" s="8">
        <f t="shared" si="7"/>
        <v>42594.933275462965</v>
      </c>
    </row>
    <row r="232" spans="1:7" x14ac:dyDescent="0.25">
      <c r="A232" s="8">
        <v>42594.933877314812</v>
      </c>
      <c r="B232" t="s">
        <v>205</v>
      </c>
      <c r="C232" t="s">
        <v>196</v>
      </c>
      <c r="D232">
        <v>730000</v>
      </c>
      <c r="E232" t="s">
        <v>206</v>
      </c>
      <c r="F232" s="24" t="str">
        <f t="shared" si="6"/>
        <v>rtdc.l.rtdc.4022:itc</v>
      </c>
      <c r="G232" s="8">
        <f t="shared" si="7"/>
        <v>42594.933877314812</v>
      </c>
    </row>
    <row r="233" spans="1:7" x14ac:dyDescent="0.25">
      <c r="A233" s="8">
        <v>42594.934988425928</v>
      </c>
      <c r="B233" t="s">
        <v>205</v>
      </c>
      <c r="C233" t="s">
        <v>196</v>
      </c>
      <c r="D233">
        <v>730000</v>
      </c>
      <c r="E233" t="s">
        <v>206</v>
      </c>
      <c r="F233" s="24" t="str">
        <f t="shared" si="6"/>
        <v>rtdc.l.rtdc.4022:itc</v>
      </c>
      <c r="G233" s="8">
        <f t="shared" si="7"/>
        <v>42594.934988425928</v>
      </c>
    </row>
    <row r="234" spans="1:7" x14ac:dyDescent="0.25">
      <c r="A234" s="8">
        <v>42594.944837962961</v>
      </c>
      <c r="B234" t="s">
        <v>198</v>
      </c>
      <c r="C234" t="s">
        <v>197</v>
      </c>
      <c r="D234">
        <v>1460000</v>
      </c>
      <c r="E234" t="s">
        <v>203</v>
      </c>
      <c r="F234" s="24" t="str">
        <f t="shared" si="6"/>
        <v>rtdc.l.rtdc.4008:itc</v>
      </c>
      <c r="G234" s="8">
        <f t="shared" si="7"/>
        <v>42594.944837962961</v>
      </c>
    </row>
    <row r="235" spans="1:7" x14ac:dyDescent="0.25">
      <c r="A235" s="8">
        <v>42594.945891203701</v>
      </c>
      <c r="B235" t="s">
        <v>198</v>
      </c>
      <c r="C235" t="s">
        <v>197</v>
      </c>
      <c r="D235">
        <v>1460000</v>
      </c>
      <c r="E235" t="s">
        <v>203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120</v>
      </c>
      <c r="C236" t="s">
        <v>181</v>
      </c>
      <c r="D236">
        <v>2000000</v>
      </c>
      <c r="E236" t="s">
        <v>158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170</v>
      </c>
      <c r="C237" t="s">
        <v>183</v>
      </c>
      <c r="D237">
        <v>1300000</v>
      </c>
      <c r="E237" t="s">
        <v>153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94</v>
      </c>
      <c r="C238" t="s">
        <v>185</v>
      </c>
      <c r="D238">
        <v>1230000</v>
      </c>
      <c r="E238" t="s">
        <v>204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93</v>
      </c>
      <c r="C239" t="s">
        <v>182</v>
      </c>
      <c r="D239">
        <v>2100000</v>
      </c>
      <c r="E239" t="s">
        <v>148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159</v>
      </c>
      <c r="C240" t="s">
        <v>184</v>
      </c>
      <c r="D240">
        <v>1300000</v>
      </c>
      <c r="E240" t="s">
        <v>153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119</v>
      </c>
      <c r="C241" t="s">
        <v>187</v>
      </c>
      <c r="D241">
        <v>2000000</v>
      </c>
      <c r="E241" t="s">
        <v>158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95</v>
      </c>
      <c r="C242" t="s">
        <v>186</v>
      </c>
      <c r="D242">
        <v>1230000</v>
      </c>
      <c r="E242" t="s">
        <v>204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117</v>
      </c>
      <c r="C243" t="s">
        <v>189</v>
      </c>
      <c r="D243">
        <v>2100000</v>
      </c>
      <c r="E243" t="s">
        <v>148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170</v>
      </c>
      <c r="C244" t="s">
        <v>191</v>
      </c>
      <c r="D244">
        <v>1300000</v>
      </c>
      <c r="E244" t="s">
        <v>153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120</v>
      </c>
      <c r="C245" t="s">
        <v>188</v>
      </c>
      <c r="D245">
        <v>2000000</v>
      </c>
      <c r="E245" t="s">
        <v>158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94</v>
      </c>
      <c r="C246" t="s">
        <v>193</v>
      </c>
      <c r="D246">
        <v>1230000</v>
      </c>
      <c r="E246" t="s">
        <v>204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93</v>
      </c>
      <c r="C247" t="s">
        <v>190</v>
      </c>
      <c r="D247">
        <v>2100000</v>
      </c>
      <c r="E247" t="s">
        <v>148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119</v>
      </c>
      <c r="C248" t="s">
        <v>194</v>
      </c>
      <c r="D248">
        <v>2000000</v>
      </c>
      <c r="E248" t="s">
        <v>158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159</v>
      </c>
      <c r="C249" t="s">
        <v>192</v>
      </c>
      <c r="D249">
        <v>1300000</v>
      </c>
      <c r="E249" t="s">
        <v>153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117</v>
      </c>
      <c r="C250" t="s">
        <v>207</v>
      </c>
      <c r="D250">
        <v>2100000</v>
      </c>
      <c r="E250" t="s">
        <v>148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170</v>
      </c>
      <c r="C251" t="s">
        <v>195</v>
      </c>
      <c r="D251">
        <v>1300000</v>
      </c>
      <c r="E251" t="s">
        <v>153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6" sqref="A6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8" t="s">
        <v>122</v>
      </c>
      <c r="D1" s="79" t="s">
        <v>123</v>
      </c>
      <c r="J1" s="35" t="s">
        <v>124</v>
      </c>
      <c r="K1" s="35" t="s">
        <v>74</v>
      </c>
      <c r="L1" s="35" t="s">
        <v>75</v>
      </c>
      <c r="O1" s="82" t="s">
        <v>125</v>
      </c>
    </row>
    <row r="2" spans="1:16" ht="15.75" thickBot="1" x14ac:dyDescent="0.3">
      <c r="A2" s="15">
        <v>42600</v>
      </c>
      <c r="B2" s="4"/>
      <c r="C2" s="80">
        <v>50</v>
      </c>
      <c r="D2" s="81">
        <v>25</v>
      </c>
      <c r="F2" t="s">
        <v>160</v>
      </c>
      <c r="J2" s="35"/>
      <c r="K2" s="35" t="s">
        <v>74</v>
      </c>
      <c r="L2" s="35" t="s">
        <v>75</v>
      </c>
    </row>
    <row r="3" spans="1:16" x14ac:dyDescent="0.25">
      <c r="F3" t="s">
        <v>58</v>
      </c>
      <c r="J3" s="36" t="s">
        <v>76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126</v>
      </c>
      <c r="P3" s="71">
        <f>AVERAGE(1.0714,1.1016)</f>
        <v>1.0865</v>
      </c>
    </row>
    <row r="4" spans="1:16" x14ac:dyDescent="0.25">
      <c r="F4" t="s">
        <v>59</v>
      </c>
      <c r="J4" s="36" t="s">
        <v>77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78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161</v>
      </c>
      <c r="J6" s="36" t="s">
        <v>79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162</v>
      </c>
      <c r="J7" s="36" t="s">
        <v>80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163</v>
      </c>
      <c r="J8" s="36" t="s">
        <v>81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82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83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84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85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86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87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100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101</v>
      </c>
      <c r="K19" s="37"/>
      <c r="L19" s="37"/>
      <c r="M19" s="71" t="s">
        <v>137</v>
      </c>
    </row>
    <row r="20" spans="10:13" x14ac:dyDescent="0.25">
      <c r="J20" t="s">
        <v>102</v>
      </c>
      <c r="M20" s="71" t="s">
        <v>318</v>
      </c>
    </row>
    <row r="21" spans="10:13" x14ac:dyDescent="0.25">
      <c r="J21" s="24" t="s">
        <v>105</v>
      </c>
      <c r="K21" s="24" t="s">
        <v>106</v>
      </c>
      <c r="M21" s="71" t="s">
        <v>106</v>
      </c>
    </row>
    <row r="22" spans="10:13" x14ac:dyDescent="0.25">
      <c r="J22" s="24" t="s">
        <v>107</v>
      </c>
      <c r="K22" s="24" t="s">
        <v>108</v>
      </c>
      <c r="M22" s="71" t="s">
        <v>136</v>
      </c>
    </row>
    <row r="23" spans="10:13" x14ac:dyDescent="0.25">
      <c r="J23" s="32" t="s">
        <v>110</v>
      </c>
      <c r="K23" s="24"/>
      <c r="M23" s="123">
        <v>-6</v>
      </c>
    </row>
    <row r="24" spans="10:13" x14ac:dyDescent="0.25">
      <c r="J24" s="24" t="s">
        <v>133</v>
      </c>
      <c r="K24" s="24"/>
      <c r="M24" s="71" t="s">
        <v>135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2016-08-18T15:43:00Z</dcterms:modified>
</cp:coreProperties>
</file>