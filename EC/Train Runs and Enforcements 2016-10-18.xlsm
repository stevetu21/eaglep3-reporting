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Runs'!$A$12:$AG$278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68" i="1" l="1"/>
  <c r="X69" i="1"/>
  <c r="X70" i="1"/>
  <c r="X71" i="1"/>
  <c r="X72" i="1"/>
  <c r="X73" i="1"/>
  <c r="X74" i="1"/>
  <c r="X75" i="1"/>
  <c r="X76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S13" i="3" s="1"/>
  <c r="Y16" i="1"/>
  <c r="Z16" i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S8" i="3" s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S24" i="3" s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S31" i="3" s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S19" i="3" s="1"/>
  <c r="Y42" i="1"/>
  <c r="Z42" i="1"/>
  <c r="AB42" i="1"/>
  <c r="AC42" i="1"/>
  <c r="AD42" i="1"/>
  <c r="AE42" i="1"/>
  <c r="R19" i="3" s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S20" i="3" s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S25" i="3" s="1"/>
  <c r="Y51" i="1"/>
  <c r="Z51" i="1"/>
  <c r="AB51" i="1"/>
  <c r="AC51" i="1"/>
  <c r="AD51" i="1"/>
  <c r="AG51" i="1" s="1"/>
  <c r="AE51" i="1"/>
  <c r="R7" i="3" s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P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S10" i="3" s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S18" i="3" s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S12" i="3" s="1"/>
  <c r="Y78" i="1"/>
  <c r="Z78" i="1"/>
  <c r="AB78" i="1"/>
  <c r="AC78" i="1"/>
  <c r="AD78" i="1"/>
  <c r="AG78" i="1" s="1"/>
  <c r="AE78" i="1"/>
  <c r="R12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S9" i="3" s="1"/>
  <c r="Y85" i="1"/>
  <c r="Z85" i="1"/>
  <c r="AB85" i="1"/>
  <c r="AC85" i="1"/>
  <c r="AD85" i="1"/>
  <c r="AG85" i="1" s="1"/>
  <c r="AE85" i="1"/>
  <c r="R9" i="3" s="1"/>
  <c r="AF85" i="1"/>
  <c r="AH85" i="1"/>
  <c r="K86" i="1"/>
  <c r="L86" i="1"/>
  <c r="M86" i="1"/>
  <c r="N86" i="1" s="1"/>
  <c r="V86" i="1"/>
  <c r="S14" i="3" s="1"/>
  <c r="Y86" i="1"/>
  <c r="Z86" i="1"/>
  <c r="AB86" i="1"/>
  <c r="AC86" i="1"/>
  <c r="AD86" i="1"/>
  <c r="AG86" i="1" s="1"/>
  <c r="AE86" i="1"/>
  <c r="R14" i="3" s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V99" i="1"/>
  <c r="S15" i="3" s="1"/>
  <c r="Y99" i="1"/>
  <c r="Z99" i="1"/>
  <c r="AB99" i="1"/>
  <c r="AC99" i="1"/>
  <c r="AD99" i="1"/>
  <c r="T99" i="1" s="1"/>
  <c r="AE99" i="1"/>
  <c r="R15" i="3" s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K101" i="1"/>
  <c r="L101" i="1"/>
  <c r="M101" i="1"/>
  <c r="N101" i="1" s="1"/>
  <c r="V101" i="1"/>
  <c r="S27" i="3" s="1"/>
  <c r="Y101" i="1"/>
  <c r="Z101" i="1"/>
  <c r="AB101" i="1"/>
  <c r="AC101" i="1"/>
  <c r="AD101" i="1"/>
  <c r="AG101" i="1" s="1"/>
  <c r="AE101" i="1"/>
  <c r="R27" i="3" s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S17" i="3" s="1"/>
  <c r="Y108" i="1"/>
  <c r="Z108" i="1"/>
  <c r="AB108" i="1"/>
  <c r="AC108" i="1"/>
  <c r="AD108" i="1"/>
  <c r="AE108" i="1"/>
  <c r="R17" i="3" s="1"/>
  <c r="AF108" i="1"/>
  <c r="AH108" i="1"/>
  <c r="K109" i="1"/>
  <c r="L109" i="1"/>
  <c r="M109" i="1"/>
  <c r="N109" i="1" s="1"/>
  <c r="V109" i="1"/>
  <c r="S22" i="3" s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V129" i="1"/>
  <c r="S28" i="3" s="1"/>
  <c r="Y129" i="1"/>
  <c r="Z129" i="1"/>
  <c r="AB129" i="1"/>
  <c r="AC129" i="1"/>
  <c r="AD129" i="1"/>
  <c r="AE129" i="1"/>
  <c r="R28" i="3" s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154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155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K208" i="1"/>
  <c r="L208" i="1"/>
  <c r="M208" i="1"/>
  <c r="N208" i="1"/>
  <c r="V208" i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68" i="1"/>
  <c r="K223" i="1"/>
  <c r="L223" i="1"/>
  <c r="M223" i="1"/>
  <c r="N223" i="1" s="1"/>
  <c r="V223" i="1"/>
  <c r="S38" i="3" s="1"/>
  <c r="Y223" i="1"/>
  <c r="Z223" i="1"/>
  <c r="AB223" i="1"/>
  <c r="AC223" i="1"/>
  <c r="AD223" i="1"/>
  <c r="T223" i="1" s="1"/>
  <c r="AE223" i="1"/>
  <c r="R38" i="3" s="1"/>
  <c r="AF223" i="1"/>
  <c r="AH169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1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5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K232" i="1"/>
  <c r="L232" i="1"/>
  <c r="M232" i="1"/>
  <c r="N232" i="1" s="1"/>
  <c r="V232" i="1"/>
  <c r="S37" i="3" s="1"/>
  <c r="Y232" i="1"/>
  <c r="Z232" i="1"/>
  <c r="AB232" i="1"/>
  <c r="AC232" i="1"/>
  <c r="AD232" i="1"/>
  <c r="AE232" i="1"/>
  <c r="R37" i="3" s="1"/>
  <c r="AF232" i="1"/>
  <c r="AH178" i="1"/>
  <c r="K233" i="1"/>
  <c r="L233" i="1"/>
  <c r="M233" i="1"/>
  <c r="N233" i="1" s="1"/>
  <c r="V233" i="1"/>
  <c r="S40" i="3" s="1"/>
  <c r="Y233" i="1"/>
  <c r="Z233" i="1"/>
  <c r="AB233" i="1"/>
  <c r="AC233" i="1"/>
  <c r="AD233" i="1"/>
  <c r="T233" i="1" s="1"/>
  <c r="AE233" i="1"/>
  <c r="R40" i="3" s="1"/>
  <c r="AF233" i="1"/>
  <c r="AH179" i="1"/>
  <c r="K234" i="1"/>
  <c r="L234" i="1"/>
  <c r="M234" i="1"/>
  <c r="N234" i="1" s="1"/>
  <c r="V234" i="1"/>
  <c r="S41" i="3" s="1"/>
  <c r="Y234" i="1"/>
  <c r="Z234" i="1"/>
  <c r="AB234" i="1"/>
  <c r="AC234" i="1"/>
  <c r="AD234" i="1"/>
  <c r="AG234" i="1" s="1"/>
  <c r="AE234" i="1"/>
  <c r="R41" i="3" s="1"/>
  <c r="AF234" i="1"/>
  <c r="AH180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R39" i="3" s="1"/>
  <c r="AF235" i="1"/>
  <c r="AH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3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184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6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7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88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89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0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1" i="1"/>
  <c r="K159" i="1"/>
  <c r="L159" i="1"/>
  <c r="M159" i="1"/>
  <c r="N159" i="1" s="1"/>
  <c r="V159" i="1"/>
  <c r="S32" i="3" s="1"/>
  <c r="Y159" i="1"/>
  <c r="Z159" i="1"/>
  <c r="AB159" i="1"/>
  <c r="AC159" i="1"/>
  <c r="AD159" i="1"/>
  <c r="AG159" i="1" s="1"/>
  <c r="AE159" i="1"/>
  <c r="R32" i="3" s="1"/>
  <c r="AF159" i="1"/>
  <c r="AH192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3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4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5" i="1"/>
  <c r="K163" i="1"/>
  <c r="L163" i="1"/>
  <c r="M163" i="1"/>
  <c r="N163" i="1" s="1"/>
  <c r="V163" i="1"/>
  <c r="S33" i="3" s="1"/>
  <c r="Y163" i="1"/>
  <c r="Z163" i="1"/>
  <c r="AB163" i="1"/>
  <c r="AC163" i="1"/>
  <c r="AD163" i="1"/>
  <c r="AE163" i="1"/>
  <c r="R34" i="3" s="1"/>
  <c r="AF163" i="1"/>
  <c r="AH19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7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8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AH199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20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1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2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3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204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5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6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207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20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9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0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1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12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13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4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5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6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7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18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9" i="1"/>
  <c r="K187" i="1"/>
  <c r="L187" i="1"/>
  <c r="M187" i="1"/>
  <c r="N187" i="1" s="1"/>
  <c r="V187" i="1"/>
  <c r="S35" i="3" s="1"/>
  <c r="Y187" i="1"/>
  <c r="Z187" i="1"/>
  <c r="AB187" i="1"/>
  <c r="AC187" i="1"/>
  <c r="AD187" i="1"/>
  <c r="T187" i="1" s="1"/>
  <c r="AE187" i="1"/>
  <c r="R35" i="3" s="1"/>
  <c r="AF187" i="1"/>
  <c r="AH22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1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2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3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4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5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26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7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9" i="1"/>
  <c r="K197" i="1"/>
  <c r="L197" i="1"/>
  <c r="M197" i="1"/>
  <c r="N197" i="1" s="1"/>
  <c r="V197" i="1"/>
  <c r="S36" i="3" s="1"/>
  <c r="Y197" i="1"/>
  <c r="Z197" i="1"/>
  <c r="AB197" i="1"/>
  <c r="AC197" i="1"/>
  <c r="AD197" i="1"/>
  <c r="AG197" i="1" s="1"/>
  <c r="AE197" i="1"/>
  <c r="R36" i="3" s="1"/>
  <c r="AF197" i="1"/>
  <c r="AH230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1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2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3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34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35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36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37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8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9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40" i="1"/>
  <c r="M30" i="3"/>
  <c r="N30" i="3"/>
  <c r="R30" i="3"/>
  <c r="S30" i="3"/>
  <c r="U30" i="3"/>
  <c r="T30" i="3" s="1"/>
  <c r="V30" i="3"/>
  <c r="W30" i="3"/>
  <c r="X30" i="3"/>
  <c r="AC30" i="3"/>
  <c r="M13" i="3"/>
  <c r="N13" i="3"/>
  <c r="R13" i="3"/>
  <c r="U13" i="3"/>
  <c r="T13" i="3" s="1"/>
  <c r="V13" i="3"/>
  <c r="W13" i="3"/>
  <c r="X13" i="3"/>
  <c r="AC13" i="3"/>
  <c r="M8" i="3"/>
  <c r="N8" i="3"/>
  <c r="R8" i="3"/>
  <c r="U8" i="3"/>
  <c r="AC8" i="3" s="1"/>
  <c r="V8" i="3"/>
  <c r="W8" i="3"/>
  <c r="X8" i="3"/>
  <c r="M32" i="3"/>
  <c r="N32" i="3"/>
  <c r="U32" i="3"/>
  <c r="T32" i="3" s="1"/>
  <c r="V32" i="3"/>
  <c r="W32" i="3"/>
  <c r="Y32" i="3" s="1"/>
  <c r="X32" i="3"/>
  <c r="M23" i="3"/>
  <c r="N23" i="3"/>
  <c r="R23" i="3"/>
  <c r="S23" i="3"/>
  <c r="U23" i="3"/>
  <c r="T23" i="3" s="1"/>
  <c r="V23" i="3"/>
  <c r="W23" i="3"/>
  <c r="X23" i="3"/>
  <c r="AC23" i="3"/>
  <c r="M31" i="3"/>
  <c r="N31" i="3"/>
  <c r="R31" i="3"/>
  <c r="U31" i="3"/>
  <c r="T31" i="3" s="1"/>
  <c r="V31" i="3"/>
  <c r="W31" i="3"/>
  <c r="X31" i="3"/>
  <c r="AC31" i="3"/>
  <c r="M33" i="3"/>
  <c r="N33" i="3"/>
  <c r="U33" i="3"/>
  <c r="AC33" i="3" s="1"/>
  <c r="V33" i="3"/>
  <c r="W33" i="3"/>
  <c r="Y33" i="3" s="1"/>
  <c r="X33" i="3"/>
  <c r="M34" i="3"/>
  <c r="N34" i="3"/>
  <c r="U34" i="3"/>
  <c r="T34" i="3" s="1"/>
  <c r="V34" i="3"/>
  <c r="W34" i="3"/>
  <c r="X34" i="3"/>
  <c r="M24" i="3"/>
  <c r="N24" i="3"/>
  <c r="R24" i="3"/>
  <c r="U24" i="3"/>
  <c r="T24" i="3" s="1"/>
  <c r="V24" i="3"/>
  <c r="W24" i="3"/>
  <c r="Y24" i="3" s="1"/>
  <c r="X24" i="3"/>
  <c r="AC24" i="3"/>
  <c r="M19" i="3"/>
  <c r="N19" i="3"/>
  <c r="U19" i="3"/>
  <c r="T19" i="3" s="1"/>
  <c r="V19" i="3"/>
  <c r="W19" i="3"/>
  <c r="X19" i="3"/>
  <c r="AC19" i="3"/>
  <c r="M11" i="3"/>
  <c r="N11" i="3"/>
  <c r="U11" i="3"/>
  <c r="AC11" i="3" s="1"/>
  <c r="V11" i="3"/>
  <c r="W11" i="3"/>
  <c r="X11" i="3"/>
  <c r="Y11" i="3"/>
  <c r="M20" i="3"/>
  <c r="N20" i="3"/>
  <c r="R20" i="3"/>
  <c r="U20" i="3"/>
  <c r="T20" i="3" s="1"/>
  <c r="V20" i="3"/>
  <c r="W20" i="3"/>
  <c r="X20" i="3"/>
  <c r="M16" i="3"/>
  <c r="N16" i="3"/>
  <c r="R16" i="3"/>
  <c r="U16" i="3"/>
  <c r="T16" i="3" s="1"/>
  <c r="V16" i="3"/>
  <c r="W16" i="3"/>
  <c r="X16" i="3"/>
  <c r="AC16" i="3"/>
  <c r="M21" i="3"/>
  <c r="N21" i="3"/>
  <c r="R21" i="3"/>
  <c r="U21" i="3"/>
  <c r="T21" i="3" s="1"/>
  <c r="V21" i="3"/>
  <c r="W21" i="3"/>
  <c r="X21" i="3"/>
  <c r="AC21" i="3"/>
  <c r="M7" i="3"/>
  <c r="N7" i="3"/>
  <c r="U7" i="3"/>
  <c r="AC7" i="3" s="1"/>
  <c r="V7" i="3"/>
  <c r="W7" i="3"/>
  <c r="X7" i="3"/>
  <c r="M25" i="3"/>
  <c r="N25" i="3"/>
  <c r="U25" i="3"/>
  <c r="T25" i="3" s="1"/>
  <c r="V25" i="3"/>
  <c r="W25" i="3"/>
  <c r="X25" i="3"/>
  <c r="M10" i="3"/>
  <c r="N10" i="3"/>
  <c r="R10" i="3"/>
  <c r="U10" i="3"/>
  <c r="T10" i="3" s="1"/>
  <c r="V10" i="3"/>
  <c r="W10" i="3"/>
  <c r="X10" i="3"/>
  <c r="AC10" i="3"/>
  <c r="M39" i="3"/>
  <c r="N39" i="3"/>
  <c r="S39" i="3"/>
  <c r="U39" i="3"/>
  <c r="T39" i="3" s="1"/>
  <c r="V39" i="3"/>
  <c r="W39" i="3"/>
  <c r="X39" i="3"/>
  <c r="AC39" i="3"/>
  <c r="M18" i="3"/>
  <c r="N18" i="3"/>
  <c r="R18" i="3"/>
  <c r="U18" i="3"/>
  <c r="AC18" i="3" s="1"/>
  <c r="V18" i="3"/>
  <c r="W18" i="3"/>
  <c r="X18" i="3"/>
  <c r="M26" i="3"/>
  <c r="N26" i="3"/>
  <c r="R26" i="3"/>
  <c r="U26" i="3"/>
  <c r="T26" i="3" s="1"/>
  <c r="V26" i="3"/>
  <c r="W26" i="3"/>
  <c r="X26" i="3"/>
  <c r="M12" i="3"/>
  <c r="N12" i="3"/>
  <c r="U12" i="3"/>
  <c r="T12" i="3" s="1"/>
  <c r="V12" i="3"/>
  <c r="W12" i="3"/>
  <c r="X12" i="3"/>
  <c r="AC12" i="3"/>
  <c r="M14" i="3"/>
  <c r="N14" i="3"/>
  <c r="U14" i="3"/>
  <c r="T14" i="3" s="1"/>
  <c r="V14" i="3"/>
  <c r="W14" i="3"/>
  <c r="X14" i="3"/>
  <c r="AC14" i="3"/>
  <c r="M38" i="3"/>
  <c r="N38" i="3"/>
  <c r="U38" i="3"/>
  <c r="AC38" i="3" s="1"/>
  <c r="V38" i="3"/>
  <c r="W38" i="3"/>
  <c r="X38" i="3"/>
  <c r="M9" i="3"/>
  <c r="N9" i="3"/>
  <c r="U9" i="3"/>
  <c r="T9" i="3" s="1"/>
  <c r="V9" i="3"/>
  <c r="W9" i="3"/>
  <c r="X9" i="3"/>
  <c r="M15" i="3"/>
  <c r="N15" i="3"/>
  <c r="U15" i="3"/>
  <c r="T15" i="3" s="1"/>
  <c r="V15" i="3"/>
  <c r="W15" i="3"/>
  <c r="X15" i="3"/>
  <c r="AC15" i="3"/>
  <c r="M27" i="3"/>
  <c r="N27" i="3"/>
  <c r="U27" i="3"/>
  <c r="T27" i="3" s="1"/>
  <c r="V27" i="3"/>
  <c r="W27" i="3"/>
  <c r="X27" i="3"/>
  <c r="AC27" i="3"/>
  <c r="M17" i="3"/>
  <c r="N17" i="3"/>
  <c r="U17" i="3"/>
  <c r="AC17" i="3" s="1"/>
  <c r="V17" i="3"/>
  <c r="W17" i="3"/>
  <c r="Y17" i="3" s="1"/>
  <c r="X17" i="3"/>
  <c r="M22" i="3"/>
  <c r="N22" i="3"/>
  <c r="R22" i="3"/>
  <c r="U22" i="3"/>
  <c r="T22" i="3" s="1"/>
  <c r="V22" i="3"/>
  <c r="W22" i="3"/>
  <c r="X22" i="3"/>
  <c r="M37" i="3"/>
  <c r="N37" i="3"/>
  <c r="U37" i="3"/>
  <c r="T37" i="3" s="1"/>
  <c r="V37" i="3"/>
  <c r="W37" i="3"/>
  <c r="X37" i="3"/>
  <c r="AC37" i="3"/>
  <c r="M35" i="3"/>
  <c r="N35" i="3"/>
  <c r="U35" i="3"/>
  <c r="T35" i="3" s="1"/>
  <c r="V35" i="3"/>
  <c r="W35" i="3"/>
  <c r="X35" i="3"/>
  <c r="AC35" i="3"/>
  <c r="M41" i="3"/>
  <c r="N41" i="3"/>
  <c r="U41" i="3"/>
  <c r="AC41" i="3" s="1"/>
  <c r="V41" i="3"/>
  <c r="W41" i="3"/>
  <c r="X41" i="3"/>
  <c r="M28" i="3"/>
  <c r="N28" i="3"/>
  <c r="U28" i="3"/>
  <c r="T28" i="3" s="1"/>
  <c r="V28" i="3"/>
  <c r="W28" i="3"/>
  <c r="X28" i="3"/>
  <c r="M36" i="3"/>
  <c r="N36" i="3"/>
  <c r="U36" i="3"/>
  <c r="T36" i="3" s="1"/>
  <c r="V36" i="3"/>
  <c r="W36" i="3"/>
  <c r="X36" i="3"/>
  <c r="AC36" i="3"/>
  <c r="M40" i="3"/>
  <c r="N40" i="3"/>
  <c r="U40" i="3"/>
  <c r="T40" i="3" s="1"/>
  <c r="V40" i="3"/>
  <c r="W40" i="3"/>
  <c r="X40" i="3"/>
  <c r="AC40" i="3"/>
  <c r="AA71" i="1" l="1"/>
  <c r="Y18" i="3"/>
  <c r="Y8" i="3"/>
  <c r="Y13" i="3"/>
  <c r="AA31" i="1"/>
  <c r="X151" i="1"/>
  <c r="AA23" i="1"/>
  <c r="AA22" i="1"/>
  <c r="W22" i="1" s="1"/>
  <c r="S21" i="3"/>
  <c r="X148" i="1"/>
  <c r="X147" i="1"/>
  <c r="S7" i="3"/>
  <c r="X146" i="1"/>
  <c r="Y26" i="3"/>
  <c r="AA222" i="1"/>
  <c r="W222" i="1" s="1"/>
  <c r="Y22" i="3"/>
  <c r="Y20" i="3"/>
  <c r="Y37" i="3"/>
  <c r="Y16" i="3"/>
  <c r="Y34" i="3"/>
  <c r="AA75" i="1"/>
  <c r="R33" i="3"/>
  <c r="AI78" i="1"/>
  <c r="AG211" i="1"/>
  <c r="AI211" i="1" s="1"/>
  <c r="AA101" i="1"/>
  <c r="W101" i="1" s="1"/>
  <c r="S26" i="3"/>
  <c r="S16" i="3"/>
  <c r="AG161" i="1"/>
  <c r="U161" i="1" s="1"/>
  <c r="S161" i="1" s="1"/>
  <c r="AG105" i="1"/>
  <c r="AI105" i="1" s="1"/>
  <c r="S11" i="3"/>
  <c r="S34" i="3"/>
  <c r="AA199" i="1"/>
  <c r="AA198" i="1"/>
  <c r="AA179" i="1"/>
  <c r="W179" i="1" s="1"/>
  <c r="AA173" i="1"/>
  <c r="AA172" i="1"/>
  <c r="AA171" i="1"/>
  <c r="AI147" i="1"/>
  <c r="AA139" i="1"/>
  <c r="W139" i="1" s="1"/>
  <c r="AA135" i="1"/>
  <c r="AA58" i="1"/>
  <c r="AA56" i="1"/>
  <c r="AI46" i="1"/>
  <c r="AA40" i="1"/>
  <c r="AA150" i="1"/>
  <c r="AA149" i="1"/>
  <c r="AA87" i="1"/>
  <c r="AA55" i="1"/>
  <c r="W55" i="1" s="1"/>
  <c r="AA51" i="1"/>
  <c r="W51" i="1" s="1"/>
  <c r="AG236" i="1"/>
  <c r="U236" i="1" s="1"/>
  <c r="S236" i="1" s="1"/>
  <c r="X234" i="1"/>
  <c r="AA142" i="1"/>
  <c r="W142" i="1" s="1"/>
  <c r="AA188" i="1"/>
  <c r="AG81" i="1"/>
  <c r="AA77" i="1"/>
  <c r="P45" i="1"/>
  <c r="AA29" i="1"/>
  <c r="AA143" i="1"/>
  <c r="AA92" i="1"/>
  <c r="AA91" i="1"/>
  <c r="AA90" i="1"/>
  <c r="W90" i="1" s="1"/>
  <c r="T85" i="1"/>
  <c r="U85" i="1" s="1"/>
  <c r="S85" i="1" s="1"/>
  <c r="AA60" i="1"/>
  <c r="X51" i="1"/>
  <c r="AA49" i="1"/>
  <c r="W49" i="1" s="1"/>
  <c r="AA48" i="1"/>
  <c r="X38" i="1"/>
  <c r="X37" i="1"/>
  <c r="AG228" i="1"/>
  <c r="X226" i="1"/>
  <c r="AG117" i="1"/>
  <c r="U117" i="1" s="1"/>
  <c r="S117" i="1" s="1"/>
  <c r="X117" i="1"/>
  <c r="AG70" i="1"/>
  <c r="AI70" i="1" s="1"/>
  <c r="AA34" i="1"/>
  <c r="W34" i="1" s="1"/>
  <c r="AA15" i="1"/>
  <c r="X36" i="1"/>
  <c r="AA216" i="1"/>
  <c r="AA180" i="1"/>
  <c r="AA211" i="1"/>
  <c r="T203" i="1"/>
  <c r="U203" i="1" s="1"/>
  <c r="S203" i="1" s="1"/>
  <c r="AA147" i="1"/>
  <c r="W147" i="1" s="1"/>
  <c r="T142" i="1"/>
  <c r="U142" i="1" s="1"/>
  <c r="S142" i="1" s="1"/>
  <c r="AI139" i="1"/>
  <c r="AA138" i="1"/>
  <c r="AA123" i="1"/>
  <c r="W123" i="1" s="1"/>
  <c r="AA103" i="1"/>
  <c r="AA79" i="1"/>
  <c r="AA74" i="1"/>
  <c r="W74" i="1" s="1"/>
  <c r="AG36" i="1"/>
  <c r="AI36" i="1" s="1"/>
  <c r="AG25" i="1"/>
  <c r="U25" i="1" s="1"/>
  <c r="S25" i="1" s="1"/>
  <c r="X35" i="1"/>
  <c r="AI45" i="1"/>
  <c r="AA215" i="1"/>
  <c r="AA177" i="1"/>
  <c r="AA176" i="1"/>
  <c r="AA175" i="1"/>
  <c r="W175" i="1" s="1"/>
  <c r="AG240" i="1"/>
  <c r="U240" i="1" s="1"/>
  <c r="S240" i="1" s="1"/>
  <c r="AA232" i="1"/>
  <c r="AA231" i="1"/>
  <c r="AA230" i="1"/>
  <c r="AA213" i="1"/>
  <c r="AG209" i="1"/>
  <c r="U209" i="1" s="1"/>
  <c r="S209" i="1" s="1"/>
  <c r="X152" i="1"/>
  <c r="AA152" i="1"/>
  <c r="AA151" i="1"/>
  <c r="AG148" i="1"/>
  <c r="AI148" i="1" s="1"/>
  <c r="T147" i="1"/>
  <c r="U147" i="1" s="1"/>
  <c r="S147" i="1" s="1"/>
  <c r="AA126" i="1"/>
  <c r="AG97" i="1"/>
  <c r="U97" i="1" s="1"/>
  <c r="S97" i="1" s="1"/>
  <c r="AA73" i="1"/>
  <c r="X67" i="1"/>
  <c r="X63" i="1"/>
  <c r="AA35" i="1"/>
  <c r="AA27" i="1"/>
  <c r="T22" i="1"/>
  <c r="U22" i="1" s="1"/>
  <c r="S22" i="1" s="1"/>
  <c r="AA19" i="1"/>
  <c r="T14" i="1"/>
  <c r="U14" i="1" s="1"/>
  <c r="S14" i="1" s="1"/>
  <c r="Y40" i="3"/>
  <c r="Y9" i="3"/>
  <c r="R11" i="3"/>
  <c r="Y23" i="3"/>
  <c r="AG157" i="1"/>
  <c r="U157" i="1" s="1"/>
  <c r="S157" i="1" s="1"/>
  <c r="X155" i="1"/>
  <c r="AA240" i="1"/>
  <c r="AA239" i="1"/>
  <c r="AA238" i="1"/>
  <c r="W238" i="1" s="1"/>
  <c r="X210" i="1"/>
  <c r="AA209" i="1"/>
  <c r="AA208" i="1"/>
  <c r="AG206" i="1"/>
  <c r="U206" i="1" s="1"/>
  <c r="S206" i="1" s="1"/>
  <c r="AG151" i="1"/>
  <c r="U151" i="1" s="1"/>
  <c r="S151" i="1" s="1"/>
  <c r="AA148" i="1"/>
  <c r="AG134" i="1"/>
  <c r="U134" i="1" s="1"/>
  <c r="S134" i="1" s="1"/>
  <c r="X134" i="1"/>
  <c r="AI127" i="1"/>
  <c r="AG120" i="1"/>
  <c r="U120" i="1" s="1"/>
  <c r="S120" i="1" s="1"/>
  <c r="AA111" i="1"/>
  <c r="T106" i="1"/>
  <c r="U106" i="1" s="1"/>
  <c r="S106" i="1" s="1"/>
  <c r="T90" i="1"/>
  <c r="AA67" i="1"/>
  <c r="W67" i="1" s="1"/>
  <c r="AG66" i="1"/>
  <c r="U66" i="1" s="1"/>
  <c r="S66" i="1" s="1"/>
  <c r="AA64" i="1"/>
  <c r="AA63" i="1"/>
  <c r="W63" i="1" s="1"/>
  <c r="AG62" i="1"/>
  <c r="AI62" i="1" s="1"/>
  <c r="AA59" i="1"/>
  <c r="W59" i="1" s="1"/>
  <c r="AG54" i="1"/>
  <c r="U54" i="1" s="1"/>
  <c r="S54" i="1" s="1"/>
  <c r="AA38" i="1"/>
  <c r="AA37" i="1"/>
  <c r="W37" i="1" s="1"/>
  <c r="AA33" i="1"/>
  <c r="AA25" i="1"/>
  <c r="Y38" i="3"/>
  <c r="Y39" i="3"/>
  <c r="Y30" i="3"/>
  <c r="R25" i="3"/>
  <c r="AA221" i="1"/>
  <c r="AA219" i="1"/>
  <c r="AG200" i="1"/>
  <c r="AI200" i="1" s="1"/>
  <c r="AA196" i="1"/>
  <c r="AG186" i="1"/>
  <c r="AI186" i="1" s="1"/>
  <c r="AA184" i="1"/>
  <c r="AG173" i="1"/>
  <c r="U173" i="1" s="1"/>
  <c r="S173" i="1" s="1"/>
  <c r="X171" i="1"/>
  <c r="T101" i="1"/>
  <c r="U101" i="1" s="1"/>
  <c r="S101" i="1" s="1"/>
  <c r="T17" i="1"/>
  <c r="U17" i="1" s="1"/>
  <c r="S17" i="1" s="1"/>
  <c r="T165" i="1"/>
  <c r="AG165" i="1"/>
  <c r="AG163" i="1"/>
  <c r="AI163" i="1" s="1"/>
  <c r="X163" i="1"/>
  <c r="AA169" i="1"/>
  <c r="AA168" i="1"/>
  <c r="AA167" i="1"/>
  <c r="W167" i="1" s="1"/>
  <c r="AA165" i="1"/>
  <c r="AA164" i="1"/>
  <c r="AA163" i="1"/>
  <c r="AA224" i="1"/>
  <c r="AA223" i="1"/>
  <c r="AA207" i="1"/>
  <c r="W207" i="1" s="1"/>
  <c r="AA201" i="1"/>
  <c r="AA153" i="1"/>
  <c r="AG146" i="1"/>
  <c r="AI146" i="1" s="1"/>
  <c r="AG130" i="1"/>
  <c r="U130" i="1" s="1"/>
  <c r="S130" i="1" s="1"/>
  <c r="T224" i="1"/>
  <c r="AG224" i="1"/>
  <c r="AG114" i="1"/>
  <c r="AI114" i="1" s="1"/>
  <c r="T114" i="1"/>
  <c r="T87" i="1"/>
  <c r="AG87" i="1"/>
  <c r="AI87" i="1" s="1"/>
  <c r="AG215" i="1"/>
  <c r="T215" i="1"/>
  <c r="AG169" i="1"/>
  <c r="U169" i="1" s="1"/>
  <c r="S169" i="1" s="1"/>
  <c r="AG210" i="1"/>
  <c r="AI210" i="1" s="1"/>
  <c r="AG135" i="1"/>
  <c r="AI135" i="1" s="1"/>
  <c r="X135" i="1"/>
  <c r="AA128" i="1"/>
  <c r="AG125" i="1"/>
  <c r="U125" i="1" s="1"/>
  <c r="T210" i="1"/>
  <c r="X211" i="1"/>
  <c r="T207" i="1"/>
  <c r="U207" i="1" s="1"/>
  <c r="S207" i="1" s="1"/>
  <c r="X207" i="1"/>
  <c r="T202" i="1"/>
  <c r="X203" i="1"/>
  <c r="T201" i="1"/>
  <c r="AG201" i="1"/>
  <c r="T122" i="1"/>
  <c r="X123" i="1"/>
  <c r="X122" i="1"/>
  <c r="AG122" i="1"/>
  <c r="AI122" i="1" s="1"/>
  <c r="AG98" i="1"/>
  <c r="AI98" i="1" s="1"/>
  <c r="T98" i="1"/>
  <c r="X98" i="1"/>
  <c r="AG216" i="1"/>
  <c r="U216" i="1" s="1"/>
  <c r="S216" i="1" s="1"/>
  <c r="T194" i="1"/>
  <c r="AG194" i="1"/>
  <c r="AG190" i="1"/>
  <c r="AI190" i="1" s="1"/>
  <c r="AG178" i="1"/>
  <c r="U178" i="1" s="1"/>
  <c r="S178" i="1" s="1"/>
  <c r="X178" i="1"/>
  <c r="T177" i="1"/>
  <c r="AG177" i="1"/>
  <c r="AA220" i="1"/>
  <c r="AA218" i="1"/>
  <c r="X215" i="1"/>
  <c r="T179" i="1"/>
  <c r="U179" i="1" s="1"/>
  <c r="S179" i="1" s="1"/>
  <c r="X179" i="1"/>
  <c r="T232" i="1"/>
  <c r="AG232" i="1"/>
  <c r="AG230" i="1"/>
  <c r="AI230" i="1" s="1"/>
  <c r="X230" i="1"/>
  <c r="T213" i="1"/>
  <c r="AG213" i="1"/>
  <c r="T150" i="1"/>
  <c r="AG150" i="1"/>
  <c r="AI150" i="1" s="1"/>
  <c r="AG118" i="1"/>
  <c r="AI118" i="1" s="1"/>
  <c r="X118" i="1"/>
  <c r="AA95" i="1"/>
  <c r="AA192" i="1"/>
  <c r="AA178" i="1"/>
  <c r="AA161" i="1"/>
  <c r="AA160" i="1"/>
  <c r="AA159" i="1"/>
  <c r="W159" i="1" s="1"/>
  <c r="X237" i="1"/>
  <c r="AA236" i="1"/>
  <c r="AA235" i="1"/>
  <c r="AA234" i="1"/>
  <c r="W234" i="1" s="1"/>
  <c r="X229" i="1"/>
  <c r="AA228" i="1"/>
  <c r="AA227" i="1"/>
  <c r="AA226" i="1"/>
  <c r="W226" i="1" s="1"/>
  <c r="AA214" i="1"/>
  <c r="AA206" i="1"/>
  <c r="AA145" i="1"/>
  <c r="W145" i="1" s="1"/>
  <c r="AA131" i="1"/>
  <c r="AA127" i="1"/>
  <c r="W127" i="1" s="1"/>
  <c r="AI123" i="1"/>
  <c r="X121" i="1"/>
  <c r="AA121" i="1"/>
  <c r="AA120" i="1"/>
  <c r="W120" i="1" s="1"/>
  <c r="AA119" i="1"/>
  <c r="AA113" i="1"/>
  <c r="AA108" i="1"/>
  <c r="AA107" i="1"/>
  <c r="AA106" i="1"/>
  <c r="W106" i="1" s="1"/>
  <c r="AG103" i="1"/>
  <c r="AG95" i="1"/>
  <c r="AI95" i="1" s="1"/>
  <c r="AA93" i="1"/>
  <c r="AG89" i="1"/>
  <c r="AI89" i="1" s="1"/>
  <c r="AA85" i="1"/>
  <c r="W85" i="1" s="1"/>
  <c r="AA84" i="1"/>
  <c r="AA83" i="1"/>
  <c r="AA82" i="1"/>
  <c r="W82" i="1" s="1"/>
  <c r="T82" i="1"/>
  <c r="AA78" i="1"/>
  <c r="W78" i="1" s="1"/>
  <c r="AG77" i="1"/>
  <c r="U77" i="1" s="1"/>
  <c r="S77" i="1" s="1"/>
  <c r="AA68" i="1"/>
  <c r="AA66" i="1"/>
  <c r="AA62" i="1"/>
  <c r="AA52" i="1"/>
  <c r="AA50" i="1"/>
  <c r="W50" i="1" s="1"/>
  <c r="AG47" i="1"/>
  <c r="X47" i="1"/>
  <c r="AA46" i="1"/>
  <c r="W46" i="1" s="1"/>
  <c r="AA41" i="1"/>
  <c r="W41" i="1" s="1"/>
  <c r="AG33" i="1"/>
  <c r="U33" i="1" s="1"/>
  <c r="S33" i="1" s="1"/>
  <c r="AG21" i="1"/>
  <c r="U21" i="1" s="1"/>
  <c r="S21" i="1" s="1"/>
  <c r="AA17" i="1"/>
  <c r="W17" i="1" s="1"/>
  <c r="AA14" i="1"/>
  <c r="W14" i="1" s="1"/>
  <c r="X158" i="1"/>
  <c r="AA157" i="1"/>
  <c r="AA156" i="1"/>
  <c r="AA155" i="1"/>
  <c r="W155" i="1" s="1"/>
  <c r="X214" i="1"/>
  <c r="AA144" i="1"/>
  <c r="AA140" i="1"/>
  <c r="AA137" i="1"/>
  <c r="W137" i="1" s="1"/>
  <c r="AA136" i="1"/>
  <c r="AA118" i="1"/>
  <c r="AA116" i="1"/>
  <c r="AA115" i="1"/>
  <c r="AA114" i="1"/>
  <c r="AA100" i="1"/>
  <c r="AA99" i="1"/>
  <c r="AA98" i="1"/>
  <c r="T44" i="1"/>
  <c r="U44" i="1" s="1"/>
  <c r="S44" i="1" s="1"/>
  <c r="AA39" i="1"/>
  <c r="AA30" i="1"/>
  <c r="W30" i="1" s="1"/>
  <c r="X26" i="1"/>
  <c r="X82" i="1"/>
  <c r="X78" i="1"/>
  <c r="AA72" i="1"/>
  <c r="W72" i="1" s="1"/>
  <c r="AA57" i="1"/>
  <c r="W57" i="1" s="1"/>
  <c r="AI49" i="1"/>
  <c r="AA28" i="1"/>
  <c r="W171" i="1"/>
  <c r="X175" i="1"/>
  <c r="T171" i="1"/>
  <c r="U171" i="1" s="1"/>
  <c r="S171" i="1" s="1"/>
  <c r="X167" i="1"/>
  <c r="T163" i="1"/>
  <c r="X159" i="1"/>
  <c r="T155" i="1"/>
  <c r="U155" i="1" s="1"/>
  <c r="S155" i="1" s="1"/>
  <c r="X238" i="1"/>
  <c r="T234" i="1"/>
  <c r="U234" i="1" s="1"/>
  <c r="S234" i="1" s="1"/>
  <c r="T226" i="1"/>
  <c r="U226" i="1" s="1"/>
  <c r="S226" i="1" s="1"/>
  <c r="X222" i="1"/>
  <c r="AA212" i="1"/>
  <c r="AA205" i="1"/>
  <c r="AA204" i="1"/>
  <c r="AA203" i="1"/>
  <c r="W203" i="1" s="1"/>
  <c r="AG202" i="1"/>
  <c r="X202" i="1"/>
  <c r="T152" i="1"/>
  <c r="T149" i="1"/>
  <c r="T138" i="1"/>
  <c r="X138" i="1"/>
  <c r="AG138" i="1"/>
  <c r="AI138" i="1" s="1"/>
  <c r="T129" i="1"/>
  <c r="X130" i="1"/>
  <c r="AG129" i="1"/>
  <c r="AI129" i="1" s="1"/>
  <c r="AG220" i="1"/>
  <c r="U220" i="1" s="1"/>
  <c r="S220" i="1" s="1"/>
  <c r="AG218" i="1"/>
  <c r="U218" i="1" s="1"/>
  <c r="S218" i="1" s="1"/>
  <c r="AA200" i="1"/>
  <c r="AG198" i="1"/>
  <c r="U198" i="1" s="1"/>
  <c r="S198" i="1" s="1"/>
  <c r="AA197" i="1"/>
  <c r="W197" i="1" s="1"/>
  <c r="T197" i="1"/>
  <c r="U197" i="1" s="1"/>
  <c r="S197" i="1" s="1"/>
  <c r="AA195" i="1"/>
  <c r="AA194" i="1"/>
  <c r="AA193" i="1"/>
  <c r="W193" i="1" s="1"/>
  <c r="T193" i="1"/>
  <c r="U193" i="1" s="1"/>
  <c r="S193" i="1" s="1"/>
  <c r="AA191" i="1"/>
  <c r="AA190" i="1"/>
  <c r="AA189" i="1"/>
  <c r="W189" i="1" s="1"/>
  <c r="T189" i="1"/>
  <c r="U189" i="1" s="1"/>
  <c r="S189" i="1" s="1"/>
  <c r="AA187" i="1"/>
  <c r="AA186" i="1"/>
  <c r="AA185" i="1"/>
  <c r="W185" i="1" s="1"/>
  <c r="T185" i="1"/>
  <c r="U185" i="1" s="1"/>
  <c r="S185" i="1" s="1"/>
  <c r="AA183" i="1"/>
  <c r="AA174" i="1"/>
  <c r="T174" i="1"/>
  <c r="AG170" i="1"/>
  <c r="U170" i="1" s="1"/>
  <c r="S170" i="1" s="1"/>
  <c r="X170" i="1"/>
  <c r="AA166" i="1"/>
  <c r="T166" i="1"/>
  <c r="AG162" i="1"/>
  <c r="U162" i="1" s="1"/>
  <c r="S162" i="1" s="1"/>
  <c r="X162" i="1"/>
  <c r="AA158" i="1"/>
  <c r="T158" i="1"/>
  <c r="AG154" i="1"/>
  <c r="U154" i="1" s="1"/>
  <c r="S154" i="1" s="1"/>
  <c r="X154" i="1"/>
  <c r="AA237" i="1"/>
  <c r="T237" i="1"/>
  <c r="AG233" i="1"/>
  <c r="U233" i="1" s="1"/>
  <c r="S233" i="1" s="1"/>
  <c r="X233" i="1"/>
  <c r="AA229" i="1"/>
  <c r="T229" i="1"/>
  <c r="AG225" i="1"/>
  <c r="U225" i="1" s="1"/>
  <c r="X225" i="1"/>
  <c r="U211" i="1"/>
  <c r="S211" i="1" s="1"/>
  <c r="AG131" i="1"/>
  <c r="X131" i="1"/>
  <c r="T175" i="1"/>
  <c r="U175" i="1" s="1"/>
  <c r="S175" i="1" s="1"/>
  <c r="T167" i="1"/>
  <c r="U167" i="1" s="1"/>
  <c r="S167" i="1" s="1"/>
  <c r="T159" i="1"/>
  <c r="U159" i="1" s="1"/>
  <c r="S159" i="1" s="1"/>
  <c r="T238" i="1"/>
  <c r="U238" i="1" s="1"/>
  <c r="S238" i="1" s="1"/>
  <c r="T230" i="1"/>
  <c r="T222" i="1"/>
  <c r="U222" i="1" s="1"/>
  <c r="S222" i="1" s="1"/>
  <c r="AG205" i="1"/>
  <c r="U205" i="1" s="1"/>
  <c r="S205" i="1" s="1"/>
  <c r="AA202" i="1"/>
  <c r="AG152" i="1"/>
  <c r="AI152" i="1" s="1"/>
  <c r="AG149" i="1"/>
  <c r="AG143" i="1"/>
  <c r="AI143" i="1" s="1"/>
  <c r="T143" i="1"/>
  <c r="X143" i="1"/>
  <c r="AA217" i="1"/>
  <c r="X197" i="1"/>
  <c r="AG196" i="1"/>
  <c r="AI196" i="1" s="1"/>
  <c r="X193" i="1"/>
  <c r="AG192" i="1"/>
  <c r="AI192" i="1" s="1"/>
  <c r="X189" i="1"/>
  <c r="AG188" i="1"/>
  <c r="AI188" i="1" s="1"/>
  <c r="X185" i="1"/>
  <c r="AG184" i="1"/>
  <c r="AI184" i="1" s="1"/>
  <c r="AG174" i="1"/>
  <c r="AI174" i="1" s="1"/>
  <c r="AA170" i="1"/>
  <c r="AG166" i="1"/>
  <c r="AA162" i="1"/>
  <c r="AG158" i="1"/>
  <c r="AI158" i="1" s="1"/>
  <c r="AA154" i="1"/>
  <c r="AG237" i="1"/>
  <c r="AA233" i="1"/>
  <c r="AG229" i="1"/>
  <c r="AI229" i="1" s="1"/>
  <c r="AA225" i="1"/>
  <c r="AG214" i="1"/>
  <c r="U214" i="1" s="1"/>
  <c r="S214" i="1" s="1"/>
  <c r="AA210" i="1"/>
  <c r="X206" i="1"/>
  <c r="T131" i="1"/>
  <c r="T55" i="1"/>
  <c r="U55" i="1" s="1"/>
  <c r="S55" i="1" s="1"/>
  <c r="T37" i="1"/>
  <c r="U37" i="1" s="1"/>
  <c r="S37" i="1" s="1"/>
  <c r="AA146" i="1"/>
  <c r="X139" i="1"/>
  <c r="T135" i="1"/>
  <c r="AA132" i="1"/>
  <c r="AA130" i="1"/>
  <c r="X127" i="1"/>
  <c r="AG126" i="1"/>
  <c r="X126" i="1"/>
  <c r="T121" i="1"/>
  <c r="AG115" i="1"/>
  <c r="AI115" i="1" s="1"/>
  <c r="AG113" i="1"/>
  <c r="AA112" i="1"/>
  <c r="X110" i="1"/>
  <c r="AG109" i="1"/>
  <c r="U109" i="1" s="1"/>
  <c r="S109" i="1" s="1"/>
  <c r="AG107" i="1"/>
  <c r="AA104" i="1"/>
  <c r="AA102" i="1"/>
  <c r="T102" i="1"/>
  <c r="U102" i="1" s="1"/>
  <c r="S102" i="1" s="1"/>
  <c r="X94" i="1"/>
  <c r="AG93" i="1"/>
  <c r="AG91" i="1"/>
  <c r="AI91" i="1" s="1"/>
  <c r="AA89" i="1"/>
  <c r="AA88" i="1"/>
  <c r="AA86" i="1"/>
  <c r="W86" i="1" s="1"/>
  <c r="T86" i="1"/>
  <c r="AG73" i="1"/>
  <c r="U73" i="1" s="1"/>
  <c r="S73" i="1" s="1"/>
  <c r="AA70" i="1"/>
  <c r="AA69" i="1"/>
  <c r="T67" i="1"/>
  <c r="U67" i="1" s="1"/>
  <c r="S67" i="1" s="1"/>
  <c r="X59" i="1"/>
  <c r="AG58" i="1"/>
  <c r="U58" i="1" s="1"/>
  <c r="S58" i="1" s="1"/>
  <c r="AA54" i="1"/>
  <c r="AA53" i="1"/>
  <c r="T51" i="1"/>
  <c r="U51" i="1" s="1"/>
  <c r="S51" i="1" s="1"/>
  <c r="AG48" i="1"/>
  <c r="AA44" i="1"/>
  <c r="W44" i="1" s="1"/>
  <c r="AA42" i="1"/>
  <c r="X41" i="1"/>
  <c r="AG40" i="1"/>
  <c r="U40" i="1" s="1"/>
  <c r="S40" i="1" s="1"/>
  <c r="AA36" i="1"/>
  <c r="T34" i="1"/>
  <c r="U34" i="1" s="1"/>
  <c r="S34" i="1" s="1"/>
  <c r="X30" i="1"/>
  <c r="AG29" i="1"/>
  <c r="AA18" i="1"/>
  <c r="W18" i="1" s="1"/>
  <c r="T18" i="1"/>
  <c r="T123" i="1"/>
  <c r="U123" i="1" s="1"/>
  <c r="S123" i="1" s="1"/>
  <c r="T118" i="1"/>
  <c r="X106" i="1"/>
  <c r="X90" i="1"/>
  <c r="T78" i="1"/>
  <c r="U78" i="1" s="1"/>
  <c r="S78" i="1" s="1"/>
  <c r="AA65" i="1"/>
  <c r="W65" i="1" s="1"/>
  <c r="T63" i="1"/>
  <c r="U63" i="1" s="1"/>
  <c r="S63" i="1" s="1"/>
  <c r="X55" i="1"/>
  <c r="AA45" i="1"/>
  <c r="W45" i="1" s="1"/>
  <c r="AA26" i="1"/>
  <c r="W26" i="1" s="1"/>
  <c r="T26" i="1"/>
  <c r="U26" i="1" s="1"/>
  <c r="S26" i="1" s="1"/>
  <c r="AA21" i="1"/>
  <c r="AA16" i="1"/>
  <c r="T139" i="1"/>
  <c r="U139" i="1" s="1"/>
  <c r="S139" i="1" s="1"/>
  <c r="AA134" i="1"/>
  <c r="AG133" i="1"/>
  <c r="U133" i="1" s="1"/>
  <c r="S133" i="1" s="1"/>
  <c r="AA129" i="1"/>
  <c r="T127" i="1"/>
  <c r="U127" i="1" s="1"/>
  <c r="S127" i="1" s="1"/>
  <c r="AA124" i="1"/>
  <c r="AA122" i="1"/>
  <c r="AG121" i="1"/>
  <c r="AI121" i="1" s="1"/>
  <c r="AA117" i="1"/>
  <c r="AG111" i="1"/>
  <c r="AA110" i="1"/>
  <c r="T110" i="1"/>
  <c r="U110" i="1" s="1"/>
  <c r="S110" i="1" s="1"/>
  <c r="X102" i="1"/>
  <c r="AG99" i="1"/>
  <c r="AI99" i="1" s="1"/>
  <c r="AA97" i="1"/>
  <c r="AA96" i="1"/>
  <c r="AA94" i="1"/>
  <c r="W94" i="1" s="1"/>
  <c r="T94" i="1"/>
  <c r="U94" i="1" s="1"/>
  <c r="S94" i="1" s="1"/>
  <c r="X86" i="1"/>
  <c r="AG83" i="1"/>
  <c r="AI83" i="1" s="1"/>
  <c r="AA81" i="1"/>
  <c r="AA76" i="1"/>
  <c r="T74" i="1"/>
  <c r="AA61" i="1"/>
  <c r="W61" i="1" s="1"/>
  <c r="T59" i="1"/>
  <c r="U59" i="1" s="1"/>
  <c r="S59" i="1" s="1"/>
  <c r="T41" i="1"/>
  <c r="X34" i="1"/>
  <c r="AA32" i="1"/>
  <c r="T30" i="1"/>
  <c r="U30" i="1" s="1"/>
  <c r="S30" i="1" s="1"/>
  <c r="AA24" i="1"/>
  <c r="X22" i="1"/>
  <c r="AA20" i="1"/>
  <c r="X18" i="1"/>
  <c r="AI222" i="1"/>
  <c r="AI226" i="1"/>
  <c r="AI234" i="1"/>
  <c r="AG221" i="1"/>
  <c r="AI221" i="1" s="1"/>
  <c r="X218" i="1"/>
  <c r="AG217" i="1"/>
  <c r="AI217" i="1" s="1"/>
  <c r="X200" i="1"/>
  <c r="AG199" i="1"/>
  <c r="AI199" i="1" s="1"/>
  <c r="X196" i="1"/>
  <c r="AG195" i="1"/>
  <c r="AI195" i="1" s="1"/>
  <c r="X192" i="1"/>
  <c r="AG191" i="1"/>
  <c r="X188" i="1"/>
  <c r="AG187" i="1"/>
  <c r="X184" i="1"/>
  <c r="AG183" i="1"/>
  <c r="AG182" i="1"/>
  <c r="AI182" i="1" s="1"/>
  <c r="X182" i="1"/>
  <c r="AA181" i="1"/>
  <c r="T180" i="1"/>
  <c r="X180" i="1"/>
  <c r="AG180" i="1"/>
  <c r="U228" i="1"/>
  <c r="S228" i="1" s="1"/>
  <c r="X217" i="1"/>
  <c r="X199" i="1"/>
  <c r="X195" i="1"/>
  <c r="X191" i="1"/>
  <c r="X187" i="1"/>
  <c r="U186" i="1"/>
  <c r="S186" i="1" s="1"/>
  <c r="X183" i="1"/>
  <c r="T181" i="1"/>
  <c r="X181" i="1"/>
  <c r="AI141" i="1"/>
  <c r="X221" i="1"/>
  <c r="X220" i="1"/>
  <c r="AG219" i="1"/>
  <c r="AI219" i="1" s="1"/>
  <c r="X216" i="1"/>
  <c r="X198" i="1"/>
  <c r="X194" i="1"/>
  <c r="X190" i="1"/>
  <c r="X186" i="1"/>
  <c r="AA182" i="1"/>
  <c r="AG181" i="1"/>
  <c r="X219" i="1"/>
  <c r="X177" i="1"/>
  <c r="AG176" i="1"/>
  <c r="AI176" i="1" s="1"/>
  <c r="AI207" i="1"/>
  <c r="X173" i="1"/>
  <c r="AG172" i="1"/>
  <c r="AI172" i="1" s="1"/>
  <c r="AI203" i="1"/>
  <c r="X169" i="1"/>
  <c r="AG168" i="1"/>
  <c r="AI168" i="1" s="1"/>
  <c r="X165" i="1"/>
  <c r="AG164" i="1"/>
  <c r="AI164" i="1" s="1"/>
  <c r="X161" i="1"/>
  <c r="AG160" i="1"/>
  <c r="AI160" i="1" s="1"/>
  <c r="X157" i="1"/>
  <c r="AG156" i="1"/>
  <c r="AI156" i="1" s="1"/>
  <c r="X240" i="1"/>
  <c r="AG239" i="1"/>
  <c r="AI239" i="1" s="1"/>
  <c r="X236" i="1"/>
  <c r="AG235" i="1"/>
  <c r="AI235" i="1" s="1"/>
  <c r="AI179" i="1"/>
  <c r="X232" i="1"/>
  <c r="AG231" i="1"/>
  <c r="AI175" i="1"/>
  <c r="X228" i="1"/>
  <c r="AG227" i="1"/>
  <c r="AI227" i="1" s="1"/>
  <c r="AI171" i="1"/>
  <c r="S225" i="1"/>
  <c r="X224" i="1"/>
  <c r="AG223" i="1"/>
  <c r="AI223" i="1" s="1"/>
  <c r="AI167" i="1"/>
  <c r="X213" i="1"/>
  <c r="AG212" i="1"/>
  <c r="X209" i="1"/>
  <c r="AG208" i="1"/>
  <c r="AI159" i="1"/>
  <c r="X205" i="1"/>
  <c r="AG204" i="1"/>
  <c r="AI204" i="1" s="1"/>
  <c r="AI155" i="1"/>
  <c r="X201" i="1"/>
  <c r="AG153" i="1"/>
  <c r="AI151" i="1"/>
  <c r="T145" i="1"/>
  <c r="U145" i="1" s="1"/>
  <c r="S145" i="1" s="1"/>
  <c r="X145" i="1"/>
  <c r="AI142" i="1"/>
  <c r="X142" i="1"/>
  <c r="T132" i="1"/>
  <c r="X132" i="1"/>
  <c r="AG132" i="1"/>
  <c r="AA125" i="1"/>
  <c r="AG116" i="1"/>
  <c r="X116" i="1"/>
  <c r="T116" i="1"/>
  <c r="AI110" i="1"/>
  <c r="AA109" i="1"/>
  <c r="AI94" i="1"/>
  <c r="X176" i="1"/>
  <c r="X172" i="1"/>
  <c r="X168" i="1"/>
  <c r="X164" i="1"/>
  <c r="X160" i="1"/>
  <c r="X156" i="1"/>
  <c r="X239" i="1"/>
  <c r="X235" i="1"/>
  <c r="X231" i="1"/>
  <c r="X227" i="1"/>
  <c r="X223" i="1"/>
  <c r="AI166" i="1"/>
  <c r="X212" i="1"/>
  <c r="X208" i="1"/>
  <c r="X204" i="1"/>
  <c r="X153" i="1"/>
  <c r="AI145" i="1"/>
  <c r="T128" i="1"/>
  <c r="X128" i="1"/>
  <c r="AG128" i="1"/>
  <c r="AI106" i="1"/>
  <c r="AA105" i="1"/>
  <c r="AI90" i="1"/>
  <c r="U90" i="1"/>
  <c r="S90" i="1" s="1"/>
  <c r="AA141" i="1"/>
  <c r="W141" i="1" s="1"/>
  <c r="T140" i="1"/>
  <c r="X140" i="1"/>
  <c r="AG140" i="1"/>
  <c r="T137" i="1"/>
  <c r="U137" i="1" s="1"/>
  <c r="S137" i="1" s="1"/>
  <c r="X137" i="1"/>
  <c r="AA133" i="1"/>
  <c r="W133" i="1" s="1"/>
  <c r="S125" i="1"/>
  <c r="T124" i="1"/>
  <c r="X124" i="1"/>
  <c r="AG124" i="1"/>
  <c r="T119" i="1"/>
  <c r="X119" i="1"/>
  <c r="AG119" i="1"/>
  <c r="X120" i="1"/>
  <c r="AI102" i="1"/>
  <c r="AI86" i="1"/>
  <c r="U86" i="1"/>
  <c r="S86" i="1" s="1"/>
  <c r="T144" i="1"/>
  <c r="X144" i="1"/>
  <c r="AG144" i="1"/>
  <c r="T141" i="1"/>
  <c r="U141" i="1" s="1"/>
  <c r="S141" i="1" s="1"/>
  <c r="X141" i="1"/>
  <c r="AI137" i="1"/>
  <c r="T136" i="1"/>
  <c r="X136" i="1"/>
  <c r="AG136" i="1"/>
  <c r="AI82" i="1"/>
  <c r="U82" i="1"/>
  <c r="S82" i="1" s="1"/>
  <c r="AI120" i="1"/>
  <c r="AG112" i="1"/>
  <c r="X113" i="1"/>
  <c r="W110" i="1"/>
  <c r="W102" i="1"/>
  <c r="AI134" i="1"/>
  <c r="X133" i="1"/>
  <c r="X129" i="1"/>
  <c r="X125" i="1"/>
  <c r="AI109" i="1"/>
  <c r="AI101" i="1"/>
  <c r="AI85" i="1"/>
  <c r="AI81" i="1"/>
  <c r="AI69" i="1"/>
  <c r="AI63" i="1"/>
  <c r="AI53" i="1"/>
  <c r="X114" i="1"/>
  <c r="T112" i="1"/>
  <c r="AG108" i="1"/>
  <c r="W108" i="1" s="1"/>
  <c r="X109" i="1"/>
  <c r="T108" i="1"/>
  <c r="X108" i="1"/>
  <c r="AG104" i="1"/>
  <c r="X105" i="1"/>
  <c r="T104" i="1"/>
  <c r="X104" i="1"/>
  <c r="AG100" i="1"/>
  <c r="X101" i="1"/>
  <c r="T100" i="1"/>
  <c r="X100" i="1"/>
  <c r="AG96" i="1"/>
  <c r="X97" i="1"/>
  <c r="T96" i="1"/>
  <c r="X96" i="1"/>
  <c r="U95" i="1"/>
  <c r="S95" i="1" s="1"/>
  <c r="AG92" i="1"/>
  <c r="W92" i="1" s="1"/>
  <c r="X93" i="1"/>
  <c r="T92" i="1"/>
  <c r="X92" i="1"/>
  <c r="U91" i="1"/>
  <c r="S91" i="1" s="1"/>
  <c r="AG88" i="1"/>
  <c r="X89" i="1"/>
  <c r="T88" i="1"/>
  <c r="X88" i="1"/>
  <c r="AG84" i="1"/>
  <c r="X85" i="1"/>
  <c r="T84" i="1"/>
  <c r="X84" i="1"/>
  <c r="U81" i="1"/>
  <c r="S81" i="1" s="1"/>
  <c r="T80" i="1"/>
  <c r="X80" i="1"/>
  <c r="AI61" i="1"/>
  <c r="AI55" i="1"/>
  <c r="U47" i="1"/>
  <c r="S47" i="1" s="1"/>
  <c r="X115" i="1"/>
  <c r="X111" i="1"/>
  <c r="X107" i="1"/>
  <c r="X103" i="1"/>
  <c r="X99" i="1"/>
  <c r="X95" i="1"/>
  <c r="X91" i="1"/>
  <c r="X87" i="1"/>
  <c r="X83" i="1"/>
  <c r="AG80" i="1"/>
  <c r="AI72" i="1"/>
  <c r="W69" i="1"/>
  <c r="AI67" i="1"/>
  <c r="AI57" i="1"/>
  <c r="W53" i="1"/>
  <c r="AI51" i="1"/>
  <c r="X81" i="1"/>
  <c r="AA80" i="1"/>
  <c r="T79" i="1"/>
  <c r="X79" i="1"/>
  <c r="AG79" i="1"/>
  <c r="AG76" i="1"/>
  <c r="X77" i="1"/>
  <c r="T76" i="1"/>
  <c r="AI74" i="1"/>
  <c r="U74" i="1"/>
  <c r="S74" i="1" s="1"/>
  <c r="AI65" i="1"/>
  <c r="AI59" i="1"/>
  <c r="AG75" i="1"/>
  <c r="T72" i="1"/>
  <c r="U72" i="1" s="1"/>
  <c r="S72" i="1" s="1"/>
  <c r="AG71" i="1"/>
  <c r="T69" i="1"/>
  <c r="U69" i="1" s="1"/>
  <c r="S69" i="1" s="1"/>
  <c r="AG68" i="1"/>
  <c r="X65" i="1"/>
  <c r="T65" i="1"/>
  <c r="U65" i="1" s="1"/>
  <c r="S65" i="1" s="1"/>
  <c r="AG64" i="1"/>
  <c r="X61" i="1"/>
  <c r="T61" i="1"/>
  <c r="U61" i="1" s="1"/>
  <c r="S61" i="1" s="1"/>
  <c r="AG60" i="1"/>
  <c r="X57" i="1"/>
  <c r="T57" i="1"/>
  <c r="U57" i="1" s="1"/>
  <c r="S57" i="1" s="1"/>
  <c r="AG56" i="1"/>
  <c r="W56" i="1" s="1"/>
  <c r="X53" i="1"/>
  <c r="T53" i="1"/>
  <c r="U53" i="1" s="1"/>
  <c r="S53" i="1" s="1"/>
  <c r="AG52" i="1"/>
  <c r="AI50" i="1"/>
  <c r="T49" i="1"/>
  <c r="U49" i="1" s="1"/>
  <c r="S49" i="1" s="1"/>
  <c r="T46" i="1"/>
  <c r="U46" i="1" s="1"/>
  <c r="X46" i="1"/>
  <c r="X45" i="1"/>
  <c r="AG39" i="1"/>
  <c r="X40" i="1"/>
  <c r="T39" i="1"/>
  <c r="X39" i="1"/>
  <c r="AI30" i="1"/>
  <c r="AI26" i="1"/>
  <c r="AI21" i="1"/>
  <c r="AG16" i="1"/>
  <c r="X17" i="1"/>
  <c r="T16" i="1"/>
  <c r="X16" i="1"/>
  <c r="X64" i="1"/>
  <c r="X60" i="1"/>
  <c r="X56" i="1"/>
  <c r="X52" i="1"/>
  <c r="T50" i="1"/>
  <c r="U50" i="1" s="1"/>
  <c r="S50" i="1" s="1"/>
  <c r="X50" i="1"/>
  <c r="X49" i="1"/>
  <c r="X48" i="1"/>
  <c r="AA47" i="1"/>
  <c r="AI44" i="1"/>
  <c r="AA43" i="1"/>
  <c r="T42" i="1"/>
  <c r="X42" i="1"/>
  <c r="AG42" i="1"/>
  <c r="AI41" i="1"/>
  <c r="U41" i="1"/>
  <c r="S41" i="1" s="1"/>
  <c r="U36" i="1"/>
  <c r="S36" i="1" s="1"/>
  <c r="AI25" i="1"/>
  <c r="AG20" i="1"/>
  <c r="X21" i="1"/>
  <c r="T20" i="1"/>
  <c r="X20" i="1"/>
  <c r="AI14" i="1"/>
  <c r="T43" i="1"/>
  <c r="X43" i="1"/>
  <c r="AI37" i="1"/>
  <c r="AG32" i="1"/>
  <c r="W32" i="1" s="1"/>
  <c r="X33" i="1"/>
  <c r="T32" i="1"/>
  <c r="X32" i="1"/>
  <c r="AG24" i="1"/>
  <c r="X25" i="1"/>
  <c r="T24" i="1"/>
  <c r="X24" i="1"/>
  <c r="AI18" i="1"/>
  <c r="U18" i="1"/>
  <c r="S18" i="1" s="1"/>
  <c r="X66" i="1"/>
  <c r="X62" i="1"/>
  <c r="X58" i="1"/>
  <c r="X54" i="1"/>
  <c r="AI47" i="1"/>
  <c r="T45" i="1"/>
  <c r="U45" i="1" s="1"/>
  <c r="X44" i="1"/>
  <c r="AG43" i="1"/>
  <c r="AI34" i="1"/>
  <c r="AG28" i="1"/>
  <c r="X29" i="1"/>
  <c r="T28" i="1"/>
  <c r="X28" i="1"/>
  <c r="AI22" i="1"/>
  <c r="AI17" i="1"/>
  <c r="AG38" i="1"/>
  <c r="AG35" i="1"/>
  <c r="AG31" i="1"/>
  <c r="AG27" i="1"/>
  <c r="AG23" i="1"/>
  <c r="AG19" i="1"/>
  <c r="AG15" i="1"/>
  <c r="X31" i="1"/>
  <c r="X27" i="1"/>
  <c r="X23" i="1"/>
  <c r="X19" i="1"/>
  <c r="X15" i="1"/>
  <c r="Y41" i="3"/>
  <c r="Y12" i="3"/>
  <c r="Y25" i="3"/>
  <c r="Y7" i="3"/>
  <c r="Y28" i="3"/>
  <c r="Y27" i="3"/>
  <c r="Y19" i="3"/>
  <c r="AC28" i="3"/>
  <c r="AC9" i="3"/>
  <c r="AC25" i="3"/>
  <c r="AC34" i="3"/>
  <c r="Y35" i="3"/>
  <c r="Y15" i="3"/>
  <c r="Y21" i="3"/>
  <c r="Y31" i="3"/>
  <c r="Y36" i="3"/>
  <c r="Y14" i="3"/>
  <c r="Y10" i="3"/>
  <c r="AC22" i="3"/>
  <c r="AC26" i="3"/>
  <c r="AC20" i="3"/>
  <c r="AC32" i="3"/>
  <c r="T17" i="3"/>
  <c r="T18" i="3"/>
  <c r="T7" i="3"/>
  <c r="T11" i="3"/>
  <c r="T33" i="3"/>
  <c r="T8" i="3"/>
  <c r="T38" i="3"/>
  <c r="T41" i="3"/>
  <c r="R29" i="3"/>
  <c r="M29" i="3"/>
  <c r="N29" i="3"/>
  <c r="S29" i="3"/>
  <c r="U29" i="3"/>
  <c r="AC29" i="3" s="1"/>
  <c r="V29" i="3"/>
  <c r="W29" i="3"/>
  <c r="X29" i="3"/>
  <c r="W126" i="1" l="1"/>
  <c r="W202" i="1"/>
  <c r="U190" i="1"/>
  <c r="S190" i="1" s="1"/>
  <c r="U122" i="1"/>
  <c r="S122" i="1" s="1"/>
  <c r="AI33" i="1"/>
  <c r="AI54" i="1"/>
  <c r="W60" i="1"/>
  <c r="W15" i="1"/>
  <c r="W47" i="1"/>
  <c r="W79" i="1"/>
  <c r="W157" i="1"/>
  <c r="W165" i="1"/>
  <c r="U70" i="1"/>
  <c r="S70" i="1" s="1"/>
  <c r="W62" i="1"/>
  <c r="U83" i="1"/>
  <c r="S83" i="1" s="1"/>
  <c r="U146" i="1"/>
  <c r="S146" i="1" s="1"/>
  <c r="AI198" i="1"/>
  <c r="W28" i="1"/>
  <c r="W42" i="1"/>
  <c r="W39" i="1"/>
  <c r="AI77" i="1"/>
  <c r="U105" i="1"/>
  <c r="S105" i="1" s="1"/>
  <c r="U118" i="1"/>
  <c r="S118" i="1" s="1"/>
  <c r="W29" i="1"/>
  <c r="W93" i="1"/>
  <c r="W98" i="1"/>
  <c r="U98" i="1"/>
  <c r="S98" i="1" s="1"/>
  <c r="U114" i="1"/>
  <c r="S114" i="1" s="1"/>
  <c r="S45" i="1"/>
  <c r="W35" i="1"/>
  <c r="AI40" i="1"/>
  <c r="W124" i="1"/>
  <c r="AI233" i="1"/>
  <c r="W81" i="1"/>
  <c r="W25" i="1"/>
  <c r="U99" i="1"/>
  <c r="S99" i="1" s="1"/>
  <c r="W24" i="1"/>
  <c r="AI66" i="1"/>
  <c r="AI130" i="1"/>
  <c r="AI218" i="1"/>
  <c r="U29" i="1"/>
  <c r="S29" i="1" s="1"/>
  <c r="W20" i="1"/>
  <c r="W16" i="1"/>
  <c r="AI58" i="1"/>
  <c r="W68" i="1"/>
  <c r="W80" i="1"/>
  <c r="W105" i="1"/>
  <c r="W116" i="1"/>
  <c r="U163" i="1"/>
  <c r="S163" i="1" s="1"/>
  <c r="W114" i="1"/>
  <c r="W66" i="1"/>
  <c r="W177" i="1"/>
  <c r="W211" i="1"/>
  <c r="W233" i="1"/>
  <c r="W162" i="1"/>
  <c r="W209" i="1"/>
  <c r="W151" i="1"/>
  <c r="W228" i="1"/>
  <c r="W36" i="1"/>
  <c r="W54" i="1"/>
  <c r="W130" i="1"/>
  <c r="W236" i="1"/>
  <c r="W215" i="1"/>
  <c r="U165" i="1"/>
  <c r="S165" i="1" s="1"/>
  <c r="W122" i="1"/>
  <c r="W70" i="1"/>
  <c r="W178" i="1"/>
  <c r="W213" i="1"/>
  <c r="W121" i="1"/>
  <c r="W240" i="1"/>
  <c r="U87" i="1"/>
  <c r="S87" i="1" s="1"/>
  <c r="W88" i="1"/>
  <c r="AI117" i="1"/>
  <c r="U152" i="1"/>
  <c r="S152" i="1" s="1"/>
  <c r="W183" i="1"/>
  <c r="W191" i="1"/>
  <c r="W117" i="1"/>
  <c r="U62" i="1"/>
  <c r="S62" i="1" s="1"/>
  <c r="W220" i="1"/>
  <c r="U201" i="1"/>
  <c r="S201" i="1" s="1"/>
  <c r="W224" i="1"/>
  <c r="W148" i="1"/>
  <c r="W76" i="1"/>
  <c r="AI125" i="1"/>
  <c r="W210" i="1"/>
  <c r="W161" i="1"/>
  <c r="W125" i="1"/>
  <c r="W187" i="1"/>
  <c r="W195" i="1"/>
  <c r="W21" i="1"/>
  <c r="W132" i="1"/>
  <c r="U213" i="1"/>
  <c r="S213" i="1" s="1"/>
  <c r="U194" i="1"/>
  <c r="S194" i="1" s="1"/>
  <c r="U210" i="1"/>
  <c r="S210" i="1" s="1"/>
  <c r="W33" i="1"/>
  <c r="W138" i="1"/>
  <c r="W150" i="1"/>
  <c r="W52" i="1"/>
  <c r="W77" i="1"/>
  <c r="U93" i="1"/>
  <c r="S93" i="1" s="1"/>
  <c r="AI93" i="1"/>
  <c r="AI178" i="1"/>
  <c r="AI206" i="1"/>
  <c r="AI191" i="1"/>
  <c r="U215" i="1"/>
  <c r="S215" i="1" s="1"/>
  <c r="W134" i="1"/>
  <c r="W107" i="1"/>
  <c r="W113" i="1"/>
  <c r="U135" i="1"/>
  <c r="S135" i="1" s="1"/>
  <c r="U166" i="1"/>
  <c r="S166" i="1" s="1"/>
  <c r="W194" i="1"/>
  <c r="W173" i="1"/>
  <c r="U232" i="1"/>
  <c r="S232" i="1" s="1"/>
  <c r="W112" i="1"/>
  <c r="AI194" i="1"/>
  <c r="AI187" i="1"/>
  <c r="W200" i="1"/>
  <c r="AI29" i="1"/>
  <c r="W104" i="1"/>
  <c r="W109" i="1"/>
  <c r="AI183" i="1"/>
  <c r="U200" i="1"/>
  <c r="S200" i="1" s="1"/>
  <c r="U192" i="1"/>
  <c r="S192" i="1" s="1"/>
  <c r="W146" i="1"/>
  <c r="U202" i="1"/>
  <c r="S202" i="1" s="1"/>
  <c r="W118" i="1"/>
  <c r="W206" i="1"/>
  <c r="W230" i="1"/>
  <c r="AI154" i="1"/>
  <c r="AI170" i="1"/>
  <c r="AI202" i="1"/>
  <c r="W153" i="1"/>
  <c r="AI225" i="1"/>
  <c r="U184" i="1"/>
  <c r="S184" i="1" s="1"/>
  <c r="W97" i="1"/>
  <c r="W225" i="1"/>
  <c r="W154" i="1"/>
  <c r="W170" i="1"/>
  <c r="W186" i="1"/>
  <c r="W190" i="1"/>
  <c r="AI73" i="1"/>
  <c r="AI97" i="1"/>
  <c r="W136" i="1"/>
  <c r="U177" i="1"/>
  <c r="S177" i="1" s="1"/>
  <c r="U148" i="1"/>
  <c r="S148" i="1" s="1"/>
  <c r="U188" i="1"/>
  <c r="S188" i="1" s="1"/>
  <c r="W131" i="1"/>
  <c r="W103" i="1"/>
  <c r="W135" i="1"/>
  <c r="W38" i="1"/>
  <c r="U89" i="1"/>
  <c r="S89" i="1" s="1"/>
  <c r="AI113" i="1"/>
  <c r="AI126" i="1"/>
  <c r="U126" i="1"/>
  <c r="S126" i="1" s="1"/>
  <c r="AI162" i="1"/>
  <c r="AI133" i="1"/>
  <c r="U143" i="1"/>
  <c r="S143" i="1" s="1"/>
  <c r="W182" i="1"/>
  <c r="W221" i="1"/>
  <c r="U196" i="1"/>
  <c r="S196" i="1" s="1"/>
  <c r="U121" i="1"/>
  <c r="S121" i="1" s="1"/>
  <c r="W129" i="1"/>
  <c r="W89" i="1"/>
  <c r="U230" i="1"/>
  <c r="S230" i="1" s="1"/>
  <c r="W232" i="1"/>
  <c r="U229" i="1"/>
  <c r="S229" i="1" s="1"/>
  <c r="U158" i="1"/>
  <c r="S158" i="1" s="1"/>
  <c r="U174" i="1"/>
  <c r="S174" i="1" s="1"/>
  <c r="W163" i="1"/>
  <c r="U150" i="1"/>
  <c r="S150" i="1" s="1"/>
  <c r="W87" i="1"/>
  <c r="W95" i="1"/>
  <c r="U224" i="1"/>
  <c r="S224" i="1" s="1"/>
  <c r="W201" i="1"/>
  <c r="W169" i="1"/>
  <c r="W164" i="1"/>
  <c r="W73" i="1"/>
  <c r="U103" i="1"/>
  <c r="S103" i="1" s="1"/>
  <c r="AI103" i="1"/>
  <c r="W216" i="1"/>
  <c r="W43" i="1"/>
  <c r="W176" i="1"/>
  <c r="W40" i="1"/>
  <c r="U115" i="1"/>
  <c r="S115" i="1" s="1"/>
  <c r="U237" i="1"/>
  <c r="S237" i="1" s="1"/>
  <c r="AI237" i="1"/>
  <c r="W184" i="1"/>
  <c r="W99" i="1"/>
  <c r="W83" i="1"/>
  <c r="W143" i="1"/>
  <c r="W214" i="1"/>
  <c r="W208" i="1"/>
  <c r="AI208" i="1"/>
  <c r="W212" i="1"/>
  <c r="AI212" i="1"/>
  <c r="W231" i="1"/>
  <c r="AI231" i="1"/>
  <c r="W227" i="1"/>
  <c r="W160" i="1"/>
  <c r="W180" i="1"/>
  <c r="AI180" i="1"/>
  <c r="U48" i="1"/>
  <c r="S48" i="1" s="1"/>
  <c r="AI48" i="1"/>
  <c r="W196" i="1"/>
  <c r="W115" i="1"/>
  <c r="U149" i="1"/>
  <c r="S149" i="1" s="1"/>
  <c r="AI149" i="1"/>
  <c r="W152" i="1"/>
  <c r="W229" i="1"/>
  <c r="W237" i="1"/>
  <c r="W158" i="1"/>
  <c r="W166" i="1"/>
  <c r="W174" i="1"/>
  <c r="W91" i="1"/>
  <c r="W205" i="1"/>
  <c r="U111" i="1"/>
  <c r="S111" i="1" s="1"/>
  <c r="AI111" i="1"/>
  <c r="U107" i="1"/>
  <c r="S107" i="1" s="1"/>
  <c r="AI107" i="1"/>
  <c r="U113" i="1"/>
  <c r="S113" i="1" s="1"/>
  <c r="W58" i="1"/>
  <c r="W188" i="1"/>
  <c r="W111" i="1"/>
  <c r="W218" i="1"/>
  <c r="W48" i="1"/>
  <c r="W192" i="1"/>
  <c r="U131" i="1"/>
  <c r="S131" i="1" s="1"/>
  <c r="AI131" i="1"/>
  <c r="U129" i="1"/>
  <c r="S129" i="1" s="1"/>
  <c r="U138" i="1"/>
  <c r="S138" i="1" s="1"/>
  <c r="W149" i="1"/>
  <c r="W198" i="1"/>
  <c r="U27" i="1"/>
  <c r="S27" i="1" s="1"/>
  <c r="W27" i="1"/>
  <c r="AI27" i="1"/>
  <c r="U15" i="1"/>
  <c r="S15" i="1" s="1"/>
  <c r="AI15" i="1"/>
  <c r="U31" i="1"/>
  <c r="S31" i="1" s="1"/>
  <c r="W31" i="1"/>
  <c r="AI31" i="1"/>
  <c r="U28" i="1"/>
  <c r="S28" i="1" s="1"/>
  <c r="AI28" i="1"/>
  <c r="AI43" i="1"/>
  <c r="U43" i="1"/>
  <c r="S43" i="1" s="1"/>
  <c r="U24" i="1"/>
  <c r="S24" i="1" s="1"/>
  <c r="AI24" i="1"/>
  <c r="U32" i="1"/>
  <c r="S32" i="1" s="1"/>
  <c r="AI32" i="1"/>
  <c r="U16" i="1"/>
  <c r="S16" i="1" s="1"/>
  <c r="AI16" i="1"/>
  <c r="AI60" i="1"/>
  <c r="U60" i="1"/>
  <c r="S60" i="1" s="1"/>
  <c r="U75" i="1"/>
  <c r="S75" i="1" s="1"/>
  <c r="AI75" i="1"/>
  <c r="AI80" i="1"/>
  <c r="U80" i="1"/>
  <c r="S80" i="1" s="1"/>
  <c r="U88" i="1"/>
  <c r="S88" i="1" s="1"/>
  <c r="AI88" i="1"/>
  <c r="U96" i="1"/>
  <c r="S96" i="1" s="1"/>
  <c r="AI96" i="1"/>
  <c r="W96" i="1"/>
  <c r="U144" i="1"/>
  <c r="S144" i="1" s="1"/>
  <c r="AI144" i="1"/>
  <c r="U132" i="1"/>
  <c r="S132" i="1" s="1"/>
  <c r="AI132" i="1"/>
  <c r="U219" i="1"/>
  <c r="S219" i="1" s="1"/>
  <c r="AI238" i="1"/>
  <c r="W144" i="1"/>
  <c r="AI216" i="1"/>
  <c r="U183" i="1"/>
  <c r="S183" i="1" s="1"/>
  <c r="AI224" i="1"/>
  <c r="U191" i="1"/>
  <c r="S191" i="1" s="1"/>
  <c r="AI232" i="1"/>
  <c r="U199" i="1"/>
  <c r="S199" i="1" s="1"/>
  <c r="AI240" i="1"/>
  <c r="U221" i="1"/>
  <c r="S221" i="1" s="1"/>
  <c r="W219" i="1"/>
  <c r="U181" i="1"/>
  <c r="S181" i="1" s="1"/>
  <c r="AI214" i="1"/>
  <c r="W181" i="1"/>
  <c r="U35" i="1"/>
  <c r="S35" i="1" s="1"/>
  <c r="AI35" i="1"/>
  <c r="U76" i="1"/>
  <c r="S76" i="1" s="1"/>
  <c r="AI76" i="1"/>
  <c r="U140" i="1"/>
  <c r="S140" i="1" s="1"/>
  <c r="AI140" i="1"/>
  <c r="U20" i="1"/>
  <c r="S20" i="1" s="1"/>
  <c r="AI20" i="1"/>
  <c r="U42" i="1"/>
  <c r="S42" i="1" s="1"/>
  <c r="AI42" i="1"/>
  <c r="U39" i="1"/>
  <c r="S39" i="1" s="1"/>
  <c r="AI39" i="1"/>
  <c r="AI52" i="1"/>
  <c r="U52" i="1"/>
  <c r="S52" i="1" s="1"/>
  <c r="AI68" i="1"/>
  <c r="U68" i="1"/>
  <c r="S68" i="1" s="1"/>
  <c r="U84" i="1"/>
  <c r="S84" i="1" s="1"/>
  <c r="AI84" i="1"/>
  <c r="U92" i="1"/>
  <c r="S92" i="1" s="1"/>
  <c r="AI92" i="1"/>
  <c r="U100" i="1"/>
  <c r="S100" i="1" s="1"/>
  <c r="AI100" i="1"/>
  <c r="U112" i="1"/>
  <c r="S112" i="1" s="1"/>
  <c r="AI112" i="1"/>
  <c r="AI119" i="1"/>
  <c r="U119" i="1"/>
  <c r="S119" i="1" s="1"/>
  <c r="U124" i="1"/>
  <c r="S124" i="1" s="1"/>
  <c r="AI124" i="1"/>
  <c r="U128" i="1"/>
  <c r="S128" i="1" s="1"/>
  <c r="AI128" i="1"/>
  <c r="W128" i="1"/>
  <c r="AI153" i="1"/>
  <c r="U153" i="1"/>
  <c r="S153" i="1" s="1"/>
  <c r="AI157" i="1"/>
  <c r="U204" i="1"/>
  <c r="S204" i="1" s="1"/>
  <c r="AI161" i="1"/>
  <c r="U208" i="1"/>
  <c r="S208" i="1" s="1"/>
  <c r="AI165" i="1"/>
  <c r="U212" i="1"/>
  <c r="S212" i="1" s="1"/>
  <c r="AI169" i="1"/>
  <c r="U223" i="1"/>
  <c r="S223" i="1" s="1"/>
  <c r="AI173" i="1"/>
  <c r="U227" i="1"/>
  <c r="S227" i="1" s="1"/>
  <c r="AI177" i="1"/>
  <c r="U231" i="1"/>
  <c r="S231" i="1" s="1"/>
  <c r="AI181" i="1"/>
  <c r="U235" i="1"/>
  <c r="S235" i="1" s="1"/>
  <c r="AI185" i="1"/>
  <c r="U239" i="1"/>
  <c r="S239" i="1" s="1"/>
  <c r="AI189" i="1"/>
  <c r="U156" i="1"/>
  <c r="S156" i="1" s="1"/>
  <c r="AI193" i="1"/>
  <c r="U160" i="1"/>
  <c r="S160" i="1" s="1"/>
  <c r="AI197" i="1"/>
  <c r="U164" i="1"/>
  <c r="S164" i="1" s="1"/>
  <c r="AI201" i="1"/>
  <c r="U168" i="1"/>
  <c r="S168" i="1" s="1"/>
  <c r="AI205" i="1"/>
  <c r="U172" i="1"/>
  <c r="S172" i="1" s="1"/>
  <c r="AI209" i="1"/>
  <c r="U176" i="1"/>
  <c r="S176" i="1" s="1"/>
  <c r="W235" i="1"/>
  <c r="U180" i="1"/>
  <c r="S180" i="1" s="1"/>
  <c r="AI213" i="1"/>
  <c r="AI220" i="1"/>
  <c r="U187" i="1"/>
  <c r="S187" i="1" s="1"/>
  <c r="AI228" i="1"/>
  <c r="U195" i="1"/>
  <c r="S195" i="1" s="1"/>
  <c r="AI236" i="1"/>
  <c r="U217" i="1"/>
  <c r="S217" i="1" s="1"/>
  <c r="W199" i="1"/>
  <c r="U19" i="1"/>
  <c r="S19" i="1" s="1"/>
  <c r="AI19" i="1"/>
  <c r="W19" i="1"/>
  <c r="AI64" i="1"/>
  <c r="U64" i="1"/>
  <c r="S64" i="1" s="1"/>
  <c r="U23" i="1"/>
  <c r="S23" i="1" s="1"/>
  <c r="W23" i="1"/>
  <c r="AI23" i="1"/>
  <c r="U38" i="1"/>
  <c r="S38" i="1" s="1"/>
  <c r="AI38" i="1"/>
  <c r="AI56" i="1"/>
  <c r="U56" i="1"/>
  <c r="S56" i="1" s="1"/>
  <c r="AI71" i="1"/>
  <c r="U71" i="1"/>
  <c r="S71" i="1" s="1"/>
  <c r="W64" i="1"/>
  <c r="U79" i="1"/>
  <c r="S79" i="1" s="1"/>
  <c r="AI79" i="1"/>
  <c r="W71" i="1"/>
  <c r="W75" i="1"/>
  <c r="U104" i="1"/>
  <c r="S104" i="1" s="1"/>
  <c r="AI104" i="1"/>
  <c r="U108" i="1"/>
  <c r="S108" i="1" s="1"/>
  <c r="AI108" i="1"/>
  <c r="W84" i="1"/>
  <c r="W100" i="1"/>
  <c r="U136" i="1"/>
  <c r="S136" i="1" s="1"/>
  <c r="AI136" i="1"/>
  <c r="W119" i="1"/>
  <c r="U116" i="1"/>
  <c r="S116" i="1" s="1"/>
  <c r="AI116" i="1"/>
  <c r="W204" i="1"/>
  <c r="W156" i="1"/>
  <c r="W172" i="1"/>
  <c r="W140" i="1"/>
  <c r="W223" i="1"/>
  <c r="W239" i="1"/>
  <c r="W168" i="1"/>
  <c r="AI215" i="1"/>
  <c r="U182" i="1"/>
  <c r="S182" i="1" s="1"/>
  <c r="W217" i="1"/>
  <c r="Y29" i="3"/>
  <c r="T29" i="3"/>
  <c r="M30" i="5" l="1"/>
  <c r="M29" i="5"/>
  <c r="M28" i="5"/>
  <c r="M27" i="5"/>
  <c r="K20" i="6" l="1"/>
  <c r="B20" i="6"/>
  <c r="K19" i="6"/>
  <c r="B19" i="6"/>
  <c r="J19" i="6" s="1"/>
  <c r="K18" i="6"/>
  <c r="B18" i="6"/>
  <c r="I18" i="6" s="1"/>
  <c r="K17" i="6"/>
  <c r="B17" i="6"/>
  <c r="I17" i="6" s="1"/>
  <c r="K16" i="6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13" i="6" l="1"/>
  <c r="AA13" i="1"/>
  <c r="F17" i="6"/>
  <c r="AG13" i="1"/>
  <c r="J5" i="6"/>
  <c r="F9" i="6"/>
  <c r="F5" i="6"/>
  <c r="J17" i="6"/>
  <c r="J13" i="6"/>
  <c r="J9" i="6"/>
  <c r="I4" i="6"/>
  <c r="I8" i="6"/>
  <c r="I12" i="6"/>
  <c r="I16" i="6"/>
  <c r="I3" i="6"/>
  <c r="F4" i="6"/>
  <c r="J4" i="6"/>
  <c r="I11" i="6"/>
  <c r="F12" i="6"/>
  <c r="J12" i="6"/>
  <c r="J20" i="6"/>
  <c r="F6" i="6"/>
  <c r="J6" i="6"/>
  <c r="F10" i="6"/>
  <c r="J10" i="6"/>
  <c r="F14" i="6"/>
  <c r="J14" i="6"/>
  <c r="F18" i="6"/>
  <c r="J18" i="6"/>
  <c r="I20" i="6"/>
  <c r="I7" i="6"/>
  <c r="F8" i="6"/>
  <c r="J8" i="6"/>
  <c r="I15" i="6"/>
  <c r="F16" i="6"/>
  <c r="J16" i="6"/>
  <c r="I19" i="6"/>
  <c r="F20" i="6"/>
  <c r="F3" i="6"/>
  <c r="F7" i="6"/>
  <c r="F11" i="6"/>
  <c r="F15" i="6"/>
  <c r="F19" i="6"/>
  <c r="AI13" i="1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5" i="6" s="1"/>
  <c r="G34" i="4"/>
  <c r="H5" i="6" s="1"/>
  <c r="F35" i="4"/>
  <c r="G35" i="4"/>
  <c r="F36" i="4"/>
  <c r="G36" i="4"/>
  <c r="F37" i="4"/>
  <c r="G37" i="4"/>
  <c r="F38" i="4"/>
  <c r="G38" i="4"/>
  <c r="F39" i="4"/>
  <c r="G6" i="6" s="1"/>
  <c r="G39" i="4"/>
  <c r="H6" i="6" s="1"/>
  <c r="F40" i="4"/>
  <c r="G40" i="4"/>
  <c r="F41" i="4"/>
  <c r="G41" i="4"/>
  <c r="F42" i="4"/>
  <c r="G42" i="4"/>
  <c r="F43" i="4"/>
  <c r="G43" i="4"/>
  <c r="F44" i="4"/>
  <c r="G4" i="6" s="1"/>
  <c r="G44" i="4"/>
  <c r="H4" i="6" s="1"/>
  <c r="F45" i="4"/>
  <c r="G9" i="6" s="1"/>
  <c r="G45" i="4"/>
  <c r="H9" i="6" s="1"/>
  <c r="F46" i="4"/>
  <c r="G46" i="4"/>
  <c r="F47" i="4"/>
  <c r="G47" i="4"/>
  <c r="F48" i="4"/>
  <c r="G48" i="4"/>
  <c r="F49" i="4"/>
  <c r="G49" i="4"/>
  <c r="F50" i="4"/>
  <c r="G7" i="6" s="1"/>
  <c r="G50" i="4"/>
  <c r="H7" i="6" s="1"/>
  <c r="F51" i="4"/>
  <c r="G51" i="4"/>
  <c r="F52" i="4"/>
  <c r="G52" i="4"/>
  <c r="F53" i="4"/>
  <c r="G8" i="6" s="1"/>
  <c r="G53" i="4"/>
  <c r="H8" i="6" s="1"/>
  <c r="F54" i="4"/>
  <c r="G11" i="6" s="1"/>
  <c r="G54" i="4"/>
  <c r="H11" i="6" s="1"/>
  <c r="F55" i="4"/>
  <c r="G55" i="4"/>
  <c r="F56" i="4"/>
  <c r="G56" i="4"/>
  <c r="F57" i="4"/>
  <c r="G57" i="4"/>
  <c r="F58" i="4"/>
  <c r="G12" i="6" s="1"/>
  <c r="G58" i="4"/>
  <c r="H12" i="6" s="1"/>
  <c r="F59" i="4"/>
  <c r="G59" i="4"/>
  <c r="F60" i="4"/>
  <c r="G10" i="6" s="1"/>
  <c r="G60" i="4"/>
  <c r="H10" i="6" s="1"/>
  <c r="F61" i="4"/>
  <c r="G61" i="4"/>
  <c r="F62" i="4"/>
  <c r="G62" i="4"/>
  <c r="F63" i="4"/>
  <c r="G63" i="4"/>
  <c r="F64" i="4"/>
  <c r="G14" i="6" s="1"/>
  <c r="G64" i="4"/>
  <c r="H14" i="6" s="1"/>
  <c r="F65" i="4"/>
  <c r="G65" i="4"/>
  <c r="F66" i="4"/>
  <c r="G66" i="4"/>
  <c r="F67" i="4"/>
  <c r="G67" i="4"/>
  <c r="F68" i="4"/>
  <c r="G68" i="4"/>
  <c r="F69" i="4"/>
  <c r="G13" i="6" s="1"/>
  <c r="G69" i="4"/>
  <c r="H13" i="6" s="1"/>
  <c r="F70" i="4"/>
  <c r="G17" i="6" s="1"/>
  <c r="G70" i="4"/>
  <c r="H17" i="6" s="1"/>
  <c r="F71" i="4"/>
  <c r="G71" i="4"/>
  <c r="F72" i="4"/>
  <c r="G72" i="4"/>
  <c r="F73" i="4"/>
  <c r="G73" i="4"/>
  <c r="F74" i="4"/>
  <c r="G15" i="6" s="1"/>
  <c r="G74" i="4"/>
  <c r="H15" i="6" s="1"/>
  <c r="F75" i="4"/>
  <c r="G18" i="6" s="1"/>
  <c r="G75" i="4"/>
  <c r="H18" i="6" s="1"/>
  <c r="F76" i="4"/>
  <c r="G16" i="6" s="1"/>
  <c r="G76" i="4"/>
  <c r="H16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9" i="6" s="1"/>
  <c r="G84" i="4"/>
  <c r="H19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0" i="6" s="1"/>
  <c r="G223" i="4"/>
  <c r="H20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3" i="6" l="1"/>
  <c r="G3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<sst xmlns="http://schemas.openxmlformats.org/spreadsheetml/2006/main" count="2270" uniqueCount="792">
  <si>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</si>
  <si>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</si>
  <si>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</si>
  <si>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</si>
  <si>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</si>
  <si>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</si>
  <si>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</si>
  <si>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</si>
  <si>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</si>
  <si>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</si>
  <si>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</si>
  <si>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</si>
  <si>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</si>
  <si>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</si>
  <si>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</si>
  <si>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</si>
  <si>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</si>
  <si>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</si>
  <si>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</si>
  <si>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</si>
  <si>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</si>
  <si>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</si>
  <si>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</si>
  <si>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</si>
  <si>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</si>
  <si>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</si>
  <si>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</si>
  <si>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</si>
  <si>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</si>
  <si>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</si>
  <si>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</si>
  <si>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</si>
  <si>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</si>
  <si>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</si>
  <si>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</si>
  <si>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</si>
  <si>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</si>
  <si>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</si>
  <si>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</si>
  <si>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</si>
  <si>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</si>
  <si>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</si>
  <si>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</si>
  <si>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</si>
  <si>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</si>
  <si>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</si>
  <si>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</si>
  <si>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</si>
  <si>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</si>
  <si>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</si>
  <si>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</si>
  <si>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</si>
  <si>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</si>
  <si>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</si>
  <si>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</si>
  <si>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</si>
  <si>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</si>
  <si>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</si>
  <si>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</si>
  <si>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</si>
  <si>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</si>
  <si>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</si>
  <si>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</si>
  <si>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</si>
  <si>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</si>
  <si>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</si>
  <si>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</si>
  <si>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</si>
  <si>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</si>
  <si>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</si>
  <si>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</si>
  <si>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</si>
  <si>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</si>
  <si>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</si>
  <si>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</si>
  <si>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</si>
  <si>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</si>
  <si>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</si>
  <si>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</si>
  <si>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</si>
  <si>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</si>
  <si>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</si>
  <si>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</si>
  <si>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</si>
  <si>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</si>
  <si>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</si>
  <si>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</si>
  <si>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</si>
  <si>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</si>
  <si>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</si>
  <si>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</si>
  <si>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</si>
  <si>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</si>
  <si>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</si>
  <si>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</si>
  <si>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</si>
  <si>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</si>
  <si>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</si>
  <si>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</si>
  <si>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</si>
  <si>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</si>
  <si>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</si>
  <si>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</si>
  <si>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</si>
  <si>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</si>
  <si>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</si>
  <si>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</si>
  <si>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</si>
  <si>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</si>
  <si>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</si>
  <si>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</si>
  <si>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</si>
  <si>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</si>
  <si>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</si>
  <si>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</si>
  <si>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</si>
  <si>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</si>
  <si>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</si>
  <si>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</si>
  <si>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</si>
  <si>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</si>
  <si>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</si>
  <si>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</si>
  <si>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</si>
  <si>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</si>
  <si>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</si>
  <si>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</si>
  <si>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</si>
  <si>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</si>
  <si>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</si>
  <si>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</si>
  <si>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</si>
  <si>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</si>
  <si>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</si>
  <si>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</si>
  <si>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</si>
  <si>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</si>
  <si>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</si>
  <si>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</si>
  <si>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</si>
  <si>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</si>
  <si>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</si>
  <si>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</si>
  <si>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</si>
  <si>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</si>
  <si>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</si>
  <si>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</si>
  <si>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</si>
  <si>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</si>
  <si>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</si>
  <si>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</si>
  <si>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</si>
  <si>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</si>
  <si>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</si>
  <si>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</si>
  <si>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</si>
  <si>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</si>
  <si>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</si>
  <si>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</si>
  <si>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</si>
  <si>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</si>
  <si>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</si>
  <si>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</si>
  <si>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</si>
  <si>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</si>
  <si>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</si>
  <si>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</si>
  <si>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</si>
  <si>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</si>
  <si>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</si>
  <si>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</si>
  <si>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</si>
  <si>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</si>
  <si>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</si>
  <si>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</si>
  <si>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</si>
  <si>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</si>
  <si>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</si>
  <si>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</si>
  <si>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</si>
  <si>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</si>
  <si>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</si>
  <si>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</si>
  <si>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</si>
  <si>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</si>
  <si>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</si>
  <si>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</si>
  <si>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</si>
  <si>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</si>
  <si>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Reactive Warning (1)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</si>
  <si>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</si>
  <si>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</si>
  <si>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</si>
  <si>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</si>
  <si>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</si>
  <si>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</si>
  <si>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</si>
  <si>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</si>
  <si>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</si>
  <si>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</si>
  <si>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</si>
  <si>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</si>
  <si>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</si>
  <si>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</si>
  <si>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</si>
  <si>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</si>
  <si>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</si>
  <si>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</si>
  <si>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</si>
  <si>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</si>
  <si>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</si>
  <si>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</si>
  <si>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</si>
  <si>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</si>
  <si>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partly-cloudy-night</t>
  </si>
  <si>
    <t>rtdc.l.rtdc.4039:itc</t>
  </si>
  <si>
    <t>YANAI</t>
  </si>
  <si>
    <t>rtdc.l.rtdc.4032:itc</t>
  </si>
  <si>
    <t>rtdc.l.rtdc.4031:itc</t>
  </si>
  <si>
    <t>204:233314</t>
  </si>
  <si>
    <t>Enforcements Text</t>
  </si>
  <si>
    <t>Runs-Refined Text</t>
  </si>
  <si>
    <t>Trips Text</t>
  </si>
  <si>
    <t>Weather Text</t>
  </si>
  <si>
    <t>204:232985</t>
  </si>
  <si>
    <t>204:161</t>
  </si>
  <si>
    <t>204:154</t>
  </si>
  <si>
    <t>204:145</t>
  </si>
  <si>
    <t>204:458</t>
  </si>
  <si>
    <t>204:149</t>
  </si>
  <si>
    <t>204:233293</t>
  </si>
  <si>
    <t>204:143</t>
  </si>
  <si>
    <t>204:150</t>
  </si>
  <si>
    <t>204:447</t>
  </si>
  <si>
    <t>204:453</t>
  </si>
  <si>
    <t>204:233300</t>
  </si>
  <si>
    <t>204:163</t>
  </si>
  <si>
    <t>204:464</t>
  </si>
  <si>
    <t>204:455</t>
  </si>
  <si>
    <t>204:232982</t>
  </si>
  <si>
    <t>204:136</t>
  </si>
  <si>
    <t>204:467</t>
  </si>
  <si>
    <t>204:134</t>
  </si>
  <si>
    <t>204:457</t>
  </si>
  <si>
    <t>204:232978</t>
  </si>
  <si>
    <t>204:466</t>
  </si>
  <si>
    <t>204:233295</t>
  </si>
  <si>
    <t>204:446</t>
  </si>
  <si>
    <t>204:233299</t>
  </si>
  <si>
    <t>204:167</t>
  </si>
  <si>
    <t>204:160</t>
  </si>
  <si>
    <t>204:232979</t>
  </si>
  <si>
    <t>204:460</t>
  </si>
  <si>
    <t>204:233306</t>
  </si>
  <si>
    <t>204:233289</t>
  </si>
  <si>
    <t>204:233291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</si>
  <si>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</si>
  <si>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</si>
  <si>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</si>
  <si>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</si>
  <si>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</si>
  <si>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</si>
  <si>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</si>
  <si>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</si>
  <si>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</si>
  <si>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</si>
  <si>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rtdc.l.rtdc.4040:itc</t>
  </si>
  <si>
    <t>rtdc.l.rtdc.4028:itc</t>
  </si>
  <si>
    <t>partly-cloudy-day</t>
  </si>
  <si>
    <t>clear-night</t>
  </si>
  <si>
    <t>Clear</t>
  </si>
  <si>
    <t>Summary for DUS 2016-10-12: Partly cloudy until night.</t>
  </si>
  <si>
    <t>rtdc.l.rtdc.4042:itc</t>
  </si>
  <si>
    <t>rtdc.l.rtdc.4001:itc</t>
  </si>
  <si>
    <t>rtdc.l.rtdc.4041:itc</t>
  </si>
  <si>
    <t>NEWELL</t>
  </si>
  <si>
    <t>204:232977</t>
  </si>
  <si>
    <t>204:232998</t>
  </si>
  <si>
    <t>204:232980</t>
  </si>
  <si>
    <t>204:233301</t>
  </si>
  <si>
    <t>204:232994</t>
  </si>
  <si>
    <t>204:475</t>
  </si>
  <si>
    <t>204:233315</t>
  </si>
  <si>
    <t>204:232971</t>
  </si>
  <si>
    <t>204:232991</t>
  </si>
  <si>
    <t>204:471</t>
  </si>
  <si>
    <t>300:58608</t>
  </si>
  <si>
    <t>AWS CP Commands</t>
  </si>
  <si>
    <t>rtdc.l.rtdc.4045:itc</t>
  </si>
  <si>
    <t>rtdc.l.rtdc.4012:itc</t>
  </si>
  <si>
    <t>rtdc.l.rtdc.4011:itc</t>
  </si>
  <si>
    <t>CLARK</t>
  </si>
  <si>
    <t>204:232965</t>
  </si>
  <si>
    <t>204:444</t>
  </si>
  <si>
    <t>204:232987</t>
  </si>
  <si>
    <t>204:233305</t>
  </si>
  <si>
    <t>300:58929</t>
  </si>
  <si>
    <t>300:58926</t>
  </si>
  <si>
    <t>204:1018</t>
  </si>
  <si>
    <t>300:58619</t>
  </si>
  <si>
    <t>204:752</t>
  </si>
  <si>
    <t>KILLION</t>
  </si>
  <si>
    <t>BRUDER</t>
  </si>
  <si>
    <t>HAUSER</t>
  </si>
  <si>
    <t>clear-day</t>
  </si>
  <si>
    <t>204:156</t>
  </si>
  <si>
    <t>204:433</t>
  </si>
  <si>
    <t>204:233000</t>
  </si>
  <si>
    <t>204:233308</t>
  </si>
  <si>
    <t>300:58924</t>
  </si>
  <si>
    <t>300:23306</t>
  </si>
  <si>
    <t>rtdc.l.rtdc.4029:itc</t>
  </si>
  <si>
    <t>ACKERMAN</t>
  </si>
  <si>
    <t>rtdc.l.rtdc.4026:itc</t>
  </si>
  <si>
    <t>rtdc.l.rtdc.4025:itc</t>
  </si>
  <si>
    <t>rtdc.l.rtdc.4030:itc</t>
  </si>
  <si>
    <t>SWANSON</t>
  </si>
  <si>
    <t>BERLING</t>
  </si>
  <si>
    <t>204:139</t>
  </si>
  <si>
    <t>204:233317</t>
  </si>
  <si>
    <t>204:165</t>
  </si>
  <si>
    <t>204:232961</t>
  </si>
  <si>
    <t>204:232981</t>
  </si>
  <si>
    <t>204:1186</t>
  </si>
  <si>
    <t>204:233278</t>
  </si>
  <si>
    <t>204:232972</t>
  </si>
  <si>
    <t>204:233304</t>
  </si>
  <si>
    <t>300:58615</t>
  </si>
  <si>
    <t>300:58609</t>
  </si>
  <si>
    <t>300:58611</t>
  </si>
  <si>
    <t>204:712</t>
  </si>
  <si>
    <t>300:58956</t>
  </si>
  <si>
    <t>300:58649</t>
  </si>
  <si>
    <t>204:484</t>
  </si>
  <si>
    <t>204:233309</t>
  </si>
  <si>
    <t>204:233337</t>
  </si>
  <si>
    <t>Early arrival</t>
  </si>
  <si>
    <t>Pena 4S STOP, cleared afterward</t>
  </si>
  <si>
    <t>rtdc.l.rtdc.4038:itc</t>
  </si>
  <si>
    <t>rtdc.l.rtdc.4002:itc</t>
  </si>
  <si>
    <t>rtdc.l.rtdc.4037:itc</t>
  </si>
  <si>
    <t>rtdc.l.rtdc.4054:itc</t>
  </si>
  <si>
    <t>ROBINSON</t>
  </si>
  <si>
    <t>SPECTOR</t>
  </si>
  <si>
    <t>GRASTON</t>
  </si>
  <si>
    <t>rtdc.l.rtdc.4053:itc</t>
  </si>
  <si>
    <t>ROCHA</t>
  </si>
  <si>
    <t>rtdc.l.rtdc.4021:itc</t>
  </si>
  <si>
    <t>HELVIE</t>
  </si>
  <si>
    <t>DELGADO</t>
  </si>
  <si>
    <t>MATTHEWS</t>
  </si>
  <si>
    <t>rtdc.l.rtdc.4022:itc</t>
  </si>
  <si>
    <t>242-17</t>
  </si>
  <si>
    <t>315-17</t>
  </si>
  <si>
    <t>244-17</t>
  </si>
  <si>
    <t>311-17</t>
  </si>
  <si>
    <t>313-17</t>
  </si>
  <si>
    <t>309-17</t>
  </si>
  <si>
    <t>204:233282</t>
  </si>
  <si>
    <t>204:232641</t>
  </si>
  <si>
    <t>204:232983</t>
  </si>
  <si>
    <t>204:449</t>
  </si>
  <si>
    <t>204:232974</t>
  </si>
  <si>
    <t>204:192</t>
  </si>
  <si>
    <t>204:232957</t>
  </si>
  <si>
    <t>204:158</t>
  </si>
  <si>
    <t>204:232966</t>
  </si>
  <si>
    <t>204:232970</t>
  </si>
  <si>
    <t>204:435</t>
  </si>
  <si>
    <t>204:233311</t>
  </si>
  <si>
    <t>204:170</t>
  </si>
  <si>
    <t>204:442</t>
  </si>
  <si>
    <t>204:233307</t>
  </si>
  <si>
    <t>204:232986</t>
  </si>
  <si>
    <t>204:233321</t>
  </si>
  <si>
    <t>204:473</t>
  </si>
  <si>
    <t>204:233004</t>
  </si>
  <si>
    <t>204:232975</t>
  </si>
  <si>
    <t>204:138</t>
  </si>
  <si>
    <t>204:232990</t>
  </si>
  <si>
    <t>204:486</t>
  </si>
  <si>
    <t>204:233334</t>
  </si>
  <si>
    <t>204:437</t>
  </si>
  <si>
    <t>204:232967</t>
  </si>
  <si>
    <t>300:12091</t>
  </si>
  <si>
    <t>300:22854</t>
  </si>
  <si>
    <t>300:23304</t>
  </si>
  <si>
    <t>204:974</t>
  </si>
  <si>
    <t>204:144</t>
  </si>
  <si>
    <t>204:969</t>
  </si>
  <si>
    <t>300:58939</t>
  </si>
  <si>
    <t>300:58624</t>
  </si>
  <si>
    <t>204:671</t>
  </si>
  <si>
    <t>300:58613</t>
  </si>
  <si>
    <t>300:58941</t>
  </si>
  <si>
    <t>204:1000</t>
  </si>
  <si>
    <t>300:58636</t>
  </si>
  <si>
    <t>204:675</t>
  </si>
  <si>
    <t>300:58643</t>
  </si>
  <si>
    <t>204:741</t>
  </si>
  <si>
    <t>300:58961</t>
  </si>
  <si>
    <t>204:979</t>
  </si>
  <si>
    <t>300:58928</t>
  </si>
  <si>
    <t>204:710</t>
  </si>
  <si>
    <t>204:172</t>
  </si>
  <si>
    <t>204:233288</t>
  </si>
  <si>
    <t>300:58623</t>
  </si>
  <si>
    <t>300:58641</t>
  </si>
  <si>
    <t>300:58958</t>
  </si>
  <si>
    <t>103-18</t>
  </si>
  <si>
    <t>104-18</t>
  </si>
  <si>
    <t>118-18</t>
  </si>
  <si>
    <t>805-18</t>
  </si>
  <si>
    <t>rtdc.l.rtdc.4016:itc</t>
  </si>
  <si>
    <t>127-18</t>
  </si>
  <si>
    <t>809-18</t>
  </si>
  <si>
    <t>126-18</t>
  </si>
  <si>
    <t>130-18</t>
  </si>
  <si>
    <t>135-18</t>
  </si>
  <si>
    <t>138-18</t>
  </si>
  <si>
    <t>149-18</t>
  </si>
  <si>
    <t>60-17</t>
  </si>
  <si>
    <t>152-18</t>
  </si>
  <si>
    <t>165-18</t>
  </si>
  <si>
    <t>173-18</t>
  </si>
  <si>
    <t>51-18</t>
  </si>
  <si>
    <t>rtdc.l.rtdc.4015:itc</t>
  </si>
  <si>
    <t>172-18</t>
  </si>
  <si>
    <t>186-18</t>
  </si>
  <si>
    <t>188-18</t>
  </si>
  <si>
    <t>195-18</t>
  </si>
  <si>
    <t>196-18</t>
  </si>
  <si>
    <t>52-18</t>
  </si>
  <si>
    <t>833-18</t>
  </si>
  <si>
    <t>57-18</t>
  </si>
  <si>
    <t>UNKNOWN LOCATION</t>
  </si>
  <si>
    <t>Other (9)</t>
  </si>
  <si>
    <t>216-18</t>
  </si>
  <si>
    <t>843-18</t>
  </si>
  <si>
    <t>54-18</t>
  </si>
  <si>
    <t>302-18</t>
  </si>
  <si>
    <t>101-18</t>
  </si>
  <si>
    <t>304-18</t>
  </si>
  <si>
    <t>306-18</t>
  </si>
  <si>
    <t>BRANNON</t>
  </si>
  <si>
    <t>102-18</t>
  </si>
  <si>
    <t>308-18</t>
  </si>
  <si>
    <t>105-18</t>
  </si>
  <si>
    <t>310-18</t>
  </si>
  <si>
    <t>DAVIS</t>
  </si>
  <si>
    <t>107-18</t>
  </si>
  <si>
    <t>109-18</t>
  </si>
  <si>
    <t>901-18</t>
  </si>
  <si>
    <t>BEAM</t>
  </si>
  <si>
    <t>111-18</t>
  </si>
  <si>
    <t>GEBRETEKLE</t>
  </si>
  <si>
    <t>113-18</t>
  </si>
  <si>
    <t>106-18</t>
  </si>
  <si>
    <t>800-18</t>
  </si>
  <si>
    <t>108-18</t>
  </si>
  <si>
    <t>115-18</t>
  </si>
  <si>
    <t>110-18</t>
  </si>
  <si>
    <t>117-18</t>
  </si>
  <si>
    <t>801-18</t>
  </si>
  <si>
    <t>902-18</t>
  </si>
  <si>
    <t>112-18</t>
  </si>
  <si>
    <t>119-18</t>
  </si>
  <si>
    <t>802-18</t>
  </si>
  <si>
    <t>114-18</t>
  </si>
  <si>
    <t>121-18</t>
  </si>
  <si>
    <t>803-18</t>
  </si>
  <si>
    <t>116-18</t>
  </si>
  <si>
    <t>123-18</t>
  </si>
  <si>
    <t>804-18</t>
  </si>
  <si>
    <t>125-18</t>
  </si>
  <si>
    <t>120-18</t>
  </si>
  <si>
    <t>122-18</t>
  </si>
  <si>
    <t>806-18</t>
  </si>
  <si>
    <t>129-18</t>
  </si>
  <si>
    <t>807-18</t>
  </si>
  <si>
    <t>124-18</t>
  </si>
  <si>
    <t>131-18</t>
  </si>
  <si>
    <t>808-18</t>
  </si>
  <si>
    <t>133-18</t>
  </si>
  <si>
    <t>128-18</t>
  </si>
  <si>
    <t>810-18</t>
  </si>
  <si>
    <t>137-18</t>
  </si>
  <si>
    <t>811-18</t>
  </si>
  <si>
    <t>132-18</t>
  </si>
  <si>
    <t>139-18</t>
  </si>
  <si>
    <t>903-18</t>
  </si>
  <si>
    <t>812-18</t>
  </si>
  <si>
    <t>141-18</t>
  </si>
  <si>
    <t>134-18</t>
  </si>
  <si>
    <t>136-18</t>
  </si>
  <si>
    <t>143-18</t>
  </si>
  <si>
    <t>145-18</t>
  </si>
  <si>
    <t>ARNOLD</t>
  </si>
  <si>
    <t>813-18</t>
  </si>
  <si>
    <t>140-18</t>
  </si>
  <si>
    <t>142-18</t>
  </si>
  <si>
    <t>147-18</t>
  </si>
  <si>
    <t>814-18</t>
  </si>
  <si>
    <t>144-18</t>
  </si>
  <si>
    <t>151-18</t>
  </si>
  <si>
    <t>146-18</t>
  </si>
  <si>
    <t>153-18</t>
  </si>
  <si>
    <t>157-18</t>
  </si>
  <si>
    <t>815-18</t>
  </si>
  <si>
    <t>148-18</t>
  </si>
  <si>
    <t>155-18</t>
  </si>
  <si>
    <t>SANTIZO</t>
  </si>
  <si>
    <t>816-18</t>
  </si>
  <si>
    <t>150-18</t>
  </si>
  <si>
    <t>159-18</t>
  </si>
  <si>
    <t>154-18</t>
  </si>
  <si>
    <t>817-18</t>
  </si>
  <si>
    <t>161-18</t>
  </si>
  <si>
    <t>156-18</t>
  </si>
  <si>
    <t>158-18</t>
  </si>
  <si>
    <t>163-18</t>
  </si>
  <si>
    <t>818-18</t>
  </si>
  <si>
    <t>HAITHCOX</t>
  </si>
  <si>
    <t>160-18</t>
  </si>
  <si>
    <t>167-18</t>
  </si>
  <si>
    <t>HILLS</t>
  </si>
  <si>
    <t>162-18</t>
  </si>
  <si>
    <t>169-18</t>
  </si>
  <si>
    <t>819-18</t>
  </si>
  <si>
    <t>164-18</t>
  </si>
  <si>
    <t>171-18</t>
  </si>
  <si>
    <t>STORY</t>
  </si>
  <si>
    <t>166-18</t>
  </si>
  <si>
    <t>820-18</t>
  </si>
  <si>
    <t>168-18</t>
  </si>
  <si>
    <t>175-18</t>
  </si>
  <si>
    <t>170-18</t>
  </si>
  <si>
    <t>177-18</t>
  </si>
  <si>
    <t>821-18</t>
  </si>
  <si>
    <t>179-18</t>
  </si>
  <si>
    <t>174-18</t>
  </si>
  <si>
    <t>822-18</t>
  </si>
  <si>
    <t>181-18</t>
  </si>
  <si>
    <t>176-18</t>
  </si>
  <si>
    <t>183-18</t>
  </si>
  <si>
    <t>823-18</t>
  </si>
  <si>
    <t>178-18</t>
  </si>
  <si>
    <t>185-18</t>
  </si>
  <si>
    <t>180-18</t>
  </si>
  <si>
    <t>187-18</t>
  </si>
  <si>
    <t>182-18</t>
  </si>
  <si>
    <t>189-18</t>
  </si>
  <si>
    <t>824-18</t>
  </si>
  <si>
    <t>184-18</t>
  </si>
  <si>
    <t>191-18</t>
  </si>
  <si>
    <t>825-18</t>
  </si>
  <si>
    <t>193-18</t>
  </si>
  <si>
    <t>190-18</t>
  </si>
  <si>
    <t>904-18</t>
  </si>
  <si>
    <t>826-18</t>
  </si>
  <si>
    <t>197-18</t>
  </si>
  <si>
    <t>827-18</t>
  </si>
  <si>
    <t>192-18</t>
  </si>
  <si>
    <t>199-18</t>
  </si>
  <si>
    <t>829-18</t>
  </si>
  <si>
    <t>194-18</t>
  </si>
  <si>
    <t>201-18</t>
  </si>
  <si>
    <t>828-18</t>
  </si>
  <si>
    <t>203-18</t>
  </si>
  <si>
    <t>198-18</t>
  </si>
  <si>
    <t>830-18</t>
  </si>
  <si>
    <t>831-18</t>
  </si>
  <si>
    <t>205-18</t>
  </si>
  <si>
    <t>200-18</t>
  </si>
  <si>
    <t>207-18</t>
  </si>
  <si>
    <t>202-18</t>
  </si>
  <si>
    <t>832-18</t>
  </si>
  <si>
    <t>209-18</t>
  </si>
  <si>
    <t>204-18</t>
  </si>
  <si>
    <t>211-18</t>
  </si>
  <si>
    <t>206-18</t>
  </si>
  <si>
    <t>67-18</t>
  </si>
  <si>
    <t>PINCURA</t>
  </si>
  <si>
    <t>834-18</t>
  </si>
  <si>
    <t>213-18</t>
  </si>
  <si>
    <t>835-18</t>
  </si>
  <si>
    <t>208-18</t>
  </si>
  <si>
    <t>215-18</t>
  </si>
  <si>
    <t>837-18</t>
  </si>
  <si>
    <t>210-18</t>
  </si>
  <si>
    <t>836-18</t>
  </si>
  <si>
    <t>212-18</t>
  </si>
  <si>
    <t>217-18</t>
  </si>
  <si>
    <t>219-18</t>
  </si>
  <si>
    <t>214-18</t>
  </si>
  <si>
    <t>838-18</t>
  </si>
  <si>
    <t>303-18</t>
  </si>
  <si>
    <t>839-18</t>
  </si>
  <si>
    <t>221-18</t>
  </si>
  <si>
    <t>841-18</t>
  </si>
  <si>
    <t>218-18</t>
  </si>
  <si>
    <t>305-18</t>
  </si>
  <si>
    <t>906-18</t>
  </si>
  <si>
    <t>220-18</t>
  </si>
  <si>
    <t>223-18</t>
  </si>
  <si>
    <t>307-18</t>
  </si>
  <si>
    <t>840-18</t>
  </si>
  <si>
    <t>222-18</t>
  </si>
  <si>
    <t>225-18</t>
  </si>
  <si>
    <t>224-18</t>
  </si>
  <si>
    <t>227-18</t>
  </si>
  <si>
    <t>842-18</t>
  </si>
  <si>
    <t>226-18</t>
  </si>
  <si>
    <t>229-18</t>
  </si>
  <si>
    <t>845-18</t>
  </si>
  <si>
    <t>CANFIELD</t>
  </si>
  <si>
    <t>228-18</t>
  </si>
  <si>
    <t>231-18</t>
  </si>
  <si>
    <t>844-18</t>
  </si>
  <si>
    <t>230-18</t>
  </si>
  <si>
    <t>233-18</t>
  </si>
  <si>
    <t>847-18</t>
  </si>
  <si>
    <t>232-18</t>
  </si>
  <si>
    <t>908-18</t>
  </si>
  <si>
    <t>235-18</t>
  </si>
  <si>
    <t>237-18</t>
  </si>
  <si>
    <t>234-18</t>
  </si>
  <si>
    <t>50-18</t>
  </si>
  <si>
    <t>239-18</t>
  </si>
  <si>
    <t>238-18</t>
  </si>
  <si>
    <t>243-18</t>
  </si>
  <si>
    <t>240-18</t>
  </si>
  <si>
    <t>309-18</t>
  </si>
  <si>
    <t>311-18</t>
  </si>
  <si>
    <t>244-18</t>
  </si>
  <si>
    <t>313-18</t>
  </si>
  <si>
    <t>315-18</t>
  </si>
  <si>
    <t>precipType</t>
  </si>
  <si>
    <t>Mostly Cloudy</t>
  </si>
  <si>
    <t>rain</t>
  </si>
  <si>
    <t>Drizzle</t>
  </si>
  <si>
    <t>204:763</t>
  </si>
  <si>
    <t>204:232667</t>
  </si>
  <si>
    <t>204:132</t>
  </si>
  <si>
    <t>204:754</t>
  </si>
  <si>
    <t>204:232646</t>
  </si>
  <si>
    <t>204:233303</t>
  </si>
  <si>
    <t>204:788</t>
  </si>
  <si>
    <t>204:748</t>
  </si>
  <si>
    <t>204:176</t>
  </si>
  <si>
    <t>204:233280</t>
  </si>
  <si>
    <t>204:739</t>
  </si>
  <si>
    <t>204:233319</t>
  </si>
  <si>
    <t>204:232992</t>
  </si>
  <si>
    <t>204:233019</t>
  </si>
  <si>
    <t>204:232984</t>
  </si>
  <si>
    <t>204:128278</t>
  </si>
  <si>
    <t>204:106669</t>
  </si>
  <si>
    <t>204:233329</t>
  </si>
  <si>
    <t>204:233006</t>
  </si>
  <si>
    <t>204:211</t>
  </si>
  <si>
    <t>204:498</t>
  </si>
  <si>
    <t>204:181</t>
  </si>
  <si>
    <t>204:216311</t>
  </si>
  <si>
    <t>204:232653</t>
  </si>
  <si>
    <t>204:515</t>
  </si>
  <si>
    <t>204:1496</t>
  </si>
  <si>
    <t>204:1169</t>
  </si>
  <si>
    <t>204:777</t>
  </si>
  <si>
    <t>204:462</t>
  </si>
  <si>
    <t>204:232944</t>
  </si>
  <si>
    <t>204:416</t>
  </si>
  <si>
    <t>204:233326</t>
  </si>
  <si>
    <t>204:233017</t>
  </si>
  <si>
    <t>204:233298</t>
  </si>
  <si>
    <t>204:232955</t>
  </si>
  <si>
    <t>204:438</t>
  </si>
  <si>
    <t>204:233264</t>
  </si>
  <si>
    <t>204:422</t>
  </si>
  <si>
    <t>204:233336</t>
  </si>
  <si>
    <t>204:233028</t>
  </si>
  <si>
    <t>204:233324</t>
  </si>
  <si>
    <t>204:480</t>
  </si>
  <si>
    <t>204:233340</t>
  </si>
  <si>
    <t>204:125</t>
  </si>
  <si>
    <t>204:426</t>
  </si>
  <si>
    <t>204:233241</t>
  </si>
  <si>
    <t>204:232921</t>
  </si>
  <si>
    <t>204:119</t>
  </si>
  <si>
    <t>300:23107</t>
  </si>
  <si>
    <t>300:22340</t>
  </si>
  <si>
    <t>300:22935</t>
  </si>
  <si>
    <t>300:23576</t>
  </si>
  <si>
    <t>300:23299</t>
  </si>
  <si>
    <t>300:23349</t>
  </si>
  <si>
    <t>300:23079</t>
  </si>
  <si>
    <t>300:23381</t>
  </si>
  <si>
    <t>300:22267</t>
  </si>
  <si>
    <t>300:22837</t>
  </si>
  <si>
    <t>300:23219</t>
  </si>
  <si>
    <t>300:22605</t>
  </si>
  <si>
    <t>204:97</t>
  </si>
  <si>
    <t>300:42172</t>
  </si>
  <si>
    <t>300:42229</t>
  </si>
  <si>
    <t>204:151</t>
  </si>
  <si>
    <t>300:42468</t>
  </si>
  <si>
    <t>204:468</t>
  </si>
  <si>
    <t>300:42595</t>
  </si>
  <si>
    <t>300:42527</t>
  </si>
  <si>
    <t>300:25122</t>
  </si>
  <si>
    <t>300:24286</t>
  </si>
  <si>
    <t>300:31441</t>
  </si>
  <si>
    <t>204:885</t>
  </si>
  <si>
    <t>204:299</t>
  </si>
  <si>
    <t>300:25601</t>
  </si>
  <si>
    <t>300:30625</t>
  </si>
  <si>
    <t>300:35607</t>
  </si>
  <si>
    <t>204:155</t>
  </si>
  <si>
    <t>300:42070</t>
  </si>
  <si>
    <t>300:35935</t>
  </si>
  <si>
    <t>300:42375</t>
  </si>
  <si>
    <t>204:1483</t>
  </si>
  <si>
    <t>300:23301</t>
  </si>
  <si>
    <t>300:58677</t>
  </si>
  <si>
    <t>204:694</t>
  </si>
  <si>
    <t>204:986</t>
  </si>
  <si>
    <t>300:58992</t>
  </si>
  <si>
    <t>300:58668</t>
  </si>
  <si>
    <t>204:1006</t>
  </si>
  <si>
    <t>204:1028</t>
  </si>
  <si>
    <t>300:58978</t>
  </si>
  <si>
    <t>204:705</t>
  </si>
  <si>
    <t>204:1023</t>
  </si>
  <si>
    <t>300:58604</t>
  </si>
  <si>
    <t>204:729</t>
  </si>
  <si>
    <t>204:995</t>
  </si>
  <si>
    <t>300:58986</t>
  </si>
  <si>
    <t>300:58670</t>
  </si>
  <si>
    <t>204:778</t>
  </si>
  <si>
    <t>204:1030</t>
  </si>
  <si>
    <t>204:722</t>
  </si>
  <si>
    <t>204:988</t>
  </si>
  <si>
    <t>204:701</t>
  </si>
  <si>
    <t>204:997</t>
  </si>
  <si>
    <t>300:58931</t>
  </si>
  <si>
    <t>204:727</t>
  </si>
  <si>
    <t>204:1016</t>
  </si>
  <si>
    <t>204:731</t>
  </si>
  <si>
    <t>300:58965</t>
  </si>
  <si>
    <t>204:670</t>
  </si>
  <si>
    <t>204:971</t>
  </si>
  <si>
    <t>300:58952</t>
  </si>
  <si>
    <t>300:58937</t>
  </si>
  <si>
    <t>204:747</t>
  </si>
  <si>
    <t>204:706</t>
  </si>
  <si>
    <t>204:1042</t>
  </si>
  <si>
    <t>204:755</t>
  </si>
  <si>
    <t>204:981</t>
  </si>
  <si>
    <t>300:58920</t>
  </si>
  <si>
    <t>204:1049</t>
  </si>
  <si>
    <t>204:776</t>
  </si>
  <si>
    <t>204:1056</t>
  </si>
  <si>
    <t>204:696</t>
  </si>
  <si>
    <t>300:58933</t>
  </si>
  <si>
    <t>204:761</t>
  </si>
  <si>
    <t>204:983</t>
  </si>
  <si>
    <t>204:1039</t>
  </si>
  <si>
    <t>300:32650</t>
  </si>
  <si>
    <t>300:58997</t>
  </si>
  <si>
    <t>300:22438</t>
  </si>
  <si>
    <t>204:715</t>
  </si>
  <si>
    <t>204:1067</t>
  </si>
  <si>
    <t>300:24235</t>
  </si>
  <si>
    <t>300:23351</t>
  </si>
  <si>
    <t>300:28786</t>
  </si>
  <si>
    <t>300:21742</t>
  </si>
  <si>
    <t>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 &amp; aws s3 cp s3://rtdc.mdm.uploadarchive.raw/RTDC4018/ "%USERPROFILE%\AppData\Local\Temp\OnboardLogs"\RTDC4018\2016-10-19 --exclude "*" --recursive --include "*20161019*" &amp; "%USERPROFILE%\Documents\GitHub\mrs-test-scripts\Headless Mode &amp; Sideloading\WalkAndUnGZ.bat" "%USERPROFILE%\AppData\Local\Temp\OnboardLogs"\RTDC4018\2016-10-19</t>
  </si>
  <si>
    <t>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 &amp; 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</t>
  </si>
  <si>
    <t>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 &amp; 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</t>
  </si>
  <si>
    <t>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 &amp; 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</t>
  </si>
  <si>
    <t>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 &amp; 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</t>
  </si>
  <si>
    <t>aws s3 cp s3://rtdc.mdm.uploadarchive.raw/RTDC4039/ "%USERPROFILE%\AppData\Local\Temp\OnboardLogs"\RTDC4039\2016-10-18 --exclude "*" --recursive --include "*20161018*" &amp; "%USERPROFILE%\Documents\GitHub\mrs-test-scripts\Headless Mode &amp; Sideloading\WalkAndUnGZ.bat" "%USERPROFILE%\AppData\Local\Temp\OnboardLogs"\RTDC4039\2016-10-18 &amp; 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</t>
  </si>
  <si>
    <t>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 &amp; aws s3 cp s3://rtdc.mdm.uploadarchive.raw/RTDC4043/ "%USERPROFILE%\AppData\Local\Temp\OnboardLogs"\RTDC4043\2016-10-19 --exclude "*" --recursive --include "*20161019*" &amp; "%USERPROFILE%\Documents\GitHub\mrs-test-scripts\Headless Mode &amp; Sideloading\WalkAndUnGZ.bat" "%USERPROFILE%\AppData\Local\Temp\OnboardLogs"\RTDC4043\2016-10-19</t>
  </si>
  <si>
    <t>Starting 08:05:17.608, clear requests were sent. 2N didn't clear until 08:30:54.829. Anything wrong happened here?</t>
  </si>
  <si>
    <t>Mechanical issues? Airbrake pressures kept dropping</t>
  </si>
  <si>
    <t>Chambers 2N stuck at STOP - related to CP 61st reset?</t>
  </si>
  <si>
    <t>Delayed at 40th 4S - CP 61st reset?</t>
  </si>
  <si>
    <t>Delayed at CP 61st</t>
  </si>
  <si>
    <t>Form O</t>
  </si>
  <si>
    <t>Annulled due to single track Form O</t>
  </si>
  <si>
    <t>EC1332RH 140-2T 2S STOP &amp; PROCEED, cleared afterward</t>
  </si>
  <si>
    <t>61st STOP, cleared afterward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</si>
</sst>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5" xfId="0" applyNumberFormat="1" applyBorder="1"/>
    <xf numFmtId="0" fontId="1" fillId="0" borderId="0" xfId="0" applyNumberFormat="1" applyFo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8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68" customWidth="1"/>
    <col min="22" max="22" width="5.7109375" style="96" customWidth="1"/>
    <col min="23" max="23" width="3.85546875" style="20" customWidth="1"/>
    <col min="24" max="24" width="6.5703125" style="172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5"/>
      <c r="V1" s="40"/>
      <c r="W1" s="41"/>
      <c r="X1" s="168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42661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42661</v>
      </c>
      <c r="S2" s="72"/>
      <c r="T2" s="73"/>
      <c r="U2" s="176"/>
      <c r="V2" s="94" t="s">
        <v>8</v>
      </c>
      <c r="W2" s="75"/>
      <c r="X2" s="169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7"/>
      <c r="V3" s="42" t="s">
        <v>11</v>
      </c>
      <c r="W3" s="43" t="s">
        <v>12</v>
      </c>
      <c r="X3" s="170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140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8"/>
      <c r="V4" s="45" t="s">
        <v>15</v>
      </c>
      <c r="W4" s="43" t="s">
        <v>15</v>
      </c>
      <c r="X4" s="170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COUNTIFS($N$13:$N$9411,"&gt;0",$AG$13:$AG$9411,I1)</f>
        <v>138</v>
      </c>
      <c r="K5" s="44"/>
      <c r="L5" s="44"/>
      <c r="M5" s="45">
        <f>AVERAGEIFS($N$13:$N$9411,$AG$13:$AG$9411,I1)</f>
        <v>40.171376811669454</v>
      </c>
      <c r="N5" s="43">
        <f t="array" ref="N5">MIN(IF($AG$13:$AG$9411=I1,IF(ISNUMBER($N$13:$N$9411),IF($N$13:$N$9411&gt;0,$N$13:$N$9411))))</f>
        <v>34.383333334699273</v>
      </c>
      <c r="O5" s="3">
        <f t="array" ref="O5">MAX(IF($AG$13:$AG$9411=I1,IF(ISNUMBER($N$13:$N$9411),IF($N$13:$N$9411&gt;0,$N$13:$N$9411))))</f>
        <v>76.916666667675599</v>
      </c>
      <c r="P5" s="2"/>
      <c r="R5" s="80" t="s">
        <v>17</v>
      </c>
      <c r="S5" s="55">
        <f>COUNTIFS($N$13:$N$9411,"&gt;0",$AG$13:$AG$9411,R1)</f>
        <v>47</v>
      </c>
      <c r="T5" s="44"/>
      <c r="U5" s="178"/>
      <c r="V5" s="45">
        <f>AVERAGEIFS($N$13:$N$9411,$AG$13:$AG$9411,R1)</f>
        <v>15.540780142157715</v>
      </c>
      <c r="W5" s="43">
        <f t="array" ref="W5">MIN(IF($AG$13:$AG$9411=R1,IF(ISNUMBER($N$13:$N$9411),IF($N$13:$N$9411&gt;0,$N$13:$N$9411))))</f>
        <v>12.416666666977108</v>
      </c>
      <c r="X5" s="170">
        <f t="array" ref="X5">MAX(IF($AG$13:$AG$9411=R1,IF(ISNUMBER($N$13:$N$9411),IF($N$13:$N$9411&gt;0,$N$13:$N$9411))))</f>
        <v>22.46666666935198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COUNT($O$13:$O$181)</f>
        <v>0</v>
      </c>
      <c r="K6" s="44"/>
      <c r="L6" s="44"/>
      <c r="M6" s="45">
        <f>IFERROR(AVERAGE($O$13:$O$181),0)</f>
        <v>0</v>
      </c>
      <c r="N6" s="43">
        <f>MIN($O$13:$O$181)</f>
        <v>0</v>
      </c>
      <c r="O6" s="3">
        <f>MAX($O$13:$O$181)</f>
        <v>0</v>
      </c>
      <c r="P6" s="2"/>
      <c r="R6" s="81" t="s">
        <v>43</v>
      </c>
      <c r="S6" s="55">
        <f>COUNT($O$13:$O$181)</f>
        <v>0</v>
      </c>
      <c r="T6" s="44"/>
      <c r="U6" s="178"/>
      <c r="V6" s="45">
        <f>IFERROR(AVERAGE($O$13:$O$181),0)</f>
        <v>0</v>
      </c>
      <c r="W6" s="43">
        <f>MIN($O$13:$O$181)</f>
        <v>0</v>
      </c>
      <c r="X6" s="170">
        <f>MAX($O$13:$O$181)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COUNTIFS($P$13:$P$9411,"&gt;0",$AG$13:$AG$9411,I1)</f>
        <v>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COUNTIFS($P$13:$P$9411,"&gt;0",$AG$13:$AG$9411,R1)</f>
        <v>0</v>
      </c>
      <c r="T7" s="44"/>
      <c r="U7" s="178"/>
      <c r="V7" s="45" t="s">
        <v>15</v>
      </c>
      <c r="W7" s="43" t="s">
        <v>15</v>
      </c>
      <c r="X7" s="170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138</v>
      </c>
      <c r="K8" s="44"/>
      <c r="L8" s="44"/>
      <c r="M8" s="45">
        <f>M5</f>
        <v>40.171376811669454</v>
      </c>
      <c r="N8" s="43">
        <f>N5</f>
        <v>34.383333334699273</v>
      </c>
      <c r="O8" s="3">
        <f>O5</f>
        <v>76.916666667675599</v>
      </c>
      <c r="P8" s="2"/>
      <c r="R8" s="80" t="s">
        <v>16</v>
      </c>
      <c r="S8" s="55">
        <f>S5</f>
        <v>47</v>
      </c>
      <c r="T8" s="44"/>
      <c r="U8" s="178"/>
      <c r="V8" s="45">
        <f>V5</f>
        <v>15.540780142157715</v>
      </c>
      <c r="W8" s="43">
        <f>W5</f>
        <v>12.416666666977108</v>
      </c>
      <c r="X8" s="170">
        <f>X5</f>
        <v>22.46666666935198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52">
        <f>J8/J4</f>
        <v>0.98571428571428577</v>
      </c>
      <c r="K9" s="46"/>
      <c r="L9" s="46"/>
      <c r="M9" s="83"/>
      <c r="N9" s="41"/>
      <c r="O9" s="84"/>
      <c r="P9" s="2"/>
      <c r="R9" s="80" t="s">
        <v>19</v>
      </c>
      <c r="S9" s="152">
        <f>S8/S4</f>
        <v>1</v>
      </c>
      <c r="T9" s="46"/>
      <c r="U9" s="175"/>
      <c r="V9" s="83"/>
      <c r="W9" s="41"/>
      <c r="X9" s="171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8"/>
      <c r="V10" s="95"/>
      <c r="W10" s="20"/>
      <c r="X10" s="172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- 2016-10-18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AVERAGE(S13:S112)</f>
        <v>0.98905723905723897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9" t="s">
        <v>65</v>
      </c>
      <c r="V12" s="97" t="s">
        <v>45</v>
      </c>
      <c r="W12" s="51" t="s">
        <v>23</v>
      </c>
      <c r="X12" s="173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441</v>
      </c>
      <c r="B13" s="7">
        <v>4044</v>
      </c>
      <c r="C13" s="22" t="s">
        <v>99</v>
      </c>
      <c r="D13" s="22" t="s">
        <v>641</v>
      </c>
      <c r="E13" s="13">
        <v>42661.129872685182</v>
      </c>
      <c r="F13" s="13">
        <v>42661.135636574072</v>
      </c>
      <c r="G13" s="7">
        <v>1</v>
      </c>
      <c r="H13" s="13" t="s">
        <v>196</v>
      </c>
      <c r="I13" s="13">
        <v>42661.161111111112</v>
      </c>
      <c r="J13" s="7">
        <v>0</v>
      </c>
      <c r="K13" s="112" t="str">
        <f t="shared" ref="K13:K76" si="0">IF(ISEVEN(B13),(B13-1)&amp;"/"&amp;B13,B13&amp;"/"&amp;(B13+1))</f>
        <v>4043/4044</v>
      </c>
      <c r="L13" s="22" t="str">
        <f>VLOOKUP(A13,'Trips&amp;Operators'!$C$1:$E$10000,3,FALSE)</f>
        <v>KILLION</v>
      </c>
      <c r="M13" s="6">
        <f t="shared" ref="M13:M76" si="1">I13-F13</f>
        <v>2.5474537040281575E-2</v>
      </c>
      <c r="N13" s="7">
        <f t="shared" ref="N13:N44" si="2">24*60*SUM($M13:$M13)</f>
        <v>36.683333338005468</v>
      </c>
      <c r="O13" s="7"/>
      <c r="P13" s="7"/>
      <c r="Q13" s="23"/>
      <c r="R13" s="23"/>
      <c r="S13" s="35">
        <f t="shared" ref="S13:S44" si="3">SUM(U13:U13)/IF(AG13="EC",12,1)</f>
        <v>1</v>
      </c>
      <c r="T13" s="50" t="str">
        <f t="shared" ref="T13:T76" si="4">IF(ISEVEN(LEFT(AD13,4)),"Southbound","NorthBound")</f>
        <v>NorthBound</v>
      </c>
      <c r="U13" s="18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https://search-rtdc-monitor-bjffxe2xuh6vdkpspy63sjmuny.us-east-1.es.amazonaws.com/_plugin/kibana/#/discover/Steve-Slow-Train-Analysis-(2080s-and-2083s)?_g=(refreshInterval:(display:Off,section:0,value:0),time:(from:'2016-10-18 02:07:01-0600',mode:absolute,to:'2016-10-18 04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" s="52" t="str">
        <f t="shared" ref="W13:W76" si="6">IF(AA13&lt;IF(AG13="EC",23,5.65),"Y","N")</f>
        <v>N</v>
      </c>
      <c r="X13" s="174" t="e">
        <f t="shared" ref="X13:X34" si="7">VALUE(LEFT(AD13,4))-VALUE(LEFT(AD12,4))</f>
        <v>#VALUE!</v>
      </c>
      <c r="Y13" s="67">
        <f t="shared" ref="Y13:Y76" si="8">RIGHT(D13,LEN(D13)-4)/10000</f>
        <v>7.6300000000000007E-2</v>
      </c>
      <c r="Z13" s="67">
        <f t="shared" ref="Z13:Z76" si="9">RIGHT(H13,LEN(H13)-4)/10000</f>
        <v>23.329699999999999</v>
      </c>
      <c r="AA13" s="67">
        <f t="shared" ref="AA13:AA76" si="10">ABS(Z13-Y13)</f>
        <v>23.253399999999999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11">IF(LEN(A13)=6,"0"&amp;A13,A13)</f>
        <v>0101-18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 &amp; aws s3 cp s3://rtdc.mdm.uploadarchive.raw/RTDC4044/ "%USERPROFILE%\AppData\Local\Temp\OnboardLogs"\RTDC4044\2016-10-19 --exclude "*" --recursive --include "*20161019*" &amp; "%USERPROFILE%\Documents\GitHub\mrs-test-scripts\Headless Mode &amp; Sideloading\WalkAndUnGZ.bat" "%USERPROFILE%\AppData\Local\Temp\OnboardLogs"\RTDC4044\2016-10-19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/stypes="app*4044*20161018*" /stext=" 09:.+((SYSTEM_STATE.+slice.+state.+changed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4044 --swversion DE.1.0.7.0 --startMP 204:763 --initTime 2016-10-18T03:07:01 --startdatetime 2016-10-18T03:15:19 --delay 1 --endMP 204:233297 --enddatetime 2016-10-18T03:52:00 --enforcementcount 0 &gt;&gt;C:\Users\stu\Documents\GitHub\eaglep3-reporting\EC\2016-10-18-refined-times.txt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{"issue":{"subject":"","project_id":79,"tracker_id":40,"status_id":1,"priority_id":2,"assigned_to_id":23,"start_date":"2016-10-18","description":"","custom_fields":[{"id":1,"name":"Subdivision","value":"EC"},{"id":4,"name":"Milepost","value":"23.3297"},{"id":17,"name":"Train ID","value":"101-18"},{"id":16,"name":"Locomotive ID","value":"4044"},{"id":130,"name":"Impact","value":""},{"id":150,"name":"Time of Event (Mountain Time)","value":"03:52:00"},{"id":151,"name":"Denver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445</v>
      </c>
      <c r="B14" s="7">
        <v>4015</v>
      </c>
      <c r="C14" s="22" t="s">
        <v>99</v>
      </c>
      <c r="D14" s="22" t="s">
        <v>359</v>
      </c>
      <c r="E14" s="13">
        <v>42661.170335648145</v>
      </c>
      <c r="F14" s="13">
        <v>42661.174513888887</v>
      </c>
      <c r="G14" s="7">
        <v>1</v>
      </c>
      <c r="H14" s="13" t="s">
        <v>177</v>
      </c>
      <c r="I14" s="13">
        <v>42661.202453703707</v>
      </c>
      <c r="J14" s="7">
        <v>0</v>
      </c>
      <c r="K14" s="112" t="str">
        <f t="shared" si="0"/>
        <v>4015/4016</v>
      </c>
      <c r="L14" s="22" t="str">
        <f>VLOOKUP(A14,'Trips&amp;Operators'!$C$1:$E$10000,3,FALSE)</f>
        <v>KILLION</v>
      </c>
      <c r="M14" s="6">
        <f t="shared" si="1"/>
        <v>2.7939814819546882E-2</v>
      </c>
      <c r="N14" s="7">
        <f t="shared" si="2"/>
        <v>40.23333334014751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8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03:05:17-0600',mode:absolute,to:'2016-10-18 05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" s="52" t="str">
        <f t="shared" si="6"/>
        <v>N</v>
      </c>
      <c r="X14" s="174">
        <f t="shared" si="7"/>
        <v>1</v>
      </c>
      <c r="Y14" s="67">
        <f t="shared" si="8"/>
        <v>23.264099999999999</v>
      </c>
      <c r="Z14" s="67">
        <f t="shared" si="9"/>
        <v>1.52E-2</v>
      </c>
      <c r="AA14" s="67">
        <f t="shared" si="10"/>
        <v>23.248899999999999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0102-18</v>
      </c>
      <c r="AE14" s="91" t="str">
        <f t="shared" si="12"/>
        <v>aws s3 cp s3://rtdc.mdm.uploadarchive.raw/RTDC4015/ "%USERPROFILE%\AppData\Local\Temp\OnboardLogs"\RTDC4015\2016-10-18 --exclude "*" --recursive --include "*20161018*" &amp; "%USERPROFILE%\Documents\GitHub\mrs-test-scripts\Headless Mode &amp; Sideloading\WalkAndUnGZ.bat" "%USERPROFILE%\AppData\Local\Temp\OnboardLogs"\RTDC4015\2016-10-18 &amp; aws s3 cp s3://rtdc.mdm.uploadarchive.raw/RTDC4015/ "%USERPROFILE%\AppData\Local\Temp\OnboardLogs"\RTDC4015\2016-10-19 --exclude "*" --recursive --include "*20161019*" &amp; "%USERPROFILE%\Documents\GitHub\mrs-test-scripts\Headless Mode &amp; Sideloading\WalkAndUnGZ.bat" "%USERPROFILE%\AppData\Local\Temp\OnboardLogs"\RTDC4015\2016-10-19</v>
      </c>
      <c r="AF14" s="88" t="str">
        <f t="shared" si="13"/>
        <v>"C:\Program Files (x86)\AstroGrep\AstroGrep.exe" /spath="%USERPROFILE%\AppData\Local\Temp\OnboardLogs" /stypes="app*4015*20161018*"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5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4015 --swversion DE.1.0.7.0 --startMP 204:232641 --initTime 2016-10-18T04:05:17 --startdatetime 2016-10-18T04:11:18 --delay 1 --endMP 204:152 --enddatetime 2016-10-18T04:51:32 --enforcementcount 0 &gt;&gt;C:\Users\stu\Documents\GitHub\eaglep3-reporting\EC\2016-10-18-refined-times.txt</v>
      </c>
      <c r="AI14" s="122" t="str">
        <f t="shared" ref="AI14:AI75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{"issue":{"subject":"","project_id":79,"tracker_id":40,"status_id":1,"priority_id":2,"assigned_to_id":23,"start_date":"2016-10-18","description":"","custom_fields":[{"id":1,"name":"Subdivision","value":"EC"},{"id":4,"name":"Milepost","value":"0.0152"},{"id":17,"name":"Train ID","value":"102-18"},{"id":16,"name":"Locomotive ID","value":"4015"},{"id":130,"name":"Impact","value":""},{"id":150,"name":"Time of Event (Mountain Time)","value":"04:51:32"},{"id":151,"name":"Denver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409</v>
      </c>
      <c r="B15" s="7">
        <v>4031</v>
      </c>
      <c r="C15" s="22" t="s">
        <v>99</v>
      </c>
      <c r="D15" s="22" t="s">
        <v>300</v>
      </c>
      <c r="E15" s="13">
        <v>42661.152349537035</v>
      </c>
      <c r="F15" s="13">
        <v>42661.156493055554</v>
      </c>
      <c r="G15" s="7">
        <v>1</v>
      </c>
      <c r="H15" s="13" t="s">
        <v>335</v>
      </c>
      <c r="I15" s="13">
        <v>42661.183032407411</v>
      </c>
      <c r="J15" s="7">
        <v>0</v>
      </c>
      <c r="K15" s="112" t="str">
        <f t="shared" si="0"/>
        <v>4031/4032</v>
      </c>
      <c r="L15" s="22" t="str">
        <f>VLOOKUP(A15,'Trips&amp;Operators'!$C$1:$E$10000,3,FALSE)</f>
        <v>ACKERMAN</v>
      </c>
      <c r="M15" s="6">
        <f t="shared" si="1"/>
        <v>2.6539351856627036E-2</v>
      </c>
      <c r="N15" s="7">
        <f t="shared" si="2"/>
        <v>38.216666673542932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8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02:39:23-0600',mode:absolute,to:'2016-10-18 05:23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" s="52" t="str">
        <f t="shared" si="6"/>
        <v>N</v>
      </c>
      <c r="X15" s="174">
        <f t="shared" si="7"/>
        <v>1</v>
      </c>
      <c r="Y15" s="67">
        <f t="shared" si="8"/>
        <v>7.5200000000000003E-2</v>
      </c>
      <c r="Z15" s="67">
        <f t="shared" si="9"/>
        <v>23.3337</v>
      </c>
      <c r="AA15" s="67">
        <f t="shared" si="10"/>
        <v>23.258500000000002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0103-18</v>
      </c>
      <c r="AE15" s="91" t="str">
        <f t="shared" si="12"/>
        <v>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 &amp; 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</v>
      </c>
      <c r="AF15" s="88" t="str">
        <f t="shared" si="13"/>
        <v>"C:\Program Files (x86)\AstroGrep\AstroGrep.exe" /spath="%USERPROFILE%\AppData\Local\Temp\OnboardLogs" /stypes="app*4031*20161018*"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103-18 --locoid 4031 --swversion DE.1.0.7.0 --startMP 204:752 --initTime 2016-10-18T03:39:23 --startdatetime 2016-10-18T03:45:21 --delay 1 --endMP 204:233337 --enddatetime 2016-10-18T04:23:34 --enforcementcount 0 &gt;&gt;C:\Users\stu\Documents\GitHub\eaglep3-reporting\EC\2016-10-18-refined-times.txt</v>
      </c>
      <c r="AI15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{"issue":{"subject":"","project_id":79,"tracker_id":40,"status_id":1,"priority_id":2,"assigned_to_id":23,"start_date":"2016-10-18","description":"","custom_fields":[{"id":1,"name":"Subdivision","value":"EC"},{"id":4,"name":"Milepost","value":"23.3337"},{"id":17,"name":"Train ID","value":"103-18"},{"id":16,"name":"Locomotive ID","value":"4031"},{"id":130,"name":"Impact","value":""},{"id":150,"name":"Time of Event (Mountain Time)","value":"04:23:34"},{"id":151,"name":"Denver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410</v>
      </c>
      <c r="B16" s="7">
        <v>4039</v>
      </c>
      <c r="C16" s="22" t="s">
        <v>99</v>
      </c>
      <c r="D16" s="22" t="s">
        <v>642</v>
      </c>
      <c r="E16" s="13">
        <v>42661.185127314813</v>
      </c>
      <c r="F16" s="13">
        <v>42661.195393518516</v>
      </c>
      <c r="G16" s="7">
        <v>1</v>
      </c>
      <c r="H16" s="13" t="s">
        <v>643</v>
      </c>
      <c r="I16" s="13">
        <v>42661.226469907408</v>
      </c>
      <c r="J16" s="7">
        <v>0</v>
      </c>
      <c r="K16" s="112" t="str">
        <f t="shared" si="0"/>
        <v>4039/4040</v>
      </c>
      <c r="L16" s="22" t="str">
        <f>VLOOKUP(A16,'Trips&amp;Operators'!$C$1:$E$10000,3,FALSE)</f>
        <v>ACKERMAN</v>
      </c>
      <c r="M16" s="6">
        <f t="shared" si="1"/>
        <v>3.107638889196096E-2</v>
      </c>
      <c r="N16" s="7">
        <f t="shared" si="2"/>
        <v>44.750000004423782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8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03:26:35-0600',mode:absolute,to:'2016-10-18 06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" s="52" t="str">
        <f t="shared" si="6"/>
        <v>N</v>
      </c>
      <c r="X16" s="174">
        <f t="shared" si="7"/>
        <v>1</v>
      </c>
      <c r="Y16" s="67">
        <f t="shared" si="8"/>
        <v>23.2667</v>
      </c>
      <c r="Z16" s="67">
        <f t="shared" si="9"/>
        <v>1.32E-2</v>
      </c>
      <c r="AA16" s="67">
        <f t="shared" si="10"/>
        <v>23.253499999999999</v>
      </c>
      <c r="AB16" s="64" t="str">
        <f>VLOOKUP(A16,Enforcements!$C$7:$K$21,8,0)</f>
        <v>Speed (6)</v>
      </c>
      <c r="AC16" s="60" t="str">
        <f>VLOOKUP(A16,Enforcements!$C$7:$E$21,3,0)</f>
        <v>PERMANENT SPEED RESTRICTION</v>
      </c>
      <c r="AD16" s="61" t="str">
        <f t="shared" si="11"/>
        <v>0104-18</v>
      </c>
      <c r="AE16" s="91" t="str">
        <f t="shared" si="12"/>
        <v>aws s3 cp s3://rtdc.mdm.uploadarchive.raw/RTDC4039/ "%USERPROFILE%\AppData\Local\Temp\OnboardLogs"\RTDC4039\2016-10-18 --exclude "*" --recursive --include "*20161018*" &amp; "%USERPROFILE%\Documents\GitHub\mrs-test-scripts\Headless Mode &amp; Sideloading\WalkAndUnGZ.bat" "%USERPROFILE%\AppData\Local\Temp\OnboardLogs"\RTDC4039\2016-10-18 &amp; 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</v>
      </c>
      <c r="AF16" s="88" t="str">
        <f t="shared" si="13"/>
        <v>"C:\Program Files (x86)\AstroGrep\AstroGrep.exe" /spath="%USERPROFILE%\AppData\Local\Temp\OnboardLogs" /stypes="app*4039*20161018*"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104-18 --locoid 4039 --swversion DE.1.0.7.0 --startMP 204:232667 --initTime 2016-10-18T04:26:35 --startdatetime 2016-10-18T04:41:22 --delay 1 --endMP 204:132 --enddatetime 2016-10-18T05:26:07 --enforcementcount 0 &gt;&gt;C:\Users\stu\Documents\GitHub\eaglep3-reporting\EC\2016-10-18-refined-times.txt</v>
      </c>
      <c r="AI16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{"issue":{"subject":"","project_id":79,"tracker_id":40,"status_id":1,"priority_id":2,"assigned_to_id":23,"start_date":"2016-10-18","description":"","custom_fields":[{"id":1,"name":"Subdivision","value":"EC"},{"id":4,"name":"Milepost","value":"0.0132"},{"id":17,"name":"Train ID","value":"104-18"},{"id":16,"name":"Locomotive ID","value":"4039"},{"id":130,"name":"Impact","value":""},{"id":150,"name":"Time of Event (Mountain Time)","value":"05:26:07"},{"id":151,"name":"Denver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447</v>
      </c>
      <c r="B17" s="7">
        <v>4018</v>
      </c>
      <c r="C17" s="22" t="s">
        <v>99</v>
      </c>
      <c r="D17" s="22" t="s">
        <v>644</v>
      </c>
      <c r="E17" s="13">
        <v>42661.174305555556</v>
      </c>
      <c r="F17" s="13">
        <v>42661.177303240744</v>
      </c>
      <c r="G17" s="7">
        <v>1</v>
      </c>
      <c r="H17" s="13" t="s">
        <v>196</v>
      </c>
      <c r="I17" s="13">
        <v>42661.203923611109</v>
      </c>
      <c r="J17" s="7">
        <v>0</v>
      </c>
      <c r="K17" s="112" t="str">
        <f t="shared" si="0"/>
        <v>4017/4018</v>
      </c>
      <c r="L17" s="22" t="str">
        <f>VLOOKUP(A17,'Trips&amp;Operators'!$C$1:$E$10000,3,FALSE)</f>
        <v>BRANNON</v>
      </c>
      <c r="M17" s="6">
        <f t="shared" si="1"/>
        <v>2.6620370364980772E-2</v>
      </c>
      <c r="N17" s="7">
        <f t="shared" si="2"/>
        <v>38.333333325572312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8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03:11:00-0600',mode:absolute,to:'2016-10-18 05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" s="52" t="str">
        <f t="shared" si="6"/>
        <v>N</v>
      </c>
      <c r="X17" s="174">
        <f t="shared" si="7"/>
        <v>1</v>
      </c>
      <c r="Y17" s="67">
        <f t="shared" si="8"/>
        <v>7.5399999999999995E-2</v>
      </c>
      <c r="Z17" s="67">
        <f t="shared" si="9"/>
        <v>23.329699999999999</v>
      </c>
      <c r="AA17" s="67">
        <f t="shared" si="10"/>
        <v>23.254300000000001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0105-18</v>
      </c>
      <c r="AE17" s="91" t="str">
        <f t="shared" si="12"/>
        <v>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 &amp; aws s3 cp s3://rtdc.mdm.uploadarchive.raw/RTDC4018/ "%USERPROFILE%\AppData\Local\Temp\OnboardLogs"\RTDC4018\2016-10-19 --exclude "*" --recursive --include "*20161019*" &amp; "%USERPROFILE%\Documents\GitHub\mrs-test-scripts\Headless Mode &amp; Sideloading\WalkAndUnGZ.bat" "%USERPROFILE%\AppData\Local\Temp\OnboardLogs"\RTDC4018\2016-10-19</v>
      </c>
      <c r="AF17" s="88" t="str">
        <f t="shared" si="13"/>
        <v>"C:\Program Files (x86)\AstroGrep\AstroGrep.exe" /spath="%USERPROFILE%\AppData\Local\Temp\OnboardLogs" /stypes="app*4018*20161018*"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105-18 --locoid 4018 --swversion DE.1.0.7.0 --startMP 204:754 --initTime 2016-10-18T04:11:00 --startdatetime 2016-10-18T04:15:19 --delay 1 --endMP 204:233297 --enddatetime 2016-10-18T04:53:39 --enforcementcount 0 &gt;&gt;C:\Users\stu\Documents\GitHub\eaglep3-reporting\EC\2016-10-18-refined-times.txt</v>
      </c>
      <c r="AI17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{"issue":{"subject":"","project_id":79,"tracker_id":40,"status_id":1,"priority_id":2,"assigned_to_id":23,"start_date":"2016-10-18","description":"","custom_fields":[{"id":1,"name":"Subdivision","value":"EC"},{"id":4,"name":"Milepost","value":"23.3297"},{"id":17,"name":"Train ID","value":"105-18"},{"id":16,"name":"Locomotive ID","value":"4018"},{"id":130,"name":"Impact","value":""},{"id":150,"name":"Time of Event (Mountain Time)","value":"04:53:39"},{"id":151,"name":"Denver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457</v>
      </c>
      <c r="B18" s="7">
        <v>4026</v>
      </c>
      <c r="C18" s="22" t="s">
        <v>99</v>
      </c>
      <c r="D18" s="22" t="s">
        <v>645</v>
      </c>
      <c r="E18" s="13">
        <v>42661.206354166665</v>
      </c>
      <c r="F18" s="13">
        <v>42661.216180555559</v>
      </c>
      <c r="G18" s="7">
        <v>1</v>
      </c>
      <c r="H18" s="13" t="s">
        <v>176</v>
      </c>
      <c r="I18" s="13">
        <v>42661.245173611111</v>
      </c>
      <c r="J18" s="7">
        <v>0</v>
      </c>
      <c r="K18" s="112" t="str">
        <f t="shared" si="0"/>
        <v>4025/4026</v>
      </c>
      <c r="L18" s="22" t="str">
        <f>VLOOKUP(A18,'Trips&amp;Operators'!$C$1:$E$10000,3,FALSE)</f>
        <v>BRANNON</v>
      </c>
      <c r="M18" s="6">
        <f t="shared" si="1"/>
        <v>2.8993055551836733E-2</v>
      </c>
      <c r="N18" s="7">
        <f t="shared" si="2"/>
        <v>41.749999994644895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8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03:57:09-0600',mode:absolute,to:'2016-10-18 06:53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" s="52" t="str">
        <f t="shared" si="6"/>
        <v>N</v>
      </c>
      <c r="X18" s="174">
        <f t="shared" si="7"/>
        <v>1</v>
      </c>
      <c r="Y18" s="67">
        <f t="shared" si="8"/>
        <v>23.264600000000002</v>
      </c>
      <c r="Z18" s="67">
        <f t="shared" si="9"/>
        <v>1.47E-2</v>
      </c>
      <c r="AA18" s="67">
        <f t="shared" si="10"/>
        <v>23.2499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0106-18</v>
      </c>
      <c r="AE18" s="91" t="str">
        <f t="shared" si="12"/>
        <v>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 &amp; 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</v>
      </c>
      <c r="AF18" s="88" t="str">
        <f t="shared" si="13"/>
        <v>"C:\Program Files (x86)\AstroGrep\AstroGrep.exe" /spath="%USERPROFILE%\AppData\Local\Temp\OnboardLogs" /stypes="app*4026*20161018*"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106-18 --locoid 4026 --swversion DE.1.0.7.0 --startMP 204:232646 --initTime 2016-10-18T04:57:09 --startdatetime 2016-10-18T05:11:18 --delay 1 --endMP 204:147 --enddatetime 2016-10-18T05:53:03 --enforcementcount 0 &gt;&gt;C:\Users\stu\Documents\GitHub\eaglep3-reporting\EC\2016-10-18-refined-times.txt</v>
      </c>
      <c r="AI18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{"issue":{"subject":"","project_id":79,"tracker_id":40,"status_id":1,"priority_id":2,"assigned_to_id":23,"start_date":"2016-10-18","description":"","custom_fields":[{"id":1,"name":"Subdivision","value":"EC"},{"id":4,"name":"Milepost","value":"0.0147"},{"id":17,"name":"Train ID","value":"106-18"},{"id":16,"name":"Locomotive ID","value":"4026"},{"id":130,"name":"Impact","value":""},{"id":150,"name":"Time of Event (Mountain Time)","value":"05:53:03"},{"id":151,"name":"Denver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450</v>
      </c>
      <c r="B19" s="7">
        <v>4029</v>
      </c>
      <c r="C19" s="22" t="s">
        <v>99</v>
      </c>
      <c r="D19" s="22" t="s">
        <v>228</v>
      </c>
      <c r="E19" s="13">
        <v>42661.185567129629</v>
      </c>
      <c r="F19" s="13">
        <v>42661.187708333331</v>
      </c>
      <c r="G19" s="7">
        <v>1</v>
      </c>
      <c r="H19" s="13" t="s">
        <v>219</v>
      </c>
      <c r="I19" s="13">
        <v>42661.21297453704</v>
      </c>
      <c r="J19" s="7">
        <v>0</v>
      </c>
      <c r="K19" s="112" t="str">
        <f t="shared" si="0"/>
        <v>4029/4030</v>
      </c>
      <c r="L19" s="22" t="str">
        <f>VLOOKUP(A19,'Trips&amp;Operators'!$C$1:$E$10000,3,FALSE)</f>
        <v>SPECTOR</v>
      </c>
      <c r="M19" s="6">
        <f t="shared" si="1"/>
        <v>2.5266203709179536E-2</v>
      </c>
      <c r="N19" s="7">
        <f t="shared" si="2"/>
        <v>36.383333341218531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8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03:27:13-0600',mode:absolute,to:'2016-10-18 06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" s="52" t="str">
        <f t="shared" si="6"/>
        <v>N</v>
      </c>
      <c r="X19" s="174">
        <f t="shared" si="7"/>
        <v>1</v>
      </c>
      <c r="Y19" s="67">
        <f t="shared" si="8"/>
        <v>4.58E-2</v>
      </c>
      <c r="Z19" s="67">
        <f t="shared" si="9"/>
        <v>23.331399999999999</v>
      </c>
      <c r="AA19" s="67">
        <f t="shared" si="10"/>
        <v>23.285599999999999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0107-18</v>
      </c>
      <c r="AE19" s="91" t="str">
        <f t="shared" si="12"/>
        <v>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 &amp; 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</v>
      </c>
      <c r="AF19" s="88" t="str">
        <f t="shared" si="13"/>
        <v>"C:\Program Files (x86)\AstroGrep\AstroGrep.exe" /spath="%USERPROFILE%\AppData\Local\Temp\OnboardLogs" /stypes="app*4029*20161018*"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107-18 --locoid 4029 --swversion DE.1.0.7.0 --startMP 204:458 --initTime 2016-10-18T04:27:13 --startdatetime 2016-10-18T04:30:18 --delay 1 --endMP 204:233314 --enddatetime 2016-10-18T05:06:41 --enforcementcount 0 &gt;&gt;C:\Users\stu\Documents\GitHub\eaglep3-reporting\EC\2016-10-18-refined-times.txt</v>
      </c>
      <c r="AI19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{"issue":{"subject":"","project_id":79,"tracker_id":40,"status_id":1,"priority_id":2,"assigned_to_id":23,"start_date":"2016-10-18","description":"","custom_fields":[{"id":1,"name":"Subdivision","value":"EC"},{"id":4,"name":"Milepost","value":"23.3314"},{"id":17,"name":"Train ID","value":"107-18"},{"id":16,"name":"Locomotive ID","value":"4029"},{"id":130,"name":"Impact","value":""},{"id":150,"name":"Time of Event (Mountain Time)","value":"05:06:41"},{"id":151,"name":"Denver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459</v>
      </c>
      <c r="B20" s="7">
        <v>4030</v>
      </c>
      <c r="C20" s="22" t="s">
        <v>99</v>
      </c>
      <c r="D20" s="22" t="s">
        <v>307</v>
      </c>
      <c r="E20" s="13">
        <v>42661.221504629626</v>
      </c>
      <c r="F20" s="13">
        <v>42661.2265625</v>
      </c>
      <c r="G20" s="7">
        <v>1</v>
      </c>
      <c r="H20" s="13" t="s">
        <v>250</v>
      </c>
      <c r="I20" s="13">
        <v>42661.25304398148</v>
      </c>
      <c r="J20" s="7">
        <v>0</v>
      </c>
      <c r="K20" s="112" t="str">
        <f t="shared" si="0"/>
        <v>4029/4030</v>
      </c>
      <c r="L20" s="22" t="str">
        <f>VLOOKUP(A20,'Trips&amp;Operators'!$C$1:$E$10000,3,FALSE)</f>
        <v>SPECTOR</v>
      </c>
      <c r="M20" s="6">
        <f t="shared" si="1"/>
        <v>2.6481481480004732E-2</v>
      </c>
      <c r="N20" s="7">
        <f t="shared" si="2"/>
        <v>38.133333331206813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8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04:18:58-0600',mode:absolute,to:'2016-10-18 07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" s="52" t="str">
        <f t="shared" si="6"/>
        <v>N</v>
      </c>
      <c r="X20" s="174">
        <f t="shared" si="7"/>
        <v>1</v>
      </c>
      <c r="Y20" s="67">
        <f t="shared" si="8"/>
        <v>23.3</v>
      </c>
      <c r="Z20" s="67">
        <f t="shared" si="9"/>
        <v>1.6E-2</v>
      </c>
      <c r="AA20" s="67">
        <f t="shared" si="10"/>
        <v>23.284000000000002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0108-18</v>
      </c>
      <c r="AE20" s="91" t="str">
        <f t="shared" si="12"/>
        <v>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 &amp; aws s3 cp s3://rtdc.mdm.uploadarchive.raw/RTDC4030/ "%USERPROFILE%\AppData\Local\Temp\OnboardLogs"\RTDC4030\2016-10-19 --exclude "*" --recursive --include "*20161019*" &amp; "%USERPROFILE%\Documents\GitHub\mrs-test-scripts\Headless Mode &amp; Sideloading\WalkAndUnGZ.bat" "%USERPROFILE%\AppData\Local\Temp\OnboardLogs"\RTDC4030\2016-10-19</v>
      </c>
      <c r="AF20" s="88" t="str">
        <f t="shared" si="13"/>
        <v>"C:\Program Files (x86)\AstroGrep\AstroGrep.exe" /spath="%USERPROFILE%\AppData\Local\Temp\OnboardLogs" /stypes="app*4030*20161018*"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108-18 --locoid 4030 --swversion DE.1.0.7.0 --startMP 204:233000 --initTime 2016-10-18T05:18:58 --startdatetime 2016-10-18T05:26:15 --delay 1 --endMP 204:160 --enddatetime 2016-10-18T06:04:23 --enforcementcount 0 &gt;&gt;C:\Users\stu\Documents\GitHub\eaglep3-reporting\EC\2016-10-18-refined-times.txt</v>
      </c>
      <c r="AI20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{"issue":{"subject":"","project_id":79,"tracker_id":40,"status_id":1,"priority_id":2,"assigned_to_id":23,"start_date":"2016-10-18","description":"","custom_fields":[{"id":1,"name":"Subdivision","value":"EC"},{"id":4,"name":"Milepost","value":"0.016"},{"id":17,"name":"Train ID","value":"108-18"},{"id":16,"name":"Locomotive ID","value":"4030"},{"id":130,"name":"Impact","value":""},{"id":150,"name":"Time of Event (Mountain Time)","value":"06:04:23"},{"id":151,"name":"Denver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451</v>
      </c>
      <c r="B21" s="7">
        <v>4011</v>
      </c>
      <c r="C21" s="22" t="s">
        <v>99</v>
      </c>
      <c r="D21" s="22" t="s">
        <v>247</v>
      </c>
      <c r="E21" s="13">
        <v>42661.193530092591</v>
      </c>
      <c r="F21" s="13">
        <v>42661.198113425926</v>
      </c>
      <c r="G21" s="7">
        <v>1</v>
      </c>
      <c r="H21" s="13" t="s">
        <v>646</v>
      </c>
      <c r="I21" s="13">
        <v>42661.22452546296</v>
      </c>
      <c r="J21" s="7">
        <v>0</v>
      </c>
      <c r="K21" s="112" t="str">
        <f t="shared" si="0"/>
        <v>4011/4012</v>
      </c>
      <c r="L21" s="22" t="str">
        <f>VLOOKUP(A21,'Trips&amp;Operators'!$C$1:$E$10000,3,FALSE)</f>
        <v>DAVIS</v>
      </c>
      <c r="M21" s="6">
        <f t="shared" si="1"/>
        <v>2.6412037033878732E-2</v>
      </c>
      <c r="N21" s="7">
        <f t="shared" si="2"/>
        <v>38.033333328785375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8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03:38:41-0600',mode:absolute,to:'2016-10-18 06:23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" s="52" t="str">
        <f t="shared" si="6"/>
        <v>N</v>
      </c>
      <c r="X21" s="174">
        <f t="shared" si="7"/>
        <v>1</v>
      </c>
      <c r="Y21" s="67">
        <f t="shared" si="8"/>
        <v>4.4600000000000001E-2</v>
      </c>
      <c r="Z21" s="67">
        <f t="shared" si="9"/>
        <v>23.330300000000001</v>
      </c>
      <c r="AA21" s="67">
        <f t="shared" si="10"/>
        <v>23.285700000000002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0109-18</v>
      </c>
      <c r="AE21" s="91" t="str">
        <f t="shared" si="12"/>
        <v>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 &amp; 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</v>
      </c>
      <c r="AF21" s="88" t="str">
        <f t="shared" si="13"/>
        <v>"C:\Program Files (x86)\AstroGrep\AstroGrep.exe" /spath="%USERPROFILE%\AppData\Local\Temp\OnboardLogs" /stypes="app*4011*20161018*"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109-18 --locoid 4011 --swversion DE.1.0.7.0 --startMP 204:446 --initTime 2016-10-18T04:38:41 --startdatetime 2016-10-18T04:45:17 --delay 1 --endMP 204:233303 --enddatetime 2016-10-18T05:23:19 --enforcementcount 0 &gt;&gt;C:\Users\stu\Documents\GitHub\eaglep3-reporting\EC\2016-10-18-refined-times.txt</v>
      </c>
      <c r="AI21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{"issue":{"subject":"","project_id":79,"tracker_id":40,"status_id":1,"priority_id":2,"assigned_to_id":23,"start_date":"2016-10-18","description":"","custom_fields":[{"id":1,"name":"Subdivision","value":"EC"},{"id":4,"name":"Milepost","value":"23.3303"},{"id":17,"name":"Train ID","value":"109-18"},{"id":16,"name":"Locomotive ID","value":"4011"},{"id":130,"name":"Impact","value":""},{"id":150,"name":"Time of Event (Mountain Time)","value":"05:23:19"},{"id":151,"name":"Denver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461</v>
      </c>
      <c r="B22" s="7">
        <v>4012</v>
      </c>
      <c r="C22" s="22" t="s">
        <v>99</v>
      </c>
      <c r="D22" s="22" t="s">
        <v>278</v>
      </c>
      <c r="E22" s="13">
        <v>42661.230578703704</v>
      </c>
      <c r="F22" s="13">
        <v>42661.236967592595</v>
      </c>
      <c r="G22" s="7">
        <v>1</v>
      </c>
      <c r="H22" s="13" t="s">
        <v>227</v>
      </c>
      <c r="I22" s="13">
        <v>42661.266701388886</v>
      </c>
      <c r="J22" s="7">
        <v>0</v>
      </c>
      <c r="K22" s="112" t="str">
        <f t="shared" si="0"/>
        <v>4011/4012</v>
      </c>
      <c r="L22" s="22" t="str">
        <f>VLOOKUP(A22,'Trips&amp;Operators'!$C$1:$E$10000,3,FALSE)</f>
        <v>DAVIS</v>
      </c>
      <c r="M22" s="6">
        <f t="shared" si="1"/>
        <v>2.9733796291111503E-2</v>
      </c>
      <c r="N22" s="7">
        <f t="shared" si="2"/>
        <v>42.816666659200564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8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04:32:02-0600',mode:absolute,to:'2016-10-18 07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" s="52" t="str">
        <f t="shared" si="6"/>
        <v>N</v>
      </c>
      <c r="X22" s="174">
        <f t="shared" si="7"/>
        <v>1</v>
      </c>
      <c r="Y22" s="67">
        <f t="shared" si="8"/>
        <v>23.297999999999998</v>
      </c>
      <c r="Z22" s="67">
        <f t="shared" si="9"/>
        <v>1.4500000000000001E-2</v>
      </c>
      <c r="AA22" s="67">
        <f t="shared" si="10"/>
        <v>23.283499999999997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0110-18</v>
      </c>
      <c r="AE22" s="91" t="str">
        <f t="shared" si="12"/>
        <v>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 &amp; 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</v>
      </c>
      <c r="AF22" s="88" t="str">
        <f t="shared" si="13"/>
        <v>"C:\Program Files (x86)\AstroGrep\AstroGrep.exe" /spath="%USERPROFILE%\AppData\Local\Temp\OnboardLogs" /stypes="app*4012*20161018*"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110-18 --locoid 4012 --swversion DE.1.0.7.0 --startMP 204:232980 --initTime 2016-10-18T05:32:02 --startdatetime 2016-10-18T05:41:14 --delay 1 --endMP 204:145 --enddatetime 2016-10-18T06:24:03 --enforcementcount 0 &gt;&gt;C:\Users\stu\Documents\GitHub\eaglep3-reporting\EC\2016-10-18-refined-times.txt</v>
      </c>
      <c r="AI22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{"issue":{"subject":"","project_id":79,"tracker_id":40,"status_id":1,"priority_id":2,"assigned_to_id":23,"start_date":"2016-10-18","description":"","custom_fields":[{"id":1,"name":"Subdivision","value":"EC"},{"id":4,"name":"Milepost","value":"0.0145"},{"id":17,"name":"Train ID","value":"110-18"},{"id":16,"name":"Locomotive ID","value":"4012"},{"id":130,"name":"Impact","value":""},{"id":150,"name":"Time of Event (Mountain Time)","value":"06:24:03"},{"id":151,"name":"Denver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454</v>
      </c>
      <c r="B23" s="7">
        <v>4044</v>
      </c>
      <c r="C23" s="22" t="s">
        <v>99</v>
      </c>
      <c r="D23" s="22" t="s">
        <v>647</v>
      </c>
      <c r="E23" s="13">
        <v>42661.204525462963</v>
      </c>
      <c r="F23" s="13">
        <v>42661.208912037036</v>
      </c>
      <c r="G23" s="7">
        <v>6</v>
      </c>
      <c r="H23" s="13" t="s">
        <v>308</v>
      </c>
      <c r="I23" s="13">
        <v>42661.233923611115</v>
      </c>
      <c r="J23" s="7">
        <v>0</v>
      </c>
      <c r="K23" s="112" t="str">
        <f t="shared" si="0"/>
        <v>4043/4044</v>
      </c>
      <c r="L23" s="22" t="str">
        <f>VLOOKUP(A23,'Trips&amp;Operators'!$C$1:$E$10000,3,FALSE)</f>
        <v>GEBRETEKLE</v>
      </c>
      <c r="M23" s="6">
        <f t="shared" si="1"/>
        <v>2.5011574078234844E-2</v>
      </c>
      <c r="N23" s="7">
        <f t="shared" si="2"/>
        <v>36.016666672658175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8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03:54:31-0600',mode:absolute,to:'2016-10-18 06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" s="52" t="str">
        <f t="shared" si="6"/>
        <v>N</v>
      </c>
      <c r="X23" s="174">
        <f t="shared" si="7"/>
        <v>1</v>
      </c>
      <c r="Y23" s="67">
        <f t="shared" si="8"/>
        <v>7.8799999999999995E-2</v>
      </c>
      <c r="Z23" s="67">
        <f t="shared" si="9"/>
        <v>23.3308</v>
      </c>
      <c r="AA23" s="67">
        <f t="shared" si="10"/>
        <v>23.251999999999999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0111-18</v>
      </c>
      <c r="AE23" s="91" t="str">
        <f t="shared" si="12"/>
        <v>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 &amp; aws s3 cp s3://rtdc.mdm.uploadarchive.raw/RTDC4044/ "%USERPROFILE%\AppData\Local\Temp\OnboardLogs"\RTDC4044\2016-10-19 --exclude "*" --recursive --include "*20161019*" &amp; "%USERPROFILE%\Documents\GitHub\mrs-test-scripts\Headless Mode &amp; Sideloading\WalkAndUnGZ.bat" "%USERPROFILE%\AppData\Local\Temp\OnboardLogs"\RTDC4044\2016-10-19</v>
      </c>
      <c r="AF23" s="88" t="str">
        <f t="shared" si="13"/>
        <v>"C:\Program Files (x86)\AstroGrep\AstroGrep.exe" /spath="%USERPROFILE%\AppData\Local\Temp\OnboardLogs" /stypes="app*4044*20161018*"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111-18 --locoid 4044 --swversion DE.1.0.7.0 --startMP 204:788 --initTime 2016-10-18T04:54:31 --startdatetime 2016-10-18T05:00:50 --delay 6 --endMP 204:233308 --enddatetime 2016-10-18T05:36:51 --enforcementcount 0 &gt;&gt;C:\Users\stu\Documents\GitHub\eaglep3-reporting\EC\2016-10-18-refined-times.txt</v>
      </c>
      <c r="AI23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{"issue":{"subject":"","project_id":79,"tracker_id":40,"status_id":1,"priority_id":2,"assigned_to_id":23,"start_date":"2016-10-18","description":"","custom_fields":[{"id":1,"name":"Subdivision","value":"EC"},{"id":4,"name":"Milepost","value":"23.3308"},{"id":17,"name":"Train ID","value":"111-18"},{"id":16,"name":"Locomotive ID","value":"4044"},{"id":130,"name":"Impact","value":""},{"id":150,"name":"Time of Event (Mountain Time)","value":"05:36:51"},{"id":151,"name":"Denver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465</v>
      </c>
      <c r="B24" s="7">
        <v>4043</v>
      </c>
      <c r="C24" s="22" t="s">
        <v>99</v>
      </c>
      <c r="D24" s="22" t="s">
        <v>376</v>
      </c>
      <c r="E24" s="13">
        <v>42661.244050925925</v>
      </c>
      <c r="F24" s="13">
        <v>42661.247465277775</v>
      </c>
      <c r="G24" s="7">
        <v>1</v>
      </c>
      <c r="H24" s="13" t="s">
        <v>305</v>
      </c>
      <c r="I24" s="13">
        <v>42661.276076388887</v>
      </c>
      <c r="J24" s="7">
        <v>0</v>
      </c>
      <c r="K24" s="112" t="str">
        <f t="shared" si="0"/>
        <v>4043/4044</v>
      </c>
      <c r="L24" s="22" t="str">
        <f>VLOOKUP(A24,'Trips&amp;Operators'!$C$1:$E$10000,3,FALSE)</f>
        <v>GEBRETEKLE</v>
      </c>
      <c r="M24" s="6">
        <f t="shared" si="1"/>
        <v>2.8611111112695653E-2</v>
      </c>
      <c r="N24" s="7">
        <f t="shared" si="2"/>
        <v>41.20000000228174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8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04:51:26-0600',mode:absolute,to:'2016-10-18 07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4" s="52" t="str">
        <f t="shared" si="6"/>
        <v>N</v>
      </c>
      <c r="X24" s="174">
        <f t="shared" si="7"/>
        <v>1</v>
      </c>
      <c r="Y24" s="67">
        <f t="shared" si="8"/>
        <v>23.3004</v>
      </c>
      <c r="Z24" s="67">
        <f t="shared" si="9"/>
        <v>1.5599999999999999E-2</v>
      </c>
      <c r="AA24" s="67">
        <f t="shared" si="10"/>
        <v>23.284800000000001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0112-18</v>
      </c>
      <c r="AE24" s="91" t="str">
        <f t="shared" si="12"/>
        <v>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 &amp; aws s3 cp s3://rtdc.mdm.uploadarchive.raw/RTDC4043/ "%USERPROFILE%\AppData\Local\Temp\OnboardLogs"\RTDC4043\2016-10-19 --exclude "*" --recursive --include "*20161019*" &amp; "%USERPROFILE%\Documents\GitHub\mrs-test-scripts\Headless Mode &amp; Sideloading\WalkAndUnGZ.bat" "%USERPROFILE%\AppData\Local\Temp\OnboardLogs"\RTDC4043\2016-10-19</v>
      </c>
      <c r="AF24" s="88" t="str">
        <f t="shared" si="13"/>
        <v>"C:\Program Files (x86)\AstroGrep\AstroGrep.exe" /spath="%USERPROFILE%\AppData\Local\Temp\OnboardLogs" /stypes="app*4043*20161018*"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112-18 --locoid 4043 --swversion DE.1.0.7.0 --startMP 204:233004 --initTime 2016-10-18T05:51:26 --startdatetime 2016-10-18T05:56:21 --delay 1 --endMP 204:156 --enddatetime 2016-10-18T06:37:33 --enforcementcount 0 &gt;&gt;C:\Users\stu\Documents\GitHub\eaglep3-reporting\EC\2016-10-18-refined-times.txt</v>
      </c>
      <c r="AI24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{"issue":{"subject":"","project_id":79,"tracker_id":40,"status_id":1,"priority_id":2,"assigned_to_id":23,"start_date":"2016-10-18","description":"","custom_fields":[{"id":1,"name":"Subdivision","value":"EC"},{"id":4,"name":"Milepost","value":"0.0156"},{"id":17,"name":"Train ID","value":"112-18"},{"id":16,"name":"Locomotive ID","value":"4043"},{"id":130,"name":"Impact","value":""},{"id":150,"name":"Time of Event (Mountain Time)","value":"06:37:33"},{"id":151,"name":"Denver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456</v>
      </c>
      <c r="B25" s="7">
        <v>4016</v>
      </c>
      <c r="C25" s="22" t="s">
        <v>99</v>
      </c>
      <c r="D25" s="22" t="s">
        <v>252</v>
      </c>
      <c r="E25" s="13">
        <v>42661.205081018517</v>
      </c>
      <c r="F25" s="13">
        <v>42661.218946759262</v>
      </c>
      <c r="G25" s="7">
        <v>1</v>
      </c>
      <c r="H25" s="13" t="s">
        <v>246</v>
      </c>
      <c r="I25" s="13">
        <v>42661.244513888887</v>
      </c>
      <c r="J25" s="7">
        <v>0</v>
      </c>
      <c r="K25" s="112" t="str">
        <f t="shared" si="0"/>
        <v>4015/4016</v>
      </c>
      <c r="L25" s="22" t="str">
        <f>VLOOKUP(A25,'Trips&amp;Operators'!$C$1:$E$10000,3,FALSE)</f>
        <v>KILLION</v>
      </c>
      <c r="M25" s="6">
        <f t="shared" si="1"/>
        <v>2.5567129625414964E-2</v>
      </c>
      <c r="N25" s="7">
        <f t="shared" si="2"/>
        <v>36.816666660597548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8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03:55:19-0600',mode:absolute,to:'2016-10-18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5" s="52" t="str">
        <f t="shared" si="6"/>
        <v>N</v>
      </c>
      <c r="X25" s="174">
        <f t="shared" si="7"/>
        <v>1</v>
      </c>
      <c r="Y25" s="67">
        <f t="shared" si="8"/>
        <v>4.5999999999999999E-2</v>
      </c>
      <c r="Z25" s="67">
        <f t="shared" si="9"/>
        <v>23.329499999999999</v>
      </c>
      <c r="AA25" s="67">
        <f t="shared" si="10"/>
        <v>23.2835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0113-18</v>
      </c>
      <c r="AE25" s="91" t="str">
        <f t="shared" si="12"/>
        <v>aws s3 cp s3://rtdc.mdm.uploadarchive.raw/RTDC4016/ "%USERPROFILE%\AppData\Local\Temp\OnboardLogs"\RTDC4016\2016-10-18 --exclude "*" --recursive --include "*20161018*" &amp; "%USERPROFILE%\Documents\GitHub\mrs-test-scripts\Headless Mode &amp; Sideloading\WalkAndUnGZ.bat" "%USERPROFILE%\AppData\Local\Temp\OnboardLogs"\RTDC4016\2016-10-18 &amp; aws s3 cp s3://rtdc.mdm.uploadarchive.raw/RTDC4016/ "%USERPROFILE%\AppData\Local\Temp\OnboardLogs"\RTDC4016\2016-10-19 --exclude "*" --recursive --include "*20161019*" &amp; "%USERPROFILE%\Documents\GitHub\mrs-test-scripts\Headless Mode &amp; Sideloading\WalkAndUnGZ.bat" "%USERPROFILE%\AppData\Local\Temp\OnboardLogs"\RTDC4016\2016-10-19</v>
      </c>
      <c r="AF25" s="88" t="str">
        <f t="shared" si="13"/>
        <v>"C:\Program Files (x86)\AstroGrep\AstroGrep.exe" /spath="%USERPROFILE%\AppData\Local\Temp\OnboardLogs" /stypes="app*4016*20161018*"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113-18 --locoid 4016 --swversion DE.1.0.7.0 --startMP 204:460 --initTime 2016-10-18T04:55:19 --startdatetime 2016-10-18T05:15:17 --delay 1 --endMP 204:233295 --enddatetime 2016-10-18T05:52:06 --enforcementcount 0 &gt;&gt;C:\Users\stu\Documents\GitHub\eaglep3-reporting\EC\2016-10-18-refined-times.txt</v>
      </c>
      <c r="AI25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{"issue":{"subject":"","project_id":79,"tracker_id":40,"status_id":1,"priority_id":2,"assigned_to_id":23,"start_date":"2016-10-18","description":"","custom_fields":[{"id":1,"name":"Subdivision","value":"EC"},{"id":4,"name":"Milepost","value":"23.3295"},{"id":17,"name":"Train ID","value":"113-18"},{"id":16,"name":"Locomotive ID","value":"4016"},{"id":130,"name":"Impact","value":""},{"id":150,"name":"Time of Event (Mountain Time)","value":"05:52:06"},{"id":151,"name":"Denver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468</v>
      </c>
      <c r="B26" s="7">
        <v>4015</v>
      </c>
      <c r="C26" s="22" t="s">
        <v>99</v>
      </c>
      <c r="D26" s="22" t="s">
        <v>292</v>
      </c>
      <c r="E26" s="13">
        <v>42661.255532407406</v>
      </c>
      <c r="F26" s="13">
        <v>42661.257881944446</v>
      </c>
      <c r="G26" s="7">
        <v>1</v>
      </c>
      <c r="H26" s="13" t="s">
        <v>305</v>
      </c>
      <c r="I26" s="13">
        <v>42661.285879629628</v>
      </c>
      <c r="J26" s="7">
        <v>0</v>
      </c>
      <c r="K26" s="112" t="str">
        <f t="shared" si="0"/>
        <v>4015/4016</v>
      </c>
      <c r="L26" s="22" t="str">
        <f>VLOOKUP(A26,'Trips&amp;Operators'!$C$1:$E$10000,3,FALSE)</f>
        <v>KILLION</v>
      </c>
      <c r="M26" s="6">
        <f t="shared" si="1"/>
        <v>2.7997685181617271E-2</v>
      </c>
      <c r="N26" s="7">
        <f t="shared" si="2"/>
        <v>40.31666666152887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8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05:07:58-0600',mode:absolute,to:'2016-10-18 07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6" s="52" t="str">
        <f t="shared" si="6"/>
        <v>N</v>
      </c>
      <c r="X26" s="174">
        <f t="shared" si="7"/>
        <v>1</v>
      </c>
      <c r="Y26" s="67">
        <f t="shared" si="8"/>
        <v>23.296500000000002</v>
      </c>
      <c r="Z26" s="67">
        <f t="shared" si="9"/>
        <v>1.5599999999999999E-2</v>
      </c>
      <c r="AA26" s="67">
        <f t="shared" si="10"/>
        <v>23.280900000000003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0114-18</v>
      </c>
      <c r="AE26" s="91" t="str">
        <f t="shared" si="12"/>
        <v>aws s3 cp s3://rtdc.mdm.uploadarchive.raw/RTDC4015/ "%USERPROFILE%\AppData\Local\Temp\OnboardLogs"\RTDC4015\2016-10-18 --exclude "*" --recursive --include "*20161018*" &amp; "%USERPROFILE%\Documents\GitHub\mrs-test-scripts\Headless Mode &amp; Sideloading\WalkAndUnGZ.bat" "%USERPROFILE%\AppData\Local\Temp\OnboardLogs"\RTDC4015\2016-10-18 &amp; aws s3 cp s3://rtdc.mdm.uploadarchive.raw/RTDC4015/ "%USERPROFILE%\AppData\Local\Temp\OnboardLogs"\RTDC4015\2016-10-19 --exclude "*" --recursive --include "*20161019*" &amp; "%USERPROFILE%\Documents\GitHub\mrs-test-scripts\Headless Mode &amp; Sideloading\WalkAndUnGZ.bat" "%USERPROFILE%\AppData\Local\Temp\OnboardLogs"\RTDC4015\2016-10-19</v>
      </c>
      <c r="AF26" s="88" t="str">
        <f t="shared" si="13"/>
        <v>"C:\Program Files (x86)\AstroGrep\AstroGrep.exe" /spath="%USERPROFILE%\AppData\Local\Temp\OnboardLogs" /stypes="app*4015*20161018*"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114-18 --locoid 4015 --swversion DE.1.0.7.0 --startMP 204:232965 --initTime 2016-10-18T06:07:58 --startdatetime 2016-10-18T06:11:21 --delay 1 --endMP 204:156 --enddatetime 2016-10-18T06:51:40 --enforcementcount 0 &gt;&gt;C:\Users\stu\Documents\GitHub\eaglep3-reporting\EC\2016-10-18-refined-times.txt</v>
      </c>
      <c r="AI26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{"issue":{"subject":"","project_id":79,"tracker_id":40,"status_id":1,"priority_id":2,"assigned_to_id":23,"start_date":"2016-10-18","description":"","custom_fields":[{"id":1,"name":"Subdivision","value":"EC"},{"id":4,"name":"Milepost","value":"0.0156"},{"id":17,"name":"Train ID","value":"114-18"},{"id":16,"name":"Locomotive ID","value":"4015"},{"id":130,"name":"Impact","value":""},{"id":150,"name":"Time of Event (Mountain Time)","value":"06:51:40"},{"id":151,"name":"Denver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460</v>
      </c>
      <c r="B27" s="7">
        <v>4031</v>
      </c>
      <c r="C27" s="22" t="s">
        <v>99</v>
      </c>
      <c r="D27" s="22" t="s">
        <v>648</v>
      </c>
      <c r="E27" s="13">
        <v>42661.228958333333</v>
      </c>
      <c r="F27" s="13">
        <v>42661.230868055558</v>
      </c>
      <c r="G27" s="7">
        <v>1</v>
      </c>
      <c r="H27" s="13" t="s">
        <v>255</v>
      </c>
      <c r="I27" s="13">
        <v>42661.257349537038</v>
      </c>
      <c r="J27" s="7">
        <v>0</v>
      </c>
      <c r="K27" s="112" t="str">
        <f t="shared" si="0"/>
        <v>4031/4032</v>
      </c>
      <c r="L27" s="22" t="str">
        <f>VLOOKUP(A27,'Trips&amp;Operators'!$C$1:$E$10000,3,FALSE)</f>
        <v>ROCHA</v>
      </c>
      <c r="M27" s="6">
        <f t="shared" si="1"/>
        <v>2.6481481480004732E-2</v>
      </c>
      <c r="N27" s="7">
        <f t="shared" si="2"/>
        <v>38.133333331206813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8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04:29:42-0600',mode:absolute,to:'2016-10-18 07:10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7" s="52" t="str">
        <f t="shared" si="6"/>
        <v>N</v>
      </c>
      <c r="X27" s="174">
        <f t="shared" si="7"/>
        <v>1</v>
      </c>
      <c r="Y27" s="67">
        <f t="shared" si="8"/>
        <v>7.4800000000000005E-2</v>
      </c>
      <c r="Z27" s="67">
        <f t="shared" si="9"/>
        <v>23.3291</v>
      </c>
      <c r="AA27" s="67">
        <f t="shared" si="10"/>
        <v>23.254300000000001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0115-18</v>
      </c>
      <c r="AE27" s="91" t="str">
        <f t="shared" si="12"/>
        <v>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 &amp; 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</v>
      </c>
      <c r="AF27" s="88" t="str">
        <f t="shared" si="13"/>
        <v>"C:\Program Files (x86)\AstroGrep\AstroGrep.exe" /spath="%USERPROFILE%\AppData\Local\Temp\OnboardLogs" /stypes="app*4031*20161018*"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115-18 --locoid 4031 --swversion DE.1.0.7.0 --startMP 204:748 --initTime 2016-10-18T05:29:42 --startdatetime 2016-10-18T05:32:27 --delay 1 --endMP 204:233291 --enddatetime 2016-10-18T06:10:35 --enforcementcount 0 &gt;&gt;C:\Users\stu\Documents\GitHub\eaglep3-reporting\EC\2016-10-18-refined-times.txt</v>
      </c>
      <c r="AI27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{"issue":{"subject":"","project_id":79,"tracker_id":40,"status_id":1,"priority_id":2,"assigned_to_id":23,"start_date":"2016-10-18","description":"","custom_fields":[{"id":1,"name":"Subdivision","value":"EC"},{"id":4,"name":"Milepost","value":"23.3291"},{"id":17,"name":"Train ID","value":"115-18"},{"id":16,"name":"Locomotive ID","value":"4031"},{"id":130,"name":"Impact","value":""},{"id":150,"name":"Time of Event (Mountain Time)","value":"06:10:35"},{"id":151,"name":"Denver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471</v>
      </c>
      <c r="B28" s="7">
        <v>4032</v>
      </c>
      <c r="C28" s="22" t="s">
        <v>99</v>
      </c>
      <c r="D28" s="22" t="s">
        <v>224</v>
      </c>
      <c r="E28" s="13">
        <v>42661.263668981483</v>
      </c>
      <c r="F28" s="13">
        <v>42661.268263888887</v>
      </c>
      <c r="G28" s="7">
        <v>3</v>
      </c>
      <c r="H28" s="13" t="s">
        <v>649</v>
      </c>
      <c r="I28" s="13">
        <v>42661.2965625</v>
      </c>
      <c r="J28" s="7">
        <v>0</v>
      </c>
      <c r="K28" s="112" t="str">
        <f t="shared" si="0"/>
        <v>4031/4032</v>
      </c>
      <c r="L28" s="22" t="str">
        <f>VLOOKUP(A28,'Trips&amp;Operators'!$C$1:$E$10000,3,FALSE)</f>
        <v>ROCHA</v>
      </c>
      <c r="M28" s="6">
        <f t="shared" si="1"/>
        <v>2.8298611112404615E-2</v>
      </c>
      <c r="N28" s="7">
        <f t="shared" si="2"/>
        <v>40.750000001862645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8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05:19:41-0600',mode:absolute,to:'2016-10-18 08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8" s="52" t="str">
        <f t="shared" si="6"/>
        <v>N</v>
      </c>
      <c r="X28" s="174">
        <f t="shared" si="7"/>
        <v>1</v>
      </c>
      <c r="Y28" s="67">
        <f t="shared" si="8"/>
        <v>23.298500000000001</v>
      </c>
      <c r="Z28" s="67">
        <f t="shared" si="9"/>
        <v>1.7600000000000001E-2</v>
      </c>
      <c r="AA28" s="67">
        <f t="shared" si="10"/>
        <v>23.280899999999999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0116-18</v>
      </c>
      <c r="AE28" s="91" t="str">
        <f t="shared" si="12"/>
        <v>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 &amp; 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</v>
      </c>
      <c r="AF28" s="88" t="str">
        <f t="shared" si="13"/>
        <v>"C:\Program Files (x86)\AstroGrep\AstroGrep.exe" /spath="%USERPROFILE%\AppData\Local\Temp\OnboardLogs" /stypes="app*4032*20161018*"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116-18 --locoid 4032 --swversion DE.1.0.7.0 --startMP 204:232985 --initTime 2016-10-18T06:19:41 --startdatetime 2016-10-18T06:26:18 --delay 3 --endMP 204:176 --enddatetime 2016-10-18T07:07:03 --enforcementcount 0 &gt;&gt;C:\Users\stu\Documents\GitHub\eaglep3-reporting\EC\2016-10-18-refined-times.txt</v>
      </c>
      <c r="AI28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{"issue":{"subject":"","project_id":79,"tracker_id":40,"status_id":1,"priority_id":2,"assigned_to_id":23,"start_date":"2016-10-18","description":"","custom_fields":[{"id":1,"name":"Subdivision","value":"EC"},{"id":4,"name":"Milepost","value":"0.0176"},{"id":17,"name":"Train ID","value":"116-18"},{"id":16,"name":"Locomotive ID","value":"4032"},{"id":130,"name":"Impact","value":""},{"id":150,"name":"Time of Event (Mountain Time)","value":"07:07:03"},{"id":151,"name":"Denver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462</v>
      </c>
      <c r="B29" s="7">
        <v>4040</v>
      </c>
      <c r="C29" s="22" t="s">
        <v>99</v>
      </c>
      <c r="D29" s="22" t="s">
        <v>306</v>
      </c>
      <c r="E29" s="13">
        <v>42661.233564814815</v>
      </c>
      <c r="F29" s="13">
        <v>42661.239861111113</v>
      </c>
      <c r="G29" s="7">
        <v>1</v>
      </c>
      <c r="H29" s="13" t="s">
        <v>650</v>
      </c>
      <c r="I29" s="13">
        <v>42661.2658912037</v>
      </c>
      <c r="J29" s="7">
        <v>0</v>
      </c>
      <c r="K29" s="112" t="str">
        <f t="shared" si="0"/>
        <v>4039/4040</v>
      </c>
      <c r="L29" s="22" t="str">
        <f>VLOOKUP(A29,'Trips&amp;Operators'!$C$1:$E$10000,3,FALSE)</f>
        <v>ACKERMAN</v>
      </c>
      <c r="M29" s="6">
        <f t="shared" si="1"/>
        <v>2.6030092587461695E-2</v>
      </c>
      <c r="N29" s="7">
        <f t="shared" si="2"/>
        <v>37.483333325944841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8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04:36:20-0600',mode:absolute,to:'2016-10-18 07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9" s="52" t="str">
        <f t="shared" si="6"/>
        <v>N</v>
      </c>
      <c r="X29" s="174">
        <f t="shared" si="7"/>
        <v>1</v>
      </c>
      <c r="Y29" s="67">
        <f t="shared" si="8"/>
        <v>4.3299999999999998E-2</v>
      </c>
      <c r="Z29" s="67">
        <f t="shared" si="9"/>
        <v>23.327999999999999</v>
      </c>
      <c r="AA29" s="67">
        <f t="shared" si="10"/>
        <v>23.284700000000001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0117-18</v>
      </c>
      <c r="AE29" s="91" t="str">
        <f t="shared" si="12"/>
        <v>aws s3 cp s3://rtdc.mdm.uploadarchive.raw/RTDC4040/ "%USERPROFILE%\AppData\Local\Temp\OnboardLogs"\RTDC4040\2016-10-18 --exclude "*" --recursive --include "*20161018*" &amp; "%USERPROFILE%\Documents\GitHub\mrs-test-scripts\Headless Mode &amp; Sideloading\WalkAndUnGZ.bat" "%USERPROFILE%\AppData\Local\Temp\OnboardLogs"\RTDC4040\2016-10-18 &amp; aws s3 cp s3://rtdc.mdm.uploadarchive.raw/RTDC4040/ "%USERPROFILE%\AppData\Local\Temp\OnboardLogs"\RTDC4040\2016-10-19 --exclude "*" --recursive --include "*20161019*" &amp; "%USERPROFILE%\Documents\GitHub\mrs-test-scripts\Headless Mode &amp; Sideloading\WalkAndUnGZ.bat" "%USERPROFILE%\AppData\Local\Temp\OnboardLogs"\RTDC4040\2016-10-19</v>
      </c>
      <c r="AF29" s="88" t="str">
        <f t="shared" si="13"/>
        <v>"C:\Program Files (x86)\AstroGrep\AstroGrep.exe" /spath="%USERPROFILE%\AppData\Local\Temp\OnboardLogs" /stypes="app*4040*20161018*"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117-18 --locoid 4040 --swversion DE.1.0.7.0 --startMP 204:433 --initTime 2016-10-18T05:36:20 --startdatetime 2016-10-18T05:45:24 --delay 1 --endMP 204:233280 --enddatetime 2016-10-18T06:22:53 --enforcementcount 0 &gt;&gt;C:\Users\stu\Documents\GitHub\eaglep3-reporting\EC\2016-10-18-refined-times.txt</v>
      </c>
      <c r="AI29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{"issue":{"subject":"","project_id":79,"tracker_id":40,"status_id":1,"priority_id":2,"assigned_to_id":23,"start_date":"2016-10-18","description":"","custom_fields":[{"id":1,"name":"Subdivision","value":"EC"},{"id":4,"name":"Milepost","value":"23.328"},{"id":17,"name":"Train ID","value":"117-18"},{"id":16,"name":"Locomotive ID","value":"4040"},{"id":130,"name":"Impact","value":""},{"id":150,"name":"Time of Event (Mountain Time)","value":"06:22:53"},{"id":151,"name":"Denver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411</v>
      </c>
      <c r="B30" s="7">
        <v>4039</v>
      </c>
      <c r="C30" s="22" t="s">
        <v>99</v>
      </c>
      <c r="D30" s="22" t="s">
        <v>383</v>
      </c>
      <c r="E30" s="13">
        <v>42661.267407407409</v>
      </c>
      <c r="F30" s="13">
        <v>42661.278969907406</v>
      </c>
      <c r="G30" s="7">
        <v>1</v>
      </c>
      <c r="H30" s="13" t="s">
        <v>370</v>
      </c>
      <c r="I30" s="13">
        <v>42661.308171296296</v>
      </c>
      <c r="J30" s="7">
        <v>0</v>
      </c>
      <c r="K30" s="112" t="str">
        <f t="shared" si="0"/>
        <v>4039/4040</v>
      </c>
      <c r="L30" s="22" t="str">
        <f>VLOOKUP(A30,'Trips&amp;Operators'!$C$1:$E$10000,3,FALSE)</f>
        <v>ACKERMAN</v>
      </c>
      <c r="M30" s="6">
        <f t="shared" si="1"/>
        <v>2.920138889021473E-2</v>
      </c>
      <c r="N30" s="7">
        <f t="shared" si="2"/>
        <v>42.050000001909211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8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05:25:04-0600',mode:absolute,to:'2016-10-18 08:23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0" s="52" t="str">
        <f t="shared" si="6"/>
        <v>N</v>
      </c>
      <c r="X30" s="174">
        <f t="shared" si="7"/>
        <v>1</v>
      </c>
      <c r="Y30" s="67">
        <f t="shared" si="8"/>
        <v>23.296700000000001</v>
      </c>
      <c r="Z30" s="67">
        <f t="shared" si="9"/>
        <v>1.7000000000000001E-2</v>
      </c>
      <c r="AA30" s="67">
        <f t="shared" si="10"/>
        <v>23.279700000000002</v>
      </c>
      <c r="AB30" s="64" t="str">
        <f>VLOOKUP(A30,Enforcements!$C$7:$K$21,8,0)</f>
        <v>Bulletin (2)</v>
      </c>
      <c r="AC30" s="60" t="str">
        <f>VLOOKUP(A30,Enforcements!$C$7:$E$21,3,0)</f>
        <v>GRADE CROSSING</v>
      </c>
      <c r="AD30" s="61" t="str">
        <f t="shared" si="11"/>
        <v>0118-18</v>
      </c>
      <c r="AE30" s="91" t="str">
        <f t="shared" si="12"/>
        <v>aws s3 cp s3://rtdc.mdm.uploadarchive.raw/RTDC4039/ "%USERPROFILE%\AppData\Local\Temp\OnboardLogs"\RTDC4039\2016-10-18 --exclude "*" --recursive --include "*20161018*" &amp; "%USERPROFILE%\Documents\GitHub\mrs-test-scripts\Headless Mode &amp; Sideloading\WalkAndUnGZ.bat" "%USERPROFILE%\AppData\Local\Temp\OnboardLogs"\RTDC4039\2016-10-18 &amp; 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</v>
      </c>
      <c r="AF30" s="88" t="str">
        <f t="shared" si="13"/>
        <v>"C:\Program Files (x86)\AstroGrep\AstroGrep.exe" /spath="%USERPROFILE%\AppData\Local\Temp\OnboardLogs" /stypes="app*4039*20161018*"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118-18 --locoid 4039 --swversion DE.1.0.7.0 --startMP 204:232967 --initTime 2016-10-18T06:25:04 --startdatetime 2016-10-18T06:41:43 --delay 1 --endMP 204:170 --enddatetime 2016-10-18T07:23:46 --enforcementcount 0 &gt;&gt;C:\Users\stu\Documents\GitHub\eaglep3-reporting\EC\2016-10-18-refined-times.txt</v>
      </c>
      <c r="AI30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{"issue":{"subject":"","project_id":79,"tracker_id":40,"status_id":1,"priority_id":2,"assigned_to_id":23,"start_date":"2016-10-18","description":"","custom_fields":[{"id":1,"name":"Subdivision","value":"EC"},{"id":4,"name":"Milepost","value":"0.017"},{"id":17,"name":"Train ID","value":"118-18"},{"id":16,"name":"Locomotive ID","value":"4039"},{"id":130,"name":"Impact","value":""},{"id":150,"name":"Time of Event (Mountain Time)","value":"07:23:46"},{"id":151,"name":"Denver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466</v>
      </c>
      <c r="B31" s="7">
        <v>4018</v>
      </c>
      <c r="C31" s="22" t="s">
        <v>99</v>
      </c>
      <c r="D31" s="22" t="s">
        <v>651</v>
      </c>
      <c r="E31" s="13">
        <v>42661.248136574075</v>
      </c>
      <c r="F31" s="13">
        <v>42661.250208333331</v>
      </c>
      <c r="G31" s="7">
        <v>2</v>
      </c>
      <c r="H31" s="13" t="s">
        <v>652</v>
      </c>
      <c r="I31" s="13">
        <v>42661.277453703704</v>
      </c>
      <c r="J31" s="7">
        <v>0</v>
      </c>
      <c r="K31" s="112" t="str">
        <f t="shared" si="0"/>
        <v>4017/4018</v>
      </c>
      <c r="L31" s="22" t="str">
        <f>VLOOKUP(A31,'Trips&amp;Operators'!$C$1:$E$10000,3,FALSE)</f>
        <v>BRANNON</v>
      </c>
      <c r="M31" s="6">
        <f t="shared" si="1"/>
        <v>2.7245370372838806E-2</v>
      </c>
      <c r="N31" s="7">
        <f t="shared" si="2"/>
        <v>39.233333336887881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8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04:57:19-0600',mode:absolute,to:'2016-10-18 07:39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1" s="52" t="str">
        <f t="shared" si="6"/>
        <v>N</v>
      </c>
      <c r="X31" s="174">
        <f t="shared" si="7"/>
        <v>1</v>
      </c>
      <c r="Y31" s="67">
        <f t="shared" si="8"/>
        <v>7.3899999999999993E-2</v>
      </c>
      <c r="Z31" s="67">
        <f t="shared" si="9"/>
        <v>23.331900000000001</v>
      </c>
      <c r="AA31" s="67">
        <f t="shared" si="10"/>
        <v>23.258000000000003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0119-18</v>
      </c>
      <c r="AE31" s="91" t="str">
        <f t="shared" si="12"/>
        <v>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 &amp; aws s3 cp s3://rtdc.mdm.uploadarchive.raw/RTDC4018/ "%USERPROFILE%\AppData\Local\Temp\OnboardLogs"\RTDC4018\2016-10-19 --exclude "*" --recursive --include "*20161019*" &amp; "%USERPROFILE%\Documents\GitHub\mrs-test-scripts\Headless Mode &amp; Sideloading\WalkAndUnGZ.bat" "%USERPROFILE%\AppData\Local\Temp\OnboardLogs"\RTDC4018\2016-10-19</v>
      </c>
      <c r="AF31" s="88" t="str">
        <f t="shared" si="13"/>
        <v>"C:\Program Files (x86)\AstroGrep\AstroGrep.exe" /spath="%USERPROFILE%\AppData\Local\Temp\OnboardLogs" /stypes="app*4018*20161018*"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119-18 --locoid 4018 --swversion DE.1.0.7.0 --startMP 204:739 --initTime 2016-10-18T05:57:19 --startdatetime 2016-10-18T06:00:18 --delay 2 --endMP 204:233319 --enddatetime 2016-10-18T06:39:32 --enforcementcount 0 &gt;&gt;C:\Users\stu\Documents\GitHub\eaglep3-reporting\EC\2016-10-18-refined-times.txt</v>
      </c>
      <c r="AI31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{"issue":{"subject":"","project_id":79,"tracker_id":40,"status_id":1,"priority_id":2,"assigned_to_id":23,"start_date":"2016-10-18","description":"","custom_fields":[{"id":1,"name":"Subdivision","value":"EC"},{"id":4,"name":"Milepost","value":"23.3319"},{"id":17,"name":"Train ID","value":"119-18"},{"id":16,"name":"Locomotive ID","value":"4018"},{"id":130,"name":"Impact","value":""},{"id":150,"name":"Time of Event (Mountain Time)","value":"06:39:32"},{"id":151,"name":"Denver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475</v>
      </c>
      <c r="B32" s="7">
        <v>4017</v>
      </c>
      <c r="C32" s="22" t="s">
        <v>99</v>
      </c>
      <c r="D32" s="22" t="s">
        <v>277</v>
      </c>
      <c r="E32" s="13">
        <v>42661.281793981485</v>
      </c>
      <c r="F32" s="13">
        <v>42661.289085648146</v>
      </c>
      <c r="G32" s="7">
        <v>1</v>
      </c>
      <c r="H32" s="13" t="s">
        <v>240</v>
      </c>
      <c r="I32" s="13">
        <v>42661.317106481481</v>
      </c>
      <c r="J32" s="7">
        <v>0</v>
      </c>
      <c r="K32" s="112" t="str">
        <f t="shared" si="0"/>
        <v>4017/4018</v>
      </c>
      <c r="L32" s="22" t="str">
        <f>VLOOKUP(A32,'Trips&amp;Operators'!$C$1:$E$10000,3,FALSE)</f>
        <v>BRANNON</v>
      </c>
      <c r="M32" s="6">
        <f t="shared" si="1"/>
        <v>2.8020833335176576E-2</v>
      </c>
      <c r="N32" s="7">
        <f t="shared" si="2"/>
        <v>40.350000002654269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8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05:45:47-0600',mode:absolute,to:'2016-10-18 08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2" s="52" t="str">
        <f t="shared" si="6"/>
        <v>N</v>
      </c>
      <c r="X32" s="174">
        <f t="shared" si="7"/>
        <v>1</v>
      </c>
      <c r="Y32" s="67">
        <f t="shared" si="8"/>
        <v>23.299800000000001</v>
      </c>
      <c r="Z32" s="67">
        <f t="shared" si="9"/>
        <v>1.3599999999999999E-2</v>
      </c>
      <c r="AA32" s="67">
        <f t="shared" si="10"/>
        <v>23.286200000000001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0120-18</v>
      </c>
      <c r="AE32" s="91" t="str">
        <f t="shared" si="12"/>
        <v>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 &amp; aws s3 cp s3://rtdc.mdm.uploadarchive.raw/RTDC4017/ "%USERPROFILE%\AppData\Local\Temp\OnboardLogs"\RTDC4017\2016-10-19 --exclude "*" --recursive --include "*20161019*" &amp; "%USERPROFILE%\Documents\GitHub\mrs-test-scripts\Headless Mode &amp; Sideloading\WalkAndUnGZ.bat" "%USERPROFILE%\AppData\Local\Temp\OnboardLogs"\RTDC4017\2016-10-19</v>
      </c>
      <c r="AF32" s="88" t="str">
        <f t="shared" si="13"/>
        <v>"C:\Program Files (x86)\AstroGrep\AstroGrep.exe" /spath="%USERPROFILE%\AppData\Local\Temp\OnboardLogs" /stypes="app*4017*20161018*"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120-18 --locoid 4017 --swversion DE.1.0.7.0 --startMP 204:232998 --initTime 2016-10-18T06:45:47 --startdatetime 2016-10-18T06:56:17 --delay 1 --endMP 204:136 --enddatetime 2016-10-18T07:36:38 --enforcementcount 0 &gt;&gt;C:\Users\stu\Documents\GitHub\eaglep3-reporting\EC\2016-10-18-refined-times.txt</v>
      </c>
      <c r="AI32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{"issue":{"subject":"","project_id":79,"tracker_id":40,"status_id":1,"priority_id":2,"assigned_to_id":23,"start_date":"2016-10-18","description":"","custom_fields":[{"id":1,"name":"Subdivision","value":"EC"},{"id":4,"name":"Milepost","value":"0.0136"},{"id":17,"name":"Train ID","value":"120-18"},{"id":16,"name":"Locomotive ID","value":"4017"},{"id":130,"name":"Impact","value":""},{"id":150,"name":"Time of Event (Mountain Time)","value":"07:36:38"},{"id":151,"name":"Denver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469</v>
      </c>
      <c r="B33" s="7">
        <v>4029</v>
      </c>
      <c r="C33" s="22" t="s">
        <v>99</v>
      </c>
      <c r="D33" s="22" t="s">
        <v>238</v>
      </c>
      <c r="E33" s="13">
        <v>42661.256585648145</v>
      </c>
      <c r="F33" s="13">
        <v>42661.260717592595</v>
      </c>
      <c r="G33" s="7">
        <v>1</v>
      </c>
      <c r="H33" s="13" t="s">
        <v>381</v>
      </c>
      <c r="I33" s="13">
        <v>42661.286446759259</v>
      </c>
      <c r="J33" s="7">
        <v>0</v>
      </c>
      <c r="K33" s="112" t="str">
        <f t="shared" si="0"/>
        <v>4029/4030</v>
      </c>
      <c r="L33" s="22" t="str">
        <f>VLOOKUP(A33,'Trips&amp;Operators'!$C$1:$E$10000,3,FALSE)</f>
        <v>SPECTOR</v>
      </c>
      <c r="M33" s="6">
        <f t="shared" si="1"/>
        <v>2.5729166663950309E-2</v>
      </c>
      <c r="N33" s="7">
        <f t="shared" si="2"/>
        <v>37.049999996088445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8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05:09:29-0600',mode:absolute,to:'2016-10-18 07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3" s="52" t="str">
        <f t="shared" si="6"/>
        <v>N</v>
      </c>
      <c r="X33" s="174">
        <f t="shared" si="7"/>
        <v>1</v>
      </c>
      <c r="Y33" s="67">
        <f t="shared" si="8"/>
        <v>4.5499999999999999E-2</v>
      </c>
      <c r="Z33" s="67">
        <f t="shared" si="9"/>
        <v>23.333400000000001</v>
      </c>
      <c r="AA33" s="67">
        <f t="shared" si="10"/>
        <v>23.2879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0121-18</v>
      </c>
      <c r="AE33" s="91" t="str">
        <f t="shared" si="12"/>
        <v>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 &amp; 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</v>
      </c>
      <c r="AF33" s="88" t="str">
        <f t="shared" si="13"/>
        <v>"C:\Program Files (x86)\AstroGrep\AstroGrep.exe" /spath="%USERPROFILE%\AppData\Local\Temp\OnboardLogs" /stypes="app*4029*20161018*"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121-18 --locoid 4029 --swversion DE.1.0.7.0 --startMP 204:455 --initTime 2016-10-18T06:09:29 --startdatetime 2016-10-18T06:15:26 --delay 1 --endMP 204:233334 --enddatetime 2016-10-18T06:52:29 --enforcementcount 0 &gt;&gt;C:\Users\stu\Documents\GitHub\eaglep3-reporting\EC\2016-10-18-refined-times.txt</v>
      </c>
      <c r="AI33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{"issue":{"subject":"","project_id":79,"tracker_id":40,"status_id":1,"priority_id":2,"assigned_to_id":23,"start_date":"2016-10-18","description":"","custom_fields":[{"id":1,"name":"Subdivision","value":"EC"},{"id":4,"name":"Milepost","value":"23.3334"},{"id":17,"name":"Train ID","value":"121-18"},{"id":16,"name":"Locomotive ID","value":"4029"},{"id":130,"name":"Impact","value":""},{"id":150,"name":"Time of Event (Mountain Time)","value":"06:52:29"},{"id":151,"name":"Denver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476</v>
      </c>
      <c r="B34" s="7">
        <v>4030</v>
      </c>
      <c r="C34" s="22" t="s">
        <v>99</v>
      </c>
      <c r="D34" s="22" t="s">
        <v>653</v>
      </c>
      <c r="E34" s="13">
        <v>42661.294699074075</v>
      </c>
      <c r="F34" s="13">
        <v>42661.299467592595</v>
      </c>
      <c r="G34" s="7">
        <v>1</v>
      </c>
      <c r="H34" s="13" t="s">
        <v>182</v>
      </c>
      <c r="I34" s="13">
        <v>42661.326273148145</v>
      </c>
      <c r="J34" s="7">
        <v>0</v>
      </c>
      <c r="K34" s="112" t="str">
        <f t="shared" si="0"/>
        <v>4029/4030</v>
      </c>
      <c r="L34" s="22" t="str">
        <f>VLOOKUP(A34,'Trips&amp;Operators'!$C$1:$E$10000,3,FALSE)</f>
        <v>SPECTOR</v>
      </c>
      <c r="M34" s="6">
        <f t="shared" si="1"/>
        <v>2.6805555549799465E-2</v>
      </c>
      <c r="N34" s="7">
        <f t="shared" si="2"/>
        <v>38.599999991711229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8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06:04:22-0600',mode:absolute,to:'2016-10-18 08:49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4" s="52" t="str">
        <f t="shared" si="6"/>
        <v>N</v>
      </c>
      <c r="X34" s="174">
        <f t="shared" si="7"/>
        <v>1</v>
      </c>
      <c r="Y34" s="67">
        <f t="shared" si="8"/>
        <v>23.299199999999999</v>
      </c>
      <c r="Z34" s="67">
        <f t="shared" si="9"/>
        <v>1.41E-2</v>
      </c>
      <c r="AA34" s="67">
        <f t="shared" si="10"/>
        <v>23.2851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0122-18</v>
      </c>
      <c r="AE34" s="91" t="str">
        <f t="shared" si="12"/>
        <v>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 &amp; aws s3 cp s3://rtdc.mdm.uploadarchive.raw/RTDC4030/ "%USERPROFILE%\AppData\Local\Temp\OnboardLogs"\RTDC4030\2016-10-19 --exclude "*" --recursive --include "*20161019*" &amp; "%USERPROFILE%\Documents\GitHub\mrs-test-scripts\Headless Mode &amp; Sideloading\WalkAndUnGZ.bat" "%USERPROFILE%\AppData\Local\Temp\OnboardLogs"\RTDC4030\2016-10-19</v>
      </c>
      <c r="AF34" s="88" t="str">
        <f t="shared" si="13"/>
        <v>"C:\Program Files (x86)\AstroGrep\AstroGrep.exe" /spath="%USERPROFILE%\AppData\Local\Temp\OnboardLogs" /stypes="app*4030*20161018*"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122-18 --locoid 4030 --swversion DE.1.0.7.0 --startMP 204:232992 --initTime 2016-10-18T07:04:22 --startdatetime 2016-10-18T07:11:14 --delay 1 --endMP 204:141 --enddatetime 2016-10-18T07:49:50 --enforcementcount 0 &gt;&gt;C:\Users\stu\Documents\GitHub\eaglep3-reporting\EC\2016-10-18-refined-times.txt</v>
      </c>
      <c r="AI34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{"issue":{"subject":"","project_id":79,"tracker_id":40,"status_id":1,"priority_id":2,"assigned_to_id":23,"start_date":"2016-10-18","description":"","custom_fields":[{"id":1,"name":"Subdivision","value":"EC"},{"id":4,"name":"Milepost","value":"0.0141"},{"id":17,"name":"Train ID","value":"122-18"},{"id":16,"name":"Locomotive ID","value":"4030"},{"id":130,"name":"Impact","value":""},{"id":150,"name":"Time of Event (Mountain Time)","value":"07:49:50"},{"id":151,"name":"Denver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472</v>
      </c>
      <c r="B35" s="7">
        <v>4011</v>
      </c>
      <c r="C35" s="22" t="s">
        <v>99</v>
      </c>
      <c r="D35" s="22" t="s">
        <v>252</v>
      </c>
      <c r="E35" s="13">
        <v>42661.268368055556</v>
      </c>
      <c r="F35" s="13">
        <v>42661.271006944444</v>
      </c>
      <c r="G35" s="7">
        <v>1</v>
      </c>
      <c r="H35" s="13" t="s">
        <v>381</v>
      </c>
      <c r="I35" s="13">
        <v>42661.2971412037</v>
      </c>
      <c r="J35" s="7">
        <v>0</v>
      </c>
      <c r="K35" s="112" t="str">
        <f t="shared" si="0"/>
        <v>4011/4012</v>
      </c>
      <c r="L35" s="22" t="str">
        <f>VLOOKUP(A35,'Trips&amp;Operators'!$C$1:$E$10000,3,FALSE)</f>
        <v>DAVIS</v>
      </c>
      <c r="M35" s="6">
        <f t="shared" si="1"/>
        <v>2.6134259256650694E-2</v>
      </c>
      <c r="N35" s="7">
        <f t="shared" si="2"/>
        <v>37.633333329576999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8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05:26:27-0600',mode:absolute,to:'2016-10-18 08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5" s="52" t="str">
        <f t="shared" si="6"/>
        <v>N</v>
      </c>
      <c r="X35" s="174">
        <f t="shared" ref="X35:X38" si="19">VALUE(LEFT(AD35,4))-VALUE(LEFT(AD34,4))</f>
        <v>1</v>
      </c>
      <c r="Y35" s="67">
        <f t="shared" si="8"/>
        <v>4.5999999999999999E-2</v>
      </c>
      <c r="Z35" s="67">
        <f t="shared" si="9"/>
        <v>23.333400000000001</v>
      </c>
      <c r="AA35" s="67">
        <f t="shared" si="10"/>
        <v>23.287400000000002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0123-18</v>
      </c>
      <c r="AE35" s="91" t="str">
        <f t="shared" si="12"/>
        <v>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 &amp; 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</v>
      </c>
      <c r="AF35" s="88" t="str">
        <f t="shared" si="13"/>
        <v>"C:\Program Files (x86)\AstroGrep\AstroGrep.exe" /spath="%USERPROFILE%\AppData\Local\Temp\OnboardLogs" /stypes="app*4011*20161018*"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123-18 --locoid 4011 --swversion DE.1.0.7.0 --startMP 204:460 --initTime 2016-10-18T06:26:27 --startdatetime 2016-10-18T06:30:15 --delay 1 --endMP 204:233334 --enddatetime 2016-10-18T07:07:53 --enforcementcount 0 &gt;&gt;C:\Users\stu\Documents\GitHub\eaglep3-reporting\EC\2016-10-18-refined-times.txt</v>
      </c>
      <c r="AI35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{"issue":{"subject":"","project_id":79,"tracker_id":40,"status_id":1,"priority_id":2,"assigned_to_id":23,"start_date":"2016-10-18","description":"","custom_fields":[{"id":1,"name":"Subdivision","value":"EC"},{"id":4,"name":"Milepost","value":"23.3334"},{"id":17,"name":"Train ID","value":"123-18"},{"id":16,"name":"Locomotive ID","value":"4011"},{"id":130,"name":"Impact","value":""},{"id":150,"name":"Time of Event (Mountain Time)","value":"07:07:53"},{"id":151,"name":"Denver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480</v>
      </c>
      <c r="B36" s="7">
        <v>4012</v>
      </c>
      <c r="C36" s="22" t="s">
        <v>99</v>
      </c>
      <c r="D36" s="22" t="s">
        <v>654</v>
      </c>
      <c r="E36" s="13">
        <v>42661.304918981485</v>
      </c>
      <c r="F36" s="13">
        <v>42661.309861111113</v>
      </c>
      <c r="G36" s="7">
        <v>1</v>
      </c>
      <c r="H36" s="13" t="s">
        <v>227</v>
      </c>
      <c r="I36" s="13">
        <v>42661.337592592594</v>
      </c>
      <c r="J36" s="7">
        <v>0</v>
      </c>
      <c r="K36" s="112" t="str">
        <f t="shared" si="0"/>
        <v>4011/4012</v>
      </c>
      <c r="L36" s="22" t="str">
        <f>VLOOKUP(A36,'Trips&amp;Operators'!$C$1:$E$10000,3,FALSE)</f>
        <v>DAVIS</v>
      </c>
      <c r="M36" s="6">
        <f t="shared" si="1"/>
        <v>2.7731481481168885E-2</v>
      </c>
      <c r="N36" s="7">
        <f t="shared" si="2"/>
        <v>39.933333332883194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8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06:19:05-0600',mode:absolute,to:'2016-10-18 09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6" s="52" t="str">
        <f t="shared" si="6"/>
        <v>N</v>
      </c>
      <c r="X36" s="174">
        <f t="shared" si="19"/>
        <v>1</v>
      </c>
      <c r="Y36" s="67">
        <f t="shared" si="8"/>
        <v>23.3019</v>
      </c>
      <c r="Z36" s="67">
        <f t="shared" si="9"/>
        <v>1.4500000000000001E-2</v>
      </c>
      <c r="AA36" s="67">
        <f t="shared" si="10"/>
        <v>23.287399999999998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0124-18</v>
      </c>
      <c r="AE36" s="91" t="str">
        <f t="shared" si="12"/>
        <v>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 &amp; 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</v>
      </c>
      <c r="AF36" s="88" t="str">
        <f t="shared" si="13"/>
        <v>"C:\Program Files (x86)\AstroGrep\AstroGrep.exe" /spath="%USERPROFILE%\AppData\Local\Temp\OnboardLogs" /stypes="app*4012*20161018*"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124-18 --locoid 4012 --swversion DE.1.0.7.0 --startMP 204:233019 --initTime 2016-10-18T07:19:05 --startdatetime 2016-10-18T07:26:12 --delay 1 --endMP 204:145 --enddatetime 2016-10-18T08:06:08 --enforcementcount 0 &gt;&gt;C:\Users\stu\Documents\GitHub\eaglep3-reporting\EC\2016-10-18-refined-times.txt</v>
      </c>
      <c r="AI36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{"issue":{"subject":"","project_id":79,"tracker_id":40,"status_id":1,"priority_id":2,"assigned_to_id":23,"start_date":"2016-10-18","description":"","custom_fields":[{"id":1,"name":"Subdivision","value":"EC"},{"id":4,"name":"Milepost","value":"0.0145"},{"id":17,"name":"Train ID","value":"124-18"},{"id":16,"name":"Locomotive ID","value":"4012"},{"id":130,"name":"Impact","value":""},{"id":150,"name":"Time of Event (Mountain Time)","value":"08:06:08"},{"id":151,"name":"Denver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474</v>
      </c>
      <c r="B37" s="7">
        <v>4044</v>
      </c>
      <c r="C37" s="22" t="s">
        <v>99</v>
      </c>
      <c r="D37" s="22" t="s">
        <v>371</v>
      </c>
      <c r="E37" s="13">
        <v>42661.278043981481</v>
      </c>
      <c r="F37" s="13">
        <v>42661.281458333331</v>
      </c>
      <c r="G37" s="7">
        <v>1</v>
      </c>
      <c r="H37" s="13" t="s">
        <v>405</v>
      </c>
      <c r="I37" s="13">
        <v>42661.305520833332</v>
      </c>
      <c r="J37" s="7">
        <v>0</v>
      </c>
      <c r="K37" s="112" t="str">
        <f t="shared" si="0"/>
        <v>4043/4044</v>
      </c>
      <c r="L37" s="22" t="str">
        <f>VLOOKUP(A37,'Trips&amp;Operators'!$C$1:$E$10000,3,FALSE)</f>
        <v>GEBRETEKLE</v>
      </c>
      <c r="M37" s="6">
        <f t="shared" si="1"/>
        <v>2.4062500000582077E-2</v>
      </c>
      <c r="N37" s="7">
        <f t="shared" si="2"/>
        <v>34.65000000083819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8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05:40:23-0600',mode:absolute,to:'2016-10-18 08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7" s="52" t="str">
        <f t="shared" si="6"/>
        <v>N</v>
      </c>
      <c r="X37" s="174">
        <f t="shared" si="19"/>
        <v>1</v>
      </c>
      <c r="Y37" s="67">
        <f t="shared" si="8"/>
        <v>4.4200000000000003E-2</v>
      </c>
      <c r="Z37" s="67">
        <f t="shared" si="9"/>
        <v>23.328800000000001</v>
      </c>
      <c r="AA37" s="67">
        <f t="shared" si="10"/>
        <v>23.284600000000001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0125-18</v>
      </c>
      <c r="AE37" s="91" t="str">
        <f t="shared" si="12"/>
        <v>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 &amp; aws s3 cp s3://rtdc.mdm.uploadarchive.raw/RTDC4044/ "%USERPROFILE%\AppData\Local\Temp\OnboardLogs"\RTDC4044\2016-10-19 --exclude "*" --recursive --include "*20161019*" &amp; "%USERPROFILE%\Documents\GitHub\mrs-test-scripts\Headless Mode &amp; Sideloading\WalkAndUnGZ.bat" "%USERPROFILE%\AppData\Local\Temp\OnboardLogs"\RTDC4044\2016-10-19</v>
      </c>
      <c r="AF37" s="88" t="str">
        <f t="shared" si="13"/>
        <v>"C:\Program Files (x86)\AstroGrep\AstroGrep.exe" /spath="%USERPROFILE%\AppData\Local\Temp\OnboardLogs" /stypes="app*4044*20161018*"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125-18 --locoid 4044 --swversion DE.1.0.7.0 --startMP 204:442 --initTime 2016-10-18T06:40:23 --startdatetime 2016-10-18T06:45:18 --delay 1 --endMP 204:233288 --enddatetime 2016-10-18T07:19:57 --enforcementcount 0 &gt;&gt;C:\Users\stu\Documents\GitHub\eaglep3-reporting\EC\2016-10-18-refined-times.txt</v>
      </c>
      <c r="AI37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{"issue":{"subject":"","project_id":79,"tracker_id":40,"status_id":1,"priority_id":2,"assigned_to_id":23,"start_date":"2016-10-18","description":"","custom_fields":[{"id":1,"name":"Subdivision","value":"EC"},{"id":4,"name":"Milepost","value":"23.3288"},{"id":17,"name":"Train ID","value":"125-18"},{"id":16,"name":"Locomotive ID","value":"4044"},{"id":130,"name":"Impact","value":""},{"id":150,"name":"Time of Event (Mountain Time)","value":"07:19:57"},{"id":151,"name":"Denver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416</v>
      </c>
      <c r="B38" s="7">
        <v>4043</v>
      </c>
      <c r="C38" s="22" t="s">
        <v>99</v>
      </c>
      <c r="D38" s="22" t="s">
        <v>655</v>
      </c>
      <c r="E38" s="13">
        <v>42661.316388888888</v>
      </c>
      <c r="F38" s="13">
        <v>42661.320335648146</v>
      </c>
      <c r="G38" s="7">
        <v>1</v>
      </c>
      <c r="H38" s="13" t="s">
        <v>363</v>
      </c>
      <c r="I38" s="13">
        <v>42661.346238425926</v>
      </c>
      <c r="J38" s="7">
        <v>0</v>
      </c>
      <c r="K38" s="112" t="str">
        <f t="shared" si="0"/>
        <v>4043/4044</v>
      </c>
      <c r="L38" s="22" t="str">
        <f>VLOOKUP(A38,'Trips&amp;Operators'!$C$1:$E$10000,3,FALSE)</f>
        <v>GEBRETEKLE</v>
      </c>
      <c r="M38" s="6">
        <f t="shared" si="1"/>
        <v>2.5902777779265307E-2</v>
      </c>
      <c r="N38" s="7">
        <f t="shared" si="2"/>
        <v>37.300000002142042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8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06:35:36-0600',mode:absolute,to:'2016-10-18 09:18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8" s="52" t="str">
        <f t="shared" si="6"/>
        <v>N</v>
      </c>
      <c r="X38" s="174">
        <f t="shared" si="19"/>
        <v>1</v>
      </c>
      <c r="Y38" s="67">
        <f t="shared" si="8"/>
        <v>23.298400000000001</v>
      </c>
      <c r="Z38" s="67">
        <f t="shared" si="9"/>
        <v>1.9199999999999998E-2</v>
      </c>
      <c r="AA38" s="67">
        <f t="shared" si="10"/>
        <v>23.279199999999999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0126-18</v>
      </c>
      <c r="AE38" s="91" t="str">
        <f t="shared" si="12"/>
        <v>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 &amp; aws s3 cp s3://rtdc.mdm.uploadarchive.raw/RTDC4043/ "%USERPROFILE%\AppData\Local\Temp\OnboardLogs"\RTDC4043\2016-10-19 --exclude "*" --recursive --include "*20161019*" &amp; "%USERPROFILE%\Documents\GitHub\mrs-test-scripts\Headless Mode &amp; Sideloading\WalkAndUnGZ.bat" "%USERPROFILE%\AppData\Local\Temp\OnboardLogs"\RTDC4043\2016-10-19</v>
      </c>
      <c r="AF38" s="88" t="str">
        <f t="shared" si="13"/>
        <v>"C:\Program Files (x86)\AstroGrep\AstroGrep.exe" /spath="%USERPROFILE%\AppData\Local\Temp\OnboardLogs" /stypes="app*4043*20161018*"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126-18 --locoid 4043 --swversion DE.1.0.7.0 --startMP 204:232984 --initTime 2016-10-18T07:35:36 --startdatetime 2016-10-18T07:41:17 --delay 1 --endMP 204:192 --enddatetime 2016-10-18T08:18:35 --enforcementcount 0 &gt;&gt;C:\Users\stu\Documents\GitHub\eaglep3-reporting\EC\2016-10-18-refined-times.txt</v>
      </c>
      <c r="AI38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{"issue":{"subject":"","project_id":79,"tracker_id":40,"status_id":1,"priority_id":2,"assigned_to_id":23,"start_date":"2016-10-18","description":"","custom_fields":[{"id":1,"name":"Subdivision","value":"EC"},{"id":4,"name":"Milepost","value":"0.0192"},{"id":17,"name":"Train ID","value":"126-18"},{"id":16,"name":"Locomotive ID","value":"4043"},{"id":130,"name":"Impact","value":""},{"id":150,"name":"Time of Event (Mountain Time)","value":"08:18:35"},{"id":151,"name":"Denver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414</v>
      </c>
      <c r="B39" s="7">
        <v>4016</v>
      </c>
      <c r="C39" s="22" t="s">
        <v>99</v>
      </c>
      <c r="D39" s="22" t="s">
        <v>306</v>
      </c>
      <c r="E39" s="13">
        <v>42661.287407407406</v>
      </c>
      <c r="F39" s="13">
        <v>42661.291863425926</v>
      </c>
      <c r="G39" s="7">
        <v>1</v>
      </c>
      <c r="H39" s="13" t="s">
        <v>246</v>
      </c>
      <c r="I39" s="13">
        <v>42661.316620370373</v>
      </c>
      <c r="J39" s="7">
        <v>0</v>
      </c>
      <c r="K39" s="112" t="str">
        <f t="shared" si="0"/>
        <v>4015/4016</v>
      </c>
      <c r="L39" s="22" t="str">
        <f>VLOOKUP(A39,'Trips&amp;Operators'!$C$1:$E$10000,3,FALSE)</f>
        <v>KILLION</v>
      </c>
      <c r="M39" s="6">
        <f t="shared" si="1"/>
        <v>2.4756944447290152E-2</v>
      </c>
      <c r="N39" s="7">
        <f t="shared" si="2"/>
        <v>35.650000004097819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8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05:53:52-0600',mode:absolute,to:'2016-10-18 08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9" s="52" t="str">
        <f t="shared" si="6"/>
        <v>N</v>
      </c>
      <c r="X39" s="174">
        <f t="shared" ref="X39:X67" si="20">VALUE(LEFT(AD39,4))-VALUE(LEFT(AD38,4))</f>
        <v>1</v>
      </c>
      <c r="Y39" s="67">
        <f t="shared" si="8"/>
        <v>4.3299999999999998E-2</v>
      </c>
      <c r="Z39" s="67">
        <f t="shared" si="9"/>
        <v>23.329499999999999</v>
      </c>
      <c r="AA39" s="67">
        <f t="shared" si="10"/>
        <v>23.286200000000001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0127-18</v>
      </c>
      <c r="AE39" s="91" t="str">
        <f t="shared" si="12"/>
        <v>aws s3 cp s3://rtdc.mdm.uploadarchive.raw/RTDC4016/ "%USERPROFILE%\AppData\Local\Temp\OnboardLogs"\RTDC4016\2016-10-18 --exclude "*" --recursive --include "*20161018*" &amp; "%USERPROFILE%\Documents\GitHub\mrs-test-scripts\Headless Mode &amp; Sideloading\WalkAndUnGZ.bat" "%USERPROFILE%\AppData\Local\Temp\OnboardLogs"\RTDC4016\2016-10-18 &amp; aws s3 cp s3://rtdc.mdm.uploadarchive.raw/RTDC4016/ "%USERPROFILE%\AppData\Local\Temp\OnboardLogs"\RTDC4016\2016-10-19 --exclude "*" --recursive --include "*20161019*" &amp; "%USERPROFILE%\Documents\GitHub\mrs-test-scripts\Headless Mode &amp; Sideloading\WalkAndUnGZ.bat" "%USERPROFILE%\AppData\Local\Temp\OnboardLogs"\RTDC4016\2016-10-19</v>
      </c>
      <c r="AF39" s="88" t="str">
        <f t="shared" si="13"/>
        <v>"C:\Program Files (x86)\AstroGrep\AstroGrep.exe" /spath="%USERPROFILE%\AppData\Local\Temp\OnboardLogs" /stypes="app*4016*20161018*"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127-18 --locoid 4016 --swversion DE.1.0.7.0 --startMP 204:433 --initTime 2016-10-18T06:53:52 --startdatetime 2016-10-18T07:00:17 --delay 1 --endMP 204:233295 --enddatetime 2016-10-18T07:35:56 --enforcementcount 0 &gt;&gt;C:\Users\stu\Documents\GitHub\eaglep3-reporting\EC\2016-10-18-refined-times.txt</v>
      </c>
      <c r="AI39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{"issue":{"subject":"","project_id":79,"tracker_id":40,"status_id":1,"priority_id":2,"assigned_to_id":23,"start_date":"2016-10-18","description":"","custom_fields":[{"id":1,"name":"Subdivision","value":"EC"},{"id":4,"name":"Milepost","value":"23.3295"},{"id":17,"name":"Train ID","value":"127-18"},{"id":16,"name":"Locomotive ID","value":"4016"},{"id":130,"name":"Impact","value":""},{"id":150,"name":"Time of Event (Mountain Time)","value":"07:35:56"},{"id":151,"name":"Denver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484</v>
      </c>
      <c r="B40" s="7">
        <v>4015</v>
      </c>
      <c r="C40" s="22" t="s">
        <v>99</v>
      </c>
      <c r="D40" s="22" t="s">
        <v>322</v>
      </c>
      <c r="E40" s="13">
        <v>42661.322175925925</v>
      </c>
      <c r="F40" s="13">
        <v>42661.330740740741</v>
      </c>
      <c r="G40" s="7">
        <v>1</v>
      </c>
      <c r="H40" s="13" t="s">
        <v>323</v>
      </c>
      <c r="I40" s="13">
        <v>42661.369791666664</v>
      </c>
      <c r="J40" s="7">
        <v>0</v>
      </c>
      <c r="K40" s="112" t="str">
        <f t="shared" si="0"/>
        <v>4015/4016</v>
      </c>
      <c r="L40" s="22" t="str">
        <f>VLOOKUP(A40,'Trips&amp;Operators'!$C$1:$E$10000,3,FALSE)</f>
        <v>KILLION</v>
      </c>
      <c r="M40" s="6">
        <f t="shared" si="1"/>
        <v>3.9050925923220348E-2</v>
      </c>
      <c r="N40" s="7">
        <f t="shared" si="2"/>
        <v>56.233333329437301</v>
      </c>
      <c r="O40" s="7"/>
      <c r="P40" s="7"/>
      <c r="Q40" s="23"/>
      <c r="R40" s="23" t="s">
        <v>786</v>
      </c>
      <c r="S40" s="35">
        <f t="shared" si="3"/>
        <v>1</v>
      </c>
      <c r="T40" s="50" t="str">
        <f t="shared" si="4"/>
        <v>Southbound</v>
      </c>
      <c r="U40" s="18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06:43:56-0600',mode:absolute,to:'2016-10-18 09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0" s="52" t="str">
        <f t="shared" si="6"/>
        <v>N</v>
      </c>
      <c r="X40" s="174">
        <f t="shared" si="20"/>
        <v>1</v>
      </c>
      <c r="Y40" s="67">
        <f t="shared" si="8"/>
        <v>23.298100000000002</v>
      </c>
      <c r="Z40" s="67">
        <f t="shared" si="9"/>
        <v>0.1186</v>
      </c>
      <c r="AA40" s="67">
        <f t="shared" si="10"/>
        <v>23.179500000000001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0128-18</v>
      </c>
      <c r="AE40" s="91" t="str">
        <f t="shared" si="12"/>
        <v>aws s3 cp s3://rtdc.mdm.uploadarchive.raw/RTDC4015/ "%USERPROFILE%\AppData\Local\Temp\OnboardLogs"\RTDC4015\2016-10-18 --exclude "*" --recursive --include "*20161018*" &amp; "%USERPROFILE%\Documents\GitHub\mrs-test-scripts\Headless Mode &amp; Sideloading\WalkAndUnGZ.bat" "%USERPROFILE%\AppData\Local\Temp\OnboardLogs"\RTDC4015\2016-10-18 &amp; aws s3 cp s3://rtdc.mdm.uploadarchive.raw/RTDC4015/ "%USERPROFILE%\AppData\Local\Temp\OnboardLogs"\RTDC4015\2016-10-19 --exclude "*" --recursive --include "*20161019*" &amp; "%USERPROFILE%\Documents\GitHub\mrs-test-scripts\Headless Mode &amp; Sideloading\WalkAndUnGZ.bat" "%USERPROFILE%\AppData\Local\Temp\OnboardLogs"\RTDC4015\2016-10-19</v>
      </c>
      <c r="AF40" s="88" t="str">
        <f t="shared" si="13"/>
        <v>"C:\Program Files (x86)\AstroGrep\AstroGrep.exe" /spath="%USERPROFILE%\AppData\Local\Temp\OnboardLogs" /stypes="app*4015*20161018*"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128-18 --locoid 4015 --swversion DE.1.0.7.0 --startMP 204:232981 --initTime 2016-10-18T07:43:56 --startdatetime 2016-10-18T07:56:16 --delay 1 --endMP 204:1186 --enddatetime 2016-10-18T08:52:30 --enforcementcount 0 &gt;&gt;C:\Users\stu\Documents\GitHub\eaglep3-reporting\EC\2016-10-18-refined-times.txt</v>
      </c>
      <c r="AI40" s="122" t="str">
        <f t="shared" si="18"/>
        <v>echo {"issue":{"subject":"Delayed at 40th 4S - CP 61st reset?","project_id":79,"tracker_id":40,"status_id":1,"priority_id":2,"assigned_to_id":23,"start_date":"2016-10-18","description":"","custom_fields":[{"id":1,"name":"Subdivision","value":"EC"},{"id":4,"name":"Milepost","value":"0.1186"},{"id":17,"name":"Train ID","value":"128-18"},{"id":16,"name":"Locomotive ID","value":"4015"},{"id":130,"name":"Impact","value":""},{"id":150,"name":"Time of Event (Mountain Time)","value":"08:52:30"},{"id":151,"name":"Denver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478</v>
      </c>
      <c r="B41" s="7">
        <v>4031</v>
      </c>
      <c r="C41" s="22" t="s">
        <v>99</v>
      </c>
      <c r="D41" s="22" t="s">
        <v>228</v>
      </c>
      <c r="E41" s="13">
        <v>42661.29923611111</v>
      </c>
      <c r="F41" s="13">
        <v>42661.302395833336</v>
      </c>
      <c r="G41" s="7">
        <v>4</v>
      </c>
      <c r="H41" s="13" t="s">
        <v>646</v>
      </c>
      <c r="I41" s="13">
        <v>42661.32708333333</v>
      </c>
      <c r="J41" s="7">
        <v>0</v>
      </c>
      <c r="K41" s="112" t="str">
        <f t="shared" si="0"/>
        <v>4031/4032</v>
      </c>
      <c r="L41" s="22" t="str">
        <f>VLOOKUP(A41,'Trips&amp;Operators'!$C$1:$E$10000,3,FALSE)</f>
        <v>ROCHA</v>
      </c>
      <c r="M41" s="6">
        <f t="shared" si="1"/>
        <v>2.4687499993888196E-2</v>
      </c>
      <c r="N41" s="7">
        <f t="shared" si="2"/>
        <v>35.549999991199002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8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06:10:54-0600',mode:absolute,to:'2016-10-18 08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1" s="52" t="str">
        <f t="shared" si="6"/>
        <v>N</v>
      </c>
      <c r="X41" s="174">
        <f t="shared" si="20"/>
        <v>1</v>
      </c>
      <c r="Y41" s="67">
        <f t="shared" si="8"/>
        <v>4.58E-2</v>
      </c>
      <c r="Z41" s="67">
        <f t="shared" si="9"/>
        <v>23.330300000000001</v>
      </c>
      <c r="AA41" s="67">
        <f t="shared" si="10"/>
        <v>23.284500000000001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0129-18</v>
      </c>
      <c r="AE41" s="91" t="str">
        <f t="shared" si="12"/>
        <v>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 &amp; 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</v>
      </c>
      <c r="AF41" s="88" t="str">
        <f t="shared" si="13"/>
        <v>"C:\Program Files (x86)\AstroGrep\AstroGrep.exe" /spath="%USERPROFILE%\AppData\Local\Temp\OnboardLogs" /stypes="app*4031*20161018*"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129-18 --locoid 4031 --swversion DE.1.0.7.0 --startMP 204:458 --initTime 2016-10-18T07:10:54 --startdatetime 2016-10-18T07:15:27 --delay 4 --endMP 204:233303 --enddatetime 2016-10-18T07:51:00 --enforcementcount 0 &gt;&gt;C:\Users\stu\Documents\GitHub\eaglep3-reporting\EC\2016-10-18-refined-times.txt</v>
      </c>
      <c r="AI41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{"issue":{"subject":"","project_id":79,"tracker_id":40,"status_id":1,"priority_id":2,"assigned_to_id":23,"start_date":"2016-10-18","description":"","custom_fields":[{"id":1,"name":"Subdivision","value":"EC"},{"id":4,"name":"Milepost","value":"23.3303"},{"id":17,"name":"Train ID","value":"129-18"},{"id":16,"name":"Locomotive ID","value":"4031"},{"id":130,"name":"Impact","value":""},{"id":150,"name":"Time of Event (Mountain Time)","value":"07:51:00"},{"id":151,"name":"Denver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417</v>
      </c>
      <c r="B42" s="7">
        <v>4032</v>
      </c>
      <c r="C42" s="22" t="s">
        <v>99</v>
      </c>
      <c r="D42" s="22" t="s">
        <v>373</v>
      </c>
      <c r="E42" s="13">
        <v>42661.335358796299</v>
      </c>
      <c r="F42" s="13">
        <v>42661.341180555559</v>
      </c>
      <c r="G42" s="7">
        <v>2</v>
      </c>
      <c r="H42" s="13" t="s">
        <v>226</v>
      </c>
      <c r="I42" s="13">
        <v>42661.375115740739</v>
      </c>
      <c r="J42" s="7">
        <v>0</v>
      </c>
      <c r="K42" s="112" t="str">
        <f t="shared" si="0"/>
        <v>4031/4032</v>
      </c>
      <c r="L42" s="22" t="str">
        <f>VLOOKUP(A42,'Trips&amp;Operators'!$C$1:$E$10000,3,FALSE)</f>
        <v>ROCHA</v>
      </c>
      <c r="M42" s="6">
        <f t="shared" si="1"/>
        <v>3.3935185179871041E-2</v>
      </c>
      <c r="N42" s="7">
        <f t="shared" si="2"/>
        <v>48.8666666590143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8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07:02:55-0600',mode:absolute,to:'2016-10-18 10:00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2" s="52" t="str">
        <f t="shared" si="6"/>
        <v>N</v>
      </c>
      <c r="X42" s="174">
        <f t="shared" si="20"/>
        <v>1</v>
      </c>
      <c r="Y42" s="67">
        <f t="shared" si="8"/>
        <v>23.2986</v>
      </c>
      <c r="Z42" s="67">
        <f t="shared" si="9"/>
        <v>1.54E-2</v>
      </c>
      <c r="AA42" s="67">
        <f t="shared" si="10"/>
        <v>23.283200000000001</v>
      </c>
      <c r="AB42" s="64" t="str">
        <f>VLOOKUP(A42,Enforcements!$C$7:$K$21,8,0)</f>
        <v>Speed (6)</v>
      </c>
      <c r="AC42" s="60" t="str">
        <f>VLOOKUP(A42,Enforcements!$C$7:$E$21,3,0)</f>
        <v>PERMANENT SPEED RESTRICTION</v>
      </c>
      <c r="AD42" s="61" t="str">
        <f t="shared" si="11"/>
        <v>0130-18</v>
      </c>
      <c r="AE42" s="91" t="str">
        <f t="shared" si="12"/>
        <v>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 &amp; 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</v>
      </c>
      <c r="AF42" s="88" t="str">
        <f t="shared" si="13"/>
        <v>"C:\Program Files (x86)\AstroGrep\AstroGrep.exe" /spath="%USERPROFILE%\AppData\Local\Temp\OnboardLogs" /stypes="app*4032*20161018*"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130-18 --locoid 4032 --swversion DE.1.0.7.0 --startMP 204:232986 --initTime 2016-10-18T08:02:55 --startdatetime 2016-10-18T08:11:18 --delay 2 --endMP 204:154 --enddatetime 2016-10-18T09:00:10 --enforcementcount 0 &gt;&gt;C:\Users\stu\Documents\GitHub\eaglep3-reporting\EC\2016-10-18-refined-times.txt</v>
      </c>
      <c r="AI42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{"issue":{"subject":"","project_id":79,"tracker_id":40,"status_id":1,"priority_id":2,"assigned_to_id":23,"start_date":"2016-10-18","description":"","custom_fields":[{"id":1,"name":"Subdivision","value":"EC"},{"id":4,"name":"Milepost","value":"0.0154"},{"id":17,"name":"Train ID","value":"130-18"},{"id":16,"name":"Locomotive ID","value":"4032"},{"id":130,"name":"Impact","value":""},{"id":150,"name":"Time of Event (Mountain Time)","value":"09:00:10"},{"id":151,"name":"Denver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481</v>
      </c>
      <c r="B43" s="7">
        <v>4040</v>
      </c>
      <c r="C43" s="22" t="s">
        <v>99</v>
      </c>
      <c r="D43" s="22" t="s">
        <v>245</v>
      </c>
      <c r="E43" s="13">
        <v>42661.309710648151</v>
      </c>
      <c r="F43" s="13">
        <v>42661.3127662037</v>
      </c>
      <c r="G43" s="7">
        <v>2</v>
      </c>
      <c r="H43" s="13" t="s">
        <v>255</v>
      </c>
      <c r="I43" s="13">
        <v>42661.337557870371</v>
      </c>
      <c r="J43" s="7">
        <v>0</v>
      </c>
      <c r="K43" s="112" t="str">
        <f t="shared" si="0"/>
        <v>4039/4040</v>
      </c>
      <c r="L43" s="22" t="str">
        <f>VLOOKUP(A43,'Trips&amp;Operators'!$C$1:$E$10000,3,FALSE)</f>
        <v>ACKERMAN</v>
      </c>
      <c r="M43" s="6">
        <f t="shared" si="1"/>
        <v>2.4791666670353152E-2</v>
      </c>
      <c r="N43" s="7">
        <f t="shared" si="2"/>
        <v>35.700000005308539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8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06:25:59-0600',mode:absolute,to:'2016-10-18 09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3" s="52" t="str">
        <f t="shared" si="6"/>
        <v>N</v>
      </c>
      <c r="X43" s="174">
        <f t="shared" si="20"/>
        <v>1</v>
      </c>
      <c r="Y43" s="67">
        <f t="shared" si="8"/>
        <v>4.6600000000000003E-2</v>
      </c>
      <c r="Z43" s="67">
        <f t="shared" si="9"/>
        <v>23.3291</v>
      </c>
      <c r="AA43" s="67">
        <f t="shared" si="10"/>
        <v>23.282499999999999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0131-18</v>
      </c>
      <c r="AE43" s="91" t="str">
        <f t="shared" si="12"/>
        <v>aws s3 cp s3://rtdc.mdm.uploadarchive.raw/RTDC4040/ "%USERPROFILE%\AppData\Local\Temp\OnboardLogs"\RTDC4040\2016-10-18 --exclude "*" --recursive --include "*20161018*" &amp; "%USERPROFILE%\Documents\GitHub\mrs-test-scripts\Headless Mode &amp; Sideloading\WalkAndUnGZ.bat" "%USERPROFILE%\AppData\Local\Temp\OnboardLogs"\RTDC4040\2016-10-18 &amp; aws s3 cp s3://rtdc.mdm.uploadarchive.raw/RTDC4040/ "%USERPROFILE%\AppData\Local\Temp\OnboardLogs"\RTDC4040\2016-10-19 --exclude "*" --recursive --include "*20161019*" &amp; "%USERPROFILE%\Documents\GitHub\mrs-test-scripts\Headless Mode &amp; Sideloading\WalkAndUnGZ.bat" "%USERPROFILE%\AppData\Local\Temp\OnboardLogs"\RTDC4040\2016-10-19</v>
      </c>
      <c r="AF43" s="88" t="str">
        <f t="shared" si="13"/>
        <v>"C:\Program Files (x86)\AstroGrep\AstroGrep.exe" /spath="%USERPROFILE%\AppData\Local\Temp\OnboardLogs" /stypes="app*4040*20161018*"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131-18 --locoid 4040 --swversion DE.1.0.7.0 --startMP 204:466 --initTime 2016-10-18T07:25:59 --startdatetime 2016-10-18T07:30:23 --delay 2 --endMP 204:233291 --enddatetime 2016-10-18T08:06:05 --enforcementcount 0 &gt;&gt;C:\Users\stu\Documents\GitHub\eaglep3-reporting\EC\2016-10-18-refined-times.txt</v>
      </c>
      <c r="AI43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{"issue":{"subject":"","project_id":79,"tracker_id":40,"status_id":1,"priority_id":2,"assigned_to_id":23,"start_date":"2016-10-18","description":"","custom_fields":[{"id":1,"name":"Subdivision","value":"EC"},{"id":4,"name":"Milepost","value":"23.3291"},{"id":17,"name":"Train ID","value":"131-18"},{"id":16,"name":"Locomotive ID","value":"4040"},{"id":130,"name":"Impact","value":""},{"id":150,"name":"Time of Event (Mountain Time)","value":"08:06:05"},{"id":151,"name":"Denver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488</v>
      </c>
      <c r="B44" s="7">
        <v>4039</v>
      </c>
      <c r="C44" s="22" t="s">
        <v>99</v>
      </c>
      <c r="D44" s="22" t="s">
        <v>276</v>
      </c>
      <c r="E44" s="13">
        <v>42661.345034722224</v>
      </c>
      <c r="F44" s="13">
        <v>42661.351620370369</v>
      </c>
      <c r="G44" s="7">
        <v>1</v>
      </c>
      <c r="H44" s="13" t="s">
        <v>365</v>
      </c>
      <c r="I44" s="13">
        <v>42661.381157407406</v>
      </c>
      <c r="J44" s="7">
        <v>0</v>
      </c>
      <c r="K44" s="112" t="str">
        <f t="shared" si="0"/>
        <v>4039/4040</v>
      </c>
      <c r="L44" s="22" t="str">
        <f>VLOOKUP(A44,'Trips&amp;Operators'!$C$1:$E$10000,3,FALSE)</f>
        <v>ACKERMAN</v>
      </c>
      <c r="M44" s="6">
        <f t="shared" si="1"/>
        <v>2.9537037036789116E-2</v>
      </c>
      <c r="N44" s="7">
        <f t="shared" si="2"/>
        <v>42.533333332976326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8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07:16:51-0600',mode:absolute,to:'2016-10-18 10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4" s="52" t="str">
        <f t="shared" si="6"/>
        <v>N</v>
      </c>
      <c r="X44" s="174">
        <f t="shared" si="20"/>
        <v>1</v>
      </c>
      <c r="Y44" s="67">
        <f t="shared" si="8"/>
        <v>23.297699999999999</v>
      </c>
      <c r="Z44" s="67">
        <f t="shared" si="9"/>
        <v>1.5800000000000002E-2</v>
      </c>
      <c r="AA44" s="67">
        <f t="shared" si="10"/>
        <v>23.2819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0132-18</v>
      </c>
      <c r="AE44" s="91" t="str">
        <f t="shared" si="12"/>
        <v>aws s3 cp s3://rtdc.mdm.uploadarchive.raw/RTDC4039/ "%USERPROFILE%\AppData\Local\Temp\OnboardLogs"\RTDC4039\2016-10-18 --exclude "*" --recursive --include "*20161018*" &amp; "%USERPROFILE%\Documents\GitHub\mrs-test-scripts\Headless Mode &amp; Sideloading\WalkAndUnGZ.bat" "%USERPROFILE%\AppData\Local\Temp\OnboardLogs"\RTDC4039\2016-10-18 &amp; 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</v>
      </c>
      <c r="AF44" s="88" t="str">
        <f t="shared" si="13"/>
        <v>"C:\Program Files (x86)\AstroGrep\AstroGrep.exe" /spath="%USERPROFILE%\AppData\Local\Temp\OnboardLogs" /stypes="app*4039*20161018*"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132-18 --locoid 4039 --swversion DE.1.0.7.0 --startMP 204:232977 --initTime 2016-10-18T08:16:51 --startdatetime 2016-10-18T08:26:20 --delay 1 --endMP 204:158 --enddatetime 2016-10-18T09:08:52 --enforcementcount 0 &gt;&gt;C:\Users\stu\Documents\GitHub\eaglep3-reporting\EC\2016-10-18-refined-times.txt</v>
      </c>
      <c r="AI44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{"issue":{"subject":"","project_id":79,"tracker_id":40,"status_id":1,"priority_id":2,"assigned_to_id":23,"start_date":"2016-10-18","description":"","custom_fields":[{"id":1,"name":"Subdivision","value":"EC"},{"id":4,"name":"Milepost","value":"0.0158"},{"id":17,"name":"Train ID","value":"132-18"},{"id":16,"name":"Locomotive ID","value":"4039"},{"id":130,"name":"Impact","value":""},{"id":150,"name":"Time of Event (Mountain Time)","value":"09:08:52"},{"id":151,"name":"Denver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483</v>
      </c>
      <c r="B45" s="7">
        <v>4018</v>
      </c>
      <c r="C45" s="22" t="s">
        <v>99</v>
      </c>
      <c r="D45" s="22" t="s">
        <v>656</v>
      </c>
      <c r="E45" s="13">
        <v>42661.351365740738</v>
      </c>
      <c r="F45" s="13">
        <v>42661.352048611108</v>
      </c>
      <c r="G45" s="7">
        <v>0</v>
      </c>
      <c r="H45" s="13" t="s">
        <v>295</v>
      </c>
      <c r="I45" s="13">
        <v>42661.361701388887</v>
      </c>
      <c r="J45" s="7">
        <v>0</v>
      </c>
      <c r="K45" s="112" t="str">
        <f t="shared" si="0"/>
        <v>4017/4018</v>
      </c>
      <c r="L45" s="22" t="str">
        <f>VLOOKUP(A45,'Trips&amp;Operators'!$C$1:$E$10000,3,FALSE)</f>
        <v>BRANNON</v>
      </c>
      <c r="M45" s="6">
        <f t="shared" si="1"/>
        <v>9.6527777786832303E-3</v>
      </c>
      <c r="N45" s="7"/>
      <c r="O45" s="7"/>
      <c r="P45" s="7">
        <f>24*60*SUM($M45:$M46)</f>
        <v>49.383333331206813</v>
      </c>
      <c r="Q45" s="23"/>
      <c r="R45" s="23" t="s">
        <v>785</v>
      </c>
      <c r="S45" s="35">
        <f>SUM(U45:U46)/IF(AG45="EC",12,1)</f>
        <v>0.91666666666666663</v>
      </c>
      <c r="T45" s="50" t="str">
        <f t="shared" si="4"/>
        <v>NorthBound</v>
      </c>
      <c r="U45" s="18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0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07:25:58-0600',mode:absolute,to:'2016-10-18 09:40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5" s="52" t="str">
        <f t="shared" si="6"/>
        <v>Y</v>
      </c>
      <c r="X45" s="174">
        <f t="shared" si="20"/>
        <v>1</v>
      </c>
      <c r="Y45" s="67">
        <f t="shared" si="8"/>
        <v>12.8278</v>
      </c>
      <c r="Z45" s="67">
        <f t="shared" si="9"/>
        <v>23.330500000000001</v>
      </c>
      <c r="AA45" s="67">
        <f t="shared" si="10"/>
        <v>10.502700000000001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0133-18</v>
      </c>
      <c r="AE45" s="91" t="str">
        <f t="shared" si="12"/>
        <v>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 &amp; aws s3 cp s3://rtdc.mdm.uploadarchive.raw/RTDC4018/ "%USERPROFILE%\AppData\Local\Temp\OnboardLogs"\RTDC4018\2016-10-19 --exclude "*" --recursive --include "*20161019*" &amp; "%USERPROFILE%\Documents\GitHub\mrs-test-scripts\Headless Mode &amp; Sideloading\WalkAndUnGZ.bat" "%USERPROFILE%\AppData\Local\Temp\OnboardLogs"\RTDC4018\2016-10-19</v>
      </c>
      <c r="AF45" s="88" t="str">
        <f t="shared" si="13"/>
        <v>"C:\Program Files (x86)\AstroGrep\AstroGrep.exe" /spath="%USERPROFILE%\AppData\Local\Temp\OnboardLogs" /stypes="app*4018*20161018*" /stext=" 14:.+((SYSTEM_STATE.+slice.+state.+changed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133-18 --locoid 4018 --swversion DE.1.0.7.0 --startMP 204:128278 --initTime 2016-10-18T08:25:58 --startdatetime 2016-10-18T08:26:57 --delay 0 --endMP 204:233305 --enddatetime 2016-10-18T08:40:51 --enforcementcount 0 &gt;&gt;C:\Users\stu\Documents\GitHub\eaglep3-reporting\EC\2016-10-18-refined-times.txt</v>
      </c>
      <c r="AI45" s="122" t="str">
        <f t="shared" si="18"/>
        <v>echo {"issue":{"subject":"Chambers 2N stuck at STOP - related to CP 61st reset?","project_id":79,"tracker_id":40,"status_id":1,"priority_id":2,"assigned_to_id":23,"start_date":"2016-10-18","description":"Starting 08:05:17.608, clear requests were sent. 2N didn't clear until 08:30:54.829. Anything wrong happened here?","custom_fields":[{"id":1,"name":"Subdivision","value":"EC"},{"id":4,"name":"Milepost","value":"23.3305"},{"id":17,"name":"Train ID","value":"133-18"},{"id":16,"name":"Locomotive ID","value":"4018"},{"id":130,"name":"Impact","value":"Unexpected Cut-Out or Disengaged"},{"id":150,"name":"Time of Event (Mountain Time)","value":"08:40:51"},{"id":151,"name":"Denver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45" s="53" t="s">
        <v>783</v>
      </c>
      <c r="AK45" s="53" t="s">
        <v>132</v>
      </c>
      <c r="AL45" s="53" t="s">
        <v>131</v>
      </c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483</v>
      </c>
      <c r="B46" s="7">
        <v>4018</v>
      </c>
      <c r="C46" s="22" t="s">
        <v>99</v>
      </c>
      <c r="D46" s="22" t="s">
        <v>243</v>
      </c>
      <c r="E46" s="13">
        <v>42661.318564814814</v>
      </c>
      <c r="F46" s="13">
        <v>42661.319513888891</v>
      </c>
      <c r="G46" s="7">
        <v>1</v>
      </c>
      <c r="H46" s="13" t="s">
        <v>657</v>
      </c>
      <c r="I46" s="13">
        <v>42661.344155092593</v>
      </c>
      <c r="J46" s="7">
        <v>0</v>
      </c>
      <c r="K46" s="112" t="str">
        <f t="shared" si="0"/>
        <v>4017/4018</v>
      </c>
      <c r="L46" s="22" t="str">
        <f>VLOOKUP(A46,'Trips&amp;Operators'!$C$1:$E$10000,3,FALSE)</f>
        <v>BRANNON</v>
      </c>
      <c r="M46" s="6">
        <f t="shared" si="1"/>
        <v>2.4641203701321501E-2</v>
      </c>
      <c r="N46" s="7"/>
      <c r="O46" s="7"/>
      <c r="P46" s="7"/>
      <c r="Q46" s="23"/>
      <c r="R46" s="23"/>
      <c r="S46" s="35"/>
      <c r="T46" s="50" t="str">
        <f t="shared" si="4"/>
        <v>NorthBound</v>
      </c>
      <c r="U46" s="18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11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06:38:44-0600',mode:absolute,to:'2016-10-18 09:15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6" s="52" t="str">
        <f t="shared" si="6"/>
        <v>Y</v>
      </c>
      <c r="X46" s="174">
        <f t="shared" si="20"/>
        <v>0</v>
      </c>
      <c r="Y46" s="67">
        <f t="shared" si="8"/>
        <v>4.5699999999999998E-2</v>
      </c>
      <c r="Z46" s="67">
        <f t="shared" si="9"/>
        <v>10.6669</v>
      </c>
      <c r="AA46" s="67">
        <f t="shared" si="10"/>
        <v>10.6212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0133-18</v>
      </c>
      <c r="AE46" s="91" t="str">
        <f t="shared" si="12"/>
        <v>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 &amp; aws s3 cp s3://rtdc.mdm.uploadarchive.raw/RTDC4018/ "%USERPROFILE%\AppData\Local\Temp\OnboardLogs"\RTDC4018\2016-10-19 --exclude "*" --recursive --include "*20161019*" &amp; "%USERPROFILE%\Documents\GitHub\mrs-test-scripts\Headless Mode &amp; Sideloading\WalkAndUnGZ.bat" "%USERPROFILE%\AppData\Local\Temp\OnboardLogs"\RTDC4018\2016-10-19</v>
      </c>
      <c r="AF46" s="88" t="str">
        <f t="shared" si="13"/>
        <v>"C:\Program Files (x86)\AstroGrep\AstroGrep.exe" /spath="%USERPROFILE%\AppData\Local\Temp\OnboardLogs" /stypes="app*4018*20161018*" /stext=" 14:.+((SYSTEM_STATE.+slice.+state.+changed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133-18 --locoid 4018 --swversion DE.1.0.7.0 --startMP 204:457 --initTime 2016-10-18T07:38:44 --startdatetime 2016-10-18T07:40:06 --delay 1 --endMP 204:106669 --enddatetime 2016-10-18T08:15:35 --enforcementcount 0 &gt;&gt;C:\Users\stu\Documents\GitHub\eaglep3-reporting\EC\2016-10-18-refined-times.txt</v>
      </c>
      <c r="AI46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{"issue":{"subject":"","project_id":79,"tracker_id":40,"status_id":1,"priority_id":2,"assigned_to_id":23,"start_date":"2016-10-18","description":"","custom_fields":[{"id":1,"name":"Subdivision","value":"EC"},{"id":4,"name":"Milepost","value":"10.6669"},{"id":17,"name":"Train ID","value":"133-18"},{"id":16,"name":"Locomotive ID","value":"4018"},{"id":130,"name":"Impact","value":""},{"id":150,"name":"Time of Event (Mountain Time)","value":"08:15:35"},{"id":151,"name":"Denver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493</v>
      </c>
      <c r="B47" s="7">
        <v>4017</v>
      </c>
      <c r="C47" s="22" t="s">
        <v>99</v>
      </c>
      <c r="D47" s="22" t="s">
        <v>379</v>
      </c>
      <c r="E47" s="13">
        <v>42661.366724537038</v>
      </c>
      <c r="F47" s="13">
        <v>42661.368842592594</v>
      </c>
      <c r="G47" s="7">
        <v>1</v>
      </c>
      <c r="H47" s="13" t="s">
        <v>227</v>
      </c>
      <c r="I47" s="13">
        <v>42661.396620370368</v>
      </c>
      <c r="J47" s="7">
        <v>0</v>
      </c>
      <c r="K47" s="112" t="str">
        <f t="shared" si="0"/>
        <v>4017/4018</v>
      </c>
      <c r="L47" s="22" t="str">
        <f>VLOOKUP(A47,'Trips&amp;Operators'!$C$1:$E$10000,3,FALSE)</f>
        <v>BRANNON</v>
      </c>
      <c r="M47" s="6">
        <f t="shared" si="1"/>
        <v>2.7777777773735579E-2</v>
      </c>
      <c r="N47" s="7">
        <f t="shared" ref="N47:N56" si="21">24*60*SUM($M47:$M47)</f>
        <v>39.999999994179234</v>
      </c>
      <c r="O47" s="7"/>
      <c r="P47" s="7"/>
      <c r="Q47" s="23"/>
      <c r="R47" s="23"/>
      <c r="S47" s="35">
        <f t="shared" ref="S47:S78" si="22">SUM(U47:U47)/IF(AG47="EC",12,1)</f>
        <v>1</v>
      </c>
      <c r="T47" s="50" t="str">
        <f t="shared" si="4"/>
        <v>Southbound</v>
      </c>
      <c r="U47" s="18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07:48:05-0600',mode:absolute,to:'2016-10-18 10:31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7" s="52" t="str">
        <f t="shared" si="6"/>
        <v>N</v>
      </c>
      <c r="X47" s="174">
        <f t="shared" si="20"/>
        <v>1</v>
      </c>
      <c r="Y47" s="67">
        <f t="shared" si="8"/>
        <v>23.298999999999999</v>
      </c>
      <c r="Z47" s="67">
        <f t="shared" si="9"/>
        <v>1.4500000000000001E-2</v>
      </c>
      <c r="AA47" s="67">
        <f t="shared" si="10"/>
        <v>23.284499999999998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0134-18</v>
      </c>
      <c r="AE47" s="91" t="str">
        <f t="shared" si="12"/>
        <v>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 &amp; aws s3 cp s3://rtdc.mdm.uploadarchive.raw/RTDC4017/ "%USERPROFILE%\AppData\Local\Temp\OnboardLogs"\RTDC4017\2016-10-19 --exclude "*" --recursive --include "*20161019*" &amp; "%USERPROFILE%\Documents\GitHub\mrs-test-scripts\Headless Mode &amp; Sideloading\WalkAndUnGZ.bat" "%USERPROFILE%\AppData\Local\Temp\OnboardLogs"\RTDC4017\2016-10-19</v>
      </c>
      <c r="AF47" s="88" t="str">
        <f t="shared" si="13"/>
        <v>"C:\Program Files (x86)\AstroGrep\AstroGrep.exe" /spath="%USERPROFILE%\AppData\Local\Temp\OnboardLogs" /stypes="app*4017*20161018*"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134-18 --locoid 4017 --swversion DE.1.0.7.0 --startMP 204:232990 --initTime 2016-10-18T08:48:05 --startdatetime 2016-10-18T08:51:08 --delay 1 --endMP 204:145 --enddatetime 2016-10-18T09:31:08 --enforcementcount 0 &gt;&gt;C:\Users\stu\Documents\GitHub\eaglep3-reporting\EC\2016-10-18-refined-times.txt</v>
      </c>
      <c r="AI47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{"issue":{"subject":"","project_id":79,"tracker_id":40,"status_id":1,"priority_id":2,"assigned_to_id":23,"start_date":"2016-10-18","description":"","custom_fields":[{"id":1,"name":"Subdivision","value":"EC"},{"id":4,"name":"Milepost","value":"0.0145"},{"id":17,"name":"Train ID","value":"134-18"},{"id":16,"name":"Locomotive ID","value":"4017"},{"id":130,"name":"Impact","value":""},{"id":150,"name":"Time of Event (Mountain Time)","value":"09:31:08"},{"id":151,"name":"Denver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29" customFormat="1" x14ac:dyDescent="0.25">
      <c r="A48" s="37" t="s">
        <v>418</v>
      </c>
      <c r="B48" s="7">
        <v>4029</v>
      </c>
      <c r="C48" s="22" t="s">
        <v>99</v>
      </c>
      <c r="D48" s="22" t="s">
        <v>368</v>
      </c>
      <c r="E48" s="13">
        <v>42661.329409722224</v>
      </c>
      <c r="F48" s="13">
        <v>42661.333506944444</v>
      </c>
      <c r="G48" s="7">
        <v>1</v>
      </c>
      <c r="H48" s="13" t="s">
        <v>658</v>
      </c>
      <c r="I48" s="13">
        <v>42661.36859953704</v>
      </c>
      <c r="J48" s="7">
        <v>0</v>
      </c>
      <c r="K48" s="112" t="str">
        <f t="shared" si="0"/>
        <v>4029/4030</v>
      </c>
      <c r="L48" s="22" t="str">
        <f>VLOOKUP(A48,'Trips&amp;Operators'!$C$1:$E$10000,3,FALSE)</f>
        <v>SPECTOR</v>
      </c>
      <c r="M48" s="6">
        <f t="shared" si="1"/>
        <v>3.5092592595901806E-2</v>
      </c>
      <c r="N48" s="7">
        <f t="shared" si="21"/>
        <v>50.533333338098601</v>
      </c>
      <c r="O48" s="7"/>
      <c r="P48" s="7"/>
      <c r="Q48" s="23"/>
      <c r="R48" s="23" t="s">
        <v>787</v>
      </c>
      <c r="S48" s="35">
        <f t="shared" si="22"/>
        <v>1</v>
      </c>
      <c r="T48" s="50" t="str">
        <f t="shared" si="4"/>
        <v>NorthBound</v>
      </c>
      <c r="U48" s="18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06:54:21-0600',mode:absolute,to:'2016-10-18 09:50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8" s="52" t="str">
        <f t="shared" si="6"/>
        <v>N</v>
      </c>
      <c r="X48" s="174">
        <f t="shared" si="20"/>
        <v>1</v>
      </c>
      <c r="Y48" s="67">
        <f t="shared" si="8"/>
        <v>4.3499999999999997E-2</v>
      </c>
      <c r="Z48" s="67">
        <f t="shared" si="9"/>
        <v>23.332899999999999</v>
      </c>
      <c r="AA48" s="67">
        <f t="shared" si="10"/>
        <v>23.289399999999997</v>
      </c>
      <c r="AB48" s="64" t="str">
        <f>VLOOKUP(A48,Enforcements!$C$7:$K$21,8,0)</f>
        <v>Speed (6)</v>
      </c>
      <c r="AC48" s="60" t="str">
        <f>VLOOKUP(A48,Enforcements!$C$7:$E$21,3,0)</f>
        <v>PERMANENT SPEED RESTRICTION</v>
      </c>
      <c r="AD48" s="61" t="str">
        <f t="shared" si="11"/>
        <v>0135-18</v>
      </c>
      <c r="AE48" s="91" t="str">
        <f t="shared" si="12"/>
        <v>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 &amp; 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</v>
      </c>
      <c r="AF48" s="88" t="str">
        <f t="shared" si="13"/>
        <v>"C:\Program Files (x86)\AstroGrep\AstroGrep.exe" /spath="%USERPROFILE%\AppData\Local\Temp\OnboardLogs" /stypes="app*4029*20161018*" /stext=" 14:.+((SYSTEM_STATE.+slice.+state.+changed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135-18 --locoid 4029 --swversion DE.1.0.7.0 --startMP 204:435 --initTime 2016-10-18T07:54:21 --startdatetime 2016-10-18T08:00:15 --delay 1 --endMP 204:233329 --enddatetime 2016-10-18T08:50:47 --enforcementcount 0 &gt;&gt;C:\Users\stu\Documents\GitHub\eaglep3-reporting\EC\2016-10-18-refined-times.txt</v>
      </c>
      <c r="AI48" s="122" t="str">
        <f t="shared" si="18"/>
        <v>echo {"issue":{"subject":"Delayed at CP 61st","project_id":79,"tracker_id":40,"status_id":1,"priority_id":2,"assigned_to_id":23,"start_date":"2016-10-18","description":"","custom_fields":[{"id":1,"name":"Subdivision","value":"EC"},{"id":4,"name":"Milepost","value":"23.3329"},{"id":17,"name":"Train ID","value":"135-18"},{"id":16,"name":"Locomotive ID","value":"4029"},{"id":130,"name":"Impact","value":""},{"id":150,"name":"Time of Event (Mountain Time)","value":"08:50:47"},{"id":151,"name":"Denver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29" customFormat="1" x14ac:dyDescent="0.25">
      <c r="A49" s="37" t="s">
        <v>494</v>
      </c>
      <c r="B49" s="7">
        <v>4030</v>
      </c>
      <c r="C49" s="22" t="s">
        <v>99</v>
      </c>
      <c r="D49" s="22" t="s">
        <v>659</v>
      </c>
      <c r="E49" s="13">
        <v>42661.373796296299</v>
      </c>
      <c r="F49" s="13">
        <v>42661.375671296293</v>
      </c>
      <c r="G49" s="7">
        <v>1</v>
      </c>
      <c r="H49" s="13" t="s">
        <v>320</v>
      </c>
      <c r="I49" s="13">
        <v>42661.401122685187</v>
      </c>
      <c r="J49" s="7">
        <v>0</v>
      </c>
      <c r="K49" s="112" t="str">
        <f t="shared" si="0"/>
        <v>4029/4030</v>
      </c>
      <c r="L49" s="22" t="str">
        <f>VLOOKUP(A49,'Trips&amp;Operators'!$C$1:$E$10000,3,FALSE)</f>
        <v>SPECTOR</v>
      </c>
      <c r="M49" s="6">
        <f t="shared" si="1"/>
        <v>2.5451388893998228E-2</v>
      </c>
      <c r="N49" s="7">
        <f t="shared" si="21"/>
        <v>36.650000007357448</v>
      </c>
      <c r="O49" s="7"/>
      <c r="P49" s="7"/>
      <c r="Q49" s="23"/>
      <c r="R49" s="23"/>
      <c r="S49" s="35">
        <f t="shared" si="22"/>
        <v>1</v>
      </c>
      <c r="T49" s="50" t="str">
        <f t="shared" si="4"/>
        <v>Southbound</v>
      </c>
      <c r="U49" s="18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07:58:16-0600',mode:absolute,to:'2016-10-18 10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9" s="52" t="str">
        <f t="shared" si="6"/>
        <v>N</v>
      </c>
      <c r="X49" s="174">
        <f t="shared" si="20"/>
        <v>1</v>
      </c>
      <c r="Y49" s="67">
        <f t="shared" si="8"/>
        <v>23.300599999999999</v>
      </c>
      <c r="Z49" s="67">
        <f t="shared" si="9"/>
        <v>1.6500000000000001E-2</v>
      </c>
      <c r="AA49" s="67">
        <f t="shared" si="10"/>
        <v>23.284099999999999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0136-18</v>
      </c>
      <c r="AE49" s="91" t="str">
        <f t="shared" si="12"/>
        <v>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 &amp; aws s3 cp s3://rtdc.mdm.uploadarchive.raw/RTDC4030/ "%USERPROFILE%\AppData\Local\Temp\OnboardLogs"\RTDC4030\2016-10-19 --exclude "*" --recursive --include "*20161019*" &amp; "%USERPROFILE%\Documents\GitHub\mrs-test-scripts\Headless Mode &amp; Sideloading\WalkAndUnGZ.bat" "%USERPROFILE%\AppData\Local\Temp\OnboardLogs"\RTDC4030\2016-10-19</v>
      </c>
      <c r="AF49" s="88" t="str">
        <f t="shared" si="13"/>
        <v>"C:\Program Files (x86)\AstroGrep\AstroGrep.exe" /spath="%USERPROFILE%\AppData\Local\Temp\OnboardLogs" /stypes="app*4030*20161018*"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136-18 --locoid 4030 --swversion DE.1.0.7.0 --startMP 204:233006 --initTime 2016-10-18T08:58:16 --startdatetime 2016-10-18T09:00:58 --delay 1 --endMP 204:165 --enddatetime 2016-10-18T09:37:37 --enforcementcount 0 &gt;&gt;C:\Users\stu\Documents\GitHub\eaglep3-reporting\EC\2016-10-18-refined-times.txt</v>
      </c>
      <c r="AI49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{"issue":{"subject":"","project_id":79,"tracker_id":40,"status_id":1,"priority_id":2,"assigned_to_id":23,"start_date":"2016-10-18","description":"","custom_fields":[{"id":1,"name":"Subdivision","value":"EC"},{"id":4,"name":"Milepost","value":"0.0165"},{"id":17,"name":"Train ID","value":"136-18"},{"id":16,"name":"Locomotive ID","value":"4030"},{"id":130,"name":"Impact","value":""},{"id":150,"name":"Time of Event (Mountain Time)","value":"09:37:37"},{"id":151,"name":"Denver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486</v>
      </c>
      <c r="B50" s="7">
        <v>4011</v>
      </c>
      <c r="C50" s="22" t="s">
        <v>99</v>
      </c>
      <c r="D50" s="22" t="s">
        <v>245</v>
      </c>
      <c r="E50" s="13">
        <v>42661.339062500003</v>
      </c>
      <c r="F50" s="13">
        <v>42661.344259259262</v>
      </c>
      <c r="G50" s="7">
        <v>1</v>
      </c>
      <c r="H50" s="13" t="s">
        <v>334</v>
      </c>
      <c r="I50" s="13">
        <v>42661.372615740744</v>
      </c>
      <c r="J50" s="7">
        <v>0</v>
      </c>
      <c r="K50" s="112" t="str">
        <f t="shared" si="0"/>
        <v>4011/4012</v>
      </c>
      <c r="L50" s="22" t="str">
        <f>VLOOKUP(A50,'Trips&amp;Operators'!$C$1:$E$10000,3,FALSE)</f>
        <v>DAVIS</v>
      </c>
      <c r="M50" s="6">
        <f t="shared" si="1"/>
        <v>2.8356481481750961E-2</v>
      </c>
      <c r="N50" s="7">
        <f t="shared" si="21"/>
        <v>40.833333333721384</v>
      </c>
      <c r="O50" s="7"/>
      <c r="P50" s="7"/>
      <c r="Q50" s="23"/>
      <c r="R50" s="23"/>
      <c r="S50" s="35">
        <f t="shared" si="22"/>
        <v>1</v>
      </c>
      <c r="T50" s="50" t="str">
        <f t="shared" si="4"/>
        <v>NorthBound</v>
      </c>
      <c r="U50" s="18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07:08:15-0600',mode:absolute,to:'2016-10-18 09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0" s="52" t="str">
        <f t="shared" si="6"/>
        <v>N</v>
      </c>
      <c r="X50" s="174">
        <f t="shared" si="20"/>
        <v>1</v>
      </c>
      <c r="Y50" s="67">
        <f t="shared" si="8"/>
        <v>4.6600000000000003E-2</v>
      </c>
      <c r="Z50" s="67">
        <f t="shared" si="9"/>
        <v>23.3309</v>
      </c>
      <c r="AA50" s="67">
        <f t="shared" si="10"/>
        <v>23.284299999999998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0137-18</v>
      </c>
      <c r="AE50" s="91" t="str">
        <f t="shared" si="12"/>
        <v>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 &amp; 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</v>
      </c>
      <c r="AF50" s="88" t="str">
        <f t="shared" si="13"/>
        <v>"C:\Program Files (x86)\AstroGrep\AstroGrep.exe" /spath="%USERPROFILE%\AppData\Local\Temp\OnboardLogs" /stypes="app*4011*20161018*" /stext=" 14:.+((SYSTEM_STATE.+slice.+state.+changed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137-18 --locoid 4011 --swversion DE.1.0.7.0 --startMP 204:466 --initTime 2016-10-18T08:08:15 --startdatetime 2016-10-18T08:15:44 --delay 1 --endMP 204:233309 --enddatetime 2016-10-18T08:56:34 --enforcementcount 0 &gt;&gt;C:\Users\stu\Documents\GitHub\eaglep3-reporting\EC\2016-10-18-refined-times.txt</v>
      </c>
      <c r="AI50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{"issue":{"subject":"","project_id":79,"tracker_id":40,"status_id":1,"priority_id":2,"assigned_to_id":23,"start_date":"2016-10-18","description":"","custom_fields":[{"id":1,"name":"Subdivision","value":"EC"},{"id":4,"name":"Milepost","value":"23.3309"},{"id":17,"name":"Train ID","value":"137-18"},{"id":16,"name":"Locomotive ID","value":"4011"},{"id":130,"name":"Impact","value":""},{"id":150,"name":"Time of Event (Mountain Time)","value":"08:56:34"},{"id":151,"name":"Denver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419</v>
      </c>
      <c r="B51" s="7">
        <v>4012</v>
      </c>
      <c r="C51" s="22" t="s">
        <v>99</v>
      </c>
      <c r="D51" s="22" t="s">
        <v>377</v>
      </c>
      <c r="E51" s="13">
        <v>42661.380208333336</v>
      </c>
      <c r="F51" s="13">
        <v>42661.3828125</v>
      </c>
      <c r="G51" s="7">
        <v>1</v>
      </c>
      <c r="H51" s="13" t="s">
        <v>660</v>
      </c>
      <c r="I51" s="13">
        <v>42661.412974537037</v>
      </c>
      <c r="J51" s="7">
        <v>0</v>
      </c>
      <c r="K51" s="112" t="str">
        <f t="shared" si="0"/>
        <v>4011/4012</v>
      </c>
      <c r="L51" s="22" t="str">
        <f>VLOOKUP(A51,'Trips&amp;Operators'!$C$1:$E$10000,3,FALSE)</f>
        <v>DAVIS</v>
      </c>
      <c r="M51" s="6">
        <f t="shared" si="1"/>
        <v>3.0162037037371192E-2</v>
      </c>
      <c r="N51" s="7">
        <f t="shared" si="21"/>
        <v>43.433333333814517</v>
      </c>
      <c r="O51" s="7"/>
      <c r="P51" s="7"/>
      <c r="Q51" s="23"/>
      <c r="R51" s="23"/>
      <c r="S51" s="35">
        <f t="shared" si="22"/>
        <v>1</v>
      </c>
      <c r="T51" s="50" t="str">
        <f t="shared" si="4"/>
        <v>Southbound</v>
      </c>
      <c r="U51" s="18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08:07:30-0600',mode:absolute,to:'2016-10-18 10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1" s="52" t="str">
        <f t="shared" si="6"/>
        <v>N</v>
      </c>
      <c r="X51" s="174">
        <f t="shared" si="20"/>
        <v>1</v>
      </c>
      <c r="Y51" s="67">
        <f t="shared" si="8"/>
        <v>23.297499999999999</v>
      </c>
      <c r="Z51" s="67">
        <f t="shared" si="9"/>
        <v>2.1100000000000001E-2</v>
      </c>
      <c r="AA51" s="67">
        <f t="shared" si="10"/>
        <v>23.276399999999999</v>
      </c>
      <c r="AB51" s="64" t="str">
        <f>VLOOKUP(A51,Enforcements!$C$7:$K$21,8,0)</f>
        <v>Bulletin (2)</v>
      </c>
      <c r="AC51" s="60" t="str">
        <f>VLOOKUP(A51,Enforcements!$C$7:$E$21,3,0)</f>
        <v>GRADE CROSSING</v>
      </c>
      <c r="AD51" s="61" t="str">
        <f t="shared" si="11"/>
        <v>0138-18</v>
      </c>
      <c r="AE51" s="91" t="str">
        <f t="shared" si="12"/>
        <v>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 &amp; 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</v>
      </c>
      <c r="AF51" s="88" t="str">
        <f t="shared" si="13"/>
        <v>"C:\Program Files (x86)\AstroGrep\AstroGrep.exe" /spath="%USERPROFILE%\AppData\Local\Temp\OnboardLogs" /stypes="app*4012*20161018*"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138-18 --locoid 4012 --swversion DE.1.0.7.0 --startMP 204:232975 --initTime 2016-10-18T09:07:30 --startdatetime 2016-10-18T09:11:15 --delay 1 --endMP 204:211 --enddatetime 2016-10-18T09:54:41 --enforcementcount 0 &gt;&gt;C:\Users\stu\Documents\GitHub\eaglep3-reporting\EC\2016-10-18-refined-times.txt</v>
      </c>
      <c r="AI51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{"issue":{"subject":"","project_id":79,"tracker_id":40,"status_id":1,"priority_id":2,"assigned_to_id":23,"start_date":"2016-10-18","description":"","custom_fields":[{"id":1,"name":"Subdivision","value":"EC"},{"id":4,"name":"Milepost","value":"0.0211"},{"id":17,"name":"Train ID","value":"138-18"},{"id":16,"name":"Locomotive ID","value":"4012"},{"id":130,"name":"Impact","value":""},{"id":150,"name":"Time of Event (Mountain Time)","value":"09:54:41"},{"id":151,"name":"Denver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489</v>
      </c>
      <c r="B52" s="7">
        <v>4044</v>
      </c>
      <c r="C52" s="22" t="s">
        <v>99</v>
      </c>
      <c r="D52" s="22" t="s">
        <v>661</v>
      </c>
      <c r="E52" s="13">
        <v>42661.350023148145</v>
      </c>
      <c r="F52" s="13">
        <v>42661.354421296295</v>
      </c>
      <c r="G52" s="7">
        <v>1</v>
      </c>
      <c r="H52" s="13" t="s">
        <v>246</v>
      </c>
      <c r="I52" s="13">
        <v>42661.382268518515</v>
      </c>
      <c r="J52" s="7">
        <v>0</v>
      </c>
      <c r="K52" s="112" t="str">
        <f t="shared" si="0"/>
        <v>4043/4044</v>
      </c>
      <c r="L52" s="22" t="str">
        <f>VLOOKUP(A52,'Trips&amp;Operators'!$C$1:$E$10000,3,FALSE)</f>
        <v>GEBRETEKLE</v>
      </c>
      <c r="M52" s="6">
        <f t="shared" si="1"/>
        <v>2.7847222219861578E-2</v>
      </c>
      <c r="N52" s="7">
        <f t="shared" si="21"/>
        <v>40.099999996600673</v>
      </c>
      <c r="O52" s="7"/>
      <c r="P52" s="7"/>
      <c r="Q52" s="23"/>
      <c r="R52" s="23"/>
      <c r="S52" s="35">
        <f t="shared" si="22"/>
        <v>1</v>
      </c>
      <c r="T52" s="50" t="str">
        <f t="shared" si="4"/>
        <v>NorthBound</v>
      </c>
      <c r="U52" s="18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07:24:02-0600',mode:absolute,to:'2016-10-18 10:10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2" s="52" t="str">
        <f t="shared" si="6"/>
        <v>N</v>
      </c>
      <c r="X52" s="174">
        <f t="shared" si="20"/>
        <v>1</v>
      </c>
      <c r="Y52" s="67">
        <f t="shared" si="8"/>
        <v>4.9799999999999997E-2</v>
      </c>
      <c r="Z52" s="67">
        <f t="shared" si="9"/>
        <v>23.329499999999999</v>
      </c>
      <c r="AA52" s="67">
        <f t="shared" si="10"/>
        <v>23.279699999999998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0139-18</v>
      </c>
      <c r="AE52" s="91" t="str">
        <f t="shared" si="12"/>
        <v>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 &amp; aws s3 cp s3://rtdc.mdm.uploadarchive.raw/RTDC4044/ "%USERPROFILE%\AppData\Local\Temp\OnboardLogs"\RTDC4044\2016-10-19 --exclude "*" --recursive --include "*20161019*" &amp; "%USERPROFILE%\Documents\GitHub\mrs-test-scripts\Headless Mode &amp; Sideloading\WalkAndUnGZ.bat" "%USERPROFILE%\AppData\Local\Temp\OnboardLogs"\RTDC4044\2016-10-19</v>
      </c>
      <c r="AF52" s="88" t="str">
        <f t="shared" si="13"/>
        <v>"C:\Program Files (x86)\AstroGrep\AstroGrep.exe" /spath="%USERPROFILE%\AppData\Local\Temp\OnboardLogs" /stypes="app*4044*20161018*" /stext=" 15:.+((SYSTEM_STATE.+slice.+state.+changed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139-18 --locoid 4044 --swversion DE.1.0.7.0 --startMP 204:498 --initTime 2016-10-18T08:24:02 --startdatetime 2016-10-18T08:30:22 --delay 1 --endMP 204:233295 --enddatetime 2016-10-18T09:10:28 --enforcementcount 0 &gt;&gt;C:\Users\stu\Documents\GitHub\eaglep3-reporting\EC\2016-10-18-refined-times.txt</v>
      </c>
      <c r="AI52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{"issue":{"subject":"","project_id":79,"tracker_id":40,"status_id":1,"priority_id":2,"assigned_to_id":23,"start_date":"2016-10-18","description":"","custom_fields":[{"id":1,"name":"Subdivision","value":"EC"},{"id":4,"name":"Milepost","value":"23.3295"},{"id":17,"name":"Train ID","value":"139-18"},{"id":16,"name":"Locomotive ID","value":"4044"},{"id":130,"name":"Impact","value":""},{"id":150,"name":"Time of Event (Mountain Time)","value":"09:10:28"},{"id":151,"name":"Denver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499</v>
      </c>
      <c r="B53" s="7">
        <v>4043</v>
      </c>
      <c r="C53" s="22" t="s">
        <v>99</v>
      </c>
      <c r="D53" s="22" t="s">
        <v>362</v>
      </c>
      <c r="E53" s="13">
        <v>42661.389270833337</v>
      </c>
      <c r="F53" s="13">
        <v>42661.39335648148</v>
      </c>
      <c r="G53" s="7">
        <v>1</v>
      </c>
      <c r="H53" s="13" t="s">
        <v>662</v>
      </c>
      <c r="I53" s="13">
        <v>42661.419606481482</v>
      </c>
      <c r="J53" s="7">
        <v>0</v>
      </c>
      <c r="K53" s="112" t="str">
        <f t="shared" si="0"/>
        <v>4043/4044</v>
      </c>
      <c r="L53" s="22" t="str">
        <f>VLOOKUP(A53,'Trips&amp;Operators'!$C$1:$E$10000,3,FALSE)</f>
        <v>GEBRETEKLE</v>
      </c>
      <c r="M53" s="6">
        <f t="shared" si="1"/>
        <v>2.6250000002619345E-2</v>
      </c>
      <c r="N53" s="7">
        <f t="shared" si="21"/>
        <v>37.800000003771856</v>
      </c>
      <c r="O53" s="7"/>
      <c r="P53" s="7"/>
      <c r="Q53" s="23"/>
      <c r="R53" s="23"/>
      <c r="S53" s="35">
        <f t="shared" si="22"/>
        <v>1</v>
      </c>
      <c r="T53" s="50" t="str">
        <f t="shared" si="4"/>
        <v>Southbound</v>
      </c>
      <c r="U53" s="18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08:20:33-0600',mode:absolute,to:'2016-10-18 11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3" s="52" t="str">
        <f t="shared" si="6"/>
        <v>N</v>
      </c>
      <c r="X53" s="174">
        <f t="shared" si="20"/>
        <v>1</v>
      </c>
      <c r="Y53" s="67">
        <f t="shared" si="8"/>
        <v>23.2974</v>
      </c>
      <c r="Z53" s="67">
        <f t="shared" si="9"/>
        <v>1.8100000000000002E-2</v>
      </c>
      <c r="AA53" s="67">
        <f t="shared" si="10"/>
        <v>23.279299999999999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0140-18</v>
      </c>
      <c r="AE53" s="91" t="str">
        <f t="shared" si="12"/>
        <v>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 &amp; aws s3 cp s3://rtdc.mdm.uploadarchive.raw/RTDC4043/ "%USERPROFILE%\AppData\Local\Temp\OnboardLogs"\RTDC4043\2016-10-19 --exclude "*" --recursive --include "*20161019*" &amp; "%USERPROFILE%\Documents\GitHub\mrs-test-scripts\Headless Mode &amp; Sideloading\WalkAndUnGZ.bat" "%USERPROFILE%\AppData\Local\Temp\OnboardLogs"\RTDC4043\2016-10-19</v>
      </c>
      <c r="AF53" s="88" t="str">
        <f t="shared" si="13"/>
        <v>"C:\Program Files (x86)\AstroGrep\AstroGrep.exe" /spath="%USERPROFILE%\AppData\Local\Temp\OnboardLogs" /stypes="app*4043*20161018*"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140-18 --locoid 4043 --swversion DE.1.0.7.0 --startMP 204:232974 --initTime 2016-10-18T09:20:33 --startdatetime 2016-10-18T09:26:26 --delay 1 --endMP 204:181 --enddatetime 2016-10-18T10:04:14 --enforcementcount 0 &gt;&gt;C:\Users\stu\Documents\GitHub\eaglep3-reporting\EC\2016-10-18-refined-times.txt</v>
      </c>
      <c r="AI53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{"issue":{"subject":"","project_id":79,"tracker_id":40,"status_id":1,"priority_id":2,"assigned_to_id":23,"start_date":"2016-10-18","description":"","custom_fields":[{"id":1,"name":"Subdivision","value":"EC"},{"id":4,"name":"Milepost","value":"0.0181"},{"id":17,"name":"Train ID","value":"140-18"},{"id":16,"name":"Locomotive ID","value":"4043"},{"id":130,"name":"Impact","value":""},{"id":150,"name":"Time of Event (Mountain Time)","value":"10:04:14"},{"id":151,"name":"Denver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492</v>
      </c>
      <c r="B54" s="7">
        <v>4025</v>
      </c>
      <c r="C54" s="22" t="s">
        <v>99</v>
      </c>
      <c r="D54" s="22" t="s">
        <v>238</v>
      </c>
      <c r="E54" s="13">
        <v>42661.364259259259</v>
      </c>
      <c r="F54" s="13">
        <v>42661.365613425929</v>
      </c>
      <c r="G54" s="7">
        <v>1</v>
      </c>
      <c r="H54" s="13" t="s">
        <v>334</v>
      </c>
      <c r="I54" s="13">
        <v>42661.392650462964</v>
      </c>
      <c r="J54" s="7">
        <v>0</v>
      </c>
      <c r="K54" s="112" t="str">
        <f t="shared" si="0"/>
        <v>4025/4026</v>
      </c>
      <c r="L54" s="22" t="str">
        <f>VLOOKUP(A54,'Trips&amp;Operators'!$C$1:$E$10000,3,FALSE)</f>
        <v>GRASTON</v>
      </c>
      <c r="M54" s="6">
        <f t="shared" si="1"/>
        <v>2.7037037034460809E-2</v>
      </c>
      <c r="N54" s="7">
        <f t="shared" si="21"/>
        <v>38.933333329623565</v>
      </c>
      <c r="O54" s="7"/>
      <c r="P54" s="7"/>
      <c r="Q54" s="23"/>
      <c r="R54" s="23"/>
      <c r="S54" s="35">
        <f t="shared" si="22"/>
        <v>1</v>
      </c>
      <c r="T54" s="50" t="str">
        <f t="shared" si="4"/>
        <v>NorthBound</v>
      </c>
      <c r="U54" s="18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07:44:32-0600',mode:absolute,to:'2016-10-18 10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4" s="52" t="str">
        <f t="shared" si="6"/>
        <v>N</v>
      </c>
      <c r="X54" s="174">
        <f t="shared" si="20"/>
        <v>1</v>
      </c>
      <c r="Y54" s="67">
        <f t="shared" si="8"/>
        <v>4.5499999999999999E-2</v>
      </c>
      <c r="Z54" s="67">
        <f t="shared" si="9"/>
        <v>23.3309</v>
      </c>
      <c r="AA54" s="67">
        <f t="shared" si="10"/>
        <v>23.285399999999999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0141-18</v>
      </c>
      <c r="AE54" s="91" t="str">
        <f t="shared" si="12"/>
        <v>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 &amp; 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</v>
      </c>
      <c r="AF54" s="88" t="str">
        <f t="shared" si="13"/>
        <v>"C:\Program Files (x86)\AstroGrep\AstroGrep.exe" /spath="%USERPROFILE%\AppData\Local\Temp\OnboardLogs" /stypes="app*4025*20161018*" /stext=" 15:.+((SYSTEM_STATE.+slice.+state.+changed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141-18 --locoid 4025 --swversion DE.1.0.7.0 --startMP 204:455 --initTime 2016-10-18T08:44:32 --startdatetime 2016-10-18T08:46:29 --delay 1 --endMP 204:233309 --enddatetime 2016-10-18T09:25:25 --enforcementcount 0 &gt;&gt;C:\Users\stu\Documents\GitHub\eaglep3-reporting\EC\2016-10-18-refined-times.txt</v>
      </c>
      <c r="AI54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{"issue":{"subject":"","project_id":79,"tracker_id":40,"status_id":1,"priority_id":2,"assigned_to_id":23,"start_date":"2016-10-18","description":"","custom_fields":[{"id":1,"name":"Subdivision","value":"EC"},{"id":4,"name":"Milepost","value":"23.3309"},{"id":17,"name":"Train ID","value":"141-18"},{"id":16,"name":"Locomotive ID","value":"4025"},{"id":130,"name":"Impact","value":""},{"id":150,"name":"Time of Event (Mountain Time)","value":"09:25:25"},{"id":151,"name":"Denver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500</v>
      </c>
      <c r="B55" s="7">
        <v>4026</v>
      </c>
      <c r="C55" s="22" t="s">
        <v>99</v>
      </c>
      <c r="D55" s="22" t="s">
        <v>283</v>
      </c>
      <c r="E55" s="13">
        <v>42661.394930555558</v>
      </c>
      <c r="F55" s="13">
        <v>42661.403715277775</v>
      </c>
      <c r="G55" s="7">
        <v>1</v>
      </c>
      <c r="H55" s="13" t="s">
        <v>176</v>
      </c>
      <c r="I55" s="13">
        <v>42661.43037037037</v>
      </c>
      <c r="J55" s="7">
        <v>0</v>
      </c>
      <c r="K55" s="112" t="str">
        <f t="shared" si="0"/>
        <v>4025/4026</v>
      </c>
      <c r="L55" s="22" t="str">
        <f>VLOOKUP(A55,'Trips&amp;Operators'!$C$1:$E$10000,3,FALSE)</f>
        <v>GRASTON</v>
      </c>
      <c r="M55" s="6">
        <f t="shared" si="1"/>
        <v>2.6655092595319729E-2</v>
      </c>
      <c r="N55" s="7">
        <f t="shared" si="21"/>
        <v>38.38333333726041</v>
      </c>
      <c r="O55" s="7"/>
      <c r="P55" s="7"/>
      <c r="Q55" s="23"/>
      <c r="R55" s="23"/>
      <c r="S55" s="35">
        <f t="shared" si="22"/>
        <v>1</v>
      </c>
      <c r="T55" s="50" t="str">
        <f t="shared" si="4"/>
        <v>Southbound</v>
      </c>
      <c r="U55" s="18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08:28:42-0600',mode:absolute,to:'2016-10-18 11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5" s="52" t="str">
        <f t="shared" si="6"/>
        <v>N</v>
      </c>
      <c r="X55" s="174">
        <f t="shared" si="20"/>
        <v>1</v>
      </c>
      <c r="Y55" s="67">
        <f t="shared" si="8"/>
        <v>23.2971</v>
      </c>
      <c r="Z55" s="67">
        <f t="shared" si="9"/>
        <v>1.47E-2</v>
      </c>
      <c r="AA55" s="67">
        <f t="shared" si="10"/>
        <v>23.282399999999999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0142-18</v>
      </c>
      <c r="AE55" s="91" t="str">
        <f t="shared" si="12"/>
        <v>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 &amp; 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</v>
      </c>
      <c r="AF55" s="88" t="str">
        <f t="shared" si="13"/>
        <v>"C:\Program Files (x86)\AstroGrep\AstroGrep.exe" /spath="%USERPROFILE%\AppData\Local\Temp\OnboardLogs" /stypes="app*4026*20161018*"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142-18 --locoid 4026 --swversion DE.1.0.7.0 --startMP 204:232971 --initTime 2016-10-18T09:28:42 --startdatetime 2016-10-18T09:41:21 --delay 1 --endMP 204:147 --enddatetime 2016-10-18T10:19:44 --enforcementcount 0 &gt;&gt;C:\Users\stu\Documents\GitHub\eaglep3-reporting\EC\2016-10-18-refined-times.txt</v>
      </c>
      <c r="AI55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{"issue":{"subject":"","project_id":79,"tracker_id":40,"status_id":1,"priority_id":2,"assigned_to_id":23,"start_date":"2016-10-18","description":"","custom_fields":[{"id":1,"name":"Subdivision","value":"EC"},{"id":4,"name":"Milepost","value":"0.0147"},{"id":17,"name":"Train ID","value":"142-18"},{"id":16,"name":"Locomotive ID","value":"4026"},{"id":130,"name":"Impact","value":""},{"id":150,"name":"Time of Event (Mountain Time)","value":"10:19:44"},{"id":151,"name":"Denver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495</v>
      </c>
      <c r="B56" s="7">
        <v>4031</v>
      </c>
      <c r="C56" s="22" t="s">
        <v>99</v>
      </c>
      <c r="D56" s="22" t="s">
        <v>375</v>
      </c>
      <c r="E56" s="13">
        <v>42661.375868055555</v>
      </c>
      <c r="F56" s="13">
        <v>42661.376909722225</v>
      </c>
      <c r="G56" s="7">
        <v>0</v>
      </c>
      <c r="H56" s="13" t="s">
        <v>253</v>
      </c>
      <c r="I56" s="13">
        <v>42661.400902777779</v>
      </c>
      <c r="J56" s="7">
        <v>0</v>
      </c>
      <c r="K56" s="112" t="str">
        <f t="shared" si="0"/>
        <v>4031/4032</v>
      </c>
      <c r="L56" s="22" t="str">
        <f>VLOOKUP(A56,'Trips&amp;Operators'!$C$1:$E$10000,3,FALSE)</f>
        <v>ROCHA</v>
      </c>
      <c r="M56" s="6">
        <f t="shared" si="1"/>
        <v>2.3993055554456078E-2</v>
      </c>
      <c r="N56" s="7">
        <f t="shared" si="21"/>
        <v>34.549999998416752</v>
      </c>
      <c r="O56" s="7"/>
      <c r="P56" s="7"/>
      <c r="Q56" s="23"/>
      <c r="R56" s="23"/>
      <c r="S56" s="35">
        <f t="shared" si="22"/>
        <v>1</v>
      </c>
      <c r="T56" s="50" t="str">
        <f t="shared" si="4"/>
        <v>NorthBound</v>
      </c>
      <c r="U56" s="18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08:01:15-0600',mode:absolute,to:'2016-10-18 10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6" s="52" t="str">
        <f t="shared" si="6"/>
        <v>N</v>
      </c>
      <c r="X56" s="174">
        <f t="shared" si="20"/>
        <v>1</v>
      </c>
      <c r="Y56" s="67">
        <f t="shared" si="8"/>
        <v>4.7300000000000002E-2</v>
      </c>
      <c r="Z56" s="67">
        <f t="shared" si="9"/>
        <v>23.3306</v>
      </c>
      <c r="AA56" s="67">
        <f t="shared" si="10"/>
        <v>23.283300000000001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0143-18</v>
      </c>
      <c r="AE56" s="91" t="str">
        <f t="shared" si="12"/>
        <v>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 &amp; 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</v>
      </c>
      <c r="AF56" s="88" t="str">
        <f t="shared" si="13"/>
        <v>"C:\Program Files (x86)\AstroGrep\AstroGrep.exe" /spath="%USERPROFILE%\AppData\Local\Temp\OnboardLogs" /stypes="app*4031*20161018*" /stext=" 15:.+((SYSTEM_STATE.+slice.+state.+changed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143-18 --locoid 4031 --swversion DE.1.0.7.0 --startMP 204:473 --initTime 2016-10-18T09:01:15 --startdatetime 2016-10-18T09:02:45 --delay 0 --endMP 204:233306 --enddatetime 2016-10-18T09:37:18 --enforcementcount 0 &gt;&gt;C:\Users\stu\Documents\GitHub\eaglep3-reporting\EC\2016-10-18-refined-times.txt</v>
      </c>
      <c r="AI56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{"issue":{"subject":"","project_id":79,"tracker_id":40,"status_id":1,"priority_id":2,"assigned_to_id":23,"start_date":"2016-10-18","description":"","custom_fields":[{"id":1,"name":"Subdivision","value":"EC"},{"id":4,"name":"Milepost","value":"23.3306"},{"id":17,"name":"Train ID","value":"143-18"},{"id":16,"name":"Locomotive ID","value":"4031"},{"id":130,"name":"Impact","value":""},{"id":150,"name":"Time of Event (Mountain Time)","value":"09:37:18"},{"id":151,"name":"Denver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503</v>
      </c>
      <c r="B57" s="7">
        <v>4032</v>
      </c>
      <c r="C57" s="22" t="s">
        <v>99</v>
      </c>
      <c r="D57" s="22" t="s">
        <v>284</v>
      </c>
      <c r="E57" s="13">
        <v>42661.411851851852</v>
      </c>
      <c r="F57" s="13">
        <v>42661.417002314818</v>
      </c>
      <c r="G57" s="7">
        <v>1</v>
      </c>
      <c r="H57" s="13" t="s">
        <v>663</v>
      </c>
      <c r="I57" s="13">
        <v>42661.422847222224</v>
      </c>
      <c r="J57" s="7">
        <v>0</v>
      </c>
      <c r="K57" s="112" t="str">
        <f t="shared" si="0"/>
        <v>4031/4032</v>
      </c>
      <c r="L57" s="22" t="str">
        <f>VLOOKUP(A57,'Trips&amp;Operators'!$C$1:$E$10000,3,FALSE)</f>
        <v>ROCHA</v>
      </c>
      <c r="M57" s="6">
        <f t="shared" si="1"/>
        <v>5.8449074058444239E-3</v>
      </c>
      <c r="N57" s="7"/>
      <c r="O57" s="7"/>
      <c r="P57" s="7">
        <f>24*60*SUM($M57:$M57)</f>
        <v>8.4166666644159704</v>
      </c>
      <c r="Q57" s="23"/>
      <c r="R57" s="23" t="s">
        <v>784</v>
      </c>
      <c r="S57" s="35">
        <f t="shared" si="22"/>
        <v>0</v>
      </c>
      <c r="T57" s="50" t="str">
        <f t="shared" si="4"/>
        <v>Southbound</v>
      </c>
      <c r="U57" s="18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0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08:53:04-0600',mode:absolute,to:'2016-10-18 11:08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7" s="52" t="str">
        <f t="shared" si="6"/>
        <v>Y</v>
      </c>
      <c r="X57" s="174">
        <f t="shared" si="20"/>
        <v>1</v>
      </c>
      <c r="Y57" s="67">
        <f t="shared" si="8"/>
        <v>23.299099999999999</v>
      </c>
      <c r="Z57" s="67">
        <f t="shared" si="9"/>
        <v>21.6311</v>
      </c>
      <c r="AA57" s="67">
        <f t="shared" si="10"/>
        <v>1.6679999999999993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0144-18</v>
      </c>
      <c r="AE57" s="91" t="str">
        <f t="shared" si="12"/>
        <v>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 &amp; 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</v>
      </c>
      <c r="AF57" s="88" t="str">
        <f t="shared" si="13"/>
        <v>"C:\Program Files (x86)\AstroGrep\AstroGrep.exe" /spath="%USERPROFILE%\AppData\Local\Temp\OnboardLogs" /stypes="app*4032*20161018*"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144-18 --locoid 4032 --swversion DE.1.0.7.0 --startMP 204:232991 --initTime 2016-10-18T09:53:04 --startdatetime 2016-10-18T10:00:29 --delay 1 --endMP 204:216311 --enddatetime 2016-10-18T10:08:54 --enforcementcount 0 &gt;&gt;C:\Users\stu\Documents\GitHub\eaglep3-reporting\EC\2016-10-18-refined-times.txt</v>
      </c>
      <c r="AI57" s="122" t="str">
        <f t="shared" si="18"/>
        <v>echo {"issue":{"subject":"Mechanical issues? Airbrake pressures kept dropping","project_id":79,"tracker_id":40,"status_id":1,"priority_id":2,"assigned_to_id":23,"start_date":"2016-10-18","description":"","custom_fields":[{"id":1,"name":"Subdivision","value":"EC"},{"id":4,"name":"Milepost","value":"21.6311"},{"id":17,"name":"Train ID","value":"144-18"},{"id":16,"name":"Locomotive ID","value":"4032"},{"id":130,"name":"Impact","value":""},{"id":150,"name":"Time of Event (Mountain Time)","value":"10:08:54"},{"id":151,"name":"Denver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496</v>
      </c>
      <c r="B58" s="7">
        <v>4040</v>
      </c>
      <c r="C58" s="22" t="s">
        <v>99</v>
      </c>
      <c r="D58" s="22" t="s">
        <v>256</v>
      </c>
      <c r="E58" s="13">
        <v>42661.382407407407</v>
      </c>
      <c r="F58" s="13">
        <v>42661.385625000003</v>
      </c>
      <c r="G58" s="7">
        <v>1</v>
      </c>
      <c r="H58" s="13" t="s">
        <v>405</v>
      </c>
      <c r="I58" s="13">
        <v>42661.410312499997</v>
      </c>
      <c r="J58" s="7">
        <v>0</v>
      </c>
      <c r="K58" s="112" t="str">
        <f t="shared" si="0"/>
        <v>4039/4040</v>
      </c>
      <c r="L58" s="22" t="str">
        <f>VLOOKUP(A58,'Trips&amp;Operators'!$C$1:$E$10000,3,FALSE)</f>
        <v>ACKERMAN</v>
      </c>
      <c r="M58" s="6">
        <f t="shared" si="1"/>
        <v>2.4687499993888196E-2</v>
      </c>
      <c r="N58" s="7">
        <f t="shared" ref="N58:N89" si="23">24*60*SUM($M58:$M58)</f>
        <v>35.549999991199002</v>
      </c>
      <c r="O58" s="7"/>
      <c r="P58" s="7"/>
      <c r="Q58" s="23"/>
      <c r="R58" s="23"/>
      <c r="S58" s="35">
        <f t="shared" si="22"/>
        <v>1</v>
      </c>
      <c r="T58" s="50" t="str">
        <f t="shared" si="4"/>
        <v>NorthBound</v>
      </c>
      <c r="U58" s="18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08:10:40-0600',mode:absolute,to:'2016-10-18 10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8" s="52" t="str">
        <f t="shared" si="6"/>
        <v>N</v>
      </c>
      <c r="X58" s="174">
        <f t="shared" si="20"/>
        <v>1</v>
      </c>
      <c r="Y58" s="67">
        <f t="shared" si="8"/>
        <v>4.6899999999999997E-2</v>
      </c>
      <c r="Z58" s="67">
        <f t="shared" si="9"/>
        <v>23.328800000000001</v>
      </c>
      <c r="AA58" s="67">
        <f t="shared" si="10"/>
        <v>23.2819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0145-18</v>
      </c>
      <c r="AE58" s="91" t="str">
        <f t="shared" si="12"/>
        <v>aws s3 cp s3://rtdc.mdm.uploadarchive.raw/RTDC4040/ "%USERPROFILE%\AppData\Local\Temp\OnboardLogs"\RTDC4040\2016-10-18 --exclude "*" --recursive --include "*20161018*" &amp; "%USERPROFILE%\Documents\GitHub\mrs-test-scripts\Headless Mode &amp; Sideloading\WalkAndUnGZ.bat" "%USERPROFILE%\AppData\Local\Temp\OnboardLogs"\RTDC4040\2016-10-18 &amp; aws s3 cp s3://rtdc.mdm.uploadarchive.raw/RTDC4040/ "%USERPROFILE%\AppData\Local\Temp\OnboardLogs"\RTDC4040\2016-10-19 --exclude "*" --recursive --include "*20161019*" &amp; "%USERPROFILE%\Documents\GitHub\mrs-test-scripts\Headless Mode &amp; Sideloading\WalkAndUnGZ.bat" "%USERPROFILE%\AppData\Local\Temp\OnboardLogs"\RTDC4040\2016-10-19</v>
      </c>
      <c r="AF58" s="88" t="str">
        <f t="shared" si="13"/>
        <v>"C:\Program Files (x86)\AstroGrep\AstroGrep.exe" /spath="%USERPROFILE%\AppData\Local\Temp\OnboardLogs" /stypes="app*4040*20161018*" /stext=" 15:.+((SYSTEM_STATE.+slice.+state.+changed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145-18 --locoid 4040 --swversion DE.1.0.7.0 --startMP 204:469 --initTime 2016-10-18T09:10:40 --startdatetime 2016-10-18T09:15:18 --delay 1 --endMP 204:233288 --enddatetime 2016-10-18T09:50:51 --enforcementcount 0 &gt;&gt;C:\Users\stu\Documents\GitHub\eaglep3-reporting\EC\2016-10-18-refined-times.txt</v>
      </c>
      <c r="AI58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{"issue":{"subject":"","project_id":79,"tracker_id":40,"status_id":1,"priority_id":2,"assigned_to_id":23,"start_date":"2016-10-18","description":"","custom_fields":[{"id":1,"name":"Subdivision","value":"EC"},{"id":4,"name":"Milepost","value":"23.3288"},{"id":17,"name":"Train ID","value":"145-18"},{"id":16,"name":"Locomotive ID","value":"4040"},{"id":130,"name":"Impact","value":""},{"id":150,"name":"Time of Event (Mountain Time)","value":"09:50:51"},{"id":151,"name":"Denver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505</v>
      </c>
      <c r="B59" s="7">
        <v>4039</v>
      </c>
      <c r="C59" s="22" t="s">
        <v>99</v>
      </c>
      <c r="D59" s="22" t="s">
        <v>244</v>
      </c>
      <c r="E59" s="13">
        <v>42661.416666666664</v>
      </c>
      <c r="F59" s="13">
        <v>42661.433969907404</v>
      </c>
      <c r="G59" s="7">
        <v>1</v>
      </c>
      <c r="H59" s="13" t="s">
        <v>305</v>
      </c>
      <c r="I59" s="13">
        <v>42661.463206018518</v>
      </c>
      <c r="J59" s="7">
        <v>0</v>
      </c>
      <c r="K59" s="112" t="str">
        <f t="shared" si="0"/>
        <v>4039/4040</v>
      </c>
      <c r="L59" s="22" t="str">
        <f>VLOOKUP(A59,'Trips&amp;Operators'!$C$1:$E$10000,3,FALSE)</f>
        <v>ACKERMAN</v>
      </c>
      <c r="M59" s="6">
        <f t="shared" si="1"/>
        <v>2.923611111327773E-2</v>
      </c>
      <c r="N59" s="7">
        <f t="shared" si="23"/>
        <v>42.100000003119931</v>
      </c>
      <c r="O59" s="7"/>
      <c r="P59" s="7"/>
      <c r="Q59" s="23"/>
      <c r="R59" s="23"/>
      <c r="S59" s="35">
        <f t="shared" si="22"/>
        <v>1</v>
      </c>
      <c r="T59" s="50" t="str">
        <f t="shared" si="4"/>
        <v>Southbound</v>
      </c>
      <c r="U59" s="18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09:00:00-0600',mode:absolute,to:'2016-10-18 12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9" s="52" t="str">
        <f t="shared" si="6"/>
        <v>N</v>
      </c>
      <c r="X59" s="174">
        <f t="shared" si="20"/>
        <v>1</v>
      </c>
      <c r="Y59" s="67">
        <f t="shared" si="8"/>
        <v>23.297799999999999</v>
      </c>
      <c r="Z59" s="67">
        <f t="shared" si="9"/>
        <v>1.5599999999999999E-2</v>
      </c>
      <c r="AA59" s="67">
        <f t="shared" si="10"/>
        <v>23.2822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0146-18</v>
      </c>
      <c r="AE59" s="91" t="str">
        <f t="shared" si="12"/>
        <v>aws s3 cp s3://rtdc.mdm.uploadarchive.raw/RTDC4039/ "%USERPROFILE%\AppData\Local\Temp\OnboardLogs"\RTDC4039\2016-10-18 --exclude "*" --recursive --include "*20161018*" &amp; "%USERPROFILE%\Documents\GitHub\mrs-test-scripts\Headless Mode &amp; Sideloading\WalkAndUnGZ.bat" "%USERPROFILE%\AppData\Local\Temp\OnboardLogs"\RTDC4039\2016-10-18 &amp; 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</v>
      </c>
      <c r="AF59" s="88" t="str">
        <f t="shared" si="13"/>
        <v>"C:\Program Files (x86)\AstroGrep\AstroGrep.exe" /spath="%USERPROFILE%\AppData\Local\Temp\OnboardLogs" /stypes="app*4039*20161018*" /stext=" 17:.+((SYSTEM_STATE.+slice.+state.+changed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146-18 --locoid 4039 --swversion DE.1.0.7.0 --startMP 204:232978 --initTime 2016-10-18T10:00:00 --startdatetime 2016-10-18T10:24:55 --delay 1 --endMP 204:156 --enddatetime 2016-10-18T11:07:01 --enforcementcount 0 &gt;&gt;C:\Users\stu\Documents\GitHub\eaglep3-reporting\EC\2016-10-18-refined-times.txt</v>
      </c>
      <c r="AI59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{"issue":{"subject":"","project_id":79,"tracker_id":40,"status_id":1,"priority_id":2,"assigned_to_id":23,"start_date":"2016-10-18","description":"","custom_fields":[{"id":1,"name":"Subdivision","value":"EC"},{"id":4,"name":"Milepost","value":"0.0156"},{"id":17,"name":"Train ID","value":"146-18"},{"id":16,"name":"Locomotive ID","value":"4039"},{"id":130,"name":"Impact","value":""},{"id":150,"name":"Time of Event (Mountain Time)","value":"11:07:01"},{"id":151,"name":"Denver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501</v>
      </c>
      <c r="B60" s="7">
        <v>4018</v>
      </c>
      <c r="C60" s="22" t="s">
        <v>99</v>
      </c>
      <c r="D60" s="22" t="s">
        <v>243</v>
      </c>
      <c r="E60" s="13">
        <v>42661.397870370369</v>
      </c>
      <c r="F60" s="13">
        <v>42661.402442129627</v>
      </c>
      <c r="G60" s="7">
        <v>1</v>
      </c>
      <c r="H60" s="13" t="s">
        <v>367</v>
      </c>
      <c r="I60" s="13">
        <v>42661.431550925925</v>
      </c>
      <c r="J60" s="7">
        <v>0</v>
      </c>
      <c r="K60" s="112" t="str">
        <f t="shared" si="0"/>
        <v>4017/4018</v>
      </c>
      <c r="L60" s="22" t="str">
        <f>VLOOKUP(A60,'Trips&amp;Operators'!$C$1:$E$10000,3,FALSE)</f>
        <v>BRANNON</v>
      </c>
      <c r="M60" s="6">
        <f t="shared" si="1"/>
        <v>2.9108796297805384E-2</v>
      </c>
      <c r="N60" s="7">
        <f t="shared" si="23"/>
        <v>41.916666668839753</v>
      </c>
      <c r="O60" s="7"/>
      <c r="P60" s="7"/>
      <c r="Q60" s="23"/>
      <c r="R60" s="23"/>
      <c r="S60" s="35">
        <f t="shared" si="22"/>
        <v>1</v>
      </c>
      <c r="T60" s="50" t="str">
        <f t="shared" si="4"/>
        <v>NorthBound</v>
      </c>
      <c r="U60" s="18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08:32:56-0600',mode:absolute,to:'2016-10-18 11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0" s="52" t="str">
        <f t="shared" si="6"/>
        <v>N</v>
      </c>
      <c r="X60" s="174">
        <f t="shared" si="20"/>
        <v>1</v>
      </c>
      <c r="Y60" s="67">
        <f t="shared" si="8"/>
        <v>4.5699999999999998E-2</v>
      </c>
      <c r="Z60" s="67">
        <f t="shared" si="9"/>
        <v>23.297000000000001</v>
      </c>
      <c r="AA60" s="67">
        <f t="shared" si="10"/>
        <v>23.251300000000001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0147-18</v>
      </c>
      <c r="AE60" s="91" t="str">
        <f t="shared" si="12"/>
        <v>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 &amp; aws s3 cp s3://rtdc.mdm.uploadarchive.raw/RTDC4018/ "%USERPROFILE%\AppData\Local\Temp\OnboardLogs"\RTDC4018\2016-10-19 --exclude "*" --recursive --include "*20161019*" &amp; "%USERPROFILE%\Documents\GitHub\mrs-test-scripts\Headless Mode &amp; Sideloading\WalkAndUnGZ.bat" "%USERPROFILE%\AppData\Local\Temp\OnboardLogs"\RTDC4018\2016-10-19</v>
      </c>
      <c r="AF60" s="88" t="str">
        <f t="shared" si="13"/>
        <v>"C:\Program Files (x86)\AstroGrep\AstroGrep.exe" /spath="%USERPROFILE%\AppData\Local\Temp\OnboardLogs" /stypes="app*4018*20161018*" /stext=" 16:.+((SYSTEM_STATE.+slice.+state.+changed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147-18 --locoid 4018 --swversion DE.1.0.7.0 --startMP 204:457 --initTime 2016-10-18T09:32:56 --startdatetime 2016-10-18T09:39:31 --delay 1 --endMP 204:232970 --enddatetime 2016-10-18T10:21:26 --enforcementcount 0 &gt;&gt;C:\Users\stu\Documents\GitHub\eaglep3-reporting\EC\2016-10-18-refined-times.txt</v>
      </c>
      <c r="AI60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{"issue":{"subject":"","project_id":79,"tracker_id":40,"status_id":1,"priority_id":2,"assigned_to_id":23,"start_date":"2016-10-18","description":"","custom_fields":[{"id":1,"name":"Subdivision","value":"EC"},{"id":4,"name":"Milepost","value":"23.297"},{"id":17,"name":"Train ID","value":"147-18"},{"id":16,"name":"Locomotive ID","value":"4018"},{"id":130,"name":"Impact","value":""},{"id":150,"name":"Time of Event (Mountain Time)","value":"10:21:26"},{"id":151,"name":"Denver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509</v>
      </c>
      <c r="B61" s="7">
        <v>4017</v>
      </c>
      <c r="C61" s="22" t="s">
        <v>99</v>
      </c>
      <c r="D61" s="22" t="s">
        <v>664</v>
      </c>
      <c r="E61" s="13">
        <v>42661.435624999998</v>
      </c>
      <c r="F61" s="13">
        <v>42661.439062500001</v>
      </c>
      <c r="G61" s="7">
        <v>1</v>
      </c>
      <c r="H61" s="13" t="s">
        <v>177</v>
      </c>
      <c r="I61" s="13">
        <v>42661.467418981483</v>
      </c>
      <c r="J61" s="7">
        <v>0</v>
      </c>
      <c r="K61" s="112" t="str">
        <f t="shared" si="0"/>
        <v>4017/4018</v>
      </c>
      <c r="L61" s="22" t="str">
        <f>VLOOKUP(A61,'Trips&amp;Operators'!$C$1:$E$10000,3,FALSE)</f>
        <v>ROCHA</v>
      </c>
      <c r="M61" s="6">
        <f t="shared" si="1"/>
        <v>2.8356481481750961E-2</v>
      </c>
      <c r="N61" s="7">
        <f t="shared" si="23"/>
        <v>40.833333333721384</v>
      </c>
      <c r="O61" s="7"/>
      <c r="P61" s="7"/>
      <c r="Q61" s="23"/>
      <c r="R61" s="23"/>
      <c r="S61" s="35">
        <f t="shared" si="22"/>
        <v>1</v>
      </c>
      <c r="T61" s="50" t="str">
        <f t="shared" si="4"/>
        <v>Southbound</v>
      </c>
      <c r="U61" s="18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09:27:18-0600',mode:absolute,to:'2016-10-18 12:13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1" s="52" t="str">
        <f t="shared" si="6"/>
        <v>N</v>
      </c>
      <c r="X61" s="174">
        <f t="shared" si="20"/>
        <v>1</v>
      </c>
      <c r="Y61" s="67">
        <f t="shared" si="8"/>
        <v>23.2653</v>
      </c>
      <c r="Z61" s="67">
        <f t="shared" si="9"/>
        <v>1.52E-2</v>
      </c>
      <c r="AA61" s="67">
        <f t="shared" si="10"/>
        <v>23.2501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0148-18</v>
      </c>
      <c r="AE61" s="91" t="str">
        <f t="shared" si="12"/>
        <v>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 &amp; aws s3 cp s3://rtdc.mdm.uploadarchive.raw/RTDC4017/ "%USERPROFILE%\AppData\Local\Temp\OnboardLogs"\RTDC4017\2016-10-19 --exclude "*" --recursive --include "*20161019*" &amp; "%USERPROFILE%\Documents\GitHub\mrs-test-scripts\Headless Mode &amp; Sideloading\WalkAndUnGZ.bat" "%USERPROFILE%\AppData\Local\Temp\OnboardLogs"\RTDC4017\2016-10-19</v>
      </c>
      <c r="AF61" s="88" t="str">
        <f t="shared" si="13"/>
        <v>"C:\Program Files (x86)\AstroGrep\AstroGrep.exe" /spath="%USERPROFILE%\AppData\Local\Temp\OnboardLogs" /stypes="app*4017*20161018*"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148-18 --locoid 4017 --swversion DE.1.0.7.0 --startMP 204:232653 --initTime 2016-10-18T10:27:18 --startdatetime 2016-10-18T10:32:15 --delay 1 --endMP 204:152 --enddatetime 2016-10-18T11:13:05 --enforcementcount 0 &gt;&gt;C:\Users\stu\Documents\GitHub\eaglep3-reporting\EC\2016-10-18-refined-times.txt</v>
      </c>
      <c r="AI61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{"issue":{"subject":"","project_id":79,"tracker_id":40,"status_id":1,"priority_id":2,"assigned_to_id":23,"start_date":"2016-10-18","description":"","custom_fields":[{"id":1,"name":"Subdivision","value":"EC"},{"id":4,"name":"Milepost","value":"0.0152"},{"id":17,"name":"Train ID","value":"148-18"},{"id":16,"name":"Locomotive ID","value":"4017"},{"id":130,"name":"Impact","value":""},{"id":150,"name":"Time of Event (Mountain Time)","value":"11:13:05"},{"id":151,"name":"Denver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420</v>
      </c>
      <c r="B62" s="7">
        <v>4029</v>
      </c>
      <c r="C62" s="22" t="s">
        <v>99</v>
      </c>
      <c r="D62" s="22" t="s">
        <v>237</v>
      </c>
      <c r="E62" s="13">
        <v>42661.403599537036</v>
      </c>
      <c r="F62" s="13">
        <v>42661.406423611108</v>
      </c>
      <c r="G62" s="7">
        <v>1</v>
      </c>
      <c r="H62" s="13" t="s">
        <v>183</v>
      </c>
      <c r="I62" s="13">
        <v>42661.437060185184</v>
      </c>
      <c r="J62" s="7">
        <v>0</v>
      </c>
      <c r="K62" s="112" t="str">
        <f t="shared" si="0"/>
        <v>4029/4030</v>
      </c>
      <c r="L62" s="22" t="str">
        <f>VLOOKUP(A62,'Trips&amp;Operators'!$C$1:$E$10000,3,FALSE)</f>
        <v>SPECTOR</v>
      </c>
      <c r="M62" s="6">
        <f t="shared" si="1"/>
        <v>3.0636574076197576E-2</v>
      </c>
      <c r="N62" s="7">
        <f t="shared" si="23"/>
        <v>44.116666669724509</v>
      </c>
      <c r="O62" s="7"/>
      <c r="P62" s="7"/>
      <c r="Q62" s="23"/>
      <c r="R62" s="23"/>
      <c r="S62" s="35">
        <f t="shared" si="22"/>
        <v>1</v>
      </c>
      <c r="T62" s="50" t="str">
        <f t="shared" si="4"/>
        <v>NorthBound</v>
      </c>
      <c r="U62" s="18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08:41:11-0600',mode:absolute,to:'2016-10-18 11:29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2" s="52" t="str">
        <f t="shared" si="6"/>
        <v>N</v>
      </c>
      <c r="X62" s="174">
        <f t="shared" si="20"/>
        <v>1</v>
      </c>
      <c r="Y62" s="67">
        <f t="shared" si="8"/>
        <v>4.6399999999999997E-2</v>
      </c>
      <c r="Z62" s="67">
        <f t="shared" si="9"/>
        <v>23.331199999999999</v>
      </c>
      <c r="AA62" s="67">
        <f t="shared" si="10"/>
        <v>23.284800000000001</v>
      </c>
      <c r="AB62" s="64" t="str">
        <f>VLOOKUP(A62,Enforcements!$C$7:$K$21,8,0)</f>
        <v>Speed (6)</v>
      </c>
      <c r="AC62" s="60" t="str">
        <f>VLOOKUP(A62,Enforcements!$C$7:$E$21,3,0)</f>
        <v>PERMANENT SPEED RESTRICTION</v>
      </c>
      <c r="AD62" s="61" t="str">
        <f t="shared" si="11"/>
        <v>0149-18</v>
      </c>
      <c r="AE62" s="91" t="str">
        <f t="shared" si="12"/>
        <v>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 &amp; 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</v>
      </c>
      <c r="AF62" s="88" t="str">
        <f t="shared" si="13"/>
        <v>"C:\Program Files (x86)\AstroGrep\AstroGrep.exe" /spath="%USERPROFILE%\AppData\Local\Temp\OnboardLogs" /stypes="app*4029*20161018*" /stext=" 16:.+((SYSTEM_STATE.+slice.+state.+changed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149-18 --locoid 4029 --swversion DE.1.0.7.0 --startMP 204:464 --initTime 2016-10-18T09:41:11 --startdatetime 2016-10-18T09:45:15 --delay 1 --endMP 204:233312 --enddatetime 2016-10-18T10:29:22 --enforcementcount 0 &gt;&gt;C:\Users\stu\Documents\GitHub\eaglep3-reporting\EC\2016-10-18-refined-times.txt</v>
      </c>
      <c r="AI62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{"issue":{"subject":"","project_id":79,"tracker_id":40,"status_id":1,"priority_id":2,"assigned_to_id":23,"start_date":"2016-10-18","description":"","custom_fields":[{"id":1,"name":"Subdivision","value":"EC"},{"id":4,"name":"Milepost","value":"23.3312"},{"id":17,"name":"Train ID","value":"149-18"},{"id":16,"name":"Locomotive ID","value":"4029"},{"id":130,"name":"Impact","value":""},{"id":150,"name":"Time of Event (Mountain Time)","value":"10:29:22"},{"id":151,"name":"Denver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513</v>
      </c>
      <c r="B63" s="7">
        <v>4030</v>
      </c>
      <c r="C63" s="22" t="s">
        <v>99</v>
      </c>
      <c r="D63" s="22" t="s">
        <v>280</v>
      </c>
      <c r="E63" s="13">
        <v>42661.445057870369</v>
      </c>
      <c r="F63" s="13">
        <v>42661.447187500002</v>
      </c>
      <c r="G63" s="7">
        <v>1</v>
      </c>
      <c r="H63" s="13" t="s">
        <v>380</v>
      </c>
      <c r="I63" s="13">
        <v>42661.475659722222</v>
      </c>
      <c r="J63" s="7">
        <v>0</v>
      </c>
      <c r="K63" s="112" t="str">
        <f t="shared" si="0"/>
        <v>4029/4030</v>
      </c>
      <c r="L63" s="22" t="str">
        <f>VLOOKUP(A63,'Trips&amp;Operators'!$C$1:$E$10000,3,FALSE)</f>
        <v>SPECTOR</v>
      </c>
      <c r="M63" s="6">
        <f t="shared" si="1"/>
        <v>2.8472222220443655E-2</v>
      </c>
      <c r="N63" s="7">
        <f t="shared" si="23"/>
        <v>40.999999997438863</v>
      </c>
      <c r="O63" s="7"/>
      <c r="P63" s="7"/>
      <c r="Q63" s="23"/>
      <c r="R63" s="23"/>
      <c r="S63" s="35">
        <f t="shared" si="22"/>
        <v>1</v>
      </c>
      <c r="T63" s="50" t="str">
        <f t="shared" si="4"/>
        <v>Southbound</v>
      </c>
      <c r="U63" s="18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09:40:53-0600',mode:absolute,to:'2016-10-18 12:24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3" s="52" t="str">
        <f t="shared" si="6"/>
        <v>N</v>
      </c>
      <c r="X63" s="174">
        <f t="shared" si="20"/>
        <v>1</v>
      </c>
      <c r="Y63" s="67">
        <f t="shared" si="8"/>
        <v>23.299399999999999</v>
      </c>
      <c r="Z63" s="67">
        <f t="shared" si="9"/>
        <v>4.8599999999999997E-2</v>
      </c>
      <c r="AA63" s="67">
        <f t="shared" si="10"/>
        <v>23.250799999999998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0150-18</v>
      </c>
      <c r="AE63" s="91" t="str">
        <f t="shared" si="12"/>
        <v>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 &amp; aws s3 cp s3://rtdc.mdm.uploadarchive.raw/RTDC4030/ "%USERPROFILE%\AppData\Local\Temp\OnboardLogs"\RTDC4030\2016-10-19 --exclude "*" --recursive --include "*20161019*" &amp; "%USERPROFILE%\Documents\GitHub\mrs-test-scripts\Headless Mode &amp; Sideloading\WalkAndUnGZ.bat" "%USERPROFILE%\AppData\Local\Temp\OnboardLogs"\RTDC4030\2016-10-19</v>
      </c>
      <c r="AF63" s="88" t="str">
        <f t="shared" si="13"/>
        <v>"C:\Program Files (x86)\AstroGrep\AstroGrep.exe" /spath="%USERPROFILE%\AppData\Local\Temp\OnboardLogs" /stypes="app*4030*20161018*"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150-18 --locoid 4030 --swversion DE.1.0.7.0 --startMP 204:232994 --initTime 2016-10-18T10:40:53 --startdatetime 2016-10-18T10:43:57 --delay 1 --endMP 204:486 --enddatetime 2016-10-18T11:24:57 --enforcementcount 0 &gt;&gt;C:\Users\stu\Documents\GitHub\eaglep3-reporting\EC\2016-10-18-refined-times.txt</v>
      </c>
      <c r="AI63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{"issue":{"subject":"","project_id":79,"tracker_id":40,"status_id":1,"priority_id":2,"assigned_to_id":23,"start_date":"2016-10-18","description":"","custom_fields":[{"id":1,"name":"Subdivision","value":"EC"},{"id":4,"name":"Milepost","value":"0.0486"},{"id":17,"name":"Train ID","value":"150-18"},{"id":16,"name":"Locomotive ID","value":"4030"},{"id":130,"name":"Impact","value":""},{"id":150,"name":"Time of Event (Mountain Time)","value":"11:24:57"},{"id":151,"name":"Denver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504</v>
      </c>
      <c r="B64" s="7">
        <v>4011</v>
      </c>
      <c r="C64" s="22" t="s">
        <v>99</v>
      </c>
      <c r="D64" s="22" t="s">
        <v>665</v>
      </c>
      <c r="E64" s="13">
        <v>42661.414097222223</v>
      </c>
      <c r="F64" s="13">
        <v>42661.416863425926</v>
      </c>
      <c r="G64" s="7">
        <v>1</v>
      </c>
      <c r="H64" s="13" t="s">
        <v>374</v>
      </c>
      <c r="I64" s="13">
        <v>42661.450439814813</v>
      </c>
      <c r="J64" s="7">
        <v>0</v>
      </c>
      <c r="K64" s="112" t="str">
        <f t="shared" si="0"/>
        <v>4011/4012</v>
      </c>
      <c r="L64" s="22" t="str">
        <f>VLOOKUP(A64,'Trips&amp;Operators'!$C$1:$E$10000,3,FALSE)</f>
        <v>DAVIS</v>
      </c>
      <c r="M64" s="6">
        <f t="shared" si="1"/>
        <v>3.3576388887013309E-2</v>
      </c>
      <c r="N64" s="7">
        <f t="shared" si="23"/>
        <v>48.349999997299165</v>
      </c>
      <c r="O64" s="7"/>
      <c r="P64" s="7"/>
      <c r="Q64" s="23"/>
      <c r="R64" s="23"/>
      <c r="S64" s="35">
        <f t="shared" si="22"/>
        <v>1</v>
      </c>
      <c r="T64" s="50" t="str">
        <f t="shared" si="4"/>
        <v>NorthBound</v>
      </c>
      <c r="U64" s="18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08:56:18-0600',mode:absolute,to:'2016-10-18 11:48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4" s="52" t="str">
        <f t="shared" si="6"/>
        <v>N</v>
      </c>
      <c r="X64" s="174">
        <f t="shared" si="20"/>
        <v>1</v>
      </c>
      <c r="Y64" s="67">
        <f t="shared" si="8"/>
        <v>5.1499999999999997E-2</v>
      </c>
      <c r="Z64" s="67">
        <f t="shared" si="9"/>
        <v>23.332100000000001</v>
      </c>
      <c r="AA64" s="67">
        <f t="shared" si="10"/>
        <v>23.2806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0151-18</v>
      </c>
      <c r="AE64" s="91" t="str">
        <f t="shared" si="12"/>
        <v>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 &amp; 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</v>
      </c>
      <c r="AF64" s="88" t="str">
        <f t="shared" si="13"/>
        <v>"C:\Program Files (x86)\AstroGrep\AstroGrep.exe" /spath="%USERPROFILE%\AppData\Local\Temp\OnboardLogs" /stypes="app*4011*20161018*" /stext=" 16:.+((SYSTEM_STATE.+slice.+state.+changed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151-18 --locoid 4011 --swversion DE.1.0.7.0 --startMP 204:515 --initTime 2016-10-18T09:56:18 --startdatetime 2016-10-18T10:00:17 --delay 1 --endMP 204:233321 --enddatetime 2016-10-18T10:48:38 --enforcementcount 0 &gt;&gt;C:\Users\stu\Documents\GitHub\eaglep3-reporting\EC\2016-10-18-refined-times.txt</v>
      </c>
      <c r="AI64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{"issue":{"subject":"","project_id":79,"tracker_id":40,"status_id":1,"priority_id":2,"assigned_to_id":23,"start_date":"2016-10-18","description":"","custom_fields":[{"id":1,"name":"Subdivision","value":"EC"},{"id":4,"name":"Milepost","value":"23.3321"},{"id":17,"name":"Train ID","value":"151-18"},{"id":16,"name":"Locomotive ID","value":"4011"},{"id":130,"name":"Impact","value":""},{"id":150,"name":"Time of Event (Mountain Time)","value":"10:48:38"},{"id":151,"name":"Denver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422</v>
      </c>
      <c r="B65" s="7">
        <v>4012</v>
      </c>
      <c r="C65" s="22" t="s">
        <v>99</v>
      </c>
      <c r="D65" s="22" t="s">
        <v>307</v>
      </c>
      <c r="E65" s="13">
        <v>42661.453645833331</v>
      </c>
      <c r="F65" s="13">
        <v>42661.455740740741</v>
      </c>
      <c r="G65" s="7">
        <v>1</v>
      </c>
      <c r="H65" s="13" t="s">
        <v>229</v>
      </c>
      <c r="I65" s="13">
        <v>42661.484942129631</v>
      </c>
      <c r="J65" s="7">
        <v>0</v>
      </c>
      <c r="K65" s="112" t="str">
        <f t="shared" si="0"/>
        <v>4011/4012</v>
      </c>
      <c r="L65" s="22" t="str">
        <f>VLOOKUP(A65,'Trips&amp;Operators'!$C$1:$E$10000,3,FALSE)</f>
        <v>DAVIS</v>
      </c>
      <c r="M65" s="6">
        <f t="shared" si="1"/>
        <v>2.920138889021473E-2</v>
      </c>
      <c r="N65" s="7">
        <f t="shared" si="23"/>
        <v>42.050000001909211</v>
      </c>
      <c r="O65" s="7"/>
      <c r="P65" s="7"/>
      <c r="Q65" s="23"/>
      <c r="R65" s="23"/>
      <c r="S65" s="35">
        <f t="shared" si="22"/>
        <v>1</v>
      </c>
      <c r="T65" s="50" t="str">
        <f t="shared" si="4"/>
        <v>Southbound</v>
      </c>
      <c r="U65" s="18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09:53:15-0600',mode:absolute,to:'2016-10-18 12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5" s="52" t="str">
        <f t="shared" si="6"/>
        <v>N</v>
      </c>
      <c r="X65" s="174">
        <f t="shared" si="20"/>
        <v>1</v>
      </c>
      <c r="Y65" s="67">
        <f t="shared" si="8"/>
        <v>23.3</v>
      </c>
      <c r="Z65" s="67">
        <f t="shared" si="9"/>
        <v>1.49E-2</v>
      </c>
      <c r="AA65" s="67">
        <f t="shared" si="10"/>
        <v>23.2851</v>
      </c>
      <c r="AB65" s="64" t="str">
        <f>VLOOKUP(A65,Enforcements!$C$7:$K$21,8,0)</f>
        <v>Speed (6)</v>
      </c>
      <c r="AC65" s="60" t="str">
        <f>VLOOKUP(A65,Enforcements!$C$7:$E$21,3,0)</f>
        <v>PERMANENT SPEED RESTRICTION</v>
      </c>
      <c r="AD65" s="61" t="str">
        <f t="shared" si="11"/>
        <v>0152-18</v>
      </c>
      <c r="AE65" s="91" t="str">
        <f t="shared" si="12"/>
        <v>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 &amp; 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</v>
      </c>
      <c r="AF65" s="88" t="str">
        <f t="shared" si="13"/>
        <v>"C:\Program Files (x86)\AstroGrep\AstroGrep.exe" /spath="%USERPROFILE%\AppData\Local\Temp\OnboardLogs" /stypes="app*4012*20161018*"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152-18 --locoid 4012 --swversion DE.1.0.7.0 --startMP 204:233000 --initTime 2016-10-18T10:53:15 --startdatetime 2016-10-18T10:56:16 --delay 1 --endMP 204:149 --enddatetime 2016-10-18T11:38:19 --enforcementcount 0 &gt;&gt;C:\Users\stu\Documents\GitHub\eaglep3-reporting\EC\2016-10-18-refined-times.txt</v>
      </c>
      <c r="AI65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{"issue":{"subject":"","project_id":79,"tracker_id":40,"status_id":1,"priority_id":2,"assigned_to_id":23,"start_date":"2016-10-18","description":"","custom_fields":[{"id":1,"name":"Subdivision","value":"EC"},{"id":4,"name":"Milepost","value":"0.0149"},{"id":17,"name":"Train ID","value":"152-18"},{"id":16,"name":"Locomotive ID","value":"4012"},{"id":130,"name":"Impact","value":""},{"id":150,"name":"Time of Event (Mountain Time)","value":"11:38:19"},{"id":151,"name":"Denver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506</v>
      </c>
      <c r="B66" s="7">
        <v>4044</v>
      </c>
      <c r="C66" s="22" t="s">
        <v>99</v>
      </c>
      <c r="D66" s="22" t="s">
        <v>252</v>
      </c>
      <c r="E66" s="13">
        <v>42661.42287037037</v>
      </c>
      <c r="F66" s="13">
        <v>42661.427349537036</v>
      </c>
      <c r="G66" s="7">
        <v>3</v>
      </c>
      <c r="H66" s="13" t="s">
        <v>369</v>
      </c>
      <c r="I66" s="13">
        <v>42661.454224537039</v>
      </c>
      <c r="J66" s="7">
        <v>0</v>
      </c>
      <c r="K66" s="112" t="str">
        <f t="shared" si="0"/>
        <v>4043/4044</v>
      </c>
      <c r="L66" s="22" t="str">
        <f>VLOOKUP(A66,'Trips&amp;Operators'!$C$1:$E$10000,3,FALSE)</f>
        <v>GEBRETEKLE</v>
      </c>
      <c r="M66" s="6">
        <f t="shared" si="1"/>
        <v>2.6875000003201421E-2</v>
      </c>
      <c r="N66" s="7">
        <f t="shared" si="23"/>
        <v>38.700000004610047</v>
      </c>
      <c r="O66" s="7"/>
      <c r="P66" s="7"/>
      <c r="Q66" s="23"/>
      <c r="R66" s="23"/>
      <c r="S66" s="35">
        <f t="shared" si="22"/>
        <v>1</v>
      </c>
      <c r="T66" s="50" t="str">
        <f t="shared" si="4"/>
        <v>NorthBound</v>
      </c>
      <c r="U66" s="18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09:08:56-0600',mode:absolute,to:'2016-10-18 11:54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6" s="52" t="str">
        <f t="shared" si="6"/>
        <v>N</v>
      </c>
      <c r="X66" s="174">
        <f t="shared" si="20"/>
        <v>1</v>
      </c>
      <c r="Y66" s="67">
        <f t="shared" si="8"/>
        <v>4.5999999999999999E-2</v>
      </c>
      <c r="Z66" s="67">
        <f t="shared" si="9"/>
        <v>23.331099999999999</v>
      </c>
      <c r="AA66" s="67">
        <f t="shared" si="10"/>
        <v>23.2851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0153-18</v>
      </c>
      <c r="AE66" s="91" t="str">
        <f t="shared" si="12"/>
        <v>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 &amp; aws s3 cp s3://rtdc.mdm.uploadarchive.raw/RTDC4044/ "%USERPROFILE%\AppData\Local\Temp\OnboardLogs"\RTDC4044\2016-10-19 --exclude "*" --recursive --include "*20161019*" &amp; "%USERPROFILE%\Documents\GitHub\mrs-test-scripts\Headless Mode &amp; Sideloading\WalkAndUnGZ.bat" "%USERPROFILE%\AppData\Local\Temp\OnboardLogs"\RTDC4044\2016-10-19</v>
      </c>
      <c r="AF66" s="88" t="str">
        <f t="shared" si="13"/>
        <v>"C:\Program Files (x86)\AstroGrep\AstroGrep.exe" /spath="%USERPROFILE%\AppData\Local\Temp\OnboardLogs" /stypes="app*4044*20161018*" /stext=" 16:.+((SYSTEM_STATE.+slice.+state.+changed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153-18 --locoid 4044 --swversion DE.1.0.7.0 --startMP 204:460 --initTime 2016-10-18T10:08:56 --startdatetime 2016-10-18T10:15:23 --delay 3 --endMP 204:233311 --enddatetime 2016-10-18T10:54:05 --enforcementcount 0 &gt;&gt;C:\Users\stu\Documents\GitHub\eaglep3-reporting\EC\2016-10-18-refined-times.txt</v>
      </c>
      <c r="AI66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{"issue":{"subject":"","project_id":79,"tracker_id":40,"status_id":1,"priority_id":2,"assigned_to_id":23,"start_date":"2016-10-18","description":"","custom_fields":[{"id":1,"name":"Subdivision","value":"EC"},{"id":4,"name":"Milepost","value":"23.3311"},{"id":17,"name":"Train ID","value":"153-18"},{"id":16,"name":"Locomotive ID","value":"4044"},{"id":130,"name":"Impact","value":""},{"id":150,"name":"Time of Event (Mountain Time)","value":"10:54:05"},{"id":151,"name":"Denver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515</v>
      </c>
      <c r="B67" s="7">
        <v>4043</v>
      </c>
      <c r="C67" s="22" t="s">
        <v>99</v>
      </c>
      <c r="D67" s="22" t="s">
        <v>276</v>
      </c>
      <c r="E67" s="13">
        <v>42661.463009259256</v>
      </c>
      <c r="F67" s="13">
        <v>42661.466157407405</v>
      </c>
      <c r="G67" s="7">
        <v>1</v>
      </c>
      <c r="H67" s="13" t="s">
        <v>318</v>
      </c>
      <c r="I67" s="13">
        <v>42661.493900462963</v>
      </c>
      <c r="J67" s="7">
        <v>0</v>
      </c>
      <c r="K67" s="112" t="str">
        <f t="shared" si="0"/>
        <v>4043/4044</v>
      </c>
      <c r="L67" s="22" t="str">
        <f>VLOOKUP(A67,'Trips&amp;Operators'!$C$1:$E$10000,3,FALSE)</f>
        <v>GEBRETEKLE</v>
      </c>
      <c r="M67" s="6">
        <f t="shared" si="1"/>
        <v>2.7743055557948537E-2</v>
      </c>
      <c r="N67" s="7">
        <f t="shared" si="23"/>
        <v>39.950000003445894</v>
      </c>
      <c r="O67" s="7"/>
      <c r="P67" s="7"/>
      <c r="Q67" s="23"/>
      <c r="R67" s="23"/>
      <c r="S67" s="35">
        <f t="shared" si="22"/>
        <v>1</v>
      </c>
      <c r="T67" s="50" t="str">
        <f t="shared" si="4"/>
        <v>Southbound</v>
      </c>
      <c r="U67" s="18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10:06:44-0600',mode:absolute,to:'2016-10-18 12:51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7" s="52" t="str">
        <f t="shared" si="6"/>
        <v>N</v>
      </c>
      <c r="X67" s="174">
        <f t="shared" si="20"/>
        <v>1</v>
      </c>
      <c r="Y67" s="67">
        <f t="shared" si="8"/>
        <v>23.297699999999999</v>
      </c>
      <c r="Z67" s="67">
        <f t="shared" si="9"/>
        <v>1.3899999999999999E-2</v>
      </c>
      <c r="AA67" s="67">
        <f t="shared" si="10"/>
        <v>23.283799999999999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0154-18</v>
      </c>
      <c r="AE67" s="91" t="str">
        <f t="shared" si="12"/>
        <v>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 &amp; aws s3 cp s3://rtdc.mdm.uploadarchive.raw/RTDC4043/ "%USERPROFILE%\AppData\Local\Temp\OnboardLogs"\RTDC4043\2016-10-19 --exclude "*" --recursive --include "*20161019*" &amp; "%USERPROFILE%\Documents\GitHub\mrs-test-scripts\Headless Mode &amp; Sideloading\WalkAndUnGZ.bat" "%USERPROFILE%\AppData\Local\Temp\OnboardLogs"\RTDC4043\2016-10-19</v>
      </c>
      <c r="AF67" s="88" t="str">
        <f t="shared" si="13"/>
        <v>"C:\Program Files (x86)\AstroGrep\AstroGrep.exe" /spath="%USERPROFILE%\AppData\Local\Temp\OnboardLogs" /stypes="app*4043*20161018*"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154-18 --locoid 4043 --swversion DE.1.0.7.0 --startMP 204:232977 --initTime 2016-10-18T11:06:44 --startdatetime 2016-10-18T11:11:16 --delay 1 --endMP 204:139 --enddatetime 2016-10-18T11:51:13 --enforcementcount 0 &gt;&gt;C:\Users\stu\Documents\GitHub\eaglep3-reporting\EC\2016-10-18-refined-times.txt</v>
      </c>
      <c r="AI67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{"issue":{"subject":"","project_id":79,"tracker_id":40,"status_id":1,"priority_id":2,"assigned_to_id":23,"start_date":"2016-10-18","description":"","custom_fields":[{"id":1,"name":"Subdivision","value":"EC"},{"id":4,"name":"Milepost","value":"0.0139"},{"id":17,"name":"Train ID","value":"154-18"},{"id":16,"name":"Locomotive ID","value":"4043"},{"id":130,"name":"Impact","value":""},{"id":150,"name":"Time of Event (Mountain Time)","value":"11:51:13"},{"id":151,"name":"Denver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510</v>
      </c>
      <c r="B68" s="7">
        <v>4025</v>
      </c>
      <c r="C68" s="22" t="s">
        <v>99</v>
      </c>
      <c r="D68" s="22" t="s">
        <v>237</v>
      </c>
      <c r="E68" s="13">
        <v>42661.435023148151</v>
      </c>
      <c r="F68" s="13">
        <v>42661.438043981485</v>
      </c>
      <c r="G68" s="7">
        <v>4</v>
      </c>
      <c r="H68" s="13" t="s">
        <v>282</v>
      </c>
      <c r="I68" s="13">
        <v>42661.463993055557</v>
      </c>
      <c r="J68" s="7">
        <v>0</v>
      </c>
      <c r="K68" s="112" t="str">
        <f t="shared" si="0"/>
        <v>4025/4026</v>
      </c>
      <c r="L68" s="22" t="str">
        <f>VLOOKUP(A68,'Trips&amp;Operators'!$C$1:$E$10000,3,FALSE)</f>
        <v>BEAM</v>
      </c>
      <c r="M68" s="6">
        <f t="shared" si="1"/>
        <v>2.5949074071832001E-2</v>
      </c>
      <c r="N68" s="7">
        <f t="shared" si="23"/>
        <v>37.366666663438082</v>
      </c>
      <c r="O68" s="7"/>
      <c r="P68" s="7"/>
      <c r="Q68" s="23"/>
      <c r="R68" s="23"/>
      <c r="S68" s="35">
        <f t="shared" si="22"/>
        <v>1</v>
      </c>
      <c r="T68" s="50" t="str">
        <f t="shared" si="4"/>
        <v>NorthBound</v>
      </c>
      <c r="U68" s="18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09:26:26-0600',mode:absolute,to:'2016-10-18 12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8" s="52" t="str">
        <f t="shared" si="6"/>
        <v>N</v>
      </c>
      <c r="X68" s="174">
        <f t="shared" ref="X68:X76" si="24">VALUE(LEFT(AD68,4))-VALUE(LEFT(AD67,4))</f>
        <v>1</v>
      </c>
      <c r="Y68" s="67">
        <f t="shared" si="8"/>
        <v>4.6399999999999997E-2</v>
      </c>
      <c r="Z68" s="67">
        <f t="shared" si="9"/>
        <v>23.331499999999998</v>
      </c>
      <c r="AA68" s="67">
        <f t="shared" si="10"/>
        <v>23.2851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0155-18</v>
      </c>
      <c r="AE68" s="91" t="str">
        <f t="shared" si="12"/>
        <v>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 &amp; 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</v>
      </c>
      <c r="AF68" s="88" t="str">
        <f t="shared" si="13"/>
        <v>"C:\Program Files (x86)\AstroGrep\AstroGrep.exe" /spath="%USERPROFILE%\AppData\Local\Temp\OnboardLogs" /stypes="app*4025*20161018*" /stext=" 17:.+((SYSTEM_STATE.+slice.+state.+changed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155-18 --locoid 4025 --swversion DE.1.0.7.0 --startMP 204:464 --initTime 2016-10-18T10:26:26 --startdatetime 2016-10-18T10:30:47 --delay 4 --endMP 204:233315 --enddatetime 2016-10-18T11:08:09 --enforcementcount 0 &gt;&gt;C:\Users\stu\Documents\GitHub\eaglep3-reporting\EC\2016-10-18-refined-times.txt</v>
      </c>
      <c r="AI68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{"issue":{"subject":"","project_id":79,"tracker_id":40,"status_id":1,"priority_id":2,"assigned_to_id":23,"start_date":"2016-10-18","description":"","custom_fields":[{"id":1,"name":"Subdivision","value":"EC"},{"id":4,"name":"Milepost","value":"23.3315"},{"id":17,"name":"Train ID","value":"155-18"},{"id":16,"name":"Locomotive ID","value":"4025"},{"id":130,"name":"Impact","value":""},{"id":150,"name":"Time of Event (Mountain Time)","value":"11:08:09"},{"id":151,"name":"Denver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518</v>
      </c>
      <c r="B69" s="7">
        <v>4026</v>
      </c>
      <c r="C69" s="22" t="s">
        <v>99</v>
      </c>
      <c r="D69" s="22" t="s">
        <v>280</v>
      </c>
      <c r="E69" s="13">
        <v>42661.472407407404</v>
      </c>
      <c r="F69" s="13">
        <v>42661.476701388892</v>
      </c>
      <c r="G69" s="7">
        <v>1</v>
      </c>
      <c r="H69" s="13" t="s">
        <v>242</v>
      </c>
      <c r="I69" s="13">
        <v>42661.502800925926</v>
      </c>
      <c r="J69" s="7">
        <v>0</v>
      </c>
      <c r="K69" s="112" t="str">
        <f t="shared" si="0"/>
        <v>4025/4026</v>
      </c>
      <c r="L69" s="22" t="str">
        <f>VLOOKUP(A69,'Trips&amp;Operators'!$C$1:$E$10000,3,FALSE)</f>
        <v>BEAM</v>
      </c>
      <c r="M69" s="6">
        <f t="shared" si="1"/>
        <v>2.6099537033587694E-2</v>
      </c>
      <c r="N69" s="7">
        <f t="shared" si="23"/>
        <v>37.58333332836628</v>
      </c>
      <c r="O69" s="7"/>
      <c r="P69" s="7"/>
      <c r="Q69" s="23"/>
      <c r="R69" s="23"/>
      <c r="S69" s="35">
        <f t="shared" si="22"/>
        <v>1</v>
      </c>
      <c r="T69" s="50" t="str">
        <f t="shared" si="4"/>
        <v>Southbound</v>
      </c>
      <c r="U69" s="18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10:20:16-0600',mode:absolute,to:'2016-10-18 13:04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9" s="52" t="str">
        <f t="shared" si="6"/>
        <v>N</v>
      </c>
      <c r="X69" s="174">
        <f t="shared" si="24"/>
        <v>1</v>
      </c>
      <c r="Y69" s="67">
        <f t="shared" si="8"/>
        <v>23.299399999999999</v>
      </c>
      <c r="Z69" s="67">
        <f t="shared" si="9"/>
        <v>1.34E-2</v>
      </c>
      <c r="AA69" s="67">
        <f t="shared" si="10"/>
        <v>23.285999999999998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0156-18</v>
      </c>
      <c r="AE69" s="91" t="str">
        <f t="shared" si="12"/>
        <v>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 &amp; 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</v>
      </c>
      <c r="AF69" s="88" t="str">
        <f t="shared" si="13"/>
        <v>"C:\Program Files (x86)\AstroGrep\AstroGrep.exe" /spath="%USERPROFILE%\AppData\Local\Temp\OnboardLogs" /stypes="app*4026*20161018*"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156-18 --locoid 4026 --swversion DE.1.0.7.0 --startMP 204:232994 --initTime 2016-10-18T11:20:16 --startdatetime 2016-10-18T11:26:27 --delay 1 --endMP 204:134 --enddatetime 2016-10-18T12:04:02 --enforcementcount 0 &gt;&gt;C:\Users\stu\Documents\GitHub\eaglep3-reporting\EC\2016-10-18-refined-times.txt</v>
      </c>
      <c r="AI69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{"issue":{"subject":"","project_id":79,"tracker_id":40,"status_id":1,"priority_id":2,"assigned_to_id":23,"start_date":"2016-10-18","description":"","custom_fields":[{"id":1,"name":"Subdivision","value":"EC"},{"id":4,"name":"Milepost","value":"0.0134"},{"id":17,"name":"Train ID","value":"156-18"},{"id":16,"name":"Locomotive ID","value":"4026"},{"id":130,"name":"Impact","value":""},{"id":150,"name":"Time of Event (Mountain Time)","value":"12:04:02"},{"id":151,"name":"Denver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507</v>
      </c>
      <c r="B70" s="7">
        <v>4016</v>
      </c>
      <c r="C70" s="22" t="s">
        <v>99</v>
      </c>
      <c r="D70" s="22" t="s">
        <v>666</v>
      </c>
      <c r="E70" s="13">
        <v>42661.445023148146</v>
      </c>
      <c r="F70" s="13">
        <v>42661.450150462966</v>
      </c>
      <c r="G70" s="7">
        <v>1</v>
      </c>
      <c r="H70" s="13" t="s">
        <v>248</v>
      </c>
      <c r="I70" s="13">
        <v>42661.474374999998</v>
      </c>
      <c r="J70" s="7">
        <v>0</v>
      </c>
      <c r="K70" s="112" t="str">
        <f t="shared" si="0"/>
        <v>4015/4016</v>
      </c>
      <c r="L70" s="22" t="s">
        <v>511</v>
      </c>
      <c r="M70" s="6">
        <f t="shared" si="1"/>
        <v>2.4224537031841464E-2</v>
      </c>
      <c r="N70" s="7">
        <f t="shared" si="23"/>
        <v>34.883333325851709</v>
      </c>
      <c r="O70" s="7"/>
      <c r="P70" s="7"/>
      <c r="Q70" s="23"/>
      <c r="R70" s="23"/>
      <c r="S70" s="35">
        <f t="shared" si="22"/>
        <v>1</v>
      </c>
      <c r="T70" s="50" t="str">
        <f t="shared" si="4"/>
        <v>NorthBound</v>
      </c>
      <c r="U70" s="18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09:40:50-0600',mode:absolute,to:'2016-10-18 12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0" s="52" t="str">
        <f t="shared" si="6"/>
        <v>N</v>
      </c>
      <c r="X70" s="174">
        <f t="shared" si="24"/>
        <v>1</v>
      </c>
      <c r="Y70" s="67">
        <f t="shared" si="8"/>
        <v>0.14960000000000001</v>
      </c>
      <c r="Z70" s="67">
        <f t="shared" si="9"/>
        <v>23.329899999999999</v>
      </c>
      <c r="AA70" s="67">
        <f t="shared" si="10"/>
        <v>23.180299999999999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0157-18</v>
      </c>
      <c r="AE70" s="91" t="str">
        <f t="shared" si="12"/>
        <v>aws s3 cp s3://rtdc.mdm.uploadarchive.raw/RTDC4016/ "%USERPROFILE%\AppData\Local\Temp\OnboardLogs"\RTDC4016\2016-10-18 --exclude "*" --recursive --include "*20161018*" &amp; "%USERPROFILE%\Documents\GitHub\mrs-test-scripts\Headless Mode &amp; Sideloading\WalkAndUnGZ.bat" "%USERPROFILE%\AppData\Local\Temp\OnboardLogs"\RTDC4016\2016-10-18 &amp; aws s3 cp s3://rtdc.mdm.uploadarchive.raw/RTDC4016/ "%USERPROFILE%\AppData\Local\Temp\OnboardLogs"\RTDC4016\2016-10-19 --exclude "*" --recursive --include "*20161019*" &amp; "%USERPROFILE%\Documents\GitHub\mrs-test-scripts\Headless Mode &amp; Sideloading\WalkAndUnGZ.bat" "%USERPROFILE%\AppData\Local\Temp\OnboardLogs"\RTDC4016\2016-10-19</v>
      </c>
      <c r="AF70" s="88" t="str">
        <f t="shared" si="13"/>
        <v>"C:\Program Files (x86)\AstroGrep\AstroGrep.exe" /spath="%USERPROFILE%\AppData\Local\Temp\OnboardLogs" /stypes="app*4016*20161018*" /stext=" 17:.+((SYSTEM_STATE.+slice.+state.+changed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157-18 --locoid 4016 --swversion DE.1.0.7.0 --startMP 204:1496 --initTime 2016-10-18T10:40:50 --startdatetime 2016-10-18T10:48:13 --delay 1 --endMP 204:233299 --enddatetime 2016-10-18T11:23:06 --enforcementcount 0 &gt;&gt;C:\Users\stu\Documents\GitHub\eaglep3-reporting\EC\2016-10-18-refined-times.txt</v>
      </c>
      <c r="AI70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{"issue":{"subject":"","project_id":79,"tracker_id":40,"status_id":1,"priority_id":2,"assigned_to_id":23,"start_date":"2016-10-18","description":"","custom_fields":[{"id":1,"name":"Subdivision","value":"EC"},{"id":4,"name":"Milepost","value":"23.3299"},{"id":17,"name":"Train ID","value":"157-18"},{"id":16,"name":"Locomotive ID","value":"4016"},{"id":130,"name":"Impact","value":""},{"id":150,"name":"Time of Event (Mountain Time)","value":"11:23:06"},{"id":151,"name":"Denver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519</v>
      </c>
      <c r="B71" s="7">
        <v>4015</v>
      </c>
      <c r="C71" s="22" t="s">
        <v>99</v>
      </c>
      <c r="D71" s="22" t="s">
        <v>239</v>
      </c>
      <c r="E71" s="13">
        <v>42661.476400462961</v>
      </c>
      <c r="F71" s="13">
        <v>42661.487164351849</v>
      </c>
      <c r="G71" s="7">
        <v>1</v>
      </c>
      <c r="H71" s="13" t="s">
        <v>177</v>
      </c>
      <c r="I71" s="13">
        <v>42661.513124999998</v>
      </c>
      <c r="J71" s="7">
        <v>0</v>
      </c>
      <c r="K71" s="112" t="str">
        <f t="shared" si="0"/>
        <v>4015/4016</v>
      </c>
      <c r="L71" s="22" t="str">
        <f>VLOOKUP(A71,'Trips&amp;Operators'!$C$1:$E$10000,3,FALSE)</f>
        <v>SANTIZO</v>
      </c>
      <c r="M71" s="6">
        <f t="shared" si="1"/>
        <v>2.5960648148611654E-2</v>
      </c>
      <c r="N71" s="7">
        <f t="shared" si="23"/>
        <v>37.383333334000781</v>
      </c>
      <c r="O71" s="7"/>
      <c r="P71" s="7"/>
      <c r="Q71" s="23"/>
      <c r="R71" s="23"/>
      <c r="S71" s="35">
        <f t="shared" si="22"/>
        <v>1</v>
      </c>
      <c r="T71" s="50" t="str">
        <f t="shared" si="4"/>
        <v>Southbound</v>
      </c>
      <c r="U71" s="18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10:26:01-0600',mode:absolute,to:'2016-10-18 13:18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1" s="52" t="str">
        <f t="shared" si="6"/>
        <v>N</v>
      </c>
      <c r="X71" s="174">
        <f t="shared" si="24"/>
        <v>1</v>
      </c>
      <c r="Y71" s="67">
        <f t="shared" si="8"/>
        <v>23.298200000000001</v>
      </c>
      <c r="Z71" s="67">
        <f t="shared" si="9"/>
        <v>1.52E-2</v>
      </c>
      <c r="AA71" s="67">
        <f t="shared" si="10"/>
        <v>23.283000000000001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0158-18</v>
      </c>
      <c r="AE71" s="91" t="str">
        <f t="shared" si="12"/>
        <v>aws s3 cp s3://rtdc.mdm.uploadarchive.raw/RTDC4015/ "%USERPROFILE%\AppData\Local\Temp\OnboardLogs"\RTDC4015\2016-10-18 --exclude "*" --recursive --include "*20161018*" &amp; "%USERPROFILE%\Documents\GitHub\mrs-test-scripts\Headless Mode &amp; Sideloading\WalkAndUnGZ.bat" "%USERPROFILE%\AppData\Local\Temp\OnboardLogs"\RTDC4015\2016-10-18 &amp; aws s3 cp s3://rtdc.mdm.uploadarchive.raw/RTDC4015/ "%USERPROFILE%\AppData\Local\Temp\OnboardLogs"\RTDC4015\2016-10-19 --exclude "*" --recursive --include "*20161019*" &amp; "%USERPROFILE%\Documents\GitHub\mrs-test-scripts\Headless Mode &amp; Sideloading\WalkAndUnGZ.bat" "%USERPROFILE%\AppData\Local\Temp\OnboardLogs"\RTDC4015\2016-10-19</v>
      </c>
      <c r="AF71" s="88" t="str">
        <f t="shared" si="13"/>
        <v>"C:\Program Files (x86)\AstroGrep\AstroGrep.exe" /spath="%USERPROFILE%\AppData\Local\Temp\OnboardLogs" /stypes="app*4015*20161018*"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158-18 --locoid 4015 --swversion DE.1.0.7.0 --startMP 204:232982 --initTime 2016-10-18T11:26:01 --startdatetime 2016-10-18T11:41:31 --delay 1 --endMP 204:152 --enddatetime 2016-10-18T12:18:54 --enforcementcount 0 &gt;&gt;C:\Users\stu\Documents\GitHub\eaglep3-reporting\EC\2016-10-18-refined-times.txt</v>
      </c>
      <c r="AI71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{"issue":{"subject":"","project_id":79,"tracker_id":40,"status_id":1,"priority_id":2,"assigned_to_id":23,"start_date":"2016-10-18","description":"","custom_fields":[{"id":1,"name":"Subdivision","value":"EC"},{"id":4,"name":"Milepost","value":"0.0152"},{"id":17,"name":"Train ID","value":"158-18"},{"id":16,"name":"Locomotive ID","value":"4015"},{"id":130,"name":"Impact","value":""},{"id":150,"name":"Time of Event (Mountain Time)","value":"12:18:54"},{"id":151,"name":"Denver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514</v>
      </c>
      <c r="B72" s="7">
        <v>4042</v>
      </c>
      <c r="C72" s="22" t="s">
        <v>99</v>
      </c>
      <c r="D72" s="22" t="s">
        <v>667</v>
      </c>
      <c r="E72" s="13">
        <v>42661.45952546296</v>
      </c>
      <c r="F72" s="13">
        <v>42661.461678240739</v>
      </c>
      <c r="G72" s="7">
        <v>1</v>
      </c>
      <c r="H72" s="13" t="s">
        <v>326</v>
      </c>
      <c r="I72" s="13">
        <v>42661.490856481483</v>
      </c>
      <c r="J72" s="7">
        <v>0</v>
      </c>
      <c r="K72" s="112" t="str">
        <f t="shared" si="0"/>
        <v>4041/4042</v>
      </c>
      <c r="L72" s="22" t="str">
        <f>VLOOKUP(A72,'Trips&amp;Operators'!$C$1:$E$10000,3,FALSE)</f>
        <v>ROBINSON</v>
      </c>
      <c r="M72" s="6">
        <f t="shared" si="1"/>
        <v>2.9178240743931383E-2</v>
      </c>
      <c r="N72" s="7">
        <f t="shared" si="23"/>
        <v>42.016666671261191</v>
      </c>
      <c r="O72" s="7"/>
      <c r="P72" s="7"/>
      <c r="Q72" s="23"/>
      <c r="R72" s="23"/>
      <c r="S72" s="35">
        <f t="shared" si="22"/>
        <v>1</v>
      </c>
      <c r="T72" s="50" t="str">
        <f t="shared" si="4"/>
        <v>NorthBound</v>
      </c>
      <c r="U72" s="18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10:01:43-0600',mode:absolute,to:'2016-10-18 12:46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2" s="52" t="str">
        <f t="shared" si="6"/>
        <v>N</v>
      </c>
      <c r="X72" s="174">
        <f t="shared" si="24"/>
        <v>1</v>
      </c>
      <c r="Y72" s="67">
        <f t="shared" si="8"/>
        <v>0.1169</v>
      </c>
      <c r="Z72" s="67">
        <f t="shared" si="9"/>
        <v>23.330400000000001</v>
      </c>
      <c r="AA72" s="67">
        <f t="shared" si="10"/>
        <v>23.2135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0159-18</v>
      </c>
      <c r="AE72" s="91" t="str">
        <f t="shared" si="12"/>
        <v>aws s3 cp s3://rtdc.mdm.uploadarchive.raw/RTDC4042/ "%USERPROFILE%\AppData\Local\Temp\OnboardLogs"\RTDC4042\2016-10-18 --exclude "*" --recursive --include "*20161018*" &amp; "%USERPROFILE%\Documents\GitHub\mrs-test-scripts\Headless Mode &amp; Sideloading\WalkAndUnGZ.bat" "%USERPROFILE%\AppData\Local\Temp\OnboardLogs"\RTDC4042\2016-10-18 &amp; 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</v>
      </c>
      <c r="AF72" s="88" t="str">
        <f t="shared" si="13"/>
        <v>"C:\Program Files (x86)\AstroGrep\AstroGrep.exe" /spath="%USERPROFILE%\AppData\Local\Temp\OnboardLogs" /stypes="app*4042*20161018*" /stext=" 17:.+((SYSTEM_STATE.+slice.+state.+changed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159-18 --locoid 4042 --swversion DE.1.0.7.0 --startMP 204:1169 --initTime 2016-10-18T11:01:43 --startdatetime 2016-10-18T11:04:49 --delay 1 --endMP 204:233304 --enddatetime 2016-10-18T11:46:50 --enforcementcount 0 &gt;&gt;C:\Users\stu\Documents\GitHub\eaglep3-reporting\EC\2016-10-18-refined-times.txt</v>
      </c>
      <c r="AI72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{"issue":{"subject":"","project_id":79,"tracker_id":40,"status_id":1,"priority_id":2,"assigned_to_id":23,"start_date":"2016-10-18","description":"","custom_fields":[{"id":1,"name":"Subdivision","value":"EC"},{"id":4,"name":"Milepost","value":"23.3304"},{"id":17,"name":"Train ID","value":"159-18"},{"id":16,"name":"Locomotive ID","value":"4042"},{"id":130,"name":"Impact","value":""},{"id":150,"name":"Time of Event (Mountain Time)","value":"11:46:50"},{"id":151,"name":"Denver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523</v>
      </c>
      <c r="B73" s="7">
        <v>4041</v>
      </c>
      <c r="C73" s="22" t="s">
        <v>99</v>
      </c>
      <c r="D73" s="22" t="s">
        <v>280</v>
      </c>
      <c r="E73" s="13">
        <v>42661.492303240739</v>
      </c>
      <c r="F73" s="13">
        <v>42661.497395833336</v>
      </c>
      <c r="G73" s="7">
        <v>1</v>
      </c>
      <c r="H73" s="13" t="s">
        <v>318</v>
      </c>
      <c r="I73" s="13">
        <v>42661.524548611109</v>
      </c>
      <c r="J73" s="7">
        <v>0</v>
      </c>
      <c r="K73" s="112" t="str">
        <f t="shared" si="0"/>
        <v>4041/4042</v>
      </c>
      <c r="L73" s="22" t="str">
        <f>VLOOKUP(A73,'Trips&amp;Operators'!$C$1:$E$10000,3,FALSE)</f>
        <v>ROBINSON</v>
      </c>
      <c r="M73" s="6">
        <f t="shared" si="1"/>
        <v>2.7152777773153502E-2</v>
      </c>
      <c r="N73" s="7">
        <f t="shared" si="23"/>
        <v>39.099999993341044</v>
      </c>
      <c r="O73" s="7"/>
      <c r="P73" s="7"/>
      <c r="Q73" s="23"/>
      <c r="R73" s="23"/>
      <c r="S73" s="35">
        <f t="shared" si="22"/>
        <v>1</v>
      </c>
      <c r="T73" s="50" t="str">
        <f t="shared" si="4"/>
        <v>Southbound</v>
      </c>
      <c r="U73" s="18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10:48:55-0600',mode:absolute,to:'2016-10-18 13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3" s="52" t="str">
        <f t="shared" si="6"/>
        <v>N</v>
      </c>
      <c r="X73" s="174">
        <f t="shared" si="24"/>
        <v>1</v>
      </c>
      <c r="Y73" s="67">
        <f t="shared" si="8"/>
        <v>23.299399999999999</v>
      </c>
      <c r="Z73" s="67">
        <f t="shared" si="9"/>
        <v>1.3899999999999999E-2</v>
      </c>
      <c r="AA73" s="67">
        <f t="shared" si="10"/>
        <v>23.285499999999999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0160-18</v>
      </c>
      <c r="AE73" s="91" t="str">
        <f t="shared" si="12"/>
        <v>aws s3 cp s3://rtdc.mdm.uploadarchive.raw/RTDC4041/ "%USERPROFILE%\AppData\Local\Temp\OnboardLogs"\RTDC4041\2016-10-18 --exclude "*" --recursive --include "*20161018*" &amp; "%USERPROFILE%\Documents\GitHub\mrs-test-scripts\Headless Mode &amp; Sideloading\WalkAndUnGZ.bat" "%USERPROFILE%\AppData\Local\Temp\OnboardLogs"\RTDC4041\2016-10-18 &amp; aws s3 cp s3://rtdc.mdm.uploadarchive.raw/RTDC4041/ "%USERPROFILE%\AppData\Local\Temp\OnboardLogs"\RTDC4041\2016-10-19 --exclude "*" --recursive --include "*20161019*" &amp; "%USERPROFILE%\Documents\GitHub\mrs-test-scripts\Headless Mode &amp; Sideloading\WalkAndUnGZ.bat" "%USERPROFILE%\AppData\Local\Temp\OnboardLogs"\RTDC4041\2016-10-19</v>
      </c>
      <c r="AF73" s="88" t="str">
        <f t="shared" si="13"/>
        <v>"C:\Program Files (x86)\AstroGrep\AstroGrep.exe" /spath="%USERPROFILE%\AppData\Local\Temp\OnboardLogs" /stypes="app*4041*20161018*"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160-18 --locoid 4041 --swversion DE.1.0.7.0 --startMP 204:232994 --initTime 2016-10-18T11:48:55 --startdatetime 2016-10-18T11:56:15 --delay 1 --endMP 204:139 --enddatetime 2016-10-18T12:35:21 --enforcementcount 0 &gt;&gt;C:\Users\stu\Documents\GitHub\eaglep3-reporting\EC\2016-10-18-refined-times.txt</v>
      </c>
      <c r="AI73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{"issue":{"subject":"","project_id":79,"tracker_id":40,"status_id":1,"priority_id":2,"assigned_to_id":23,"start_date":"2016-10-18","description":"","custom_fields":[{"id":1,"name":"Subdivision","value":"EC"},{"id":4,"name":"Milepost","value":"0.0139"},{"id":17,"name":"Train ID","value":"160-18"},{"id":16,"name":"Locomotive ID","value":"4041"},{"id":130,"name":"Impact","value":""},{"id":150,"name":"Time of Event (Mountain Time)","value":"12:35:21"},{"id":151,"name":"Denver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517</v>
      </c>
      <c r="B74" s="7">
        <v>4018</v>
      </c>
      <c r="C74" s="22" t="s">
        <v>99</v>
      </c>
      <c r="D74" s="22" t="s">
        <v>257</v>
      </c>
      <c r="E74" s="13">
        <v>42661.470763888887</v>
      </c>
      <c r="F74" s="13">
        <v>42661.475358796299</v>
      </c>
      <c r="G74" s="7">
        <v>1</v>
      </c>
      <c r="H74" s="13" t="s">
        <v>324</v>
      </c>
      <c r="I74" s="13">
        <v>42661.501273148147</v>
      </c>
      <c r="J74" s="7">
        <v>0</v>
      </c>
      <c r="K74" s="112" t="str">
        <f t="shared" si="0"/>
        <v>4017/4018</v>
      </c>
      <c r="L74" s="22" t="str">
        <f>VLOOKUP(A74,'Trips&amp;Operators'!$C$1:$E$10000,3,FALSE)</f>
        <v>SWANSON</v>
      </c>
      <c r="M74" s="6">
        <f t="shared" si="1"/>
        <v>2.5914351848769002E-2</v>
      </c>
      <c r="N74" s="7">
        <f t="shared" si="23"/>
        <v>37.316666662227362</v>
      </c>
      <c r="O74" s="7"/>
      <c r="P74" s="7"/>
      <c r="Q74" s="23"/>
      <c r="R74" s="23"/>
      <c r="S74" s="35">
        <f t="shared" si="22"/>
        <v>1</v>
      </c>
      <c r="T74" s="50" t="str">
        <f t="shared" si="4"/>
        <v>NorthBound</v>
      </c>
      <c r="U74" s="18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10:17:54-0600',mode:absolute,to:'2016-10-18 13:01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4" s="52" t="str">
        <f t="shared" si="6"/>
        <v>N</v>
      </c>
      <c r="X74" s="174">
        <f t="shared" si="24"/>
        <v>1</v>
      </c>
      <c r="Y74" s="67">
        <f t="shared" si="8"/>
        <v>4.5100000000000001E-2</v>
      </c>
      <c r="Z74" s="67">
        <f t="shared" si="9"/>
        <v>23.3278</v>
      </c>
      <c r="AA74" s="67">
        <f t="shared" si="10"/>
        <v>23.282699999999998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0161-18</v>
      </c>
      <c r="AE74" s="91" t="str">
        <f t="shared" si="12"/>
        <v>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 &amp; aws s3 cp s3://rtdc.mdm.uploadarchive.raw/RTDC4018/ "%USERPROFILE%\AppData\Local\Temp\OnboardLogs"\RTDC4018\2016-10-19 --exclude "*" --recursive --include "*20161019*" &amp; "%USERPROFILE%\Documents\GitHub\mrs-test-scripts\Headless Mode &amp; Sideloading\WalkAndUnGZ.bat" "%USERPROFILE%\AppData\Local\Temp\OnboardLogs"\RTDC4018\2016-10-19</v>
      </c>
      <c r="AF74" s="88" t="str">
        <f t="shared" si="13"/>
        <v>"C:\Program Files (x86)\AstroGrep\AstroGrep.exe" /spath="%USERPROFILE%\AppData\Local\Temp\OnboardLogs" /stypes="app*4018*20161018*"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161-18 --locoid 4018 --swversion DE.1.0.7.0 --startMP 204:451 --initTime 2016-10-18T11:17:54 --startdatetime 2016-10-18T11:24:31 --delay 1 --endMP 204:233278 --enddatetime 2016-10-18T12:01:50 --enforcementcount 0 &gt;&gt;C:\Users\stu\Documents\GitHub\eaglep3-reporting\EC\2016-10-18-refined-times.txt</v>
      </c>
      <c r="AI74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{"issue":{"subject":"","project_id":79,"tracker_id":40,"status_id":1,"priority_id":2,"assigned_to_id":23,"start_date":"2016-10-18","description":"","custom_fields":[{"id":1,"name":"Subdivision","value":"EC"},{"id":4,"name":"Milepost","value":"23.3278"},{"id":17,"name":"Train ID","value":"161-18"},{"id":16,"name":"Locomotive ID","value":"4018"},{"id":130,"name":"Impact","value":""},{"id":150,"name":"Time of Event (Mountain Time)","value":"12:01:50"},{"id":151,"name":"Denver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526</v>
      </c>
      <c r="B75" s="7">
        <v>4017</v>
      </c>
      <c r="C75" s="22" t="s">
        <v>99</v>
      </c>
      <c r="D75" s="22" t="s">
        <v>292</v>
      </c>
      <c r="E75" s="13">
        <v>42661.503252314818</v>
      </c>
      <c r="F75" s="13">
        <v>42661.508009259262</v>
      </c>
      <c r="G75" s="7">
        <v>1</v>
      </c>
      <c r="H75" s="13" t="s">
        <v>229</v>
      </c>
      <c r="I75" s="13">
        <v>42661.537372685183</v>
      </c>
      <c r="J75" s="7">
        <v>0</v>
      </c>
      <c r="K75" s="112" t="str">
        <f t="shared" si="0"/>
        <v>4017/4018</v>
      </c>
      <c r="L75" s="22" t="str">
        <f>VLOOKUP(A75,'Trips&amp;Operators'!$C$1:$E$10000,3,FALSE)</f>
        <v>SWANSON</v>
      </c>
      <c r="M75" s="6">
        <f t="shared" si="1"/>
        <v>2.9363425921474118E-2</v>
      </c>
      <c r="N75" s="7">
        <f t="shared" si="23"/>
        <v>42.28333332692273</v>
      </c>
      <c r="O75" s="7"/>
      <c r="P75" s="7"/>
      <c r="Q75" s="23"/>
      <c r="R75" s="23"/>
      <c r="S75" s="35">
        <f t="shared" si="22"/>
        <v>1</v>
      </c>
      <c r="T75" s="50" t="str">
        <f t="shared" si="4"/>
        <v>Southbound</v>
      </c>
      <c r="U75" s="18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11:04:41-0600',mode:absolute,to:'2016-10-18 13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5" s="52" t="str">
        <f t="shared" si="6"/>
        <v>N</v>
      </c>
      <c r="X75" s="174">
        <f t="shared" si="24"/>
        <v>1</v>
      </c>
      <c r="Y75" s="67">
        <f t="shared" si="8"/>
        <v>23.296500000000002</v>
      </c>
      <c r="Z75" s="67">
        <f t="shared" si="9"/>
        <v>1.49E-2</v>
      </c>
      <c r="AA75" s="67">
        <f t="shared" si="10"/>
        <v>23.281600000000001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0162-18</v>
      </c>
      <c r="AE75" s="91" t="str">
        <f t="shared" si="12"/>
        <v>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 &amp; aws s3 cp s3://rtdc.mdm.uploadarchive.raw/RTDC4017/ "%USERPROFILE%\AppData\Local\Temp\OnboardLogs"\RTDC4017\2016-10-19 --exclude "*" --recursive --include "*20161019*" &amp; "%USERPROFILE%\Documents\GitHub\mrs-test-scripts\Headless Mode &amp; Sideloading\WalkAndUnGZ.bat" "%USERPROFILE%\AppData\Local\Temp\OnboardLogs"\RTDC4017\2016-10-19</v>
      </c>
      <c r="AF75" s="88" t="str">
        <f t="shared" si="13"/>
        <v>"C:\Program Files (x86)\AstroGrep\AstroGrep.exe" /spath="%USERPROFILE%\AppData\Local\Temp\OnboardLogs" /stypes="app*4017*20161018*" /stext=" 18:.+((SYSTEM_STATE.+slice.+state.+changed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162-18 --locoid 4017 --swversion DE.1.0.7.0 --startMP 204:232965 --initTime 2016-10-18T12:04:41 --startdatetime 2016-10-18T12:11:32 --delay 1 --endMP 204:149 --enddatetime 2016-10-18T12:53:49 --enforcementcount 0 &gt;&gt;C:\Users\stu\Documents\GitHub\eaglep3-reporting\EC\2016-10-18-refined-times.txt</v>
      </c>
      <c r="AI75" s="122" t="str">
        <f t="shared" si="18"/>
        <v>echo {"issue":{"subject":"","project_id":79,"tracker_id":40,"status_id":1,"priority_id":2,"assigned_to_id":23,"start_date":"2016-10-18","description":"","custom_fields":[{"id":1,"name":"Subdivision","value":"EC"},{"id":4,"name":"Milepost","value":"0.0149"},{"id":17,"name":"Train ID","value":"162-18"},{"id":16,"name":"Locomotive ID","value":"4017"},{"id":130,"name":"Impact","value":""},{"id":150,"name":"Time of Event (Mountain Time)","value":"12:53:49"},{"id":151,"name":"Denver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520</v>
      </c>
      <c r="B76" s="7">
        <v>4029</v>
      </c>
      <c r="C76" s="22" t="s">
        <v>99</v>
      </c>
      <c r="D76" s="22" t="s">
        <v>668</v>
      </c>
      <c r="E76" s="13">
        <v>42661.478298611109</v>
      </c>
      <c r="F76" s="13">
        <v>42661.480081018519</v>
      </c>
      <c r="G76" s="7">
        <v>1</v>
      </c>
      <c r="H76" s="13" t="s">
        <v>196</v>
      </c>
      <c r="I76" s="13">
        <v>42661.503958333335</v>
      </c>
      <c r="J76" s="7">
        <v>0</v>
      </c>
      <c r="K76" s="112" t="str">
        <f t="shared" si="0"/>
        <v>4029/4030</v>
      </c>
      <c r="L76" s="22" t="str">
        <f>VLOOKUP(A76,'Trips&amp;Operators'!$C$1:$E$10000,3,FALSE)</f>
        <v>HELVIE</v>
      </c>
      <c r="M76" s="6">
        <f t="shared" si="1"/>
        <v>2.3877314815763384E-2</v>
      </c>
      <c r="N76" s="7">
        <f t="shared" si="23"/>
        <v>34.383333334699273</v>
      </c>
      <c r="O76" s="7"/>
      <c r="P76" s="7"/>
      <c r="Q76" s="23"/>
      <c r="R76" s="23"/>
      <c r="S76" s="35">
        <f t="shared" si="22"/>
        <v>1</v>
      </c>
      <c r="T76" s="50" t="str">
        <f t="shared" si="4"/>
        <v>NorthBound</v>
      </c>
      <c r="U76" s="18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https://search-rtdc-monitor-bjffxe2xuh6vdkpspy63sjmuny.us-east-1.es.amazonaws.com/_plugin/kibana/#/discover/Steve-Slow-Train-Analysis-(2080s-and-2083s)?_g=(refreshInterval:(display:Off,section:0,value:0),time:(from:'2016-10-18 10:28:45-0600',mode:absolute,to:'2016-10-18 13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6" s="52" t="str">
        <f t="shared" si="6"/>
        <v>N</v>
      </c>
      <c r="X76" s="174">
        <f t="shared" si="24"/>
        <v>1</v>
      </c>
      <c r="Y76" s="67">
        <f t="shared" si="8"/>
        <v>7.7700000000000005E-2</v>
      </c>
      <c r="Z76" s="67">
        <f t="shared" si="9"/>
        <v>23.329699999999999</v>
      </c>
      <c r="AA76" s="67">
        <f t="shared" si="10"/>
        <v>23.251999999999999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11"/>
        <v>0163-18</v>
      </c>
      <c r="AE76" s="91" t="str">
        <f t="shared" si="12"/>
        <v>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 &amp; 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</v>
      </c>
      <c r="AF76" s="88" t="str">
        <f t="shared" si="13"/>
        <v>"C:\Program Files (x86)\AstroGrep\AstroGrep.exe" /spath="%USERPROFILE%\AppData\Local\Temp\OnboardLogs" /stypes="app*4029*20161018*" /stext=" 18:.+((SYSTEM_STATE.+slice.+state.+changed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ref="AH76:AH139" si="25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163-18 --locoid 4029 --swversion DE.1.0.7.0 --startMP 204:777 --initTime 2016-10-18T11:28:45 --startdatetime 2016-10-18T11:31:19 --delay 1 --endMP 204:233297 --enddatetime 2016-10-18T12:05:42 --enforcementcount 0 &gt;&gt;C:\Users\stu\Documents\GitHub\eaglep3-reporting\EC\2016-10-18-refined-times.txt</v>
      </c>
      <c r="AI76" s="122" t="str">
        <f t="shared" ref="AI76:AI139" si="26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{"issue":{"subject":"","project_id":79,"tracker_id":40,"status_id":1,"priority_id":2,"assigned_to_id":23,"start_date":"2016-10-18","description":"","custom_fields":[{"id":1,"name":"Subdivision","value":"EC"},{"id":4,"name":"Milepost","value":"23.3297"},{"id":17,"name":"Train ID","value":"163-18"},{"id":16,"name":"Locomotive ID","value":"4029"},{"id":130,"name":"Impact","value":""},{"id":150,"name":"Time of Event (Mountain Time)","value":"12:05:42"},{"id":151,"name":"Denver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529</v>
      </c>
      <c r="B77" s="7">
        <v>4030</v>
      </c>
      <c r="C77" s="22" t="s">
        <v>99</v>
      </c>
      <c r="D77" s="22" t="s">
        <v>251</v>
      </c>
      <c r="E77" s="13">
        <v>42661.512685185182</v>
      </c>
      <c r="F77" s="13">
        <v>42661.518368055556</v>
      </c>
      <c r="G77" s="7">
        <v>1</v>
      </c>
      <c r="H77" s="13" t="s">
        <v>250</v>
      </c>
      <c r="I77" s="13">
        <v>42661.544641203705</v>
      </c>
      <c r="J77" s="7">
        <v>0</v>
      </c>
      <c r="K77" s="112" t="str">
        <f t="shared" ref="K77:K140" si="27">IF(ISEVEN(B77),(B77-1)&amp;"/"&amp;B77,B77&amp;"/"&amp;(B77+1))</f>
        <v>4029/4030</v>
      </c>
      <c r="L77" s="22" t="str">
        <f>VLOOKUP(A77,'Trips&amp;Operators'!$C$1:$E$10000,3,FALSE)</f>
        <v>HAUSER</v>
      </c>
      <c r="M77" s="6">
        <f t="shared" ref="M77:M140" si="28">I77-F77</f>
        <v>2.6273148148902692E-2</v>
      </c>
      <c r="N77" s="7">
        <f t="shared" si="23"/>
        <v>37.833333334419876</v>
      </c>
      <c r="O77" s="7"/>
      <c r="P77" s="7"/>
      <c r="Q77" s="23"/>
      <c r="R77" s="23"/>
      <c r="S77" s="35">
        <f t="shared" si="22"/>
        <v>1</v>
      </c>
      <c r="T77" s="50" t="str">
        <f t="shared" ref="T77:T140" si="29">IF(ISEVEN(LEFT(AD77,4)),"Southbound","NorthBound")</f>
        <v>Southbound</v>
      </c>
      <c r="U77" s="18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0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https://search-rtdc-monitor-bjffxe2xuh6vdkpspy63sjmuny.us-east-1.es.amazonaws.com/_plugin/kibana/#/discover/Steve-Slow-Train-Analysis-(2080s-and-2083s)?_g=(refreshInterval:(display:Off,section:0,value:0),time:(from:'2016-10-18 11:18:16-0600',mode:absolute,to:'2016-10-18 14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7" s="52" t="str">
        <f t="shared" ref="W77:W140" si="31">IF(AA77&lt;IF(AG77="EC",23,5.65),"Y","N")</f>
        <v>N</v>
      </c>
      <c r="X77" s="174">
        <f t="shared" ref="X77:X108" si="32">VALUE(LEFT(AD77,4))-VALUE(LEFT(AD76,4))</f>
        <v>1</v>
      </c>
      <c r="Y77" s="67">
        <f t="shared" ref="Y77:Y140" si="33">RIGHT(D77,LEN(D77)-4)/10000</f>
        <v>23.297899999999998</v>
      </c>
      <c r="Z77" s="67">
        <f t="shared" ref="Z77:Z140" si="34">RIGHT(H77,LEN(H77)-4)/10000</f>
        <v>1.6E-2</v>
      </c>
      <c r="AA77" s="67">
        <f t="shared" ref="AA77:AA140" si="35">ABS(Z77-Y77)</f>
        <v>23.2819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40" si="36">IF(LEN(A77)=6,"0"&amp;A77,A77)</f>
        <v>0164-18</v>
      </c>
      <c r="AE77" s="91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 &amp; aws s3 cp s3://rtdc.mdm.uploadarchive.raw/RTDC4030/ "%USERPROFILE%\AppData\Local\Temp\OnboardLogs"\RTDC4030\2016-10-19 --exclude "*" --recursive --include "*20161019*" &amp; "%USERPROFILE%\Documents\GitHub\mrs-test-scripts\Headless Mode &amp; Sideloading\WalkAndUnGZ.bat" "%USERPROFILE%\AppData\Local\Temp\OnboardLogs"\RTDC4030\2016-10-19</v>
      </c>
      <c r="AF77" s="88" t="str">
        <f t="shared" ref="AF77:AF140" si="3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/stypes="app*4030*20161018*" /stext=" 19:.+((SYSTEM_STATE.+slice.+state.+changed )|(ment ac)|(system.+state.+changed )|(\[timeout)|(PRM\|1\|D)|(kpr)|(kdp)|(\|lc)|(penalty))" /e /r /s</v>
      </c>
      <c r="AG77" s="1" t="str">
        <f t="shared" ref="AG77:AG140" si="39">IFERROR(IF(VALUE(LEFT(AD77,2))&lt;=2,"EC",IF(OR(VALUE(LEFT(AD77,2))=8,VALUE(LEFT(AD77,2))=18),"NW","Other")),"Other")</f>
        <v>EC</v>
      </c>
      <c r="AH77" s="92" t="str">
        <f t="shared" si="25"/>
        <v>"%USERPROFILE%\Documents\GitHub\eaglep3\Utilities\RefineRTDCRunTimes.py" --tripid 164-18 --locoid 4030 --swversion DE.1.0.7.0 --startMP 204:232979 --initTime 2016-10-18T12:18:16 --startdatetime 2016-10-18T12:26:27 --delay 1 --endMP 204:160 --enddatetime 2016-10-18T13:04:17 --enforcementcount 0 &gt;&gt;C:\Users\stu\Documents\GitHub\eaglep3-reporting\EC\2016-10-18-refined-times.txt</v>
      </c>
      <c r="AI77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{"issue":{"subject":"","project_id":79,"tracker_id":40,"status_id":1,"priority_id":2,"assigned_to_id":23,"start_date":"2016-10-18","description":"","custom_fields":[{"id":1,"name":"Subdivision","value":"EC"},{"id":4,"name":"Milepost","value":"0.016"},{"id":17,"name":"Train ID","value":"164-18"},{"id":16,"name":"Locomotive ID","value":"4030"},{"id":130,"name":"Impact","value":""},{"id":150,"name":"Time of Event (Mountain Time)","value":"13:04:17"},{"id":151,"name":"Denver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423</v>
      </c>
      <c r="B78" s="7">
        <v>4011</v>
      </c>
      <c r="C78" s="22" t="s">
        <v>99</v>
      </c>
      <c r="D78" s="22" t="s">
        <v>669</v>
      </c>
      <c r="E78" s="13">
        <v>42661.48710648148</v>
      </c>
      <c r="F78" s="13">
        <v>42661.489791666667</v>
      </c>
      <c r="G78" s="7">
        <v>1</v>
      </c>
      <c r="H78" s="13" t="s">
        <v>372</v>
      </c>
      <c r="I78" s="13">
        <v>42661.517175925925</v>
      </c>
      <c r="J78" s="7">
        <v>0</v>
      </c>
      <c r="K78" s="112" t="str">
        <f t="shared" si="27"/>
        <v>4011/4012</v>
      </c>
      <c r="L78" s="22" t="str">
        <f>VLOOKUP(A78,'Trips&amp;Operators'!$C$1:$E$10000,3,FALSE)</f>
        <v>HAITHCOX</v>
      </c>
      <c r="M78" s="6">
        <f t="shared" si="28"/>
        <v>2.7384259257814847E-2</v>
      </c>
      <c r="N78" s="7">
        <f t="shared" si="23"/>
        <v>39.43333333125338</v>
      </c>
      <c r="O78" s="7"/>
      <c r="P78" s="7"/>
      <c r="Q78" s="23"/>
      <c r="R78" s="23"/>
      <c r="S78" s="35">
        <f t="shared" si="22"/>
        <v>1</v>
      </c>
      <c r="T78" s="50" t="str">
        <f t="shared" si="29"/>
        <v>NorthBound</v>
      </c>
      <c r="U78" s="18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10:41:26-0600',mode:absolute,to:'2016-10-18 13:24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8" s="52" t="str">
        <f t="shared" si="31"/>
        <v>N</v>
      </c>
      <c r="X78" s="174">
        <f t="shared" si="32"/>
        <v>1</v>
      </c>
      <c r="Y78" s="67">
        <f t="shared" si="33"/>
        <v>4.6199999999999998E-2</v>
      </c>
      <c r="Z78" s="67">
        <f t="shared" si="34"/>
        <v>23.3307</v>
      </c>
      <c r="AA78" s="67">
        <f t="shared" si="35"/>
        <v>23.284500000000001</v>
      </c>
      <c r="AB78" s="64" t="str">
        <f>VLOOKUP(A78,Enforcements!$C$7:$K$21,8,0)</f>
        <v>Speed (6)</v>
      </c>
      <c r="AC78" s="60" t="str">
        <f>VLOOKUP(A78,Enforcements!$C$7:$E$21,3,0)</f>
        <v>PERMANENT SPEED RESTRICTION</v>
      </c>
      <c r="AD78" s="61" t="str">
        <f t="shared" si="36"/>
        <v>0165-18</v>
      </c>
      <c r="AE78" s="91" t="str">
        <f t="shared" si="37"/>
        <v>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 &amp; 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</v>
      </c>
      <c r="AF78" s="88" t="str">
        <f t="shared" si="38"/>
        <v>"C:\Program Files (x86)\AstroGrep\AstroGrep.exe" /spath="%USERPROFILE%\AppData\Local\Temp\OnboardLogs" /stypes="app*4011*20161018*" /stext=" 18:.+((SYSTEM_STATE.+slice.+state.+changed )|(ment ac)|(system.+state.+changed )|(\[timeout)|(PRM\|1\|D)|(kpr)|(kdp)|(\|lc)|(penalty))" /e /r /s</v>
      </c>
      <c r="AG78" s="1" t="str">
        <f t="shared" si="39"/>
        <v>EC</v>
      </c>
      <c r="AH78" s="92" t="str">
        <f t="shared" si="25"/>
        <v>"%USERPROFILE%\Documents\GitHub\eaglep3\Utilities\RefineRTDCRunTimes.py" --tripid 165-18 --locoid 4011 --swversion DE.1.0.7.0 --startMP 204:462 --initTime 2016-10-18T11:41:26 --startdatetime 2016-10-18T11:45:18 --delay 1 --endMP 204:233307 --enddatetime 2016-10-18T12:24:44 --enforcementcount 0 &gt;&gt;C:\Users\stu\Documents\GitHub\eaglep3-reporting\EC\2016-10-18-refined-times.txt</v>
      </c>
      <c r="AI78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{"issue":{"subject":"","project_id":79,"tracker_id":40,"status_id":1,"priority_id":2,"assigned_to_id":23,"start_date":"2016-10-18","description":"","custom_fields":[{"id":1,"name":"Subdivision","value":"EC"},{"id":4,"name":"Milepost","value":"23.3307"},{"id":17,"name":"Train ID","value":"165-18"},{"id":16,"name":"Locomotive ID","value":"4011"},{"id":130,"name":"Impact","value":""},{"id":150,"name":"Time of Event (Mountain Time)","value":"12:24:44"},{"id":151,"name":"Denver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532</v>
      </c>
      <c r="B79" s="7">
        <v>4012</v>
      </c>
      <c r="C79" s="22" t="s">
        <v>99</v>
      </c>
      <c r="D79" s="22" t="s">
        <v>283</v>
      </c>
      <c r="E79" s="13">
        <v>42661.524224537039</v>
      </c>
      <c r="F79" s="13">
        <v>42661.528657407405</v>
      </c>
      <c r="G79" s="7">
        <v>1</v>
      </c>
      <c r="H79" s="13" t="s">
        <v>177</v>
      </c>
      <c r="I79" s="13">
        <v>42661.556493055556</v>
      </c>
      <c r="J79" s="7">
        <v>0</v>
      </c>
      <c r="K79" s="112" t="str">
        <f t="shared" si="27"/>
        <v>4011/4012</v>
      </c>
      <c r="L79" s="22" t="str">
        <f>VLOOKUP(A79,'Trips&amp;Operators'!$C$1:$E$10000,3,FALSE)</f>
        <v>HAITHCOX</v>
      </c>
      <c r="M79" s="6">
        <f t="shared" si="28"/>
        <v>2.7835648150357883E-2</v>
      </c>
      <c r="N79" s="7">
        <f t="shared" si="23"/>
        <v>40.083333336515352</v>
      </c>
      <c r="O79" s="7"/>
      <c r="P79" s="7"/>
      <c r="Q79" s="23"/>
      <c r="R79" s="23"/>
      <c r="S79" s="35">
        <f t="shared" ref="S79:S110" si="40">SUM(U79:U79)/IF(AG79="EC",12,1)</f>
        <v>1</v>
      </c>
      <c r="T79" s="50" t="str">
        <f t="shared" si="29"/>
        <v>Southbound</v>
      </c>
      <c r="U79" s="18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11:34:53-0600',mode:absolute,to:'2016-10-18 14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9" s="52" t="str">
        <f t="shared" si="31"/>
        <v>N</v>
      </c>
      <c r="X79" s="174">
        <f t="shared" si="32"/>
        <v>1</v>
      </c>
      <c r="Y79" s="67">
        <f t="shared" si="33"/>
        <v>23.2971</v>
      </c>
      <c r="Z79" s="67">
        <f t="shared" si="34"/>
        <v>1.52E-2</v>
      </c>
      <c r="AA79" s="67">
        <f t="shared" si="35"/>
        <v>23.2819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6"/>
        <v>0166-18</v>
      </c>
      <c r="AE79" s="91" t="str">
        <f t="shared" si="37"/>
        <v>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 &amp; 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</v>
      </c>
      <c r="AF79" s="88" t="str">
        <f t="shared" si="38"/>
        <v>"C:\Program Files (x86)\AstroGrep\AstroGrep.exe" /spath="%USERPROFILE%\AppData\Local\Temp\OnboardLogs" /stypes="app*4012*20161018*" /stext=" 19:.+((SYSTEM_STATE.+slice.+state.+changed )|(ment ac)|(system.+state.+changed )|(\[timeout)|(PRM\|1\|D)|(kpr)|(kdp)|(\|lc)|(penalty))" /e /r /s</v>
      </c>
      <c r="AG79" s="1" t="str">
        <f t="shared" si="39"/>
        <v>EC</v>
      </c>
      <c r="AH79" s="92" t="str">
        <f t="shared" si="25"/>
        <v>"%USERPROFILE%\Documents\GitHub\eaglep3\Utilities\RefineRTDCRunTimes.py" --tripid 166-18 --locoid 4012 --swversion DE.1.0.7.0 --startMP 204:232971 --initTime 2016-10-18T12:34:53 --startdatetime 2016-10-18T12:41:16 --delay 1 --endMP 204:152 --enddatetime 2016-10-18T13:21:21 --enforcementcount 0 &gt;&gt;C:\Users\stu\Documents\GitHub\eaglep3-reporting\EC\2016-10-18-refined-times.txt</v>
      </c>
      <c r="AI79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{"issue":{"subject":"","project_id":79,"tracker_id":40,"status_id":1,"priority_id":2,"assigned_to_id":23,"start_date":"2016-10-18","description":"","custom_fields":[{"id":1,"name":"Subdivision","value":"EC"},{"id":4,"name":"Milepost","value":"0.0152"},{"id":17,"name":"Train ID","value":"166-18"},{"id":16,"name":"Locomotive ID","value":"4012"},{"id":130,"name":"Impact","value":""},{"id":150,"name":"Time of Event (Mountain Time)","value":"13:21:21"},{"id":151,"name":"Denver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524</v>
      </c>
      <c r="B80" s="7">
        <v>4044</v>
      </c>
      <c r="C80" s="22" t="s">
        <v>99</v>
      </c>
      <c r="D80" s="22" t="s">
        <v>257</v>
      </c>
      <c r="E80" s="13">
        <v>42661.496805555558</v>
      </c>
      <c r="F80" s="13">
        <v>42661.500358796293</v>
      </c>
      <c r="G80" s="7">
        <v>2</v>
      </c>
      <c r="H80" s="13" t="s">
        <v>255</v>
      </c>
      <c r="I80" s="13">
        <v>42661.52547453704</v>
      </c>
      <c r="J80" s="7">
        <v>0</v>
      </c>
      <c r="K80" s="112" t="str">
        <f t="shared" si="27"/>
        <v>4043/4044</v>
      </c>
      <c r="L80" s="22" t="str">
        <f>VLOOKUP(A80,'Trips&amp;Operators'!$C$1:$E$10000,3,FALSE)</f>
        <v>HILLS</v>
      </c>
      <c r="M80" s="6">
        <f t="shared" si="28"/>
        <v>2.5115740747423843E-2</v>
      </c>
      <c r="N80" s="7">
        <f t="shared" si="23"/>
        <v>36.166666676290333</v>
      </c>
      <c r="O80" s="7"/>
      <c r="P80" s="7"/>
      <c r="Q80" s="23"/>
      <c r="R80" s="23"/>
      <c r="S80" s="35">
        <f t="shared" si="40"/>
        <v>1</v>
      </c>
      <c r="T80" s="50" t="str">
        <f t="shared" si="29"/>
        <v>NorthBound</v>
      </c>
      <c r="U80" s="18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10:55:24-0600',mode:absolute,to:'2016-10-18 13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0" s="52" t="str">
        <f t="shared" si="31"/>
        <v>N</v>
      </c>
      <c r="X80" s="174">
        <f t="shared" si="32"/>
        <v>1</v>
      </c>
      <c r="Y80" s="67">
        <f t="shared" si="33"/>
        <v>4.5100000000000001E-2</v>
      </c>
      <c r="Z80" s="67">
        <f t="shared" si="34"/>
        <v>23.3291</v>
      </c>
      <c r="AA80" s="67">
        <f t="shared" si="35"/>
        <v>23.283999999999999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6"/>
        <v>0167-18</v>
      </c>
      <c r="AE80" s="91" t="str">
        <f t="shared" si="37"/>
        <v>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 &amp; aws s3 cp s3://rtdc.mdm.uploadarchive.raw/RTDC4044/ "%USERPROFILE%\AppData\Local\Temp\OnboardLogs"\RTDC4044\2016-10-19 --exclude "*" --recursive --include "*20161019*" &amp; "%USERPROFILE%\Documents\GitHub\mrs-test-scripts\Headless Mode &amp; Sideloading\WalkAndUnGZ.bat" "%USERPROFILE%\AppData\Local\Temp\OnboardLogs"\RTDC4044\2016-10-19</v>
      </c>
      <c r="AF80" s="88" t="str">
        <f t="shared" si="38"/>
        <v>"C:\Program Files (x86)\AstroGrep\AstroGrep.exe" /spath="%USERPROFILE%\AppData\Local\Temp\OnboardLogs" /stypes="app*4044*20161018*" /stext=" 18:.+((SYSTEM_STATE.+slice.+state.+changed )|(ment ac)|(system.+state.+changed )|(\[timeout)|(PRM\|1\|D)|(kpr)|(kdp)|(\|lc)|(penalty))" /e /r /s</v>
      </c>
      <c r="AG80" s="1" t="str">
        <f t="shared" si="39"/>
        <v>EC</v>
      </c>
      <c r="AH80" s="92" t="str">
        <f t="shared" si="25"/>
        <v>"%USERPROFILE%\Documents\GitHub\eaglep3\Utilities\RefineRTDCRunTimes.py" --tripid 167-18 --locoid 4044 --swversion DE.1.0.7.0 --startMP 204:451 --initTime 2016-10-18T11:55:24 --startdatetime 2016-10-18T12:00:31 --delay 2 --endMP 204:233291 --enddatetime 2016-10-18T12:36:41 --enforcementcount 0 &gt;&gt;C:\Users\stu\Documents\GitHub\eaglep3-reporting\EC\2016-10-18-refined-times.txt</v>
      </c>
      <c r="AI80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{"issue":{"subject":"","project_id":79,"tracker_id":40,"status_id":1,"priority_id":2,"assigned_to_id":23,"start_date":"2016-10-18","description":"","custom_fields":[{"id":1,"name":"Subdivision","value":"EC"},{"id":4,"name":"Milepost","value":"23.3291"},{"id":17,"name":"Train ID","value":"167-18"},{"id":16,"name":"Locomotive ID","value":"4044"},{"id":130,"name":"Impact","value":""},{"id":150,"name":"Time of Event (Mountain Time)","value":"12:36:41"},{"id":151,"name":"Denver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534</v>
      </c>
      <c r="B81" s="7">
        <v>4043</v>
      </c>
      <c r="C81" s="22" t="s">
        <v>99</v>
      </c>
      <c r="D81" s="22" t="s">
        <v>325</v>
      </c>
      <c r="E81" s="13">
        <v>42661.527280092596</v>
      </c>
      <c r="F81" s="13">
        <v>42661.539548611108</v>
      </c>
      <c r="G81" s="7">
        <v>1</v>
      </c>
      <c r="H81" s="13" t="s">
        <v>229</v>
      </c>
      <c r="I81" s="13">
        <v>42661.566250000003</v>
      </c>
      <c r="J81" s="7">
        <v>0</v>
      </c>
      <c r="K81" s="112" t="str">
        <f t="shared" si="27"/>
        <v>4043/4044</v>
      </c>
      <c r="L81" s="22" t="str">
        <f>VLOOKUP(A81,'Trips&amp;Operators'!$C$1:$E$10000,3,FALSE)</f>
        <v>HILLS</v>
      </c>
      <c r="M81" s="6">
        <f t="shared" si="28"/>
        <v>2.6701388895162381E-2</v>
      </c>
      <c r="N81" s="7">
        <f t="shared" si="23"/>
        <v>38.450000009033829</v>
      </c>
      <c r="O81" s="7"/>
      <c r="P81" s="7"/>
      <c r="Q81" s="23"/>
      <c r="R81" s="23"/>
      <c r="S81" s="35">
        <f t="shared" si="40"/>
        <v>1</v>
      </c>
      <c r="T81" s="50" t="str">
        <f t="shared" si="29"/>
        <v>Southbound</v>
      </c>
      <c r="U81" s="18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11:39:17-0600',mode:absolute,to:'2016-10-18 14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1" s="52" t="str">
        <f t="shared" si="31"/>
        <v>N</v>
      </c>
      <c r="X81" s="174">
        <f t="shared" si="32"/>
        <v>1</v>
      </c>
      <c r="Y81" s="67">
        <f t="shared" si="33"/>
        <v>23.2972</v>
      </c>
      <c r="Z81" s="67">
        <f t="shared" si="34"/>
        <v>1.49E-2</v>
      </c>
      <c r="AA81" s="67">
        <f t="shared" si="35"/>
        <v>23.282299999999999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6"/>
        <v>0168-18</v>
      </c>
      <c r="AE81" s="91" t="str">
        <f t="shared" si="37"/>
        <v>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 &amp; aws s3 cp s3://rtdc.mdm.uploadarchive.raw/RTDC4043/ "%USERPROFILE%\AppData\Local\Temp\OnboardLogs"\RTDC4043\2016-10-19 --exclude "*" --recursive --include "*20161019*" &amp; "%USERPROFILE%\Documents\GitHub\mrs-test-scripts\Headless Mode &amp; Sideloading\WalkAndUnGZ.bat" "%USERPROFILE%\AppData\Local\Temp\OnboardLogs"\RTDC4043\2016-10-19</v>
      </c>
      <c r="AF81" s="88" t="str">
        <f t="shared" si="38"/>
        <v>"C:\Program Files (x86)\AstroGrep\AstroGrep.exe" /spath="%USERPROFILE%\AppData\Local\Temp\OnboardLogs" /stypes="app*4043*20161018*" /stext=" 19:.+((SYSTEM_STATE.+slice.+state.+changed )|(ment ac)|(system.+state.+changed )|(\[timeout)|(PRM\|1\|D)|(kpr)|(kdp)|(\|lc)|(penalty))" /e /r /s</v>
      </c>
      <c r="AG81" s="1" t="str">
        <f t="shared" si="39"/>
        <v>EC</v>
      </c>
      <c r="AH81" s="92" t="str">
        <f t="shared" si="25"/>
        <v>"%USERPROFILE%\Documents\GitHub\eaglep3\Utilities\RefineRTDCRunTimes.py" --tripid 168-18 --locoid 4043 --swversion DE.1.0.7.0 --startMP 204:232972 --initTime 2016-10-18T12:39:17 --startdatetime 2016-10-18T12:56:57 --delay 1 --endMP 204:149 --enddatetime 2016-10-18T13:35:24 --enforcementcount 0 &gt;&gt;C:\Users\stu\Documents\GitHub\eaglep3-reporting\EC\2016-10-18-refined-times.txt</v>
      </c>
      <c r="AI81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{"issue":{"subject":"","project_id":79,"tracker_id":40,"status_id":1,"priority_id":2,"assigned_to_id":23,"start_date":"2016-10-18","description":"","custom_fields":[{"id":1,"name":"Subdivision","value":"EC"},{"id":4,"name":"Milepost","value":"0.0149"},{"id":17,"name":"Train ID","value":"168-18"},{"id":16,"name":"Locomotive ID","value":"4043"},{"id":130,"name":"Impact","value":""},{"id":150,"name":"Time of Event (Mountain Time)","value":"13:35:24"},{"id":151,"name":"Denver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527</v>
      </c>
      <c r="B82" s="7">
        <v>4025</v>
      </c>
      <c r="C82" s="22" t="s">
        <v>99</v>
      </c>
      <c r="D82" s="22" t="s">
        <v>361</v>
      </c>
      <c r="E82" s="13">
        <v>42661.50472222222</v>
      </c>
      <c r="F82" s="13">
        <v>42661.51059027778</v>
      </c>
      <c r="G82" s="7">
        <v>1</v>
      </c>
      <c r="H82" s="13" t="s">
        <v>183</v>
      </c>
      <c r="I82" s="13">
        <v>42661.536493055559</v>
      </c>
      <c r="J82" s="7">
        <v>0</v>
      </c>
      <c r="K82" s="112" t="str">
        <f t="shared" si="27"/>
        <v>4025/4026</v>
      </c>
      <c r="L82" s="22" t="str">
        <f>VLOOKUP(A82,'Trips&amp;Operators'!$C$1:$E$10000,3,FALSE)</f>
        <v>CLARK</v>
      </c>
      <c r="M82" s="6">
        <f t="shared" si="28"/>
        <v>2.5902777779265307E-2</v>
      </c>
      <c r="N82" s="7">
        <f t="shared" si="23"/>
        <v>37.300000002142042</v>
      </c>
      <c r="O82" s="7"/>
      <c r="P82" s="7"/>
      <c r="Q82" s="23"/>
      <c r="R82" s="23"/>
      <c r="S82" s="35">
        <f t="shared" si="40"/>
        <v>1</v>
      </c>
      <c r="T82" s="50" t="str">
        <f t="shared" si="29"/>
        <v>NorthBound</v>
      </c>
      <c r="U82" s="18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11:06:48-0600',mode:absolute,to:'2016-10-18 13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2" s="52" t="str">
        <f t="shared" si="31"/>
        <v>N</v>
      </c>
      <c r="X82" s="174">
        <f t="shared" si="32"/>
        <v>1</v>
      </c>
      <c r="Y82" s="67">
        <f t="shared" si="33"/>
        <v>4.4900000000000002E-2</v>
      </c>
      <c r="Z82" s="67">
        <f t="shared" si="34"/>
        <v>23.331199999999999</v>
      </c>
      <c r="AA82" s="67">
        <f t="shared" si="35"/>
        <v>23.286300000000001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6"/>
        <v>0169-18</v>
      </c>
      <c r="AE82" s="91" t="str">
        <f t="shared" si="37"/>
        <v>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 &amp; 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</v>
      </c>
      <c r="AF82" s="88" t="str">
        <f t="shared" si="38"/>
        <v>"C:\Program Files (x86)\AstroGrep\AstroGrep.exe" /spath="%USERPROFILE%\AppData\Local\Temp\OnboardLogs" /stypes="app*4025*20161018*" /stext=" 18:.+((SYSTEM_STATE.+slice.+state.+changed )|(ment ac)|(system.+state.+changed )|(\[timeout)|(PRM\|1\|D)|(kpr)|(kdp)|(\|lc)|(penalty))" /e /r /s</v>
      </c>
      <c r="AG82" s="1" t="str">
        <f t="shared" si="39"/>
        <v>EC</v>
      </c>
      <c r="AH82" s="92" t="str">
        <f t="shared" si="25"/>
        <v>"%USERPROFILE%\Documents\GitHub\eaglep3\Utilities\RefineRTDCRunTimes.py" --tripid 169-18 --locoid 4025 --swversion DE.1.0.7.0 --startMP 204:449 --initTime 2016-10-18T12:06:48 --startdatetime 2016-10-18T12:15:15 --delay 1 --endMP 204:233312 --enddatetime 2016-10-18T12:52:33 --enforcementcount 0 &gt;&gt;C:\Users\stu\Documents\GitHub\eaglep3-reporting\EC\2016-10-18-refined-times.txt</v>
      </c>
      <c r="AI82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{"issue":{"subject":"","project_id":79,"tracker_id":40,"status_id":1,"priority_id":2,"assigned_to_id":23,"start_date":"2016-10-18","description":"","custom_fields":[{"id":1,"name":"Subdivision","value":"EC"},{"id":4,"name":"Milepost","value":"23.3312"},{"id":17,"name":"Train ID","value":"169-18"},{"id":16,"name":"Locomotive ID","value":"4025"},{"id":130,"name":"Impact","value":""},{"id":150,"name":"Time of Event (Mountain Time)","value":"12:52:33"},{"id":151,"name":"Denver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536</v>
      </c>
      <c r="B83" s="7">
        <v>4026</v>
      </c>
      <c r="C83" s="22" t="s">
        <v>99</v>
      </c>
      <c r="D83" s="22" t="s">
        <v>379</v>
      </c>
      <c r="E83" s="13">
        <v>42661.544814814813</v>
      </c>
      <c r="F83" s="13">
        <v>42661.549479166664</v>
      </c>
      <c r="G83" s="7">
        <v>1</v>
      </c>
      <c r="H83" s="13" t="s">
        <v>404</v>
      </c>
      <c r="I83" s="13">
        <v>42661.579155092593</v>
      </c>
      <c r="J83" s="7">
        <v>0</v>
      </c>
      <c r="K83" s="112" t="str">
        <f t="shared" si="27"/>
        <v>4025/4026</v>
      </c>
      <c r="L83" s="22" t="str">
        <f>VLOOKUP(A83,'Trips&amp;Operators'!$C$1:$E$10000,3,FALSE)</f>
        <v>CLARK</v>
      </c>
      <c r="M83" s="6">
        <f t="shared" si="28"/>
        <v>2.9675925929041114E-2</v>
      </c>
      <c r="N83" s="7">
        <f t="shared" si="23"/>
        <v>42.733333337819204</v>
      </c>
      <c r="O83" s="7"/>
      <c r="P83" s="7"/>
      <c r="Q83" s="23"/>
      <c r="R83" s="23"/>
      <c r="S83" s="35">
        <f t="shared" si="40"/>
        <v>1</v>
      </c>
      <c r="T83" s="50" t="str">
        <f t="shared" si="29"/>
        <v>Southbound</v>
      </c>
      <c r="U83" s="18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12:04:32-0600',mode:absolute,to:'2016-10-18 14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3" s="52" t="str">
        <f t="shared" si="31"/>
        <v>N</v>
      </c>
      <c r="X83" s="174">
        <f t="shared" si="32"/>
        <v>1</v>
      </c>
      <c r="Y83" s="67">
        <f t="shared" si="33"/>
        <v>23.298999999999999</v>
      </c>
      <c r="Z83" s="67">
        <f t="shared" si="34"/>
        <v>1.72E-2</v>
      </c>
      <c r="AA83" s="67">
        <f t="shared" si="35"/>
        <v>23.2818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6"/>
        <v>0170-18</v>
      </c>
      <c r="AE83" s="91" t="str">
        <f t="shared" si="37"/>
        <v>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 &amp; 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</v>
      </c>
      <c r="AF83" s="88" t="str">
        <f t="shared" si="38"/>
        <v>"C:\Program Files (x86)\AstroGrep\AstroGrep.exe" /spath="%USERPROFILE%\AppData\Local\Temp\OnboardLogs" /stypes="app*4026*20161018*" /stext=" 19:.+((SYSTEM_STATE.+slice.+state.+changed )|(ment ac)|(system.+state.+changed )|(\[timeout)|(PRM\|1\|D)|(kpr)|(kdp)|(\|lc)|(penalty))" /e /r /s</v>
      </c>
      <c r="AG83" s="1" t="str">
        <f t="shared" si="39"/>
        <v>EC</v>
      </c>
      <c r="AH83" s="92" t="str">
        <f t="shared" si="25"/>
        <v>"%USERPROFILE%\Documents\GitHub\eaglep3\Utilities\RefineRTDCRunTimes.py" --tripid 170-18 --locoid 4026 --swversion DE.1.0.7.0 --startMP 204:232990 --initTime 2016-10-18T13:04:32 --startdatetime 2016-10-18T13:11:15 --delay 1 --endMP 204:172 --enddatetime 2016-10-18T13:53:59 --enforcementcount 0 &gt;&gt;C:\Users\stu\Documents\GitHub\eaglep3-reporting\EC\2016-10-18-refined-times.txt</v>
      </c>
      <c r="AI83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{"issue":{"subject":"","project_id":79,"tracker_id":40,"status_id":1,"priority_id":2,"assigned_to_id":23,"start_date":"2016-10-18","description":"","custom_fields":[{"id":1,"name":"Subdivision","value":"EC"},{"id":4,"name":"Milepost","value":"0.0172"},{"id":17,"name":"Train ID","value":"170-18"},{"id":16,"name":"Locomotive ID","value":"4026"},{"id":130,"name":"Impact","value":""},{"id":150,"name":"Time of Event (Mountain Time)","value":"13:53:59"},{"id":151,"name":"Denver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530</v>
      </c>
      <c r="B84" s="7">
        <v>4016</v>
      </c>
      <c r="C84" s="22" t="s">
        <v>99</v>
      </c>
      <c r="D84" s="22" t="s">
        <v>285</v>
      </c>
      <c r="E84" s="13">
        <v>42661.515821759262</v>
      </c>
      <c r="F84" s="13">
        <v>42661.521562499998</v>
      </c>
      <c r="G84" s="7">
        <v>1</v>
      </c>
      <c r="H84" s="13" t="s">
        <v>319</v>
      </c>
      <c r="I84" s="13">
        <v>42661.54650462963</v>
      </c>
      <c r="J84" s="7">
        <v>0</v>
      </c>
      <c r="K84" s="112" t="str">
        <f t="shared" si="27"/>
        <v>4015/4016</v>
      </c>
      <c r="L84" s="22" t="str">
        <f>VLOOKUP(A84,'Trips&amp;Operators'!$C$1:$E$10000,3,FALSE)</f>
        <v>STORY</v>
      </c>
      <c r="M84" s="6">
        <f t="shared" si="28"/>
        <v>2.4942129632108845E-2</v>
      </c>
      <c r="N84" s="7">
        <f t="shared" si="23"/>
        <v>35.916666670236737</v>
      </c>
      <c r="O84" s="7"/>
      <c r="P84" s="7"/>
      <c r="Q84" s="23"/>
      <c r="R84" s="23"/>
      <c r="S84" s="35">
        <f t="shared" si="40"/>
        <v>1</v>
      </c>
      <c r="T84" s="50" t="str">
        <f t="shared" si="29"/>
        <v>NorthBound</v>
      </c>
      <c r="U84" s="18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11:22:47-0600',mode:absolute,to:'2016-10-18 14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4" s="52" t="str">
        <f t="shared" si="31"/>
        <v>N</v>
      </c>
      <c r="X84" s="174">
        <f t="shared" si="32"/>
        <v>1</v>
      </c>
      <c r="Y84" s="67">
        <f t="shared" si="33"/>
        <v>4.7100000000000003E-2</v>
      </c>
      <c r="Z84" s="67">
        <f t="shared" si="34"/>
        <v>23.331700000000001</v>
      </c>
      <c r="AA84" s="67">
        <f t="shared" si="35"/>
        <v>23.284600000000001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6"/>
        <v>0171-18</v>
      </c>
      <c r="AE84" s="91" t="str">
        <f t="shared" si="37"/>
        <v>aws s3 cp s3://rtdc.mdm.uploadarchive.raw/RTDC4016/ "%USERPROFILE%\AppData\Local\Temp\OnboardLogs"\RTDC4016\2016-10-18 --exclude "*" --recursive --include "*20161018*" &amp; "%USERPROFILE%\Documents\GitHub\mrs-test-scripts\Headless Mode &amp; Sideloading\WalkAndUnGZ.bat" "%USERPROFILE%\AppData\Local\Temp\OnboardLogs"\RTDC4016\2016-10-18 &amp; aws s3 cp s3://rtdc.mdm.uploadarchive.raw/RTDC4016/ "%USERPROFILE%\AppData\Local\Temp\OnboardLogs"\RTDC4016\2016-10-19 --exclude "*" --recursive --include "*20161019*" &amp; "%USERPROFILE%\Documents\GitHub\mrs-test-scripts\Headless Mode &amp; Sideloading\WalkAndUnGZ.bat" "%USERPROFILE%\AppData\Local\Temp\OnboardLogs"\RTDC4016\2016-10-19</v>
      </c>
      <c r="AF84" s="88" t="str">
        <f t="shared" si="38"/>
        <v>"C:\Program Files (x86)\AstroGrep\AstroGrep.exe" /spath="%USERPROFILE%\AppData\Local\Temp\OnboardLogs" /stypes="app*4016*20161018*" /stext=" 19:.+((SYSTEM_STATE.+slice.+state.+changed )|(ment ac)|(system.+state.+changed )|(\[timeout)|(PRM\|1\|D)|(kpr)|(kdp)|(\|lc)|(penalty))" /e /r /s</v>
      </c>
      <c r="AG84" s="1" t="str">
        <f t="shared" si="39"/>
        <v>EC</v>
      </c>
      <c r="AH84" s="92" t="str">
        <f t="shared" si="25"/>
        <v>"%USERPROFILE%\Documents\GitHub\eaglep3\Utilities\RefineRTDCRunTimes.py" --tripid 171-18 --locoid 4016 --swversion DE.1.0.7.0 --startMP 204:471 --initTime 2016-10-18T12:22:47 --startdatetime 2016-10-18T12:31:03 --delay 1 --endMP 204:233317 --enddatetime 2016-10-18T13:06:58 --enforcementcount 0 &gt;&gt;C:\Users\stu\Documents\GitHub\eaglep3-reporting\EC\2016-10-18-refined-times.txt</v>
      </c>
      <c r="AI84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{"issue":{"subject":"","project_id":79,"tracker_id":40,"status_id":1,"priority_id":2,"assigned_to_id":23,"start_date":"2016-10-18","description":"","custom_fields":[{"id":1,"name":"Subdivision","value":"EC"},{"id":4,"name":"Milepost","value":"23.3317"},{"id":17,"name":"Train ID","value":"171-18"},{"id":16,"name":"Locomotive ID","value":"4016"},{"id":130,"name":"Impact","value":""},{"id":150,"name":"Time of Event (Mountain Time)","value":"13:06:58"},{"id":151,"name":"Denver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427</v>
      </c>
      <c r="B85" s="7">
        <v>4015</v>
      </c>
      <c r="C85" s="22" t="s">
        <v>99</v>
      </c>
      <c r="D85" s="22" t="s">
        <v>376</v>
      </c>
      <c r="E85" s="13">
        <v>42661.551550925928</v>
      </c>
      <c r="F85" s="13">
        <v>42661.560127314813</v>
      </c>
      <c r="G85" s="7">
        <v>2</v>
      </c>
      <c r="H85" s="13" t="s">
        <v>378</v>
      </c>
      <c r="I85" s="13">
        <v>42661.587337962963</v>
      </c>
      <c r="J85" s="7">
        <v>0</v>
      </c>
      <c r="K85" s="112" t="str">
        <f t="shared" si="27"/>
        <v>4015/4016</v>
      </c>
      <c r="L85" s="22" t="str">
        <f>VLOOKUP(A85,'Trips&amp;Operators'!$C$1:$E$10000,3,FALSE)</f>
        <v>STORY</v>
      </c>
      <c r="M85" s="6">
        <f t="shared" si="28"/>
        <v>2.7210648149775807E-2</v>
      </c>
      <c r="N85" s="7">
        <f t="shared" si="23"/>
        <v>39.183333335677162</v>
      </c>
      <c r="O85" s="7"/>
      <c r="P85" s="7"/>
      <c r="Q85" s="23"/>
      <c r="R85" s="23"/>
      <c r="S85" s="35">
        <f t="shared" si="40"/>
        <v>1</v>
      </c>
      <c r="T85" s="50" t="str">
        <f t="shared" si="29"/>
        <v>Southbound</v>
      </c>
      <c r="U85" s="18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12:14:14-0600',mode:absolute,to:'2016-10-18 15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5" s="52" t="str">
        <f t="shared" si="31"/>
        <v>N</v>
      </c>
      <c r="X85" s="174">
        <f t="shared" si="32"/>
        <v>1</v>
      </c>
      <c r="Y85" s="67">
        <f t="shared" si="33"/>
        <v>23.3004</v>
      </c>
      <c r="Z85" s="67">
        <f t="shared" si="34"/>
        <v>1.38E-2</v>
      </c>
      <c r="AA85" s="67">
        <f t="shared" si="35"/>
        <v>23.2866</v>
      </c>
      <c r="AB85" s="64" t="str">
        <f>VLOOKUP(A85,Enforcements!$C$7:$K$21,8,0)</f>
        <v>Speed (6)</v>
      </c>
      <c r="AC85" s="60" t="str">
        <f>VLOOKUP(A85,Enforcements!$C$7:$E$21,3,0)</f>
        <v>PERMANENT SPEED RESTRICTION</v>
      </c>
      <c r="AD85" s="61" t="str">
        <f t="shared" si="36"/>
        <v>0172-18</v>
      </c>
      <c r="AE85" s="91" t="str">
        <f t="shared" si="37"/>
        <v>aws s3 cp s3://rtdc.mdm.uploadarchive.raw/RTDC4015/ "%USERPROFILE%\AppData\Local\Temp\OnboardLogs"\RTDC4015\2016-10-18 --exclude "*" --recursive --include "*20161018*" &amp; "%USERPROFILE%\Documents\GitHub\mrs-test-scripts\Headless Mode &amp; Sideloading\WalkAndUnGZ.bat" "%USERPROFILE%\AppData\Local\Temp\OnboardLogs"\RTDC4015\2016-10-18 &amp; aws s3 cp s3://rtdc.mdm.uploadarchive.raw/RTDC4015/ "%USERPROFILE%\AppData\Local\Temp\OnboardLogs"\RTDC4015\2016-10-19 --exclude "*" --recursive --include "*20161019*" &amp; "%USERPROFILE%\Documents\GitHub\mrs-test-scripts\Headless Mode &amp; Sideloading\WalkAndUnGZ.bat" "%USERPROFILE%\AppData\Local\Temp\OnboardLogs"\RTDC4015\2016-10-19</v>
      </c>
      <c r="AF85" s="88" t="str">
        <f t="shared" si="38"/>
        <v>"C:\Program Files (x86)\AstroGrep\AstroGrep.exe" /spath="%USERPROFILE%\AppData\Local\Temp\OnboardLogs" /stypes="app*4015*20161018*" /stext=" 20:.+((SYSTEM_STATE.+slice.+state.+changed )|(ment ac)|(system.+state.+changed )|(\[timeout)|(PRM\|1\|D)|(kpr)|(kdp)|(\|lc)|(penalty))" /e /r /s</v>
      </c>
      <c r="AG85" s="1" t="str">
        <f t="shared" si="39"/>
        <v>EC</v>
      </c>
      <c r="AH85" s="92" t="str">
        <f t="shared" si="25"/>
        <v>"%USERPROFILE%\Documents\GitHub\eaglep3\Utilities\RefineRTDCRunTimes.py" --tripid 172-18 --locoid 4015 --swversion DE.1.0.7.0 --startMP 204:233004 --initTime 2016-10-18T13:14:14 --startdatetime 2016-10-18T13:26:35 --delay 2 --endMP 204:138 --enddatetime 2016-10-18T14:05:46 --enforcementcount 0 &gt;&gt;C:\Users\stu\Documents\GitHub\eaglep3-reporting\EC\2016-10-18-refined-times.txt</v>
      </c>
      <c r="AI85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{"issue":{"subject":"","project_id":79,"tracker_id":40,"status_id":1,"priority_id":2,"assigned_to_id":23,"start_date":"2016-10-18","description":"","custom_fields":[{"id":1,"name":"Subdivision","value":"EC"},{"id":4,"name":"Milepost","value":"0.0138"},{"id":17,"name":"Train ID","value":"172-18"},{"id":16,"name":"Locomotive ID","value":"4015"},{"id":130,"name":"Impact","value":""},{"id":150,"name":"Time of Event (Mountain Time)","value":"14:05:46"},{"id":151,"name":"Denver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424</v>
      </c>
      <c r="B86" s="7">
        <v>4042</v>
      </c>
      <c r="C86" s="22" t="s">
        <v>99</v>
      </c>
      <c r="D86" s="22" t="s">
        <v>237</v>
      </c>
      <c r="E86" s="13">
        <v>42661.525960648149</v>
      </c>
      <c r="F86" s="13">
        <v>42661.531400462962</v>
      </c>
      <c r="G86" s="7">
        <v>1</v>
      </c>
      <c r="H86" s="13" t="s">
        <v>254</v>
      </c>
      <c r="I86" s="13">
        <v>42661.558981481481</v>
      </c>
      <c r="J86" s="7">
        <v>0</v>
      </c>
      <c r="K86" s="112" t="str">
        <f t="shared" si="27"/>
        <v>4041/4042</v>
      </c>
      <c r="L86" s="22" t="str">
        <f>VLOOKUP(A86,'Trips&amp;Operators'!$C$1:$E$10000,3,FALSE)</f>
        <v>ROBINSON</v>
      </c>
      <c r="M86" s="6">
        <f t="shared" si="28"/>
        <v>2.7581018519413192E-2</v>
      </c>
      <c r="N86" s="7">
        <f t="shared" si="23"/>
        <v>39.716666667954996</v>
      </c>
      <c r="O86" s="7"/>
      <c r="P86" s="7"/>
      <c r="Q86" s="23"/>
      <c r="R86" s="23"/>
      <c r="S86" s="35">
        <f t="shared" si="40"/>
        <v>1</v>
      </c>
      <c r="T86" s="50" t="str">
        <f t="shared" si="29"/>
        <v>NorthBound</v>
      </c>
      <c r="U86" s="18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11:37:23-0600',mode:absolute,to:'2016-10-18 14:24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6" s="52" t="str">
        <f t="shared" si="31"/>
        <v>N</v>
      </c>
      <c r="X86" s="174">
        <f t="shared" si="32"/>
        <v>1</v>
      </c>
      <c r="Y86" s="67">
        <f t="shared" si="33"/>
        <v>4.6399999999999997E-2</v>
      </c>
      <c r="Z86" s="67">
        <f t="shared" si="34"/>
        <v>23.328900000000001</v>
      </c>
      <c r="AA86" s="67">
        <f t="shared" si="35"/>
        <v>23.282500000000002</v>
      </c>
      <c r="AB86" s="64" t="str">
        <f>VLOOKUP(A86,Enforcements!$C$7:$K$21,8,0)</f>
        <v>Speed (6)</v>
      </c>
      <c r="AC86" s="60" t="str">
        <f>VLOOKUP(A86,Enforcements!$C$7:$E$21,3,0)</f>
        <v>PERMANENT SPEED RESTRICTION</v>
      </c>
      <c r="AD86" s="61" t="str">
        <f t="shared" si="36"/>
        <v>0173-18</v>
      </c>
      <c r="AE86" s="91" t="str">
        <f t="shared" si="37"/>
        <v>aws s3 cp s3://rtdc.mdm.uploadarchive.raw/RTDC4042/ "%USERPROFILE%\AppData\Local\Temp\OnboardLogs"\RTDC4042\2016-10-18 --exclude "*" --recursive --include "*20161018*" &amp; "%USERPROFILE%\Documents\GitHub\mrs-test-scripts\Headless Mode &amp; Sideloading\WalkAndUnGZ.bat" "%USERPROFILE%\AppData\Local\Temp\OnboardLogs"\RTDC4042\2016-10-18 &amp; 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</v>
      </c>
      <c r="AF86" s="88" t="str">
        <f t="shared" si="38"/>
        <v>"C:\Program Files (x86)\AstroGrep\AstroGrep.exe" /spath="%USERPROFILE%\AppData\Local\Temp\OnboardLogs" /stypes="app*4042*20161018*" /stext=" 19:.+((SYSTEM_STATE.+slice.+state.+changed )|(ment ac)|(system.+state.+changed )|(\[timeout)|(PRM\|1\|D)|(kpr)|(kdp)|(\|lc)|(penalty))" /e /r /s</v>
      </c>
      <c r="AG86" s="1" t="str">
        <f t="shared" si="39"/>
        <v>EC</v>
      </c>
      <c r="AH86" s="92" t="str">
        <f t="shared" si="25"/>
        <v>"%USERPROFILE%\Documents\GitHub\eaglep3\Utilities\RefineRTDCRunTimes.py" --tripid 173-18 --locoid 4042 --swversion DE.1.0.7.0 --startMP 204:464 --initTime 2016-10-18T12:37:23 --startdatetime 2016-10-18T12:45:13 --delay 1 --endMP 204:233289 --enddatetime 2016-10-18T13:24:56 --enforcementcount 0 &gt;&gt;C:\Users\stu\Documents\GitHub\eaglep3-reporting\EC\2016-10-18-refined-times.txt</v>
      </c>
      <c r="AI86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{"issue":{"subject":"","project_id":79,"tracker_id":40,"status_id":1,"priority_id":2,"assigned_to_id":23,"start_date":"2016-10-18","description":"","custom_fields":[{"id":1,"name":"Subdivision","value":"EC"},{"id":4,"name":"Milepost","value":"23.3289"},{"id":17,"name":"Train ID","value":"173-18"},{"id":16,"name":"Locomotive ID","value":"4042"},{"id":130,"name":"Impact","value":""},{"id":150,"name":"Time of Event (Mountain Time)","value":"13:24:56"},{"id":151,"name":"Denver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540</v>
      </c>
      <c r="B87" s="7">
        <v>4041</v>
      </c>
      <c r="C87" s="22" t="s">
        <v>99</v>
      </c>
      <c r="D87" s="22" t="s">
        <v>670</v>
      </c>
      <c r="E87" s="13">
        <v>42661.56349537037</v>
      </c>
      <c r="F87" s="13">
        <v>42661.570300925923</v>
      </c>
      <c r="G87" s="7">
        <v>1</v>
      </c>
      <c r="H87" s="13" t="s">
        <v>378</v>
      </c>
      <c r="I87" s="13">
        <v>42661.597453703704</v>
      </c>
      <c r="J87" s="7">
        <v>0</v>
      </c>
      <c r="K87" s="112" t="str">
        <f t="shared" si="27"/>
        <v>4041/4042</v>
      </c>
      <c r="L87" s="22" t="str">
        <f>VLOOKUP(A87,'Trips&amp;Operators'!$C$1:$E$10000,3,FALSE)</f>
        <v>ROBINSON</v>
      </c>
      <c r="M87" s="6">
        <f t="shared" si="28"/>
        <v>2.715277778042946E-2</v>
      </c>
      <c r="N87" s="7">
        <f t="shared" si="23"/>
        <v>39.100000003818423</v>
      </c>
      <c r="O87" s="7"/>
      <c r="P87" s="7"/>
      <c r="Q87" s="23"/>
      <c r="R87" s="23"/>
      <c r="S87" s="35">
        <f t="shared" si="40"/>
        <v>1</v>
      </c>
      <c r="T87" s="50" t="str">
        <f t="shared" si="29"/>
        <v>Southbound</v>
      </c>
      <c r="U87" s="18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12:31:26-0600',mode:absolute,to:'2016-10-18 15:20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7" s="52" t="str">
        <f t="shared" si="31"/>
        <v>N</v>
      </c>
      <c r="X87" s="174">
        <f t="shared" si="32"/>
        <v>1</v>
      </c>
      <c r="Y87" s="67">
        <f t="shared" si="33"/>
        <v>23.2944</v>
      </c>
      <c r="Z87" s="67">
        <f t="shared" si="34"/>
        <v>1.38E-2</v>
      </c>
      <c r="AA87" s="67">
        <f t="shared" si="35"/>
        <v>23.2806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6"/>
        <v>0174-18</v>
      </c>
      <c r="AE87" s="91" t="str">
        <f t="shared" si="37"/>
        <v>aws s3 cp s3://rtdc.mdm.uploadarchive.raw/RTDC4041/ "%USERPROFILE%\AppData\Local\Temp\OnboardLogs"\RTDC4041\2016-10-18 --exclude "*" --recursive --include "*20161018*" &amp; "%USERPROFILE%\Documents\GitHub\mrs-test-scripts\Headless Mode &amp; Sideloading\WalkAndUnGZ.bat" "%USERPROFILE%\AppData\Local\Temp\OnboardLogs"\RTDC4041\2016-10-18 &amp; aws s3 cp s3://rtdc.mdm.uploadarchive.raw/RTDC4041/ "%USERPROFILE%\AppData\Local\Temp\OnboardLogs"\RTDC4041\2016-10-19 --exclude "*" --recursive --include "*20161019*" &amp; "%USERPROFILE%\Documents\GitHub\mrs-test-scripts\Headless Mode &amp; Sideloading\WalkAndUnGZ.bat" "%USERPROFILE%\AppData\Local\Temp\OnboardLogs"\RTDC4041\2016-10-19</v>
      </c>
      <c r="AF87" s="88" t="str">
        <f t="shared" si="38"/>
        <v>"C:\Program Files (x86)\AstroGrep\AstroGrep.exe" /spath="%USERPROFILE%\AppData\Local\Temp\OnboardLogs" /stypes="app*4041*20161018*" /stext=" 20:.+((SYSTEM_STATE.+slice.+state.+changed )|(ment ac)|(system.+state.+changed )|(\[timeout)|(PRM\|1\|D)|(kpr)|(kdp)|(\|lc)|(penalty))" /e /r /s</v>
      </c>
      <c r="AG87" s="1" t="str">
        <f t="shared" si="39"/>
        <v>EC</v>
      </c>
      <c r="AH87" s="92" t="str">
        <f t="shared" si="25"/>
        <v>"%USERPROFILE%\Documents\GitHub\eaglep3\Utilities\RefineRTDCRunTimes.py" --tripid 174-18 --locoid 4041 --swversion DE.1.0.7.0 --startMP 204:232944 --initTime 2016-10-18T13:31:26 --startdatetime 2016-10-18T13:41:14 --delay 1 --endMP 204:138 --enddatetime 2016-10-18T14:20:20 --enforcementcount 0 &gt;&gt;C:\Users\stu\Documents\GitHub\eaglep3-reporting\EC\2016-10-18-refined-times.txt</v>
      </c>
      <c r="AI87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{"issue":{"subject":"","project_id":79,"tracker_id":40,"status_id":1,"priority_id":2,"assigned_to_id":23,"start_date":"2016-10-18","description":"","custom_fields":[{"id":1,"name":"Subdivision","value":"EC"},{"id":4,"name":"Milepost","value":"0.0138"},{"id":17,"name":"Train ID","value":"174-18"},{"id":16,"name":"Locomotive ID","value":"4041"},{"id":130,"name":"Impact","value":""},{"id":150,"name":"Time of Event (Mountain Time)","value":"14:20:20"},{"id":151,"name":"Denver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535</v>
      </c>
      <c r="B88" s="7">
        <v>4018</v>
      </c>
      <c r="C88" s="22" t="s">
        <v>99</v>
      </c>
      <c r="D88" s="22" t="s">
        <v>241</v>
      </c>
      <c r="E88" s="13">
        <v>42661.538773148146</v>
      </c>
      <c r="F88" s="13">
        <v>42661.541967592595</v>
      </c>
      <c r="G88" s="7">
        <v>1</v>
      </c>
      <c r="H88" s="13" t="s">
        <v>230</v>
      </c>
      <c r="I88" s="13">
        <v>42661.568078703705</v>
      </c>
      <c r="J88" s="7">
        <v>0</v>
      </c>
      <c r="K88" s="112" t="str">
        <f t="shared" si="27"/>
        <v>4017/4018</v>
      </c>
      <c r="L88" s="22" t="str">
        <f>VLOOKUP(A88,'Trips&amp;Operators'!$C$1:$E$10000,3,FALSE)</f>
        <v>SWANSON</v>
      </c>
      <c r="M88" s="6">
        <f t="shared" si="28"/>
        <v>2.6111111110367347E-2</v>
      </c>
      <c r="N88" s="7">
        <f t="shared" si="23"/>
        <v>37.599999998928979</v>
      </c>
      <c r="O88" s="7"/>
      <c r="P88" s="7"/>
      <c r="Q88" s="23"/>
      <c r="R88" s="23"/>
      <c r="S88" s="35">
        <f t="shared" si="40"/>
        <v>1</v>
      </c>
      <c r="T88" s="50" t="str">
        <f t="shared" si="29"/>
        <v>NorthBound</v>
      </c>
      <c r="U88" s="18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11:55:50-0600',mode:absolute,to:'2016-10-18 14:38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8" s="52" t="str">
        <f t="shared" si="31"/>
        <v>N</v>
      </c>
      <c r="X88" s="174">
        <f t="shared" si="32"/>
        <v>1</v>
      </c>
      <c r="Y88" s="67">
        <f t="shared" si="33"/>
        <v>4.6699999999999998E-2</v>
      </c>
      <c r="Z88" s="67">
        <f t="shared" si="34"/>
        <v>23.3293</v>
      </c>
      <c r="AA88" s="67">
        <f t="shared" si="35"/>
        <v>23.282599999999999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6"/>
        <v>0175-18</v>
      </c>
      <c r="AE88" s="91" t="str">
        <f t="shared" si="37"/>
        <v>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 &amp; aws s3 cp s3://rtdc.mdm.uploadarchive.raw/RTDC4018/ "%USERPROFILE%\AppData\Local\Temp\OnboardLogs"\RTDC4018\2016-10-19 --exclude "*" --recursive --include "*20161019*" &amp; "%USERPROFILE%\Documents\GitHub\mrs-test-scripts\Headless Mode &amp; Sideloading\WalkAndUnGZ.bat" "%USERPROFILE%\AppData\Local\Temp\OnboardLogs"\RTDC4018\2016-10-19</v>
      </c>
      <c r="AF88" s="88" t="str">
        <f t="shared" si="38"/>
        <v>"C:\Program Files (x86)\AstroGrep\AstroGrep.exe" /spath="%USERPROFILE%\AppData\Local\Temp\OnboardLogs" /stypes="app*4018*20161018*" /stext=" 19:.+((SYSTEM_STATE.+slice.+state.+changed )|(ment ac)|(system.+state.+changed )|(\[timeout)|(PRM\|1\|D)|(kpr)|(kdp)|(\|lc)|(penalty))" /e /r /s</v>
      </c>
      <c r="AG88" s="1" t="str">
        <f t="shared" si="39"/>
        <v>EC</v>
      </c>
      <c r="AH88" s="92" t="str">
        <f t="shared" si="25"/>
        <v>"%USERPROFILE%\Documents\GitHub\eaglep3\Utilities\RefineRTDCRunTimes.py" --tripid 175-18 --locoid 4018 --swversion DE.1.0.7.0 --startMP 204:467 --initTime 2016-10-18T12:55:50 --startdatetime 2016-10-18T13:00:26 --delay 1 --endMP 204:233293 --enddatetime 2016-10-18T13:38:02 --enforcementcount 0 &gt;&gt;C:\Users\stu\Documents\GitHub\eaglep3-reporting\EC\2016-10-18-refined-times.txt</v>
      </c>
      <c r="AI88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{"issue":{"subject":"","project_id":79,"tracker_id":40,"status_id":1,"priority_id":2,"assigned_to_id":23,"start_date":"2016-10-18","description":"","custom_fields":[{"id":1,"name":"Subdivision","value":"EC"},{"id":4,"name":"Milepost","value":"23.3293"},{"id":17,"name":"Train ID","value":"175-18"},{"id":16,"name":"Locomotive ID","value":"4018"},{"id":130,"name":"Impact","value":""},{"id":150,"name":"Time of Event (Mountain Time)","value":"13:38:02"},{"id":151,"name":"Denver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543</v>
      </c>
      <c r="B89" s="7">
        <v>4017</v>
      </c>
      <c r="C89" s="22" t="s">
        <v>99</v>
      </c>
      <c r="D89" s="22" t="s">
        <v>366</v>
      </c>
      <c r="E89" s="13">
        <v>42661.570694444446</v>
      </c>
      <c r="F89" s="13">
        <v>42661.58090277778</v>
      </c>
      <c r="G89" s="7">
        <v>1</v>
      </c>
      <c r="H89" s="13" t="s">
        <v>227</v>
      </c>
      <c r="I89" s="13">
        <v>42661.608217592591</v>
      </c>
      <c r="J89" s="7">
        <v>0</v>
      </c>
      <c r="K89" s="112" t="str">
        <f t="shared" si="27"/>
        <v>4017/4018</v>
      </c>
      <c r="L89" s="22" t="str">
        <f>VLOOKUP(A89,'Trips&amp;Operators'!$C$1:$E$10000,3,FALSE)</f>
        <v>SWANSON</v>
      </c>
      <c r="M89" s="6">
        <f t="shared" si="28"/>
        <v>2.7314814811688848E-2</v>
      </c>
      <c r="N89" s="7">
        <f t="shared" si="23"/>
        <v>39.333333328831941</v>
      </c>
      <c r="O89" s="7"/>
      <c r="P89" s="7"/>
      <c r="Q89" s="23"/>
      <c r="R89" s="23"/>
      <c r="S89" s="35">
        <f t="shared" si="40"/>
        <v>1</v>
      </c>
      <c r="T89" s="50" t="str">
        <f t="shared" si="29"/>
        <v>Southbound</v>
      </c>
      <c r="U89" s="18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12:41:48-0600',mode:absolute,to:'2016-10-18 15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9" s="52" t="str">
        <f t="shared" si="31"/>
        <v>N</v>
      </c>
      <c r="X89" s="174">
        <f t="shared" si="32"/>
        <v>1</v>
      </c>
      <c r="Y89" s="67">
        <f t="shared" si="33"/>
        <v>23.296600000000002</v>
      </c>
      <c r="Z89" s="67">
        <f t="shared" si="34"/>
        <v>1.4500000000000001E-2</v>
      </c>
      <c r="AA89" s="67">
        <f t="shared" si="35"/>
        <v>23.2821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6"/>
        <v>0176-18</v>
      </c>
      <c r="AE89" s="91" t="str">
        <f t="shared" si="37"/>
        <v>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 &amp; aws s3 cp s3://rtdc.mdm.uploadarchive.raw/RTDC4017/ "%USERPROFILE%\AppData\Local\Temp\OnboardLogs"\RTDC4017\2016-10-19 --exclude "*" --recursive --include "*20161019*" &amp; "%USERPROFILE%\Documents\GitHub\mrs-test-scripts\Headless Mode &amp; Sideloading\WalkAndUnGZ.bat" "%USERPROFILE%\AppData\Local\Temp\OnboardLogs"\RTDC4017\2016-10-19</v>
      </c>
      <c r="AF89" s="88" t="str">
        <f t="shared" si="38"/>
        <v>"C:\Program Files (x86)\AstroGrep\AstroGrep.exe" /spath="%USERPROFILE%\AppData\Local\Temp\OnboardLogs" /stypes="app*4017*20161018*" /stext=" 20:.+((SYSTEM_STATE.+slice.+state.+changed )|(ment ac)|(system.+state.+changed )|(\[timeout)|(PRM\|1\|D)|(kpr)|(kdp)|(\|lc)|(penalty))" /e /r /s</v>
      </c>
      <c r="AG89" s="1" t="str">
        <f t="shared" si="39"/>
        <v>EC</v>
      </c>
      <c r="AH89" s="92" t="str">
        <f t="shared" si="25"/>
        <v>"%USERPROFILE%\Documents\GitHub\eaglep3\Utilities\RefineRTDCRunTimes.py" --tripid 176-18 --locoid 4017 --swversion DE.1.0.7.0 --startMP 204:232966 --initTime 2016-10-18T13:41:48 --startdatetime 2016-10-18T13:56:30 --delay 1 --endMP 204:145 --enddatetime 2016-10-18T14:35:50 --enforcementcount 0 &gt;&gt;C:\Users\stu\Documents\GitHub\eaglep3-reporting\EC\2016-10-18-refined-times.txt</v>
      </c>
      <c r="AI89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{"issue":{"subject":"","project_id":79,"tracker_id":40,"status_id":1,"priority_id":2,"assigned_to_id":23,"start_date":"2016-10-18","description":"","custom_fields":[{"id":1,"name":"Subdivision","value":"EC"},{"id":4,"name":"Milepost","value":"0.0145"},{"id":17,"name":"Train ID","value":"176-18"},{"id":16,"name":"Locomotive ID","value":"4017"},{"id":130,"name":"Impact","value":""},{"id":150,"name":"Time of Event (Mountain Time)","value":"14:35:50"},{"id":151,"name":"Denver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537</v>
      </c>
      <c r="B90" s="7">
        <v>4029</v>
      </c>
      <c r="C90" s="22" t="s">
        <v>99</v>
      </c>
      <c r="D90" s="22" t="s">
        <v>238</v>
      </c>
      <c r="E90" s="13">
        <v>42661.546481481484</v>
      </c>
      <c r="F90" s="13">
        <v>42661.552499999998</v>
      </c>
      <c r="G90" s="7">
        <v>1</v>
      </c>
      <c r="H90" s="13" t="s">
        <v>246</v>
      </c>
      <c r="I90" s="13">
        <v>42661.576631944445</v>
      </c>
      <c r="J90" s="7">
        <v>0</v>
      </c>
      <c r="K90" s="112" t="str">
        <f t="shared" si="27"/>
        <v>4029/4030</v>
      </c>
      <c r="L90" s="22" t="str">
        <f>VLOOKUP(A90,'Trips&amp;Operators'!$C$1:$E$10000,3,FALSE)</f>
        <v>HELVIE</v>
      </c>
      <c r="M90" s="6">
        <f t="shared" si="28"/>
        <v>2.4131944446708076E-2</v>
      </c>
      <c r="N90" s="7">
        <f t="shared" ref="N90:N121" si="41">24*60*SUM($M90:$M90)</f>
        <v>34.750000003259629</v>
      </c>
      <c r="O90" s="7"/>
      <c r="P90" s="7"/>
      <c r="Q90" s="23"/>
      <c r="R90" s="23"/>
      <c r="S90" s="35">
        <f t="shared" si="40"/>
        <v>1</v>
      </c>
      <c r="T90" s="50" t="str">
        <f t="shared" si="29"/>
        <v>NorthBound</v>
      </c>
      <c r="U90" s="18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12:06:56-0600',mode:absolute,to:'2016-10-18 14:50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0" s="52" t="str">
        <f t="shared" si="31"/>
        <v>N</v>
      </c>
      <c r="X90" s="174">
        <f t="shared" si="32"/>
        <v>1</v>
      </c>
      <c r="Y90" s="67">
        <f t="shared" si="33"/>
        <v>4.5499999999999999E-2</v>
      </c>
      <c r="Z90" s="67">
        <f t="shared" si="34"/>
        <v>23.329499999999999</v>
      </c>
      <c r="AA90" s="67">
        <f t="shared" si="35"/>
        <v>23.283999999999999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6"/>
        <v>0177-18</v>
      </c>
      <c r="AE90" s="91" t="str">
        <f t="shared" si="37"/>
        <v>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 &amp; 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</v>
      </c>
      <c r="AF90" s="88" t="str">
        <f t="shared" si="38"/>
        <v>"C:\Program Files (x86)\AstroGrep\AstroGrep.exe" /spath="%USERPROFILE%\AppData\Local\Temp\OnboardLogs" /stypes="app*4029*20161018*" /stext=" 19:.+((SYSTEM_STATE.+slice.+state.+changed )|(ment ac)|(system.+state.+changed )|(\[timeout)|(PRM\|1\|D)|(kpr)|(kdp)|(\|lc)|(penalty))" /e /r /s</v>
      </c>
      <c r="AG90" s="1" t="str">
        <f t="shared" si="39"/>
        <v>EC</v>
      </c>
      <c r="AH90" s="92" t="str">
        <f t="shared" si="25"/>
        <v>"%USERPROFILE%\Documents\GitHub\eaglep3\Utilities\RefineRTDCRunTimes.py" --tripid 177-18 --locoid 4029 --swversion DE.1.0.7.0 --startMP 204:455 --initTime 2016-10-18T13:06:56 --startdatetime 2016-10-18T13:15:36 --delay 1 --endMP 204:233295 --enddatetime 2016-10-18T13:50:21 --enforcementcount 0 &gt;&gt;C:\Users\stu\Documents\GitHub\eaglep3-reporting\EC\2016-10-18-refined-times.txt</v>
      </c>
      <c r="AI90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{"issue":{"subject":"","project_id":79,"tracker_id":40,"status_id":1,"priority_id":2,"assigned_to_id":23,"start_date":"2016-10-18","description":"","custom_fields":[{"id":1,"name":"Subdivision","value":"EC"},{"id":4,"name":"Milepost","value":"23.3295"},{"id":17,"name":"Train ID","value":"177-18"},{"id":16,"name":"Locomotive ID","value":"4029"},{"id":130,"name":"Impact","value":""},{"id":150,"name":"Time of Event (Mountain Time)","value":"13:50:21"},{"id":151,"name":"Denver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546</v>
      </c>
      <c r="B91" s="7">
        <v>4030</v>
      </c>
      <c r="C91" s="22" t="s">
        <v>99</v>
      </c>
      <c r="D91" s="22" t="s">
        <v>377</v>
      </c>
      <c r="E91" s="13">
        <v>42661.587939814817</v>
      </c>
      <c r="F91" s="13">
        <v>42661.6253125</v>
      </c>
      <c r="G91" s="7">
        <v>1</v>
      </c>
      <c r="H91" s="13" t="s">
        <v>225</v>
      </c>
      <c r="I91" s="13">
        <v>42661.650069444448</v>
      </c>
      <c r="J91" s="7">
        <v>0</v>
      </c>
      <c r="K91" s="112" t="str">
        <f t="shared" si="27"/>
        <v>4029/4030</v>
      </c>
      <c r="L91" s="22" t="str">
        <f>VLOOKUP(A91,'Trips&amp;Operators'!$C$1:$E$10000,3,FALSE)</f>
        <v>HELVIE</v>
      </c>
      <c r="M91" s="6">
        <f t="shared" si="28"/>
        <v>2.4756944447290152E-2</v>
      </c>
      <c r="N91" s="7">
        <f t="shared" si="41"/>
        <v>35.650000004097819</v>
      </c>
      <c r="O91" s="7"/>
      <c r="P91" s="7"/>
      <c r="Q91" s="23"/>
      <c r="R91" s="23"/>
      <c r="S91" s="35">
        <f t="shared" si="40"/>
        <v>1</v>
      </c>
      <c r="T91" s="50" t="str">
        <f t="shared" si="29"/>
        <v>Southbound</v>
      </c>
      <c r="U91" s="18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13:06:38-0600',mode:absolute,to:'2016-10-18 16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1" s="52" t="str">
        <f t="shared" si="31"/>
        <v>N</v>
      </c>
      <c r="X91" s="174">
        <f t="shared" si="32"/>
        <v>1</v>
      </c>
      <c r="Y91" s="67">
        <f t="shared" si="33"/>
        <v>23.297499999999999</v>
      </c>
      <c r="Z91" s="67">
        <f t="shared" si="34"/>
        <v>1.61E-2</v>
      </c>
      <c r="AA91" s="67">
        <f t="shared" si="35"/>
        <v>23.281399999999998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6"/>
        <v>0178-18</v>
      </c>
      <c r="AE91" s="91" t="str">
        <f t="shared" si="37"/>
        <v>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 &amp; aws s3 cp s3://rtdc.mdm.uploadarchive.raw/RTDC4030/ "%USERPROFILE%\AppData\Local\Temp\OnboardLogs"\RTDC4030\2016-10-19 --exclude "*" --recursive --include "*20161019*" &amp; "%USERPROFILE%\Documents\GitHub\mrs-test-scripts\Headless Mode &amp; Sideloading\WalkAndUnGZ.bat" "%USERPROFILE%\AppData\Local\Temp\OnboardLogs"\RTDC4030\2016-10-19</v>
      </c>
      <c r="AF91" s="88" t="str">
        <f t="shared" si="38"/>
        <v>"C:\Program Files (x86)\AstroGrep\AstroGrep.exe" /spath="%USERPROFILE%\AppData\Local\Temp\OnboardLogs" /stypes="app*4030*20161018*" /stext=" 21:.+((SYSTEM_STATE.+slice.+state.+changed )|(ment ac)|(system.+state.+changed )|(\[timeout)|(PRM\|1\|D)|(kpr)|(kdp)|(\|lc)|(penalty))" /e /r /s</v>
      </c>
      <c r="AG91" s="1" t="str">
        <f t="shared" si="39"/>
        <v>EC</v>
      </c>
      <c r="AH91" s="92" t="str">
        <f t="shared" si="25"/>
        <v>"%USERPROFILE%\Documents\GitHub\eaglep3\Utilities\RefineRTDCRunTimes.py" --tripid 178-18 --locoid 4030 --swversion DE.1.0.7.0 --startMP 204:232975 --initTime 2016-10-18T14:06:38 --startdatetime 2016-10-18T15:00:27 --delay 1 --endMP 204:161 --enddatetime 2016-10-18T15:36:06 --enforcementcount 0 &gt;&gt;C:\Users\stu\Documents\GitHub\eaglep3-reporting\EC\2016-10-18-refined-times.txt</v>
      </c>
      <c r="AI91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{"issue":{"subject":"","project_id":79,"tracker_id":40,"status_id":1,"priority_id":2,"assigned_to_id":23,"start_date":"2016-10-18","description":"","custom_fields":[{"id":1,"name":"Subdivision","value":"EC"},{"id":4,"name":"Milepost","value":"0.0161"},{"id":17,"name":"Train ID","value":"178-18"},{"id":16,"name":"Locomotive ID","value":"4030"},{"id":130,"name":"Impact","value":""},{"id":150,"name":"Time of Event (Mountain Time)","value":"15:36:06"},{"id":151,"name":"Denver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539</v>
      </c>
      <c r="B92" s="7">
        <v>4011</v>
      </c>
      <c r="C92" s="22" t="s">
        <v>99</v>
      </c>
      <c r="D92" s="22" t="s">
        <v>671</v>
      </c>
      <c r="E92" s="13">
        <v>42661.558217592596</v>
      </c>
      <c r="F92" s="13">
        <v>42661.562685185185</v>
      </c>
      <c r="G92" s="7">
        <v>1</v>
      </c>
      <c r="H92" s="13" t="s">
        <v>196</v>
      </c>
      <c r="I92" s="13">
        <v>42661.587881944448</v>
      </c>
      <c r="J92" s="7">
        <v>0</v>
      </c>
      <c r="K92" s="112" t="str">
        <f t="shared" si="27"/>
        <v>4011/4012</v>
      </c>
      <c r="L92" s="22" t="str">
        <f>VLOOKUP(A92,'Trips&amp;Operators'!$C$1:$E$10000,3,FALSE)</f>
        <v>HAITHCOX</v>
      </c>
      <c r="M92" s="6">
        <f t="shared" si="28"/>
        <v>2.5196759263053536E-2</v>
      </c>
      <c r="N92" s="7">
        <f t="shared" si="41"/>
        <v>36.283333338797092</v>
      </c>
      <c r="O92" s="7"/>
      <c r="P92" s="7"/>
      <c r="Q92" s="23"/>
      <c r="R92" s="23"/>
      <c r="S92" s="35">
        <f t="shared" si="40"/>
        <v>1</v>
      </c>
      <c r="T92" s="50" t="str">
        <f t="shared" si="29"/>
        <v>NorthBound</v>
      </c>
      <c r="U92" s="18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12:23:50-0600',mode:absolute,to:'2016-10-18 15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2" s="52" t="str">
        <f t="shared" si="31"/>
        <v>N</v>
      </c>
      <c r="X92" s="174">
        <f t="shared" si="32"/>
        <v>1</v>
      </c>
      <c r="Y92" s="67">
        <f t="shared" si="33"/>
        <v>4.1599999999999998E-2</v>
      </c>
      <c r="Z92" s="67">
        <f t="shared" si="34"/>
        <v>23.329699999999999</v>
      </c>
      <c r="AA92" s="67">
        <f t="shared" si="35"/>
        <v>23.2881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6"/>
        <v>0179-18</v>
      </c>
      <c r="AE92" s="91" t="str">
        <f t="shared" si="37"/>
        <v>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 &amp; 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</v>
      </c>
      <c r="AF92" s="88" t="str">
        <f t="shared" si="38"/>
        <v>"C:\Program Files (x86)\AstroGrep\AstroGrep.exe" /spath="%USERPROFILE%\AppData\Local\Temp\OnboardLogs" /stypes="app*4011*20161018*" /stext=" 20:.+((SYSTEM_STATE.+slice.+state.+changed )|(ment ac)|(system.+state.+changed )|(\[timeout)|(PRM\|1\|D)|(kpr)|(kdp)|(\|lc)|(penalty))" /e /r /s</v>
      </c>
      <c r="AG92" s="1" t="str">
        <f t="shared" si="39"/>
        <v>EC</v>
      </c>
      <c r="AH92" s="92" t="str">
        <f t="shared" si="25"/>
        <v>"%USERPROFILE%\Documents\GitHub\eaglep3\Utilities\RefineRTDCRunTimes.py" --tripid 179-18 --locoid 4011 --swversion DE.1.0.7.0 --startMP 204:416 --initTime 2016-10-18T13:23:50 --startdatetime 2016-10-18T13:30:16 --delay 1 --endMP 204:233297 --enddatetime 2016-10-18T14:06:33 --enforcementcount 0 &gt;&gt;C:\Users\stu\Documents\GitHub\eaglep3-reporting\EC\2016-10-18-refined-times.txt</v>
      </c>
      <c r="AI92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{"issue":{"subject":"","project_id":79,"tracker_id":40,"status_id":1,"priority_id":2,"assigned_to_id":23,"start_date":"2016-10-18","description":"","custom_fields":[{"id":1,"name":"Subdivision","value":"EC"},{"id":4,"name":"Milepost","value":"23.3297"},{"id":17,"name":"Train ID","value":"179-18"},{"id":16,"name":"Locomotive ID","value":"4011"},{"id":130,"name":"Impact","value":""},{"id":150,"name":"Time of Event (Mountain Time)","value":"14:06:33"},{"id":151,"name":"Denver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548</v>
      </c>
      <c r="B93" s="7">
        <v>4012</v>
      </c>
      <c r="C93" s="22" t="s">
        <v>99</v>
      </c>
      <c r="D93" s="22" t="s">
        <v>251</v>
      </c>
      <c r="E93" s="13">
        <v>42661.596400462964</v>
      </c>
      <c r="F93" s="13">
        <v>42661.6016087963</v>
      </c>
      <c r="G93" s="7">
        <v>1</v>
      </c>
      <c r="H93" s="13" t="s">
        <v>232</v>
      </c>
      <c r="I93" s="13">
        <v>42661.629421296297</v>
      </c>
      <c r="J93" s="7">
        <v>0</v>
      </c>
      <c r="K93" s="112" t="str">
        <f t="shared" si="27"/>
        <v>4011/4012</v>
      </c>
      <c r="L93" s="22" t="str">
        <f>VLOOKUP(A93,'Trips&amp;Operators'!$C$1:$E$10000,3,FALSE)</f>
        <v>HAITHCOX</v>
      </c>
      <c r="M93" s="6">
        <f t="shared" si="28"/>
        <v>2.7812499996798579E-2</v>
      </c>
      <c r="N93" s="7">
        <f t="shared" si="41"/>
        <v>40.049999995389953</v>
      </c>
      <c r="O93" s="7"/>
      <c r="P93" s="7"/>
      <c r="Q93" s="23"/>
      <c r="R93" s="23"/>
      <c r="S93" s="35">
        <f t="shared" si="40"/>
        <v>1</v>
      </c>
      <c r="T93" s="50" t="str">
        <f t="shared" si="29"/>
        <v>Southbound</v>
      </c>
      <c r="U93" s="18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13:18:49-0600',mode:absolute,to:'2016-10-18 16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3" s="52" t="str">
        <f t="shared" si="31"/>
        <v>N</v>
      </c>
      <c r="X93" s="174">
        <f t="shared" si="32"/>
        <v>1</v>
      </c>
      <c r="Y93" s="67">
        <f t="shared" si="33"/>
        <v>23.297899999999998</v>
      </c>
      <c r="Z93" s="67">
        <f t="shared" si="34"/>
        <v>1.4999999999999999E-2</v>
      </c>
      <c r="AA93" s="67">
        <f t="shared" si="35"/>
        <v>23.282899999999998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6"/>
        <v>0180-18</v>
      </c>
      <c r="AE93" s="91" t="str">
        <f t="shared" si="37"/>
        <v>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 &amp; 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</v>
      </c>
      <c r="AF93" s="88" t="str">
        <f t="shared" si="38"/>
        <v>"C:\Program Files (x86)\AstroGrep\AstroGrep.exe" /spath="%USERPROFILE%\AppData\Local\Temp\OnboardLogs" /stypes="app*4012*20161018*" /stext=" 21:.+((SYSTEM_STATE.+slice.+state.+changed )|(ment ac)|(system.+state.+changed )|(\[timeout)|(PRM\|1\|D)|(kpr)|(kdp)|(\|lc)|(penalty))" /e /r /s</v>
      </c>
      <c r="AG93" s="1" t="str">
        <f t="shared" si="39"/>
        <v>EC</v>
      </c>
      <c r="AH93" s="92" t="str">
        <f t="shared" si="25"/>
        <v>"%USERPROFILE%\Documents\GitHub\eaglep3\Utilities\RefineRTDCRunTimes.py" --tripid 180-18 --locoid 4012 --swversion DE.1.0.7.0 --startMP 204:232979 --initTime 2016-10-18T14:18:49 --startdatetime 2016-10-18T14:26:19 --delay 1 --endMP 204:150 --enddatetime 2016-10-18T15:06:22 --enforcementcount 0 &gt;&gt;C:\Users\stu\Documents\GitHub\eaglep3-reporting\EC\2016-10-18-refined-times.txt</v>
      </c>
      <c r="AI93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{"issue":{"subject":"","project_id":79,"tracker_id":40,"status_id":1,"priority_id":2,"assigned_to_id":23,"start_date":"2016-10-18","description":"","custom_fields":[{"id":1,"name":"Subdivision","value":"EC"},{"id":4,"name":"Milepost","value":"0.015"},{"id":17,"name":"Train ID","value":"180-18"},{"id":16,"name":"Locomotive ID","value":"4012"},{"id":130,"name":"Impact","value":""},{"id":150,"name":"Time of Event (Mountain Time)","value":"15:06:22"},{"id":151,"name":"Denver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542</v>
      </c>
      <c r="B94" s="7">
        <v>4044</v>
      </c>
      <c r="C94" s="22" t="s">
        <v>99</v>
      </c>
      <c r="D94" s="22" t="s">
        <v>252</v>
      </c>
      <c r="E94" s="13">
        <v>42661.567662037036</v>
      </c>
      <c r="F94" s="13">
        <v>42661.573344907411</v>
      </c>
      <c r="G94" s="7">
        <v>1</v>
      </c>
      <c r="H94" s="13" t="s">
        <v>672</v>
      </c>
      <c r="I94" s="13">
        <v>42661.598530092589</v>
      </c>
      <c r="J94" s="7">
        <v>0</v>
      </c>
      <c r="K94" s="112" t="str">
        <f t="shared" si="27"/>
        <v>4043/4044</v>
      </c>
      <c r="L94" s="22" t="str">
        <f>VLOOKUP(A94,'Trips&amp;Operators'!$C$1:$E$10000,3,FALSE)</f>
        <v>HILLS</v>
      </c>
      <c r="M94" s="6">
        <f t="shared" si="28"/>
        <v>2.5185185178997926E-2</v>
      </c>
      <c r="N94" s="7">
        <f t="shared" si="41"/>
        <v>36.266666657757014</v>
      </c>
      <c r="O94" s="7"/>
      <c r="P94" s="7"/>
      <c r="Q94" s="23"/>
      <c r="R94" s="23"/>
      <c r="S94" s="35">
        <f t="shared" si="40"/>
        <v>1</v>
      </c>
      <c r="T94" s="50" t="str">
        <f t="shared" si="29"/>
        <v>NorthBound</v>
      </c>
      <c r="U94" s="18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12:37:26-0600',mode:absolute,to:'2016-10-18 15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4" s="52" t="str">
        <f t="shared" si="31"/>
        <v>N</v>
      </c>
      <c r="X94" s="174">
        <f t="shared" si="32"/>
        <v>1</v>
      </c>
      <c r="Y94" s="67">
        <f t="shared" si="33"/>
        <v>4.5999999999999999E-2</v>
      </c>
      <c r="Z94" s="67">
        <f t="shared" si="34"/>
        <v>23.332599999999999</v>
      </c>
      <c r="AA94" s="67">
        <f t="shared" si="35"/>
        <v>23.2866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6"/>
        <v>0181-18</v>
      </c>
      <c r="AE94" s="91" t="str">
        <f t="shared" si="37"/>
        <v>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 &amp; aws s3 cp s3://rtdc.mdm.uploadarchive.raw/RTDC4044/ "%USERPROFILE%\AppData\Local\Temp\OnboardLogs"\RTDC4044\2016-10-19 --exclude "*" --recursive --include "*20161019*" &amp; "%USERPROFILE%\Documents\GitHub\mrs-test-scripts\Headless Mode &amp; Sideloading\WalkAndUnGZ.bat" "%USERPROFILE%\AppData\Local\Temp\OnboardLogs"\RTDC4044\2016-10-19</v>
      </c>
      <c r="AF94" s="88" t="str">
        <f t="shared" si="38"/>
        <v>"C:\Program Files (x86)\AstroGrep\AstroGrep.exe" /spath="%USERPROFILE%\AppData\Local\Temp\OnboardLogs" /stypes="app*4044*20161018*" /stext=" 20:.+((SYSTEM_STATE.+slice.+state.+changed )|(ment ac)|(system.+state.+changed )|(\[timeout)|(PRM\|1\|D)|(kpr)|(kdp)|(\|lc)|(penalty))" /e /r /s</v>
      </c>
      <c r="AG94" s="1" t="str">
        <f t="shared" si="39"/>
        <v>EC</v>
      </c>
      <c r="AH94" s="92" t="str">
        <f t="shared" si="25"/>
        <v>"%USERPROFILE%\Documents\GitHub\eaglep3\Utilities\RefineRTDCRunTimes.py" --tripid 181-18 --locoid 4044 --swversion DE.1.0.7.0 --startMP 204:460 --initTime 2016-10-18T13:37:26 --startdatetime 2016-10-18T13:45:37 --delay 1 --endMP 204:233326 --enddatetime 2016-10-18T14:21:53 --enforcementcount 0 &gt;&gt;C:\Users\stu\Documents\GitHub\eaglep3-reporting\EC\2016-10-18-refined-times.txt</v>
      </c>
      <c r="AI94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{"issue":{"subject":"","project_id":79,"tracker_id":40,"status_id":1,"priority_id":2,"assigned_to_id":23,"start_date":"2016-10-18","description":"","custom_fields":[{"id":1,"name":"Subdivision","value":"EC"},{"id":4,"name":"Milepost","value":"23.3326"},{"id":17,"name":"Train ID","value":"181-18"},{"id":16,"name":"Locomotive ID","value":"4044"},{"id":130,"name":"Impact","value":""},{"id":150,"name":"Time of Event (Mountain Time)","value":"14:21:53"},{"id":151,"name":"Denver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550</v>
      </c>
      <c r="B95" s="7">
        <v>4043</v>
      </c>
      <c r="C95" s="22" t="s">
        <v>99</v>
      </c>
      <c r="D95" s="22" t="s">
        <v>673</v>
      </c>
      <c r="E95" s="13">
        <v>42661.606400462966</v>
      </c>
      <c r="F95" s="13">
        <v>42661.612013888887</v>
      </c>
      <c r="G95" s="7">
        <v>1</v>
      </c>
      <c r="H95" s="13" t="s">
        <v>229</v>
      </c>
      <c r="I95" s="13">
        <v>42661.641400462962</v>
      </c>
      <c r="J95" s="7">
        <v>0</v>
      </c>
      <c r="K95" s="112" t="str">
        <f t="shared" si="27"/>
        <v>4043/4044</v>
      </c>
      <c r="L95" s="22" t="str">
        <f>VLOOKUP(A95,'Trips&amp;Operators'!$C$1:$E$10000,3,FALSE)</f>
        <v>HILLS</v>
      </c>
      <c r="M95" s="6">
        <f t="shared" si="28"/>
        <v>2.9386574075033423E-2</v>
      </c>
      <c r="N95" s="7">
        <f t="shared" si="41"/>
        <v>42.316666668048128</v>
      </c>
      <c r="O95" s="7"/>
      <c r="P95" s="7"/>
      <c r="Q95" s="23"/>
      <c r="R95" s="23"/>
      <c r="S95" s="35">
        <f t="shared" si="40"/>
        <v>1</v>
      </c>
      <c r="T95" s="50" t="str">
        <f t="shared" si="29"/>
        <v>Southbound</v>
      </c>
      <c r="U95" s="18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13:33:13-0600',mode:absolute,to:'2016-10-18 16:23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5" s="52" t="str">
        <f t="shared" si="31"/>
        <v>N</v>
      </c>
      <c r="X95" s="174">
        <f t="shared" si="32"/>
        <v>1</v>
      </c>
      <c r="Y95" s="67">
        <f t="shared" si="33"/>
        <v>23.3017</v>
      </c>
      <c r="Z95" s="67">
        <f t="shared" si="34"/>
        <v>1.49E-2</v>
      </c>
      <c r="AA95" s="67">
        <f t="shared" si="35"/>
        <v>23.286799999999999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6"/>
        <v>0182-18</v>
      </c>
      <c r="AE95" s="91" t="str">
        <f t="shared" si="37"/>
        <v>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 &amp; aws s3 cp s3://rtdc.mdm.uploadarchive.raw/RTDC4043/ "%USERPROFILE%\AppData\Local\Temp\OnboardLogs"\RTDC4043\2016-10-19 --exclude "*" --recursive --include "*20161019*" &amp; "%USERPROFILE%\Documents\GitHub\mrs-test-scripts\Headless Mode &amp; Sideloading\WalkAndUnGZ.bat" "%USERPROFILE%\AppData\Local\Temp\OnboardLogs"\RTDC4043\2016-10-19</v>
      </c>
      <c r="AF95" s="88" t="str">
        <f t="shared" si="38"/>
        <v>"C:\Program Files (x86)\AstroGrep\AstroGrep.exe" /spath="%USERPROFILE%\AppData\Local\Temp\OnboardLogs" /stypes="app*4043*20161018*" /stext=" 21:.+((SYSTEM_STATE.+slice.+state.+changed )|(ment ac)|(system.+state.+changed )|(\[timeout)|(PRM\|1\|D)|(kpr)|(kdp)|(\|lc)|(penalty))" /e /r /s</v>
      </c>
      <c r="AG95" s="1" t="str">
        <f t="shared" si="39"/>
        <v>EC</v>
      </c>
      <c r="AH95" s="92" t="str">
        <f t="shared" si="25"/>
        <v>"%USERPROFILE%\Documents\GitHub\eaglep3\Utilities\RefineRTDCRunTimes.py" --tripid 182-18 --locoid 4043 --swversion DE.1.0.7.0 --startMP 204:233017 --initTime 2016-10-18T14:33:13 --startdatetime 2016-10-18T14:41:18 --delay 1 --endMP 204:149 --enddatetime 2016-10-18T15:23:37 --enforcementcount 0 &gt;&gt;C:\Users\stu\Documents\GitHub\eaglep3-reporting\EC\2016-10-18-refined-times.txt</v>
      </c>
      <c r="AI95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{"issue":{"subject":"","project_id":79,"tracker_id":40,"status_id":1,"priority_id":2,"assigned_to_id":23,"start_date":"2016-10-18","description":"","custom_fields":[{"id":1,"name":"Subdivision","value":"EC"},{"id":4,"name":"Milepost","value":"0.0149"},{"id":17,"name":"Train ID","value":"182-18"},{"id":16,"name":"Locomotive ID","value":"4043"},{"id":130,"name":"Impact","value":""},{"id":150,"name":"Time of Event (Mountain Time)","value":"15:23:37"},{"id":151,"name":"Denver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544</v>
      </c>
      <c r="B96" s="7">
        <v>4025</v>
      </c>
      <c r="C96" s="22" t="s">
        <v>99</v>
      </c>
      <c r="D96" s="22" t="s">
        <v>333</v>
      </c>
      <c r="E96" s="13">
        <v>42661.580057870371</v>
      </c>
      <c r="F96" s="13">
        <v>42661.583495370367</v>
      </c>
      <c r="G96" s="7">
        <v>1</v>
      </c>
      <c r="H96" s="13" t="s">
        <v>674</v>
      </c>
      <c r="I96" s="13">
        <v>42661.609143518515</v>
      </c>
      <c r="J96" s="7">
        <v>0</v>
      </c>
      <c r="K96" s="112" t="str">
        <f t="shared" si="27"/>
        <v>4025/4026</v>
      </c>
      <c r="L96" s="22" t="str">
        <f>VLOOKUP(A96,'Trips&amp;Operators'!$C$1:$E$10000,3,FALSE)</f>
        <v>CLARK</v>
      </c>
      <c r="M96" s="6">
        <f t="shared" si="28"/>
        <v>2.5648148148320615E-2</v>
      </c>
      <c r="N96" s="7">
        <f t="shared" si="41"/>
        <v>36.933333333581686</v>
      </c>
      <c r="O96" s="7"/>
      <c r="P96" s="7"/>
      <c r="Q96" s="23"/>
      <c r="R96" s="23"/>
      <c r="S96" s="35">
        <f t="shared" si="40"/>
        <v>1</v>
      </c>
      <c r="T96" s="50" t="str">
        <f t="shared" si="29"/>
        <v>NorthBound</v>
      </c>
      <c r="U96" s="18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12:55:17-0600',mode:absolute,to:'2016-10-18 15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6" s="52" t="str">
        <f t="shared" si="31"/>
        <v>N</v>
      </c>
      <c r="X96" s="174">
        <f t="shared" si="32"/>
        <v>1</v>
      </c>
      <c r="Y96" s="67">
        <f t="shared" si="33"/>
        <v>4.8399999999999999E-2</v>
      </c>
      <c r="Z96" s="67">
        <f t="shared" si="34"/>
        <v>23.329799999999999</v>
      </c>
      <c r="AA96" s="67">
        <f t="shared" si="35"/>
        <v>23.281399999999998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6"/>
        <v>0183-18</v>
      </c>
      <c r="AE96" s="91" t="str">
        <f t="shared" si="37"/>
        <v>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 &amp; 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</v>
      </c>
      <c r="AF96" s="88" t="str">
        <f t="shared" si="38"/>
        <v>"C:\Program Files (x86)\AstroGrep\AstroGrep.exe" /spath="%USERPROFILE%\AppData\Local\Temp\OnboardLogs" /stypes="app*4025*20161018*" /stext=" 20:.+((SYSTEM_STATE.+slice.+state.+changed )|(ment ac)|(system.+state.+changed )|(\[timeout)|(PRM\|1\|D)|(kpr)|(kdp)|(\|lc)|(penalty))" /e /r /s</v>
      </c>
      <c r="AG96" s="1" t="str">
        <f t="shared" si="39"/>
        <v>EC</v>
      </c>
      <c r="AH96" s="92" t="str">
        <f t="shared" si="25"/>
        <v>"%USERPROFILE%\Documents\GitHub\eaglep3\Utilities\RefineRTDCRunTimes.py" --tripid 183-18 --locoid 4025 --swversion DE.1.0.7.0 --startMP 204:484 --initTime 2016-10-18T13:55:17 --startdatetime 2016-10-18T14:00:14 --delay 1 --endMP 204:233298 --enddatetime 2016-10-18T14:37:10 --enforcementcount 0 &gt;&gt;C:\Users\stu\Documents\GitHub\eaglep3-reporting\EC\2016-10-18-refined-times.txt</v>
      </c>
      <c r="AI96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{"issue":{"subject":"","project_id":79,"tracker_id":40,"status_id":1,"priority_id":2,"assigned_to_id":23,"start_date":"2016-10-18","description":"","custom_fields":[{"id":1,"name":"Subdivision","value":"EC"},{"id":4,"name":"Milepost","value":"23.3298"},{"id":17,"name":"Train ID","value":"183-18"},{"id":16,"name":"Locomotive ID","value":"4025"},{"id":130,"name":"Impact","value":""},{"id":150,"name":"Time of Event (Mountain Time)","value":"14:37:10"},{"id":151,"name":"Denver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553</v>
      </c>
      <c r="B97" s="7">
        <v>4026</v>
      </c>
      <c r="C97" s="22" t="s">
        <v>99</v>
      </c>
      <c r="D97" s="22" t="s">
        <v>322</v>
      </c>
      <c r="E97" s="13">
        <v>42661.615624999999</v>
      </c>
      <c r="F97" s="13">
        <v>42661.622384259259</v>
      </c>
      <c r="G97" s="7">
        <v>1</v>
      </c>
      <c r="H97" s="13" t="s">
        <v>232</v>
      </c>
      <c r="I97" s="13">
        <v>42661.651631944442</v>
      </c>
      <c r="J97" s="7">
        <v>0</v>
      </c>
      <c r="K97" s="112" t="str">
        <f t="shared" si="27"/>
        <v>4025/4026</v>
      </c>
      <c r="L97" s="22" t="str">
        <f>VLOOKUP(A97,'Trips&amp;Operators'!$C$1:$E$10000,3,FALSE)</f>
        <v>CLARK</v>
      </c>
      <c r="M97" s="6">
        <f t="shared" si="28"/>
        <v>2.9247685182781424E-2</v>
      </c>
      <c r="N97" s="7">
        <f t="shared" si="41"/>
        <v>42.116666663205251</v>
      </c>
      <c r="O97" s="7"/>
      <c r="P97" s="7"/>
      <c r="Q97" s="23"/>
      <c r="R97" s="23"/>
      <c r="S97" s="35">
        <f t="shared" si="40"/>
        <v>1</v>
      </c>
      <c r="T97" s="50" t="str">
        <f t="shared" si="29"/>
        <v>Southbound</v>
      </c>
      <c r="U97" s="18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13:46:30-0600',mode:absolute,to:'2016-10-18 16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7" s="52" t="str">
        <f t="shared" si="31"/>
        <v>N</v>
      </c>
      <c r="X97" s="174">
        <f t="shared" si="32"/>
        <v>1</v>
      </c>
      <c r="Y97" s="67">
        <f t="shared" si="33"/>
        <v>23.298100000000002</v>
      </c>
      <c r="Z97" s="67">
        <f t="shared" si="34"/>
        <v>1.4999999999999999E-2</v>
      </c>
      <c r="AA97" s="67">
        <f t="shared" si="35"/>
        <v>23.283100000000001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6"/>
        <v>0184-18</v>
      </c>
      <c r="AE97" s="91" t="str">
        <f t="shared" si="37"/>
        <v>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 &amp; 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</v>
      </c>
      <c r="AF97" s="88" t="str">
        <f t="shared" si="38"/>
        <v>"C:\Program Files (x86)\AstroGrep\AstroGrep.exe" /spath="%USERPROFILE%\AppData\Local\Temp\OnboardLogs" /stypes="app*4026*20161018*" /stext=" 21:.+((SYSTEM_STATE.+slice.+state.+changed )|(ment ac)|(system.+state.+changed )|(\[timeout)|(PRM\|1\|D)|(kpr)|(kdp)|(\|lc)|(penalty))" /e /r /s</v>
      </c>
      <c r="AG97" s="1" t="str">
        <f t="shared" si="39"/>
        <v>EC</v>
      </c>
      <c r="AH97" s="92" t="str">
        <f t="shared" si="25"/>
        <v>"%USERPROFILE%\Documents\GitHub\eaglep3\Utilities\RefineRTDCRunTimes.py" --tripid 184-18 --locoid 4026 --swversion DE.1.0.7.0 --startMP 204:232981 --initTime 2016-10-18T14:46:30 --startdatetime 2016-10-18T14:56:14 --delay 1 --endMP 204:150 --enddatetime 2016-10-18T15:38:21 --enforcementcount 0 &gt;&gt;C:\Users\stu\Documents\GitHub\eaglep3-reporting\EC\2016-10-18-refined-times.txt</v>
      </c>
      <c r="AI97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{"issue":{"subject":"","project_id":79,"tracker_id":40,"status_id":1,"priority_id":2,"assigned_to_id":23,"start_date":"2016-10-18","description":"","custom_fields":[{"id":1,"name":"Subdivision","value":"EC"},{"id":4,"name":"Milepost","value":"0.015"},{"id":17,"name":"Train ID","value":"184-18"},{"id":16,"name":"Locomotive ID","value":"4026"},{"id":130,"name":"Impact","value":""},{"id":150,"name":"Time of Event (Mountain Time)","value":"15:38:21"},{"id":151,"name":"Denver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547</v>
      </c>
      <c r="B98" s="7">
        <v>4016</v>
      </c>
      <c r="C98" s="22" t="s">
        <v>99</v>
      </c>
      <c r="D98" s="22" t="s">
        <v>228</v>
      </c>
      <c r="E98" s="13">
        <v>42661.589305555557</v>
      </c>
      <c r="F98" s="13">
        <v>42661.594108796293</v>
      </c>
      <c r="G98" s="7">
        <v>1</v>
      </c>
      <c r="H98" s="13" t="s">
        <v>254</v>
      </c>
      <c r="I98" s="13">
        <v>42661.620474537034</v>
      </c>
      <c r="J98" s="7">
        <v>0</v>
      </c>
      <c r="K98" s="112" t="str">
        <f t="shared" si="27"/>
        <v>4015/4016</v>
      </c>
      <c r="L98" s="22" t="str">
        <f>VLOOKUP(A98,'Trips&amp;Operators'!$C$1:$E$10000,3,FALSE)</f>
        <v>STORY</v>
      </c>
      <c r="M98" s="6">
        <f t="shared" si="28"/>
        <v>2.6365740741312038E-2</v>
      </c>
      <c r="N98" s="7">
        <f t="shared" si="41"/>
        <v>37.966666667489335</v>
      </c>
      <c r="O98" s="7"/>
      <c r="P98" s="7"/>
      <c r="Q98" s="23"/>
      <c r="R98" s="23"/>
      <c r="S98" s="35">
        <f t="shared" si="40"/>
        <v>1</v>
      </c>
      <c r="T98" s="50" t="str">
        <f t="shared" si="29"/>
        <v>NorthBound</v>
      </c>
      <c r="U98" s="18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13:08:36-0600',mode:absolute,to:'2016-10-18 15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8" s="52" t="str">
        <f t="shared" si="31"/>
        <v>N</v>
      </c>
      <c r="X98" s="174">
        <f t="shared" si="32"/>
        <v>1</v>
      </c>
      <c r="Y98" s="67">
        <f t="shared" si="33"/>
        <v>4.58E-2</v>
      </c>
      <c r="Z98" s="67">
        <f t="shared" si="34"/>
        <v>23.328900000000001</v>
      </c>
      <c r="AA98" s="67">
        <f t="shared" si="35"/>
        <v>23.283100000000001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6"/>
        <v>0185-18</v>
      </c>
      <c r="AE98" s="91" t="str">
        <f t="shared" si="37"/>
        <v>aws s3 cp s3://rtdc.mdm.uploadarchive.raw/RTDC4016/ "%USERPROFILE%\AppData\Local\Temp\OnboardLogs"\RTDC4016\2016-10-18 --exclude "*" --recursive --include "*20161018*" &amp; "%USERPROFILE%\Documents\GitHub\mrs-test-scripts\Headless Mode &amp; Sideloading\WalkAndUnGZ.bat" "%USERPROFILE%\AppData\Local\Temp\OnboardLogs"\RTDC4016\2016-10-18 &amp; aws s3 cp s3://rtdc.mdm.uploadarchive.raw/RTDC4016/ "%USERPROFILE%\AppData\Local\Temp\OnboardLogs"\RTDC4016\2016-10-19 --exclude "*" --recursive --include "*20161019*" &amp; "%USERPROFILE%\Documents\GitHub\mrs-test-scripts\Headless Mode &amp; Sideloading\WalkAndUnGZ.bat" "%USERPROFILE%\AppData\Local\Temp\OnboardLogs"\RTDC4016\2016-10-19</v>
      </c>
      <c r="AF98" s="88" t="str">
        <f t="shared" si="38"/>
        <v>"C:\Program Files (x86)\AstroGrep\AstroGrep.exe" /spath="%USERPROFILE%\AppData\Local\Temp\OnboardLogs" /stypes="app*4016*20161018*" /stext=" 20:.+((SYSTEM_STATE.+slice.+state.+changed )|(ment ac)|(system.+state.+changed )|(\[timeout)|(PRM\|1\|D)|(kpr)|(kdp)|(\|lc)|(penalty))" /e /r /s</v>
      </c>
      <c r="AG98" s="1" t="str">
        <f t="shared" si="39"/>
        <v>EC</v>
      </c>
      <c r="AH98" s="92" t="str">
        <f t="shared" si="25"/>
        <v>"%USERPROFILE%\Documents\GitHub\eaglep3\Utilities\RefineRTDCRunTimes.py" --tripid 185-18 --locoid 4016 --swversion DE.1.0.7.0 --startMP 204:458 --initTime 2016-10-18T14:08:36 --startdatetime 2016-10-18T14:15:31 --delay 1 --endMP 204:233289 --enddatetime 2016-10-18T14:53:29 --enforcementcount 0 &gt;&gt;C:\Users\stu\Documents\GitHub\eaglep3-reporting\EC\2016-10-18-refined-times.txt</v>
      </c>
      <c r="AI98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{"issue":{"subject":"","project_id":79,"tracker_id":40,"status_id":1,"priority_id":2,"assigned_to_id":23,"start_date":"2016-10-18","description":"","custom_fields":[{"id":1,"name":"Subdivision","value":"EC"},{"id":4,"name":"Milepost","value":"23.3289"},{"id":17,"name":"Train ID","value":"185-18"},{"id":16,"name":"Locomotive ID","value":"4016"},{"id":130,"name":"Impact","value":""},{"id":150,"name":"Time of Event (Mountain Time)","value":"14:53:29"},{"id":151,"name":"Denver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s="21" customFormat="1" x14ac:dyDescent="0.25">
      <c r="A99" s="37" t="s">
        <v>428</v>
      </c>
      <c r="B99" s="7">
        <v>4015</v>
      </c>
      <c r="C99" s="22" t="s">
        <v>99</v>
      </c>
      <c r="D99" s="22" t="s">
        <v>675</v>
      </c>
      <c r="E99" s="13">
        <v>42661.626782407409</v>
      </c>
      <c r="F99" s="13">
        <v>42661.632847222223</v>
      </c>
      <c r="G99" s="7">
        <v>1</v>
      </c>
      <c r="H99" s="13" t="s">
        <v>229</v>
      </c>
      <c r="I99" s="13">
        <v>42661.660671296297</v>
      </c>
      <c r="J99" s="7">
        <v>0</v>
      </c>
      <c r="K99" s="112" t="str">
        <f t="shared" si="27"/>
        <v>4015/4016</v>
      </c>
      <c r="L99" s="22" t="str">
        <f>VLOOKUP(A99,'Trips&amp;Operators'!$C$1:$E$10000,3,FALSE)</f>
        <v>STORY</v>
      </c>
      <c r="M99" s="6">
        <f t="shared" si="28"/>
        <v>2.7824074073578231E-2</v>
      </c>
      <c r="N99" s="7">
        <f t="shared" si="41"/>
        <v>40.066666665952653</v>
      </c>
      <c r="O99" s="7"/>
      <c r="P99" s="7"/>
      <c r="Q99" s="23"/>
      <c r="R99" s="23"/>
      <c r="S99" s="35">
        <f t="shared" si="40"/>
        <v>1</v>
      </c>
      <c r="T99" s="50" t="str">
        <f t="shared" si="29"/>
        <v>Southbound</v>
      </c>
      <c r="U99" s="18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14:02:34-0600',mode:absolute,to:'2016-10-18 16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9" s="52" t="str">
        <f t="shared" si="31"/>
        <v>N</v>
      </c>
      <c r="X99" s="174">
        <f t="shared" si="32"/>
        <v>1</v>
      </c>
      <c r="Y99" s="67">
        <f t="shared" si="33"/>
        <v>23.295500000000001</v>
      </c>
      <c r="Z99" s="67">
        <f t="shared" si="34"/>
        <v>1.49E-2</v>
      </c>
      <c r="AA99" s="67">
        <f t="shared" si="35"/>
        <v>23.2806</v>
      </c>
      <c r="AB99" s="64" t="str">
        <f>VLOOKUP(A99,Enforcements!$C$7:$K$21,8,0)</f>
        <v>Speed (6)</v>
      </c>
      <c r="AC99" s="60" t="str">
        <f>VLOOKUP(A99,Enforcements!$C$7:$E$21,3,0)</f>
        <v>PERMANENT SPEED RESTRICTION</v>
      </c>
      <c r="AD99" s="61" t="str">
        <f t="shared" si="36"/>
        <v>0186-18</v>
      </c>
      <c r="AE99" s="91" t="str">
        <f t="shared" si="37"/>
        <v>aws s3 cp s3://rtdc.mdm.uploadarchive.raw/RTDC4015/ "%USERPROFILE%\AppData\Local\Temp\OnboardLogs"\RTDC4015\2016-10-18 --exclude "*" --recursive --include "*20161018*" &amp; "%USERPROFILE%\Documents\GitHub\mrs-test-scripts\Headless Mode &amp; Sideloading\WalkAndUnGZ.bat" "%USERPROFILE%\AppData\Local\Temp\OnboardLogs"\RTDC4015\2016-10-18 &amp; aws s3 cp s3://rtdc.mdm.uploadarchive.raw/RTDC4015/ "%USERPROFILE%\AppData\Local\Temp\OnboardLogs"\RTDC4015\2016-10-19 --exclude "*" --recursive --include "*20161019*" &amp; "%USERPROFILE%\Documents\GitHub\mrs-test-scripts\Headless Mode &amp; Sideloading\WalkAndUnGZ.bat" "%USERPROFILE%\AppData\Local\Temp\OnboardLogs"\RTDC4015\2016-10-19</v>
      </c>
      <c r="AF99" s="88" t="str">
        <f t="shared" si="38"/>
        <v>"C:\Program Files (x86)\AstroGrep\AstroGrep.exe" /spath="%USERPROFILE%\AppData\Local\Temp\OnboardLogs" /stypes="app*4015*20161018*" /stext=" 21:.+((SYSTEM_STATE.+slice.+state.+changed )|(ment ac)|(system.+state.+changed )|(\[timeout)|(PRM\|1\|D)|(kpr)|(kdp)|(\|lc)|(penalty))" /e /r /s</v>
      </c>
      <c r="AG99" s="1" t="str">
        <f t="shared" si="39"/>
        <v>EC</v>
      </c>
      <c r="AH99" s="92" t="str">
        <f t="shared" si="25"/>
        <v>"%USERPROFILE%\Documents\GitHub\eaglep3\Utilities\RefineRTDCRunTimes.py" --tripid 186-18 --locoid 4015 --swversion DE.1.0.7.0 --startMP 204:232955 --initTime 2016-10-18T15:02:34 --startdatetime 2016-10-18T15:11:18 --delay 1 --endMP 204:149 --enddatetime 2016-10-18T15:51:22 --enforcementcount 0 &gt;&gt;C:\Users\stu\Documents\GitHub\eaglep3-reporting\EC\2016-10-18-refined-times.txt</v>
      </c>
      <c r="AI99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{"issue":{"subject":"","project_id":79,"tracker_id":40,"status_id":1,"priority_id":2,"assigned_to_id":23,"start_date":"2016-10-18","description":"","custom_fields":[{"id":1,"name":"Subdivision","value":"EC"},{"id":4,"name":"Milepost","value":"0.0149"},{"id":17,"name":"Train ID","value":"186-18"},{"id":16,"name":"Locomotive ID","value":"4015"},{"id":130,"name":"Impact","value":""},{"id":150,"name":"Time of Event (Mountain Time)","value":"15:51:22"},{"id":151,"name":"Denver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549</v>
      </c>
      <c r="B100" s="7">
        <v>4042</v>
      </c>
      <c r="C100" s="22" t="s">
        <v>99</v>
      </c>
      <c r="D100" s="22" t="s">
        <v>676</v>
      </c>
      <c r="E100" s="13">
        <v>42661.599166666667</v>
      </c>
      <c r="F100" s="13">
        <v>42661.604386574072</v>
      </c>
      <c r="G100" s="7">
        <v>1</v>
      </c>
      <c r="H100" s="13" t="s">
        <v>196</v>
      </c>
      <c r="I100" s="13">
        <v>42661.629062499997</v>
      </c>
      <c r="J100" s="7">
        <v>0</v>
      </c>
      <c r="K100" s="112" t="str">
        <f t="shared" si="27"/>
        <v>4041/4042</v>
      </c>
      <c r="L100" s="22" t="str">
        <f>VLOOKUP(A100,'Trips&amp;Operators'!$C$1:$E$10000,3,FALSE)</f>
        <v>ROBINSON</v>
      </c>
      <c r="M100" s="6">
        <f t="shared" si="28"/>
        <v>2.4675925924384501E-2</v>
      </c>
      <c r="N100" s="7">
        <f t="shared" si="41"/>
        <v>35.533333331113681</v>
      </c>
      <c r="O100" s="7"/>
      <c r="P100" s="7"/>
      <c r="Q100" s="23"/>
      <c r="R100" s="23"/>
      <c r="S100" s="35">
        <f t="shared" si="40"/>
        <v>1</v>
      </c>
      <c r="T100" s="50" t="str">
        <f t="shared" si="29"/>
        <v>NorthBound</v>
      </c>
      <c r="U100" s="18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13:22:48-0600',mode:absolute,to:'2016-10-18 16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0" s="52" t="str">
        <f t="shared" si="31"/>
        <v>N</v>
      </c>
      <c r="X100" s="174">
        <f t="shared" si="32"/>
        <v>1</v>
      </c>
      <c r="Y100" s="67">
        <f t="shared" si="33"/>
        <v>4.3799999999999999E-2</v>
      </c>
      <c r="Z100" s="67">
        <f t="shared" si="34"/>
        <v>23.329699999999999</v>
      </c>
      <c r="AA100" s="67">
        <f t="shared" si="35"/>
        <v>23.285899999999998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6"/>
        <v>0187-18</v>
      </c>
      <c r="AE100" s="91" t="str">
        <f t="shared" si="37"/>
        <v>aws s3 cp s3://rtdc.mdm.uploadarchive.raw/RTDC4042/ "%USERPROFILE%\AppData\Local\Temp\OnboardLogs"\RTDC4042\2016-10-18 --exclude "*" --recursive --include "*20161018*" &amp; "%USERPROFILE%\Documents\GitHub\mrs-test-scripts\Headless Mode &amp; Sideloading\WalkAndUnGZ.bat" "%USERPROFILE%\AppData\Local\Temp\OnboardLogs"\RTDC4042\2016-10-18 &amp; 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</v>
      </c>
      <c r="AF100" s="88" t="str">
        <f t="shared" si="38"/>
        <v>"C:\Program Files (x86)\AstroGrep\AstroGrep.exe" /spath="%USERPROFILE%\AppData\Local\Temp\OnboardLogs" /stypes="app*4042*20161018*" /stext=" 21:.+((SYSTEM_STATE.+slice.+state.+changed )|(ment ac)|(system.+state.+changed )|(\[timeout)|(PRM\|1\|D)|(kpr)|(kdp)|(\|lc)|(penalty))" /e /r /s</v>
      </c>
      <c r="AG100" s="1" t="str">
        <f t="shared" si="39"/>
        <v>EC</v>
      </c>
      <c r="AH100" s="92" t="str">
        <f t="shared" si="25"/>
        <v>"%USERPROFILE%\Documents\GitHub\eaglep3\Utilities\RefineRTDCRunTimes.py" --tripid 187-18 --locoid 4042 --swversion DE.1.0.7.0 --startMP 204:438 --initTime 2016-10-18T14:22:48 --startdatetime 2016-10-18T14:30:19 --delay 1 --endMP 204:233297 --enddatetime 2016-10-18T15:05:51 --enforcementcount 0 &gt;&gt;C:\Users\stu\Documents\GitHub\eaglep3-reporting\EC\2016-10-18-refined-times.txt</v>
      </c>
      <c r="AI100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{"issue":{"subject":"","project_id":79,"tracker_id":40,"status_id":1,"priority_id":2,"assigned_to_id":23,"start_date":"2016-10-18","description":"","custom_fields":[{"id":1,"name":"Subdivision","value":"EC"},{"id":4,"name":"Milepost","value":"23.3297"},{"id":17,"name":"Train ID","value":"187-18"},{"id":16,"name":"Locomotive ID","value":"4042"},{"id":130,"name":"Impact","value":""},{"id":150,"name":"Time of Event (Mountain Time)","value":"15:05:51"},{"id":151,"name":"Denver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429</v>
      </c>
      <c r="B101" s="7">
        <v>4041</v>
      </c>
      <c r="C101" s="22" t="s">
        <v>99</v>
      </c>
      <c r="D101" s="22" t="s">
        <v>294</v>
      </c>
      <c r="E101" s="13">
        <v>42661.6330787037</v>
      </c>
      <c r="F101" s="13">
        <v>42661.643229166664</v>
      </c>
      <c r="G101" s="7">
        <v>1</v>
      </c>
      <c r="H101" s="13" t="s">
        <v>370</v>
      </c>
      <c r="I101" s="13">
        <v>42661.669571759259</v>
      </c>
      <c r="J101" s="7">
        <v>0</v>
      </c>
      <c r="K101" s="112" t="str">
        <f t="shared" si="27"/>
        <v>4041/4042</v>
      </c>
      <c r="L101" s="22" t="str">
        <f>VLOOKUP(A101,'Trips&amp;Operators'!$C$1:$E$10000,3,FALSE)</f>
        <v>ROBINSON</v>
      </c>
      <c r="M101" s="6">
        <f t="shared" si="28"/>
        <v>2.6342592595028691E-2</v>
      </c>
      <c r="N101" s="7">
        <f t="shared" si="41"/>
        <v>37.933333336841315</v>
      </c>
      <c r="O101" s="7"/>
      <c r="P101" s="7"/>
      <c r="Q101" s="23"/>
      <c r="R101" s="23"/>
      <c r="S101" s="35">
        <f t="shared" si="40"/>
        <v>1</v>
      </c>
      <c r="T101" s="50" t="str">
        <f t="shared" si="29"/>
        <v>Southbound</v>
      </c>
      <c r="U101" s="18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14:11:38-0600',mode:absolute,to:'2016-10-18 17:04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1" s="52" t="str">
        <f t="shared" si="31"/>
        <v>N</v>
      </c>
      <c r="X101" s="174">
        <f t="shared" si="32"/>
        <v>1</v>
      </c>
      <c r="Y101" s="67">
        <f t="shared" si="33"/>
        <v>23.2987</v>
      </c>
      <c r="Z101" s="67">
        <f t="shared" si="34"/>
        <v>1.7000000000000001E-2</v>
      </c>
      <c r="AA101" s="67">
        <f t="shared" si="35"/>
        <v>23.281700000000001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6"/>
        <v>0188-18</v>
      </c>
      <c r="AE101" s="91" t="str">
        <f t="shared" si="37"/>
        <v>aws s3 cp s3://rtdc.mdm.uploadarchive.raw/RTDC4041/ "%USERPROFILE%\AppData\Local\Temp\OnboardLogs"\RTDC4041\2016-10-18 --exclude "*" --recursive --include "*20161018*" &amp; "%USERPROFILE%\Documents\GitHub\mrs-test-scripts\Headless Mode &amp; Sideloading\WalkAndUnGZ.bat" "%USERPROFILE%\AppData\Local\Temp\OnboardLogs"\RTDC4041\2016-10-18 &amp; aws s3 cp s3://rtdc.mdm.uploadarchive.raw/RTDC4041/ "%USERPROFILE%\AppData\Local\Temp\OnboardLogs"\RTDC4041\2016-10-19 --exclude "*" --recursive --include "*20161019*" &amp; "%USERPROFILE%\Documents\GitHub\mrs-test-scripts\Headless Mode &amp; Sideloading\WalkAndUnGZ.bat" "%USERPROFILE%\AppData\Local\Temp\OnboardLogs"\RTDC4041\2016-10-19</v>
      </c>
      <c r="AF101" s="88" t="str">
        <f t="shared" si="38"/>
        <v>"C:\Program Files (x86)\AstroGrep\AstroGrep.exe" /spath="%USERPROFILE%\AppData\Local\Temp\OnboardLogs" /stypes="app*4041*20161018*" /stext=" 22:.+((SYSTEM_STATE.+slice.+state.+changed )|(ment ac)|(system.+state.+changed )|(\[timeout)|(PRM\|1\|D)|(kpr)|(kdp)|(\|lc)|(penalty))" /e /r /s</v>
      </c>
      <c r="AG101" s="1" t="str">
        <f t="shared" si="39"/>
        <v>EC</v>
      </c>
      <c r="AH101" s="92" t="str">
        <f t="shared" si="25"/>
        <v>"%USERPROFILE%\Documents\GitHub\eaglep3\Utilities\RefineRTDCRunTimes.py" --tripid 188-18 --locoid 4041 --swversion DE.1.0.7.0 --startMP 204:232987 --initTime 2016-10-18T15:11:38 --startdatetime 2016-10-18T15:26:15 --delay 1 --endMP 204:170 --enddatetime 2016-10-18T16:04:11 --enforcementcount 0 &gt;&gt;C:\Users\stu\Documents\GitHub\eaglep3-reporting\EC\2016-10-18-refined-times.txt</v>
      </c>
      <c r="AI101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{"issue":{"subject":"","project_id":79,"tracker_id":40,"status_id":1,"priority_id":2,"assigned_to_id":23,"start_date":"2016-10-18","description":"","custom_fields":[{"id":1,"name":"Subdivision","value":"EC"},{"id":4,"name":"Milepost","value":"0.017"},{"id":17,"name":"Train ID","value":"188-18"},{"id":16,"name":"Locomotive ID","value":"4041"},{"id":130,"name":"Impact","value":""},{"id":150,"name":"Time of Event (Mountain Time)","value":"16:04:11"},{"id":151,"name":"Denver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551</v>
      </c>
      <c r="B102" s="7">
        <v>4018</v>
      </c>
      <c r="C102" s="22" t="s">
        <v>99</v>
      </c>
      <c r="D102" s="22" t="s">
        <v>252</v>
      </c>
      <c r="E102" s="13">
        <v>42661.610034722224</v>
      </c>
      <c r="F102" s="13">
        <v>42661.614953703705</v>
      </c>
      <c r="G102" s="7">
        <v>1</v>
      </c>
      <c r="H102" s="13" t="s">
        <v>677</v>
      </c>
      <c r="I102" s="13">
        <v>42661.641342592593</v>
      </c>
      <c r="J102" s="7">
        <v>0</v>
      </c>
      <c r="K102" s="112" t="str">
        <f t="shared" si="27"/>
        <v>4017/4018</v>
      </c>
      <c r="L102" s="22" t="str">
        <f>VLOOKUP(A102,'Trips&amp;Operators'!$C$1:$E$10000,3,FALSE)</f>
        <v>SWANSON</v>
      </c>
      <c r="M102" s="6">
        <f t="shared" si="28"/>
        <v>2.6388888887595385E-2</v>
      </c>
      <c r="N102" s="7">
        <f t="shared" si="41"/>
        <v>37.999999998137355</v>
      </c>
      <c r="O102" s="7"/>
      <c r="P102" s="7"/>
      <c r="Q102" s="23"/>
      <c r="R102" s="23"/>
      <c r="S102" s="35">
        <f t="shared" si="40"/>
        <v>1</v>
      </c>
      <c r="T102" s="50" t="str">
        <f t="shared" si="29"/>
        <v>NorthBound</v>
      </c>
      <c r="U102" s="18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13:38:27-0600',mode:absolute,to:'2016-10-18 16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2" s="52" t="str">
        <f t="shared" si="31"/>
        <v>N</v>
      </c>
      <c r="X102" s="174">
        <f t="shared" si="32"/>
        <v>1</v>
      </c>
      <c r="Y102" s="67">
        <f t="shared" si="33"/>
        <v>4.5999999999999999E-2</v>
      </c>
      <c r="Z102" s="67">
        <f t="shared" si="34"/>
        <v>23.3264</v>
      </c>
      <c r="AA102" s="67">
        <f t="shared" si="35"/>
        <v>23.2804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6"/>
        <v>0189-18</v>
      </c>
      <c r="AE102" s="91" t="str">
        <f t="shared" si="37"/>
        <v>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 &amp; aws s3 cp s3://rtdc.mdm.uploadarchive.raw/RTDC4018/ "%USERPROFILE%\AppData\Local\Temp\OnboardLogs"\RTDC4018\2016-10-19 --exclude "*" --recursive --include "*20161019*" &amp; "%USERPROFILE%\Documents\GitHub\mrs-test-scripts\Headless Mode &amp; Sideloading\WalkAndUnGZ.bat" "%USERPROFILE%\AppData\Local\Temp\OnboardLogs"\RTDC4018\2016-10-19</v>
      </c>
      <c r="AF102" s="88" t="str">
        <f t="shared" si="38"/>
        <v>"C:\Program Files (x86)\AstroGrep\AstroGrep.exe" /spath="%USERPROFILE%\AppData\Local\Temp\OnboardLogs" /stypes="app*4018*20161018*" /stext=" 21:.+((SYSTEM_STATE.+slice.+state.+changed )|(ment ac)|(system.+state.+changed )|(\[timeout)|(PRM\|1\|D)|(kpr)|(kdp)|(\|lc)|(penalty))" /e /r /s</v>
      </c>
      <c r="AG102" s="1" t="str">
        <f t="shared" si="39"/>
        <v>EC</v>
      </c>
      <c r="AH102" s="92" t="str">
        <f t="shared" si="25"/>
        <v>"%USERPROFILE%\Documents\GitHub\eaglep3\Utilities\RefineRTDCRunTimes.py" --tripid 189-18 --locoid 4018 --swversion DE.1.0.7.0 --startMP 204:460 --initTime 2016-10-18T14:38:27 --startdatetime 2016-10-18T14:45:32 --delay 1 --endMP 204:233264 --enddatetime 2016-10-18T15:23:32 --enforcementcount 0 &gt;&gt;C:\Users\stu\Documents\GitHub\eaglep3-reporting\EC\2016-10-18-refined-times.txt</v>
      </c>
      <c r="AI102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{"issue":{"subject":"","project_id":79,"tracker_id":40,"status_id":1,"priority_id":2,"assigned_to_id":23,"start_date":"2016-10-18","description":"","custom_fields":[{"id":1,"name":"Subdivision","value":"EC"},{"id":4,"name":"Milepost","value":"23.3264"},{"id":17,"name":"Train ID","value":"189-18"},{"id":16,"name":"Locomotive ID","value":"4018"},{"id":130,"name":"Impact","value":""},{"id":150,"name":"Time of Event (Mountain Time)","value":"15:23:32"},{"id":151,"name":"Denver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557</v>
      </c>
      <c r="B103" s="7">
        <v>4017</v>
      </c>
      <c r="C103" s="22" t="s">
        <v>99</v>
      </c>
      <c r="D103" s="22" t="s">
        <v>239</v>
      </c>
      <c r="E103" s="13">
        <v>42661.643425925926</v>
      </c>
      <c r="F103" s="13">
        <v>42661.654120370367</v>
      </c>
      <c r="G103" s="7">
        <v>1</v>
      </c>
      <c r="H103" s="13" t="s">
        <v>231</v>
      </c>
      <c r="I103" s="13">
        <v>42661.681631944448</v>
      </c>
      <c r="J103" s="7">
        <v>0</v>
      </c>
      <c r="K103" s="112" t="str">
        <f t="shared" si="27"/>
        <v>4017/4018</v>
      </c>
      <c r="L103" s="22" t="str">
        <f>VLOOKUP(A103,'Trips&amp;Operators'!$C$1:$E$10000,3,FALSE)</f>
        <v>SWANSON</v>
      </c>
      <c r="M103" s="6">
        <f t="shared" si="28"/>
        <v>2.751157408056315E-2</v>
      </c>
      <c r="N103" s="7">
        <f t="shared" si="41"/>
        <v>39.616666676010936</v>
      </c>
      <c r="O103" s="7"/>
      <c r="P103" s="7"/>
      <c r="Q103" s="23"/>
      <c r="R103" s="23"/>
      <c r="S103" s="35">
        <f t="shared" si="40"/>
        <v>1</v>
      </c>
      <c r="T103" s="50" t="str">
        <f t="shared" si="29"/>
        <v>Southbound</v>
      </c>
      <c r="U103" s="18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14:26:32-0600',mode:absolute,to:'2016-10-18 17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3" s="52" t="str">
        <f t="shared" si="31"/>
        <v>N</v>
      </c>
      <c r="X103" s="174">
        <f t="shared" si="32"/>
        <v>1</v>
      </c>
      <c r="Y103" s="67">
        <f t="shared" si="33"/>
        <v>23.298200000000001</v>
      </c>
      <c r="Z103" s="67">
        <f t="shared" si="34"/>
        <v>1.43E-2</v>
      </c>
      <c r="AA103" s="67">
        <f t="shared" si="35"/>
        <v>23.283900000000003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6"/>
        <v>0190-18</v>
      </c>
      <c r="AE103" s="91" t="str">
        <f t="shared" si="37"/>
        <v>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 &amp; aws s3 cp s3://rtdc.mdm.uploadarchive.raw/RTDC4017/ "%USERPROFILE%\AppData\Local\Temp\OnboardLogs"\RTDC4017\2016-10-19 --exclude "*" --recursive --include "*20161019*" &amp; "%USERPROFILE%\Documents\GitHub\mrs-test-scripts\Headless Mode &amp; Sideloading\WalkAndUnGZ.bat" "%USERPROFILE%\AppData\Local\Temp\OnboardLogs"\RTDC4017\2016-10-19</v>
      </c>
      <c r="AF103" s="88" t="str">
        <f t="shared" si="38"/>
        <v>"C:\Program Files (x86)\AstroGrep\AstroGrep.exe" /spath="%USERPROFILE%\AppData\Local\Temp\OnboardLogs" /stypes="app*4017*20161018*" /stext=" 22:.+((SYSTEM_STATE.+slice.+state.+changed )|(ment ac)|(system.+state.+changed )|(\[timeout)|(PRM\|1\|D)|(kpr)|(kdp)|(\|lc)|(penalty))" /e /r /s</v>
      </c>
      <c r="AG103" s="1" t="str">
        <f t="shared" si="39"/>
        <v>EC</v>
      </c>
      <c r="AH103" s="92" t="str">
        <f t="shared" si="25"/>
        <v>"%USERPROFILE%\Documents\GitHub\eaglep3\Utilities\RefineRTDCRunTimes.py" --tripid 190-18 --locoid 4017 --swversion DE.1.0.7.0 --startMP 204:232982 --initTime 2016-10-18T15:26:32 --startdatetime 2016-10-18T15:41:56 --delay 1 --endMP 204:143 --enddatetime 2016-10-18T16:21:33 --enforcementcount 0 &gt;&gt;C:\Users\stu\Documents\GitHub\eaglep3-reporting\EC\2016-10-18-refined-times.txt</v>
      </c>
      <c r="AI103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{"issue":{"subject":"","project_id":79,"tracker_id":40,"status_id":1,"priority_id":2,"assigned_to_id":23,"start_date":"2016-10-18","description":"","custom_fields":[{"id":1,"name":"Subdivision","value":"EC"},{"id":4,"name":"Milepost","value":"0.0143"},{"id":17,"name":"Train ID","value":"190-18"},{"id":16,"name":"Locomotive ID","value":"4017"},{"id":130,"name":"Impact","value":""},{"id":150,"name":"Time of Event (Mountain Time)","value":"16:21:33"},{"id":151,"name":"Denver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7" t="s">
        <v>554</v>
      </c>
      <c r="B104" s="7">
        <v>4029</v>
      </c>
      <c r="C104" s="22" t="s">
        <v>99</v>
      </c>
      <c r="D104" s="22" t="s">
        <v>333</v>
      </c>
      <c r="E104" s="13">
        <v>42661.618969907409</v>
      </c>
      <c r="F104" s="13">
        <v>42661.6253125</v>
      </c>
      <c r="G104" s="7">
        <v>1</v>
      </c>
      <c r="H104" s="13" t="s">
        <v>196</v>
      </c>
      <c r="I104" s="13">
        <v>42661.650069444448</v>
      </c>
      <c r="J104" s="7">
        <v>0</v>
      </c>
      <c r="K104" s="112" t="str">
        <f t="shared" si="27"/>
        <v>4029/4030</v>
      </c>
      <c r="L104" s="22" t="str">
        <f>VLOOKUP(A104,'Trips&amp;Operators'!$C$1:$E$10000,3,FALSE)</f>
        <v>HELVIE</v>
      </c>
      <c r="M104" s="6">
        <f t="shared" si="28"/>
        <v>2.4756944447290152E-2</v>
      </c>
      <c r="N104" s="7">
        <f t="shared" si="41"/>
        <v>35.650000004097819</v>
      </c>
      <c r="O104" s="7"/>
      <c r="P104" s="7"/>
      <c r="Q104" s="23"/>
      <c r="R104" s="23"/>
      <c r="S104" s="35">
        <f t="shared" si="40"/>
        <v>1</v>
      </c>
      <c r="T104" s="50" t="str">
        <f t="shared" si="29"/>
        <v>NorthBound</v>
      </c>
      <c r="U104" s="18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13:51:19-0600',mode:absolute,to:'2016-10-18 16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4" s="52" t="str">
        <f t="shared" si="31"/>
        <v>N</v>
      </c>
      <c r="X104" s="174">
        <f t="shared" si="32"/>
        <v>1</v>
      </c>
      <c r="Y104" s="67">
        <f t="shared" si="33"/>
        <v>4.8399999999999999E-2</v>
      </c>
      <c r="Z104" s="67">
        <f t="shared" si="34"/>
        <v>23.329699999999999</v>
      </c>
      <c r="AA104" s="67">
        <f t="shared" si="35"/>
        <v>23.281299999999998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6"/>
        <v>0191-18</v>
      </c>
      <c r="AE104" s="91" t="str">
        <f t="shared" si="37"/>
        <v>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 &amp; 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</v>
      </c>
      <c r="AF104" s="88" t="str">
        <f t="shared" si="38"/>
        <v>"C:\Program Files (x86)\AstroGrep\AstroGrep.exe" /spath="%USERPROFILE%\AppData\Local\Temp\OnboardLogs" /stypes="app*4029*20161018*" /stext=" 21:.+((SYSTEM_STATE.+slice.+state.+changed )|(ment ac)|(system.+state.+changed )|(\[timeout)|(PRM\|1\|D)|(kpr)|(kdp)|(\|lc)|(penalty))" /e /r /s</v>
      </c>
      <c r="AG104" s="1" t="str">
        <f t="shared" si="39"/>
        <v>EC</v>
      </c>
      <c r="AH104" s="92" t="str">
        <f t="shared" si="25"/>
        <v>"%USERPROFILE%\Documents\GitHub\eaglep3\Utilities\RefineRTDCRunTimes.py" --tripid 191-18 --locoid 4029 --swversion DE.1.0.7.0 --startMP 204:484 --initTime 2016-10-18T14:51:19 --startdatetime 2016-10-18T15:00:27 --delay 1 --endMP 204:233297 --enddatetime 2016-10-18T15:36:06 --enforcementcount 0 &gt;&gt;C:\Users\stu\Documents\GitHub\eaglep3-reporting\EC\2016-10-18-refined-times.txt</v>
      </c>
      <c r="AI104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{"issue":{"subject":"","project_id":79,"tracker_id":40,"status_id":1,"priority_id":2,"assigned_to_id":23,"start_date":"2016-10-18","description":"","custom_fields":[{"id":1,"name":"Subdivision","value":"EC"},{"id":4,"name":"Milepost","value":"23.3297"},{"id":17,"name":"Train ID","value":"191-18"},{"id":16,"name":"Locomotive ID","value":"4029"},{"id":130,"name":"Impact","value":""},{"id":150,"name":"Time of Event (Mountain Time)","value":"15:36:06"},{"id":151,"name":"Denver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x14ac:dyDescent="0.25">
      <c r="A105" s="37" t="s">
        <v>562</v>
      </c>
      <c r="B105" s="7">
        <v>4030</v>
      </c>
      <c r="C105" s="22" t="s">
        <v>99</v>
      </c>
      <c r="D105" s="22" t="s">
        <v>360</v>
      </c>
      <c r="E105" s="13">
        <v>42661.66138888889</v>
      </c>
      <c r="F105" s="13">
        <v>42661.664155092592</v>
      </c>
      <c r="G105" s="7">
        <v>1</v>
      </c>
      <c r="H105" s="13" t="s">
        <v>226</v>
      </c>
      <c r="I105" s="13">
        <v>42661.69017361111</v>
      </c>
      <c r="J105" s="7">
        <v>0</v>
      </c>
      <c r="K105" s="112" t="str">
        <f t="shared" si="27"/>
        <v>4029/4030</v>
      </c>
      <c r="L105" s="22" t="str">
        <f>VLOOKUP(A105,'Trips&amp;Operators'!$C$1:$E$10000,3,FALSE)</f>
        <v>HELVIE</v>
      </c>
      <c r="M105" s="6">
        <f t="shared" si="28"/>
        <v>2.6018518517958E-2</v>
      </c>
      <c r="N105" s="7">
        <f t="shared" si="41"/>
        <v>37.46666666585952</v>
      </c>
      <c r="O105" s="7"/>
      <c r="P105" s="7"/>
      <c r="Q105" s="23"/>
      <c r="R105" s="23"/>
      <c r="S105" s="35">
        <f t="shared" si="40"/>
        <v>1</v>
      </c>
      <c r="T105" s="50" t="str">
        <f t="shared" si="29"/>
        <v>Southbound</v>
      </c>
      <c r="U105" s="18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14:52:24-0600',mode:absolute,to:'2016-10-18 17:33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5" s="52" t="str">
        <f t="shared" si="31"/>
        <v>N</v>
      </c>
      <c r="X105" s="174">
        <f t="shared" si="32"/>
        <v>1</v>
      </c>
      <c r="Y105" s="67">
        <f t="shared" si="33"/>
        <v>23.298300000000001</v>
      </c>
      <c r="Z105" s="67">
        <f t="shared" si="34"/>
        <v>1.54E-2</v>
      </c>
      <c r="AA105" s="67">
        <f t="shared" si="35"/>
        <v>23.282900000000001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6"/>
        <v>0192-18</v>
      </c>
      <c r="AE105" s="91" t="str">
        <f t="shared" si="37"/>
        <v>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 &amp; aws s3 cp s3://rtdc.mdm.uploadarchive.raw/RTDC4030/ "%USERPROFILE%\AppData\Local\Temp\OnboardLogs"\RTDC4030\2016-10-19 --exclude "*" --recursive --include "*20161019*" &amp; "%USERPROFILE%\Documents\GitHub\mrs-test-scripts\Headless Mode &amp; Sideloading\WalkAndUnGZ.bat" "%USERPROFILE%\AppData\Local\Temp\OnboardLogs"\RTDC4030\2016-10-19</v>
      </c>
      <c r="AF105" s="88" t="str">
        <f t="shared" si="38"/>
        <v>"C:\Program Files (x86)\AstroGrep\AstroGrep.exe" /spath="%USERPROFILE%\AppData\Local\Temp\OnboardLogs" /stypes="app*4030*20161018*" /stext=" 22:.+((SYSTEM_STATE.+slice.+state.+changed )|(ment ac)|(system.+state.+changed )|(\[timeout)|(PRM\|1\|D)|(kpr)|(kdp)|(\|lc)|(penalty))" /e /r /s</v>
      </c>
      <c r="AG105" s="1" t="str">
        <f t="shared" si="39"/>
        <v>EC</v>
      </c>
      <c r="AH105" s="92" t="str">
        <f t="shared" si="25"/>
        <v>"%USERPROFILE%\Documents\GitHub\eaglep3\Utilities\RefineRTDCRunTimes.py" --tripid 192-18 --locoid 4030 --swversion DE.1.0.7.0 --startMP 204:232983 --initTime 2016-10-18T15:52:24 --startdatetime 2016-10-18T15:56:23 --delay 1 --endMP 204:154 --enddatetime 2016-10-18T16:33:51 --enforcementcount 0 &gt;&gt;C:\Users\stu\Documents\GitHub\eaglep3-reporting\EC\2016-10-18-refined-times.txt</v>
      </c>
      <c r="AI105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{"issue":{"subject":"","project_id":79,"tracker_id":40,"status_id":1,"priority_id":2,"assigned_to_id":23,"start_date":"2016-10-18","description":"","custom_fields":[{"id":1,"name":"Subdivision","value":"EC"},{"id":4,"name":"Milepost","value":"0.0154"},{"id":17,"name":"Train ID","value":"192-18"},{"id":16,"name":"Locomotive ID","value":"4030"},{"id":130,"name":"Impact","value":""},{"id":150,"name":"Time of Event (Mountain Time)","value":"16:33:51"},{"id":151,"name":"Denver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s="21" customFormat="1" x14ac:dyDescent="0.25">
      <c r="A106" s="37" t="s">
        <v>556</v>
      </c>
      <c r="B106" s="7">
        <v>4011</v>
      </c>
      <c r="C106" s="22" t="s">
        <v>99</v>
      </c>
      <c r="D106" s="22" t="s">
        <v>678</v>
      </c>
      <c r="E106" s="13">
        <v>42661.630949074075</v>
      </c>
      <c r="F106" s="13">
        <v>42661.635694444441</v>
      </c>
      <c r="G106" s="7">
        <v>5</v>
      </c>
      <c r="H106" s="13" t="s">
        <v>255</v>
      </c>
      <c r="I106" s="13">
        <v>42661.660497685189</v>
      </c>
      <c r="J106" s="7">
        <v>0</v>
      </c>
      <c r="K106" s="112" t="str">
        <f t="shared" si="27"/>
        <v>4011/4012</v>
      </c>
      <c r="L106" s="22" t="str">
        <f>VLOOKUP(A106,'Trips&amp;Operators'!$C$1:$E$10000,3,FALSE)</f>
        <v>HAITHCOX</v>
      </c>
      <c r="M106" s="6">
        <f t="shared" si="28"/>
        <v>2.4803240747132804E-2</v>
      </c>
      <c r="N106" s="7">
        <f t="shared" si="41"/>
        <v>35.716666675871238</v>
      </c>
      <c r="O106" s="7"/>
      <c r="P106" s="7"/>
      <c r="Q106" s="23"/>
      <c r="R106" s="23"/>
      <c r="S106" s="35">
        <f t="shared" si="40"/>
        <v>1</v>
      </c>
      <c r="T106" s="50" t="str">
        <f t="shared" si="29"/>
        <v>NorthBound</v>
      </c>
      <c r="U106" s="18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14:08:34-0600',mode:absolute,to:'2016-10-18 16:51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6" s="52" t="str">
        <f t="shared" si="31"/>
        <v>N</v>
      </c>
      <c r="X106" s="174">
        <f t="shared" si="32"/>
        <v>1</v>
      </c>
      <c r="Y106" s="67">
        <f t="shared" si="33"/>
        <v>4.2200000000000001E-2</v>
      </c>
      <c r="Z106" s="67">
        <f t="shared" si="34"/>
        <v>23.3291</v>
      </c>
      <c r="AA106" s="67">
        <f t="shared" si="35"/>
        <v>23.286899999999999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6"/>
        <v>0193-18</v>
      </c>
      <c r="AE106" s="91" t="str">
        <f t="shared" si="37"/>
        <v>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 &amp; 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</v>
      </c>
      <c r="AF106" s="88" t="str">
        <f t="shared" si="38"/>
        <v>"C:\Program Files (x86)\AstroGrep\AstroGrep.exe" /spath="%USERPROFILE%\AppData\Local\Temp\OnboardLogs" /stypes="app*4011*20161018*" /stext=" 21:.+((SYSTEM_STATE.+slice.+state.+changed )|(ment ac)|(system.+state.+changed )|(\[timeout)|(PRM\|1\|D)|(kpr)|(kdp)|(\|lc)|(penalty))" /e /r /s</v>
      </c>
      <c r="AG106" s="1" t="str">
        <f t="shared" si="39"/>
        <v>EC</v>
      </c>
      <c r="AH106" s="92" t="str">
        <f t="shared" si="25"/>
        <v>"%USERPROFILE%\Documents\GitHub\eaglep3\Utilities\RefineRTDCRunTimes.py" --tripid 193-18 --locoid 4011 --swversion DE.1.0.7.0 --startMP 204:422 --initTime 2016-10-18T15:08:34 --startdatetime 2016-10-18T15:15:24 --delay 5 --endMP 204:233291 --enddatetime 2016-10-18T15:51:07 --enforcementcount 0 &gt;&gt;C:\Users\stu\Documents\GitHub\eaglep3-reporting\EC\2016-10-18-refined-times.txt</v>
      </c>
      <c r="AI106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{"issue":{"subject":"","project_id":79,"tracker_id":40,"status_id":1,"priority_id":2,"assigned_to_id":23,"start_date":"2016-10-18","description":"","custom_fields":[{"id":1,"name":"Subdivision","value":"EC"},{"id":4,"name":"Milepost","value":"23.3291"},{"id":17,"name":"Train ID","value":"193-18"},{"id":16,"name":"Locomotive ID","value":"4011"},{"id":130,"name":"Impact","value":""},{"id":150,"name":"Time of Event (Mountain Time)","value":"15:51:07"},{"id":151,"name":"Denver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7" t="s">
        <v>565</v>
      </c>
      <c r="B107" s="7">
        <v>4012</v>
      </c>
      <c r="C107" s="22" t="s">
        <v>99</v>
      </c>
      <c r="D107" s="22" t="s">
        <v>244</v>
      </c>
      <c r="E107" s="13">
        <v>42661.670706018522</v>
      </c>
      <c r="F107" s="13">
        <v>42661.674537037034</v>
      </c>
      <c r="G107" s="7">
        <v>1</v>
      </c>
      <c r="H107" s="13" t="s">
        <v>305</v>
      </c>
      <c r="I107" s="13">
        <v>42661.702094907407</v>
      </c>
      <c r="J107" s="7">
        <v>0</v>
      </c>
      <c r="K107" s="112" t="str">
        <f t="shared" si="27"/>
        <v>4011/4012</v>
      </c>
      <c r="L107" s="22" t="str">
        <f>VLOOKUP(A107,'Trips&amp;Operators'!$C$1:$E$10000,3,FALSE)</f>
        <v>HAITHCOX</v>
      </c>
      <c r="M107" s="6">
        <f t="shared" si="28"/>
        <v>2.7557870373129845E-2</v>
      </c>
      <c r="N107" s="7">
        <f t="shared" si="41"/>
        <v>39.683333337306976</v>
      </c>
      <c r="O107" s="7"/>
      <c r="P107" s="7"/>
      <c r="Q107" s="23"/>
      <c r="R107" s="23"/>
      <c r="S107" s="35">
        <f t="shared" si="40"/>
        <v>1</v>
      </c>
      <c r="T107" s="50" t="str">
        <f t="shared" si="29"/>
        <v>Southbound</v>
      </c>
      <c r="U107" s="18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15:05:49-0600',mode:absolute,to:'2016-10-18 17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7" s="52" t="str">
        <f t="shared" si="31"/>
        <v>N</v>
      </c>
      <c r="X107" s="174">
        <f t="shared" si="32"/>
        <v>1</v>
      </c>
      <c r="Y107" s="67">
        <f t="shared" si="33"/>
        <v>23.297799999999999</v>
      </c>
      <c r="Z107" s="67">
        <f t="shared" si="34"/>
        <v>1.5599999999999999E-2</v>
      </c>
      <c r="AA107" s="67">
        <f t="shared" si="35"/>
        <v>23.2822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6"/>
        <v>0194-18</v>
      </c>
      <c r="AE107" s="91" t="str">
        <f t="shared" si="37"/>
        <v>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 &amp; 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</v>
      </c>
      <c r="AF107" s="88" t="str">
        <f t="shared" si="38"/>
        <v>"C:\Program Files (x86)\AstroGrep\AstroGrep.exe" /spath="%USERPROFILE%\AppData\Local\Temp\OnboardLogs" /stypes="app*4012*20161018*" /stext=" 22:.+((SYSTEM_STATE.+slice.+state.+changed )|(ment ac)|(system.+state.+changed )|(\[timeout)|(PRM\|1\|D)|(kpr)|(kdp)|(\|lc)|(penalty))" /e /r /s</v>
      </c>
      <c r="AG107" s="1" t="str">
        <f t="shared" si="39"/>
        <v>EC</v>
      </c>
      <c r="AH107" s="92" t="str">
        <f t="shared" si="25"/>
        <v>"%USERPROFILE%\Documents\GitHub\eaglep3\Utilities\RefineRTDCRunTimes.py" --tripid 194-18 --locoid 4012 --swversion DE.1.0.7.0 --startMP 204:232978 --initTime 2016-10-18T16:05:49 --startdatetime 2016-10-18T16:11:20 --delay 1 --endMP 204:156 --enddatetime 2016-10-18T16:51:01 --enforcementcount 0 &gt;&gt;C:\Users\stu\Documents\GitHub\eaglep3-reporting\EC\2016-10-18-refined-times.txt</v>
      </c>
      <c r="AI107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{"issue":{"subject":"","project_id":79,"tracker_id":40,"status_id":1,"priority_id":2,"assigned_to_id":23,"start_date":"2016-10-18","description":"","custom_fields":[{"id":1,"name":"Subdivision","value":"EC"},{"id":4,"name":"Milepost","value":"0.0156"},{"id":17,"name":"Train ID","value":"194-18"},{"id":16,"name":"Locomotive ID","value":"4012"},{"id":130,"name":"Impact","value":""},{"id":150,"name":"Time of Event (Mountain Time)","value":"16:51:01"},{"id":151,"name":"Denver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x14ac:dyDescent="0.25">
      <c r="A108" s="37" t="s">
        <v>430</v>
      </c>
      <c r="B108" s="7">
        <v>4044</v>
      </c>
      <c r="C108" s="22" t="s">
        <v>99</v>
      </c>
      <c r="D108" s="22" t="s">
        <v>293</v>
      </c>
      <c r="E108" s="13">
        <v>42661.642696759256</v>
      </c>
      <c r="F108" s="13">
        <v>42661.646319444444</v>
      </c>
      <c r="G108" s="7">
        <v>2</v>
      </c>
      <c r="H108" s="13" t="s">
        <v>679</v>
      </c>
      <c r="I108" s="13">
        <v>42661.671585648146</v>
      </c>
      <c r="J108" s="7">
        <v>0</v>
      </c>
      <c r="K108" s="112" t="str">
        <f t="shared" si="27"/>
        <v>4043/4044</v>
      </c>
      <c r="L108" s="22" t="str">
        <f>VLOOKUP(A108,'Trips&amp;Operators'!$C$1:$E$10000,3,FALSE)</f>
        <v>HILLS</v>
      </c>
      <c r="M108" s="6">
        <f t="shared" si="28"/>
        <v>2.5266203701903578E-2</v>
      </c>
      <c r="N108" s="7">
        <f t="shared" si="41"/>
        <v>36.383333330741152</v>
      </c>
      <c r="O108" s="7"/>
      <c r="P108" s="7"/>
      <c r="Q108" s="23"/>
      <c r="R108" s="23"/>
      <c r="S108" s="35">
        <f t="shared" si="40"/>
        <v>1</v>
      </c>
      <c r="T108" s="50" t="str">
        <f t="shared" si="29"/>
        <v>NorthBound</v>
      </c>
      <c r="U108" s="18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14:25:29-0600',mode:absolute,to:'2016-10-18 17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8" s="52" t="str">
        <f t="shared" si="31"/>
        <v>N</v>
      </c>
      <c r="X108" s="174">
        <f t="shared" si="32"/>
        <v>1</v>
      </c>
      <c r="Y108" s="67">
        <f t="shared" si="33"/>
        <v>4.4400000000000002E-2</v>
      </c>
      <c r="Z108" s="67">
        <f t="shared" si="34"/>
        <v>23.333600000000001</v>
      </c>
      <c r="AA108" s="67">
        <f t="shared" si="35"/>
        <v>23.289200000000001</v>
      </c>
      <c r="AB108" s="64" t="str">
        <f>VLOOKUP(A108,Enforcements!$C$7:$K$21,8,0)</f>
        <v>Speed (6)</v>
      </c>
      <c r="AC108" s="60" t="str">
        <f>VLOOKUP(A108,Enforcements!$C$7:$E$21,3,0)</f>
        <v>PERMANENT SPEED RESTRICTION</v>
      </c>
      <c r="AD108" s="61" t="str">
        <f t="shared" si="36"/>
        <v>0195-18</v>
      </c>
      <c r="AE108" s="91" t="str">
        <f t="shared" si="37"/>
        <v>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 &amp; aws s3 cp s3://rtdc.mdm.uploadarchive.raw/RTDC4044/ "%USERPROFILE%\AppData\Local\Temp\OnboardLogs"\RTDC4044\2016-10-19 --exclude "*" --recursive --include "*20161019*" &amp; "%USERPROFILE%\Documents\GitHub\mrs-test-scripts\Headless Mode &amp; Sideloading\WalkAndUnGZ.bat" "%USERPROFILE%\AppData\Local\Temp\OnboardLogs"\RTDC4044\2016-10-19</v>
      </c>
      <c r="AF108" s="88" t="str">
        <f t="shared" si="38"/>
        <v>"C:\Program Files (x86)\AstroGrep\AstroGrep.exe" /spath="%USERPROFILE%\AppData\Local\Temp\OnboardLogs" /stypes="app*4044*20161018*" /stext=" 22:.+((SYSTEM_STATE.+slice.+state.+changed )|(ment ac)|(system.+state.+changed )|(\[timeout)|(PRM\|1\|D)|(kpr)|(kdp)|(\|lc)|(penalty))" /e /r /s</v>
      </c>
      <c r="AG108" s="1" t="str">
        <f t="shared" si="39"/>
        <v>EC</v>
      </c>
      <c r="AH108" s="92" t="str">
        <f t="shared" si="25"/>
        <v>"%USERPROFILE%\Documents\GitHub\eaglep3\Utilities\RefineRTDCRunTimes.py" --tripid 195-18 --locoid 4044 --swversion DE.1.0.7.0 --startMP 204:444 --initTime 2016-10-18T15:25:29 --startdatetime 2016-10-18T15:30:42 --delay 2 --endMP 204:233336 --enddatetime 2016-10-18T16:07:05 --enforcementcount 0 &gt;&gt;C:\Users\stu\Documents\GitHub\eaglep3-reporting\EC\2016-10-18-refined-times.txt</v>
      </c>
      <c r="AI108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{"issue":{"subject":"","project_id":79,"tracker_id":40,"status_id":1,"priority_id":2,"assigned_to_id":23,"start_date":"2016-10-18","description":"","custom_fields":[{"id":1,"name":"Subdivision","value":"EC"},{"id":4,"name":"Milepost","value":"23.3336"},{"id":17,"name":"Train ID","value":"195-18"},{"id":16,"name":"Locomotive ID","value":"4044"},{"id":130,"name":"Impact","value":""},{"id":150,"name":"Time of Event (Mountain Time)","value":"16:07:05"},{"id":151,"name":"Denver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s="21" customFormat="1" x14ac:dyDescent="0.25">
      <c r="A109" s="37" t="s">
        <v>431</v>
      </c>
      <c r="B109" s="7">
        <v>4043</v>
      </c>
      <c r="C109" s="22" t="s">
        <v>99</v>
      </c>
      <c r="D109" s="22" t="s">
        <v>680</v>
      </c>
      <c r="E109" s="13">
        <v>42661.672974537039</v>
      </c>
      <c r="F109" s="13">
        <v>42661.685057870367</v>
      </c>
      <c r="G109" s="7">
        <v>1</v>
      </c>
      <c r="H109" s="13" t="s">
        <v>232</v>
      </c>
      <c r="I109" s="13">
        <v>42661.711296296293</v>
      </c>
      <c r="J109" s="7">
        <v>0</v>
      </c>
      <c r="K109" s="112" t="str">
        <f t="shared" si="27"/>
        <v>4043/4044</v>
      </c>
      <c r="L109" s="22" t="str">
        <f>VLOOKUP(A109,'Trips&amp;Operators'!$C$1:$E$10000,3,FALSE)</f>
        <v>HILLS</v>
      </c>
      <c r="M109" s="6">
        <f t="shared" si="28"/>
        <v>2.6238425925839692E-2</v>
      </c>
      <c r="N109" s="7">
        <f t="shared" si="41"/>
        <v>37.783333333209157</v>
      </c>
      <c r="O109" s="7"/>
      <c r="P109" s="7"/>
      <c r="Q109" s="23"/>
      <c r="R109" s="23"/>
      <c r="S109" s="35">
        <f t="shared" si="40"/>
        <v>1</v>
      </c>
      <c r="T109" s="50" t="str">
        <f t="shared" si="29"/>
        <v>Southbound</v>
      </c>
      <c r="U109" s="18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15:09:05-0600',mode:absolute,to:'2016-10-18 18:04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9" s="52" t="str">
        <f t="shared" si="31"/>
        <v>N</v>
      </c>
      <c r="X109" s="174">
        <f t="shared" ref="X109:X145" si="42">VALUE(LEFT(AD109,4))-VALUE(LEFT(AD108,4))</f>
        <v>1</v>
      </c>
      <c r="Y109" s="67">
        <f t="shared" si="33"/>
        <v>23.302800000000001</v>
      </c>
      <c r="Z109" s="67">
        <f t="shared" si="34"/>
        <v>1.4999999999999999E-2</v>
      </c>
      <c r="AA109" s="67">
        <f t="shared" si="35"/>
        <v>23.287800000000001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6"/>
        <v>0196-18</v>
      </c>
      <c r="AE109" s="91" t="str">
        <f t="shared" si="37"/>
        <v>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 &amp; aws s3 cp s3://rtdc.mdm.uploadarchive.raw/RTDC4043/ "%USERPROFILE%\AppData\Local\Temp\OnboardLogs"\RTDC4043\2016-10-19 --exclude "*" --recursive --include "*20161019*" &amp; "%USERPROFILE%\Documents\GitHub\mrs-test-scripts\Headless Mode &amp; Sideloading\WalkAndUnGZ.bat" "%USERPROFILE%\AppData\Local\Temp\OnboardLogs"\RTDC4043\2016-10-19</v>
      </c>
      <c r="AF109" s="88" t="str">
        <f t="shared" si="38"/>
        <v>"C:\Program Files (x86)\AstroGrep\AstroGrep.exe" /spath="%USERPROFILE%\AppData\Local\Temp\OnboardLogs" /stypes="app*4043*20161018*" /stext=" 23:.+((SYSTEM_STATE.+slice.+state.+changed )|(ment ac)|(system.+state.+changed )|(\[timeout)|(PRM\|1\|D)|(kpr)|(kdp)|(\|lc)|(penalty))" /e /r /s</v>
      </c>
      <c r="AG109" s="1" t="str">
        <f t="shared" si="39"/>
        <v>EC</v>
      </c>
      <c r="AH109" s="92" t="str">
        <f t="shared" si="25"/>
        <v>"%USERPROFILE%\Documents\GitHub\eaglep3\Utilities\RefineRTDCRunTimes.py" --tripid 196-18 --locoid 4043 --swversion DE.1.0.7.0 --startMP 204:233028 --initTime 2016-10-18T16:09:05 --startdatetime 2016-10-18T16:26:29 --delay 1 --endMP 204:150 --enddatetime 2016-10-18T17:04:16 --enforcementcount 0 &gt;&gt;C:\Users\stu\Documents\GitHub\eaglep3-reporting\EC\2016-10-18-refined-times.txt</v>
      </c>
      <c r="AI109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{"issue":{"subject":"","project_id":79,"tracker_id":40,"status_id":1,"priority_id":2,"assigned_to_id":23,"start_date":"2016-10-18","description":"","custom_fields":[{"id":1,"name":"Subdivision","value":"EC"},{"id":4,"name":"Milepost","value":"0.015"},{"id":17,"name":"Train ID","value":"196-18"},{"id":16,"name":"Locomotive ID","value":"4043"},{"id":130,"name":"Impact","value":""},{"id":150,"name":"Time of Event (Mountain Time)","value":"17:04:16"},{"id":151,"name":"Denver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560</v>
      </c>
      <c r="B110" s="7">
        <v>4025</v>
      </c>
      <c r="C110" s="22" t="s">
        <v>99</v>
      </c>
      <c r="D110" s="22" t="s">
        <v>237</v>
      </c>
      <c r="E110" s="13">
        <v>42661.653391203705</v>
      </c>
      <c r="F110" s="13">
        <v>42661.656435185185</v>
      </c>
      <c r="G110" s="7">
        <v>1</v>
      </c>
      <c r="H110" s="13" t="s">
        <v>681</v>
      </c>
      <c r="I110" s="13">
        <v>42661.682430555556</v>
      </c>
      <c r="J110" s="7">
        <v>0</v>
      </c>
      <c r="K110" s="112" t="str">
        <f t="shared" si="27"/>
        <v>4025/4026</v>
      </c>
      <c r="L110" s="22" t="str">
        <f>VLOOKUP(A110,'Trips&amp;Operators'!$C$1:$E$10000,3,FALSE)</f>
        <v>CLARK</v>
      </c>
      <c r="M110" s="6">
        <f t="shared" si="28"/>
        <v>2.5995370371674653E-2</v>
      </c>
      <c r="N110" s="7">
        <f t="shared" si="41"/>
        <v>37.433333335211501</v>
      </c>
      <c r="O110" s="7"/>
      <c r="P110" s="7"/>
      <c r="Q110" s="23"/>
      <c r="R110" s="23"/>
      <c r="S110" s="35">
        <f t="shared" si="40"/>
        <v>1</v>
      </c>
      <c r="T110" s="50" t="str">
        <f t="shared" si="29"/>
        <v>NorthBound</v>
      </c>
      <c r="U110" s="18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14:40:53-0600',mode:absolute,to:'2016-10-18 17:22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0" s="52" t="str">
        <f t="shared" si="31"/>
        <v>N</v>
      </c>
      <c r="X110" s="174">
        <f t="shared" si="42"/>
        <v>1</v>
      </c>
      <c r="Y110" s="67">
        <f t="shared" si="33"/>
        <v>4.6399999999999997E-2</v>
      </c>
      <c r="Z110" s="67">
        <f t="shared" si="34"/>
        <v>23.3324</v>
      </c>
      <c r="AA110" s="67">
        <f t="shared" si="35"/>
        <v>23.286000000000001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6"/>
        <v>0197-18</v>
      </c>
      <c r="AE110" s="91" t="str">
        <f t="shared" si="37"/>
        <v>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 &amp; 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</v>
      </c>
      <c r="AF110" s="88" t="str">
        <f t="shared" si="38"/>
        <v>"C:\Program Files (x86)\AstroGrep\AstroGrep.exe" /spath="%USERPROFILE%\AppData\Local\Temp\OnboardLogs" /stypes="app*4025*20161018*" /stext=" 22:.+((SYSTEM_STATE.+slice.+state.+changed )|(ment ac)|(system.+state.+changed )|(\[timeout)|(PRM\|1\|D)|(kpr)|(kdp)|(\|lc)|(penalty))" /e /r /s</v>
      </c>
      <c r="AG110" s="1" t="str">
        <f t="shared" si="39"/>
        <v>EC</v>
      </c>
      <c r="AH110" s="92" t="str">
        <f t="shared" si="25"/>
        <v>"%USERPROFILE%\Documents\GitHub\eaglep3\Utilities\RefineRTDCRunTimes.py" --tripid 197-18 --locoid 4025 --swversion DE.1.0.7.0 --startMP 204:464 --initTime 2016-10-18T15:40:53 --startdatetime 2016-10-18T15:45:16 --delay 1 --endMP 204:233324 --enddatetime 2016-10-18T16:22:42 --enforcementcount 0 &gt;&gt;C:\Users\stu\Documents\GitHub\eaglep3-reporting\EC\2016-10-18-refined-times.txt</v>
      </c>
      <c r="AI110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{"issue":{"subject":"","project_id":79,"tracker_id":40,"status_id":1,"priority_id":2,"assigned_to_id":23,"start_date":"2016-10-18","description":"","custom_fields":[{"id":1,"name":"Subdivision","value":"EC"},{"id":4,"name":"Milepost","value":"23.3324"},{"id":17,"name":"Train ID","value":"197-18"},{"id":16,"name":"Locomotive ID","value":"4025"},{"id":130,"name":"Impact","value":""},{"id":150,"name":"Time of Event (Mountain Time)","value":"16:22:42"},{"id":151,"name":"Denver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569</v>
      </c>
      <c r="B111" s="7">
        <v>4026</v>
      </c>
      <c r="C111" s="22" t="s">
        <v>99</v>
      </c>
      <c r="D111" s="22" t="s">
        <v>373</v>
      </c>
      <c r="E111" s="13">
        <v>42661.690625000003</v>
      </c>
      <c r="F111" s="13">
        <v>42661.695300925923</v>
      </c>
      <c r="G111" s="7">
        <v>1</v>
      </c>
      <c r="H111" s="13" t="s">
        <v>249</v>
      </c>
      <c r="I111" s="13">
        <v>42661.723981481482</v>
      </c>
      <c r="J111" s="7">
        <v>0</v>
      </c>
      <c r="K111" s="112" t="str">
        <f t="shared" si="27"/>
        <v>4025/4026</v>
      </c>
      <c r="L111" s="22" t="str">
        <f>VLOOKUP(A111,'Trips&amp;Operators'!$C$1:$E$10000,3,FALSE)</f>
        <v>CLARK</v>
      </c>
      <c r="M111" s="6">
        <f t="shared" si="28"/>
        <v>2.8680555558821652E-2</v>
      </c>
      <c r="N111" s="7">
        <f t="shared" si="41"/>
        <v>41.300000004703179</v>
      </c>
      <c r="O111" s="7"/>
      <c r="P111" s="7"/>
      <c r="Q111" s="23"/>
      <c r="R111" s="23"/>
      <c r="S111" s="35">
        <f t="shared" ref="S111:S142" si="43">SUM(U111:U111)/IF(AG111="EC",12,1)</f>
        <v>1</v>
      </c>
      <c r="T111" s="50" t="str">
        <f t="shared" si="29"/>
        <v>Southbound</v>
      </c>
      <c r="U111" s="18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15:34:30-0600',mode:absolute,to:'2016-10-18 18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1" s="52" t="str">
        <f t="shared" si="31"/>
        <v>N</v>
      </c>
      <c r="X111" s="174">
        <f t="shared" si="42"/>
        <v>1</v>
      </c>
      <c r="Y111" s="67">
        <f t="shared" si="33"/>
        <v>23.2986</v>
      </c>
      <c r="Z111" s="67">
        <f t="shared" si="34"/>
        <v>1.67E-2</v>
      </c>
      <c r="AA111" s="67">
        <f t="shared" si="35"/>
        <v>23.2819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6"/>
        <v>0198-18</v>
      </c>
      <c r="AE111" s="91" t="str">
        <f t="shared" si="37"/>
        <v>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 &amp; 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</v>
      </c>
      <c r="AF111" s="88" t="str">
        <f t="shared" si="38"/>
        <v>"C:\Program Files (x86)\AstroGrep\AstroGrep.exe" /spath="%USERPROFILE%\AppData\Local\Temp\OnboardLogs" /stypes="app*4026*20161018*" /stext=" 23:.+((SYSTEM_STATE.+slice.+state.+changed )|(ment ac)|(system.+state.+changed )|(\[timeout)|(PRM\|1\|D)|(kpr)|(kdp)|(\|lc)|(penalty))" /e /r /s</v>
      </c>
      <c r="AG111" s="1" t="str">
        <f t="shared" si="39"/>
        <v>EC</v>
      </c>
      <c r="AH111" s="92" t="str">
        <f t="shared" si="25"/>
        <v>"%USERPROFILE%\Documents\GitHub\eaglep3\Utilities\RefineRTDCRunTimes.py" --tripid 198-18 --locoid 4026 --swversion DE.1.0.7.0 --startMP 204:232986 --initTime 2016-10-18T16:34:30 --startdatetime 2016-10-18T16:41:14 --delay 1 --endMP 204:167 --enddatetime 2016-10-18T17:22:32 --enforcementcount 0 &gt;&gt;C:\Users\stu\Documents\GitHub\eaglep3-reporting\EC\2016-10-18-refined-times.txt</v>
      </c>
      <c r="AI111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{"issue":{"subject":"","project_id":79,"tracker_id":40,"status_id":1,"priority_id":2,"assigned_to_id":23,"start_date":"2016-10-18","description":"","custom_fields":[{"id":1,"name":"Subdivision","value":"EC"},{"id":4,"name":"Milepost","value":"0.0167"},{"id":17,"name":"Train ID","value":"198-18"},{"id":16,"name":"Locomotive ID","value":"4026"},{"id":130,"name":"Impact","value":""},{"id":150,"name":"Time of Event (Mountain Time)","value":"17:22:32"},{"id":151,"name":"Denver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563</v>
      </c>
      <c r="B112" s="7">
        <v>4016</v>
      </c>
      <c r="C112" s="22" t="s">
        <v>99</v>
      </c>
      <c r="D112" s="22" t="s">
        <v>676</v>
      </c>
      <c r="E112" s="13">
        <v>42661.662719907406</v>
      </c>
      <c r="F112" s="13">
        <v>42661.666898148149</v>
      </c>
      <c r="G112" s="7">
        <v>1</v>
      </c>
      <c r="H112" s="13" t="s">
        <v>219</v>
      </c>
      <c r="I112" s="13">
        <v>42661.69222222222</v>
      </c>
      <c r="J112" s="7">
        <v>0</v>
      </c>
      <c r="K112" s="112" t="str">
        <f t="shared" si="27"/>
        <v>4015/4016</v>
      </c>
      <c r="L112" s="22" t="str">
        <f>VLOOKUP(A112,'Trips&amp;Operators'!$C$1:$E$10000,3,FALSE)</f>
        <v>STORY</v>
      </c>
      <c r="M112" s="6">
        <f t="shared" si="28"/>
        <v>2.5324074071249925E-2</v>
      </c>
      <c r="N112" s="7">
        <f t="shared" si="41"/>
        <v>36.466666662599891</v>
      </c>
      <c r="O112" s="7"/>
      <c r="P112" s="7"/>
      <c r="Q112" s="23"/>
      <c r="R112" s="23"/>
      <c r="S112" s="35">
        <f t="shared" si="43"/>
        <v>1</v>
      </c>
      <c r="T112" s="50" t="str">
        <f t="shared" si="29"/>
        <v>NorthBound</v>
      </c>
      <c r="U112" s="18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14:54:19-0600',mode:absolute,to:'2016-10-18 17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2" s="52" t="str">
        <f t="shared" si="31"/>
        <v>N</v>
      </c>
      <c r="X112" s="174">
        <f t="shared" si="42"/>
        <v>1</v>
      </c>
      <c r="Y112" s="67">
        <f t="shared" si="33"/>
        <v>4.3799999999999999E-2</v>
      </c>
      <c r="Z112" s="67">
        <f t="shared" si="34"/>
        <v>23.331399999999999</v>
      </c>
      <c r="AA112" s="67">
        <f t="shared" si="35"/>
        <v>23.287599999999998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36"/>
        <v>0199-18</v>
      </c>
      <c r="AE112" s="91" t="str">
        <f t="shared" si="37"/>
        <v>aws s3 cp s3://rtdc.mdm.uploadarchive.raw/RTDC4016/ "%USERPROFILE%\AppData\Local\Temp\OnboardLogs"\RTDC4016\2016-10-18 --exclude "*" --recursive --include "*20161018*" &amp; "%USERPROFILE%\Documents\GitHub\mrs-test-scripts\Headless Mode &amp; Sideloading\WalkAndUnGZ.bat" "%USERPROFILE%\AppData\Local\Temp\OnboardLogs"\RTDC4016\2016-10-18 &amp; aws s3 cp s3://rtdc.mdm.uploadarchive.raw/RTDC4016/ "%USERPROFILE%\AppData\Local\Temp\OnboardLogs"\RTDC4016\2016-10-19 --exclude "*" --recursive --include "*20161019*" &amp; "%USERPROFILE%\Documents\GitHub\mrs-test-scripts\Headless Mode &amp; Sideloading\WalkAndUnGZ.bat" "%USERPROFILE%\AppData\Local\Temp\OnboardLogs"\RTDC4016\2016-10-19</v>
      </c>
      <c r="AF112" s="88" t="str">
        <f t="shared" si="38"/>
        <v>"C:\Program Files (x86)\AstroGrep\AstroGrep.exe" /spath="%USERPROFILE%\AppData\Local\Temp\OnboardLogs" /stypes="app*4016*20161018*" /stext=" 22:.+((SYSTEM_STATE.+slice.+state.+changed )|(ment ac)|(system.+state.+changed )|(\[timeout)|(PRM\|1\|D)|(kpr)|(kdp)|(\|lc)|(penalty))" /e /r /s</v>
      </c>
      <c r="AG112" s="1" t="str">
        <f t="shared" si="39"/>
        <v>EC</v>
      </c>
      <c r="AH112" s="92" t="str">
        <f t="shared" si="25"/>
        <v>"%USERPROFILE%\Documents\GitHub\eaglep3\Utilities\RefineRTDCRunTimes.py" --tripid 199-18 --locoid 4016 --swversion DE.1.0.7.0 --startMP 204:438 --initTime 2016-10-18T15:54:19 --startdatetime 2016-10-18T16:00:20 --delay 1 --endMP 204:233314 --enddatetime 2016-10-18T16:36:48 --enforcementcount 0 &gt;&gt;C:\Users\stu\Documents\GitHub\eaglep3-reporting\EC\2016-10-18-refined-times.txt</v>
      </c>
      <c r="AI112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{"issue":{"subject":"","project_id":79,"tracker_id":40,"status_id":1,"priority_id":2,"assigned_to_id":23,"start_date":"2016-10-18","description":"","custom_fields":[{"id":1,"name":"Subdivision","value":"EC"},{"id":4,"name":"Milepost","value":"23.3314"},{"id":17,"name":"Train ID","value":"199-18"},{"id":16,"name":"Locomotive ID","value":"4016"},{"id":130,"name":"Impact","value":""},{"id":150,"name":"Time of Event (Mountain Time)","value":"16:36:48"},{"id":151,"name":"Denver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573</v>
      </c>
      <c r="B113" s="7">
        <v>4015</v>
      </c>
      <c r="C113" s="22" t="s">
        <v>99</v>
      </c>
      <c r="D113" s="22" t="s">
        <v>280</v>
      </c>
      <c r="E113" s="13">
        <v>42661.697905092595</v>
      </c>
      <c r="F113" s="13">
        <v>42661.705706018518</v>
      </c>
      <c r="G113" s="7">
        <v>1</v>
      </c>
      <c r="H113" s="13" t="s">
        <v>177</v>
      </c>
      <c r="I113" s="13">
        <v>42661.733854166669</v>
      </c>
      <c r="J113" s="7">
        <v>0</v>
      </c>
      <c r="K113" s="112" t="str">
        <f t="shared" si="27"/>
        <v>4015/4016</v>
      </c>
      <c r="L113" s="22" t="str">
        <f>VLOOKUP(A113,'Trips&amp;Operators'!$C$1:$E$10000,3,FALSE)</f>
        <v>STORY</v>
      </c>
      <c r="M113" s="6">
        <f t="shared" si="28"/>
        <v>2.8148148150648922E-2</v>
      </c>
      <c r="N113" s="7">
        <f t="shared" si="41"/>
        <v>40.533333336934447</v>
      </c>
      <c r="O113" s="7"/>
      <c r="P113" s="7"/>
      <c r="Q113" s="23"/>
      <c r="R113" s="23"/>
      <c r="S113" s="35">
        <f t="shared" si="43"/>
        <v>1</v>
      </c>
      <c r="T113" s="50" t="str">
        <f t="shared" si="29"/>
        <v>Southbound</v>
      </c>
      <c r="U113" s="18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15:44:59-0600',mode:absolute,to:'2016-10-18 18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3" s="52" t="str">
        <f t="shared" si="31"/>
        <v>N</v>
      </c>
      <c r="X113" s="174">
        <f t="shared" si="42"/>
        <v>1</v>
      </c>
      <c r="Y113" s="67">
        <f t="shared" si="33"/>
        <v>23.299399999999999</v>
      </c>
      <c r="Z113" s="67">
        <f t="shared" si="34"/>
        <v>1.52E-2</v>
      </c>
      <c r="AA113" s="67">
        <f t="shared" si="35"/>
        <v>23.284199999999998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6"/>
        <v>0200-18</v>
      </c>
      <c r="AE113" s="91" t="str">
        <f t="shared" si="37"/>
        <v>aws s3 cp s3://rtdc.mdm.uploadarchive.raw/RTDC4015/ "%USERPROFILE%\AppData\Local\Temp\OnboardLogs"\RTDC4015\2016-10-18 --exclude "*" --recursive --include "*20161018*" &amp; "%USERPROFILE%\Documents\GitHub\mrs-test-scripts\Headless Mode &amp; Sideloading\WalkAndUnGZ.bat" "%USERPROFILE%\AppData\Local\Temp\OnboardLogs"\RTDC4015\2016-10-18 &amp; aws s3 cp s3://rtdc.mdm.uploadarchive.raw/RTDC4015/ "%USERPROFILE%\AppData\Local\Temp\OnboardLogs"\RTDC4015\2016-10-19 --exclude "*" --recursive --include "*20161019*" &amp; "%USERPROFILE%\Documents\GitHub\mrs-test-scripts\Headless Mode &amp; Sideloading\WalkAndUnGZ.bat" "%USERPROFILE%\AppData\Local\Temp\OnboardLogs"\RTDC4015\2016-10-19</v>
      </c>
      <c r="AF113" s="88" t="str">
        <f t="shared" si="38"/>
        <v>"C:\Program Files (x86)\AstroGrep\AstroGrep.exe" /spath="%USERPROFILE%\AppData\Local\Temp\OnboardLogs" /stypes="app*4015*20161018*" /stext=" 23:.+((SYSTEM_STATE.+slice.+state.+changed )|(ment ac)|(system.+state.+changed )|(\[timeout)|(PRM\|1\|D)|(kpr)|(kdp)|(\|lc)|(penalty))" /e /r /s</v>
      </c>
      <c r="AG113" s="1" t="str">
        <f t="shared" si="39"/>
        <v>EC</v>
      </c>
      <c r="AH113" s="92" t="str">
        <f t="shared" si="25"/>
        <v>"%USERPROFILE%\Documents\GitHub\eaglep3\Utilities\RefineRTDCRunTimes.py" --tripid 200-18 --locoid 4015 --swversion DE.1.0.7.0 --startMP 204:232994 --initTime 2016-10-18T16:44:59 --startdatetime 2016-10-18T16:56:13 --delay 1 --endMP 204:152 --enddatetime 2016-10-18T17:36:45 --enforcementcount 0 &gt;&gt;C:\Users\stu\Documents\GitHub\eaglep3-reporting\EC\2016-10-18-refined-times.txt</v>
      </c>
      <c r="AI113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{"issue":{"subject":"","project_id":79,"tracker_id":40,"status_id":1,"priority_id":2,"assigned_to_id":23,"start_date":"2016-10-18","description":"","custom_fields":[{"id":1,"name":"Subdivision","value":"EC"},{"id":4,"name":"Milepost","value":"0.0152"},{"id":17,"name":"Train ID","value":"200-18"},{"id":16,"name":"Locomotive ID","value":"4015"},{"id":130,"name":"Impact","value":""},{"id":150,"name":"Time of Event (Mountain Time)","value":"17:36:45"},{"id":151,"name":"Denver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566</v>
      </c>
      <c r="B114" s="7">
        <v>4042</v>
      </c>
      <c r="C114" s="22" t="s">
        <v>99</v>
      </c>
      <c r="D114" s="22" t="s">
        <v>682</v>
      </c>
      <c r="E114" s="13">
        <v>42661.671620370369</v>
      </c>
      <c r="F114" s="13">
        <v>42661.677314814813</v>
      </c>
      <c r="G114" s="7">
        <v>1</v>
      </c>
      <c r="H114" s="13" t="s">
        <v>358</v>
      </c>
      <c r="I114" s="13">
        <v>42661.702025462961</v>
      </c>
      <c r="J114" s="7">
        <v>0</v>
      </c>
      <c r="K114" s="112" t="str">
        <f t="shared" si="27"/>
        <v>4041/4042</v>
      </c>
      <c r="L114" s="22" t="str">
        <f>VLOOKUP(A114,'Trips&amp;Operators'!$C$1:$E$10000,3,FALSE)</f>
        <v>ROBINSON</v>
      </c>
      <c r="M114" s="6">
        <f t="shared" si="28"/>
        <v>2.47106481474475E-2</v>
      </c>
      <c r="N114" s="7">
        <f t="shared" si="41"/>
        <v>35.583333332324401</v>
      </c>
      <c r="O114" s="7"/>
      <c r="P114" s="7"/>
      <c r="Q114" s="23"/>
      <c r="R114" s="23"/>
      <c r="S114" s="35">
        <f t="shared" si="43"/>
        <v>1</v>
      </c>
      <c r="T114" s="50" t="str">
        <f t="shared" si="29"/>
        <v>NorthBound</v>
      </c>
      <c r="U114" s="18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15:07:08-0600',mode:absolute,to:'2016-10-18 17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4" s="52" t="str">
        <f t="shared" si="31"/>
        <v>N</v>
      </c>
      <c r="X114" s="174">
        <f t="shared" si="42"/>
        <v>1</v>
      </c>
      <c r="Y114" s="67">
        <f t="shared" si="33"/>
        <v>4.8000000000000001E-2</v>
      </c>
      <c r="Z114" s="67">
        <f t="shared" si="34"/>
        <v>23.328199999999999</v>
      </c>
      <c r="AA114" s="67">
        <f t="shared" si="35"/>
        <v>23.280200000000001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6"/>
        <v>0201-18</v>
      </c>
      <c r="AE114" s="91" t="str">
        <f t="shared" si="37"/>
        <v>aws s3 cp s3://rtdc.mdm.uploadarchive.raw/RTDC4042/ "%USERPROFILE%\AppData\Local\Temp\OnboardLogs"\RTDC4042\2016-10-18 --exclude "*" --recursive --include "*20161018*" &amp; "%USERPROFILE%\Documents\GitHub\mrs-test-scripts\Headless Mode &amp; Sideloading\WalkAndUnGZ.bat" "%USERPROFILE%\AppData\Local\Temp\OnboardLogs"\RTDC4042\2016-10-18 &amp; 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</v>
      </c>
      <c r="AF114" s="88" t="str">
        <f t="shared" si="38"/>
        <v>"C:\Program Files (x86)\AstroGrep\AstroGrep.exe" /spath="%USERPROFILE%\AppData\Local\Temp\OnboardLogs" /stypes="app*4042*20161018*" /stext=" 22:.+((SYSTEM_STATE.+slice.+state.+changed )|(ment ac)|(system.+state.+changed )|(\[timeout)|(PRM\|1\|D)|(kpr)|(kdp)|(\|lc)|(penalty))" /e /r /s</v>
      </c>
      <c r="AG114" s="1" t="str">
        <f t="shared" si="39"/>
        <v>EC</v>
      </c>
      <c r="AH114" s="92" t="str">
        <f t="shared" si="25"/>
        <v>"%USERPROFILE%\Documents\GitHub\eaglep3\Utilities\RefineRTDCRunTimes.py" --tripid 201-18 --locoid 4042 --swversion DE.1.0.7.0 --startMP 204:480 --initTime 2016-10-18T16:07:08 --startdatetime 2016-10-18T16:15:20 --delay 1 --endMP 204:233282 --enddatetime 2016-10-18T16:50:55 --enforcementcount 0 &gt;&gt;C:\Users\stu\Documents\GitHub\eaglep3-reporting\EC\2016-10-18-refined-times.txt</v>
      </c>
      <c r="AI114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{"issue":{"subject":"","project_id":79,"tracker_id":40,"status_id":1,"priority_id":2,"assigned_to_id":23,"start_date":"2016-10-18","description":"","custom_fields":[{"id":1,"name":"Subdivision","value":"EC"},{"id":4,"name":"Milepost","value":"23.3282"},{"id":17,"name":"Train ID","value":"201-18"},{"id":16,"name":"Locomotive ID","value":"4042"},{"id":130,"name":"Impact","value":""},{"id":150,"name":"Time of Event (Mountain Time)","value":"16:50:55"},{"id":151,"name":"Denver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575</v>
      </c>
      <c r="B115" s="7">
        <v>4041</v>
      </c>
      <c r="C115" s="22" t="s">
        <v>99</v>
      </c>
      <c r="D115" s="22" t="s">
        <v>364</v>
      </c>
      <c r="E115" s="13">
        <v>42661.705694444441</v>
      </c>
      <c r="F115" s="13">
        <v>42661.716122685182</v>
      </c>
      <c r="G115" s="7">
        <v>1</v>
      </c>
      <c r="H115" s="13" t="s">
        <v>305</v>
      </c>
      <c r="I115" s="13">
        <v>42661.743379629632</v>
      </c>
      <c r="J115" s="7">
        <v>0</v>
      </c>
      <c r="K115" s="112" t="str">
        <f t="shared" si="27"/>
        <v>4041/4042</v>
      </c>
      <c r="L115" s="22" t="str">
        <f>VLOOKUP(A115,'Trips&amp;Operators'!$C$1:$E$10000,3,FALSE)</f>
        <v>ROBINSON</v>
      </c>
      <c r="M115" s="6">
        <f t="shared" si="28"/>
        <v>2.7256944449618459E-2</v>
      </c>
      <c r="N115" s="7">
        <f t="shared" si="41"/>
        <v>39.250000007450581</v>
      </c>
      <c r="O115" s="7"/>
      <c r="P115" s="7"/>
      <c r="Q115" s="23"/>
      <c r="R115" s="23"/>
      <c r="S115" s="35">
        <f t="shared" si="43"/>
        <v>1</v>
      </c>
      <c r="T115" s="50" t="str">
        <f t="shared" si="29"/>
        <v>Southbound</v>
      </c>
      <c r="U115" s="18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15:56:12-0600',mode:absolute,to:'2016-10-18 18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5" s="52" t="str">
        <f t="shared" si="31"/>
        <v>N</v>
      </c>
      <c r="X115" s="174">
        <f t="shared" si="42"/>
        <v>1</v>
      </c>
      <c r="Y115" s="67">
        <f t="shared" si="33"/>
        <v>23.2957</v>
      </c>
      <c r="Z115" s="67">
        <f t="shared" si="34"/>
        <v>1.5599999999999999E-2</v>
      </c>
      <c r="AA115" s="67">
        <f t="shared" si="35"/>
        <v>23.280100000000001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6"/>
        <v>0202-18</v>
      </c>
      <c r="AE115" s="91" t="str">
        <f t="shared" si="37"/>
        <v>aws s3 cp s3://rtdc.mdm.uploadarchive.raw/RTDC4041/ "%USERPROFILE%\AppData\Local\Temp\OnboardLogs"\RTDC4041\2016-10-18 --exclude "*" --recursive --include "*20161018*" &amp; "%USERPROFILE%\Documents\GitHub\mrs-test-scripts\Headless Mode &amp; Sideloading\WalkAndUnGZ.bat" "%USERPROFILE%\AppData\Local\Temp\OnboardLogs"\RTDC4041\2016-10-18 &amp; aws s3 cp s3://rtdc.mdm.uploadarchive.raw/RTDC4041/ "%USERPROFILE%\AppData\Local\Temp\OnboardLogs"\RTDC4041\2016-10-19 --exclude "*" --recursive --include "*20161019*" &amp; "%USERPROFILE%\Documents\GitHub\mrs-test-scripts\Headless Mode &amp; Sideloading\WalkAndUnGZ.bat" "%USERPROFILE%\AppData\Local\Temp\OnboardLogs"\RTDC4041\2016-10-19</v>
      </c>
      <c r="AF115" s="88" t="str">
        <f t="shared" si="38"/>
        <v>"C:\Program Files (x86)\AstroGrep\AstroGrep.exe" /spath="%USERPROFILE%\AppData\Local\Temp\OnboardLogs" /stypes="app*4041*20161018*" /stext=" 23:.+((SYSTEM_STATE.+slice.+state.+changed )|(ment ac)|(system.+state.+changed )|(\[timeout)|(PRM\|1\|D)|(kpr)|(kdp)|(\|lc)|(penalty))" /e /r /s</v>
      </c>
      <c r="AG115" s="1" t="str">
        <f t="shared" si="39"/>
        <v>EC</v>
      </c>
      <c r="AH115" s="92" t="str">
        <f t="shared" si="25"/>
        <v>"%USERPROFILE%\Documents\GitHub\eaglep3\Utilities\RefineRTDCRunTimes.py" --tripid 202-18 --locoid 4041 --swversion DE.1.0.7.0 --startMP 204:232957 --initTime 2016-10-18T16:56:12 --startdatetime 2016-10-18T17:11:13 --delay 1 --endMP 204:156 --enddatetime 2016-10-18T17:50:28 --enforcementcount 0 &gt;&gt;C:\Users\stu\Documents\GitHub\eaglep3-reporting\EC\2016-10-18-refined-times.txt</v>
      </c>
      <c r="AI115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{"issue":{"subject":"","project_id":79,"tracker_id":40,"status_id":1,"priority_id":2,"assigned_to_id":23,"start_date":"2016-10-18","description":"","custom_fields":[{"id":1,"name":"Subdivision","value":"EC"},{"id":4,"name":"Milepost","value":"0.0156"},{"id":17,"name":"Train ID","value":"202-18"},{"id":16,"name":"Locomotive ID","value":"4041"},{"id":130,"name":"Impact","value":""},{"id":150,"name":"Time of Event (Mountain Time)","value":"17:50:28"},{"id":151,"name":"Denver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568</v>
      </c>
      <c r="B116" s="7">
        <v>4018</v>
      </c>
      <c r="C116" s="22" t="s">
        <v>99</v>
      </c>
      <c r="D116" s="22" t="s">
        <v>243</v>
      </c>
      <c r="E116" s="13">
        <v>42661.683657407404</v>
      </c>
      <c r="F116" s="13">
        <v>42661.687777777777</v>
      </c>
      <c r="G116" s="7">
        <v>1</v>
      </c>
      <c r="H116" s="13" t="s">
        <v>183</v>
      </c>
      <c r="I116" s="13">
        <v>42661.714074074072</v>
      </c>
      <c r="J116" s="7">
        <v>0</v>
      </c>
      <c r="K116" s="112" t="str">
        <f t="shared" si="27"/>
        <v>4017/4018</v>
      </c>
      <c r="L116" s="22" t="str">
        <f>VLOOKUP(A116,'Trips&amp;Operators'!$C$1:$E$10000,3,FALSE)</f>
        <v>SWANSON</v>
      </c>
      <c r="M116" s="6">
        <f t="shared" si="28"/>
        <v>2.6296296295186039E-2</v>
      </c>
      <c r="N116" s="7">
        <f t="shared" si="41"/>
        <v>37.866666665067896</v>
      </c>
      <c r="O116" s="7"/>
      <c r="P116" s="7"/>
      <c r="Q116" s="23"/>
      <c r="R116" s="23"/>
      <c r="S116" s="35">
        <f t="shared" si="43"/>
        <v>1</v>
      </c>
      <c r="T116" s="50" t="str">
        <f t="shared" si="29"/>
        <v>NorthBound</v>
      </c>
      <c r="U116" s="18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15:24:28-0600',mode:absolute,to:'2016-10-18 18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6" s="52" t="str">
        <f t="shared" si="31"/>
        <v>N</v>
      </c>
      <c r="X116" s="174">
        <f t="shared" si="42"/>
        <v>1</v>
      </c>
      <c r="Y116" s="67">
        <f t="shared" si="33"/>
        <v>4.5699999999999998E-2</v>
      </c>
      <c r="Z116" s="67">
        <f t="shared" si="34"/>
        <v>23.331199999999999</v>
      </c>
      <c r="AA116" s="67">
        <f t="shared" si="35"/>
        <v>23.285499999999999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6"/>
        <v>0203-18</v>
      </c>
      <c r="AE116" s="91" t="str">
        <f t="shared" si="37"/>
        <v>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 &amp; aws s3 cp s3://rtdc.mdm.uploadarchive.raw/RTDC4018/ "%USERPROFILE%\AppData\Local\Temp\OnboardLogs"\RTDC4018\2016-10-19 --exclude "*" --recursive --include "*20161019*" &amp; "%USERPROFILE%\Documents\GitHub\mrs-test-scripts\Headless Mode &amp; Sideloading\WalkAndUnGZ.bat" "%USERPROFILE%\AppData\Local\Temp\OnboardLogs"\RTDC4018\2016-10-19</v>
      </c>
      <c r="AF116" s="88" t="str">
        <f t="shared" si="38"/>
        <v>"C:\Program Files (x86)\AstroGrep\AstroGrep.exe" /spath="%USERPROFILE%\AppData\Local\Temp\OnboardLogs" /stypes="app*4018*20161018*" /stext=" 23:.+((SYSTEM_STATE.+slice.+state.+changed )|(ment ac)|(system.+state.+changed )|(\[timeout)|(PRM\|1\|D)|(kpr)|(kdp)|(\|lc)|(penalty))" /e /r /s</v>
      </c>
      <c r="AG116" s="1" t="str">
        <f t="shared" si="39"/>
        <v>EC</v>
      </c>
      <c r="AH116" s="92" t="str">
        <f t="shared" si="25"/>
        <v>"%USERPROFILE%\Documents\GitHub\eaglep3\Utilities\RefineRTDCRunTimes.py" --tripid 203-18 --locoid 4018 --swversion DE.1.0.7.0 --startMP 204:457 --initTime 2016-10-18T16:24:28 --startdatetime 2016-10-18T16:30:24 --delay 1 --endMP 204:233312 --enddatetime 2016-10-18T17:08:16 --enforcementcount 0 &gt;&gt;C:\Users\stu\Documents\GitHub\eaglep3-reporting\EC\2016-10-18-refined-times.txt</v>
      </c>
      <c r="AI116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{"issue":{"subject":"","project_id":79,"tracker_id":40,"status_id":1,"priority_id":2,"assigned_to_id":23,"start_date":"2016-10-18","description":"","custom_fields":[{"id":1,"name":"Subdivision","value":"EC"},{"id":4,"name":"Milepost","value":"23.3312"},{"id":17,"name":"Train ID","value":"203-18"},{"id":16,"name":"Locomotive ID","value":"4018"},{"id":130,"name":"Impact","value":""},{"id":150,"name":"Time of Event (Mountain Time)","value":"17:08:16"},{"id":151,"name":"Denver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x14ac:dyDescent="0.25">
      <c r="A117" s="37" t="s">
        <v>578</v>
      </c>
      <c r="B117" s="7">
        <v>4017</v>
      </c>
      <c r="C117" s="22" t="s">
        <v>99</v>
      </c>
      <c r="D117" s="22" t="s">
        <v>276</v>
      </c>
      <c r="E117" s="13">
        <v>42661.721550925926</v>
      </c>
      <c r="F117" s="13">
        <v>42661.726689814815</v>
      </c>
      <c r="G117" s="7">
        <v>1</v>
      </c>
      <c r="H117" s="13" t="s">
        <v>236</v>
      </c>
      <c r="I117" s="13">
        <v>42661.754502314812</v>
      </c>
      <c r="J117" s="7">
        <v>0</v>
      </c>
      <c r="K117" s="112" t="str">
        <f t="shared" si="27"/>
        <v>4017/4018</v>
      </c>
      <c r="L117" s="22" t="str">
        <f>VLOOKUP(A117,'Trips&amp;Operators'!$C$1:$E$10000,3,FALSE)</f>
        <v>SWANSON</v>
      </c>
      <c r="M117" s="6">
        <f t="shared" si="28"/>
        <v>2.7812499996798579E-2</v>
      </c>
      <c r="N117" s="7">
        <f t="shared" si="41"/>
        <v>40.049999995389953</v>
      </c>
      <c r="O117" s="7"/>
      <c r="P117" s="7"/>
      <c r="Q117" s="23"/>
      <c r="R117" s="23"/>
      <c r="S117" s="35">
        <f t="shared" si="43"/>
        <v>1</v>
      </c>
      <c r="T117" s="50" t="str">
        <f t="shared" si="29"/>
        <v>Southbound</v>
      </c>
      <c r="U117" s="18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16:19:02-0600',mode:absolute,to:'2016-10-18 19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7" s="52" t="str">
        <f t="shared" si="31"/>
        <v>N</v>
      </c>
      <c r="X117" s="174">
        <f t="shared" si="42"/>
        <v>1</v>
      </c>
      <c r="Y117" s="67">
        <f t="shared" si="33"/>
        <v>23.297699999999999</v>
      </c>
      <c r="Z117" s="67">
        <f t="shared" si="34"/>
        <v>1.6299999999999999E-2</v>
      </c>
      <c r="AA117" s="67">
        <f t="shared" si="35"/>
        <v>23.281399999999998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6"/>
        <v>0204-18</v>
      </c>
      <c r="AE117" s="91" t="str">
        <f t="shared" si="37"/>
        <v>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 &amp; aws s3 cp s3://rtdc.mdm.uploadarchive.raw/RTDC4017/ "%USERPROFILE%\AppData\Local\Temp\OnboardLogs"\RTDC4017\2016-10-19 --exclude "*" --recursive --include "*20161019*" &amp; "%USERPROFILE%\Documents\GitHub\mrs-test-scripts\Headless Mode &amp; Sideloading\WalkAndUnGZ.bat" "%USERPROFILE%\AppData\Local\Temp\OnboardLogs"\RTDC4017\2016-10-19</v>
      </c>
      <c r="AF117" s="88" t="str">
        <f t="shared" si="38"/>
        <v>"C:\Program Files (x86)\AstroGrep\AstroGrep.exe" /spath="%USERPROFILE%\AppData\Local\Temp\OnboardLogs" /stypes="app*4017*20161019*" /stext=" 00:.+((SYSTEM_STATE.+slice.+state.+changed )|(ment ac)|(system.+state.+changed )|(\[timeout)|(PRM\|1\|D)|(kpr)|(kdp)|(\|lc)|(penalty))" /e /r /s</v>
      </c>
      <c r="AG117" s="1" t="str">
        <f t="shared" si="39"/>
        <v>EC</v>
      </c>
      <c r="AH117" s="92" t="str">
        <f t="shared" si="25"/>
        <v>"%USERPROFILE%\Documents\GitHub\eaglep3\Utilities\RefineRTDCRunTimes.py" --tripid 204-18 --locoid 4017 --swversion DE.1.0.7.0 --startMP 204:232977 --initTime 2016-10-18T17:19:02 --startdatetime 2016-10-18T17:26:26 --delay 1 --endMP 204:163 --enddatetime 2016-10-18T18:06:29 --enforcementcount 0 &gt;&gt;C:\Users\stu\Documents\GitHub\eaglep3-reporting\EC\2016-10-18-refined-times.txt</v>
      </c>
      <c r="AI117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{"issue":{"subject":"","project_id":79,"tracker_id":40,"status_id":1,"priority_id":2,"assigned_to_id":23,"start_date":"2016-10-18","description":"","custom_fields":[{"id":1,"name":"Subdivision","value":"EC"},{"id":4,"name":"Milepost","value":"0.0163"},{"id":17,"name":"Train ID","value":"204-18"},{"id":16,"name":"Locomotive ID","value":"4017"},{"id":130,"name":"Impact","value":""},{"id":150,"name":"Time of Event (Mountain Time)","value":"18:06:29"},{"id":151,"name":"Denver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</row>
    <row r="118" spans="1:91" s="21" customFormat="1" x14ac:dyDescent="0.25">
      <c r="A118" s="37" t="s">
        <v>572</v>
      </c>
      <c r="B118" s="7">
        <v>4029</v>
      </c>
      <c r="C118" s="22" t="s">
        <v>99</v>
      </c>
      <c r="D118" s="22" t="s">
        <v>285</v>
      </c>
      <c r="E118" s="13">
        <v>42661.695868055554</v>
      </c>
      <c r="F118" s="13">
        <v>42661.698217592595</v>
      </c>
      <c r="G118" s="7">
        <v>1</v>
      </c>
      <c r="H118" s="13" t="s">
        <v>248</v>
      </c>
      <c r="I118" s="13">
        <v>42661.722129629627</v>
      </c>
      <c r="J118" s="7">
        <v>0</v>
      </c>
      <c r="K118" s="112" t="str">
        <f t="shared" si="27"/>
        <v>4029/4030</v>
      </c>
      <c r="L118" s="22" t="str">
        <f>VLOOKUP(A118,'Trips&amp;Operators'!$C$1:$E$10000,3,FALSE)</f>
        <v>HELVIE</v>
      </c>
      <c r="M118" s="6">
        <f t="shared" si="28"/>
        <v>2.3912037031550426E-2</v>
      </c>
      <c r="N118" s="7">
        <f t="shared" si="41"/>
        <v>34.433333325432613</v>
      </c>
      <c r="O118" s="7"/>
      <c r="P118" s="7"/>
      <c r="Q118" s="23"/>
      <c r="R118" s="23"/>
      <c r="S118" s="35">
        <f t="shared" si="43"/>
        <v>1</v>
      </c>
      <c r="T118" s="50" t="str">
        <f t="shared" si="29"/>
        <v>NorthBound</v>
      </c>
      <c r="U118" s="18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15:42:03-0600',mode:absolute,to:'2016-10-18 18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8" s="52" t="str">
        <f t="shared" si="31"/>
        <v>N</v>
      </c>
      <c r="X118" s="174">
        <f t="shared" si="42"/>
        <v>1</v>
      </c>
      <c r="Y118" s="67">
        <f t="shared" si="33"/>
        <v>4.7100000000000003E-2</v>
      </c>
      <c r="Z118" s="67">
        <f t="shared" si="34"/>
        <v>23.329899999999999</v>
      </c>
      <c r="AA118" s="67">
        <f t="shared" si="35"/>
        <v>23.282799999999998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6"/>
        <v>0205-18</v>
      </c>
      <c r="AE118" s="91" t="str">
        <f t="shared" si="37"/>
        <v>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 &amp; 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</v>
      </c>
      <c r="AF118" s="88" t="str">
        <f t="shared" si="38"/>
        <v>"C:\Program Files (x86)\AstroGrep\AstroGrep.exe" /spath="%USERPROFILE%\AppData\Local\Temp\OnboardLogs" /stypes="app*4029*20161018*" /stext=" 23:.+((SYSTEM_STATE.+slice.+state.+changed )|(ment ac)|(system.+state.+changed )|(\[timeout)|(PRM\|1\|D)|(kpr)|(kdp)|(\|lc)|(penalty))" /e /r /s</v>
      </c>
      <c r="AG118" s="1" t="str">
        <f t="shared" si="39"/>
        <v>EC</v>
      </c>
      <c r="AH118" s="92" t="str">
        <f t="shared" si="25"/>
        <v>"%USERPROFILE%\Documents\GitHub\eaglep3\Utilities\RefineRTDCRunTimes.py" --tripid 205-18 --locoid 4029 --swversion DE.1.0.7.0 --startMP 204:471 --initTime 2016-10-18T16:42:03 --startdatetime 2016-10-18T16:45:26 --delay 1 --endMP 204:233299 --enddatetime 2016-10-18T17:19:52 --enforcementcount 0 &gt;&gt;C:\Users\stu\Documents\GitHub\eaglep3-reporting\EC\2016-10-18-refined-times.txt</v>
      </c>
      <c r="AI118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{"issue":{"subject":"","project_id":79,"tracker_id":40,"status_id":1,"priority_id":2,"assigned_to_id":23,"start_date":"2016-10-18","description":"","custom_fields":[{"id":1,"name":"Subdivision","value":"EC"},{"id":4,"name":"Milepost","value":"23.3299"},{"id":17,"name":"Train ID","value":"205-18"},{"id":16,"name":"Locomotive ID","value":"4029"},{"id":130,"name":"Impact","value":""},{"id":150,"name":"Time of Event (Mountain Time)","value":"17:19:52"},{"id":151,"name":"Denver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580</v>
      </c>
      <c r="B119" s="7">
        <v>4030</v>
      </c>
      <c r="C119" s="22" t="s">
        <v>99</v>
      </c>
      <c r="D119" s="22" t="s">
        <v>321</v>
      </c>
      <c r="E119" s="13">
        <v>42661.732303240744</v>
      </c>
      <c r="F119" s="13">
        <v>42661.73704861111</v>
      </c>
      <c r="G119" s="7">
        <v>1</v>
      </c>
      <c r="H119" s="13" t="s">
        <v>250</v>
      </c>
      <c r="I119" s="13">
        <v>42661.764456018522</v>
      </c>
      <c r="J119" s="7">
        <v>0</v>
      </c>
      <c r="K119" s="112" t="str">
        <f t="shared" si="27"/>
        <v>4029/4030</v>
      </c>
      <c r="L119" s="22" t="str">
        <f>VLOOKUP(A119,'Trips&amp;Operators'!$C$1:$E$10000,3,FALSE)</f>
        <v>HELVIE</v>
      </c>
      <c r="M119" s="6">
        <f t="shared" si="28"/>
        <v>2.7407407411374152E-2</v>
      </c>
      <c r="N119" s="7">
        <f t="shared" si="41"/>
        <v>39.466666672378778</v>
      </c>
      <c r="O119" s="7"/>
      <c r="P119" s="7"/>
      <c r="Q119" s="23"/>
      <c r="R119" s="23"/>
      <c r="S119" s="35">
        <f t="shared" si="43"/>
        <v>1</v>
      </c>
      <c r="T119" s="50" t="str">
        <f t="shared" si="29"/>
        <v>Southbound</v>
      </c>
      <c r="U119" s="18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16:34:31-0600',mode:absolute,to:'2016-10-18 19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9" s="52" t="str">
        <f t="shared" si="31"/>
        <v>N</v>
      </c>
      <c r="X119" s="174">
        <f t="shared" si="42"/>
        <v>1</v>
      </c>
      <c r="Y119" s="67">
        <f t="shared" si="33"/>
        <v>23.296099999999999</v>
      </c>
      <c r="Z119" s="67">
        <f t="shared" si="34"/>
        <v>1.6E-2</v>
      </c>
      <c r="AA119" s="67">
        <f t="shared" si="35"/>
        <v>23.280100000000001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6"/>
        <v>0206-18</v>
      </c>
      <c r="AE119" s="91" t="str">
        <f t="shared" si="37"/>
        <v>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 &amp; aws s3 cp s3://rtdc.mdm.uploadarchive.raw/RTDC4030/ "%USERPROFILE%\AppData\Local\Temp\OnboardLogs"\RTDC4030\2016-10-19 --exclude "*" --recursive --include "*20161019*" &amp; "%USERPROFILE%\Documents\GitHub\mrs-test-scripts\Headless Mode &amp; Sideloading\WalkAndUnGZ.bat" "%USERPROFILE%\AppData\Local\Temp\OnboardLogs"\RTDC4030\2016-10-19</v>
      </c>
      <c r="AF119" s="88" t="str">
        <f t="shared" si="38"/>
        <v>"C:\Program Files (x86)\AstroGrep\AstroGrep.exe" /spath="%USERPROFILE%\AppData\Local\Temp\OnboardLogs" /stypes="app*4030*20161019*" /stext=" 00:.+((SYSTEM_STATE.+slice.+state.+changed )|(ment ac)|(system.+state.+changed )|(\[timeout)|(PRM\|1\|D)|(kpr)|(kdp)|(\|lc)|(penalty))" /e /r /s</v>
      </c>
      <c r="AG119" s="1" t="str">
        <f t="shared" si="39"/>
        <v>EC</v>
      </c>
      <c r="AH119" s="92" t="str">
        <f t="shared" si="25"/>
        <v>"%USERPROFILE%\Documents\GitHub\eaglep3\Utilities\RefineRTDCRunTimes.py" --tripid 206-18 --locoid 4030 --swversion DE.1.0.7.0 --startMP 204:232961 --initTime 2016-10-18T17:34:31 --startdatetime 2016-10-18T17:41:21 --delay 1 --endMP 204:160 --enddatetime 2016-10-18T18:20:49 --enforcementcount 0 &gt;&gt;C:\Users\stu\Documents\GitHub\eaglep3-reporting\EC\2016-10-18-refined-times.txt</v>
      </c>
      <c r="AI119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{"issue":{"subject":"","project_id":79,"tracker_id":40,"status_id":1,"priority_id":2,"assigned_to_id":23,"start_date":"2016-10-18","description":"","custom_fields":[{"id":1,"name":"Subdivision","value":"EC"},{"id":4,"name":"Milepost","value":"0.016"},{"id":17,"name":"Train ID","value":"206-18"},{"id":16,"name":"Locomotive ID","value":"4030"},{"id":130,"name":"Impact","value":""},{"id":150,"name":"Time of Event (Mountain Time)","value":"18:20:49"},{"id":151,"name":"Denver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574</v>
      </c>
      <c r="B120" s="7">
        <v>4011</v>
      </c>
      <c r="C120" s="22" t="s">
        <v>99</v>
      </c>
      <c r="D120" s="22" t="s">
        <v>256</v>
      </c>
      <c r="E120" s="13">
        <v>42661.703784722224</v>
      </c>
      <c r="F120" s="13">
        <v>42661.70853009259</v>
      </c>
      <c r="G120" s="7">
        <v>1</v>
      </c>
      <c r="H120" s="13" t="s">
        <v>650</v>
      </c>
      <c r="I120" s="13">
        <v>42661.733842592592</v>
      </c>
      <c r="J120" s="7">
        <v>0</v>
      </c>
      <c r="K120" s="112" t="str">
        <f t="shared" si="27"/>
        <v>4011/4012</v>
      </c>
      <c r="L120" s="22" t="str">
        <f>VLOOKUP(A120,'Trips&amp;Operators'!$C$1:$E$10000,3,FALSE)</f>
        <v>HAITHCOX</v>
      </c>
      <c r="M120" s="6">
        <f t="shared" si="28"/>
        <v>2.531250000174623E-2</v>
      </c>
      <c r="N120" s="7">
        <f t="shared" si="41"/>
        <v>36.450000002514571</v>
      </c>
      <c r="O120" s="7"/>
      <c r="P120" s="7"/>
      <c r="Q120" s="23"/>
      <c r="R120" s="23"/>
      <c r="S120" s="35">
        <f t="shared" si="43"/>
        <v>1</v>
      </c>
      <c r="T120" s="50" t="str">
        <f t="shared" si="29"/>
        <v>NorthBound</v>
      </c>
      <c r="U120" s="18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15:53:27-0600',mode:absolute,to:'2016-10-18 18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0" s="52" t="str">
        <f t="shared" si="31"/>
        <v>N</v>
      </c>
      <c r="X120" s="174">
        <f t="shared" si="42"/>
        <v>1</v>
      </c>
      <c r="Y120" s="67">
        <f t="shared" si="33"/>
        <v>4.6899999999999997E-2</v>
      </c>
      <c r="Z120" s="67">
        <f t="shared" si="34"/>
        <v>23.327999999999999</v>
      </c>
      <c r="AA120" s="67">
        <f t="shared" si="35"/>
        <v>23.281099999999999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6"/>
        <v>0207-18</v>
      </c>
      <c r="AE120" s="91" t="str">
        <f t="shared" si="37"/>
        <v>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 &amp; 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</v>
      </c>
      <c r="AF120" s="88" t="str">
        <f t="shared" si="38"/>
        <v>"C:\Program Files (x86)\AstroGrep\AstroGrep.exe" /spath="%USERPROFILE%\AppData\Local\Temp\OnboardLogs" /stypes="app*4011*20161018*" /stext=" 23:.+((SYSTEM_STATE.+slice.+state.+changed )|(ment ac)|(system.+state.+changed )|(\[timeout)|(PRM\|1\|D)|(kpr)|(kdp)|(\|lc)|(penalty))" /e /r /s</v>
      </c>
      <c r="AG120" s="1" t="str">
        <f t="shared" si="39"/>
        <v>EC</v>
      </c>
      <c r="AH120" s="92" t="str">
        <f t="shared" si="25"/>
        <v>"%USERPROFILE%\Documents\GitHub\eaglep3\Utilities\RefineRTDCRunTimes.py" --tripid 207-18 --locoid 4011 --swversion DE.1.0.7.0 --startMP 204:469 --initTime 2016-10-18T16:53:27 --startdatetime 2016-10-18T17:00:17 --delay 1 --endMP 204:233280 --enddatetime 2016-10-18T17:36:44 --enforcementcount 0 &gt;&gt;C:\Users\stu\Documents\GitHub\eaglep3-reporting\EC\2016-10-18-refined-times.txt</v>
      </c>
      <c r="AI120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{"issue":{"subject":"","project_id":79,"tracker_id":40,"status_id":1,"priority_id":2,"assigned_to_id":23,"start_date":"2016-10-18","description":"","custom_fields":[{"id":1,"name":"Subdivision","value":"EC"},{"id":4,"name":"Milepost","value":"23.328"},{"id":17,"name":"Train ID","value":"207-18"},{"id":16,"name":"Locomotive ID","value":"4011"},{"id":130,"name":"Impact","value":""},{"id":150,"name":"Time of Event (Mountain Time)","value":"17:36:44"},{"id":151,"name":"Denver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586</v>
      </c>
      <c r="B121" s="7">
        <v>4012</v>
      </c>
      <c r="C121" s="22" t="s">
        <v>99</v>
      </c>
      <c r="D121" s="22" t="s">
        <v>366</v>
      </c>
      <c r="E121" s="13">
        <v>42661.744398148148</v>
      </c>
      <c r="F121" s="13">
        <v>42661.747465277775</v>
      </c>
      <c r="G121" s="7">
        <v>0</v>
      </c>
      <c r="H121" s="13" t="s">
        <v>662</v>
      </c>
      <c r="I121" s="13">
        <v>42661.775416666664</v>
      </c>
      <c r="J121" s="7">
        <v>0</v>
      </c>
      <c r="K121" s="112" t="str">
        <f t="shared" si="27"/>
        <v>4011/4012</v>
      </c>
      <c r="L121" s="22" t="str">
        <f>VLOOKUP(A121,'Trips&amp;Operators'!$C$1:$E$10000,3,FALSE)</f>
        <v>HAITHCOX</v>
      </c>
      <c r="M121" s="6">
        <f t="shared" si="28"/>
        <v>2.7951388889050577E-2</v>
      </c>
      <c r="N121" s="7">
        <f t="shared" si="41"/>
        <v>40.250000000232831</v>
      </c>
      <c r="O121" s="7"/>
      <c r="P121" s="7"/>
      <c r="Q121" s="23"/>
      <c r="R121" s="23"/>
      <c r="S121" s="35">
        <f t="shared" si="43"/>
        <v>1</v>
      </c>
      <c r="T121" s="50" t="str">
        <f t="shared" si="29"/>
        <v>Southbound</v>
      </c>
      <c r="U121" s="18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16:51:56-0600',mode:absolute,to:'2016-10-18 19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1" s="52" t="str">
        <f t="shared" si="31"/>
        <v>N</v>
      </c>
      <c r="X121" s="174">
        <f t="shared" si="42"/>
        <v>1</v>
      </c>
      <c r="Y121" s="67">
        <f t="shared" si="33"/>
        <v>23.296600000000002</v>
      </c>
      <c r="Z121" s="67">
        <f t="shared" si="34"/>
        <v>1.8100000000000002E-2</v>
      </c>
      <c r="AA121" s="67">
        <f t="shared" si="35"/>
        <v>23.278500000000001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6"/>
        <v>0208-18</v>
      </c>
      <c r="AE121" s="91" t="str">
        <f t="shared" si="37"/>
        <v>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 &amp; 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</v>
      </c>
      <c r="AF121" s="88" t="str">
        <f t="shared" si="38"/>
        <v>"C:\Program Files (x86)\AstroGrep\AstroGrep.exe" /spath="%USERPROFILE%\AppData\Local\Temp\OnboardLogs" /stypes="app*4012*20161019*" /stext=" 00:.+((SYSTEM_STATE.+slice.+state.+changed )|(ment ac)|(system.+state.+changed )|(\[timeout)|(PRM\|1\|D)|(kpr)|(kdp)|(\|lc)|(penalty))" /e /r /s</v>
      </c>
      <c r="AG121" s="1" t="str">
        <f t="shared" si="39"/>
        <v>EC</v>
      </c>
      <c r="AH121" s="92" t="str">
        <f t="shared" si="25"/>
        <v>"%USERPROFILE%\Documents\GitHub\eaglep3\Utilities\RefineRTDCRunTimes.py" --tripid 208-18 --locoid 4012 --swversion DE.1.0.7.0 --startMP 204:232966 --initTime 2016-10-18T17:51:56 --startdatetime 2016-10-18T17:56:21 --delay 0 --endMP 204:181 --enddatetime 2016-10-18T18:36:36 --enforcementcount 0 &gt;&gt;C:\Users\stu\Documents\GitHub\eaglep3-reporting\EC\2016-10-18-refined-times.txt</v>
      </c>
      <c r="AI121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{"issue":{"subject":"","project_id":79,"tracker_id":40,"status_id":1,"priority_id":2,"assigned_to_id":23,"start_date":"2016-10-18","description":"","custom_fields":[{"id":1,"name":"Subdivision","value":"EC"},{"id":4,"name":"Milepost","value":"0.0181"},{"id":17,"name":"Train ID","value":"208-18"},{"id":16,"name":"Locomotive ID","value":"4012"},{"id":130,"name":"Impact","value":""},{"id":150,"name":"Time of Event (Mountain Time)","value":"18:36:36"},{"id":151,"name":"Denver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577</v>
      </c>
      <c r="B122" s="7">
        <v>4044</v>
      </c>
      <c r="C122" s="22" t="s">
        <v>99</v>
      </c>
      <c r="D122" s="22" t="s">
        <v>361</v>
      </c>
      <c r="E122" s="13">
        <v>42661.714386574073</v>
      </c>
      <c r="F122" s="13">
        <v>42661.719201388885</v>
      </c>
      <c r="G122" s="7">
        <v>2</v>
      </c>
      <c r="H122" s="13" t="s">
        <v>254</v>
      </c>
      <c r="I122" s="13">
        <v>42661.745324074072</v>
      </c>
      <c r="J122" s="7">
        <v>0</v>
      </c>
      <c r="K122" s="112" t="str">
        <f t="shared" si="27"/>
        <v>4043/4044</v>
      </c>
      <c r="L122" s="22" t="str">
        <f>VLOOKUP(A122,'Trips&amp;Operators'!$C$1:$E$10000,3,FALSE)</f>
        <v>LEVERE</v>
      </c>
      <c r="M122" s="6">
        <f t="shared" si="28"/>
        <v>2.6122685187146999E-2</v>
      </c>
      <c r="N122" s="7">
        <f t="shared" ref="N122:N153" si="44">24*60*SUM($M122:$M122)</f>
        <v>37.616666669491678</v>
      </c>
      <c r="O122" s="7"/>
      <c r="P122" s="7"/>
      <c r="Q122" s="23"/>
      <c r="R122" s="23"/>
      <c r="S122" s="35">
        <f t="shared" si="43"/>
        <v>1</v>
      </c>
      <c r="T122" s="50" t="str">
        <f t="shared" si="29"/>
        <v>NorthBound</v>
      </c>
      <c r="U122" s="18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16:08:43-0600',mode:absolute,to:'2016-10-18 18:53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2" s="52" t="str">
        <f t="shared" si="31"/>
        <v>N</v>
      </c>
      <c r="X122" s="174">
        <f t="shared" si="42"/>
        <v>1</v>
      </c>
      <c r="Y122" s="67">
        <f t="shared" si="33"/>
        <v>4.4900000000000002E-2</v>
      </c>
      <c r="Z122" s="67">
        <f t="shared" si="34"/>
        <v>23.328900000000001</v>
      </c>
      <c r="AA122" s="67">
        <f t="shared" si="35"/>
        <v>23.284000000000002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6"/>
        <v>0209-18</v>
      </c>
      <c r="AE122" s="91" t="str">
        <f t="shared" si="37"/>
        <v>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 &amp; aws s3 cp s3://rtdc.mdm.uploadarchive.raw/RTDC4044/ "%USERPROFILE%\AppData\Local\Temp\OnboardLogs"\RTDC4044\2016-10-19 --exclude "*" --recursive --include "*20161019*" &amp; "%USERPROFILE%\Documents\GitHub\mrs-test-scripts\Headless Mode &amp; Sideloading\WalkAndUnGZ.bat" "%USERPROFILE%\AppData\Local\Temp\OnboardLogs"\RTDC4044\2016-10-19</v>
      </c>
      <c r="AF122" s="88" t="str">
        <f t="shared" si="38"/>
        <v>"C:\Program Files (x86)\AstroGrep\AstroGrep.exe" /spath="%USERPROFILE%\AppData\Local\Temp\OnboardLogs" /stypes="app*4044*20161018*" /stext=" 23:.+((SYSTEM_STATE.+slice.+state.+changed )|(ment ac)|(system.+state.+changed )|(\[timeout)|(PRM\|1\|D)|(kpr)|(kdp)|(\|lc)|(penalty))" /e /r /s</v>
      </c>
      <c r="AG122" s="1" t="str">
        <f t="shared" si="39"/>
        <v>EC</v>
      </c>
      <c r="AH122" s="92" t="str">
        <f t="shared" si="25"/>
        <v>"%USERPROFILE%\Documents\GitHub\eaglep3\Utilities\RefineRTDCRunTimes.py" --tripid 209-18 --locoid 4044 --swversion DE.1.0.7.0 --startMP 204:449 --initTime 2016-10-18T17:08:43 --startdatetime 2016-10-18T17:15:39 --delay 2 --endMP 204:233289 --enddatetime 2016-10-18T17:53:16 --enforcementcount 0 &gt;&gt;C:\Users\stu\Documents\GitHub\eaglep3-reporting\EC\2016-10-18-refined-times.txt</v>
      </c>
      <c r="AI122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{"issue":{"subject":"","project_id":79,"tracker_id":40,"status_id":1,"priority_id":2,"assigned_to_id":23,"start_date":"2016-10-18","description":"","custom_fields":[{"id":1,"name":"Subdivision","value":"EC"},{"id":4,"name":"Milepost","value":"23.3289"},{"id":17,"name":"Train ID","value":"209-18"},{"id":16,"name":"Locomotive ID","value":"4044"},{"id":130,"name":"Impact","value":""},{"id":150,"name":"Time of Event (Mountain Time)","value":"17:53:16"},{"id":151,"name":"Denver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589</v>
      </c>
      <c r="B123" s="7">
        <v>4043</v>
      </c>
      <c r="C123" s="22" t="s">
        <v>99</v>
      </c>
      <c r="D123" s="22" t="s">
        <v>292</v>
      </c>
      <c r="E123" s="13">
        <v>42661.751655092594</v>
      </c>
      <c r="F123" s="13">
        <v>42661.757870370369</v>
      </c>
      <c r="G123" s="7">
        <v>1</v>
      </c>
      <c r="H123" s="13" t="s">
        <v>229</v>
      </c>
      <c r="I123" s="13">
        <v>42661.786724537036</v>
      </c>
      <c r="J123" s="7">
        <v>0</v>
      </c>
      <c r="K123" s="112" t="str">
        <f t="shared" si="27"/>
        <v>4043/4044</v>
      </c>
      <c r="L123" s="22" t="str">
        <f>VLOOKUP(A123,'Trips&amp;Operators'!$C$1:$E$10000,3,FALSE)</f>
        <v>LEVERE</v>
      </c>
      <c r="M123" s="6">
        <f t="shared" si="28"/>
        <v>2.8854166666860692E-2</v>
      </c>
      <c r="N123" s="7">
        <f t="shared" si="44"/>
        <v>41.550000000279397</v>
      </c>
      <c r="O123" s="7"/>
      <c r="P123" s="7"/>
      <c r="Q123" s="23"/>
      <c r="R123" s="23"/>
      <c r="S123" s="35">
        <f t="shared" si="43"/>
        <v>1</v>
      </c>
      <c r="T123" s="50" t="str">
        <f t="shared" si="29"/>
        <v>Southbound</v>
      </c>
      <c r="U123" s="18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17:02:23-0600',mode:absolute,to:'2016-10-18 19:52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3" s="52" t="str">
        <f t="shared" si="31"/>
        <v>N</v>
      </c>
      <c r="X123" s="174">
        <f t="shared" si="42"/>
        <v>1</v>
      </c>
      <c r="Y123" s="67">
        <f t="shared" si="33"/>
        <v>23.296500000000002</v>
      </c>
      <c r="Z123" s="67">
        <f t="shared" si="34"/>
        <v>1.49E-2</v>
      </c>
      <c r="AA123" s="67">
        <f t="shared" si="35"/>
        <v>23.281600000000001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6"/>
        <v>0210-18</v>
      </c>
      <c r="AE123" s="91" t="str">
        <f t="shared" si="37"/>
        <v>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 &amp; aws s3 cp s3://rtdc.mdm.uploadarchive.raw/RTDC4043/ "%USERPROFILE%\AppData\Local\Temp\OnboardLogs"\RTDC4043\2016-10-19 --exclude "*" --recursive --include "*20161019*" &amp; "%USERPROFILE%\Documents\GitHub\mrs-test-scripts\Headless Mode &amp; Sideloading\WalkAndUnGZ.bat" "%USERPROFILE%\AppData\Local\Temp\OnboardLogs"\RTDC4043\2016-10-19</v>
      </c>
      <c r="AF123" s="88" t="str">
        <f t="shared" si="38"/>
        <v>"C:\Program Files (x86)\AstroGrep\AstroGrep.exe" /spath="%USERPROFILE%\AppData\Local\Temp\OnboardLogs" /stypes="app*4043*20161019*" /stext=" 00:.+((SYSTEM_STATE.+slice.+state.+changed )|(ment ac)|(system.+state.+changed )|(\[timeout)|(PRM\|1\|D)|(kpr)|(kdp)|(\|lc)|(penalty))" /e /r /s</v>
      </c>
      <c r="AG123" s="1" t="str">
        <f t="shared" si="39"/>
        <v>EC</v>
      </c>
      <c r="AH123" s="92" t="str">
        <f t="shared" si="25"/>
        <v>"%USERPROFILE%\Documents\GitHub\eaglep3\Utilities\RefineRTDCRunTimes.py" --tripid 210-18 --locoid 4043 --swversion DE.1.0.7.0 --startMP 204:232965 --initTime 2016-10-18T18:02:23 --startdatetime 2016-10-18T18:11:20 --delay 1 --endMP 204:149 --enddatetime 2016-10-18T18:52:53 --enforcementcount 0 &gt;&gt;C:\Users\stu\Documents\GitHub\eaglep3-reporting\EC\2016-10-18-refined-times.txt</v>
      </c>
      <c r="AI123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{"issue":{"subject":"","project_id":79,"tracker_id":40,"status_id":1,"priority_id":2,"assigned_to_id":23,"start_date":"2016-10-18","description":"","custom_fields":[{"id":1,"name":"Subdivision","value":"EC"},{"id":4,"name":"Milepost","value":"0.0149"},{"id":17,"name":"Train ID","value":"210-18"},{"id":16,"name":"Locomotive ID","value":"4043"},{"id":130,"name":"Impact","value":""},{"id":150,"name":"Time of Event (Mountain Time)","value":"18:52:53"},{"id":151,"name":"Denver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579</v>
      </c>
      <c r="B124" s="7">
        <v>4025</v>
      </c>
      <c r="C124" s="22" t="s">
        <v>99</v>
      </c>
      <c r="D124" s="22" t="s">
        <v>245</v>
      </c>
      <c r="E124" s="13">
        <v>42661.725694444445</v>
      </c>
      <c r="F124" s="13">
        <v>42661.72934027778</v>
      </c>
      <c r="G124" s="7">
        <v>1</v>
      </c>
      <c r="H124" s="13" t="s">
        <v>219</v>
      </c>
      <c r="I124" s="13">
        <v>42661.754629629628</v>
      </c>
      <c r="J124" s="7">
        <v>0</v>
      </c>
      <c r="K124" s="112" t="str">
        <f t="shared" si="27"/>
        <v>4025/4026</v>
      </c>
      <c r="L124" s="22" t="str">
        <f>VLOOKUP(A124,'Trips&amp;Operators'!$C$1:$E$10000,3,FALSE)</f>
        <v>HILLS</v>
      </c>
      <c r="M124" s="6">
        <f t="shared" si="28"/>
        <v>2.5289351848186925E-2</v>
      </c>
      <c r="N124" s="7">
        <f t="shared" si="44"/>
        <v>36.416666661389172</v>
      </c>
      <c r="O124" s="7"/>
      <c r="P124" s="7"/>
      <c r="Q124" s="23"/>
      <c r="R124" s="23"/>
      <c r="S124" s="35">
        <f t="shared" si="43"/>
        <v>1</v>
      </c>
      <c r="T124" s="50" t="str">
        <f t="shared" si="29"/>
        <v>NorthBound</v>
      </c>
      <c r="U124" s="18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16:25:00-0600',mode:absolute,to:'2016-10-18 19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4" s="52" t="str">
        <f t="shared" si="31"/>
        <v>N</v>
      </c>
      <c r="X124" s="174">
        <f t="shared" si="42"/>
        <v>1</v>
      </c>
      <c r="Y124" s="67">
        <f t="shared" si="33"/>
        <v>4.6600000000000003E-2</v>
      </c>
      <c r="Z124" s="67">
        <f t="shared" si="34"/>
        <v>23.331399999999999</v>
      </c>
      <c r="AA124" s="67">
        <f t="shared" si="35"/>
        <v>23.284799999999997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6"/>
        <v>0211-18</v>
      </c>
      <c r="AE124" s="91" t="str">
        <f t="shared" si="37"/>
        <v>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 &amp; 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</v>
      </c>
      <c r="AF124" s="88" t="str">
        <f t="shared" si="38"/>
        <v>"C:\Program Files (x86)\AstroGrep\AstroGrep.exe" /spath="%USERPROFILE%\AppData\Local\Temp\OnboardLogs" /stypes="app*4025*20161019*" /stext=" 00:.+((SYSTEM_STATE.+slice.+state.+changed )|(ment ac)|(system.+state.+changed )|(\[timeout)|(PRM\|1\|D)|(kpr)|(kdp)|(\|lc)|(penalty))" /e /r /s</v>
      </c>
      <c r="AG124" s="1" t="str">
        <f t="shared" si="39"/>
        <v>EC</v>
      </c>
      <c r="AH124" s="92" t="str">
        <f t="shared" si="25"/>
        <v>"%USERPROFILE%\Documents\GitHub\eaglep3\Utilities\RefineRTDCRunTimes.py" --tripid 211-18 --locoid 4025 --swversion DE.1.0.7.0 --startMP 204:466 --initTime 2016-10-18T17:25:00 --startdatetime 2016-10-18T17:30:15 --delay 1 --endMP 204:233314 --enddatetime 2016-10-18T18:06:40 --enforcementcount 0 &gt;&gt;C:\Users\stu\Documents\GitHub\eaglep3-reporting\EC\2016-10-18-refined-times.txt</v>
      </c>
      <c r="AI124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{"issue":{"subject":"","project_id":79,"tracker_id":40,"status_id":1,"priority_id":2,"assigned_to_id":23,"start_date":"2016-10-18","description":"","custom_fields":[{"id":1,"name":"Subdivision","value":"EC"},{"id":4,"name":"Milepost","value":"23.3314"},{"id":17,"name":"Train ID","value":"211-18"},{"id":16,"name":"Locomotive ID","value":"4025"},{"id":130,"name":"Impact","value":""},{"id":150,"name":"Time of Event (Mountain Time)","value":"18:06:40"},{"id":151,"name":"Denver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591</v>
      </c>
      <c r="B125" s="7">
        <v>4026</v>
      </c>
      <c r="C125" s="22" t="s">
        <v>99</v>
      </c>
      <c r="D125" s="22" t="s">
        <v>224</v>
      </c>
      <c r="E125" s="13">
        <v>42661.756111111114</v>
      </c>
      <c r="F125" s="13">
        <v>42661.768761574072</v>
      </c>
      <c r="G125" s="7">
        <v>1</v>
      </c>
      <c r="H125" s="13" t="s">
        <v>242</v>
      </c>
      <c r="I125" s="13">
        <v>42661.794803240744</v>
      </c>
      <c r="J125" s="7">
        <v>0</v>
      </c>
      <c r="K125" s="112" t="str">
        <f t="shared" si="27"/>
        <v>4025/4026</v>
      </c>
      <c r="L125" s="22" t="str">
        <f>VLOOKUP(A125,'Trips&amp;Operators'!$C$1:$E$10000,3,FALSE)</f>
        <v>HILLS</v>
      </c>
      <c r="M125" s="6">
        <f t="shared" si="28"/>
        <v>2.6041666671517305E-2</v>
      </c>
      <c r="N125" s="7">
        <f t="shared" si="44"/>
        <v>37.500000006984919</v>
      </c>
      <c r="O125" s="7"/>
      <c r="P125" s="7"/>
      <c r="Q125" s="23"/>
      <c r="R125" s="23"/>
      <c r="S125" s="35">
        <f t="shared" si="43"/>
        <v>1</v>
      </c>
      <c r="T125" s="50" t="str">
        <f t="shared" si="29"/>
        <v>Southbound</v>
      </c>
      <c r="U125" s="18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17:08:48-0600',mode:absolute,to:'2016-10-18 20:04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5" s="52" t="str">
        <f t="shared" si="31"/>
        <v>N</v>
      </c>
      <c r="X125" s="174">
        <f t="shared" si="42"/>
        <v>1</v>
      </c>
      <c r="Y125" s="67">
        <f t="shared" si="33"/>
        <v>23.298500000000001</v>
      </c>
      <c r="Z125" s="67">
        <f t="shared" si="34"/>
        <v>1.34E-2</v>
      </c>
      <c r="AA125" s="67">
        <f t="shared" si="35"/>
        <v>23.2851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6"/>
        <v>0212-18</v>
      </c>
      <c r="AE125" s="91" t="str">
        <f t="shared" si="37"/>
        <v>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 &amp; 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</v>
      </c>
      <c r="AF125" s="88" t="str">
        <f t="shared" si="38"/>
        <v>"C:\Program Files (x86)\AstroGrep\AstroGrep.exe" /spath="%USERPROFILE%\AppData\Local\Temp\OnboardLogs" /stypes="app*4026*20161019*" /stext=" 01:.+((SYSTEM_STATE.+slice.+state.+changed )|(ment ac)|(system.+state.+changed )|(\[timeout)|(PRM\|1\|D)|(kpr)|(kdp)|(\|lc)|(penalty))" /e /r /s</v>
      </c>
      <c r="AG125" s="1" t="str">
        <f t="shared" si="39"/>
        <v>EC</v>
      </c>
      <c r="AH125" s="92" t="str">
        <f t="shared" si="25"/>
        <v>"%USERPROFILE%\Documents\GitHub\eaglep3\Utilities\RefineRTDCRunTimes.py" --tripid 212-18 --locoid 4026 --swversion DE.1.0.7.0 --startMP 204:232985 --initTime 2016-10-18T18:08:48 --startdatetime 2016-10-18T18:27:01 --delay 1 --endMP 204:134 --enddatetime 2016-10-18T19:04:31 --enforcementcount 0 &gt;&gt;C:\Users\stu\Documents\GitHub\eaglep3-reporting\EC\2016-10-18-refined-times.txt</v>
      </c>
      <c r="AI125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{"issue":{"subject":"","project_id":79,"tracker_id":40,"status_id":1,"priority_id":2,"assigned_to_id":23,"start_date":"2016-10-18","description":"","custom_fields":[{"id":1,"name":"Subdivision","value":"EC"},{"id":4,"name":"Milepost","value":"0.0134"},{"id":17,"name":"Train ID","value":"212-18"},{"id":16,"name":"Locomotive ID","value":"4026"},{"id":130,"name":"Impact","value":""},{"id":150,"name":"Time of Event (Mountain Time)","value":"19:04:31"},{"id":151,"name":"Denver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584</v>
      </c>
      <c r="B126" s="7">
        <v>4016</v>
      </c>
      <c r="C126" s="22" t="s">
        <v>99</v>
      </c>
      <c r="D126" s="22" t="s">
        <v>285</v>
      </c>
      <c r="E126" s="13">
        <v>42661.736157407409</v>
      </c>
      <c r="F126" s="13">
        <v>42661.739907407406</v>
      </c>
      <c r="G126" s="7">
        <v>2</v>
      </c>
      <c r="H126" s="13" t="s">
        <v>196</v>
      </c>
      <c r="I126" s="13">
        <v>42661.765243055554</v>
      </c>
      <c r="J126" s="7">
        <v>0</v>
      </c>
      <c r="K126" s="112" t="str">
        <f t="shared" si="27"/>
        <v>4015/4016</v>
      </c>
      <c r="L126" s="22" t="str">
        <f>VLOOKUP(A126,'Trips&amp;Operators'!$C$1:$E$10000,3,FALSE)</f>
        <v>BERLING</v>
      </c>
      <c r="M126" s="6">
        <f t="shared" si="28"/>
        <v>2.5335648148029577E-2</v>
      </c>
      <c r="N126" s="7">
        <f t="shared" si="44"/>
        <v>36.483333333162591</v>
      </c>
      <c r="O126" s="7"/>
      <c r="P126" s="7"/>
      <c r="Q126" s="23"/>
      <c r="R126" s="23"/>
      <c r="S126" s="35">
        <f t="shared" si="43"/>
        <v>1</v>
      </c>
      <c r="T126" s="50" t="str">
        <f t="shared" si="29"/>
        <v>NorthBound</v>
      </c>
      <c r="U126" s="18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16:40:04-0600',mode:absolute,to:'2016-10-18 19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6" s="52" t="str">
        <f t="shared" si="31"/>
        <v>N</v>
      </c>
      <c r="X126" s="174">
        <f t="shared" si="42"/>
        <v>1</v>
      </c>
      <c r="Y126" s="67">
        <f t="shared" si="33"/>
        <v>4.7100000000000003E-2</v>
      </c>
      <c r="Z126" s="67">
        <f t="shared" si="34"/>
        <v>23.329699999999999</v>
      </c>
      <c r="AA126" s="67">
        <f t="shared" si="35"/>
        <v>23.282599999999999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6"/>
        <v>0213-18</v>
      </c>
      <c r="AE126" s="91" t="str">
        <f t="shared" si="37"/>
        <v>aws s3 cp s3://rtdc.mdm.uploadarchive.raw/RTDC4016/ "%USERPROFILE%\AppData\Local\Temp\OnboardLogs"\RTDC4016\2016-10-18 --exclude "*" --recursive --include "*20161018*" &amp; "%USERPROFILE%\Documents\GitHub\mrs-test-scripts\Headless Mode &amp; Sideloading\WalkAndUnGZ.bat" "%USERPROFILE%\AppData\Local\Temp\OnboardLogs"\RTDC4016\2016-10-18 &amp; aws s3 cp s3://rtdc.mdm.uploadarchive.raw/RTDC4016/ "%USERPROFILE%\AppData\Local\Temp\OnboardLogs"\RTDC4016\2016-10-19 --exclude "*" --recursive --include "*20161019*" &amp; "%USERPROFILE%\Documents\GitHub\mrs-test-scripts\Headless Mode &amp; Sideloading\WalkAndUnGZ.bat" "%USERPROFILE%\AppData\Local\Temp\OnboardLogs"\RTDC4016\2016-10-19</v>
      </c>
      <c r="AF126" s="88" t="str">
        <f t="shared" si="38"/>
        <v>"C:\Program Files (x86)\AstroGrep\AstroGrep.exe" /spath="%USERPROFILE%\AppData\Local\Temp\OnboardLogs" /stypes="app*4016*20161019*" /stext=" 00:.+((SYSTEM_STATE.+slice.+state.+changed )|(ment ac)|(system.+state.+changed )|(\[timeout)|(PRM\|1\|D)|(kpr)|(kdp)|(\|lc)|(penalty))" /e /r /s</v>
      </c>
      <c r="AG126" s="1" t="str">
        <f t="shared" si="39"/>
        <v>EC</v>
      </c>
      <c r="AH126" s="92" t="str">
        <f t="shared" si="25"/>
        <v>"%USERPROFILE%\Documents\GitHub\eaglep3\Utilities\RefineRTDCRunTimes.py" --tripid 213-18 --locoid 4016 --swversion DE.1.0.7.0 --startMP 204:471 --initTime 2016-10-18T17:40:04 --startdatetime 2016-10-18T17:45:28 --delay 2 --endMP 204:233297 --enddatetime 2016-10-18T18:21:57 --enforcementcount 0 &gt;&gt;C:\Users\stu\Documents\GitHub\eaglep3-reporting\EC\2016-10-18-refined-times.txt</v>
      </c>
      <c r="AI126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{"issue":{"subject":"","project_id":79,"tracker_id":40,"status_id":1,"priority_id":2,"assigned_to_id":23,"start_date":"2016-10-18","description":"","custom_fields":[{"id":1,"name":"Subdivision","value":"EC"},{"id":4,"name":"Milepost","value":"23.3297"},{"id":17,"name":"Train ID","value":"213-18"},{"id":16,"name":"Locomotive ID","value":"4016"},{"id":130,"name":"Impact","value":""},{"id":150,"name":"Time of Event (Mountain Time)","value":"18:21:57"},{"id":151,"name":"Denver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594</v>
      </c>
      <c r="B127" s="7">
        <v>4015</v>
      </c>
      <c r="C127" s="22" t="s">
        <v>99</v>
      </c>
      <c r="D127" s="22" t="s">
        <v>239</v>
      </c>
      <c r="E127" s="13">
        <v>42661.771805555552</v>
      </c>
      <c r="F127" s="13">
        <v>42661.778680555559</v>
      </c>
      <c r="G127" s="7">
        <v>1</v>
      </c>
      <c r="H127" s="13" t="s">
        <v>318</v>
      </c>
      <c r="I127" s="13">
        <v>42661.806226851855</v>
      </c>
      <c r="J127" s="7">
        <v>0</v>
      </c>
      <c r="K127" s="112" t="str">
        <f t="shared" si="27"/>
        <v>4015/4016</v>
      </c>
      <c r="L127" s="22" t="str">
        <f>VLOOKUP(A127,'Trips&amp;Operators'!$C$1:$E$10000,3,FALSE)</f>
        <v>BERLING</v>
      </c>
      <c r="M127" s="6">
        <f t="shared" si="28"/>
        <v>2.7546296296350192E-2</v>
      </c>
      <c r="N127" s="7">
        <f t="shared" si="44"/>
        <v>39.666666666744277</v>
      </c>
      <c r="O127" s="7"/>
      <c r="P127" s="7"/>
      <c r="Q127" s="23"/>
      <c r="R127" s="23"/>
      <c r="S127" s="35">
        <f t="shared" si="43"/>
        <v>1</v>
      </c>
      <c r="T127" s="50" t="str">
        <f t="shared" si="29"/>
        <v>Southbound</v>
      </c>
      <c r="U127" s="18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17:31:24-0600',mode:absolute,to:'2016-10-18 20:20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7" s="52" t="str">
        <f t="shared" si="31"/>
        <v>N</v>
      </c>
      <c r="X127" s="174">
        <f t="shared" si="42"/>
        <v>1</v>
      </c>
      <c r="Y127" s="67">
        <f t="shared" si="33"/>
        <v>23.298200000000001</v>
      </c>
      <c r="Z127" s="67">
        <f t="shared" si="34"/>
        <v>1.3899999999999999E-2</v>
      </c>
      <c r="AA127" s="67">
        <f t="shared" si="35"/>
        <v>23.284300000000002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6"/>
        <v>0214-18</v>
      </c>
      <c r="AE127" s="91" t="str">
        <f t="shared" si="37"/>
        <v>aws s3 cp s3://rtdc.mdm.uploadarchive.raw/RTDC4015/ "%USERPROFILE%\AppData\Local\Temp\OnboardLogs"\RTDC4015\2016-10-18 --exclude "*" --recursive --include "*20161018*" &amp; "%USERPROFILE%\Documents\GitHub\mrs-test-scripts\Headless Mode &amp; Sideloading\WalkAndUnGZ.bat" "%USERPROFILE%\AppData\Local\Temp\OnboardLogs"\RTDC4015\2016-10-18 &amp; aws s3 cp s3://rtdc.mdm.uploadarchive.raw/RTDC4015/ "%USERPROFILE%\AppData\Local\Temp\OnboardLogs"\RTDC4015\2016-10-19 --exclude "*" --recursive --include "*20161019*" &amp; "%USERPROFILE%\Documents\GitHub\mrs-test-scripts\Headless Mode &amp; Sideloading\WalkAndUnGZ.bat" "%USERPROFILE%\AppData\Local\Temp\OnboardLogs"\RTDC4015\2016-10-19</v>
      </c>
      <c r="AF127" s="88" t="str">
        <f t="shared" si="38"/>
        <v>"C:\Program Files (x86)\AstroGrep\AstroGrep.exe" /spath="%USERPROFILE%\AppData\Local\Temp\OnboardLogs" /stypes="app*4015*20161019*" /stext=" 01:.+((SYSTEM_STATE.+slice.+state.+changed )|(ment ac)|(system.+state.+changed )|(\[timeout)|(PRM\|1\|D)|(kpr)|(kdp)|(\|lc)|(penalty))" /e /r /s</v>
      </c>
      <c r="AG127" s="1" t="str">
        <f t="shared" si="39"/>
        <v>EC</v>
      </c>
      <c r="AH127" s="92" t="str">
        <f t="shared" si="25"/>
        <v>"%USERPROFILE%\Documents\GitHub\eaglep3\Utilities\RefineRTDCRunTimes.py" --tripid 214-18 --locoid 4015 --swversion DE.1.0.7.0 --startMP 204:232982 --initTime 2016-10-18T18:31:24 --startdatetime 2016-10-18T18:41:18 --delay 1 --endMP 204:139 --enddatetime 2016-10-18T19:20:58 --enforcementcount 0 &gt;&gt;C:\Users\stu\Documents\GitHub\eaglep3-reporting\EC\2016-10-18-refined-times.txt</v>
      </c>
      <c r="AI127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{"issue":{"subject":"","project_id":79,"tracker_id":40,"status_id":1,"priority_id":2,"assigned_to_id":23,"start_date":"2016-10-18","description":"","custom_fields":[{"id":1,"name":"Subdivision","value":"EC"},{"id":4,"name":"Milepost","value":"0.0139"},{"id":17,"name":"Train ID","value":"214-18"},{"id":16,"name":"Locomotive ID","value":"4015"},{"id":130,"name":"Impact","value":""},{"id":150,"name":"Time of Event (Mountain Time)","value":"19:20:58"},{"id":151,"name":"Denver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587</v>
      </c>
      <c r="B128" s="7">
        <v>4042</v>
      </c>
      <c r="C128" s="22" t="s">
        <v>99</v>
      </c>
      <c r="D128" s="22" t="s">
        <v>243</v>
      </c>
      <c r="E128" s="13">
        <v>42661.747164351851</v>
      </c>
      <c r="F128" s="13">
        <v>42661.750555555554</v>
      </c>
      <c r="G128" s="7">
        <v>1</v>
      </c>
      <c r="H128" s="13" t="s">
        <v>674</v>
      </c>
      <c r="I128" s="13">
        <v>42661.775659722225</v>
      </c>
      <c r="J128" s="7">
        <v>0</v>
      </c>
      <c r="K128" s="112" t="str">
        <f t="shared" si="27"/>
        <v>4041/4042</v>
      </c>
      <c r="L128" s="22" t="str">
        <f>VLOOKUP(A128,'Trips&amp;Operators'!$C$1:$E$10000,3,FALSE)</f>
        <v>STORY</v>
      </c>
      <c r="M128" s="6">
        <f t="shared" si="28"/>
        <v>2.510416667064419E-2</v>
      </c>
      <c r="N128" s="7">
        <f t="shared" si="44"/>
        <v>36.150000005727634</v>
      </c>
      <c r="O128" s="7"/>
      <c r="P128" s="7"/>
      <c r="Q128" s="23"/>
      <c r="R128" s="23"/>
      <c r="S128" s="35">
        <f t="shared" si="43"/>
        <v>1</v>
      </c>
      <c r="T128" s="50" t="str">
        <f t="shared" si="29"/>
        <v>NorthBound</v>
      </c>
      <c r="U128" s="18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16:55:55-0600',mode:absolute,to:'2016-10-18 19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8" s="52" t="str">
        <f t="shared" si="31"/>
        <v>N</v>
      </c>
      <c r="X128" s="174">
        <f t="shared" si="42"/>
        <v>1</v>
      </c>
      <c r="Y128" s="67">
        <f t="shared" si="33"/>
        <v>4.5699999999999998E-2</v>
      </c>
      <c r="Z128" s="67">
        <f t="shared" si="34"/>
        <v>23.329799999999999</v>
      </c>
      <c r="AA128" s="67">
        <f t="shared" si="35"/>
        <v>23.284099999999999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6"/>
        <v>0215-18</v>
      </c>
      <c r="AE128" s="91" t="str">
        <f t="shared" si="37"/>
        <v>aws s3 cp s3://rtdc.mdm.uploadarchive.raw/RTDC4042/ "%USERPROFILE%\AppData\Local\Temp\OnboardLogs"\RTDC4042\2016-10-18 --exclude "*" --recursive --include "*20161018*" &amp; "%USERPROFILE%\Documents\GitHub\mrs-test-scripts\Headless Mode &amp; Sideloading\WalkAndUnGZ.bat" "%USERPROFILE%\AppData\Local\Temp\OnboardLogs"\RTDC4042\2016-10-18 &amp; 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</v>
      </c>
      <c r="AF128" s="88" t="str">
        <f t="shared" si="38"/>
        <v>"C:\Program Files (x86)\AstroGrep\AstroGrep.exe" /spath="%USERPROFILE%\AppData\Local\Temp\OnboardLogs" /stypes="app*4042*20161019*" /stext=" 00:.+((SYSTEM_STATE.+slice.+state.+changed )|(ment ac)|(system.+state.+changed )|(\[timeout)|(PRM\|1\|D)|(kpr)|(kdp)|(\|lc)|(penalty))" /e /r /s</v>
      </c>
      <c r="AG128" s="1" t="str">
        <f t="shared" si="39"/>
        <v>EC</v>
      </c>
      <c r="AH128" s="92" t="str">
        <f t="shared" si="25"/>
        <v>"%USERPROFILE%\Documents\GitHub\eaglep3\Utilities\RefineRTDCRunTimes.py" --tripid 215-18 --locoid 4042 --swversion DE.1.0.7.0 --startMP 204:457 --initTime 2016-10-18T17:55:55 --startdatetime 2016-10-18T18:00:48 --delay 1 --endMP 204:233298 --enddatetime 2016-10-18T18:36:57 --enforcementcount 0 &gt;&gt;C:\Users\stu\Documents\GitHub\eaglep3-reporting\EC\2016-10-18-refined-times.txt</v>
      </c>
      <c r="AI128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{"issue":{"subject":"","project_id":79,"tracker_id":40,"status_id":1,"priority_id":2,"assigned_to_id":23,"start_date":"2016-10-18","description":"","custom_fields":[{"id":1,"name":"Subdivision","value":"EC"},{"id":4,"name":"Milepost","value":"23.3298"},{"id":17,"name":"Train ID","value":"215-18"},{"id":16,"name":"Locomotive ID","value":"4042"},{"id":130,"name":"Impact","value":""},{"id":150,"name":"Time of Event (Mountain Time)","value":"18:36:57"},{"id":151,"name":"Denver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437</v>
      </c>
      <c r="B129" s="7">
        <v>4041</v>
      </c>
      <c r="C129" s="22" t="s">
        <v>99</v>
      </c>
      <c r="D129" s="22" t="s">
        <v>276</v>
      </c>
      <c r="E129" s="13">
        <v>42661.782395833332</v>
      </c>
      <c r="F129" s="13">
        <v>42661.7890625</v>
      </c>
      <c r="G129" s="7">
        <v>1</v>
      </c>
      <c r="H129" s="13" t="s">
        <v>320</v>
      </c>
      <c r="I129" s="13">
        <v>42661.815266203703</v>
      </c>
      <c r="J129" s="7">
        <v>0</v>
      </c>
      <c r="K129" s="112" t="str">
        <f t="shared" si="27"/>
        <v>4041/4042</v>
      </c>
      <c r="L129" s="22" t="str">
        <f>VLOOKUP(A129,'Trips&amp;Operators'!$C$1:$E$10000,3,FALSE)</f>
        <v>STORY</v>
      </c>
      <c r="M129" s="6">
        <f t="shared" si="28"/>
        <v>2.6203703702776693E-2</v>
      </c>
      <c r="N129" s="7">
        <f t="shared" si="44"/>
        <v>37.733333331998438</v>
      </c>
      <c r="O129" s="7"/>
      <c r="P129" s="7"/>
      <c r="Q129" s="23"/>
      <c r="R129" s="23"/>
      <c r="S129" s="35">
        <f t="shared" si="43"/>
        <v>1</v>
      </c>
      <c r="T129" s="50" t="str">
        <f t="shared" si="29"/>
        <v>Southbound</v>
      </c>
      <c r="U129" s="18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17:46:39-0600',mode:absolute,to:'2016-10-18 20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9" s="52" t="str">
        <f t="shared" si="31"/>
        <v>N</v>
      </c>
      <c r="X129" s="174">
        <f t="shared" si="42"/>
        <v>1</v>
      </c>
      <c r="Y129" s="67">
        <f t="shared" si="33"/>
        <v>23.297699999999999</v>
      </c>
      <c r="Z129" s="67">
        <f t="shared" si="34"/>
        <v>1.6500000000000001E-2</v>
      </c>
      <c r="AA129" s="67">
        <f t="shared" si="35"/>
        <v>23.281199999999998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6"/>
        <v>0216-18</v>
      </c>
      <c r="AE129" s="91" t="str">
        <f t="shared" si="37"/>
        <v>aws s3 cp s3://rtdc.mdm.uploadarchive.raw/RTDC4041/ "%USERPROFILE%\AppData\Local\Temp\OnboardLogs"\RTDC4041\2016-10-18 --exclude "*" --recursive --include "*20161018*" &amp; "%USERPROFILE%\Documents\GitHub\mrs-test-scripts\Headless Mode &amp; Sideloading\WalkAndUnGZ.bat" "%USERPROFILE%\AppData\Local\Temp\OnboardLogs"\RTDC4041\2016-10-18 &amp; aws s3 cp s3://rtdc.mdm.uploadarchive.raw/RTDC4041/ "%USERPROFILE%\AppData\Local\Temp\OnboardLogs"\RTDC4041\2016-10-19 --exclude "*" --recursive --include "*20161019*" &amp; "%USERPROFILE%\Documents\GitHub\mrs-test-scripts\Headless Mode &amp; Sideloading\WalkAndUnGZ.bat" "%USERPROFILE%\AppData\Local\Temp\OnboardLogs"\RTDC4041\2016-10-19</v>
      </c>
      <c r="AF129" s="88" t="str">
        <f t="shared" si="38"/>
        <v>"C:\Program Files (x86)\AstroGrep\AstroGrep.exe" /spath="%USERPROFILE%\AppData\Local\Temp\OnboardLogs" /stypes="app*4041*20161019*" /stext=" 01:.+((SYSTEM_STATE.+slice.+state.+changed )|(ment ac)|(system.+state.+changed )|(\[timeout)|(PRM\|1\|D)|(kpr)|(kdp)|(\|lc)|(penalty))" /e /r /s</v>
      </c>
      <c r="AG129" s="1" t="str">
        <f t="shared" si="39"/>
        <v>EC</v>
      </c>
      <c r="AH129" s="92" t="str">
        <f t="shared" si="25"/>
        <v>"%USERPROFILE%\Documents\GitHub\eaglep3\Utilities\RefineRTDCRunTimes.py" --tripid 216-18 --locoid 4041 --swversion DE.1.0.7.0 --startMP 204:232977 --initTime 2016-10-18T18:46:39 --startdatetime 2016-10-18T18:56:15 --delay 1 --endMP 204:165 --enddatetime 2016-10-18T19:33:59 --enforcementcount 0 &gt;&gt;C:\Users\stu\Documents\GitHub\eaglep3-reporting\EC\2016-10-18-refined-times.txt</v>
      </c>
      <c r="AI129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{"issue":{"subject":"","project_id":79,"tracker_id":40,"status_id":1,"priority_id":2,"assigned_to_id":23,"start_date":"2016-10-18","description":"","custom_fields":[{"id":1,"name":"Subdivision","value":"EC"},{"id":4,"name":"Milepost","value":"0.0165"},{"id":17,"name":"Train ID","value":"216-18"},{"id":16,"name":"Locomotive ID","value":"4041"},{"id":130,"name":"Impact","value":""},{"id":150,"name":"Time of Event (Mountain Time)","value":"19:33:59"},{"id":151,"name":"Denver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592</v>
      </c>
      <c r="B130" s="7">
        <v>4018</v>
      </c>
      <c r="C130" s="22" t="s">
        <v>99</v>
      </c>
      <c r="D130" s="22" t="s">
        <v>234</v>
      </c>
      <c r="E130" s="13">
        <v>42661.756342592591</v>
      </c>
      <c r="F130" s="13">
        <v>42661.760717592595</v>
      </c>
      <c r="G130" s="7">
        <v>3</v>
      </c>
      <c r="H130" s="13" t="s">
        <v>372</v>
      </c>
      <c r="I130" s="13">
        <v>42661.78634259259</v>
      </c>
      <c r="J130" s="7">
        <v>0</v>
      </c>
      <c r="K130" s="112" t="str">
        <f t="shared" si="27"/>
        <v>4017/4018</v>
      </c>
      <c r="L130" s="22" t="str">
        <f>VLOOKUP(A130,'Trips&amp;Operators'!$C$1:$E$10000,3,FALSE)</f>
        <v>YANAI</v>
      </c>
      <c r="M130" s="6">
        <f t="shared" si="28"/>
        <v>2.5624999994761311E-2</v>
      </c>
      <c r="N130" s="7">
        <f t="shared" si="44"/>
        <v>36.899999992456287</v>
      </c>
      <c r="O130" s="7"/>
      <c r="P130" s="7"/>
      <c r="Q130" s="23"/>
      <c r="R130" s="23"/>
      <c r="S130" s="35">
        <f t="shared" si="43"/>
        <v>1</v>
      </c>
      <c r="T130" s="50" t="str">
        <f t="shared" si="29"/>
        <v>NorthBound</v>
      </c>
      <c r="U130" s="18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17:09:08-0600',mode:absolute,to:'2016-10-18 19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0" s="52" t="str">
        <f t="shared" si="31"/>
        <v>N</v>
      </c>
      <c r="X130" s="174">
        <f t="shared" si="42"/>
        <v>1</v>
      </c>
      <c r="Y130" s="67">
        <f t="shared" si="33"/>
        <v>4.53E-2</v>
      </c>
      <c r="Z130" s="67">
        <f t="shared" si="34"/>
        <v>23.3307</v>
      </c>
      <c r="AA130" s="67">
        <f t="shared" si="35"/>
        <v>23.285399999999999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6"/>
        <v>0217-18</v>
      </c>
      <c r="AE130" s="91" t="str">
        <f t="shared" si="37"/>
        <v>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 &amp; aws s3 cp s3://rtdc.mdm.uploadarchive.raw/RTDC4018/ "%USERPROFILE%\AppData\Local\Temp\OnboardLogs"\RTDC4018\2016-10-19 --exclude "*" --recursive --include "*20161019*" &amp; "%USERPROFILE%\Documents\GitHub\mrs-test-scripts\Headless Mode &amp; Sideloading\WalkAndUnGZ.bat" "%USERPROFILE%\AppData\Local\Temp\OnboardLogs"\RTDC4018\2016-10-19</v>
      </c>
      <c r="AF130" s="88" t="str">
        <f t="shared" si="38"/>
        <v>"C:\Program Files (x86)\AstroGrep\AstroGrep.exe" /spath="%USERPROFILE%\AppData\Local\Temp\OnboardLogs" /stypes="app*4018*20161019*" /stext=" 00:.+((SYSTEM_STATE.+slice.+state.+changed )|(ment ac)|(system.+state.+changed )|(\[timeout)|(PRM\|1\|D)|(kpr)|(kdp)|(\|lc)|(penalty))" /e /r /s</v>
      </c>
      <c r="AG130" s="1" t="str">
        <f t="shared" si="39"/>
        <v>EC</v>
      </c>
      <c r="AH130" s="92" t="str">
        <f t="shared" si="25"/>
        <v>"%USERPROFILE%\Documents\GitHub\eaglep3\Utilities\RefineRTDCRunTimes.py" --tripid 217-18 --locoid 4018 --swversion DE.1.0.7.0 --startMP 204:453 --initTime 2016-10-18T18:09:08 --startdatetime 2016-10-18T18:15:26 --delay 3 --endMP 204:233307 --enddatetime 2016-10-18T18:52:20 --enforcementcount 0 &gt;&gt;C:\Users\stu\Documents\GitHub\eaglep3-reporting\EC\2016-10-18-refined-times.txt</v>
      </c>
      <c r="AI130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{"issue":{"subject":"","project_id":79,"tracker_id":40,"status_id":1,"priority_id":2,"assigned_to_id":23,"start_date":"2016-10-18","description":"","custom_fields":[{"id":1,"name":"Subdivision","value":"EC"},{"id":4,"name":"Milepost","value":"23.3307"},{"id":17,"name":"Train ID","value":"217-18"},{"id":16,"name":"Locomotive ID","value":"4018"},{"id":130,"name":"Impact","value":""},{"id":150,"name":"Time of Event (Mountain Time)","value":"18:52:20"},{"id":151,"name":"Denver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600</v>
      </c>
      <c r="B131" s="7">
        <v>4017</v>
      </c>
      <c r="C131" s="22" t="s">
        <v>99</v>
      </c>
      <c r="D131" s="22" t="s">
        <v>276</v>
      </c>
      <c r="E131" s="13">
        <v>42661.795567129629</v>
      </c>
      <c r="F131" s="13">
        <v>42661.799687500003</v>
      </c>
      <c r="G131" s="7">
        <v>2</v>
      </c>
      <c r="H131" s="13" t="s">
        <v>177</v>
      </c>
      <c r="I131" s="13">
        <v>42661.826273148145</v>
      </c>
      <c r="J131" s="7">
        <v>0</v>
      </c>
      <c r="K131" s="112" t="str">
        <f t="shared" si="27"/>
        <v>4017/4018</v>
      </c>
      <c r="L131" s="22" t="str">
        <f>VLOOKUP(A131,'Trips&amp;Operators'!$C$1:$E$10000,3,FALSE)</f>
        <v>YANAI</v>
      </c>
      <c r="M131" s="6">
        <f t="shared" si="28"/>
        <v>2.6585648141917773E-2</v>
      </c>
      <c r="N131" s="7">
        <f t="shared" si="44"/>
        <v>38.283333324361593</v>
      </c>
      <c r="O131" s="7"/>
      <c r="P131" s="7"/>
      <c r="Q131" s="23"/>
      <c r="R131" s="23"/>
      <c r="S131" s="35">
        <f t="shared" si="43"/>
        <v>1</v>
      </c>
      <c r="T131" s="50" t="str">
        <f t="shared" si="29"/>
        <v>Southbound</v>
      </c>
      <c r="U131" s="18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18:05:37-0600',mode:absolute,to:'2016-10-18 20:49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1" s="52" t="str">
        <f t="shared" si="31"/>
        <v>N</v>
      </c>
      <c r="X131" s="174">
        <f t="shared" si="42"/>
        <v>1</v>
      </c>
      <c r="Y131" s="67">
        <f t="shared" si="33"/>
        <v>23.297699999999999</v>
      </c>
      <c r="Z131" s="67">
        <f t="shared" si="34"/>
        <v>1.52E-2</v>
      </c>
      <c r="AA131" s="67">
        <f t="shared" si="35"/>
        <v>23.282499999999999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6"/>
        <v>0218-18</v>
      </c>
      <c r="AE131" s="91" t="str">
        <f t="shared" si="37"/>
        <v>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 &amp; aws s3 cp s3://rtdc.mdm.uploadarchive.raw/RTDC4017/ "%USERPROFILE%\AppData\Local\Temp\OnboardLogs"\RTDC4017\2016-10-19 --exclude "*" --recursive --include "*20161019*" &amp; "%USERPROFILE%\Documents\GitHub\mrs-test-scripts\Headless Mode &amp; Sideloading\WalkAndUnGZ.bat" "%USERPROFILE%\AppData\Local\Temp\OnboardLogs"\RTDC4017\2016-10-19</v>
      </c>
      <c r="AF131" s="88" t="str">
        <f t="shared" si="38"/>
        <v>"C:\Program Files (x86)\AstroGrep\AstroGrep.exe" /spath="%USERPROFILE%\AppData\Local\Temp\OnboardLogs" /stypes="app*4017*20161019*" /stext=" 01:.+((SYSTEM_STATE.+slice.+state.+changed )|(ment ac)|(system.+state.+changed )|(\[timeout)|(PRM\|1\|D)|(kpr)|(kdp)|(\|lc)|(penalty))" /e /r /s</v>
      </c>
      <c r="AG131" s="1" t="str">
        <f t="shared" si="39"/>
        <v>EC</v>
      </c>
      <c r="AH131" s="92" t="str">
        <f t="shared" si="25"/>
        <v>"%USERPROFILE%\Documents\GitHub\eaglep3\Utilities\RefineRTDCRunTimes.py" --tripid 218-18 --locoid 4017 --swversion DE.1.0.7.0 --startMP 204:232977 --initTime 2016-10-18T19:05:37 --startdatetime 2016-10-18T19:11:33 --delay 2 --endMP 204:152 --enddatetime 2016-10-18T19:49:50 --enforcementcount 0 &gt;&gt;C:\Users\stu\Documents\GitHub\eaglep3-reporting\EC\2016-10-18-refined-times.txt</v>
      </c>
      <c r="AI131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{"issue":{"subject":"","project_id":79,"tracker_id":40,"status_id":1,"priority_id":2,"assigned_to_id":23,"start_date":"2016-10-18","description":"","custom_fields":[{"id":1,"name":"Subdivision","value":"EC"},{"id":4,"name":"Milepost","value":"0.0152"},{"id":17,"name":"Train ID","value":"218-18"},{"id":16,"name":"Locomotive ID","value":"4017"},{"id":130,"name":"Impact","value":""},{"id":150,"name":"Time of Event (Mountain Time)","value":"19:49:50"},{"id":151,"name":"Denver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593</v>
      </c>
      <c r="B132" s="7">
        <v>4029</v>
      </c>
      <c r="C132" s="22" t="s">
        <v>99</v>
      </c>
      <c r="D132" s="22" t="s">
        <v>382</v>
      </c>
      <c r="E132" s="13">
        <v>42661.768854166665</v>
      </c>
      <c r="F132" s="13">
        <v>42661.771168981482</v>
      </c>
      <c r="G132" s="7">
        <v>1</v>
      </c>
      <c r="H132" s="13" t="s">
        <v>255</v>
      </c>
      <c r="I132" s="13">
        <v>42661.796736111108</v>
      </c>
      <c r="J132" s="7">
        <v>0</v>
      </c>
      <c r="K132" s="112" t="str">
        <f t="shared" si="27"/>
        <v>4029/4030</v>
      </c>
      <c r="L132" s="22" t="str">
        <f>VLOOKUP(A132,'Trips&amp;Operators'!$C$1:$E$10000,3,FALSE)</f>
        <v>CHANDLER</v>
      </c>
      <c r="M132" s="6">
        <f t="shared" si="28"/>
        <v>2.5567129625414964E-2</v>
      </c>
      <c r="N132" s="7">
        <f t="shared" si="44"/>
        <v>36.816666660597548</v>
      </c>
      <c r="O132" s="7"/>
      <c r="P132" s="7"/>
      <c r="Q132" s="23"/>
      <c r="R132" s="23"/>
      <c r="S132" s="35">
        <f t="shared" si="43"/>
        <v>1</v>
      </c>
      <c r="T132" s="50" t="str">
        <f t="shared" si="29"/>
        <v>NorthBound</v>
      </c>
      <c r="U132" s="18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17:27:09-0600',mode:absolute,to:'2016-10-18 20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2" s="52" t="str">
        <f t="shared" si="31"/>
        <v>N</v>
      </c>
      <c r="X132" s="174">
        <f t="shared" si="42"/>
        <v>1</v>
      </c>
      <c r="Y132" s="67">
        <f t="shared" si="33"/>
        <v>4.3700000000000003E-2</v>
      </c>
      <c r="Z132" s="67">
        <f t="shared" si="34"/>
        <v>23.3291</v>
      </c>
      <c r="AA132" s="67">
        <f t="shared" si="35"/>
        <v>23.285399999999999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6"/>
        <v>0219-18</v>
      </c>
      <c r="AE132" s="91" t="str">
        <f t="shared" si="37"/>
        <v>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 &amp; 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</v>
      </c>
      <c r="AF132" s="88" t="str">
        <f t="shared" si="38"/>
        <v>"C:\Program Files (x86)\AstroGrep\AstroGrep.exe" /spath="%USERPROFILE%\AppData\Local\Temp\OnboardLogs" /stypes="app*4029*20161019*" /stext=" 01:.+((SYSTEM_STATE.+slice.+state.+changed )|(ment ac)|(system.+state.+changed )|(\[timeout)|(PRM\|1\|D)|(kpr)|(kdp)|(\|lc)|(penalty))" /e /r /s</v>
      </c>
      <c r="AG132" s="1" t="str">
        <f t="shared" si="39"/>
        <v>EC</v>
      </c>
      <c r="AH132" s="92" t="str">
        <f t="shared" si="25"/>
        <v>"%USERPROFILE%\Documents\GitHub\eaglep3\Utilities\RefineRTDCRunTimes.py" --tripid 219-18 --locoid 4029 --swversion DE.1.0.7.0 --startMP 204:437 --initTime 2016-10-18T18:27:09 --startdatetime 2016-10-18T18:30:29 --delay 1 --endMP 204:233291 --enddatetime 2016-10-18T19:07:18 --enforcementcount 0 &gt;&gt;C:\Users\stu\Documents\GitHub\eaglep3-reporting\EC\2016-10-18-refined-times.txt</v>
      </c>
      <c r="AI132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{"issue":{"subject":"","project_id":79,"tracker_id":40,"status_id":1,"priority_id":2,"assigned_to_id":23,"start_date":"2016-10-18","description":"","custom_fields":[{"id":1,"name":"Subdivision","value":"EC"},{"id":4,"name":"Milepost","value":"23.3291"},{"id":17,"name":"Train ID","value":"219-18"},{"id":16,"name":"Locomotive ID","value":"4029"},{"id":130,"name":"Impact","value":""},{"id":150,"name":"Time of Event (Mountain Time)","value":"19:07:18"},{"id":151,"name":"Denver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603</v>
      </c>
      <c r="B133" s="7">
        <v>4030</v>
      </c>
      <c r="C133" s="22" t="s">
        <v>99</v>
      </c>
      <c r="D133" s="22" t="s">
        <v>224</v>
      </c>
      <c r="E133" s="13">
        <v>42661.809016203704</v>
      </c>
      <c r="F133" s="13">
        <v>42661.810231481482</v>
      </c>
      <c r="G133" s="7">
        <v>1</v>
      </c>
      <c r="H133" s="13" t="s">
        <v>232</v>
      </c>
      <c r="I133" s="13">
        <v>42661.837187500001</v>
      </c>
      <c r="J133" s="7">
        <v>0</v>
      </c>
      <c r="K133" s="112" t="str">
        <f t="shared" si="27"/>
        <v>4029/4030</v>
      </c>
      <c r="L133" s="22" t="str">
        <f>VLOOKUP(A133,'Trips&amp;Operators'!$C$1:$E$10000,3,FALSE)</f>
        <v>CHANDLER</v>
      </c>
      <c r="M133" s="6">
        <f t="shared" si="28"/>
        <v>2.6956018518831115E-2</v>
      </c>
      <c r="N133" s="7">
        <f t="shared" si="44"/>
        <v>38.816666667116806</v>
      </c>
      <c r="O133" s="7"/>
      <c r="P133" s="7"/>
      <c r="Q133" s="23"/>
      <c r="R133" s="23"/>
      <c r="S133" s="35">
        <f t="shared" si="43"/>
        <v>1</v>
      </c>
      <c r="T133" s="50" t="str">
        <f t="shared" si="29"/>
        <v>Southbound</v>
      </c>
      <c r="U133" s="18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18:24:59-0600',mode:absolute,to:'2016-10-18 21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3" s="52" t="str">
        <f t="shared" si="31"/>
        <v>N</v>
      </c>
      <c r="X133" s="174">
        <f t="shared" si="42"/>
        <v>1</v>
      </c>
      <c r="Y133" s="67">
        <f t="shared" si="33"/>
        <v>23.298500000000001</v>
      </c>
      <c r="Z133" s="67">
        <f t="shared" si="34"/>
        <v>1.4999999999999999E-2</v>
      </c>
      <c r="AA133" s="67">
        <f t="shared" si="35"/>
        <v>23.2835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6"/>
        <v>0220-18</v>
      </c>
      <c r="AE133" s="91" t="str">
        <f t="shared" si="37"/>
        <v>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 &amp; aws s3 cp s3://rtdc.mdm.uploadarchive.raw/RTDC4030/ "%USERPROFILE%\AppData\Local\Temp\OnboardLogs"\RTDC4030\2016-10-19 --exclude "*" --recursive --include "*20161019*" &amp; "%USERPROFILE%\Documents\GitHub\mrs-test-scripts\Headless Mode &amp; Sideloading\WalkAndUnGZ.bat" "%USERPROFILE%\AppData\Local\Temp\OnboardLogs"\RTDC4030\2016-10-19</v>
      </c>
      <c r="AF133" s="88" t="str">
        <f t="shared" si="38"/>
        <v>"C:\Program Files (x86)\AstroGrep\AstroGrep.exe" /spath="%USERPROFILE%\AppData\Local\Temp\OnboardLogs" /stypes="app*4030*20161019*" /stext=" 02:.+((SYSTEM_STATE.+slice.+state.+changed )|(ment ac)|(system.+state.+changed )|(\[timeout)|(PRM\|1\|D)|(kpr)|(kdp)|(\|lc)|(penalty))" /e /r /s</v>
      </c>
      <c r="AG133" s="1" t="str">
        <f t="shared" si="39"/>
        <v>EC</v>
      </c>
      <c r="AH133" s="92" t="str">
        <f t="shared" si="25"/>
        <v>"%USERPROFILE%\Documents\GitHub\eaglep3\Utilities\RefineRTDCRunTimes.py" --tripid 220-18 --locoid 4030 --swversion DE.1.0.7.0 --startMP 204:232985 --initTime 2016-10-18T19:24:59 --startdatetime 2016-10-18T19:26:44 --delay 1 --endMP 204:150 --enddatetime 2016-10-18T20:05:33 --enforcementcount 0 &gt;&gt;C:\Users\stu\Documents\GitHub\eaglep3-reporting\EC\2016-10-18-refined-times.txt</v>
      </c>
      <c r="AI133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{"issue":{"subject":"","project_id":79,"tracker_id":40,"status_id":1,"priority_id":2,"assigned_to_id":23,"start_date":"2016-10-18","description":"","custom_fields":[{"id":1,"name":"Subdivision","value":"EC"},{"id":4,"name":"Milepost","value":"0.015"},{"id":17,"name":"Train ID","value":"220-18"},{"id":16,"name":"Locomotive ID","value":"4030"},{"id":130,"name":"Impact","value":""},{"id":150,"name":"Time of Event (Mountain Time)","value":"20:05:33"},{"id":151,"name":"Denver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598</v>
      </c>
      <c r="B134" s="7">
        <v>4044</v>
      </c>
      <c r="C134" s="22" t="s">
        <v>99</v>
      </c>
      <c r="D134" s="22" t="s">
        <v>234</v>
      </c>
      <c r="E134" s="13">
        <v>42661.788611111115</v>
      </c>
      <c r="F134" s="13">
        <v>42661.79184027778</v>
      </c>
      <c r="G134" s="7">
        <v>1</v>
      </c>
      <c r="H134" s="13" t="s">
        <v>683</v>
      </c>
      <c r="I134" s="13">
        <v>42661.817071759258</v>
      </c>
      <c r="J134" s="7">
        <v>0</v>
      </c>
      <c r="K134" s="112" t="str">
        <f t="shared" si="27"/>
        <v>4043/4044</v>
      </c>
      <c r="L134" s="22" t="str">
        <f>VLOOKUP(A134,'Trips&amp;Operators'!$C$1:$E$10000,3,FALSE)</f>
        <v>LEVERE</v>
      </c>
      <c r="M134" s="6">
        <f t="shared" si="28"/>
        <v>2.5231481478840578E-2</v>
      </c>
      <c r="N134" s="7">
        <f t="shared" si="44"/>
        <v>36.333333329530433</v>
      </c>
      <c r="O134" s="7"/>
      <c r="P134" s="7"/>
      <c r="Q134" s="23"/>
      <c r="R134" s="23"/>
      <c r="S134" s="35">
        <f t="shared" si="43"/>
        <v>1</v>
      </c>
      <c r="T134" s="50" t="str">
        <f t="shared" si="29"/>
        <v>NorthBound</v>
      </c>
      <c r="U134" s="18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17:55:36-0600',mode:absolute,to:'2016-10-18 20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4" s="52" t="str">
        <f t="shared" si="31"/>
        <v>N</v>
      </c>
      <c r="X134" s="174">
        <f t="shared" si="42"/>
        <v>1</v>
      </c>
      <c r="Y134" s="67">
        <f t="shared" si="33"/>
        <v>4.53E-2</v>
      </c>
      <c r="Z134" s="67">
        <f t="shared" si="34"/>
        <v>23.334</v>
      </c>
      <c r="AA134" s="67">
        <f t="shared" si="35"/>
        <v>23.288699999999999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6"/>
        <v>0221-18</v>
      </c>
      <c r="AE134" s="91" t="str">
        <f t="shared" si="37"/>
        <v>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 &amp; aws s3 cp s3://rtdc.mdm.uploadarchive.raw/RTDC4044/ "%USERPROFILE%\AppData\Local\Temp\OnboardLogs"\RTDC4044\2016-10-19 --exclude "*" --recursive --include "*20161019*" &amp; "%USERPROFILE%\Documents\GitHub\mrs-test-scripts\Headless Mode &amp; Sideloading\WalkAndUnGZ.bat" "%USERPROFILE%\AppData\Local\Temp\OnboardLogs"\RTDC4044\2016-10-19</v>
      </c>
      <c r="AF134" s="88" t="str">
        <f t="shared" si="38"/>
        <v>"C:\Program Files (x86)\AstroGrep\AstroGrep.exe" /spath="%USERPROFILE%\AppData\Local\Temp\OnboardLogs" /stypes="app*4044*20161019*" /stext=" 01:.+((SYSTEM_STATE.+slice.+state.+changed )|(ment ac)|(system.+state.+changed )|(\[timeout)|(PRM\|1\|D)|(kpr)|(kdp)|(\|lc)|(penalty))" /e /r /s</v>
      </c>
      <c r="AG134" s="1" t="str">
        <f t="shared" si="39"/>
        <v>EC</v>
      </c>
      <c r="AH134" s="92" t="str">
        <f t="shared" si="25"/>
        <v>"%USERPROFILE%\Documents\GitHub\eaglep3\Utilities\RefineRTDCRunTimes.py" --tripid 221-18 --locoid 4044 --swversion DE.1.0.7.0 --startMP 204:453 --initTime 2016-10-18T18:55:36 --startdatetime 2016-10-18T19:00:15 --delay 1 --endMP 204:233340 --enddatetime 2016-10-18T19:36:35 --enforcementcount 0 &gt;&gt;C:\Users\stu\Documents\GitHub\eaglep3-reporting\EC\2016-10-18-refined-times.txt</v>
      </c>
      <c r="AI134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{"issue":{"subject":"","project_id":79,"tracker_id":40,"status_id":1,"priority_id":2,"assigned_to_id":23,"start_date":"2016-10-18","description":"","custom_fields":[{"id":1,"name":"Subdivision","value":"EC"},{"id":4,"name":"Milepost","value":"23.334"},{"id":17,"name":"Train ID","value":"221-18"},{"id":16,"name":"Locomotive ID","value":"4044"},{"id":130,"name":"Impact","value":""},{"id":150,"name":"Time of Event (Mountain Time)","value":"19:36:35"},{"id":151,"name":"Denver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607</v>
      </c>
      <c r="B135" s="7">
        <v>4043</v>
      </c>
      <c r="C135" s="22" t="s">
        <v>99</v>
      </c>
      <c r="D135" s="22" t="s">
        <v>251</v>
      </c>
      <c r="E135" s="13">
        <v>42661.824386574073</v>
      </c>
      <c r="F135" s="13">
        <v>42661.830763888887</v>
      </c>
      <c r="G135" s="7">
        <v>0</v>
      </c>
      <c r="H135" s="13" t="s">
        <v>229</v>
      </c>
      <c r="I135" s="13">
        <v>42661.857951388891</v>
      </c>
      <c r="J135" s="7">
        <v>0</v>
      </c>
      <c r="K135" s="112" t="str">
        <f t="shared" si="27"/>
        <v>4043/4044</v>
      </c>
      <c r="L135" s="22" t="str">
        <f>VLOOKUP(A135,'Trips&amp;Operators'!$C$1:$E$10000,3,FALSE)</f>
        <v>LEVERE</v>
      </c>
      <c r="M135" s="6">
        <f t="shared" si="28"/>
        <v>2.718750000349246E-2</v>
      </c>
      <c r="N135" s="7">
        <f t="shared" si="44"/>
        <v>39.150000005029142</v>
      </c>
      <c r="O135" s="7"/>
      <c r="P135" s="7"/>
      <c r="Q135" s="23"/>
      <c r="R135" s="23"/>
      <c r="S135" s="35">
        <f t="shared" si="43"/>
        <v>1</v>
      </c>
      <c r="T135" s="50" t="str">
        <f t="shared" si="29"/>
        <v>Southbound</v>
      </c>
      <c r="U135" s="18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18:47:07-0600',mode:absolute,to:'2016-10-18 21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5" s="52" t="str">
        <f t="shared" si="31"/>
        <v>N</v>
      </c>
      <c r="X135" s="174">
        <f t="shared" si="42"/>
        <v>1</v>
      </c>
      <c r="Y135" s="67">
        <f t="shared" si="33"/>
        <v>23.297899999999998</v>
      </c>
      <c r="Z135" s="67">
        <f t="shared" si="34"/>
        <v>1.49E-2</v>
      </c>
      <c r="AA135" s="67">
        <f t="shared" si="35"/>
        <v>23.282999999999998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6"/>
        <v>0222-18</v>
      </c>
      <c r="AE135" s="91" t="str">
        <f t="shared" si="37"/>
        <v>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 &amp; aws s3 cp s3://rtdc.mdm.uploadarchive.raw/RTDC4043/ "%USERPROFILE%\AppData\Local\Temp\OnboardLogs"\RTDC4043\2016-10-19 --exclude "*" --recursive --include "*20161019*" &amp; "%USERPROFILE%\Documents\GitHub\mrs-test-scripts\Headless Mode &amp; Sideloading\WalkAndUnGZ.bat" "%USERPROFILE%\AppData\Local\Temp\OnboardLogs"\RTDC4043\2016-10-19</v>
      </c>
      <c r="AF135" s="88" t="str">
        <f t="shared" si="38"/>
        <v>"C:\Program Files (x86)\AstroGrep\AstroGrep.exe" /spath="%USERPROFILE%\AppData\Local\Temp\OnboardLogs" /stypes="app*4043*20161019*" /stext=" 02:.+((SYSTEM_STATE.+slice.+state.+changed )|(ment ac)|(system.+state.+changed )|(\[timeout)|(PRM\|1\|D)|(kpr)|(kdp)|(\|lc)|(penalty))" /e /r /s</v>
      </c>
      <c r="AG135" s="1" t="str">
        <f t="shared" si="39"/>
        <v>EC</v>
      </c>
      <c r="AH135" s="92" t="str">
        <f t="shared" si="25"/>
        <v>"%USERPROFILE%\Documents\GitHub\eaglep3\Utilities\RefineRTDCRunTimes.py" --tripid 222-18 --locoid 4043 --swversion DE.1.0.7.0 --startMP 204:232979 --initTime 2016-10-18T19:47:07 --startdatetime 2016-10-18T19:56:18 --delay 0 --endMP 204:149 --enddatetime 2016-10-18T20:35:27 --enforcementcount 0 &gt;&gt;C:\Users\stu\Documents\GitHub\eaglep3-reporting\EC\2016-10-18-refined-times.txt</v>
      </c>
      <c r="AI135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{"issue":{"subject":"","project_id":79,"tracker_id":40,"status_id":1,"priority_id":2,"assigned_to_id":23,"start_date":"2016-10-18","description":"","custom_fields":[{"id":1,"name":"Subdivision","value":"EC"},{"id":4,"name":"Milepost","value":"0.0149"},{"id":17,"name":"Train ID","value":"222-18"},{"id":16,"name":"Locomotive ID","value":"4043"},{"id":130,"name":"Impact","value":""},{"id":150,"name":"Time of Event (Mountain Time)","value":"20:35:27"},{"id":151,"name":"Denver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604</v>
      </c>
      <c r="B136" s="7">
        <v>4016</v>
      </c>
      <c r="C136" s="22" t="s">
        <v>99</v>
      </c>
      <c r="D136" s="22" t="s">
        <v>233</v>
      </c>
      <c r="E136" s="13">
        <v>42661.808530092596</v>
      </c>
      <c r="F136" s="13">
        <v>42661.812696759262</v>
      </c>
      <c r="G136" s="7">
        <v>2</v>
      </c>
      <c r="H136" s="13" t="s">
        <v>235</v>
      </c>
      <c r="I136" s="13">
        <v>42661.83797453704</v>
      </c>
      <c r="J136" s="7">
        <v>0</v>
      </c>
      <c r="K136" s="112" t="str">
        <f t="shared" si="27"/>
        <v>4015/4016</v>
      </c>
      <c r="L136" s="22" t="str">
        <f>VLOOKUP(A136,'Trips&amp;Operators'!$C$1:$E$10000,3,FALSE)</f>
        <v>BERLING</v>
      </c>
      <c r="M136" s="6">
        <f t="shared" si="28"/>
        <v>2.527777777868323E-2</v>
      </c>
      <c r="N136" s="7">
        <f t="shared" si="44"/>
        <v>36.400000001303852</v>
      </c>
      <c r="O136" s="7"/>
      <c r="P136" s="7"/>
      <c r="Q136" s="23"/>
      <c r="R136" s="23"/>
      <c r="S136" s="35">
        <f t="shared" si="43"/>
        <v>1</v>
      </c>
      <c r="T136" s="50" t="str">
        <f t="shared" si="29"/>
        <v>NorthBound</v>
      </c>
      <c r="U136" s="18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18:24:17-0600',mode:absolute,to:'2016-10-18 21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6" s="52" t="str">
        <f t="shared" si="31"/>
        <v>N</v>
      </c>
      <c r="X136" s="174">
        <f t="shared" si="42"/>
        <v>1</v>
      </c>
      <c r="Y136" s="67">
        <f t="shared" si="33"/>
        <v>4.4699999999999997E-2</v>
      </c>
      <c r="Z136" s="67">
        <f t="shared" si="34"/>
        <v>23.33</v>
      </c>
      <c r="AA136" s="67">
        <f t="shared" si="35"/>
        <v>23.285299999999999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6"/>
        <v>0223-18</v>
      </c>
      <c r="AE136" s="91" t="str">
        <f t="shared" si="37"/>
        <v>aws s3 cp s3://rtdc.mdm.uploadarchive.raw/RTDC4016/ "%USERPROFILE%\AppData\Local\Temp\OnboardLogs"\RTDC4016\2016-10-18 --exclude "*" --recursive --include "*20161018*" &amp; "%USERPROFILE%\Documents\GitHub\mrs-test-scripts\Headless Mode &amp; Sideloading\WalkAndUnGZ.bat" "%USERPROFILE%\AppData\Local\Temp\OnboardLogs"\RTDC4016\2016-10-18 &amp; aws s3 cp s3://rtdc.mdm.uploadarchive.raw/RTDC4016/ "%USERPROFILE%\AppData\Local\Temp\OnboardLogs"\RTDC4016\2016-10-19 --exclude "*" --recursive --include "*20161019*" &amp; "%USERPROFILE%\Documents\GitHub\mrs-test-scripts\Headless Mode &amp; Sideloading\WalkAndUnGZ.bat" "%USERPROFILE%\AppData\Local\Temp\OnboardLogs"\RTDC4016\2016-10-19</v>
      </c>
      <c r="AF136" s="88" t="str">
        <f t="shared" si="38"/>
        <v>"C:\Program Files (x86)\AstroGrep\AstroGrep.exe" /spath="%USERPROFILE%\AppData\Local\Temp\OnboardLogs" /stypes="app*4016*20161019*" /stext=" 02:.+((SYSTEM_STATE.+slice.+state.+changed )|(ment ac)|(system.+state.+changed )|(\[timeout)|(PRM\|1\|D)|(kpr)|(kdp)|(\|lc)|(penalty))" /e /r /s</v>
      </c>
      <c r="AG136" s="1" t="str">
        <f t="shared" si="39"/>
        <v>EC</v>
      </c>
      <c r="AH136" s="92" t="str">
        <f t="shared" si="25"/>
        <v>"%USERPROFILE%\Documents\GitHub\eaglep3\Utilities\RefineRTDCRunTimes.py" --tripid 223-18 --locoid 4016 --swversion DE.1.0.7.0 --startMP 204:447 --initTime 2016-10-18T19:24:17 --startdatetime 2016-10-18T19:30:17 --delay 2 --endMP 204:233300 --enddatetime 2016-10-18T20:06:41 --enforcementcount 0 &gt;&gt;C:\Users\stu\Documents\GitHub\eaglep3-reporting\EC\2016-10-18-refined-times.txt</v>
      </c>
      <c r="AI136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{"issue":{"subject":"","project_id":79,"tracker_id":40,"status_id":1,"priority_id":2,"assigned_to_id":23,"start_date":"2016-10-18","description":"","custom_fields":[{"id":1,"name":"Subdivision","value":"EC"},{"id":4,"name":"Milepost","value":"23.33"},{"id":17,"name":"Train ID","value":"223-18"},{"id":16,"name":"Locomotive ID","value":"4016"},{"id":130,"name":"Impact","value":""},{"id":150,"name":"Time of Event (Mountain Time)","value":"20:06:41"},{"id":151,"name":"Denver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x14ac:dyDescent="0.25">
      <c r="A137" s="37" t="s">
        <v>609</v>
      </c>
      <c r="B137" s="7">
        <v>4015</v>
      </c>
      <c r="C137" s="22" t="s">
        <v>99</v>
      </c>
      <c r="D137" s="22" t="s">
        <v>277</v>
      </c>
      <c r="E137" s="13">
        <v>42661.848055555558</v>
      </c>
      <c r="F137" s="13">
        <v>42661.8515625</v>
      </c>
      <c r="G137" s="7">
        <v>1</v>
      </c>
      <c r="H137" s="13" t="s">
        <v>684</v>
      </c>
      <c r="I137" s="13">
        <v>42661.879074074073</v>
      </c>
      <c r="J137" s="7">
        <v>0</v>
      </c>
      <c r="K137" s="112" t="str">
        <f t="shared" si="27"/>
        <v>4015/4016</v>
      </c>
      <c r="L137" s="22" t="str">
        <f>VLOOKUP(A137,'Trips&amp;Operators'!$C$1:$E$10000,3,FALSE)</f>
        <v>BERLING</v>
      </c>
      <c r="M137" s="6">
        <f t="shared" si="28"/>
        <v>2.7511574073287193E-2</v>
      </c>
      <c r="N137" s="7">
        <f t="shared" si="44"/>
        <v>39.616666665533558</v>
      </c>
      <c r="O137" s="7"/>
      <c r="P137" s="7"/>
      <c r="Q137" s="23"/>
      <c r="R137" s="23"/>
      <c r="S137" s="35">
        <f t="shared" si="43"/>
        <v>1</v>
      </c>
      <c r="T137" s="50" t="str">
        <f t="shared" si="29"/>
        <v>Southbound</v>
      </c>
      <c r="U137" s="18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19:21:12-0600',mode:absolute,to:'2016-10-18 22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7" s="52" t="str">
        <f t="shared" si="31"/>
        <v>N</v>
      </c>
      <c r="X137" s="174">
        <f t="shared" si="42"/>
        <v>1</v>
      </c>
      <c r="Y137" s="67">
        <f t="shared" si="33"/>
        <v>23.299800000000001</v>
      </c>
      <c r="Z137" s="67">
        <f t="shared" si="34"/>
        <v>1.2500000000000001E-2</v>
      </c>
      <c r="AA137" s="67">
        <f t="shared" si="35"/>
        <v>23.287300000000002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6"/>
        <v>0224-18</v>
      </c>
      <c r="AE137" s="91" t="str">
        <f t="shared" si="37"/>
        <v>aws s3 cp s3://rtdc.mdm.uploadarchive.raw/RTDC4015/ "%USERPROFILE%\AppData\Local\Temp\OnboardLogs"\RTDC4015\2016-10-18 --exclude "*" --recursive --include "*20161018*" &amp; "%USERPROFILE%\Documents\GitHub\mrs-test-scripts\Headless Mode &amp; Sideloading\WalkAndUnGZ.bat" "%USERPROFILE%\AppData\Local\Temp\OnboardLogs"\RTDC4015\2016-10-18 &amp; aws s3 cp s3://rtdc.mdm.uploadarchive.raw/RTDC4015/ "%USERPROFILE%\AppData\Local\Temp\OnboardLogs"\RTDC4015\2016-10-19 --exclude "*" --recursive --include "*20161019*" &amp; "%USERPROFILE%\Documents\GitHub\mrs-test-scripts\Headless Mode &amp; Sideloading\WalkAndUnGZ.bat" "%USERPROFILE%\AppData\Local\Temp\OnboardLogs"\RTDC4015\2016-10-19</v>
      </c>
      <c r="AF137" s="88" t="str">
        <f t="shared" si="38"/>
        <v>"C:\Program Files (x86)\AstroGrep\AstroGrep.exe" /spath="%USERPROFILE%\AppData\Local\Temp\OnboardLogs" /stypes="app*4015*20161019*" /stext=" 03:.+((SYSTEM_STATE.+slice.+state.+changed )|(ment ac)|(system.+state.+changed )|(\[timeout)|(PRM\|1\|D)|(kpr)|(kdp)|(\|lc)|(penalty))" /e /r /s</v>
      </c>
      <c r="AG137" s="1" t="str">
        <f t="shared" si="39"/>
        <v>EC</v>
      </c>
      <c r="AH137" s="92" t="str">
        <f t="shared" si="25"/>
        <v>"%USERPROFILE%\Documents\GitHub\eaglep3\Utilities\RefineRTDCRunTimes.py" --tripid 224-18 --locoid 4015 --swversion DE.1.0.7.0 --startMP 204:232998 --initTime 2016-10-18T20:21:12 --startdatetime 2016-10-18T20:26:15 --delay 1 --endMP 204:125 --enddatetime 2016-10-18T21:05:52 --enforcementcount 0 &gt;&gt;C:\Users\stu\Documents\GitHub\eaglep3-reporting\EC\2016-10-18-refined-times.txt</v>
      </c>
      <c r="AI137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{"issue":{"subject":"","project_id":79,"tracker_id":40,"status_id":1,"priority_id":2,"assigned_to_id":23,"start_date":"2016-10-18","description":"","custom_fields":[{"id":1,"name":"Subdivision","value":"EC"},{"id":4,"name":"Milepost","value":"0.0125"},{"id":17,"name":"Train ID","value":"224-18"},{"id":16,"name":"Locomotive ID","value":"4015"},{"id":130,"name":"Impact","value":""},{"id":150,"name":"Time of Event (Mountain Time)","value":"21:05:52"},{"id":151,"name":"Denver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608</v>
      </c>
      <c r="B138" s="7">
        <v>4018</v>
      </c>
      <c r="C138" s="22" t="s">
        <v>99</v>
      </c>
      <c r="D138" s="22" t="s">
        <v>293</v>
      </c>
      <c r="E138" s="13">
        <v>42661.830567129633</v>
      </c>
      <c r="F138" s="13">
        <v>42661.833611111113</v>
      </c>
      <c r="G138" s="7">
        <v>1</v>
      </c>
      <c r="H138" s="13" t="s">
        <v>230</v>
      </c>
      <c r="I138" s="13">
        <v>42661.859074074076</v>
      </c>
      <c r="J138" s="7">
        <v>0</v>
      </c>
      <c r="K138" s="112" t="str">
        <f t="shared" si="27"/>
        <v>4017/4018</v>
      </c>
      <c r="L138" s="22" t="str">
        <f>VLOOKUP(A138,'Trips&amp;Operators'!$C$1:$E$10000,3,FALSE)</f>
        <v>YANAI</v>
      </c>
      <c r="M138" s="6">
        <f t="shared" si="28"/>
        <v>2.5462962963501923E-2</v>
      </c>
      <c r="N138" s="7">
        <f t="shared" si="44"/>
        <v>36.666666667442769</v>
      </c>
      <c r="O138" s="7"/>
      <c r="P138" s="7"/>
      <c r="Q138" s="23"/>
      <c r="R138" s="23"/>
      <c r="S138" s="35">
        <f t="shared" si="43"/>
        <v>1</v>
      </c>
      <c r="T138" s="50" t="str">
        <f t="shared" si="29"/>
        <v>NorthBound</v>
      </c>
      <c r="U138" s="18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18:56:01-0600',mode:absolute,to:'2016-10-18 21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8" s="52" t="str">
        <f t="shared" si="31"/>
        <v>N</v>
      </c>
      <c r="X138" s="174">
        <f t="shared" si="42"/>
        <v>1</v>
      </c>
      <c r="Y138" s="67">
        <f t="shared" si="33"/>
        <v>4.4400000000000002E-2</v>
      </c>
      <c r="Z138" s="67">
        <f t="shared" si="34"/>
        <v>23.3293</v>
      </c>
      <c r="AA138" s="67">
        <f t="shared" si="35"/>
        <v>23.2849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6"/>
        <v>0225-18</v>
      </c>
      <c r="AE138" s="91" t="str">
        <f t="shared" si="37"/>
        <v>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 &amp; aws s3 cp s3://rtdc.mdm.uploadarchive.raw/RTDC4018/ "%USERPROFILE%\AppData\Local\Temp\OnboardLogs"\RTDC4018\2016-10-19 --exclude "*" --recursive --include "*20161019*" &amp; "%USERPROFILE%\Documents\GitHub\mrs-test-scripts\Headless Mode &amp; Sideloading\WalkAndUnGZ.bat" "%USERPROFILE%\AppData\Local\Temp\OnboardLogs"\RTDC4018\2016-10-19</v>
      </c>
      <c r="AF138" s="88" t="str">
        <f t="shared" si="38"/>
        <v>"C:\Program Files (x86)\AstroGrep\AstroGrep.exe" /spath="%USERPROFILE%\AppData\Local\Temp\OnboardLogs" /stypes="app*4018*20161019*" /stext=" 02:.+((SYSTEM_STATE.+slice.+state.+changed )|(ment ac)|(system.+state.+changed )|(\[timeout)|(PRM\|1\|D)|(kpr)|(kdp)|(\|lc)|(penalty))" /e /r /s</v>
      </c>
      <c r="AG138" s="1" t="str">
        <f t="shared" si="39"/>
        <v>EC</v>
      </c>
      <c r="AH138" s="92" t="str">
        <f t="shared" si="25"/>
        <v>"%USERPROFILE%\Documents\GitHub\eaglep3\Utilities\RefineRTDCRunTimes.py" --tripid 225-18 --locoid 4018 --swversion DE.1.0.7.0 --startMP 204:444 --initTime 2016-10-18T19:56:01 --startdatetime 2016-10-18T20:00:24 --delay 1 --endMP 204:233293 --enddatetime 2016-10-18T20:37:04 --enforcementcount 0 &gt;&gt;C:\Users\stu\Documents\GitHub\eaglep3-reporting\EC\2016-10-18-refined-times.txt</v>
      </c>
      <c r="AI138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{"issue":{"subject":"","project_id":79,"tracker_id":40,"status_id":1,"priority_id":2,"assigned_to_id":23,"start_date":"2016-10-18","description":"","custom_fields":[{"id":1,"name":"Subdivision","value":"EC"},{"id":4,"name":"Milepost","value":"23.3293"},{"id":17,"name":"Train ID","value":"225-18"},{"id":16,"name":"Locomotive ID","value":"4018"},{"id":130,"name":"Impact","value":""},{"id":150,"name":"Time of Event (Mountain Time)","value":"20:37:04"},{"id":151,"name":"Denver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612</v>
      </c>
      <c r="B139" s="7">
        <v>4017</v>
      </c>
      <c r="C139" s="22" t="s">
        <v>99</v>
      </c>
      <c r="D139" s="22" t="s">
        <v>360</v>
      </c>
      <c r="E139" s="13">
        <v>42661.869837962964</v>
      </c>
      <c r="F139" s="13">
        <v>42661.872407407405</v>
      </c>
      <c r="G139" s="7">
        <v>0</v>
      </c>
      <c r="H139" s="13" t="s">
        <v>236</v>
      </c>
      <c r="I139" s="13">
        <v>42661.901446759257</v>
      </c>
      <c r="J139" s="7">
        <v>0</v>
      </c>
      <c r="K139" s="112" t="str">
        <f t="shared" si="27"/>
        <v>4017/4018</v>
      </c>
      <c r="L139" s="22" t="str">
        <f>VLOOKUP(A139,'Trips&amp;Operators'!$C$1:$E$10000,3,FALSE)</f>
        <v>YANAI</v>
      </c>
      <c r="M139" s="6">
        <f t="shared" si="28"/>
        <v>2.9039351851679385E-2</v>
      </c>
      <c r="N139" s="7">
        <f t="shared" si="44"/>
        <v>41.816666666418314</v>
      </c>
      <c r="O139" s="7"/>
      <c r="P139" s="7"/>
      <c r="Q139" s="23"/>
      <c r="R139" s="23"/>
      <c r="S139" s="35">
        <f t="shared" si="43"/>
        <v>1</v>
      </c>
      <c r="T139" s="50" t="str">
        <f t="shared" si="29"/>
        <v>Southbound</v>
      </c>
      <c r="U139" s="18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19:52:34-0600',mode:absolute,to:'2016-10-18 22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9" s="52" t="str">
        <f t="shared" si="31"/>
        <v>N</v>
      </c>
      <c r="X139" s="174">
        <f t="shared" si="42"/>
        <v>1</v>
      </c>
      <c r="Y139" s="67">
        <f t="shared" si="33"/>
        <v>23.298300000000001</v>
      </c>
      <c r="Z139" s="67">
        <f t="shared" si="34"/>
        <v>1.6299999999999999E-2</v>
      </c>
      <c r="AA139" s="67">
        <f t="shared" si="35"/>
        <v>23.282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6"/>
        <v>0226-18</v>
      </c>
      <c r="AE139" s="91" t="str">
        <f t="shared" si="37"/>
        <v>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 &amp; aws s3 cp s3://rtdc.mdm.uploadarchive.raw/RTDC4017/ "%USERPROFILE%\AppData\Local\Temp\OnboardLogs"\RTDC4017\2016-10-19 --exclude "*" --recursive --include "*20161019*" &amp; "%USERPROFILE%\Documents\GitHub\mrs-test-scripts\Headless Mode &amp; Sideloading\WalkAndUnGZ.bat" "%USERPROFILE%\AppData\Local\Temp\OnboardLogs"\RTDC4017\2016-10-19</v>
      </c>
      <c r="AF139" s="88" t="str">
        <f t="shared" si="38"/>
        <v>"C:\Program Files (x86)\AstroGrep\AstroGrep.exe" /spath="%USERPROFILE%\AppData\Local\Temp\OnboardLogs" /stypes="app*4017*20161019*" /stext=" 03:.+((SYSTEM_STATE.+slice.+state.+changed )|(ment ac)|(system.+state.+changed )|(\[timeout)|(PRM\|1\|D)|(kpr)|(kdp)|(\|lc)|(penalty))" /e /r /s</v>
      </c>
      <c r="AG139" s="1" t="str">
        <f t="shared" si="39"/>
        <v>EC</v>
      </c>
      <c r="AH139" s="92" t="str">
        <f t="shared" si="25"/>
        <v>"%USERPROFILE%\Documents\GitHub\eaglep3\Utilities\RefineRTDCRunTimes.py" --tripid 226-18 --locoid 4017 --swversion DE.1.0.7.0 --startMP 204:232983 --initTime 2016-10-18T20:52:34 --startdatetime 2016-10-18T20:56:16 --delay 0 --endMP 204:163 --enddatetime 2016-10-18T21:38:05 --enforcementcount 0 &gt;&gt;C:\Users\stu\Documents\GitHub\eaglep3-reporting\EC\2016-10-18-refined-times.txt</v>
      </c>
      <c r="AI139" s="122" t="str">
        <f t="shared" si="26"/>
        <v>echo {"issue":{"subject":"","project_id":79,"tracker_id":40,"status_id":1,"priority_id":2,"assigned_to_id":23,"start_date":"2016-10-18","description":"","custom_fields":[{"id":1,"name":"Subdivision","value":"EC"},{"id":4,"name":"Milepost","value":"0.0163"},{"id":17,"name":"Train ID","value":"226-18"},{"id":16,"name":"Locomotive ID","value":"4017"},{"id":130,"name":"Impact","value":""},{"id":150,"name":"Time of Event (Mountain Time)","value":"21:38:05"},{"id":151,"name":"Denver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610</v>
      </c>
      <c r="B140" s="7">
        <v>4029</v>
      </c>
      <c r="C140" s="22" t="s">
        <v>99</v>
      </c>
      <c r="D140" s="22" t="s">
        <v>252</v>
      </c>
      <c r="E140" s="13">
        <v>42661.850810185184</v>
      </c>
      <c r="F140" s="13">
        <v>42661.854490740741</v>
      </c>
      <c r="G140" s="7">
        <v>1</v>
      </c>
      <c r="H140" s="13" t="s">
        <v>196</v>
      </c>
      <c r="I140" s="13">
        <v>42661.880439814813</v>
      </c>
      <c r="J140" s="7">
        <v>0</v>
      </c>
      <c r="K140" s="112" t="str">
        <f t="shared" si="27"/>
        <v>4029/4030</v>
      </c>
      <c r="L140" s="22" t="str">
        <f>VLOOKUP(A140,'Trips&amp;Operators'!$C$1:$E$10000,3,FALSE)</f>
        <v>CHANDLER</v>
      </c>
      <c r="M140" s="6">
        <f t="shared" si="28"/>
        <v>2.5949074071832001E-2</v>
      </c>
      <c r="N140" s="7">
        <f t="shared" si="44"/>
        <v>37.366666663438082</v>
      </c>
      <c r="O140" s="7"/>
      <c r="P140" s="7"/>
      <c r="Q140" s="23"/>
      <c r="R140" s="23"/>
      <c r="S140" s="35">
        <f t="shared" si="43"/>
        <v>1</v>
      </c>
      <c r="T140" s="50" t="str">
        <f t="shared" si="29"/>
        <v>NorthBound</v>
      </c>
      <c r="U140" s="18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https://search-rtdc-monitor-bjffxe2xuh6vdkpspy63sjmuny.us-east-1.es.amazonaws.com/_plugin/kibana/#/discover/Steve-Slow-Train-Analysis-(2080s-and-2083s)?_g=(refreshInterval:(display:Off,section:0,value:0),time:(from:'2016-10-18 19:25:10-0600',mode:absolute,to:'2016-10-18 22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0" s="52" t="str">
        <f t="shared" si="31"/>
        <v>N</v>
      </c>
      <c r="X140" s="174">
        <f t="shared" si="42"/>
        <v>1</v>
      </c>
      <c r="Y140" s="67">
        <f t="shared" si="33"/>
        <v>4.5999999999999999E-2</v>
      </c>
      <c r="Z140" s="67">
        <f t="shared" si="34"/>
        <v>23.329699999999999</v>
      </c>
      <c r="AA140" s="67">
        <f t="shared" si="35"/>
        <v>23.2837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36"/>
        <v>0227-18</v>
      </c>
      <c r="AE140" s="91" t="str">
        <f t="shared" si="37"/>
        <v>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 &amp; 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</v>
      </c>
      <c r="AF140" s="88" t="str">
        <f t="shared" si="38"/>
        <v>"C:\Program Files (x86)\AstroGrep\AstroGrep.exe" /spath="%USERPROFILE%\AppData\Local\Temp\OnboardLogs" /stypes="app*4029*20161019*" /stext=" 03:.+((SYSTEM_STATE.+slice.+state.+changed )|(ment ac)|(system.+state.+changed )|(\[timeout)|(PRM\|1\|D)|(kpr)|(kdp)|(\|lc)|(penalty))" /e /r /s</v>
      </c>
      <c r="AG140" s="1" t="str">
        <f t="shared" si="39"/>
        <v>EC</v>
      </c>
      <c r="AH140" s="92" t="str">
        <f t="shared" ref="AH140:AH202" si="45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227-18 --locoid 4029 --swversion DE.1.0.7.0 --startMP 204:460 --initTime 2016-10-18T20:25:10 --startdatetime 2016-10-18T20:30:28 --delay 1 --endMP 204:233297 --enddatetime 2016-10-18T21:07:50 --enforcementcount 0 &gt;&gt;C:\Users\stu\Documents\GitHub\eaglep3-reporting\EC\2016-10-18-refined-times.txt</v>
      </c>
      <c r="AI140" s="122" t="str">
        <f t="shared" ref="AI140:AI202" si="46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{"issue":{"subject":"","project_id":79,"tracker_id":40,"status_id":1,"priority_id":2,"assigned_to_id":23,"start_date":"2016-10-18","description":"","custom_fields":[{"id":1,"name":"Subdivision","value":"EC"},{"id":4,"name":"Milepost","value":"23.3297"},{"id":17,"name":"Train ID","value":"227-18"},{"id":16,"name":"Locomotive ID","value":"4029"},{"id":130,"name":"Impact","value":""},{"id":150,"name":"Time of Event (Mountain Time)","value":"21:07:50"},{"id":151,"name":"Denver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616</v>
      </c>
      <c r="B141" s="7">
        <v>4030</v>
      </c>
      <c r="C141" s="22" t="s">
        <v>99</v>
      </c>
      <c r="D141" s="22" t="s">
        <v>362</v>
      </c>
      <c r="E141" s="13">
        <v>42661.887291666666</v>
      </c>
      <c r="F141" s="13">
        <v>42661.893506944441</v>
      </c>
      <c r="G141" s="7">
        <v>1</v>
      </c>
      <c r="H141" s="13" t="s">
        <v>249</v>
      </c>
      <c r="I141" s="13">
        <v>42661.93236111111</v>
      </c>
      <c r="J141" s="7">
        <v>0</v>
      </c>
      <c r="K141" s="112" t="str">
        <f t="shared" ref="K141:K204" si="47">IF(ISEVEN(B141),(B141-1)&amp;"/"&amp;B141,B141&amp;"/"&amp;(B141+1))</f>
        <v>4029/4030</v>
      </c>
      <c r="L141" s="22" t="str">
        <f>VLOOKUP(A141,'Trips&amp;Operators'!$C$1:$E$10000,3,FALSE)</f>
        <v>CHANDLER</v>
      </c>
      <c r="M141" s="6">
        <f t="shared" ref="M141:M204" si="48">I141-F141</f>
        <v>3.885416666889796E-2</v>
      </c>
      <c r="N141" s="7">
        <f t="shared" si="44"/>
        <v>55.950000003213063</v>
      </c>
      <c r="O141" s="7"/>
      <c r="P141" s="7"/>
      <c r="Q141" s="23"/>
      <c r="R141" s="23" t="s">
        <v>788</v>
      </c>
      <c r="S141" s="35">
        <f t="shared" si="43"/>
        <v>1</v>
      </c>
      <c r="T141" s="50" t="str">
        <f t="shared" ref="T141:T204" si="49">IF(ISEVEN(LEFT(AD141,4)),"Southbound","NorthBound")</f>
        <v>Southbound</v>
      </c>
      <c r="U141" s="18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0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https://search-rtdc-monitor-bjffxe2xuh6vdkpspy63sjmuny.us-east-1.es.amazonaws.com/_plugin/kibana/#/discover/Steve-Slow-Train-Analysis-(2080s-and-2083s)?_g=(refreshInterval:(display:Off,section:0,value:0),time:(from:'2016-10-18 20:17:42-0600',mode:absolute,to:'2016-10-18 23:22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1" s="52" t="str">
        <f t="shared" ref="W141:W204" si="51">IF(AA141&lt;IF(AG141="EC",23,5.65),"Y","N")</f>
        <v>N</v>
      </c>
      <c r="X141" s="174">
        <f t="shared" si="42"/>
        <v>1</v>
      </c>
      <c r="Y141" s="67">
        <f t="shared" ref="Y141:Y204" si="52">RIGHT(D141,LEN(D141)-4)/10000</f>
        <v>23.2974</v>
      </c>
      <c r="Z141" s="67">
        <f t="shared" ref="Z141:Z204" si="53">RIGHT(H141,LEN(H141)-4)/10000</f>
        <v>1.67E-2</v>
      </c>
      <c r="AA141" s="67">
        <f t="shared" ref="AA141:AA204" si="54">ABS(Z141-Y141)</f>
        <v>23.2807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4" si="55">IF(LEN(A141)=6,"0"&amp;A141,A141)</f>
        <v>0228-18</v>
      </c>
      <c r="AE141" s="91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 &amp; aws s3 cp s3://rtdc.mdm.uploadarchive.raw/RTDC4030/ "%USERPROFILE%\AppData\Local\Temp\OnboardLogs"\RTDC4030\2016-10-19 --exclude "*" --recursive --include "*20161019*" &amp; "%USERPROFILE%\Documents\GitHub\mrs-test-scripts\Headless Mode &amp; Sideloading\WalkAndUnGZ.bat" "%USERPROFILE%\AppData\Local\Temp\OnboardLogs"\RTDC4030\2016-10-19</v>
      </c>
      <c r="AF141" s="88" t="str">
        <f t="shared" ref="AF141:AF204" si="57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/stypes="app*4030*20161019*" /stext=" 04:.+((SYSTEM_STATE.+slice.+state.+changed )|(ment ac)|(system.+state.+changed )|(\[timeout)|(PRM\|1\|D)|(kpr)|(kdp)|(\|lc)|(penalty))" /e /r /s</v>
      </c>
      <c r="AG141" s="1" t="str">
        <f t="shared" ref="AG141:AG204" si="58">IFERROR(IF(VALUE(LEFT(AD141,2))&lt;=2,"EC",IF(OR(VALUE(LEFT(AD141,2))=8,VALUE(LEFT(AD141,2))=18),"NW","Other")),"Other")</f>
        <v>EC</v>
      </c>
      <c r="AH141" s="92" t="str">
        <f t="shared" si="45"/>
        <v>"%USERPROFILE%\Documents\GitHub\eaglep3\Utilities\RefineRTDCRunTimes.py" --tripid 228-18 --locoid 4030 --swversion DE.1.0.7.0 --startMP 204:232974 --initTime 2016-10-18T21:17:42 --startdatetime 2016-10-18T21:26:39 --delay 1 --endMP 204:167 --enddatetime 2016-10-18T22:22:36 --enforcementcount 0 &gt;&gt;C:\Users\stu\Documents\GitHub\eaglep3-reporting\EC\2016-10-18-refined-times.txt</v>
      </c>
      <c r="AI141" s="122" t="str">
        <f t="shared" si="46"/>
        <v>echo {"issue":{"subject":"Form O","project_id":79,"tracker_id":40,"status_id":1,"priority_id":2,"assigned_to_id":23,"start_date":"2016-10-18","description":"","custom_fields":[{"id":1,"name":"Subdivision","value":"EC"},{"id":4,"name":"Milepost","value":"0.0167"},{"id":17,"name":"Train ID","value":"228-18"},{"id":16,"name":"Locomotive ID","value":"4030"},{"id":130,"name":"Impact","value":""},{"id":150,"name":"Time of Event (Mountain Time)","value":"22:22:36"},{"id":151,"name":"Denver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613</v>
      </c>
      <c r="B142" s="7">
        <v>4044</v>
      </c>
      <c r="C142" s="22" t="s">
        <v>99</v>
      </c>
      <c r="D142" s="22" t="s">
        <v>243</v>
      </c>
      <c r="E142" s="13">
        <v>42661.87</v>
      </c>
      <c r="F142" s="13">
        <v>42661.875532407408</v>
      </c>
      <c r="G142" s="7">
        <v>1</v>
      </c>
      <c r="H142" s="13" t="s">
        <v>230</v>
      </c>
      <c r="I142" s="13">
        <v>42661.903460648151</v>
      </c>
      <c r="J142" s="7">
        <v>0</v>
      </c>
      <c r="K142" s="112" t="str">
        <f t="shared" si="47"/>
        <v>4043/4044</v>
      </c>
      <c r="L142" s="22" t="str">
        <f>VLOOKUP(A142,'Trips&amp;Operators'!$C$1:$E$10000,3,FALSE)</f>
        <v>LEVERE</v>
      </c>
      <c r="M142" s="6">
        <f t="shared" si="48"/>
        <v>2.792824074276723E-2</v>
      </c>
      <c r="N142" s="7">
        <f t="shared" si="44"/>
        <v>40.216666669584811</v>
      </c>
      <c r="O142" s="7"/>
      <c r="P142" s="7"/>
      <c r="Q142" s="23"/>
      <c r="R142" s="23"/>
      <c r="S142" s="35">
        <f t="shared" si="43"/>
        <v>1</v>
      </c>
      <c r="T142" s="50" t="str">
        <f t="shared" si="49"/>
        <v>NorthBound</v>
      </c>
      <c r="U142" s="18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19:52:48-0600',mode:absolute,to:'2016-10-18 22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2" s="52" t="str">
        <f t="shared" si="51"/>
        <v>N</v>
      </c>
      <c r="X142" s="174">
        <f t="shared" si="42"/>
        <v>1</v>
      </c>
      <c r="Y142" s="67">
        <f t="shared" si="52"/>
        <v>4.5699999999999998E-2</v>
      </c>
      <c r="Z142" s="67">
        <f t="shared" si="53"/>
        <v>23.3293</v>
      </c>
      <c r="AA142" s="67">
        <f t="shared" si="54"/>
        <v>23.2836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55"/>
        <v>0229-18</v>
      </c>
      <c r="AE142" s="91" t="str">
        <f t="shared" si="56"/>
        <v>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 &amp; aws s3 cp s3://rtdc.mdm.uploadarchive.raw/RTDC4044/ "%USERPROFILE%\AppData\Local\Temp\OnboardLogs"\RTDC4044\2016-10-19 --exclude "*" --recursive --include "*20161019*" &amp; "%USERPROFILE%\Documents\GitHub\mrs-test-scripts\Headless Mode &amp; Sideloading\WalkAndUnGZ.bat" "%USERPROFILE%\AppData\Local\Temp\OnboardLogs"\RTDC4044\2016-10-19</v>
      </c>
      <c r="AF142" s="88" t="str">
        <f t="shared" si="57"/>
        <v>"C:\Program Files (x86)\AstroGrep\AstroGrep.exe" /spath="%USERPROFILE%\AppData\Local\Temp\OnboardLogs" /stypes="app*4044*20161019*" /stext=" 03:.+((SYSTEM_STATE.+slice.+state.+changed )|(ment ac)|(system.+state.+changed )|(\[timeout)|(PRM\|1\|D)|(kpr)|(kdp)|(\|lc)|(penalty))" /e /r /s</v>
      </c>
      <c r="AG142" s="1" t="str">
        <f t="shared" si="58"/>
        <v>EC</v>
      </c>
      <c r="AH142" s="92" t="str">
        <f t="shared" si="45"/>
        <v>"%USERPROFILE%\Documents\GitHub\eaglep3\Utilities\RefineRTDCRunTimes.py" --tripid 229-18 --locoid 4044 --swversion DE.1.0.7.0 --startMP 204:457 --initTime 2016-10-18T20:52:48 --startdatetime 2016-10-18T21:00:46 --delay 1 --endMP 204:233293 --enddatetime 2016-10-18T21:40:59 --enforcementcount 0 &gt;&gt;C:\Users\stu\Documents\GitHub\eaglep3-reporting\EC\2016-10-18-refined-times.txt</v>
      </c>
      <c r="AI142" s="122" t="str">
        <f t="shared" si="46"/>
        <v>echo {"issue":{"subject":"","project_id":79,"tracker_id":40,"status_id":1,"priority_id":2,"assigned_to_id":23,"start_date":"2016-10-18","description":"","custom_fields":[{"id":1,"name":"Subdivision","value":"EC"},{"id":4,"name":"Milepost","value":"23.3293"},{"id":17,"name":"Train ID","value":"229-18"},{"id":16,"name":"Locomotive ID","value":"4044"},{"id":130,"name":"Impact","value":""},{"id":150,"name":"Time of Event (Mountain Time)","value":"21:40:59"},{"id":151,"name":"Denver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619</v>
      </c>
      <c r="B143" s="7">
        <v>4043</v>
      </c>
      <c r="C143" s="22" t="s">
        <v>99</v>
      </c>
      <c r="D143" s="22" t="s">
        <v>294</v>
      </c>
      <c r="E143" s="13">
        <v>42661.910543981481</v>
      </c>
      <c r="F143" s="13">
        <v>42661.914074074077</v>
      </c>
      <c r="G143" s="7">
        <v>1</v>
      </c>
      <c r="H143" s="13" t="s">
        <v>250</v>
      </c>
      <c r="I143" s="13">
        <v>42661.960057870368</v>
      </c>
      <c r="J143" s="7">
        <v>0</v>
      </c>
      <c r="K143" s="112" t="str">
        <f t="shared" si="47"/>
        <v>4043/4044</v>
      </c>
      <c r="L143" s="22" t="str">
        <f>VLOOKUP(A143,'Trips&amp;Operators'!$C$1:$E$10000,3,FALSE)</f>
        <v>LEVERE</v>
      </c>
      <c r="M143" s="6">
        <f t="shared" si="48"/>
        <v>4.5983796291693579E-2</v>
      </c>
      <c r="N143" s="7">
        <f t="shared" si="44"/>
        <v>66.216666660038754</v>
      </c>
      <c r="O143" s="7"/>
      <c r="P143" s="7"/>
      <c r="Q143" s="23"/>
      <c r="R143" s="23" t="s">
        <v>788</v>
      </c>
      <c r="S143" s="35">
        <f t="shared" ref="S143:S174" si="59">SUM(U143:U143)/IF(AG143="EC",12,1)</f>
        <v>1</v>
      </c>
      <c r="T143" s="50" t="str">
        <f t="shared" si="49"/>
        <v>Southbound</v>
      </c>
      <c r="U143" s="18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20:51:11-0600',mode:absolute,to:'2016-10-19 00:02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3" s="52" t="str">
        <f t="shared" si="51"/>
        <v>N</v>
      </c>
      <c r="X143" s="174">
        <f t="shared" si="42"/>
        <v>1</v>
      </c>
      <c r="Y143" s="67">
        <f t="shared" si="52"/>
        <v>23.2987</v>
      </c>
      <c r="Z143" s="67">
        <f t="shared" si="53"/>
        <v>1.6E-2</v>
      </c>
      <c r="AA143" s="67">
        <f t="shared" si="54"/>
        <v>23.282700000000002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55"/>
        <v>0230-18</v>
      </c>
      <c r="AE143" s="91" t="str">
        <f t="shared" si="56"/>
        <v>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 &amp; aws s3 cp s3://rtdc.mdm.uploadarchive.raw/RTDC4043/ "%USERPROFILE%\AppData\Local\Temp\OnboardLogs"\RTDC4043\2016-10-19 --exclude "*" --recursive --include "*20161019*" &amp; "%USERPROFILE%\Documents\GitHub\mrs-test-scripts\Headless Mode &amp; Sideloading\WalkAndUnGZ.bat" "%USERPROFILE%\AppData\Local\Temp\OnboardLogs"\RTDC4043\2016-10-19</v>
      </c>
      <c r="AF143" s="88" t="str">
        <f t="shared" si="57"/>
        <v>"C:\Program Files (x86)\AstroGrep\AstroGrep.exe" /spath="%USERPROFILE%\AppData\Local\Temp\OnboardLogs" /stypes="app*4043*20161019*" /stext=" 05:.+((SYSTEM_STATE.+slice.+state.+changed )|(ment ac)|(system.+state.+changed )|(\[timeout)|(PRM\|1\|D)|(kpr)|(kdp)|(\|lc)|(penalty))" /e /r /s</v>
      </c>
      <c r="AG143" s="1" t="str">
        <f t="shared" si="58"/>
        <v>EC</v>
      </c>
      <c r="AH143" s="92" t="str">
        <f t="shared" si="45"/>
        <v>"%USERPROFILE%\Documents\GitHub\eaglep3\Utilities\RefineRTDCRunTimes.py" --tripid 230-18 --locoid 4043 --swversion DE.1.0.7.0 --startMP 204:232987 --initTime 2016-10-18T21:51:11 --startdatetime 2016-10-18T21:56:16 --delay 1 --endMP 204:160 --enddatetime 2016-10-18T23:02:29 --enforcementcount 0 &gt;&gt;C:\Users\stu\Documents\GitHub\eaglep3-reporting\EC\2016-10-18-refined-times.txt</v>
      </c>
      <c r="AI143" s="122" t="str">
        <f t="shared" si="46"/>
        <v>echo {"issue":{"subject":"Form O","project_id":79,"tracker_id":40,"status_id":1,"priority_id":2,"assigned_to_id":23,"start_date":"2016-10-18","description":"","custom_fields":[{"id":1,"name":"Subdivision","value":"EC"},{"id":4,"name":"Milepost","value":"0.016"},{"id":17,"name":"Train ID","value":"230-18"},{"id":16,"name":"Locomotive ID","value":"4043"},{"id":130,"name":"Impact","value":""},{"id":150,"name":"Time of Event (Mountain Time)","value":"23:02:29"},{"id":151,"name":"Denver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617</v>
      </c>
      <c r="B144" s="7">
        <v>4016</v>
      </c>
      <c r="C144" s="22" t="s">
        <v>99</v>
      </c>
      <c r="D144" s="22" t="s">
        <v>685</v>
      </c>
      <c r="E144" s="13">
        <v>42661.886724537035</v>
      </c>
      <c r="F144" s="13">
        <v>42661.901493055557</v>
      </c>
      <c r="G144" s="7">
        <v>2</v>
      </c>
      <c r="H144" s="13" t="s">
        <v>686</v>
      </c>
      <c r="I144" s="13">
        <v>42661.928900462961</v>
      </c>
      <c r="J144" s="7">
        <v>0</v>
      </c>
      <c r="K144" s="112" t="str">
        <f t="shared" si="47"/>
        <v>4015/4016</v>
      </c>
      <c r="L144" s="22" t="str">
        <f>VLOOKUP(A144,'Trips&amp;Operators'!$C$1:$E$10000,3,FALSE)</f>
        <v>DELGADO</v>
      </c>
      <c r="M144" s="6">
        <f t="shared" si="48"/>
        <v>2.7407407404098194E-2</v>
      </c>
      <c r="N144" s="7">
        <f t="shared" si="44"/>
        <v>39.466666661901399</v>
      </c>
      <c r="O144" s="7"/>
      <c r="P144" s="7"/>
      <c r="Q144" s="23"/>
      <c r="R144" s="23"/>
      <c r="S144" s="35">
        <f t="shared" si="59"/>
        <v>1</v>
      </c>
      <c r="T144" s="50" t="str">
        <f t="shared" si="49"/>
        <v>NorthBound</v>
      </c>
      <c r="U144" s="18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20:16:53-0600',mode:absolute,to:'2016-10-18 23:17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4" s="52" t="str">
        <f t="shared" si="51"/>
        <v>N</v>
      </c>
      <c r="X144" s="174">
        <f t="shared" si="42"/>
        <v>1</v>
      </c>
      <c r="Y144" s="67">
        <f t="shared" si="52"/>
        <v>4.2599999999999999E-2</v>
      </c>
      <c r="Z144" s="67">
        <f t="shared" si="53"/>
        <v>23.324100000000001</v>
      </c>
      <c r="AA144" s="67">
        <f t="shared" si="54"/>
        <v>23.281500000000001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55"/>
        <v>0231-18</v>
      </c>
      <c r="AE144" s="91" t="str">
        <f t="shared" si="56"/>
        <v>aws s3 cp s3://rtdc.mdm.uploadarchive.raw/RTDC4016/ "%USERPROFILE%\AppData\Local\Temp\OnboardLogs"\RTDC4016\2016-10-18 --exclude "*" --recursive --include "*20161018*" &amp; "%USERPROFILE%\Documents\GitHub\mrs-test-scripts\Headless Mode &amp; Sideloading\WalkAndUnGZ.bat" "%USERPROFILE%\AppData\Local\Temp\OnboardLogs"\RTDC4016\2016-10-18 &amp; aws s3 cp s3://rtdc.mdm.uploadarchive.raw/RTDC4016/ "%USERPROFILE%\AppData\Local\Temp\OnboardLogs"\RTDC4016\2016-10-19 --exclude "*" --recursive --include "*20161019*" &amp; "%USERPROFILE%\Documents\GitHub\mrs-test-scripts\Headless Mode &amp; Sideloading\WalkAndUnGZ.bat" "%USERPROFILE%\AppData\Local\Temp\OnboardLogs"\RTDC4016\2016-10-19</v>
      </c>
      <c r="AF144" s="88" t="str">
        <f t="shared" si="57"/>
        <v>"C:\Program Files (x86)\AstroGrep\AstroGrep.exe" /spath="%USERPROFILE%\AppData\Local\Temp\OnboardLogs" /stypes="app*4016*20161019*" /stext=" 04:.+((SYSTEM_STATE.+slice.+state.+changed )|(ment ac)|(system.+state.+changed )|(\[timeout)|(PRM\|1\|D)|(kpr)|(kdp)|(\|lc)|(penalty))" /e /r /s</v>
      </c>
      <c r="AG144" s="1" t="str">
        <f t="shared" si="58"/>
        <v>EC</v>
      </c>
      <c r="AH144" s="92" t="str">
        <f t="shared" si="45"/>
        <v>"%USERPROFILE%\Documents\GitHub\eaglep3\Utilities\RefineRTDCRunTimes.py" --tripid 231-18 --locoid 4016 --swversion DE.1.0.7.0 --startMP 204:426 --initTime 2016-10-18T21:16:53 --startdatetime 2016-10-18T21:38:09 --delay 2 --endMP 204:233241 --enddatetime 2016-10-18T22:17:37 --enforcementcount 0 &gt;&gt;C:\Users\stu\Documents\GitHub\eaglep3-reporting\EC\2016-10-18-refined-times.txt</v>
      </c>
      <c r="AI144" s="122" t="str">
        <f t="shared" si="46"/>
        <v>echo {"issue":{"subject":"","project_id":79,"tracker_id":40,"status_id":1,"priority_id":2,"assigned_to_id":23,"start_date":"2016-10-18","description":"","custom_fields":[{"id":1,"name":"Subdivision","value":"EC"},{"id":4,"name":"Milepost","value":"23.3241"},{"id":17,"name":"Train ID","value":"231-18"},{"id":16,"name":"Locomotive ID","value":"4016"},{"id":130,"name":"Impact","value":""},{"id":150,"name":"Time of Event (Mountain Time)","value":"22:17:37"},{"id":151,"name":"Denver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7" t="s">
        <v>622</v>
      </c>
      <c r="B145" s="7">
        <v>4015</v>
      </c>
      <c r="C145" s="22" t="s">
        <v>99</v>
      </c>
      <c r="D145" s="22" t="s">
        <v>687</v>
      </c>
      <c r="E145" s="13">
        <v>42661.93440972222</v>
      </c>
      <c r="F145" s="13">
        <v>42661.938020833331</v>
      </c>
      <c r="G145" s="7">
        <v>1</v>
      </c>
      <c r="H145" s="13" t="s">
        <v>250</v>
      </c>
      <c r="I145" s="13">
        <v>42661.988657407404</v>
      </c>
      <c r="J145" s="7">
        <v>0</v>
      </c>
      <c r="K145" s="112" t="str">
        <f t="shared" si="47"/>
        <v>4015/4016</v>
      </c>
      <c r="L145" s="22" t="str">
        <f>VLOOKUP(A145,'Trips&amp;Operators'!$C$1:$E$10000,3,FALSE)</f>
        <v>DELGADO</v>
      </c>
      <c r="M145" s="6">
        <f t="shared" si="48"/>
        <v>5.0636574072996154E-2</v>
      </c>
      <c r="N145" s="7">
        <f t="shared" si="44"/>
        <v>72.916666665114462</v>
      </c>
      <c r="O145" s="7"/>
      <c r="P145" s="7"/>
      <c r="Q145" s="23"/>
      <c r="R145" s="23" t="s">
        <v>788</v>
      </c>
      <c r="S145" s="35">
        <f t="shared" si="59"/>
        <v>1</v>
      </c>
      <c r="T145" s="50" t="str">
        <f t="shared" si="49"/>
        <v>Southbound</v>
      </c>
      <c r="U145" s="18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21:25:33-0600',mode:absolute,to:'2016-10-19 00:43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5" s="52" t="str">
        <f t="shared" si="51"/>
        <v>N</v>
      </c>
      <c r="X145" s="174">
        <f t="shared" si="42"/>
        <v>1</v>
      </c>
      <c r="Y145" s="67">
        <f t="shared" si="52"/>
        <v>23.292100000000001</v>
      </c>
      <c r="Z145" s="67">
        <f t="shared" si="53"/>
        <v>1.6E-2</v>
      </c>
      <c r="AA145" s="67">
        <f t="shared" si="54"/>
        <v>23.276100000000003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55"/>
        <v>0232-18</v>
      </c>
      <c r="AE145" s="91" t="str">
        <f t="shared" si="56"/>
        <v>aws s3 cp s3://rtdc.mdm.uploadarchive.raw/RTDC4015/ "%USERPROFILE%\AppData\Local\Temp\OnboardLogs"\RTDC4015\2016-10-18 --exclude "*" --recursive --include "*20161018*" &amp; "%USERPROFILE%\Documents\GitHub\mrs-test-scripts\Headless Mode &amp; Sideloading\WalkAndUnGZ.bat" "%USERPROFILE%\AppData\Local\Temp\OnboardLogs"\RTDC4015\2016-10-18 &amp; aws s3 cp s3://rtdc.mdm.uploadarchive.raw/RTDC4015/ "%USERPROFILE%\AppData\Local\Temp\OnboardLogs"\RTDC4015\2016-10-19 --exclude "*" --recursive --include "*20161019*" &amp; "%USERPROFILE%\Documents\GitHub\mrs-test-scripts\Headless Mode &amp; Sideloading\WalkAndUnGZ.bat" "%USERPROFILE%\AppData\Local\Temp\OnboardLogs"\RTDC4015\2016-10-19</v>
      </c>
      <c r="AF145" s="88" t="str">
        <f t="shared" si="57"/>
        <v>"C:\Program Files (x86)\AstroGrep\AstroGrep.exe" /spath="%USERPROFILE%\AppData\Local\Temp\OnboardLogs" /stypes="app*4015*20161019*" /stext=" 05:.+((SYSTEM_STATE.+slice.+state.+changed )|(ment ac)|(system.+state.+changed )|(\[timeout)|(PRM\|1\|D)|(kpr)|(kdp)|(\|lc)|(penalty))" /e /r /s</v>
      </c>
      <c r="AG145" s="1" t="str">
        <f t="shared" si="58"/>
        <v>EC</v>
      </c>
      <c r="AH145" s="92" t="str">
        <f t="shared" si="45"/>
        <v>"%USERPROFILE%\Documents\GitHub\eaglep3\Utilities\RefineRTDCRunTimes.py" --tripid 232-18 --locoid 4015 --swversion DE.1.0.7.0 --startMP 204:232921 --initTime 2016-10-18T22:25:33 --startdatetime 2016-10-18T22:30:45 --delay 1 --endMP 204:160 --enddatetime 2016-10-18T23:43:40 --enforcementcount 0 &gt;&gt;C:\Users\stu\Documents\GitHub\eaglep3-reporting\EC\2016-10-18-refined-times.txt</v>
      </c>
      <c r="AI145" s="122" t="str">
        <f t="shared" si="46"/>
        <v>echo {"issue":{"subject":"Form O","project_id":79,"tracker_id":40,"status_id":1,"priority_id":2,"assigned_to_id":23,"start_date":"2016-10-18","description":"","custom_fields":[{"id":1,"name":"Subdivision","value":"EC"},{"id":4,"name":"Milepost","value":"0.016"},{"id":17,"name":"Train ID","value":"232-18"},{"id":16,"name":"Locomotive ID","value":"4015"},{"id":130,"name":"Impact","value":""},{"id":150,"name":"Time of Event (Mountain Time)","value":"23:43:40"},{"id":151,"name":"Denver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s="21" customFormat="1" x14ac:dyDescent="0.25">
      <c r="A146" s="37" t="s">
        <v>620</v>
      </c>
      <c r="B146" s="7">
        <v>4018</v>
      </c>
      <c r="C146" s="22" t="s">
        <v>99</v>
      </c>
      <c r="D146" s="22" t="s">
        <v>361</v>
      </c>
      <c r="E146" s="13">
        <v>42661.914363425924</v>
      </c>
      <c r="F146" s="13">
        <v>42661.933148148149</v>
      </c>
      <c r="G146" s="7">
        <v>2</v>
      </c>
      <c r="H146" s="13" t="s">
        <v>279</v>
      </c>
      <c r="I146" s="13">
        <v>42661.959456018521</v>
      </c>
      <c r="J146" s="7">
        <v>0</v>
      </c>
      <c r="K146" s="112" t="str">
        <f t="shared" si="47"/>
        <v>4017/4018</v>
      </c>
      <c r="L146" s="22" t="str">
        <f>VLOOKUP(A146,'Trips&amp;Operators'!$C$1:$E$10000,3,FALSE)</f>
        <v>YANAI</v>
      </c>
      <c r="M146" s="6">
        <f t="shared" si="48"/>
        <v>2.6307870371965691E-2</v>
      </c>
      <c r="N146" s="7">
        <f t="shared" si="44"/>
        <v>37.883333335630596</v>
      </c>
      <c r="O146" s="7"/>
      <c r="P146" s="7"/>
      <c r="Q146" s="23"/>
      <c r="R146" s="23"/>
      <c r="S146" s="35">
        <f t="shared" si="59"/>
        <v>1</v>
      </c>
      <c r="T146" s="50" t="str">
        <f t="shared" si="49"/>
        <v>NorthBound</v>
      </c>
      <c r="U146" s="18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20:56:41-0600',mode:absolute,to:'2016-10-19 00:01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6" s="52" t="str">
        <f t="shared" si="51"/>
        <v>N</v>
      </c>
      <c r="X146" s="174">
        <f t="shared" ref="X146:X151" si="60">VALUE(LEFT(AD146,4))-VALUE(LEFT(AD145,4))</f>
        <v>1</v>
      </c>
      <c r="Y146" s="67">
        <f t="shared" si="52"/>
        <v>4.4900000000000002E-2</v>
      </c>
      <c r="Z146" s="67">
        <f t="shared" si="53"/>
        <v>23.330100000000002</v>
      </c>
      <c r="AA146" s="67">
        <f t="shared" si="54"/>
        <v>23.285200000000003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55"/>
        <v>0233-18</v>
      </c>
      <c r="AE146" s="91" t="str">
        <f t="shared" si="56"/>
        <v>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 &amp; aws s3 cp s3://rtdc.mdm.uploadarchive.raw/RTDC4018/ "%USERPROFILE%\AppData\Local\Temp\OnboardLogs"\RTDC4018\2016-10-19 --exclude "*" --recursive --include "*20161019*" &amp; "%USERPROFILE%\Documents\GitHub\mrs-test-scripts\Headless Mode &amp; Sideloading\WalkAndUnGZ.bat" "%USERPROFILE%\AppData\Local\Temp\OnboardLogs"\RTDC4018\2016-10-19</v>
      </c>
      <c r="AF146" s="88" t="str">
        <f t="shared" si="57"/>
        <v>"C:\Program Files (x86)\AstroGrep\AstroGrep.exe" /spath="%USERPROFILE%\AppData\Local\Temp\OnboardLogs" /stypes="app*4018*20161019*" /stext=" 05:.+((SYSTEM_STATE.+slice.+state.+changed )|(ment ac)|(system.+state.+changed )|(\[timeout)|(PRM\|1\|D)|(kpr)|(kdp)|(\|lc)|(penalty))" /e /r /s</v>
      </c>
      <c r="AG146" s="1" t="str">
        <f t="shared" si="58"/>
        <v>EC</v>
      </c>
      <c r="AH146" s="92" t="str">
        <f t="shared" si="45"/>
        <v>"%USERPROFILE%\Documents\GitHub\eaglep3\Utilities\RefineRTDCRunTimes.py" --tripid 233-18 --locoid 4018 --swversion DE.1.0.7.0 --startMP 204:449 --initTime 2016-10-18T21:56:41 --startdatetime 2016-10-18T22:23:44 --delay 2 --endMP 204:233301 --enddatetime 2016-10-18T23:01:37 --enforcementcount 0 &gt;&gt;C:\Users\stu\Documents\GitHub\eaglep3-reporting\EC\2016-10-18-refined-times.txt</v>
      </c>
      <c r="AI146" s="122" t="str">
        <f t="shared" si="46"/>
        <v>echo {"issue":{"subject":"","project_id":79,"tracker_id":40,"status_id":1,"priority_id":2,"assigned_to_id":23,"start_date":"2016-10-18","description":"","custom_fields":[{"id":1,"name":"Subdivision","value":"EC"},{"id":4,"name":"Milepost","value":"23.3301"},{"id":17,"name":"Train ID","value":"233-18"},{"id":16,"name":"Locomotive ID","value":"4018"},{"id":130,"name":"Impact","value":""},{"id":150,"name":"Time of Event (Mountain Time)","value":"23:01:37"},{"id":151,"name":"Denver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626</v>
      </c>
      <c r="B147" s="7">
        <v>4017</v>
      </c>
      <c r="C147" s="22" t="s">
        <v>99</v>
      </c>
      <c r="D147" s="22" t="s">
        <v>379</v>
      </c>
      <c r="E147" s="13">
        <v>42661.963912037034</v>
      </c>
      <c r="F147" s="13">
        <v>42661.965740740743</v>
      </c>
      <c r="G147" s="7">
        <v>1</v>
      </c>
      <c r="H147" s="13" t="s">
        <v>232</v>
      </c>
      <c r="I147" s="13">
        <v>42662.016076388885</v>
      </c>
      <c r="J147" s="7">
        <v>0</v>
      </c>
      <c r="K147" s="112" t="str">
        <f t="shared" si="47"/>
        <v>4017/4018</v>
      </c>
      <c r="L147" s="22" t="str">
        <f>VLOOKUP(A147,'Trips&amp;Operators'!$C$1:$E$10000,3,FALSE)</f>
        <v>YANAI</v>
      </c>
      <c r="M147" s="6">
        <f t="shared" si="48"/>
        <v>5.0335648142208811E-2</v>
      </c>
      <c r="N147" s="7">
        <f t="shared" si="44"/>
        <v>72.483333324780688</v>
      </c>
      <c r="O147" s="7"/>
      <c r="P147" s="7"/>
      <c r="Q147" s="23"/>
      <c r="R147" s="23" t="s">
        <v>788</v>
      </c>
      <c r="S147" s="35">
        <f t="shared" si="59"/>
        <v>1</v>
      </c>
      <c r="T147" s="50" t="str">
        <f t="shared" si="49"/>
        <v>Southbound</v>
      </c>
      <c r="U147" s="18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22:08:02-0600',mode:absolute,to:'2016-10-19 01:23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7" s="52" t="str">
        <f t="shared" si="51"/>
        <v>N</v>
      </c>
      <c r="X147" s="174">
        <f t="shared" si="60"/>
        <v>1</v>
      </c>
      <c r="Y147" s="67">
        <f t="shared" si="52"/>
        <v>23.298999999999999</v>
      </c>
      <c r="Z147" s="67">
        <f t="shared" si="53"/>
        <v>1.4999999999999999E-2</v>
      </c>
      <c r="AA147" s="67">
        <f t="shared" si="54"/>
        <v>23.283999999999999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55"/>
        <v>0234-18</v>
      </c>
      <c r="AE147" s="91" t="str">
        <f t="shared" si="56"/>
        <v>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 &amp; aws s3 cp s3://rtdc.mdm.uploadarchive.raw/RTDC4017/ "%USERPROFILE%\AppData\Local\Temp\OnboardLogs"\RTDC4017\2016-10-19 --exclude "*" --recursive --include "*20161019*" &amp; "%USERPROFILE%\Documents\GitHub\mrs-test-scripts\Headless Mode &amp; Sideloading\WalkAndUnGZ.bat" "%USERPROFILE%\AppData\Local\Temp\OnboardLogs"\RTDC4017\2016-10-19</v>
      </c>
      <c r="AF147" s="88" t="str">
        <f t="shared" si="57"/>
        <v>"C:\Program Files (x86)\AstroGrep\AstroGrep.exe" /spath="%USERPROFILE%\AppData\Local\Temp\OnboardLogs" /stypes="app*4017*20161019*" /stext=" 06:.+((SYSTEM_STATE.+slice.+state.+changed )|(ment ac)|(system.+state.+changed )|(\[timeout)|(PRM\|1\|D)|(kpr)|(kdp)|(\|lc)|(penalty))" /e /r /s</v>
      </c>
      <c r="AG147" s="1" t="str">
        <f t="shared" si="58"/>
        <v>EC</v>
      </c>
      <c r="AH147" s="92" t="str">
        <f t="shared" si="45"/>
        <v>"%USERPROFILE%\Documents\GitHub\eaglep3\Utilities\RefineRTDCRunTimes.py" --tripid 234-18 --locoid 4017 --swversion DE.1.0.7.0 --startMP 204:232990 --initTime 2016-10-18T23:08:02 --startdatetime 2016-10-18T23:10:40 --delay 1 --endMP 204:150 --enddatetime 2016-10-19T00:23:09 --enforcementcount 0 &gt;&gt;C:\Users\stu\Documents\GitHub\eaglep3-reporting\EC\2016-10-18-refined-times.txt</v>
      </c>
      <c r="AI147" s="122" t="str">
        <f t="shared" si="46"/>
        <v>echo {"issue":{"subject":"Form O","project_id":79,"tracker_id":40,"status_id":1,"priority_id":2,"assigned_to_id":23,"start_date":"2016-10-19","description":"","custom_fields":[{"id":1,"name":"Subdivision","value":"EC"},{"id":4,"name":"Milepost","value":"0.015"},{"id":17,"name":"Train ID","value":"234-18"},{"id":16,"name":"Locomotive ID","value":"4017"},{"id":130,"name":"Impact","value":""},{"id":150,"name":"Time of Event (Mountain Time)","value":"00:23:09"},{"id":151,"name":"Denver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625</v>
      </c>
      <c r="B148" s="7">
        <v>4029</v>
      </c>
      <c r="C148" s="22" t="s">
        <v>99</v>
      </c>
      <c r="D148" s="22" t="s">
        <v>669</v>
      </c>
      <c r="E148" s="13">
        <v>42661.956956018519</v>
      </c>
      <c r="F148" s="13">
        <v>42661.959965277776</v>
      </c>
      <c r="G148" s="7">
        <v>1</v>
      </c>
      <c r="H148" s="13" t="s">
        <v>246</v>
      </c>
      <c r="I148" s="13">
        <v>42661.988993055558</v>
      </c>
      <c r="J148" s="7">
        <v>0</v>
      </c>
      <c r="K148" s="112" t="str">
        <f t="shared" si="47"/>
        <v>4029/4030</v>
      </c>
      <c r="L148" s="22" t="str">
        <f>VLOOKUP(A148,'Trips&amp;Operators'!$C$1:$E$10000,3,FALSE)</f>
        <v>CHANDLER</v>
      </c>
      <c r="M148" s="6">
        <f t="shared" si="48"/>
        <v>2.902777778217569E-2</v>
      </c>
      <c r="N148" s="7">
        <f t="shared" si="44"/>
        <v>41.800000006332994</v>
      </c>
      <c r="O148" s="7"/>
      <c r="P148" s="7"/>
      <c r="Q148" s="23"/>
      <c r="R148" s="23"/>
      <c r="S148" s="35">
        <f t="shared" si="59"/>
        <v>1</v>
      </c>
      <c r="T148" s="50" t="str">
        <f t="shared" si="49"/>
        <v>NorthBound</v>
      </c>
      <c r="U148" s="18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21:58:01-0600',mode:absolute,to:'2016-10-19 00:44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8" s="52" t="str">
        <f t="shared" si="51"/>
        <v>N</v>
      </c>
      <c r="X148" s="174">
        <f t="shared" si="60"/>
        <v>3</v>
      </c>
      <c r="Y148" s="67">
        <f t="shared" si="52"/>
        <v>4.6199999999999998E-2</v>
      </c>
      <c r="Z148" s="67">
        <f t="shared" si="53"/>
        <v>23.329499999999999</v>
      </c>
      <c r="AA148" s="67">
        <f t="shared" si="54"/>
        <v>23.283300000000001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55"/>
        <v>0237-18</v>
      </c>
      <c r="AE148" s="91" t="str">
        <f t="shared" si="56"/>
        <v>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 &amp; 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</v>
      </c>
      <c r="AF148" s="88" t="str">
        <f t="shared" si="57"/>
        <v>"C:\Program Files (x86)\AstroGrep\AstroGrep.exe" /spath="%USERPROFILE%\AppData\Local\Temp\OnboardLogs" /stypes="app*4029*20161019*" /stext=" 05:.+((SYSTEM_STATE.+slice.+state.+changed )|(ment ac)|(system.+state.+changed )|(\[timeout)|(PRM\|1\|D)|(kpr)|(kdp)|(\|lc)|(penalty))" /e /r /s</v>
      </c>
      <c r="AG148" s="1" t="str">
        <f t="shared" si="58"/>
        <v>EC</v>
      </c>
      <c r="AH148" s="92" t="str">
        <f t="shared" si="45"/>
        <v>"%USERPROFILE%\Documents\GitHub\eaglep3\Utilities\RefineRTDCRunTimes.py" --tripid 237-18 --locoid 4029 --swversion DE.1.0.7.0 --startMP 204:462 --initTime 2016-10-18T22:58:01 --startdatetime 2016-10-18T23:02:21 --delay 1 --endMP 204:233295 --enddatetime 2016-10-18T23:44:09 --enforcementcount 0 &gt;&gt;C:\Users\stu\Documents\GitHub\eaglep3-reporting\EC\2016-10-18-refined-times.txt</v>
      </c>
      <c r="AI148" s="122" t="str">
        <f t="shared" si="46"/>
        <v>echo {"issue":{"subject":"","project_id":79,"tracker_id":40,"status_id":1,"priority_id":2,"assigned_to_id":23,"start_date":"2016-10-18","description":"","custom_fields":[{"id":1,"name":"Subdivision","value":"EC"},{"id":4,"name":"Milepost","value":"23.3295"},{"id":17,"name":"Train ID","value":"237-18"},{"id":16,"name":"Locomotive ID","value":"4029"},{"id":130,"name":"Impact","value":""},{"id":150,"name":"Time of Event (Mountain Time)","value":"23:44:09"},{"id":151,"name":"Denver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629</v>
      </c>
      <c r="B149" s="7">
        <v>4030</v>
      </c>
      <c r="C149" s="22" t="s">
        <v>99</v>
      </c>
      <c r="D149" s="22" t="s">
        <v>283</v>
      </c>
      <c r="E149" s="13">
        <v>42661.991851851853</v>
      </c>
      <c r="F149" s="13">
        <v>42661.99795138889</v>
      </c>
      <c r="G149" s="7">
        <v>1</v>
      </c>
      <c r="H149" s="13" t="s">
        <v>236</v>
      </c>
      <c r="I149" s="13">
        <v>42662.051365740743</v>
      </c>
      <c r="J149" s="7">
        <v>0</v>
      </c>
      <c r="K149" s="112" t="str">
        <f t="shared" si="47"/>
        <v>4029/4030</v>
      </c>
      <c r="L149" s="22" t="str">
        <f>VLOOKUP(A149,'Trips&amp;Operators'!$C$1:$E$10000,3,FALSE)</f>
        <v>CHANDLER</v>
      </c>
      <c r="M149" s="6">
        <f t="shared" si="48"/>
        <v>5.34143518525525E-2</v>
      </c>
      <c r="N149" s="7">
        <f t="shared" si="44"/>
        <v>76.916666667675599</v>
      </c>
      <c r="O149" s="7"/>
      <c r="P149" s="7"/>
      <c r="Q149" s="23"/>
      <c r="R149" s="23" t="s">
        <v>788</v>
      </c>
      <c r="S149" s="35">
        <f t="shared" si="59"/>
        <v>1</v>
      </c>
      <c r="T149" s="50" t="str">
        <f t="shared" si="49"/>
        <v>Southbound</v>
      </c>
      <c r="U149" s="18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22:48:16-0600',mode:absolute,to:'2016-10-19 02:13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9" s="52" t="str">
        <f t="shared" si="51"/>
        <v>N</v>
      </c>
      <c r="X149" s="174">
        <f t="shared" si="60"/>
        <v>1</v>
      </c>
      <c r="Y149" s="67">
        <f t="shared" si="52"/>
        <v>23.2971</v>
      </c>
      <c r="Z149" s="67">
        <f t="shared" si="53"/>
        <v>1.6299999999999999E-2</v>
      </c>
      <c r="AA149" s="67">
        <f t="shared" si="54"/>
        <v>23.280799999999999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55"/>
        <v>0238-18</v>
      </c>
      <c r="AE149" s="91" t="str">
        <f t="shared" si="56"/>
        <v>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 &amp; aws s3 cp s3://rtdc.mdm.uploadarchive.raw/RTDC4030/ "%USERPROFILE%\AppData\Local\Temp\OnboardLogs"\RTDC4030\2016-10-19 --exclude "*" --recursive --include "*20161019*" &amp; "%USERPROFILE%\Documents\GitHub\mrs-test-scripts\Headless Mode &amp; Sideloading\WalkAndUnGZ.bat" "%USERPROFILE%\AppData\Local\Temp\OnboardLogs"\RTDC4030\2016-10-19</v>
      </c>
      <c r="AF149" s="88" t="str">
        <f t="shared" si="57"/>
        <v>"C:\Program Files (x86)\AstroGrep\AstroGrep.exe" /spath="%USERPROFILE%\AppData\Local\Temp\OnboardLogs" /stypes="app*4030*20161019*" /stext=" 07:.+((SYSTEM_STATE.+slice.+state.+changed )|(ment ac)|(system.+state.+changed )|(\[timeout)|(PRM\|1\|D)|(kpr)|(kdp)|(\|lc)|(penalty))" /e /r /s</v>
      </c>
      <c r="AG149" s="1" t="str">
        <f t="shared" si="58"/>
        <v>EC</v>
      </c>
      <c r="AH149" s="92" t="str">
        <f t="shared" si="45"/>
        <v>"%USERPROFILE%\Documents\GitHub\eaglep3\Utilities\RefineRTDCRunTimes.py" --tripid 238-18 --locoid 4030 --swversion DE.1.0.7.0 --startMP 204:232971 --initTime 2016-10-18T23:48:16 --startdatetime 2016-10-18T23:57:03 --delay 1 --endMP 204:163 --enddatetime 2016-10-19T01:13:58 --enforcementcount 0 &gt;&gt;C:\Users\stu\Documents\GitHub\eaglep3-reporting\EC\2016-10-18-refined-times.txt</v>
      </c>
      <c r="AI149" s="122" t="str">
        <f t="shared" si="46"/>
        <v>echo {"issue":{"subject":"Form O","project_id":79,"tracker_id":40,"status_id":1,"priority_id":2,"assigned_to_id":23,"start_date":"2016-10-19","description":"","custom_fields":[{"id":1,"name":"Subdivision","value":"EC"},{"id":4,"name":"Milepost","value":"0.0163"},{"id":17,"name":"Train ID","value":"238-18"},{"id":16,"name":"Locomotive ID","value":"4030"},{"id":130,"name":"Impact","value":""},{"id":150,"name":"Time of Event (Mountain Time)","value":"01:13:58"},{"id":151,"name":"Denver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628</v>
      </c>
      <c r="B150" s="7">
        <v>4044</v>
      </c>
      <c r="C150" s="22" t="s">
        <v>99</v>
      </c>
      <c r="D150" s="22" t="s">
        <v>669</v>
      </c>
      <c r="E150" s="13">
        <v>42661.973715277774</v>
      </c>
      <c r="F150" s="13">
        <v>42661.988576388889</v>
      </c>
      <c r="G150" s="7">
        <v>1</v>
      </c>
      <c r="H150" s="13" t="s">
        <v>324</v>
      </c>
      <c r="I150" s="13">
        <v>42662.016192129631</v>
      </c>
      <c r="J150" s="7">
        <v>0</v>
      </c>
      <c r="K150" s="112" t="str">
        <f t="shared" si="47"/>
        <v>4043/4044</v>
      </c>
      <c r="L150" s="22" t="str">
        <f>VLOOKUP(A150,'Trips&amp;Operators'!$C$1:$E$10000,3,FALSE)</f>
        <v>LEVERE</v>
      </c>
      <c r="M150" s="6">
        <f t="shared" si="48"/>
        <v>2.7615740742476191E-2</v>
      </c>
      <c r="N150" s="7">
        <f t="shared" si="44"/>
        <v>39.766666669165716</v>
      </c>
      <c r="O150" s="7"/>
      <c r="P150" s="7"/>
      <c r="Q150" s="23"/>
      <c r="R150" s="23"/>
      <c r="S150" s="35">
        <f t="shared" si="59"/>
        <v>1</v>
      </c>
      <c r="T150" s="50" t="str">
        <f t="shared" si="49"/>
        <v>NorthBound</v>
      </c>
      <c r="U150" s="18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22:22:09-0600',mode:absolute,to:'2016-10-19 01:23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0" s="52" t="str">
        <f t="shared" si="51"/>
        <v>N</v>
      </c>
      <c r="X150" s="174">
        <f t="shared" si="60"/>
        <v>1</v>
      </c>
      <c r="Y150" s="67">
        <f t="shared" si="52"/>
        <v>4.6199999999999998E-2</v>
      </c>
      <c r="Z150" s="67">
        <f t="shared" si="53"/>
        <v>23.3278</v>
      </c>
      <c r="AA150" s="67">
        <f t="shared" si="54"/>
        <v>23.281600000000001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55"/>
        <v>0239-18</v>
      </c>
      <c r="AE150" s="91" t="str">
        <f t="shared" si="56"/>
        <v>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 &amp; aws s3 cp s3://rtdc.mdm.uploadarchive.raw/RTDC4044/ "%USERPROFILE%\AppData\Local\Temp\OnboardLogs"\RTDC4044\2016-10-19 --exclude "*" --recursive --include "*20161019*" &amp; "%USERPROFILE%\Documents\GitHub\mrs-test-scripts\Headless Mode &amp; Sideloading\WalkAndUnGZ.bat" "%USERPROFILE%\AppData\Local\Temp\OnboardLogs"\RTDC4044\2016-10-19</v>
      </c>
      <c r="AF150" s="88" t="str">
        <f t="shared" si="57"/>
        <v>"C:\Program Files (x86)\AstroGrep\AstroGrep.exe" /spath="%USERPROFILE%\AppData\Local\Temp\OnboardLogs" /stypes="app*4044*20161019*" /stext=" 06:.+((SYSTEM_STATE.+slice.+state.+changed )|(ment ac)|(system.+state.+changed )|(\[timeout)|(PRM\|1\|D)|(kpr)|(kdp)|(\|lc)|(penalty))" /e /r /s</v>
      </c>
      <c r="AG150" s="1" t="str">
        <f t="shared" si="58"/>
        <v>EC</v>
      </c>
      <c r="AH150" s="92" t="str">
        <f t="shared" si="45"/>
        <v>"%USERPROFILE%\Documents\GitHub\eaglep3\Utilities\RefineRTDCRunTimes.py" --tripid 239-18 --locoid 4044 --swversion DE.1.0.7.0 --startMP 204:462 --initTime 2016-10-18T23:22:09 --startdatetime 2016-10-18T23:43:33 --delay 1 --endMP 204:233278 --enddatetime 2016-10-19T00:23:19 --enforcementcount 0 &gt;&gt;C:\Users\stu\Documents\GitHub\eaglep3-reporting\EC\2016-10-18-refined-times.txt</v>
      </c>
      <c r="AI150" s="122" t="str">
        <f t="shared" si="46"/>
        <v>echo {"issue":{"subject":"","project_id":79,"tracker_id":40,"status_id":1,"priority_id":2,"assigned_to_id":23,"start_date":"2016-10-19","description":"","custom_fields":[{"id":1,"name":"Subdivision","value":"EC"},{"id":4,"name":"Milepost","value":"23.3278"},{"id":17,"name":"Train ID","value":"239-18"},{"id":16,"name":"Locomotive ID","value":"4044"},{"id":130,"name":"Impact","value":""},{"id":150,"name":"Time of Event (Mountain Time)","value":"00:23:19"},{"id":151,"name":"Denver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7" t="s">
        <v>631</v>
      </c>
      <c r="B151" s="7">
        <v>4043</v>
      </c>
      <c r="C151" s="22" t="s">
        <v>99</v>
      </c>
      <c r="D151" s="22" t="s">
        <v>283</v>
      </c>
      <c r="E151" s="13">
        <v>42662.017685185187</v>
      </c>
      <c r="F151" s="13">
        <v>42662.024918981479</v>
      </c>
      <c r="G151" s="7">
        <v>1</v>
      </c>
      <c r="H151" s="13" t="s">
        <v>305</v>
      </c>
      <c r="I151" s="13">
        <v>42662.062511574077</v>
      </c>
      <c r="J151" s="7">
        <v>0</v>
      </c>
      <c r="K151" s="112" t="str">
        <f t="shared" si="47"/>
        <v>4043/4044</v>
      </c>
      <c r="L151" s="22" t="str">
        <f>VLOOKUP(A151,'Trips&amp;Operators'!$C$1:$E$10000,3,FALSE)</f>
        <v>LEVERE</v>
      </c>
      <c r="M151" s="6">
        <f t="shared" si="48"/>
        <v>3.7592592598230112E-2</v>
      </c>
      <c r="N151" s="7">
        <f t="shared" si="44"/>
        <v>54.133333341451362</v>
      </c>
      <c r="O151" s="7"/>
      <c r="P151" s="7"/>
      <c r="Q151" s="23"/>
      <c r="R151" s="23" t="s">
        <v>788</v>
      </c>
      <c r="S151" s="35">
        <f t="shared" si="59"/>
        <v>1</v>
      </c>
      <c r="T151" s="50" t="str">
        <f t="shared" si="49"/>
        <v>Southbound</v>
      </c>
      <c r="U151" s="18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23:25:28-0600',mode:absolute,to:'2016-10-19 02:30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1" s="52" t="str">
        <f t="shared" si="51"/>
        <v>N</v>
      </c>
      <c r="X151" s="174">
        <f t="shared" si="60"/>
        <v>1</v>
      </c>
      <c r="Y151" s="67">
        <f t="shared" si="52"/>
        <v>23.2971</v>
      </c>
      <c r="Z151" s="67">
        <f t="shared" si="53"/>
        <v>1.5599999999999999E-2</v>
      </c>
      <c r="AA151" s="67">
        <f t="shared" si="54"/>
        <v>23.281500000000001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55"/>
        <v>0240-18</v>
      </c>
      <c r="AE151" s="91" t="str">
        <f t="shared" si="56"/>
        <v>aws s3 cp s3://rtdc.mdm.uploadarchive.raw/RTDC4043/ "%USERPROFILE%\AppData\Local\Temp\OnboardLogs"\RTDC4043\2016-10-19 --exclude "*" --recursive --include "*20161019*" &amp; "%USERPROFILE%\Documents\GitHub\mrs-test-scripts\Headless Mode &amp; Sideloading\WalkAndUnGZ.bat" "%USERPROFILE%\AppData\Local\Temp\OnboardLogs"\RTDC4043\2016-10-19 &amp; 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</v>
      </c>
      <c r="AF151" s="88" t="str">
        <f t="shared" si="57"/>
        <v>"C:\Program Files (x86)\AstroGrep\AstroGrep.exe" /spath="%USERPROFILE%\AppData\Local\Temp\OnboardLogs" /stypes="app*4043*20161019*" /stext=" 07:.+((SYSTEM_STATE.+slice.+state.+changed )|(ment ac)|(system.+state.+changed )|(\[timeout)|(PRM\|1\|D)|(kpr)|(kdp)|(\|lc)|(penalty))" /e /r /s</v>
      </c>
      <c r="AG151" s="1" t="str">
        <f t="shared" si="58"/>
        <v>EC</v>
      </c>
      <c r="AH151" s="92" t="str">
        <f t="shared" si="45"/>
        <v>"%USERPROFILE%\Documents\GitHub\eaglep3\Utilities\RefineRTDCRunTimes.py" --tripid 240-18 --locoid 4043 --swversion DE.1.0.7.0 --startMP 204:232971 --initTime 2016-10-19T00:25:28 --startdatetime 2016-10-19T00:35:53 --delay 1 --endMP 204:156 --enddatetime 2016-10-19T01:30:01 --enforcementcount 0 &gt;&gt;C:\Users\stu\Documents\GitHub\eaglep3-reporting\EC\2016-10-18-refined-times.txt</v>
      </c>
      <c r="AI151" s="122" t="str">
        <f t="shared" si="46"/>
        <v>echo {"issue":{"subject":"Form O","project_id":79,"tracker_id":40,"status_id":1,"priority_id":2,"assigned_to_id":23,"start_date":"2016-10-19","description":"","custom_fields":[{"id":1,"name":"Subdivision","value":"EC"},{"id":4,"name":"Milepost","value":"0.0156"},{"id":17,"name":"Train ID","value":"240-18"},{"id":16,"name":"Locomotive ID","value":"4043"},{"id":130,"name":"Impact","value":""},{"id":150,"name":"Time of Event (Mountain Time)","value":"01:30:01"},{"id":151,"name":"Denver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x14ac:dyDescent="0.25">
      <c r="A152" s="37" t="s">
        <v>630</v>
      </c>
      <c r="B152" s="7">
        <v>4016</v>
      </c>
      <c r="C152" s="22" t="s">
        <v>99</v>
      </c>
      <c r="D152" s="22" t="s">
        <v>281</v>
      </c>
      <c r="E152" s="13">
        <v>42661.996261574073</v>
      </c>
      <c r="F152" s="13">
        <v>42662.021122685182</v>
      </c>
      <c r="G152" s="7">
        <v>1</v>
      </c>
      <c r="H152" s="13" t="s">
        <v>196</v>
      </c>
      <c r="I152" s="13">
        <v>42662.049444444441</v>
      </c>
      <c r="J152" s="7">
        <v>0</v>
      </c>
      <c r="K152" s="112" t="str">
        <f t="shared" si="47"/>
        <v>4015/4016</v>
      </c>
      <c r="L152" s="22" t="str">
        <f>VLOOKUP(A152,'Trips&amp;Operators'!$C$1:$E$10000,3,FALSE)</f>
        <v>BERLING</v>
      </c>
      <c r="M152" s="6">
        <f t="shared" si="48"/>
        <v>2.8321759258687962E-2</v>
      </c>
      <c r="N152" s="7">
        <f t="shared" si="44"/>
        <v>40.783333332510665</v>
      </c>
      <c r="O152" s="7"/>
      <c r="P152" s="7"/>
      <c r="Q152" s="23"/>
      <c r="R152" s="23"/>
      <c r="S152" s="35">
        <f t="shared" si="59"/>
        <v>1</v>
      </c>
      <c r="T152" s="50" t="str">
        <f t="shared" si="49"/>
        <v>NorthBound</v>
      </c>
      <c r="U152" s="18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22:54:37-0600',mode:absolute,to:'2016-10-19 02:11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2" s="52" t="str">
        <f t="shared" si="51"/>
        <v>N</v>
      </c>
      <c r="X152" s="174">
        <f t="shared" ref="X152:X183" si="61">VALUE(LEFT(AD152,4))-VALUE(LEFT(AD151,4))</f>
        <v>3</v>
      </c>
      <c r="Y152" s="67">
        <f t="shared" si="52"/>
        <v>4.7500000000000001E-2</v>
      </c>
      <c r="Z152" s="67">
        <f t="shared" si="53"/>
        <v>23.329699999999999</v>
      </c>
      <c r="AA152" s="67">
        <f t="shared" si="54"/>
        <v>23.2822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55"/>
        <v>0243-18</v>
      </c>
      <c r="AE152" s="91" t="str">
        <f t="shared" si="56"/>
        <v>aws s3 cp s3://rtdc.mdm.uploadarchive.raw/RTDC4016/ "%USERPROFILE%\AppData\Local\Temp\OnboardLogs"\RTDC4016\2016-10-19 --exclude "*" --recursive --include "*20161019*" &amp; "%USERPROFILE%\Documents\GitHub\mrs-test-scripts\Headless Mode &amp; Sideloading\WalkAndUnGZ.bat" "%USERPROFILE%\AppData\Local\Temp\OnboardLogs"\RTDC4016\2016-10-19 &amp; 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</v>
      </c>
      <c r="AF152" s="88" t="str">
        <f t="shared" si="57"/>
        <v>"C:\Program Files (x86)\AstroGrep\AstroGrep.exe" /spath="%USERPROFILE%\AppData\Local\Temp\OnboardLogs" /stypes="app*4016*20161019*" /stext=" 07:.+((SYSTEM_STATE.+slice.+state.+changed )|(ment ac)|(system.+state.+changed )|(\[timeout)|(PRM\|1\|D)|(kpr)|(kdp)|(\|lc)|(penalty))" /e /r /s</v>
      </c>
      <c r="AG152" s="1" t="str">
        <f t="shared" si="58"/>
        <v>EC</v>
      </c>
      <c r="AH152" s="92" t="str">
        <f t="shared" si="45"/>
        <v>"%USERPROFILE%\Documents\GitHub\eaglep3\Utilities\RefineRTDCRunTimes.py" --tripid 243-18 --locoid 4016 --swversion DE.1.0.7.0 --startMP 204:475 --initTime 2016-10-18T23:54:37 --startdatetime 2016-10-19T00:30:25 --delay 1 --endMP 204:233297 --enddatetime 2016-10-19T01:11:12 --enforcementcount 0 &gt;&gt;C:\Users\stu\Documents\GitHub\eaglep3-reporting\EC\2016-10-18-refined-times.txt</v>
      </c>
      <c r="AI152" s="122" t="str">
        <f t="shared" si="46"/>
        <v>echo {"issue":{"subject":"","project_id":79,"tracker_id":40,"status_id":1,"priority_id":2,"assigned_to_id":23,"start_date":"2016-10-19","description":"","custom_fields":[{"id":1,"name":"Subdivision","value":"EC"},{"id":4,"name":"Milepost","value":"23.3297"},{"id":17,"name":"Train ID","value":"243-18"},{"id":16,"name":"Locomotive ID","value":"4016"},{"id":130,"name":"Impact","value":""},{"id":150,"name":"Time of Event (Mountain Time)","value":"01:11:12"},{"id":151,"name":"Denver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x14ac:dyDescent="0.25">
      <c r="A153" s="37" t="s">
        <v>634</v>
      </c>
      <c r="B153" s="7">
        <v>4015</v>
      </c>
      <c r="C153" s="22" t="s">
        <v>99</v>
      </c>
      <c r="D153" s="22" t="s">
        <v>276</v>
      </c>
      <c r="E153" s="13">
        <v>42662.054525462961</v>
      </c>
      <c r="F153" s="13">
        <v>42662.059988425928</v>
      </c>
      <c r="G153" s="7">
        <v>1</v>
      </c>
      <c r="H153" s="13" t="s">
        <v>688</v>
      </c>
      <c r="I153" s="13">
        <v>42662.087939814817</v>
      </c>
      <c r="J153" s="7">
        <v>0</v>
      </c>
      <c r="K153" s="112" t="str">
        <f t="shared" si="47"/>
        <v>4015/4016</v>
      </c>
      <c r="L153" s="22" t="str">
        <f>VLOOKUP(A153,'Trips&amp;Operators'!$C$1:$E$10000,3,FALSE)</f>
        <v>BERLING</v>
      </c>
      <c r="M153" s="6">
        <f t="shared" si="48"/>
        <v>2.7951388889050577E-2</v>
      </c>
      <c r="N153" s="7">
        <f t="shared" si="44"/>
        <v>40.250000000232831</v>
      </c>
      <c r="O153" s="7"/>
      <c r="P153" s="7"/>
      <c r="Q153" s="23"/>
      <c r="R153" s="23"/>
      <c r="S153" s="35">
        <f t="shared" si="59"/>
        <v>1</v>
      </c>
      <c r="T153" s="50" t="str">
        <f t="shared" si="49"/>
        <v>Southbound</v>
      </c>
      <c r="U153" s="18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https://search-rtdc-monitor-bjffxe2xuh6vdkpspy63sjmuny.us-east-1.es.amazonaws.com/_plugin/kibana/#/discover/Steve-Slow-Train-Analysis-(2080s-and-2083s)?_g=(refreshInterval:(display:Off,section:0,value:0),time:(from:'2016-10-19 00:18:31-0600',mode:absolute,to:'2016-10-19 03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3" s="52" t="str">
        <f t="shared" si="51"/>
        <v>N</v>
      </c>
      <c r="X153" s="174">
        <f t="shared" si="61"/>
        <v>1</v>
      </c>
      <c r="Y153" s="67">
        <f t="shared" si="52"/>
        <v>23.297699999999999</v>
      </c>
      <c r="Z153" s="67">
        <f t="shared" si="53"/>
        <v>1.1900000000000001E-2</v>
      </c>
      <c r="AA153" s="67">
        <f t="shared" si="54"/>
        <v>23.285799999999998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55"/>
        <v>0244-18</v>
      </c>
      <c r="AE153" s="91" t="str">
        <f t="shared" si="56"/>
        <v>aws s3 cp s3://rtdc.mdm.uploadarchive.raw/RTDC4015/ "%USERPROFILE%\AppData\Local\Temp\OnboardLogs"\RTDC4015\2016-10-19 --exclude "*" --recursive --include "*20161019*" &amp; "%USERPROFILE%\Documents\GitHub\mrs-test-scripts\Headless Mode &amp; Sideloading\WalkAndUnGZ.bat" "%USERPROFILE%\AppData\Local\Temp\OnboardLogs"\RTDC4015\2016-10-19 &amp; aws s3 cp s3://rtdc.mdm.uploadarchive.raw/RTDC4015/ "%USERPROFILE%\AppData\Local\Temp\OnboardLogs"\RTDC4015\2016-10-20 --exclude "*" --recursive --include "*20161020*" &amp; "%USERPROFILE%\Documents\GitHub\mrs-test-scripts\Headless Mode &amp; Sideloading\WalkAndUnGZ.bat" "%USERPROFILE%\AppData\Local\Temp\OnboardLogs"\RTDC4015\2016-10-20</v>
      </c>
      <c r="AF153" s="88" t="str">
        <f t="shared" si="57"/>
        <v>"C:\Program Files (x86)\AstroGrep\AstroGrep.exe" /spath="%USERPROFILE%\AppData\Local\Temp\OnboardLogs" /stypes="app*4015*20161019*" /stext=" 08:.+((SYSTEM_STATE.+slice.+state.+changed )|(ment ac)|(system.+state.+changed )|(\[timeout)|(PRM\|1\|D)|(kpr)|(kdp)|(\|lc)|(penalty))" /e /r /s</v>
      </c>
      <c r="AG153" s="1" t="str">
        <f t="shared" si="58"/>
        <v>EC</v>
      </c>
      <c r="AH153" s="92" t="str">
        <f t="shared" si="45"/>
        <v>"%USERPROFILE%\Documents\GitHub\eaglep3\Utilities\RefineRTDCRunTimes.py" --tripid 244-18 --locoid 4015 --swversion DE.1.0.7.0 --startMP 204:232977 --initTime 2016-10-19T01:18:31 --startdatetime 2016-10-19T01:26:23 --delay 1 --endMP 204:119 --enddatetime 2016-10-19T02:06:38 --enforcementcount 0 &gt;&gt;C:\Users\stu\Documents\GitHub\eaglep3-reporting\EC\2016-10-18-refined-times.txt</v>
      </c>
      <c r="AI153" s="122" t="str">
        <f t="shared" si="46"/>
        <v>echo {"issue":{"subject":"","project_id":79,"tracker_id":40,"status_id":1,"priority_id":2,"assigned_to_id":23,"start_date":"2016-10-19","description":"","custom_fields":[{"id":1,"name":"Subdivision","value":"EC"},{"id":4,"name":"Milepost","value":"0.0119"},{"id":17,"name":"Train ID","value":"244-18"},{"id":16,"name":"Locomotive ID","value":"4015"},{"id":130,"name":"Impact","value":""},{"id":150,"name":"Time of Event (Mountain Time)","value":"02:06:38"},{"id":151,"name":"Denver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s="21" customFormat="1" x14ac:dyDescent="0.25">
      <c r="A154" s="37" t="s">
        <v>458</v>
      </c>
      <c r="B154" s="7">
        <v>4045</v>
      </c>
      <c r="C154" s="22" t="s">
        <v>99</v>
      </c>
      <c r="D154" s="22" t="s">
        <v>723</v>
      </c>
      <c r="E154" s="13">
        <v>42661.208877314813</v>
      </c>
      <c r="F154" s="13">
        <v>42661.210277777776</v>
      </c>
      <c r="G154" s="7">
        <v>1</v>
      </c>
      <c r="H154" s="13" t="s">
        <v>724</v>
      </c>
      <c r="I154" s="13">
        <v>42661.22587962963</v>
      </c>
      <c r="J154" s="7">
        <v>0</v>
      </c>
      <c r="K154" s="112" t="str">
        <f t="shared" si="47"/>
        <v>4045/4046</v>
      </c>
      <c r="L154" s="22" t="str">
        <f>VLOOKUP(A154,'Trips&amp;Operators'!$C$1:$E$10000,3,FALSE)</f>
        <v>BEAM</v>
      </c>
      <c r="M154" s="6">
        <f t="shared" si="48"/>
        <v>1.5601851853716653E-2</v>
      </c>
      <c r="N154" s="7">
        <f t="shared" ref="N154:N185" si="62">24*60*SUM($M154:$M154)</f>
        <v>22.46666666935198</v>
      </c>
      <c r="O154" s="7"/>
      <c r="P154" s="7"/>
      <c r="Q154" s="23"/>
      <c r="R154" s="23"/>
      <c r="S154" s="35">
        <f t="shared" si="59"/>
        <v>1</v>
      </c>
      <c r="T154" s="50" t="str">
        <f t="shared" si="49"/>
        <v>Southbound</v>
      </c>
      <c r="U154" s="18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04:00:47-0600',mode:absolute,to:'2016-10-18 06:25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4" s="52" t="str">
        <f t="shared" si="51"/>
        <v>N</v>
      </c>
      <c r="X154" s="174">
        <f t="shared" si="61"/>
        <v>556</v>
      </c>
      <c r="Y154" s="67">
        <f t="shared" si="52"/>
        <v>5.8677000000000001</v>
      </c>
      <c r="Z154" s="67">
        <f t="shared" si="53"/>
        <v>6.9400000000000003E-2</v>
      </c>
      <c r="AA154" s="67">
        <f t="shared" si="54"/>
        <v>5.7983000000000002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55"/>
        <v>0800-18</v>
      </c>
      <c r="AE154" s="91" t="str">
        <f t="shared" si="56"/>
        <v>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 &amp; 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</v>
      </c>
      <c r="AF154" s="88" t="str">
        <f t="shared" si="57"/>
        <v>"C:\Program Files (x86)\AstroGrep\AstroGrep.exe" /spath="%USERPROFILE%\AppData\Local\Temp\OnboardLogs" /stypes="app*4045*20161018*" /stext=" 11:.+((SYSTEM_STATE.+slice.+state.+changed )|(ment ac)|(system.+state.+changed )|(\[timeout)|(PRM\|1\|D)|(kpr)|(kdp)|(\|lc)|(penalty))" /e /r /s</v>
      </c>
      <c r="AG154" s="1" t="str">
        <f t="shared" si="58"/>
        <v>NW</v>
      </c>
      <c r="AH154" s="92" t="str">
        <f t="shared" si="45"/>
        <v>"%USERPROFILE%\Documents\GitHub\eaglep3\Utilities\RefineRTDCRunTimes.py" --tripid 800-18 --locoid 4045 --swversion DE.1.0.7.0 --startMP 300:58677 --initTime 2016-10-18T05:00:47 --startdatetime 2016-10-18T05:02:48 --delay 1 --endMP 204:694 --enddatetime 2016-10-18T05:25:16 --enforcementcount 0 &gt;&gt;C:\Users\stu\Documents\GitHub\eaglep3-reporting\EC\2016-10-18-refined-times.txt</v>
      </c>
      <c r="AI154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{"issue":{"subject":"","project_id":79,"tracker_id":40,"status_id":1,"priority_id":2,"assigned_to_id":23,"start_date":"2016-10-18","description":"","custom_fields":[{"id":1,"name":"Subdivision","value":"NW"},{"id":4,"name":"Milepost","value":"0.0694"},{"id":17,"name":"Train ID","value":"800-18"},{"id":16,"name":"Locomotive ID","value":"4045"},{"id":130,"name":"Impact","value":""},{"id":150,"name":"Time of Event (Mountain Time)","value":"05:25:16"},{"id":151,"name":"Denver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463</v>
      </c>
      <c r="B155" s="7">
        <v>4046</v>
      </c>
      <c r="C155" s="22" t="s">
        <v>99</v>
      </c>
      <c r="D155" s="22" t="s">
        <v>725</v>
      </c>
      <c r="E155" s="13">
        <v>42661.239212962966</v>
      </c>
      <c r="F155" s="13">
        <v>42661.24391203704</v>
      </c>
      <c r="G155" s="7">
        <v>1</v>
      </c>
      <c r="H155" s="13" t="s">
        <v>726</v>
      </c>
      <c r="I155" s="13">
        <v>42661.252986111111</v>
      </c>
      <c r="J155" s="7">
        <v>0</v>
      </c>
      <c r="K155" s="112" t="str">
        <f t="shared" si="47"/>
        <v>4045/4046</v>
      </c>
      <c r="L155" s="22" t="str">
        <f>VLOOKUP(A155,'Trips&amp;Operators'!$C$1:$E$10000,3,FALSE)</f>
        <v>BEAM</v>
      </c>
      <c r="M155" s="6">
        <f t="shared" si="48"/>
        <v>9.074074070667848E-3</v>
      </c>
      <c r="N155" s="7">
        <f t="shared" si="62"/>
        <v>13.066666661761701</v>
      </c>
      <c r="O155" s="7"/>
      <c r="P155" s="7"/>
      <c r="Q155" s="23"/>
      <c r="R155" s="23"/>
      <c r="S155" s="35">
        <f t="shared" si="59"/>
        <v>1</v>
      </c>
      <c r="T155" s="50" t="str">
        <f t="shared" si="49"/>
        <v>NorthBound</v>
      </c>
      <c r="U155" s="18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04:44:28-0600',mode:absolute,to:'2016-10-18 07:04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5" s="52" t="str">
        <f t="shared" si="51"/>
        <v>N</v>
      </c>
      <c r="X155" s="174">
        <f t="shared" si="61"/>
        <v>1</v>
      </c>
      <c r="Y155" s="67">
        <f t="shared" si="52"/>
        <v>9.8599999999999993E-2</v>
      </c>
      <c r="Z155" s="67">
        <f t="shared" si="53"/>
        <v>5.8992000000000004</v>
      </c>
      <c r="AA155" s="67">
        <f t="shared" si="54"/>
        <v>5.8006000000000002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55"/>
        <v>0801-18</v>
      </c>
      <c r="AE155" s="91" t="str">
        <f t="shared" si="56"/>
        <v>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 &amp; 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</v>
      </c>
      <c r="AF155" s="88" t="str">
        <f t="shared" si="57"/>
        <v>"C:\Program Files (x86)\AstroGrep\AstroGrep.exe" /spath="%USERPROFILE%\AppData\Local\Temp\OnboardLogs" /stypes="app*4046*20161018*" /stext=" 12:.+((SYSTEM_STATE.+slice.+state.+changed )|(ment ac)|(system.+state.+changed )|(\[timeout)|(PRM\|1\|D)|(kpr)|(kdp)|(\|lc)|(penalty))" /e /r /s</v>
      </c>
      <c r="AG155" s="1" t="str">
        <f t="shared" si="58"/>
        <v>NW</v>
      </c>
      <c r="AH155" s="92" t="str">
        <f t="shared" si="45"/>
        <v>"%USERPROFILE%\Documents\GitHub\eaglep3\Utilities\RefineRTDCRunTimes.py" --tripid 801-18 --locoid 4046 --swversion DE.1.0.7.0 --startMP 204:986 --initTime 2016-10-18T05:44:28 --startdatetime 2016-10-18T05:51:14 --delay 1 --endMP 300:58992 --enddatetime 2016-10-18T06:04:18 --enforcementcount 0 &gt;&gt;C:\Users\stu\Documents\GitHub\eaglep3-reporting\EC\2016-10-18-refined-times.txt</v>
      </c>
      <c r="AI155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{"issue":{"subject":"","project_id":79,"tracker_id":40,"status_id":1,"priority_id":2,"assigned_to_id":23,"start_date":"2016-10-18","description":"","custom_fields":[{"id":1,"name":"Subdivision","value":"NW"},{"id":4,"name":"Milepost","value":"5.8992"},{"id":17,"name":"Train ID","value":"801-18"},{"id":16,"name":"Locomotive ID","value":"4046"},{"id":130,"name":"Impact","value":""},{"id":150,"name":"Time of Event (Mountain Time)","value":"06:04:18"},{"id":151,"name":"Denver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467</v>
      </c>
      <c r="B156" s="7">
        <v>4045</v>
      </c>
      <c r="C156" s="22" t="s">
        <v>99</v>
      </c>
      <c r="D156" s="22" t="s">
        <v>727</v>
      </c>
      <c r="E156" s="13">
        <v>42661.254386574074</v>
      </c>
      <c r="F156" s="13">
        <v>42661.255497685182</v>
      </c>
      <c r="G156" s="7">
        <v>1</v>
      </c>
      <c r="H156" s="13" t="s">
        <v>399</v>
      </c>
      <c r="I156" s="13">
        <v>42661.268333333333</v>
      </c>
      <c r="J156" s="7">
        <v>0</v>
      </c>
      <c r="K156" s="112" t="str">
        <f t="shared" si="47"/>
        <v>4045/4046</v>
      </c>
      <c r="L156" s="22" t="str">
        <f>VLOOKUP(A156,'Trips&amp;Operators'!$C$1:$E$10000,3,FALSE)</f>
        <v>BEAM</v>
      </c>
      <c r="M156" s="6">
        <f t="shared" si="48"/>
        <v>1.283564815093996E-2</v>
      </c>
      <c r="N156" s="7">
        <f t="shared" si="62"/>
        <v>18.483333337353542</v>
      </c>
      <c r="O156" s="7"/>
      <c r="P156" s="7"/>
      <c r="Q156" s="23"/>
      <c r="R156" s="23"/>
      <c r="S156" s="35">
        <f t="shared" si="59"/>
        <v>1</v>
      </c>
      <c r="T156" s="50" t="str">
        <f t="shared" si="49"/>
        <v>Southbound</v>
      </c>
      <c r="U156" s="18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05:06:19-0600',mode:absolute,to:'2016-10-18 07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6" s="52" t="str">
        <f t="shared" si="51"/>
        <v>N</v>
      </c>
      <c r="X156" s="174">
        <f t="shared" si="61"/>
        <v>1</v>
      </c>
      <c r="Y156" s="67">
        <f t="shared" si="52"/>
        <v>5.8667999999999996</v>
      </c>
      <c r="Z156" s="67">
        <f t="shared" si="53"/>
        <v>7.4099999999999999E-2</v>
      </c>
      <c r="AA156" s="67">
        <f t="shared" si="54"/>
        <v>5.7927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55"/>
        <v>0802-18</v>
      </c>
      <c r="AE156" s="91" t="str">
        <f t="shared" si="56"/>
        <v>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 &amp; 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</v>
      </c>
      <c r="AF156" s="88" t="str">
        <f t="shared" si="57"/>
        <v>"C:\Program Files (x86)\AstroGrep\AstroGrep.exe" /spath="%USERPROFILE%\AppData\Local\Temp\OnboardLogs" /stypes="app*4045*20161018*" /stext=" 12:.+((SYSTEM_STATE.+slice.+state.+changed )|(ment ac)|(system.+state.+changed )|(\[timeout)|(PRM\|1\|D)|(kpr)|(kdp)|(\|lc)|(penalty))" /e /r /s</v>
      </c>
      <c r="AG156" s="1" t="str">
        <f t="shared" si="58"/>
        <v>NW</v>
      </c>
      <c r="AH156" s="92" t="str">
        <f t="shared" si="45"/>
        <v>"%USERPROFILE%\Documents\GitHub\eaglep3\Utilities\RefineRTDCRunTimes.py" --tripid 802-18 --locoid 4045 --swversion DE.1.0.7.0 --startMP 300:58668 --initTime 2016-10-18T06:06:19 --startdatetime 2016-10-18T06:07:55 --delay 1 --endMP 204:741 --enddatetime 2016-10-18T06:26:24 --enforcementcount 0 &gt;&gt;C:\Users\stu\Documents\GitHub\eaglep3-reporting\EC\2016-10-18-refined-times.txt</v>
      </c>
      <c r="AI156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{"issue":{"subject":"","project_id":79,"tracker_id":40,"status_id":1,"priority_id":2,"assigned_to_id":23,"start_date":"2016-10-18","description":"","custom_fields":[{"id":1,"name":"Subdivision","value":"NW"},{"id":4,"name":"Milepost","value":"0.0741"},{"id":17,"name":"Train ID","value":"802-18"},{"id":16,"name":"Locomotive ID","value":"4045"},{"id":130,"name":"Impact","value":""},{"id":150,"name":"Time of Event (Mountain Time)","value":"06:26:24"},{"id":151,"name":"Denver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470</v>
      </c>
      <c r="B157" s="7">
        <v>4053</v>
      </c>
      <c r="C157" s="22" t="s">
        <v>99</v>
      </c>
      <c r="D157" s="22" t="s">
        <v>728</v>
      </c>
      <c r="E157" s="13">
        <v>42661.260960648149</v>
      </c>
      <c r="F157" s="13">
        <v>42661.264768518522</v>
      </c>
      <c r="G157" s="7">
        <v>1</v>
      </c>
      <c r="H157" s="13" t="s">
        <v>309</v>
      </c>
      <c r="I157" s="13">
        <v>42661.274131944447</v>
      </c>
      <c r="J157" s="7">
        <v>0</v>
      </c>
      <c r="K157" s="112" t="str">
        <f t="shared" si="47"/>
        <v>4053/4054</v>
      </c>
      <c r="L157" s="22" t="str">
        <f>VLOOKUP(A157,'Trips&amp;Operators'!$C$1:$E$10000,3,FALSE)</f>
        <v>LEVIN</v>
      </c>
      <c r="M157" s="6">
        <f t="shared" si="48"/>
        <v>9.3634259246755391E-3</v>
      </c>
      <c r="N157" s="7">
        <f t="shared" si="62"/>
        <v>13.483333331532776</v>
      </c>
      <c r="O157" s="7"/>
      <c r="P157" s="7"/>
      <c r="Q157" s="23"/>
      <c r="R157" s="23"/>
      <c r="S157" s="35">
        <f t="shared" si="59"/>
        <v>1</v>
      </c>
      <c r="T157" s="50" t="str">
        <f t="shared" si="49"/>
        <v>NorthBound</v>
      </c>
      <c r="U157" s="18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05:15:47-0600',mode:absolute,to:'2016-10-18 07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7" s="52" t="str">
        <f t="shared" si="51"/>
        <v>N</v>
      </c>
      <c r="X157" s="174">
        <f t="shared" si="61"/>
        <v>1</v>
      </c>
      <c r="Y157" s="67">
        <f t="shared" si="52"/>
        <v>0.10059999999999999</v>
      </c>
      <c r="Z157" s="67">
        <f t="shared" si="53"/>
        <v>5.8924000000000003</v>
      </c>
      <c r="AA157" s="67">
        <f t="shared" si="54"/>
        <v>5.7918000000000003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55"/>
        <v>0803-18</v>
      </c>
      <c r="AE157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57" s="88" t="str">
        <f t="shared" si="57"/>
        <v>"C:\Program Files (x86)\AstroGrep\AstroGrep.exe" /spath="%USERPROFILE%\AppData\Local\Temp\OnboardLogs" /stypes="app*4053*20161018*" /stext=" 12:.+((SYSTEM_STATE.+slice.+state.+changed )|(ment ac)|(system.+state.+changed )|(\[timeout)|(PRM\|1\|D)|(kpr)|(kdp)|(\|lc)|(penalty))" /e /r /s</v>
      </c>
      <c r="AG157" s="1" t="str">
        <f t="shared" si="58"/>
        <v>NW</v>
      </c>
      <c r="AH157" s="92" t="str">
        <f t="shared" si="45"/>
        <v>"%USERPROFILE%\Documents\GitHub\eaglep3\Utilities\RefineRTDCRunTimes.py" --tripid 803-18 --locoid 4053 --swversion DE.1.0.7.0 --startMP 204:1006 --initTime 2016-10-18T06:15:47 --startdatetime 2016-10-18T06:21:16 --delay 1 --endMP 300:58924 --enddatetime 2016-10-18T06:34:45 --enforcementcount 0 &gt;&gt;C:\Users\stu\Documents\GitHub\eaglep3-reporting\EC\2016-10-18-refined-times.txt</v>
      </c>
      <c r="AI157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{"issue":{"subject":"","project_id":79,"tracker_id":40,"status_id":1,"priority_id":2,"assigned_to_id":23,"start_date":"2016-10-18","description":"","custom_fields":[{"id":1,"name":"Subdivision","value":"NW"},{"id":4,"name":"Milepost","value":"5.8924"},{"id":17,"name":"Train ID","value":"803-18"},{"id":16,"name":"Locomotive ID","value":"4053"},{"id":130,"name":"Impact","value":""},{"id":150,"name":"Time of Event (Mountain Time)","value":"06:34:45"},{"id":151,"name":"Denver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473</v>
      </c>
      <c r="B158" s="7">
        <v>4054</v>
      </c>
      <c r="C158" s="22" t="s">
        <v>99</v>
      </c>
      <c r="D158" s="22" t="s">
        <v>393</v>
      </c>
      <c r="E158" s="13">
        <v>42661.275196759256</v>
      </c>
      <c r="F158" s="13">
        <v>42661.276516203703</v>
      </c>
      <c r="G158" s="7">
        <v>1</v>
      </c>
      <c r="H158" s="13" t="s">
        <v>644</v>
      </c>
      <c r="I158" s="13">
        <v>42661.288784722223</v>
      </c>
      <c r="J158" s="7">
        <v>0</v>
      </c>
      <c r="K158" s="112" t="str">
        <f t="shared" si="47"/>
        <v>4053/4054</v>
      </c>
      <c r="L158" s="22" t="str">
        <f>VLOOKUP(A158,'Trips&amp;Operators'!$C$1:$E$10000,3,FALSE)</f>
        <v>LEVIN</v>
      </c>
      <c r="M158" s="6">
        <f t="shared" si="48"/>
        <v>1.226851851970423E-2</v>
      </c>
      <c r="N158" s="7">
        <f t="shared" si="62"/>
        <v>17.666666668374091</v>
      </c>
      <c r="O158" s="7"/>
      <c r="P158" s="7"/>
      <c r="Q158" s="23"/>
      <c r="R158" s="23"/>
      <c r="S158" s="35">
        <f t="shared" si="59"/>
        <v>1</v>
      </c>
      <c r="T158" s="50" t="str">
        <f t="shared" si="49"/>
        <v>Southbound</v>
      </c>
      <c r="U158" s="18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05:36:17-0600',mode:absolute,to:'2016-10-18 07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8" s="52" t="str">
        <f t="shared" si="51"/>
        <v>N</v>
      </c>
      <c r="X158" s="174">
        <f t="shared" si="61"/>
        <v>1</v>
      </c>
      <c r="Y158" s="67">
        <f t="shared" si="52"/>
        <v>5.8613</v>
      </c>
      <c r="Z158" s="67">
        <f t="shared" si="53"/>
        <v>7.5399999999999995E-2</v>
      </c>
      <c r="AA158" s="67">
        <f t="shared" si="54"/>
        <v>5.7858999999999998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55"/>
        <v>0804-18</v>
      </c>
      <c r="AE158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58" s="88" t="str">
        <f t="shared" si="57"/>
        <v>"C:\Program Files (x86)\AstroGrep\AstroGrep.exe" /spath="%USERPROFILE%\AppData\Local\Temp\OnboardLogs" /stypes="app*4054*20161018*" /stext=" 12:.+((SYSTEM_STATE.+slice.+state.+changed )|(ment ac)|(system.+state.+changed )|(\[timeout)|(PRM\|1\|D)|(kpr)|(kdp)|(\|lc)|(penalty))" /e /r /s</v>
      </c>
      <c r="AG158" s="1" t="str">
        <f t="shared" si="58"/>
        <v>NW</v>
      </c>
      <c r="AH158" s="92" t="str">
        <f t="shared" si="45"/>
        <v>"%USERPROFILE%\Documents\GitHub\eaglep3\Utilities\RefineRTDCRunTimes.py" --tripid 804-18 --locoid 4054 --swversion DE.1.0.7.0 --startMP 300:58613 --initTime 2016-10-18T06:36:17 --startdatetime 2016-10-18T06:38:11 --delay 1 --endMP 204:754 --enddatetime 2016-10-18T06:55:51 --enforcementcount 0 &gt;&gt;C:\Users\stu\Documents\GitHub\eaglep3-reporting\EC\2016-10-18-refined-times.txt</v>
      </c>
      <c r="AI158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{"issue":{"subject":"","project_id":79,"tracker_id":40,"status_id":1,"priority_id":2,"assigned_to_id":23,"start_date":"2016-10-18","description":"","custom_fields":[{"id":1,"name":"Subdivision","value":"NW"},{"id":4,"name":"Milepost","value":"0.0754"},{"id":17,"name":"Train ID","value":"804-18"},{"id":16,"name":"Locomotive ID","value":"4054"},{"id":130,"name":"Impact","value":""},{"id":150,"name":"Time of Event (Mountain Time)","value":"06:55:51"},{"id":151,"name":"Denver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412</v>
      </c>
      <c r="B159" s="7">
        <v>4046</v>
      </c>
      <c r="C159" s="22" t="s">
        <v>99</v>
      </c>
      <c r="D159" s="22" t="s">
        <v>729</v>
      </c>
      <c r="E159" s="13">
        <v>42661.281469907408</v>
      </c>
      <c r="F159" s="13">
        <v>42661.285717592589</v>
      </c>
      <c r="G159" s="7">
        <v>0</v>
      </c>
      <c r="H159" s="13" t="s">
        <v>730</v>
      </c>
      <c r="I159" s="13">
        <v>42661.295173611114</v>
      </c>
      <c r="J159" s="7">
        <v>0</v>
      </c>
      <c r="K159" s="112" t="str">
        <f t="shared" si="47"/>
        <v>4045/4046</v>
      </c>
      <c r="L159" s="22" t="str">
        <f>VLOOKUP(A159,'Trips&amp;Operators'!$C$1:$E$10000,3,FALSE)</f>
        <v>BEAM</v>
      </c>
      <c r="M159" s="6">
        <f t="shared" si="48"/>
        <v>9.456018524360843E-3</v>
      </c>
      <c r="N159" s="7">
        <f t="shared" si="62"/>
        <v>13.616666675079614</v>
      </c>
      <c r="O159" s="7"/>
      <c r="P159" s="7"/>
      <c r="Q159" s="23"/>
      <c r="R159" s="23"/>
      <c r="S159" s="35">
        <f t="shared" si="59"/>
        <v>1</v>
      </c>
      <c r="T159" s="50" t="str">
        <f t="shared" si="49"/>
        <v>NorthBound</v>
      </c>
      <c r="U159" s="18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05:45:19-0600',mode:absolute,to:'2016-10-18 08:05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9" s="52" t="str">
        <f t="shared" si="51"/>
        <v>N</v>
      </c>
      <c r="X159" s="174">
        <f t="shared" si="61"/>
        <v>1</v>
      </c>
      <c r="Y159" s="67">
        <f t="shared" si="52"/>
        <v>0.1028</v>
      </c>
      <c r="Z159" s="67">
        <f t="shared" si="53"/>
        <v>5.8978000000000002</v>
      </c>
      <c r="AA159" s="67">
        <f t="shared" si="54"/>
        <v>5.7949999999999999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55"/>
        <v>0805-18</v>
      </c>
      <c r="AE159" s="91" t="str">
        <f t="shared" si="56"/>
        <v>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 &amp; 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</v>
      </c>
      <c r="AF159" s="88" t="str">
        <f t="shared" si="57"/>
        <v>"C:\Program Files (x86)\AstroGrep\AstroGrep.exe" /spath="%USERPROFILE%\AppData\Local\Temp\OnboardLogs" /stypes="app*4046*20161018*" /stext=" 13:.+((SYSTEM_STATE.+slice.+state.+changed )|(ment ac)|(system.+state.+changed )|(\[timeout)|(PRM\|1\|D)|(kpr)|(kdp)|(\|lc)|(penalty))" /e /r /s</v>
      </c>
      <c r="AG159" s="1" t="str">
        <f t="shared" si="58"/>
        <v>NW</v>
      </c>
      <c r="AH159" s="92" t="str">
        <f t="shared" si="45"/>
        <v>"%USERPROFILE%\Documents\GitHub\eaglep3\Utilities\RefineRTDCRunTimes.py" --tripid 805-18 --locoid 4046 --swversion DE.1.0.7.0 --startMP 204:1028 --initTime 2016-10-18T06:45:19 --startdatetime 2016-10-18T06:51:26 --delay 0 --endMP 300:58978 --enddatetime 2016-10-18T07:05:03 --enforcementcount 0 &gt;&gt;C:\Users\stu\Documents\GitHub\eaglep3-reporting\EC\2016-10-18-refined-times.txt</v>
      </c>
      <c r="AI159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{"issue":{"subject":"","project_id":79,"tracker_id":40,"status_id":1,"priority_id":2,"assigned_to_id":23,"start_date":"2016-10-18","description":"","custom_fields":[{"id":1,"name":"Subdivision","value":"NW"},{"id":4,"name":"Milepost","value":"5.8978"},{"id":17,"name":"Train ID","value":"805-18"},{"id":16,"name":"Locomotive ID","value":"4046"},{"id":130,"name":"Impact","value":""},{"id":150,"name":"Time of Event (Mountain Time)","value":"07:05:03"},{"id":151,"name":"Denver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477</v>
      </c>
      <c r="B160" s="7">
        <v>4045</v>
      </c>
      <c r="C160" s="22" t="s">
        <v>99</v>
      </c>
      <c r="D160" s="22" t="s">
        <v>727</v>
      </c>
      <c r="E160" s="13">
        <v>42661.296180555553</v>
      </c>
      <c r="F160" s="13">
        <v>42661.297337962962</v>
      </c>
      <c r="G160" s="7">
        <v>1</v>
      </c>
      <c r="H160" s="13" t="s">
        <v>731</v>
      </c>
      <c r="I160" s="13">
        <v>42661.309548611112</v>
      </c>
      <c r="J160" s="7">
        <v>0</v>
      </c>
      <c r="K160" s="112" t="str">
        <f t="shared" si="47"/>
        <v>4045/4046</v>
      </c>
      <c r="L160" s="22" t="str">
        <f>VLOOKUP(A160,'Trips&amp;Operators'!$C$1:$E$10000,3,FALSE)</f>
        <v>BEAM</v>
      </c>
      <c r="M160" s="6">
        <f t="shared" si="48"/>
        <v>1.2210648150357883E-2</v>
      </c>
      <c r="N160" s="7">
        <f t="shared" si="62"/>
        <v>17.583333336515352</v>
      </c>
      <c r="O160" s="7"/>
      <c r="P160" s="7"/>
      <c r="Q160" s="23"/>
      <c r="R160" s="23"/>
      <c r="S160" s="35">
        <f t="shared" si="59"/>
        <v>1</v>
      </c>
      <c r="T160" s="50" t="str">
        <f t="shared" si="49"/>
        <v>Southbound</v>
      </c>
      <c r="U160" s="18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06:06:30-0600',mode:absolute,to:'2016-10-18 08:25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0" s="52" t="str">
        <f t="shared" si="51"/>
        <v>N</v>
      </c>
      <c r="X160" s="174">
        <f t="shared" si="61"/>
        <v>1</v>
      </c>
      <c r="Y160" s="67">
        <f t="shared" si="52"/>
        <v>5.8667999999999996</v>
      </c>
      <c r="Z160" s="67">
        <f t="shared" si="53"/>
        <v>7.0499999999999993E-2</v>
      </c>
      <c r="AA160" s="67">
        <f t="shared" si="54"/>
        <v>5.7962999999999996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55"/>
        <v>0806-18</v>
      </c>
      <c r="AE160" s="91" t="str">
        <f t="shared" si="56"/>
        <v>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 &amp; 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</v>
      </c>
      <c r="AF160" s="88" t="str">
        <f t="shared" si="57"/>
        <v>"C:\Program Files (x86)\AstroGrep\AstroGrep.exe" /spath="%USERPROFILE%\AppData\Local\Temp\OnboardLogs" /stypes="app*4045*20161018*" /stext=" 13:.+((SYSTEM_STATE.+slice.+state.+changed )|(ment ac)|(system.+state.+changed )|(\[timeout)|(PRM\|1\|D)|(kpr)|(kdp)|(\|lc)|(penalty))" /e /r /s</v>
      </c>
      <c r="AG160" s="1" t="str">
        <f t="shared" si="58"/>
        <v>NW</v>
      </c>
      <c r="AH160" s="92" t="str">
        <f t="shared" si="45"/>
        <v>"%USERPROFILE%\Documents\GitHub\eaglep3\Utilities\RefineRTDCRunTimes.py" --tripid 806-18 --locoid 4045 --swversion DE.1.0.7.0 --startMP 300:58668 --initTime 2016-10-18T07:06:30 --startdatetime 2016-10-18T07:08:10 --delay 1 --endMP 204:705 --enddatetime 2016-10-18T07:25:45 --enforcementcount 0 &gt;&gt;C:\Users\stu\Documents\GitHub\eaglep3-reporting\EC\2016-10-18-refined-times.txt</v>
      </c>
      <c r="AI160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{"issue":{"subject":"","project_id":79,"tracker_id":40,"status_id":1,"priority_id":2,"assigned_to_id":23,"start_date":"2016-10-18","description":"","custom_fields":[{"id":1,"name":"Subdivision","value":"NW"},{"id":4,"name":"Milepost","value":"0.0705"},{"id":17,"name":"Train ID","value":"806-18"},{"id":16,"name":"Locomotive ID","value":"4045"},{"id":130,"name":"Impact","value":""},{"id":150,"name":"Time of Event (Mountain Time)","value":"07:25:45"},{"id":151,"name":"Denver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479</v>
      </c>
      <c r="B161" s="7">
        <v>4053</v>
      </c>
      <c r="C161" s="22" t="s">
        <v>99</v>
      </c>
      <c r="D161" s="22" t="s">
        <v>732</v>
      </c>
      <c r="E161" s="13">
        <v>42661.302499999998</v>
      </c>
      <c r="F161" s="13">
        <v>42661.306481481479</v>
      </c>
      <c r="G161" s="7">
        <v>1</v>
      </c>
      <c r="H161" s="13" t="s">
        <v>309</v>
      </c>
      <c r="I161" s="13">
        <v>42661.315358796295</v>
      </c>
      <c r="J161" s="7">
        <v>0</v>
      </c>
      <c r="K161" s="112" t="str">
        <f t="shared" si="47"/>
        <v>4053/4054</v>
      </c>
      <c r="L161" s="22" t="str">
        <f>VLOOKUP(A161,'Trips&amp;Operators'!$C$1:$E$10000,3,FALSE)</f>
        <v>LEVIN</v>
      </c>
      <c r="M161" s="6">
        <f t="shared" si="48"/>
        <v>8.8773148163454607E-3</v>
      </c>
      <c r="N161" s="7">
        <f t="shared" si="62"/>
        <v>12.783333335537463</v>
      </c>
      <c r="O161" s="7"/>
      <c r="P161" s="7"/>
      <c r="Q161" s="23"/>
      <c r="R161" s="23"/>
      <c r="S161" s="35">
        <f t="shared" si="59"/>
        <v>1</v>
      </c>
      <c r="T161" s="50" t="str">
        <f t="shared" si="49"/>
        <v>NorthBound</v>
      </c>
      <c r="U161" s="18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06:15:36-0600',mode:absolute,to:'2016-10-18 08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1" s="52" t="str">
        <f t="shared" si="51"/>
        <v>N</v>
      </c>
      <c r="X161" s="174">
        <f t="shared" si="61"/>
        <v>1</v>
      </c>
      <c r="Y161" s="67">
        <f t="shared" si="52"/>
        <v>0.1023</v>
      </c>
      <c r="Z161" s="67">
        <f t="shared" si="53"/>
        <v>5.8924000000000003</v>
      </c>
      <c r="AA161" s="67">
        <f t="shared" si="54"/>
        <v>5.7901000000000007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55"/>
        <v>0807-18</v>
      </c>
      <c r="AE161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61" s="88" t="str">
        <f t="shared" si="57"/>
        <v>"C:\Program Files (x86)\AstroGrep\AstroGrep.exe" /spath="%USERPROFILE%\AppData\Local\Temp\OnboardLogs" /stypes="app*4053*20161018*" /stext=" 13:.+((SYSTEM_STATE.+slice.+state.+changed )|(ment ac)|(system.+state.+changed )|(\[timeout)|(PRM\|1\|D)|(kpr)|(kdp)|(\|lc)|(penalty))" /e /r /s</v>
      </c>
      <c r="AG161" s="1" t="str">
        <f t="shared" si="58"/>
        <v>NW</v>
      </c>
      <c r="AH161" s="92" t="str">
        <f t="shared" si="45"/>
        <v>"%USERPROFILE%\Documents\GitHub\eaglep3\Utilities\RefineRTDCRunTimes.py" --tripid 807-18 --locoid 4053 --swversion DE.1.0.7.0 --startMP 204:1023 --initTime 2016-10-18T07:15:36 --startdatetime 2016-10-18T07:21:20 --delay 1 --endMP 300:58924 --enddatetime 2016-10-18T07:34:07 --enforcementcount 0 &gt;&gt;C:\Users\stu\Documents\GitHub\eaglep3-reporting\EC\2016-10-18-refined-times.txt</v>
      </c>
      <c r="AI161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{"issue":{"subject":"","project_id":79,"tracker_id":40,"status_id":1,"priority_id":2,"assigned_to_id":23,"start_date":"2016-10-18","description":"","custom_fields":[{"id":1,"name":"Subdivision","value":"NW"},{"id":4,"name":"Milepost","value":"5.8924"},{"id":17,"name":"Train ID","value":"807-18"},{"id":16,"name":"Locomotive ID","value":"4053"},{"id":130,"name":"Impact","value":""},{"id":150,"name":"Time of Event (Mountain Time)","value":"07:34:07"},{"id":151,"name":"Denver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482</v>
      </c>
      <c r="B162" s="7">
        <v>4054</v>
      </c>
      <c r="C162" s="22" t="s">
        <v>99</v>
      </c>
      <c r="D162" s="22" t="s">
        <v>733</v>
      </c>
      <c r="E162" s="13">
        <v>42661.317847222221</v>
      </c>
      <c r="F162" s="13">
        <v>42661.319027777776</v>
      </c>
      <c r="G162" s="7">
        <v>0</v>
      </c>
      <c r="H162" s="13" t="s">
        <v>734</v>
      </c>
      <c r="I162" s="13">
        <v>42661.330127314817</v>
      </c>
      <c r="J162" s="7">
        <v>0</v>
      </c>
      <c r="K162" s="112" t="str">
        <f t="shared" si="47"/>
        <v>4053/4054</v>
      </c>
      <c r="L162" s="22" t="str">
        <f>VLOOKUP(A162,'Trips&amp;Operators'!$C$1:$E$10000,3,FALSE)</f>
        <v>LEVIN</v>
      </c>
      <c r="M162" s="6">
        <f t="shared" si="48"/>
        <v>1.1099537041445728E-2</v>
      </c>
      <c r="N162" s="7">
        <f t="shared" si="62"/>
        <v>15.983333339681849</v>
      </c>
      <c r="O162" s="7"/>
      <c r="P162" s="7"/>
      <c r="Q162" s="23"/>
      <c r="R162" s="23"/>
      <c r="S162" s="35">
        <f t="shared" si="59"/>
        <v>1</v>
      </c>
      <c r="T162" s="50" t="str">
        <f t="shared" si="49"/>
        <v>Southbound</v>
      </c>
      <c r="U162" s="18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06:37:42-0600',mode:absolute,to:'2016-10-18 08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2" s="52" t="str">
        <f t="shared" si="51"/>
        <v>N</v>
      </c>
      <c r="X162" s="174">
        <f t="shared" si="61"/>
        <v>1</v>
      </c>
      <c r="Y162" s="67">
        <f t="shared" si="52"/>
        <v>5.8604000000000003</v>
      </c>
      <c r="Z162" s="67">
        <f t="shared" si="53"/>
        <v>7.2900000000000006E-2</v>
      </c>
      <c r="AA162" s="67">
        <f t="shared" si="54"/>
        <v>5.7875000000000005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55"/>
        <v>0808-18</v>
      </c>
      <c r="AE162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62" s="88" t="str">
        <f t="shared" si="57"/>
        <v>"C:\Program Files (x86)\AstroGrep\AstroGrep.exe" /spath="%USERPROFILE%\AppData\Local\Temp\OnboardLogs" /stypes="app*4054*20161018*" /stext=" 13:.+((SYSTEM_STATE.+slice.+state.+changed )|(ment ac)|(system.+state.+changed )|(\[timeout)|(PRM\|1\|D)|(kpr)|(kdp)|(\|lc)|(penalty))" /e /r /s</v>
      </c>
      <c r="AG162" s="1" t="str">
        <f t="shared" si="58"/>
        <v>NW</v>
      </c>
      <c r="AH162" s="92" t="str">
        <f t="shared" si="45"/>
        <v>"%USERPROFILE%\Documents\GitHub\eaglep3\Utilities\RefineRTDCRunTimes.py" --tripid 808-18 --locoid 4054 --swversion DE.1.0.7.0 --startMP 300:58604 --initTime 2016-10-18T07:37:42 --startdatetime 2016-10-18T07:39:24 --delay 0 --endMP 204:729 --enddatetime 2016-10-18T07:55:23 --enforcementcount 0 &gt;&gt;C:\Users\stu\Documents\GitHub\eaglep3-reporting\EC\2016-10-18-refined-times.txt</v>
      </c>
      <c r="AI162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{"issue":{"subject":"","project_id":79,"tracker_id":40,"status_id":1,"priority_id":2,"assigned_to_id":23,"start_date":"2016-10-18","description":"","custom_fields":[{"id":1,"name":"Subdivision","value":"NW"},{"id":4,"name":"Milepost","value":"0.0729"},{"id":17,"name":"Train ID","value":"808-18"},{"id":16,"name":"Locomotive ID","value":"4054"},{"id":130,"name":"Impact","value":""},{"id":150,"name":"Time of Event (Mountain Time)","value":"07:55:23"},{"id":151,"name":"Denver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415</v>
      </c>
      <c r="B163" s="7">
        <v>4046</v>
      </c>
      <c r="C163" s="22" t="s">
        <v>99</v>
      </c>
      <c r="D163" s="22" t="s">
        <v>735</v>
      </c>
      <c r="E163" s="13">
        <v>42661.323993055557</v>
      </c>
      <c r="F163" s="13">
        <v>42661.327303240738</v>
      </c>
      <c r="G163" s="7">
        <v>1</v>
      </c>
      <c r="H163" s="13" t="s">
        <v>736</v>
      </c>
      <c r="I163" s="13">
        <v>42661.336759259262</v>
      </c>
      <c r="J163" s="7">
        <v>0</v>
      </c>
      <c r="K163" s="112" t="str">
        <f t="shared" si="47"/>
        <v>4045/4046</v>
      </c>
      <c r="L163" s="22" t="str">
        <f>VLOOKUP(A163,'Trips&amp;Operators'!$C$1:$E$10000,3,FALSE)</f>
        <v>BEAM</v>
      </c>
      <c r="M163" s="6">
        <f t="shared" si="48"/>
        <v>9.456018524360843E-3</v>
      </c>
      <c r="N163" s="7">
        <f t="shared" si="62"/>
        <v>13.616666675079614</v>
      </c>
      <c r="O163" s="7"/>
      <c r="P163" s="7"/>
      <c r="Q163" s="23"/>
      <c r="R163" s="23"/>
      <c r="S163" s="35">
        <f t="shared" si="59"/>
        <v>1</v>
      </c>
      <c r="T163" s="50" t="str">
        <f t="shared" si="49"/>
        <v>NorthBound</v>
      </c>
      <c r="U163" s="18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06:46:33-0600',mode:absolute,to:'2016-10-18 09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3" s="52" t="str">
        <f t="shared" si="51"/>
        <v>N</v>
      </c>
      <c r="X163" s="174">
        <f t="shared" si="61"/>
        <v>1</v>
      </c>
      <c r="Y163" s="67">
        <f t="shared" si="52"/>
        <v>9.9500000000000005E-2</v>
      </c>
      <c r="Z163" s="67">
        <f t="shared" si="53"/>
        <v>5.8986000000000001</v>
      </c>
      <c r="AA163" s="67">
        <f t="shared" si="54"/>
        <v>5.7991000000000001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55"/>
        <v>0809-18</v>
      </c>
      <c r="AE163" s="91" t="str">
        <f t="shared" si="56"/>
        <v>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 &amp; 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</v>
      </c>
      <c r="AF163" s="88" t="str">
        <f t="shared" si="57"/>
        <v>"C:\Program Files (x86)\AstroGrep\AstroGrep.exe" /spath="%USERPROFILE%\AppData\Local\Temp\OnboardLogs" /stypes="app*4046*20161018*" /stext=" 14:.+((SYSTEM_STATE.+slice.+state.+changed )|(ment ac)|(system.+state.+changed )|(\[timeout)|(PRM\|1\|D)|(kpr)|(kdp)|(\|lc)|(penalty))" /e /r /s</v>
      </c>
      <c r="AG163" s="1" t="str">
        <f t="shared" si="58"/>
        <v>NW</v>
      </c>
      <c r="AH163" s="92" t="str">
        <f t="shared" si="45"/>
        <v>"%USERPROFILE%\Documents\GitHub\eaglep3\Utilities\RefineRTDCRunTimes.py" --tripid 809-18 --locoid 4046 --swversion DE.1.0.7.0 --startMP 204:995 --initTime 2016-10-18T07:46:33 --startdatetime 2016-10-18T07:51:19 --delay 1 --endMP 300:58986 --enddatetime 2016-10-18T08:04:56 --enforcementcount 0 &gt;&gt;C:\Users\stu\Documents\GitHub\eaglep3-reporting\EC\2016-10-18-refined-times.txt</v>
      </c>
      <c r="AI163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{"issue":{"subject":"","project_id":79,"tracker_id":40,"status_id":1,"priority_id":2,"assigned_to_id":23,"start_date":"2016-10-18","description":"","custom_fields":[{"id":1,"name":"Subdivision","value":"NW"},{"id":4,"name":"Milepost","value":"5.8986"},{"id":17,"name":"Train ID","value":"809-18"},{"id":16,"name":"Locomotive ID","value":"4046"},{"id":130,"name":"Impact","value":""},{"id":150,"name":"Time of Event (Mountain Time)","value":"08:04:56"},{"id":151,"name":"Denver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485</v>
      </c>
      <c r="B164" s="7">
        <v>4045</v>
      </c>
      <c r="C164" s="22" t="s">
        <v>99</v>
      </c>
      <c r="D164" s="22" t="s">
        <v>737</v>
      </c>
      <c r="E164" s="13">
        <v>42661.338240740741</v>
      </c>
      <c r="F164" s="13">
        <v>42661.339421296296</v>
      </c>
      <c r="G164" s="7">
        <v>0</v>
      </c>
      <c r="H164" s="13" t="s">
        <v>738</v>
      </c>
      <c r="I164" s="13">
        <v>42661.351284722223</v>
      </c>
      <c r="J164" s="7">
        <v>0</v>
      </c>
      <c r="K164" s="112" t="str">
        <f t="shared" si="47"/>
        <v>4045/4046</v>
      </c>
      <c r="L164" s="22" t="str">
        <f>VLOOKUP(A164,'Trips&amp;Operators'!$C$1:$E$10000,3,FALSE)</f>
        <v>BEAM</v>
      </c>
      <c r="M164" s="6">
        <f t="shared" si="48"/>
        <v>1.1863425927003846E-2</v>
      </c>
      <c r="N164" s="7">
        <f t="shared" si="62"/>
        <v>17.083333334885538</v>
      </c>
      <c r="O164" s="7"/>
      <c r="P164" s="7"/>
      <c r="Q164" s="23"/>
      <c r="R164" s="23"/>
      <c r="S164" s="35">
        <f t="shared" si="59"/>
        <v>1</v>
      </c>
      <c r="T164" s="50" t="str">
        <f t="shared" si="49"/>
        <v>Southbound</v>
      </c>
      <c r="U164" s="18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07:07:04-0600',mode:absolute,to:'2016-10-18 09:25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4" s="52" t="str">
        <f t="shared" si="51"/>
        <v>N</v>
      </c>
      <c r="X164" s="174">
        <f t="shared" si="61"/>
        <v>1</v>
      </c>
      <c r="Y164" s="67">
        <f t="shared" si="52"/>
        <v>5.867</v>
      </c>
      <c r="Z164" s="67">
        <f t="shared" si="53"/>
        <v>7.7799999999999994E-2</v>
      </c>
      <c r="AA164" s="67">
        <f t="shared" si="54"/>
        <v>5.7892000000000001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55"/>
        <v>0810-18</v>
      </c>
      <c r="AE164" s="91" t="str">
        <f t="shared" si="56"/>
        <v>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 &amp; 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</v>
      </c>
      <c r="AF164" s="88" t="str">
        <f t="shared" si="57"/>
        <v>"C:\Program Files (x86)\AstroGrep\AstroGrep.exe" /spath="%USERPROFILE%\AppData\Local\Temp\OnboardLogs" /stypes="app*4045*20161018*" /stext=" 14:.+((SYSTEM_STATE.+slice.+state.+changed )|(ment ac)|(system.+state.+changed )|(\[timeout)|(PRM\|1\|D)|(kpr)|(kdp)|(\|lc)|(penalty))" /e /r /s</v>
      </c>
      <c r="AG164" s="1" t="str">
        <f t="shared" si="58"/>
        <v>NW</v>
      </c>
      <c r="AH164" s="92" t="str">
        <f t="shared" si="45"/>
        <v>"%USERPROFILE%\Documents\GitHub\eaglep3\Utilities\RefineRTDCRunTimes.py" --tripid 810-18 --locoid 4045 --swversion DE.1.0.7.0 --startMP 300:58670 --initTime 2016-10-18T08:07:04 --startdatetime 2016-10-18T08:08:46 --delay 0 --endMP 204:778 --enddatetime 2016-10-18T08:25:51 --enforcementcount 0 &gt;&gt;C:\Users\stu\Documents\GitHub\eaglep3-reporting\EC\2016-10-18-refined-times.txt</v>
      </c>
      <c r="AI164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{"issue":{"subject":"","project_id":79,"tracker_id":40,"status_id":1,"priority_id":2,"assigned_to_id":23,"start_date":"2016-10-18","description":"","custom_fields":[{"id":1,"name":"Subdivision","value":"NW"},{"id":4,"name":"Milepost","value":"0.0778"},{"id":17,"name":"Train ID","value":"810-18"},{"id":16,"name":"Locomotive ID","value":"4045"},{"id":130,"name":"Impact","value":""},{"id":150,"name":"Time of Event (Mountain Time)","value":"08:25:51"},{"id":151,"name":"Denver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487</v>
      </c>
      <c r="B165" s="7">
        <v>4053</v>
      </c>
      <c r="C165" s="22" t="s">
        <v>99</v>
      </c>
      <c r="D165" s="22" t="s">
        <v>739</v>
      </c>
      <c r="E165" s="13">
        <v>42661.344918981478</v>
      </c>
      <c r="F165" s="13">
        <v>42661.348113425927</v>
      </c>
      <c r="G165" s="7">
        <v>1</v>
      </c>
      <c r="H165" s="13" t="s">
        <v>296</v>
      </c>
      <c r="I165" s="13">
        <v>42661.356736111113</v>
      </c>
      <c r="J165" s="7">
        <v>0</v>
      </c>
      <c r="K165" s="112" t="str">
        <f t="shared" si="47"/>
        <v>4053/4054</v>
      </c>
      <c r="L165" s="22" t="str">
        <f>VLOOKUP(A165,'Trips&amp;Operators'!$C$1:$E$10000,3,FALSE)</f>
        <v>LEVIN</v>
      </c>
      <c r="M165" s="6">
        <f t="shared" si="48"/>
        <v>8.6226851854007691E-3</v>
      </c>
      <c r="N165" s="7">
        <f t="shared" si="62"/>
        <v>12.416666666977108</v>
      </c>
      <c r="O165" s="7"/>
      <c r="P165" s="7"/>
      <c r="Q165" s="23"/>
      <c r="R165" s="23"/>
      <c r="S165" s="35">
        <f t="shared" si="59"/>
        <v>1</v>
      </c>
      <c r="T165" s="50" t="str">
        <f t="shared" si="49"/>
        <v>NorthBound</v>
      </c>
      <c r="U165" s="18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07:16:41-0600',mode:absolute,to:'2016-10-18 09:33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5" s="52" t="str">
        <f t="shared" si="51"/>
        <v>N</v>
      </c>
      <c r="X165" s="174">
        <f t="shared" si="61"/>
        <v>1</v>
      </c>
      <c r="Y165" s="67">
        <f t="shared" si="52"/>
        <v>0.10299999999999999</v>
      </c>
      <c r="Z165" s="67">
        <f t="shared" si="53"/>
        <v>5.8929</v>
      </c>
      <c r="AA165" s="67">
        <f t="shared" si="54"/>
        <v>5.7899000000000003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55"/>
        <v>0811-18</v>
      </c>
      <c r="AE165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65" s="88" t="str">
        <f t="shared" si="57"/>
        <v>"C:\Program Files (x86)\AstroGrep\AstroGrep.exe" /spath="%USERPROFILE%\AppData\Local\Temp\OnboardLogs" /stypes="app*4053*20161018*" /stext=" 14:.+((SYSTEM_STATE.+slice.+state.+changed )|(ment ac)|(system.+state.+changed )|(\[timeout)|(PRM\|1\|D)|(kpr)|(kdp)|(\|lc)|(penalty))" /e /r /s</v>
      </c>
      <c r="AG165" s="1" t="str">
        <f t="shared" si="58"/>
        <v>NW</v>
      </c>
      <c r="AH165" s="92" t="str">
        <f t="shared" si="45"/>
        <v>"%USERPROFILE%\Documents\GitHub\eaglep3\Utilities\RefineRTDCRunTimes.py" --tripid 811-18 --locoid 4053 --swversion DE.1.0.7.0 --startMP 204:1030 --initTime 2016-10-18T08:16:41 --startdatetime 2016-10-18T08:21:17 --delay 1 --endMP 300:58929 --enddatetime 2016-10-18T08:33:42 --enforcementcount 0 &gt;&gt;C:\Users\stu\Documents\GitHub\eaglep3-reporting\EC\2016-10-18-refined-times.txt</v>
      </c>
      <c r="AI165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{"issue":{"subject":"","project_id":79,"tracker_id":40,"status_id":1,"priority_id":2,"assigned_to_id":23,"start_date":"2016-10-18","description":"","custom_fields":[{"id":1,"name":"Subdivision","value":"NW"},{"id":4,"name":"Milepost","value":"5.8929"},{"id":17,"name":"Train ID","value":"811-18"},{"id":16,"name":"Locomotive ID","value":"4053"},{"id":130,"name":"Impact","value":""},{"id":150,"name":"Time of Event (Mountain Time)","value":"08:33:42"},{"id":151,"name":"Denver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7" t="s">
        <v>491</v>
      </c>
      <c r="B166" s="7">
        <v>4054</v>
      </c>
      <c r="C166" s="22" t="s">
        <v>99</v>
      </c>
      <c r="D166" s="22" t="s">
        <v>327</v>
      </c>
      <c r="E166" s="13">
        <v>42661.357881944445</v>
      </c>
      <c r="F166" s="13">
        <v>42661.359201388892</v>
      </c>
      <c r="G166" s="7">
        <v>1</v>
      </c>
      <c r="H166" s="13" t="s">
        <v>740</v>
      </c>
      <c r="I166" s="13">
        <v>42661.371296296296</v>
      </c>
      <c r="J166" s="7">
        <v>0</v>
      </c>
      <c r="K166" s="112" t="str">
        <f t="shared" si="47"/>
        <v>4053/4054</v>
      </c>
      <c r="L166" s="22" t="str">
        <f>VLOOKUP(A166,'Trips&amp;Operators'!$C$1:$E$10000,3,FALSE)</f>
        <v>LEVIN</v>
      </c>
      <c r="M166" s="6">
        <f t="shared" si="48"/>
        <v>1.2094907404389232E-2</v>
      </c>
      <c r="N166" s="7">
        <f t="shared" si="62"/>
        <v>17.416666662320495</v>
      </c>
      <c r="O166" s="7"/>
      <c r="P166" s="7"/>
      <c r="Q166" s="23"/>
      <c r="R166" s="23"/>
      <c r="S166" s="35">
        <f t="shared" si="59"/>
        <v>1</v>
      </c>
      <c r="T166" s="50" t="str">
        <f t="shared" si="49"/>
        <v>Southbound</v>
      </c>
      <c r="U166" s="18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07:35:21-0600',mode:absolute,to:'2016-10-18 09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6" s="52" t="str">
        <f t="shared" si="51"/>
        <v>N</v>
      </c>
      <c r="X166" s="174">
        <f t="shared" si="61"/>
        <v>1</v>
      </c>
      <c r="Y166" s="67">
        <f t="shared" si="52"/>
        <v>5.8615000000000004</v>
      </c>
      <c r="Z166" s="67">
        <f t="shared" si="53"/>
        <v>7.22E-2</v>
      </c>
      <c r="AA166" s="67">
        <f t="shared" si="54"/>
        <v>5.7893000000000008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55"/>
        <v>0812-18</v>
      </c>
      <c r="AE166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66" s="88" t="str">
        <f t="shared" si="57"/>
        <v>"C:\Program Files (x86)\AstroGrep\AstroGrep.exe" /spath="%USERPROFILE%\AppData\Local\Temp\OnboardLogs" /stypes="app*4054*20161018*" /stext=" 14:.+((SYSTEM_STATE.+slice.+state.+changed )|(ment ac)|(system.+state.+changed )|(\[timeout)|(PRM\|1\|D)|(kpr)|(kdp)|(\|lc)|(penalty))" /e /r /s</v>
      </c>
      <c r="AG166" s="1" t="str">
        <f t="shared" si="58"/>
        <v>NW</v>
      </c>
      <c r="AH166" s="92" t="str">
        <f t="shared" si="45"/>
        <v>"%USERPROFILE%\Documents\GitHub\eaglep3\Utilities\RefineRTDCRunTimes.py" --tripid 812-18 --locoid 4054 --swversion DE.1.0.7.0 --startMP 300:58615 --initTime 2016-10-18T08:35:21 --startdatetime 2016-10-18T08:37:15 --delay 1 --endMP 204:722 --enddatetime 2016-10-18T08:54:40 --enforcementcount 0 &gt;&gt;C:\Users\stu\Documents\GitHub\eaglep3-reporting\EC\2016-10-18-refined-times.txt</v>
      </c>
      <c r="AI166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{"issue":{"subject":"","project_id":79,"tracker_id":40,"status_id":1,"priority_id":2,"assigned_to_id":23,"start_date":"2016-10-18","description":"","custom_fields":[{"id":1,"name":"Subdivision","value":"NW"},{"id":4,"name":"Milepost","value":"0.0722"},{"id":17,"name":"Train ID","value":"812-18"},{"id":16,"name":"Locomotive ID","value":"4054"},{"id":130,"name":"Impact","value":""},{"id":150,"name":"Time of Event (Mountain Time)","value":"08:54:40"},{"id":151,"name":"Denver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91" s="21" customFormat="1" x14ac:dyDescent="0.25">
      <c r="A167" s="37" t="s">
        <v>498</v>
      </c>
      <c r="B167" s="7">
        <v>4053</v>
      </c>
      <c r="C167" s="22" t="s">
        <v>99</v>
      </c>
      <c r="D167" s="22" t="s">
        <v>298</v>
      </c>
      <c r="E167" s="13">
        <v>42661.387384259258</v>
      </c>
      <c r="F167" s="13">
        <v>42661.389780092592</v>
      </c>
      <c r="G167" s="7">
        <v>1</v>
      </c>
      <c r="H167" s="13" t="s">
        <v>402</v>
      </c>
      <c r="I167" s="13">
        <v>42661.398680555554</v>
      </c>
      <c r="J167" s="7">
        <v>0</v>
      </c>
      <c r="K167" s="112" t="str">
        <f t="shared" si="47"/>
        <v>4053/4054</v>
      </c>
      <c r="L167" s="22" t="str">
        <f>VLOOKUP(A167,'Trips&amp;Operators'!$C$1:$E$10000,3,FALSE)</f>
        <v>LEVIN</v>
      </c>
      <c r="M167" s="6">
        <f t="shared" si="48"/>
        <v>8.9004629626288079E-3</v>
      </c>
      <c r="N167" s="7">
        <f t="shared" si="62"/>
        <v>12.816666666185483</v>
      </c>
      <c r="O167" s="7"/>
      <c r="P167" s="7"/>
      <c r="Q167" s="23"/>
      <c r="R167" s="23"/>
      <c r="S167" s="35">
        <f t="shared" si="59"/>
        <v>1</v>
      </c>
      <c r="T167" s="50" t="str">
        <f t="shared" si="49"/>
        <v>NorthBound</v>
      </c>
      <c r="U167" s="18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08:17:50-0600',mode:absolute,to:'2016-10-18 10:34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7" s="52" t="str">
        <f t="shared" si="51"/>
        <v>N</v>
      </c>
      <c r="X167" s="174">
        <f t="shared" si="61"/>
        <v>1</v>
      </c>
      <c r="Y167" s="67">
        <f t="shared" si="52"/>
        <v>0.1018</v>
      </c>
      <c r="Z167" s="67">
        <f t="shared" si="53"/>
        <v>5.8928000000000003</v>
      </c>
      <c r="AA167" s="67">
        <f t="shared" si="54"/>
        <v>5.7910000000000004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55"/>
        <v>0813-18</v>
      </c>
      <c r="AE167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67" s="88" t="str">
        <f t="shared" si="57"/>
        <v>"C:\Program Files (x86)\AstroGrep\AstroGrep.exe" /spath="%USERPROFILE%\AppData\Local\Temp\OnboardLogs" /stypes="app*4053*20161018*" /stext=" 15:.+((SYSTEM_STATE.+slice.+state.+changed )|(ment ac)|(system.+state.+changed )|(\[timeout)|(PRM\|1\|D)|(kpr)|(kdp)|(\|lc)|(penalty))" /e /r /s</v>
      </c>
      <c r="AG167" s="1" t="str">
        <f t="shared" si="58"/>
        <v>NW</v>
      </c>
      <c r="AH167" s="92" t="str">
        <f t="shared" si="45"/>
        <v>"%USERPROFILE%\Documents\GitHub\eaglep3\Utilities\RefineRTDCRunTimes.py" --tripid 813-18 --locoid 4053 --swversion DE.1.0.7.0 --startMP 204:1018 --initTime 2016-10-18T09:17:50 --startdatetime 2016-10-18T09:21:17 --delay 1 --endMP 300:58928 --enddatetime 2016-10-18T09:34:06 --enforcementcount 0 &gt;&gt;C:\Users\stu\Documents\GitHub\eaglep3-reporting\EC\2016-10-18-refined-times.txt</v>
      </c>
      <c r="AI167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{"issue":{"subject":"","project_id":79,"tracker_id":40,"status_id":1,"priority_id":2,"assigned_to_id":23,"start_date":"2016-10-18","description":"","custom_fields":[{"id":1,"name":"Subdivision","value":"NW"},{"id":4,"name":"Milepost","value":"5.8928"},{"id":17,"name":"Train ID","value":"813-18"},{"id":16,"name":"Locomotive ID","value":"4053"},{"id":130,"name":"Impact","value":""},{"id":150,"name":"Time of Event (Mountain Time)","value":"09:34:06"},{"id":151,"name":"Denver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502</v>
      </c>
      <c r="B168" s="7">
        <v>4054</v>
      </c>
      <c r="C168" s="22" t="s">
        <v>99</v>
      </c>
      <c r="D168" s="22" t="s">
        <v>286</v>
      </c>
      <c r="E168" s="13">
        <v>42661.399629629632</v>
      </c>
      <c r="F168" s="13">
        <v>42661.400960648149</v>
      </c>
      <c r="G168" s="7">
        <v>1</v>
      </c>
      <c r="H168" s="13" t="s">
        <v>330</v>
      </c>
      <c r="I168" s="13">
        <v>42661.412673611114</v>
      </c>
      <c r="J168" s="7">
        <v>0</v>
      </c>
      <c r="K168" s="112" t="str">
        <f t="shared" si="47"/>
        <v>4053/4054</v>
      </c>
      <c r="L168" s="22" t="str">
        <f>VLOOKUP(A168,'Trips&amp;Operators'!$C$1:$E$10000,3,FALSE)</f>
        <v>LEVIN</v>
      </c>
      <c r="M168" s="6">
        <f t="shared" si="48"/>
        <v>1.1712962965248153E-2</v>
      </c>
      <c r="N168" s="7">
        <f t="shared" si="62"/>
        <v>16.86666666995734</v>
      </c>
      <c r="O168" s="7"/>
      <c r="P168" s="7"/>
      <c r="Q168" s="23"/>
      <c r="R168" s="23"/>
      <c r="S168" s="35">
        <f t="shared" si="59"/>
        <v>1</v>
      </c>
      <c r="T168" s="50" t="str">
        <f t="shared" si="49"/>
        <v>Southbound</v>
      </c>
      <c r="U168" s="18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08:35:28-0600',mode:absolute,to:'2016-10-18 10:54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8" s="52" t="str">
        <f t="shared" si="51"/>
        <v>N</v>
      </c>
      <c r="X168" s="174">
        <f t="shared" si="61"/>
        <v>1</v>
      </c>
      <c r="Y168" s="67">
        <f t="shared" si="52"/>
        <v>5.8608000000000002</v>
      </c>
      <c r="Z168" s="67">
        <f t="shared" si="53"/>
        <v>7.1199999999999999E-2</v>
      </c>
      <c r="AA168" s="67">
        <f t="shared" si="54"/>
        <v>5.7896000000000001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55"/>
        <v>0814-18</v>
      </c>
      <c r="AE168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68" s="88" t="str">
        <f t="shared" si="57"/>
        <v>"C:\Program Files (x86)\AstroGrep\AstroGrep.exe" /spath="%USERPROFILE%\AppData\Local\Temp\OnboardLogs" /stypes="app*4054*20161018*" /stext=" 15:.+((SYSTEM_STATE.+slice.+state.+changed )|(ment ac)|(system.+state.+changed )|(\[timeout)|(PRM\|1\|D)|(kpr)|(kdp)|(\|lc)|(penalty))" /e /r /s</v>
      </c>
      <c r="AG168" s="1" t="str">
        <f t="shared" si="58"/>
        <v>NW</v>
      </c>
      <c r="AH168" s="92" t="str">
        <f t="shared" si="45"/>
        <v>"%USERPROFILE%\Documents\GitHub\eaglep3\Utilities\RefineRTDCRunTimes.py" --tripid 814-18 --locoid 4054 --swversion DE.1.0.7.0 --startMP 300:58608 --initTime 2016-10-18T09:35:28 --startdatetime 2016-10-18T09:37:23 --delay 1 --endMP 204:712 --enddatetime 2016-10-18T09:54:15 --enforcementcount 0 &gt;&gt;C:\Users\stu\Documents\GitHub\eaglep3-reporting\EC\2016-10-18-refined-times.txt</v>
      </c>
      <c r="AI168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{"issue":{"subject":"","project_id":79,"tracker_id":40,"status_id":1,"priority_id":2,"assigned_to_id":23,"start_date":"2016-10-18","description":"","custom_fields":[{"id":1,"name":"Subdivision","value":"NW"},{"id":4,"name":"Milepost","value":"0.0712"},{"id":17,"name":"Train ID","value":"814-18"},{"id":16,"name":"Locomotive ID","value":"4054"},{"id":130,"name":"Impact","value":""},{"id":150,"name":"Time of Event (Mountain Time)","value":"09:54:15"},{"id":151,"name":"Denver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x14ac:dyDescent="0.25">
      <c r="A169" s="37" t="s">
        <v>508</v>
      </c>
      <c r="B169" s="7">
        <v>4053</v>
      </c>
      <c r="C169" s="22" t="s">
        <v>99</v>
      </c>
      <c r="D169" s="22" t="s">
        <v>741</v>
      </c>
      <c r="E169" s="13">
        <v>42661.427916666667</v>
      </c>
      <c r="F169" s="13">
        <v>42661.431481481479</v>
      </c>
      <c r="G169" s="7">
        <v>1</v>
      </c>
      <c r="H169" s="13" t="s">
        <v>297</v>
      </c>
      <c r="I169" s="13">
        <v>42661.440150462964</v>
      </c>
      <c r="J169" s="7">
        <v>0</v>
      </c>
      <c r="K169" s="112" t="str">
        <f t="shared" si="47"/>
        <v>4053/4054</v>
      </c>
      <c r="L169" s="22" t="str">
        <f>VLOOKUP(A169,'Trips&amp;Operators'!$C$1:$E$10000,3,FALSE)</f>
        <v>LEVIN</v>
      </c>
      <c r="M169" s="6">
        <f t="shared" si="48"/>
        <v>8.668981485243421E-3</v>
      </c>
      <c r="N169" s="7">
        <f t="shared" si="62"/>
        <v>12.483333338750526</v>
      </c>
      <c r="O169" s="7"/>
      <c r="P169" s="7"/>
      <c r="Q169" s="23"/>
      <c r="R169" s="23"/>
      <c r="S169" s="35">
        <f t="shared" si="59"/>
        <v>1</v>
      </c>
      <c r="T169" s="50" t="str">
        <f t="shared" si="49"/>
        <v>NorthBound</v>
      </c>
      <c r="U169" s="18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09:16:12-0600',mode:absolute,to:'2016-10-18 11:33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9" s="52" t="str">
        <f t="shared" si="51"/>
        <v>N</v>
      </c>
      <c r="X169" s="174">
        <f t="shared" si="61"/>
        <v>1</v>
      </c>
      <c r="Y169" s="67">
        <f t="shared" si="52"/>
        <v>9.8799999999999999E-2</v>
      </c>
      <c r="Z169" s="67">
        <f t="shared" si="53"/>
        <v>5.8925999999999998</v>
      </c>
      <c r="AA169" s="67">
        <f t="shared" si="54"/>
        <v>5.7938000000000001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55"/>
        <v>0815-18</v>
      </c>
      <c r="AE169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69" s="88" t="str">
        <f t="shared" si="57"/>
        <v>"C:\Program Files (x86)\AstroGrep\AstroGrep.exe" /spath="%USERPROFILE%\AppData\Local\Temp\OnboardLogs" /stypes="app*4053*20161018*" /stext=" 16:.+((SYSTEM_STATE.+slice.+state.+changed )|(ment ac)|(system.+state.+changed )|(\[timeout)|(PRM\|1\|D)|(kpr)|(kdp)|(\|lc)|(penalty))" /e /r /s</v>
      </c>
      <c r="AG169" s="1" t="str">
        <f t="shared" si="58"/>
        <v>NW</v>
      </c>
      <c r="AH169" s="92" t="str">
        <f t="shared" si="45"/>
        <v>"%USERPROFILE%\Documents\GitHub\eaglep3\Utilities\RefineRTDCRunTimes.py" --tripid 815-18 --locoid 4053 --swversion DE.1.0.7.0 --startMP 204:988 --initTime 2016-10-18T10:16:12 --startdatetime 2016-10-18T10:21:20 --delay 1 --endMP 300:58926 --enddatetime 2016-10-18T10:33:49 --enforcementcount 0 &gt;&gt;C:\Users\stu\Documents\GitHub\eaglep3-reporting\EC\2016-10-18-refined-times.txt</v>
      </c>
      <c r="AI169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{"issue":{"subject":"","project_id":79,"tracker_id":40,"status_id":1,"priority_id":2,"assigned_to_id":23,"start_date":"2016-10-18","description":"","custom_fields":[{"id":1,"name":"Subdivision","value":"NW"},{"id":4,"name":"Milepost","value":"5.8926"},{"id":17,"name":"Train ID","value":"815-18"},{"id":16,"name":"Locomotive ID","value":"4053"},{"id":130,"name":"Impact","value":""},{"id":150,"name":"Time of Event (Mountain Time)","value":"10:33:49"},{"id":151,"name":"Denver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512</v>
      </c>
      <c r="B170" s="7">
        <v>4054</v>
      </c>
      <c r="C170" s="22" t="s">
        <v>99</v>
      </c>
      <c r="D170" s="22" t="s">
        <v>328</v>
      </c>
      <c r="E170" s="13">
        <v>42661.441203703704</v>
      </c>
      <c r="F170" s="13">
        <v>42661.442650462966</v>
      </c>
      <c r="G170" s="7">
        <v>1</v>
      </c>
      <c r="H170" s="13" t="s">
        <v>742</v>
      </c>
      <c r="I170" s="13">
        <v>42661.454351851855</v>
      </c>
      <c r="J170" s="7">
        <v>0</v>
      </c>
      <c r="K170" s="112" t="str">
        <f t="shared" si="47"/>
        <v>4053/4054</v>
      </c>
      <c r="L170" s="22" t="str">
        <f>VLOOKUP(A170,'Trips&amp;Operators'!$C$1:$E$10000,3,FALSE)</f>
        <v>LEVIN</v>
      </c>
      <c r="M170" s="6">
        <f t="shared" si="48"/>
        <v>1.17013888884685E-2</v>
      </c>
      <c r="N170" s="7">
        <f t="shared" si="62"/>
        <v>16.84999999939464</v>
      </c>
      <c r="O170" s="7"/>
      <c r="P170" s="7"/>
      <c r="Q170" s="23"/>
      <c r="R170" s="23"/>
      <c r="S170" s="35">
        <f t="shared" si="59"/>
        <v>1</v>
      </c>
      <c r="T170" s="50" t="str">
        <f t="shared" si="49"/>
        <v>Southbound</v>
      </c>
      <c r="U170" s="18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09:35:20-0600',mode:absolute,to:'2016-10-18 11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0" s="52" t="str">
        <f t="shared" si="51"/>
        <v>N</v>
      </c>
      <c r="X170" s="174">
        <f t="shared" si="61"/>
        <v>1</v>
      </c>
      <c r="Y170" s="67">
        <f t="shared" si="52"/>
        <v>5.8609</v>
      </c>
      <c r="Z170" s="67">
        <f t="shared" si="53"/>
        <v>7.0099999999999996E-2</v>
      </c>
      <c r="AA170" s="67">
        <f t="shared" si="54"/>
        <v>5.7907999999999999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55"/>
        <v>0816-18</v>
      </c>
      <c r="AE170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70" s="88" t="str">
        <f t="shared" si="57"/>
        <v>"C:\Program Files (x86)\AstroGrep\AstroGrep.exe" /spath="%USERPROFILE%\AppData\Local\Temp\OnboardLogs" /stypes="app*4054*20161018*" /stext=" 16:.+((SYSTEM_STATE.+slice.+state.+changed )|(ment ac)|(system.+state.+changed )|(\[timeout)|(PRM\|1\|D)|(kpr)|(kdp)|(\|lc)|(penalty))" /e /r /s</v>
      </c>
      <c r="AG170" s="1" t="str">
        <f t="shared" si="58"/>
        <v>NW</v>
      </c>
      <c r="AH170" s="92" t="str">
        <f t="shared" si="45"/>
        <v>"%USERPROFILE%\Documents\GitHub\eaglep3\Utilities\RefineRTDCRunTimes.py" --tripid 816-18 --locoid 4054 --swversion DE.1.0.7.0 --startMP 300:58609 --initTime 2016-10-18T10:35:20 --startdatetime 2016-10-18T10:37:25 --delay 1 --endMP 204:701 --enddatetime 2016-10-18T10:54:16 --enforcementcount 0 &gt;&gt;C:\Users\stu\Documents\GitHub\eaglep3-reporting\EC\2016-10-18-refined-times.txt</v>
      </c>
      <c r="AI170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{"issue":{"subject":"","project_id":79,"tracker_id":40,"status_id":1,"priority_id":2,"assigned_to_id":23,"start_date":"2016-10-18","description":"","custom_fields":[{"id":1,"name":"Subdivision","value":"NW"},{"id":4,"name":"Milepost","value":"0.0701"},{"id":17,"name":"Train ID","value":"816-18"},{"id":16,"name":"Locomotive ID","value":"4054"},{"id":130,"name":"Impact","value":""},{"id":150,"name":"Time of Event (Mountain Time)","value":"10:54:16"},{"id":151,"name":"Denver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516</v>
      </c>
      <c r="B171" s="7">
        <v>4053</v>
      </c>
      <c r="C171" s="22" t="s">
        <v>99</v>
      </c>
      <c r="D171" s="22" t="s">
        <v>743</v>
      </c>
      <c r="E171" s="13">
        <v>42661.470034722224</v>
      </c>
      <c r="F171" s="13">
        <v>42661.473090277781</v>
      </c>
      <c r="G171" s="7">
        <v>1</v>
      </c>
      <c r="H171" s="13" t="s">
        <v>744</v>
      </c>
      <c r="I171" s="13">
        <v>42661.482222222221</v>
      </c>
      <c r="J171" s="7">
        <v>0</v>
      </c>
      <c r="K171" s="112" t="str">
        <f t="shared" si="47"/>
        <v>4053/4054</v>
      </c>
      <c r="L171" s="22" t="str">
        <f>VLOOKUP(A171,'Trips&amp;Operators'!$C$1:$E$10000,3,FALSE)</f>
        <v>LEVIN</v>
      </c>
      <c r="M171" s="6">
        <f t="shared" si="48"/>
        <v>9.1319444400141947E-3</v>
      </c>
      <c r="N171" s="7">
        <f t="shared" si="62"/>
        <v>13.14999999362044</v>
      </c>
      <c r="O171" s="7"/>
      <c r="P171" s="7"/>
      <c r="Q171" s="23"/>
      <c r="R171" s="23"/>
      <c r="S171" s="35">
        <f t="shared" si="59"/>
        <v>1</v>
      </c>
      <c r="T171" s="50" t="str">
        <f t="shared" si="49"/>
        <v>NorthBound</v>
      </c>
      <c r="U171" s="18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10:16:51-0600',mode:absolute,to:'2016-10-18 12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1" s="52" t="str">
        <f t="shared" si="51"/>
        <v>N</v>
      </c>
      <c r="X171" s="174">
        <f t="shared" si="61"/>
        <v>1</v>
      </c>
      <c r="Y171" s="67">
        <f t="shared" si="52"/>
        <v>9.9699999999999997E-2</v>
      </c>
      <c r="Z171" s="67">
        <f t="shared" si="53"/>
        <v>5.8930999999999996</v>
      </c>
      <c r="AA171" s="67">
        <f t="shared" si="54"/>
        <v>5.7933999999999992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55"/>
        <v>0817-18</v>
      </c>
      <c r="AE171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71" s="88" t="str">
        <f t="shared" si="57"/>
        <v>"C:\Program Files (x86)\AstroGrep\AstroGrep.exe" /spath="%USERPROFILE%\AppData\Local\Temp\OnboardLogs" /stypes="app*4053*20161018*" /stext=" 17:.+((SYSTEM_STATE.+slice.+state.+changed )|(ment ac)|(system.+state.+changed )|(\[timeout)|(PRM\|1\|D)|(kpr)|(kdp)|(\|lc)|(penalty))" /e /r /s</v>
      </c>
      <c r="AG171" s="1" t="str">
        <f t="shared" si="58"/>
        <v>NW</v>
      </c>
      <c r="AH171" s="92" t="str">
        <f t="shared" si="45"/>
        <v>"%USERPROFILE%\Documents\GitHub\eaglep3\Utilities\RefineRTDCRunTimes.py" --tripid 817-18 --locoid 4053 --swversion DE.1.0.7.0 --startMP 204:997 --initTime 2016-10-18T11:16:51 --startdatetime 2016-10-18T11:21:15 --delay 1 --endMP 300:58931 --enddatetime 2016-10-18T11:34:24 --enforcementcount 0 &gt;&gt;C:\Users\stu\Documents\GitHub\eaglep3-reporting\EC\2016-10-18-refined-times.txt</v>
      </c>
      <c r="AI171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{"issue":{"subject":"","project_id":79,"tracker_id":40,"status_id":1,"priority_id":2,"assigned_to_id":23,"start_date":"2016-10-18","description":"","custom_fields":[{"id":1,"name":"Subdivision","value":"NW"},{"id":4,"name":"Milepost","value":"5.8931"},{"id":17,"name":"Train ID","value":"817-18"},{"id":16,"name":"Locomotive ID","value":"4053"},{"id":130,"name":"Impact","value":""},{"id":150,"name":"Time of Event (Mountain Time)","value":"11:34:24"},{"id":151,"name":"Denver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521</v>
      </c>
      <c r="B172" s="7">
        <v>4054</v>
      </c>
      <c r="C172" s="22" t="s">
        <v>99</v>
      </c>
      <c r="D172" s="22" t="s">
        <v>327</v>
      </c>
      <c r="E172" s="13">
        <v>42661.483310185184</v>
      </c>
      <c r="F172" s="13">
        <v>42661.484490740739</v>
      </c>
      <c r="G172" s="7">
        <v>0</v>
      </c>
      <c r="H172" s="13" t="s">
        <v>745</v>
      </c>
      <c r="I172" s="13">
        <v>42661.49591435185</v>
      </c>
      <c r="J172" s="7">
        <v>0</v>
      </c>
      <c r="K172" s="112" t="str">
        <f t="shared" si="47"/>
        <v>4053/4054</v>
      </c>
      <c r="L172" s="22" t="str">
        <f>VLOOKUP(A172,'Trips&amp;Operators'!$C$1:$E$10000,3,FALSE)</f>
        <v>LEVIN</v>
      </c>
      <c r="M172" s="6">
        <f t="shared" si="48"/>
        <v>1.1423611111240461E-2</v>
      </c>
      <c r="N172" s="7">
        <f t="shared" si="62"/>
        <v>16.450000000186265</v>
      </c>
      <c r="O172" s="7"/>
      <c r="P172" s="7"/>
      <c r="Q172" s="23"/>
      <c r="R172" s="23"/>
      <c r="S172" s="35">
        <f t="shared" si="59"/>
        <v>1</v>
      </c>
      <c r="T172" s="50" t="str">
        <f t="shared" si="49"/>
        <v>Southbound</v>
      </c>
      <c r="U172" s="18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10:35:58-0600',mode:absolute,to:'2016-10-18 12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2" s="52" t="str">
        <f t="shared" si="51"/>
        <v>N</v>
      </c>
      <c r="X172" s="174">
        <f t="shared" si="61"/>
        <v>1</v>
      </c>
      <c r="Y172" s="67">
        <f t="shared" si="52"/>
        <v>5.8615000000000004</v>
      </c>
      <c r="Z172" s="67">
        <f t="shared" si="53"/>
        <v>7.2700000000000001E-2</v>
      </c>
      <c r="AA172" s="67">
        <f t="shared" si="54"/>
        <v>5.7888000000000002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55"/>
        <v>0818-18</v>
      </c>
      <c r="AE172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72" s="88" t="str">
        <f t="shared" si="57"/>
        <v>"C:\Program Files (x86)\AstroGrep\AstroGrep.exe" /spath="%USERPROFILE%\AppData\Local\Temp\OnboardLogs" /stypes="app*4054*20161018*" /stext=" 17:.+((SYSTEM_STATE.+slice.+state.+changed )|(ment ac)|(system.+state.+changed )|(\[timeout)|(PRM\|1\|D)|(kpr)|(kdp)|(\|lc)|(penalty))" /e /r /s</v>
      </c>
      <c r="AG172" s="1" t="str">
        <f t="shared" si="58"/>
        <v>NW</v>
      </c>
      <c r="AH172" s="92" t="str">
        <f t="shared" si="45"/>
        <v>"%USERPROFILE%\Documents\GitHub\eaglep3\Utilities\RefineRTDCRunTimes.py" --tripid 818-18 --locoid 4054 --swversion DE.1.0.7.0 --startMP 300:58615 --initTime 2016-10-18T11:35:58 --startdatetime 2016-10-18T11:37:40 --delay 0 --endMP 204:727 --enddatetime 2016-10-18T11:54:07 --enforcementcount 0 &gt;&gt;C:\Users\stu\Documents\GitHub\eaglep3-reporting\EC\2016-10-18-refined-times.txt</v>
      </c>
      <c r="AI172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{"issue":{"subject":"","project_id":79,"tracker_id":40,"status_id":1,"priority_id":2,"assigned_to_id":23,"start_date":"2016-10-18","description":"","custom_fields":[{"id":1,"name":"Subdivision","value":"NW"},{"id":4,"name":"Milepost","value":"0.0727"},{"id":17,"name":"Train ID","value":"818-18"},{"id":16,"name":"Locomotive ID","value":"4054"},{"id":130,"name":"Impact","value":""},{"id":150,"name":"Time of Event (Mountain Time)","value":"11:54:07"},{"id":151,"name":"Denver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528</v>
      </c>
      <c r="B173" s="7">
        <v>4053</v>
      </c>
      <c r="C173" s="22" t="s">
        <v>99</v>
      </c>
      <c r="D173" s="22" t="s">
        <v>746</v>
      </c>
      <c r="E173" s="13">
        <v>42661.510937500003</v>
      </c>
      <c r="F173" s="13">
        <v>42661.514768518522</v>
      </c>
      <c r="G173" s="7">
        <v>1</v>
      </c>
      <c r="H173" s="13" t="s">
        <v>297</v>
      </c>
      <c r="I173" s="13">
        <v>42661.523726851854</v>
      </c>
      <c r="J173" s="7">
        <v>0</v>
      </c>
      <c r="K173" s="112" t="str">
        <f t="shared" si="47"/>
        <v>4053/4054</v>
      </c>
      <c r="L173" s="22" t="str">
        <f>VLOOKUP(A173,'Trips&amp;Operators'!$C$1:$E$10000,3,FALSE)</f>
        <v>LEVIN</v>
      </c>
      <c r="M173" s="6">
        <f t="shared" si="48"/>
        <v>8.9583333319751546E-3</v>
      </c>
      <c r="N173" s="7">
        <f t="shared" si="62"/>
        <v>12.899999998044223</v>
      </c>
      <c r="O173" s="7"/>
      <c r="P173" s="7"/>
      <c r="Q173" s="23"/>
      <c r="R173" s="23"/>
      <c r="S173" s="35">
        <f t="shared" si="59"/>
        <v>1</v>
      </c>
      <c r="T173" s="50" t="str">
        <f t="shared" si="49"/>
        <v>NorthBound</v>
      </c>
      <c r="U173" s="18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11:15:45-0600',mode:absolute,to:'2016-10-18 13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3" s="52" t="str">
        <f t="shared" si="51"/>
        <v>N</v>
      </c>
      <c r="X173" s="174">
        <f t="shared" si="61"/>
        <v>1</v>
      </c>
      <c r="Y173" s="67">
        <f t="shared" si="52"/>
        <v>0.1016</v>
      </c>
      <c r="Z173" s="67">
        <f t="shared" si="53"/>
        <v>5.8925999999999998</v>
      </c>
      <c r="AA173" s="67">
        <f t="shared" si="54"/>
        <v>5.7909999999999995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55"/>
        <v>0819-18</v>
      </c>
      <c r="AE173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73" s="88" t="str">
        <f t="shared" si="57"/>
        <v>"C:\Program Files (x86)\AstroGrep\AstroGrep.exe" /spath="%USERPROFILE%\AppData\Local\Temp\OnboardLogs" /stypes="app*4053*20161018*" /stext=" 18:.+((SYSTEM_STATE.+slice.+state.+changed )|(ment ac)|(system.+state.+changed )|(\[timeout)|(PRM\|1\|D)|(kpr)|(kdp)|(\|lc)|(penalty))" /e /r /s</v>
      </c>
      <c r="AG173" s="1" t="str">
        <f t="shared" si="58"/>
        <v>NW</v>
      </c>
      <c r="AH173" s="92" t="str">
        <f t="shared" si="45"/>
        <v>"%USERPROFILE%\Documents\GitHub\eaglep3\Utilities\RefineRTDCRunTimes.py" --tripid 819-18 --locoid 4053 --swversion DE.1.0.7.0 --startMP 204:1016 --initTime 2016-10-18T12:15:45 --startdatetime 2016-10-18T12:21:16 --delay 1 --endMP 300:58926 --enddatetime 2016-10-18T12:34:10 --enforcementcount 0 &gt;&gt;C:\Users\stu\Documents\GitHub\eaglep3-reporting\EC\2016-10-18-refined-times.txt</v>
      </c>
      <c r="AI173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{"issue":{"subject":"","project_id":79,"tracker_id":40,"status_id":1,"priority_id":2,"assigned_to_id":23,"start_date":"2016-10-18","description":"","custom_fields":[{"id":1,"name":"Subdivision","value":"NW"},{"id":4,"name":"Milepost","value":"5.8926"},{"id":17,"name":"Train ID","value":"819-18"},{"id":16,"name":"Locomotive ID","value":"4053"},{"id":130,"name":"Impact","value":""},{"id":150,"name":"Time of Event (Mountain Time)","value":"12:34:10"},{"id":151,"name":"Denver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533</v>
      </c>
      <c r="B174" s="7">
        <v>4054</v>
      </c>
      <c r="C174" s="22" t="s">
        <v>99</v>
      </c>
      <c r="D174" s="22" t="s">
        <v>327</v>
      </c>
      <c r="E174" s="13">
        <v>42661.524942129632</v>
      </c>
      <c r="F174" s="13">
        <v>42661.526122685187</v>
      </c>
      <c r="G174" s="7">
        <v>0</v>
      </c>
      <c r="H174" s="13" t="s">
        <v>747</v>
      </c>
      <c r="I174" s="13">
        <v>42661.537870370368</v>
      </c>
      <c r="J174" s="7">
        <v>0</v>
      </c>
      <c r="K174" s="112" t="str">
        <f t="shared" si="47"/>
        <v>4053/4054</v>
      </c>
      <c r="L174" s="22" t="str">
        <f>VLOOKUP(A174,'Trips&amp;Operators'!$C$1:$E$10000,3,FALSE)</f>
        <v>LEVIN</v>
      </c>
      <c r="M174" s="6">
        <f t="shared" si="48"/>
        <v>1.1747685181035195E-2</v>
      </c>
      <c r="N174" s="7">
        <f t="shared" si="62"/>
        <v>16.91666666069068</v>
      </c>
      <c r="O174" s="7"/>
      <c r="P174" s="7"/>
      <c r="Q174" s="23"/>
      <c r="R174" s="23"/>
      <c r="S174" s="35">
        <f t="shared" si="59"/>
        <v>1</v>
      </c>
      <c r="T174" s="50" t="str">
        <f t="shared" si="49"/>
        <v>Southbound</v>
      </c>
      <c r="U174" s="18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11:35:55-0600',mode:absolute,to:'2016-10-18 13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4" s="52" t="str">
        <f t="shared" si="51"/>
        <v>N</v>
      </c>
      <c r="X174" s="174">
        <f t="shared" si="61"/>
        <v>1</v>
      </c>
      <c r="Y174" s="67">
        <f t="shared" si="52"/>
        <v>5.8615000000000004</v>
      </c>
      <c r="Z174" s="67">
        <f t="shared" si="53"/>
        <v>7.3099999999999998E-2</v>
      </c>
      <c r="AA174" s="67">
        <f t="shared" si="54"/>
        <v>5.7884000000000002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55"/>
        <v>0820-18</v>
      </c>
      <c r="AE174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74" s="88" t="str">
        <f t="shared" si="57"/>
        <v>"C:\Program Files (x86)\AstroGrep\AstroGrep.exe" /spath="%USERPROFILE%\AppData\Local\Temp\OnboardLogs" /stypes="app*4054*20161018*" /stext=" 18:.+((SYSTEM_STATE.+slice.+state.+changed )|(ment ac)|(system.+state.+changed )|(\[timeout)|(PRM\|1\|D)|(kpr)|(kdp)|(\|lc)|(penalty))" /e /r /s</v>
      </c>
      <c r="AG174" s="1" t="str">
        <f t="shared" si="58"/>
        <v>NW</v>
      </c>
      <c r="AH174" s="92" t="str">
        <f t="shared" si="45"/>
        <v>"%USERPROFILE%\Documents\GitHub\eaglep3\Utilities\RefineRTDCRunTimes.py" --tripid 820-18 --locoid 4054 --swversion DE.1.0.7.0 --startMP 300:58615 --initTime 2016-10-18T12:35:55 --startdatetime 2016-10-18T12:37:37 --delay 0 --endMP 204:731 --enddatetime 2016-10-18T12:54:32 --enforcementcount 0 &gt;&gt;C:\Users\stu\Documents\GitHub\eaglep3-reporting\EC\2016-10-18-refined-times.txt</v>
      </c>
      <c r="AI174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{"issue":{"subject":"","project_id":79,"tracker_id":40,"status_id":1,"priority_id":2,"assigned_to_id":23,"start_date":"2016-10-18","description":"","custom_fields":[{"id":1,"name":"Subdivision","value":"NW"},{"id":4,"name":"Milepost","value":"0.0731"},{"id":17,"name":"Train ID","value":"820-18"},{"id":16,"name":"Locomotive ID","value":"4054"},{"id":130,"name":"Impact","value":""},{"id":150,"name":"Time of Event (Mountain Time)","value":"12:54:32"},{"id":151,"name":"Denver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538</v>
      </c>
      <c r="B175" s="7">
        <v>4053</v>
      </c>
      <c r="C175" s="22" t="s">
        <v>99</v>
      </c>
      <c r="D175" s="22" t="s">
        <v>728</v>
      </c>
      <c r="E175" s="13">
        <v>42661.548356481479</v>
      </c>
      <c r="F175" s="13">
        <v>42661.556481481479</v>
      </c>
      <c r="G175" s="7">
        <v>3</v>
      </c>
      <c r="H175" s="13" t="s">
        <v>748</v>
      </c>
      <c r="I175" s="13">
        <v>42661.565937500003</v>
      </c>
      <c r="J175" s="7">
        <v>0</v>
      </c>
      <c r="K175" s="112" t="str">
        <f t="shared" si="47"/>
        <v>4053/4054</v>
      </c>
      <c r="L175" s="22" t="str">
        <f>VLOOKUP(A175,'Trips&amp;Operators'!$C$1:$E$10000,3,FALSE)</f>
        <v>BRUDER</v>
      </c>
      <c r="M175" s="6">
        <f t="shared" si="48"/>
        <v>9.456018524360843E-3</v>
      </c>
      <c r="N175" s="7">
        <f t="shared" si="62"/>
        <v>13.616666675079614</v>
      </c>
      <c r="O175" s="7"/>
      <c r="P175" s="7"/>
      <c r="Q175" s="23"/>
      <c r="R175" s="23"/>
      <c r="S175" s="35">
        <f t="shared" ref="S175:S206" si="63">SUM(U175:U175)/IF(AG175="EC",12,1)</f>
        <v>1</v>
      </c>
      <c r="T175" s="50" t="str">
        <f t="shared" si="49"/>
        <v>NorthBound</v>
      </c>
      <c r="U175" s="18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12:09:38-0600',mode:absolute,to:'2016-10-18 14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5" s="52" t="str">
        <f t="shared" si="51"/>
        <v>N</v>
      </c>
      <c r="X175" s="174">
        <f t="shared" si="61"/>
        <v>1</v>
      </c>
      <c r="Y175" s="67">
        <f t="shared" si="52"/>
        <v>0.10059999999999999</v>
      </c>
      <c r="Z175" s="67">
        <f t="shared" si="53"/>
        <v>5.8964999999999996</v>
      </c>
      <c r="AA175" s="67">
        <f t="shared" si="54"/>
        <v>5.7958999999999996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55"/>
        <v>0821-18</v>
      </c>
      <c r="AE175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75" s="88" t="str">
        <f t="shared" si="57"/>
        <v>"C:\Program Files (x86)\AstroGrep\AstroGrep.exe" /spath="%USERPROFILE%\AppData\Local\Temp\OnboardLogs" /stypes="app*4053*20161018*" /stext=" 19:.+((SYSTEM_STATE.+slice.+state.+changed )|(ment ac)|(system.+state.+changed )|(\[timeout)|(PRM\|1\|D)|(kpr)|(kdp)|(\|lc)|(penalty))" /e /r /s</v>
      </c>
      <c r="AG175" s="1" t="str">
        <f t="shared" si="58"/>
        <v>NW</v>
      </c>
      <c r="AH175" s="92" t="str">
        <f t="shared" si="45"/>
        <v>"%USERPROFILE%\Documents\GitHub\eaglep3\Utilities\RefineRTDCRunTimes.py" --tripid 821-18 --locoid 4053 --swversion DE.1.0.7.0 --startMP 204:1006 --initTime 2016-10-18T13:09:38 --startdatetime 2016-10-18T13:21:20 --delay 3 --endMP 300:58965 --enddatetime 2016-10-18T13:34:57 --enforcementcount 0 &gt;&gt;C:\Users\stu\Documents\GitHub\eaglep3-reporting\EC\2016-10-18-refined-times.txt</v>
      </c>
      <c r="AI175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{"issue":{"subject":"","project_id":79,"tracker_id":40,"status_id":1,"priority_id":2,"assigned_to_id":23,"start_date":"2016-10-18","description":"","custom_fields":[{"id":1,"name":"Subdivision","value":"NW"},{"id":4,"name":"Milepost","value":"5.8965"},{"id":17,"name":"Train ID","value":"821-18"},{"id":16,"name":"Locomotive ID","value":"4053"},{"id":130,"name":"Impact","value":""},{"id":150,"name":"Time of Event (Mountain Time)","value":"13:34:57"},{"id":151,"name":"Denver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541</v>
      </c>
      <c r="B176" s="7">
        <v>4054</v>
      </c>
      <c r="C176" s="22" t="s">
        <v>99</v>
      </c>
      <c r="D176" s="22" t="s">
        <v>407</v>
      </c>
      <c r="E176" s="13">
        <v>42661.567060185182</v>
      </c>
      <c r="F176" s="13">
        <v>42661.569664351853</v>
      </c>
      <c r="G176" s="7">
        <v>2</v>
      </c>
      <c r="H176" s="13" t="s">
        <v>392</v>
      </c>
      <c r="I176" s="13">
        <v>42661.580370370371</v>
      </c>
      <c r="J176" s="7">
        <v>0</v>
      </c>
      <c r="K176" s="112" t="str">
        <f t="shared" si="47"/>
        <v>4053/4054</v>
      </c>
      <c r="L176" s="22" t="str">
        <f>VLOOKUP(A176,'Trips&amp;Operators'!$C$1:$E$10000,3,FALSE)</f>
        <v>BRUDER</v>
      </c>
      <c r="M176" s="6">
        <f t="shared" si="48"/>
        <v>1.0706018518249039E-2</v>
      </c>
      <c r="N176" s="7">
        <f t="shared" si="62"/>
        <v>15.416666666278616</v>
      </c>
      <c r="O176" s="7"/>
      <c r="P176" s="7"/>
      <c r="Q176" s="23"/>
      <c r="R176" s="23"/>
      <c r="S176" s="35">
        <f t="shared" si="63"/>
        <v>1</v>
      </c>
      <c r="T176" s="50" t="str">
        <f t="shared" si="49"/>
        <v>Southbound</v>
      </c>
      <c r="U176" s="18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12:36:34-0600',mode:absolute,to:'2016-10-18 14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6" s="52" t="str">
        <f t="shared" si="51"/>
        <v>N</v>
      </c>
      <c r="X176" s="174">
        <f t="shared" si="61"/>
        <v>1</v>
      </c>
      <c r="Y176" s="67">
        <f t="shared" si="52"/>
        <v>5.8640999999999996</v>
      </c>
      <c r="Z176" s="67">
        <f t="shared" si="53"/>
        <v>6.7100000000000007E-2</v>
      </c>
      <c r="AA176" s="67">
        <f t="shared" si="54"/>
        <v>5.7969999999999997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55"/>
        <v>0822-18</v>
      </c>
      <c r="AE176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76" s="88" t="str">
        <f t="shared" si="57"/>
        <v>"C:\Program Files (x86)\AstroGrep\AstroGrep.exe" /spath="%USERPROFILE%\AppData\Local\Temp\OnboardLogs" /stypes="app*4054*20161018*" /stext=" 19:.+((SYSTEM_STATE.+slice.+state.+changed )|(ment ac)|(system.+state.+changed )|(\[timeout)|(PRM\|1\|D)|(kpr)|(kdp)|(\|lc)|(penalty))" /e /r /s</v>
      </c>
      <c r="AG176" s="1" t="str">
        <f t="shared" si="58"/>
        <v>NW</v>
      </c>
      <c r="AH176" s="92" t="str">
        <f t="shared" si="45"/>
        <v>"%USERPROFILE%\Documents\GitHub\eaglep3\Utilities\RefineRTDCRunTimes.py" --tripid 822-18 --locoid 4054 --swversion DE.1.0.7.0 --startMP 300:58641 --initTime 2016-10-18T13:36:34 --startdatetime 2016-10-18T13:40:19 --delay 2 --endMP 204:671 --enddatetime 2016-10-18T13:55:44 --enforcementcount 0 &gt;&gt;C:\Users\stu\Documents\GitHub\eaglep3-reporting\EC\2016-10-18-refined-times.txt</v>
      </c>
      <c r="AI176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{"issue":{"subject":"","project_id":79,"tracker_id":40,"status_id":1,"priority_id":2,"assigned_to_id":23,"start_date":"2016-10-18","description":"","custom_fields":[{"id":1,"name":"Subdivision","value":"NW"},{"id":4,"name":"Milepost","value":"0.0671"},{"id":17,"name":"Train ID","value":"822-18"},{"id":16,"name":"Locomotive ID","value":"4054"},{"id":130,"name":"Impact","value":""},{"id":150,"name":"Time of Event (Mountain Time)","value":"13:55:44"},{"id":151,"name":"Denver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545</v>
      </c>
      <c r="B177" s="7">
        <v>4053</v>
      </c>
      <c r="C177" s="22" t="s">
        <v>99</v>
      </c>
      <c r="D177" s="22" t="s">
        <v>387</v>
      </c>
      <c r="E177" s="13">
        <v>42661.585682870369</v>
      </c>
      <c r="F177" s="13">
        <v>42661.598229166666</v>
      </c>
      <c r="G177" s="7">
        <v>2</v>
      </c>
      <c r="H177" s="13" t="s">
        <v>390</v>
      </c>
      <c r="I177" s="13">
        <v>42661.608287037037</v>
      </c>
      <c r="J177" s="7">
        <v>0</v>
      </c>
      <c r="K177" s="112" t="str">
        <f t="shared" si="47"/>
        <v>4053/4054</v>
      </c>
      <c r="L177" s="22" t="str">
        <f>VLOOKUP(A177,'Trips&amp;Operators'!$C$1:$E$10000,3,FALSE)</f>
        <v>BRUDER</v>
      </c>
      <c r="M177" s="6">
        <f t="shared" si="48"/>
        <v>1.0057870371383615E-2</v>
      </c>
      <c r="N177" s="7">
        <f t="shared" si="62"/>
        <v>14.483333334792405</v>
      </c>
      <c r="O177" s="7"/>
      <c r="P177" s="7"/>
      <c r="Q177" s="23"/>
      <c r="R177" s="23"/>
      <c r="S177" s="35">
        <f t="shared" si="63"/>
        <v>1</v>
      </c>
      <c r="T177" s="50" t="str">
        <f t="shared" si="49"/>
        <v>NorthBound</v>
      </c>
      <c r="U177" s="18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13:03:23-0600',mode:absolute,to:'2016-10-18 15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7" s="52" t="str">
        <f t="shared" si="51"/>
        <v>N</v>
      </c>
      <c r="X177" s="174">
        <f t="shared" si="61"/>
        <v>1</v>
      </c>
      <c r="Y177" s="67">
        <f t="shared" si="52"/>
        <v>9.74E-2</v>
      </c>
      <c r="Z177" s="67">
        <f t="shared" si="53"/>
        <v>5.8939000000000004</v>
      </c>
      <c r="AA177" s="67">
        <f t="shared" si="54"/>
        <v>5.7965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55"/>
        <v>0823-18</v>
      </c>
      <c r="AE177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77" s="88" t="str">
        <f t="shared" si="57"/>
        <v>"C:\Program Files (x86)\AstroGrep\AstroGrep.exe" /spath="%USERPROFILE%\AppData\Local\Temp\OnboardLogs" /stypes="app*4053*20161018*" /stext=" 20:.+((SYSTEM_STATE.+slice.+state.+changed )|(ment ac)|(system.+state.+changed )|(\[timeout)|(PRM\|1\|D)|(kpr)|(kdp)|(\|lc)|(penalty))" /e /r /s</v>
      </c>
      <c r="AG177" s="1" t="str">
        <f t="shared" si="58"/>
        <v>NW</v>
      </c>
      <c r="AH177" s="92" t="str">
        <f t="shared" si="45"/>
        <v>"%USERPROFILE%\Documents\GitHub\eaglep3\Utilities\RefineRTDCRunTimes.py" --tripid 823-18 --locoid 4053 --swversion DE.1.0.7.0 --startMP 204:974 --initTime 2016-10-18T14:03:23 --startdatetime 2016-10-18T14:21:27 --delay 2 --endMP 300:58939 --enddatetime 2016-10-18T14:35:56 --enforcementcount 0 &gt;&gt;C:\Users\stu\Documents\GitHub\eaglep3-reporting\EC\2016-10-18-refined-times.txt</v>
      </c>
      <c r="AI177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{"issue":{"subject":"","project_id":79,"tracker_id":40,"status_id":1,"priority_id":2,"assigned_to_id":23,"start_date":"2016-10-18","description":"","custom_fields":[{"id":1,"name":"Subdivision","value":"NW"},{"id":4,"name":"Milepost","value":"5.8939"},{"id":17,"name":"Train ID","value":"823-18"},{"id":16,"name":"Locomotive ID","value":"4053"},{"id":130,"name":"Impact","value":""},{"id":150,"name":"Time of Event (Mountain Time)","value":"14:35:56"},{"id":151,"name":"Denver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552</v>
      </c>
      <c r="B178" s="7">
        <v>4054</v>
      </c>
      <c r="C178" s="22" t="s">
        <v>99</v>
      </c>
      <c r="D178" s="22" t="s">
        <v>406</v>
      </c>
      <c r="E178" s="13">
        <v>42661.61005787037</v>
      </c>
      <c r="F178" s="13">
        <v>42661.611932870372</v>
      </c>
      <c r="G178" s="7">
        <v>1</v>
      </c>
      <c r="H178" s="13" t="s">
        <v>749</v>
      </c>
      <c r="I178" s="13">
        <v>42661.622777777775</v>
      </c>
      <c r="J178" s="7">
        <v>0</v>
      </c>
      <c r="K178" s="112" t="str">
        <f t="shared" si="47"/>
        <v>4053/4054</v>
      </c>
      <c r="L178" s="22" t="str">
        <f>VLOOKUP(A178,'Trips&amp;Operators'!$C$1:$E$10000,3,FALSE)</f>
        <v>BRUDER</v>
      </c>
      <c r="M178" s="6">
        <f t="shared" si="48"/>
        <v>1.0844907403225079E-2</v>
      </c>
      <c r="N178" s="7">
        <f t="shared" si="62"/>
        <v>15.616666660644114</v>
      </c>
      <c r="O178" s="7"/>
      <c r="P178" s="7"/>
      <c r="Q178" s="23"/>
      <c r="R178" s="23"/>
      <c r="S178" s="35">
        <f t="shared" si="63"/>
        <v>1</v>
      </c>
      <c r="T178" s="50" t="str">
        <f t="shared" si="49"/>
        <v>Southbound</v>
      </c>
      <c r="U178" s="18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13:38:29-0600',mode:absolute,to:'2016-10-18 15:56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8" s="52" t="str">
        <f t="shared" si="51"/>
        <v>N</v>
      </c>
      <c r="X178" s="174">
        <f t="shared" si="61"/>
        <v>1</v>
      </c>
      <c r="Y178" s="67">
        <f t="shared" si="52"/>
        <v>5.8623000000000003</v>
      </c>
      <c r="Z178" s="67">
        <f t="shared" si="53"/>
        <v>6.7000000000000004E-2</v>
      </c>
      <c r="AA178" s="67">
        <f t="shared" si="54"/>
        <v>5.7953000000000001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55"/>
        <v>0824-18</v>
      </c>
      <c r="AE178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78" s="88" t="str">
        <f t="shared" si="57"/>
        <v>"C:\Program Files (x86)\AstroGrep\AstroGrep.exe" /spath="%USERPROFILE%\AppData\Local\Temp\OnboardLogs" /stypes="app*4054*20161018*" /stext=" 20:.+((SYSTEM_STATE.+slice.+state.+changed )|(ment ac)|(system.+state.+changed )|(\[timeout)|(PRM\|1\|D)|(kpr)|(kdp)|(\|lc)|(penalty))" /e /r /s</v>
      </c>
      <c r="AG178" s="1" t="str">
        <f t="shared" si="58"/>
        <v>NW</v>
      </c>
      <c r="AH178" s="92" t="str">
        <f t="shared" si="45"/>
        <v>"%USERPROFILE%\Documents\GitHub\eaglep3\Utilities\RefineRTDCRunTimes.py" --tripid 824-18 --locoid 4054 --swversion DE.1.0.7.0 --startMP 300:58623 --initTime 2016-10-18T14:38:29 --startdatetime 2016-10-18T14:41:11 --delay 1 --endMP 204:670 --enddatetime 2016-10-18T14:56:48 --enforcementcount 0 &gt;&gt;C:\Users\stu\Documents\GitHub\eaglep3-reporting\EC\2016-10-18-refined-times.txt</v>
      </c>
      <c r="AI178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{"issue":{"subject":"","project_id":79,"tracker_id":40,"status_id":1,"priority_id":2,"assigned_to_id":23,"start_date":"2016-10-18","description":"","custom_fields":[{"id":1,"name":"Subdivision","value":"NW"},{"id":4,"name":"Milepost","value":"0.067"},{"id":17,"name":"Train ID","value":"824-18"},{"id":16,"name":"Locomotive ID","value":"4054"},{"id":130,"name":"Impact","value":""},{"id":150,"name":"Time of Event (Mountain Time)","value":"14:56:48"},{"id":151,"name":"Denver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555</v>
      </c>
      <c r="B179" s="7">
        <v>4053</v>
      </c>
      <c r="C179" s="22" t="s">
        <v>99</v>
      </c>
      <c r="D179" s="22" t="s">
        <v>750</v>
      </c>
      <c r="E179" s="13">
        <v>42661.625023148146</v>
      </c>
      <c r="F179" s="13">
        <v>42661.639791666668</v>
      </c>
      <c r="G179" s="7">
        <v>4</v>
      </c>
      <c r="H179" s="13" t="s">
        <v>751</v>
      </c>
      <c r="I179" s="13">
        <v>42661.649618055555</v>
      </c>
      <c r="J179" s="7">
        <v>0</v>
      </c>
      <c r="K179" s="112" t="str">
        <f t="shared" si="47"/>
        <v>4053/4054</v>
      </c>
      <c r="L179" s="22" t="str">
        <f>VLOOKUP(A179,'Trips&amp;Operators'!$C$1:$E$10000,3,FALSE)</f>
        <v>BRUDER</v>
      </c>
      <c r="M179" s="6">
        <f t="shared" si="48"/>
        <v>9.8263888867222704E-3</v>
      </c>
      <c r="N179" s="7">
        <f t="shared" si="62"/>
        <v>14.149999996880069</v>
      </c>
      <c r="O179" s="7"/>
      <c r="P179" s="7"/>
      <c r="Q179" s="23"/>
      <c r="R179" s="23"/>
      <c r="S179" s="35">
        <f t="shared" si="63"/>
        <v>1</v>
      </c>
      <c r="T179" s="50" t="str">
        <f t="shared" si="49"/>
        <v>NorthBound</v>
      </c>
      <c r="U179" s="18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14:00:02-0600',mode:absolute,to:'2016-10-18 16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9" s="52" t="str">
        <f t="shared" si="51"/>
        <v>N</v>
      </c>
      <c r="X179" s="174">
        <f t="shared" si="61"/>
        <v>1</v>
      </c>
      <c r="Y179" s="67">
        <f t="shared" si="52"/>
        <v>9.7100000000000006E-2</v>
      </c>
      <c r="Z179" s="67">
        <f t="shared" si="53"/>
        <v>5.8952</v>
      </c>
      <c r="AA179" s="67">
        <f t="shared" si="54"/>
        <v>5.7980999999999998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55"/>
        <v>0825-18</v>
      </c>
      <c r="AE179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79" s="88" t="str">
        <f t="shared" si="57"/>
        <v>"C:\Program Files (x86)\AstroGrep\AstroGrep.exe" /spath="%USERPROFILE%\AppData\Local\Temp\OnboardLogs" /stypes="app*4053*20161018*" /stext=" 21:.+((SYSTEM_STATE.+slice.+state.+changed )|(ment ac)|(system.+state.+changed )|(\[timeout)|(PRM\|1\|D)|(kpr)|(kdp)|(\|lc)|(penalty))" /e /r /s</v>
      </c>
      <c r="AG179" s="1" t="str">
        <f t="shared" si="58"/>
        <v>NW</v>
      </c>
      <c r="AH179" s="92" t="str">
        <f t="shared" si="45"/>
        <v>"%USERPROFILE%\Documents\GitHub\eaglep3\Utilities\RefineRTDCRunTimes.py" --tripid 825-18 --locoid 4053 --swversion DE.1.0.7.0 --startMP 204:971 --initTime 2016-10-18T15:00:02 --startdatetime 2016-10-18T15:21:18 --delay 4 --endMP 300:58952 --enddatetime 2016-10-18T15:35:27 --enforcementcount 0 &gt;&gt;C:\Users\stu\Documents\GitHub\eaglep3-reporting\EC\2016-10-18-refined-times.txt</v>
      </c>
      <c r="AI179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{"issue":{"subject":"","project_id":79,"tracker_id":40,"status_id":1,"priority_id":2,"assigned_to_id":23,"start_date":"2016-10-18","description":"","custom_fields":[{"id":1,"name":"Subdivision","value":"NW"},{"id":4,"name":"Milepost","value":"5.8952"},{"id":17,"name":"Train ID","value":"825-18"},{"id":16,"name":"Locomotive ID","value":"4053"},{"id":130,"name":"Impact","value":""},{"id":150,"name":"Time of Event (Mountain Time)","value":"15:35:27"},{"id":151,"name":"Denver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559</v>
      </c>
      <c r="B180" s="7">
        <v>4054</v>
      </c>
      <c r="C180" s="22" t="s">
        <v>99</v>
      </c>
      <c r="D180" s="22" t="s">
        <v>332</v>
      </c>
      <c r="E180" s="13">
        <v>42661.650810185187</v>
      </c>
      <c r="F180" s="13">
        <v>42661.652685185189</v>
      </c>
      <c r="G180" s="7">
        <v>1</v>
      </c>
      <c r="H180" s="13" t="s">
        <v>397</v>
      </c>
      <c r="I180" s="13">
        <v>42661.667349537034</v>
      </c>
      <c r="J180" s="7">
        <v>0</v>
      </c>
      <c r="K180" s="112" t="str">
        <f t="shared" si="47"/>
        <v>4053/4054</v>
      </c>
      <c r="L180" s="22" t="str">
        <f>VLOOKUP(A180,'Trips&amp;Operators'!$C$1:$E$10000,3,FALSE)</f>
        <v>BRUDER</v>
      </c>
      <c r="M180" s="6">
        <f t="shared" si="48"/>
        <v>1.466435184556758E-2</v>
      </c>
      <c r="N180" s="7">
        <f t="shared" si="62"/>
        <v>21.116666657617316</v>
      </c>
      <c r="O180" s="7"/>
      <c r="P180" s="7"/>
      <c r="Q180" s="23"/>
      <c r="R180" s="23"/>
      <c r="S180" s="35">
        <f t="shared" si="63"/>
        <v>1</v>
      </c>
      <c r="T180" s="50" t="str">
        <f t="shared" si="49"/>
        <v>Southbound</v>
      </c>
      <c r="U180" s="18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14:37:10-0600',mode:absolute,to:'2016-10-18 17:00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0" s="52" t="str">
        <f t="shared" si="51"/>
        <v>N</v>
      </c>
      <c r="X180" s="174">
        <f t="shared" si="61"/>
        <v>1</v>
      </c>
      <c r="Y180" s="67">
        <f t="shared" si="52"/>
        <v>5.8648999999999996</v>
      </c>
      <c r="Z180" s="67">
        <f t="shared" si="53"/>
        <v>6.7500000000000004E-2</v>
      </c>
      <c r="AA180" s="67">
        <f t="shared" si="54"/>
        <v>5.7973999999999997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55"/>
        <v>0826-18</v>
      </c>
      <c r="AE180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80" s="88" t="str">
        <f t="shared" si="57"/>
        <v>"C:\Program Files (x86)\AstroGrep\AstroGrep.exe" /spath="%USERPROFILE%\AppData\Local\Temp\OnboardLogs" /stypes="app*4054*20161018*" /stext=" 22:.+((SYSTEM_STATE.+slice.+state.+changed )|(ment ac)|(system.+state.+changed )|(\[timeout)|(PRM\|1\|D)|(kpr)|(kdp)|(\|lc)|(penalty))" /e /r /s</v>
      </c>
      <c r="AG180" s="1" t="str">
        <f t="shared" si="58"/>
        <v>NW</v>
      </c>
      <c r="AH180" s="92" t="str">
        <f t="shared" si="45"/>
        <v>"%USERPROFILE%\Documents\GitHub\eaglep3\Utilities\RefineRTDCRunTimes.py" --tripid 826-18 --locoid 4054 --swversion DE.1.0.7.0 --startMP 300:58649 --initTime 2016-10-18T15:37:10 --startdatetime 2016-10-18T15:39:52 --delay 1 --endMP 204:675 --enddatetime 2016-10-18T16:00:59 --enforcementcount 0 &gt;&gt;C:\Users\stu\Documents\GitHub\eaglep3-reporting\EC\2016-10-18-refined-times.txt</v>
      </c>
      <c r="AI180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{"issue":{"subject":"","project_id":79,"tracker_id":40,"status_id":1,"priority_id":2,"assigned_to_id":23,"start_date":"2016-10-18","description":"","custom_fields":[{"id":1,"name":"Subdivision","value":"NW"},{"id":4,"name":"Milepost","value":"0.0675"},{"id":17,"name":"Train ID","value":"826-18"},{"id":16,"name":"Locomotive ID","value":"4054"},{"id":130,"name":"Impact","value":""},{"id":150,"name":"Time of Event (Mountain Time)","value":"16:00:59"},{"id":151,"name":"Denver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561</v>
      </c>
      <c r="B181" s="7">
        <v>4046</v>
      </c>
      <c r="C181" s="22" t="s">
        <v>99</v>
      </c>
      <c r="D181" s="22" t="s">
        <v>395</v>
      </c>
      <c r="E181" s="13">
        <v>42661.656111111108</v>
      </c>
      <c r="F181" s="13">
        <v>42661.660821759258</v>
      </c>
      <c r="G181" s="7">
        <v>1</v>
      </c>
      <c r="H181" s="13" t="s">
        <v>752</v>
      </c>
      <c r="I181" s="13">
        <v>42661.671076388891</v>
      </c>
      <c r="J181" s="7">
        <v>0</v>
      </c>
      <c r="K181" s="112" t="str">
        <f t="shared" si="47"/>
        <v>4045/4046</v>
      </c>
      <c r="L181" s="22" t="str">
        <f>VLOOKUP(A181,'Trips&amp;Operators'!$C$1:$E$10000,3,FALSE)</f>
        <v>STURGEON</v>
      </c>
      <c r="M181" s="6">
        <f t="shared" si="48"/>
        <v>1.025462963298196E-2</v>
      </c>
      <c r="N181" s="7">
        <f t="shared" si="62"/>
        <v>14.766666671494022</v>
      </c>
      <c r="O181" s="7"/>
      <c r="P181" s="7"/>
      <c r="Q181" s="23"/>
      <c r="R181" s="23"/>
      <c r="S181" s="35">
        <f t="shared" si="63"/>
        <v>1</v>
      </c>
      <c r="T181" s="50" t="str">
        <f t="shared" si="49"/>
        <v>NorthBound</v>
      </c>
      <c r="U181" s="18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14:44:48-0600',mode:absolute,to:'2016-10-18 17:06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1" s="52" t="str">
        <f t="shared" si="51"/>
        <v>N</v>
      </c>
      <c r="X181" s="174">
        <f t="shared" si="61"/>
        <v>1</v>
      </c>
      <c r="Y181" s="67">
        <f t="shared" si="52"/>
        <v>0.1</v>
      </c>
      <c r="Z181" s="67">
        <f t="shared" si="53"/>
        <v>5.8936999999999999</v>
      </c>
      <c r="AA181" s="67">
        <f t="shared" si="54"/>
        <v>5.7937000000000003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55"/>
        <v>0827-18</v>
      </c>
      <c r="AE181" s="91" t="str">
        <f t="shared" si="56"/>
        <v>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 &amp; 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</v>
      </c>
      <c r="AF181" s="88" t="str">
        <f t="shared" si="57"/>
        <v>"C:\Program Files (x86)\AstroGrep\AstroGrep.exe" /spath="%USERPROFILE%\AppData\Local\Temp\OnboardLogs" /stypes="app*4046*20161018*" /stext=" 22:.+((SYSTEM_STATE.+slice.+state.+changed )|(ment ac)|(system.+state.+changed )|(\[timeout)|(PRM\|1\|D)|(kpr)|(kdp)|(\|lc)|(penalty))" /e /r /s</v>
      </c>
      <c r="AG181" s="1" t="str">
        <f t="shared" si="58"/>
        <v>NW</v>
      </c>
      <c r="AH181" s="92" t="str">
        <f t="shared" si="45"/>
        <v>"%USERPROFILE%\Documents\GitHub\eaglep3\Utilities\RefineRTDCRunTimes.py" --tripid 827-18 --locoid 4046 --swversion DE.1.0.7.0 --startMP 204:1000 --initTime 2016-10-18T15:44:48 --startdatetime 2016-10-18T15:51:35 --delay 1 --endMP 300:58937 --enddatetime 2016-10-18T16:06:21 --enforcementcount 0 &gt;&gt;C:\Users\stu\Documents\GitHub\eaglep3-reporting\EC\2016-10-18-refined-times.txt</v>
      </c>
      <c r="AI181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{"issue":{"subject":"","project_id":79,"tracker_id":40,"status_id":1,"priority_id":2,"assigned_to_id":23,"start_date":"2016-10-18","description":"","custom_fields":[{"id":1,"name":"Subdivision","value":"NW"},{"id":4,"name":"Milepost","value":"5.8937"},{"id":17,"name":"Train ID","value":"827-18"},{"id":16,"name":"Locomotive ID","value":"4046"},{"id":130,"name":"Impact","value":""},{"id":150,"name":"Time of Event (Mountain Time)","value":"16:06:21"},{"id":151,"name":"Denver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567</v>
      </c>
      <c r="B182" s="7">
        <v>4045</v>
      </c>
      <c r="C182" s="22" t="s">
        <v>99</v>
      </c>
      <c r="D182" s="22" t="s">
        <v>329</v>
      </c>
      <c r="E182" s="13">
        <v>42661.672361111108</v>
      </c>
      <c r="F182" s="13">
        <v>42661.673993055556</v>
      </c>
      <c r="G182" s="7">
        <v>1</v>
      </c>
      <c r="H182" s="13" t="s">
        <v>753</v>
      </c>
      <c r="I182" s="13">
        <v>42661.685486111113</v>
      </c>
      <c r="J182" s="7">
        <v>0</v>
      </c>
      <c r="K182" s="112" t="str">
        <f t="shared" si="47"/>
        <v>4045/4046</v>
      </c>
      <c r="L182" s="22" t="str">
        <f>VLOOKUP(A182,'Trips&amp;Operators'!$C$1:$E$10000,3,FALSE)</f>
        <v>STURGEON</v>
      </c>
      <c r="M182" s="6">
        <f t="shared" si="48"/>
        <v>1.1493055557366461E-2</v>
      </c>
      <c r="N182" s="7">
        <f t="shared" si="62"/>
        <v>16.550000002607703</v>
      </c>
      <c r="O182" s="7"/>
      <c r="P182" s="7"/>
      <c r="Q182" s="23"/>
      <c r="R182" s="23"/>
      <c r="S182" s="35">
        <f t="shared" si="63"/>
        <v>1</v>
      </c>
      <c r="T182" s="50" t="str">
        <f t="shared" si="49"/>
        <v>Southbound</v>
      </c>
      <c r="U182" s="18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15:08:12-0600',mode:absolute,to:'2016-10-18 17:27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2" s="52" t="str">
        <f t="shared" si="51"/>
        <v>N</v>
      </c>
      <c r="X182" s="174">
        <f t="shared" si="61"/>
        <v>1</v>
      </c>
      <c r="Y182" s="67">
        <f t="shared" si="52"/>
        <v>5.8611000000000004</v>
      </c>
      <c r="Z182" s="67">
        <f t="shared" si="53"/>
        <v>7.4700000000000003E-2</v>
      </c>
      <c r="AA182" s="67">
        <f t="shared" si="54"/>
        <v>5.7864000000000004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55"/>
        <v>0828-18</v>
      </c>
      <c r="AE182" s="91" t="str">
        <f t="shared" si="56"/>
        <v>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 &amp; 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</v>
      </c>
      <c r="AF182" s="88" t="str">
        <f t="shared" si="57"/>
        <v>"C:\Program Files (x86)\AstroGrep\AstroGrep.exe" /spath="%USERPROFILE%\AppData\Local\Temp\OnboardLogs" /stypes="app*4045*20161018*" /stext=" 22:.+((SYSTEM_STATE.+slice.+state.+changed )|(ment ac)|(system.+state.+changed )|(\[timeout)|(PRM\|1\|D)|(kpr)|(kdp)|(\|lc)|(penalty))" /e /r /s</v>
      </c>
      <c r="AG182" s="1" t="str">
        <f t="shared" si="58"/>
        <v>NW</v>
      </c>
      <c r="AH182" s="92" t="str">
        <f t="shared" si="45"/>
        <v>"%USERPROFILE%\Documents\GitHub\eaglep3\Utilities\RefineRTDCRunTimes.py" --tripid 828-18 --locoid 4045 --swversion DE.1.0.7.0 --startMP 300:58611 --initTime 2016-10-18T16:08:12 --startdatetime 2016-10-18T16:10:33 --delay 1 --endMP 204:747 --enddatetime 2016-10-18T16:27:06 --enforcementcount 0 &gt;&gt;C:\Users\stu\Documents\GitHub\eaglep3-reporting\EC\2016-10-18-refined-times.txt</v>
      </c>
      <c r="AI182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{"issue":{"subject":"","project_id":79,"tracker_id":40,"status_id":1,"priority_id":2,"assigned_to_id":23,"start_date":"2016-10-18","description":"","custom_fields":[{"id":1,"name":"Subdivision","value":"NW"},{"id":4,"name":"Milepost","value":"0.0747"},{"id":17,"name":"Train ID","value":"828-18"},{"id":16,"name":"Locomotive ID","value":"4045"},{"id":130,"name":"Impact","value":""},{"id":150,"name":"Time of Event (Mountain Time)","value":"16:27:06"},{"id":151,"name":"Denver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564</v>
      </c>
      <c r="B183" s="7">
        <v>4053</v>
      </c>
      <c r="C183" s="22" t="s">
        <v>99</v>
      </c>
      <c r="D183" s="22" t="s">
        <v>387</v>
      </c>
      <c r="E183" s="13">
        <v>42661.670682870368</v>
      </c>
      <c r="F183" s="13">
        <v>42661.681469907409</v>
      </c>
      <c r="G183" s="7">
        <v>1</v>
      </c>
      <c r="H183" s="13" t="s">
        <v>331</v>
      </c>
      <c r="I183" s="13">
        <v>42661.691261574073</v>
      </c>
      <c r="J183" s="7">
        <v>0</v>
      </c>
      <c r="K183" s="112" t="str">
        <f t="shared" si="47"/>
        <v>4053/4054</v>
      </c>
      <c r="L183" s="22" t="str">
        <f>VLOOKUP(A183,'Trips&amp;Operators'!$C$1:$E$10000,3,FALSE)</f>
        <v>BRUDER</v>
      </c>
      <c r="M183" s="6">
        <f t="shared" si="48"/>
        <v>9.7916666636592709E-3</v>
      </c>
      <c r="N183" s="7">
        <f t="shared" si="62"/>
        <v>14.09999999566935</v>
      </c>
      <c r="O183" s="7"/>
      <c r="P183" s="7"/>
      <c r="Q183" s="23"/>
      <c r="R183" s="23"/>
      <c r="S183" s="35">
        <f t="shared" si="63"/>
        <v>1</v>
      </c>
      <c r="T183" s="50" t="str">
        <f t="shared" si="49"/>
        <v>NorthBound</v>
      </c>
      <c r="U183" s="18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15:05:47-0600',mode:absolute,to:'2016-10-18 17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3" s="52" t="str">
        <f t="shared" si="51"/>
        <v>N</v>
      </c>
      <c r="X183" s="174">
        <f t="shared" si="61"/>
        <v>1</v>
      </c>
      <c r="Y183" s="67">
        <f t="shared" si="52"/>
        <v>9.74E-2</v>
      </c>
      <c r="Z183" s="67">
        <f t="shared" si="53"/>
        <v>5.8956</v>
      </c>
      <c r="AA183" s="67">
        <f t="shared" si="54"/>
        <v>5.7981999999999996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55"/>
        <v>0829-18</v>
      </c>
      <c r="AE183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83" s="88" t="str">
        <f t="shared" si="57"/>
        <v>"C:\Program Files (x86)\AstroGrep\AstroGrep.exe" /spath="%USERPROFILE%\AppData\Local\Temp\OnboardLogs" /stypes="app*4053*20161018*" /stext=" 22:.+((SYSTEM_STATE.+slice.+state.+changed )|(ment ac)|(system.+state.+changed )|(\[timeout)|(PRM\|1\|D)|(kpr)|(kdp)|(\|lc)|(penalty))" /e /r /s</v>
      </c>
      <c r="AG183" s="1" t="str">
        <f t="shared" si="58"/>
        <v>NW</v>
      </c>
      <c r="AH183" s="92" t="str">
        <f t="shared" si="45"/>
        <v>"%USERPROFILE%\Documents\GitHub\eaglep3\Utilities\RefineRTDCRunTimes.py" --tripid 829-18 --locoid 4053 --swversion DE.1.0.7.0 --startMP 204:974 --initTime 2016-10-18T16:05:47 --startdatetime 2016-10-18T16:21:19 --delay 1 --endMP 300:58956 --enddatetime 2016-10-18T16:35:25 --enforcementcount 0 &gt;&gt;C:\Users\stu\Documents\GitHub\eaglep3-reporting\EC\2016-10-18-refined-times.txt</v>
      </c>
      <c r="AI183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{"issue":{"subject":"","project_id":79,"tracker_id":40,"status_id":1,"priority_id":2,"assigned_to_id":23,"start_date":"2016-10-18","description":"","custom_fields":[{"id":1,"name":"Subdivision","value":"NW"},{"id":4,"name":"Milepost","value":"5.8956"},{"id":17,"name":"Train ID","value":"829-18"},{"id":16,"name":"Locomotive ID","value":"4053"},{"id":130,"name":"Impact","value":""},{"id":150,"name":"Time of Event (Mountain Time)","value":"16:35:25"},{"id":151,"name":"Denver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570</v>
      </c>
      <c r="B184" s="7">
        <v>4054</v>
      </c>
      <c r="C184" s="22" t="s">
        <v>99</v>
      </c>
      <c r="D184" s="22" t="s">
        <v>398</v>
      </c>
      <c r="E184" s="13">
        <v>42661.692824074074</v>
      </c>
      <c r="F184" s="13">
        <v>42661.695173611108</v>
      </c>
      <c r="G184" s="7">
        <v>1</v>
      </c>
      <c r="H184" s="13" t="s">
        <v>754</v>
      </c>
      <c r="I184" s="13">
        <v>42661.706111111111</v>
      </c>
      <c r="J184" s="7">
        <v>0</v>
      </c>
      <c r="K184" s="112" t="str">
        <f t="shared" si="47"/>
        <v>4053/4054</v>
      </c>
      <c r="L184" s="22" t="str">
        <f>VLOOKUP(A184,'Trips&amp;Operators'!$C$1:$E$10000,3,FALSE)</f>
        <v>BRUDER</v>
      </c>
      <c r="M184" s="6">
        <f t="shared" si="48"/>
        <v>1.0937500002910383E-2</v>
      </c>
      <c r="N184" s="7">
        <f t="shared" si="62"/>
        <v>15.750000004190952</v>
      </c>
      <c r="O184" s="7"/>
      <c r="P184" s="7"/>
      <c r="Q184" s="23"/>
      <c r="R184" s="23"/>
      <c r="S184" s="35">
        <f t="shared" si="63"/>
        <v>1</v>
      </c>
      <c r="T184" s="50" t="str">
        <f t="shared" si="49"/>
        <v>Southbound</v>
      </c>
      <c r="U184" s="18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15:37:40-0600',mode:absolute,to:'2016-10-18 17:56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4" s="52" t="str">
        <f t="shared" si="51"/>
        <v>N</v>
      </c>
      <c r="X184" s="174">
        <f t="shared" ref="X184:X215" si="64">VALUE(LEFT(AD184,4))-VALUE(LEFT(AD183,4))</f>
        <v>1</v>
      </c>
      <c r="Y184" s="67">
        <f t="shared" si="52"/>
        <v>5.8643000000000001</v>
      </c>
      <c r="Z184" s="67">
        <f t="shared" si="53"/>
        <v>7.0599999999999996E-2</v>
      </c>
      <c r="AA184" s="67">
        <f t="shared" si="54"/>
        <v>5.7937000000000003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55"/>
        <v>0830-18</v>
      </c>
      <c r="AE184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84" s="88" t="str">
        <f t="shared" si="57"/>
        <v>"C:\Program Files (x86)\AstroGrep\AstroGrep.exe" /spath="%USERPROFILE%\AppData\Local\Temp\OnboardLogs" /stypes="app*4054*20161018*" /stext=" 22:.+((SYSTEM_STATE.+slice.+state.+changed )|(ment ac)|(system.+state.+changed )|(\[timeout)|(PRM\|1\|D)|(kpr)|(kdp)|(\|lc)|(penalty))" /e /r /s</v>
      </c>
      <c r="AG184" s="1" t="str">
        <f t="shared" si="58"/>
        <v>NW</v>
      </c>
      <c r="AH184" s="92" t="str">
        <f t="shared" si="45"/>
        <v>"%USERPROFILE%\Documents\GitHub\eaglep3\Utilities\RefineRTDCRunTimes.py" --tripid 830-18 --locoid 4054 --swversion DE.1.0.7.0 --startMP 300:58643 --initTime 2016-10-18T16:37:40 --startdatetime 2016-10-18T16:41:03 --delay 1 --endMP 204:706 --enddatetime 2016-10-18T16:56:48 --enforcementcount 0 &gt;&gt;C:\Users\stu\Documents\GitHub\eaglep3-reporting\EC\2016-10-18-refined-times.txt</v>
      </c>
      <c r="AI184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{"issue":{"subject":"","project_id":79,"tracker_id":40,"status_id":1,"priority_id":2,"assigned_to_id":23,"start_date":"2016-10-18","description":"","custom_fields":[{"id":1,"name":"Subdivision","value":"NW"},{"id":4,"name":"Milepost","value":"0.0706"},{"id":17,"name":"Train ID","value":"830-18"},{"id":16,"name":"Locomotive ID","value":"4054"},{"id":130,"name":"Impact","value":""},{"id":150,"name":"Time of Event (Mountain Time)","value":"16:56:48"},{"id":151,"name":"Denver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571</v>
      </c>
      <c r="B185" s="7">
        <v>4046</v>
      </c>
      <c r="C185" s="22" t="s">
        <v>99</v>
      </c>
      <c r="D185" s="22" t="s">
        <v>755</v>
      </c>
      <c r="E185" s="13">
        <v>42661.694421296299</v>
      </c>
      <c r="F185" s="13">
        <v>42661.70244212963</v>
      </c>
      <c r="G185" s="7">
        <v>1</v>
      </c>
      <c r="H185" s="13" t="s">
        <v>744</v>
      </c>
      <c r="I185" s="13">
        <v>42661.71329861111</v>
      </c>
      <c r="J185" s="7">
        <v>0</v>
      </c>
      <c r="K185" s="112" t="str">
        <f t="shared" si="47"/>
        <v>4045/4046</v>
      </c>
      <c r="L185" s="22" t="str">
        <f>VLOOKUP(A185,'Trips&amp;Operators'!$C$1:$E$10000,3,FALSE)</f>
        <v>STURGEON</v>
      </c>
      <c r="M185" s="6">
        <f t="shared" si="48"/>
        <v>1.0856481480004732E-2</v>
      </c>
      <c r="N185" s="7">
        <f t="shared" si="62"/>
        <v>15.633333331206813</v>
      </c>
      <c r="O185" s="7"/>
      <c r="P185" s="7"/>
      <c r="Q185" s="23"/>
      <c r="R185" s="23"/>
      <c r="S185" s="35">
        <f t="shared" si="63"/>
        <v>1</v>
      </c>
      <c r="T185" s="50" t="str">
        <f t="shared" si="49"/>
        <v>NorthBound</v>
      </c>
      <c r="U185" s="18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15:39:58-0600',mode:absolute,to:'2016-10-18 18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5" s="52" t="str">
        <f t="shared" si="51"/>
        <v>N</v>
      </c>
      <c r="X185" s="174">
        <f t="shared" si="64"/>
        <v>1</v>
      </c>
      <c r="Y185" s="67">
        <f t="shared" si="52"/>
        <v>0.1042</v>
      </c>
      <c r="Z185" s="67">
        <f t="shared" si="53"/>
        <v>5.8930999999999996</v>
      </c>
      <c r="AA185" s="67">
        <f t="shared" si="54"/>
        <v>5.7888999999999999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55"/>
        <v>0831-18</v>
      </c>
      <c r="AE185" s="91" t="str">
        <f t="shared" si="56"/>
        <v>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 &amp; 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</v>
      </c>
      <c r="AF185" s="88" t="str">
        <f t="shared" si="57"/>
        <v>"C:\Program Files (x86)\AstroGrep\AstroGrep.exe" /spath="%USERPROFILE%\AppData\Local\Temp\OnboardLogs" /stypes="app*4046*20161018*" /stext=" 23:.+((SYSTEM_STATE.+slice.+state.+changed )|(ment ac)|(system.+state.+changed )|(\[timeout)|(PRM\|1\|D)|(kpr)|(kdp)|(\|lc)|(penalty))" /e /r /s</v>
      </c>
      <c r="AG185" s="1" t="str">
        <f t="shared" si="58"/>
        <v>NW</v>
      </c>
      <c r="AH185" s="92" t="str">
        <f t="shared" si="45"/>
        <v>"%USERPROFILE%\Documents\GitHub\eaglep3\Utilities\RefineRTDCRunTimes.py" --tripid 831-18 --locoid 4046 --swversion DE.1.0.7.0 --startMP 204:1042 --initTime 2016-10-18T16:39:58 --startdatetime 2016-10-18T16:51:31 --delay 1 --endMP 300:58931 --enddatetime 2016-10-18T17:07:09 --enforcementcount 0 &gt;&gt;C:\Users\stu\Documents\GitHub\eaglep3-reporting\EC\2016-10-18-refined-times.txt</v>
      </c>
      <c r="AI185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{"issue":{"subject":"","project_id":79,"tracker_id":40,"status_id":1,"priority_id":2,"assigned_to_id":23,"start_date":"2016-10-18","description":"","custom_fields":[{"id":1,"name":"Subdivision","value":"NW"},{"id":4,"name":"Milepost","value":"5.8931"},{"id":17,"name":"Train ID","value":"831-18"},{"id":16,"name":"Locomotive ID","value":"4046"},{"id":130,"name":"Impact","value":""},{"id":150,"name":"Time of Event (Mountain Time)","value":"17:07:09"},{"id":151,"name":"Denver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576</v>
      </c>
      <c r="B186" s="7">
        <v>4045</v>
      </c>
      <c r="C186" s="22" t="s">
        <v>99</v>
      </c>
      <c r="D186" s="22" t="s">
        <v>393</v>
      </c>
      <c r="E186" s="13">
        <v>42661.71435185185</v>
      </c>
      <c r="F186" s="13">
        <v>42661.716203703705</v>
      </c>
      <c r="G186" s="7">
        <v>1</v>
      </c>
      <c r="H186" s="13" t="s">
        <v>756</v>
      </c>
      <c r="I186" s="13">
        <v>42661.72761574074</v>
      </c>
      <c r="J186" s="7">
        <v>0</v>
      </c>
      <c r="K186" s="112" t="str">
        <f t="shared" si="47"/>
        <v>4045/4046</v>
      </c>
      <c r="L186" s="22" t="str">
        <f>VLOOKUP(A186,'Trips&amp;Operators'!$C$1:$E$10000,3,FALSE)</f>
        <v>STURGEON</v>
      </c>
      <c r="M186" s="6">
        <f t="shared" si="48"/>
        <v>1.1412037034460809E-2</v>
      </c>
      <c r="N186" s="7">
        <f t="shared" ref="N186:N217" si="65">24*60*SUM($M186:$M186)</f>
        <v>16.433333329623565</v>
      </c>
      <c r="O186" s="7"/>
      <c r="P186" s="7"/>
      <c r="Q186" s="23"/>
      <c r="R186" s="23"/>
      <c r="S186" s="35">
        <f t="shared" si="63"/>
        <v>1</v>
      </c>
      <c r="T186" s="50" t="str">
        <f t="shared" si="49"/>
        <v>Southbound</v>
      </c>
      <c r="U186" s="18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16:08:40-0600',mode:absolute,to:'2016-10-18 18:27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6" s="52" t="str">
        <f t="shared" si="51"/>
        <v>N</v>
      </c>
      <c r="X186" s="174">
        <f t="shared" si="64"/>
        <v>1</v>
      </c>
      <c r="Y186" s="67">
        <f t="shared" si="52"/>
        <v>5.8613</v>
      </c>
      <c r="Z186" s="67">
        <f t="shared" si="53"/>
        <v>7.5499999999999998E-2</v>
      </c>
      <c r="AA186" s="67">
        <f t="shared" si="54"/>
        <v>5.7858000000000001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55"/>
        <v>0832-18</v>
      </c>
      <c r="AE186" s="91" t="str">
        <f t="shared" si="56"/>
        <v>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 &amp; 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</v>
      </c>
      <c r="AF186" s="88" t="str">
        <f t="shared" si="57"/>
        <v>"C:\Program Files (x86)\AstroGrep\AstroGrep.exe" /spath="%USERPROFILE%\AppData\Local\Temp\OnboardLogs" /stypes="app*4045*20161018*" /stext=" 23:.+((SYSTEM_STATE.+slice.+state.+changed )|(ment ac)|(system.+state.+changed )|(\[timeout)|(PRM\|1\|D)|(kpr)|(kdp)|(\|lc)|(penalty))" /e /r /s</v>
      </c>
      <c r="AG186" s="1" t="str">
        <f t="shared" si="58"/>
        <v>NW</v>
      </c>
      <c r="AH186" s="92" t="str">
        <f t="shared" si="45"/>
        <v>"%USERPROFILE%\Documents\GitHub\eaglep3\Utilities\RefineRTDCRunTimes.py" --tripid 832-18 --locoid 4045 --swversion DE.1.0.7.0 --startMP 300:58613 --initTime 2016-10-18T17:08:40 --startdatetime 2016-10-18T17:11:20 --delay 1 --endMP 204:755 --enddatetime 2016-10-18T17:27:46 --enforcementcount 0 &gt;&gt;C:\Users\stu\Documents\GitHub\eaglep3-reporting\EC\2016-10-18-refined-times.txt</v>
      </c>
      <c r="AI186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{"issue":{"subject":"","project_id":79,"tracker_id":40,"status_id":1,"priority_id":2,"assigned_to_id":23,"start_date":"2016-10-18","description":"","custom_fields":[{"id":1,"name":"Subdivision","value":"NW"},{"id":4,"name":"Milepost","value":"0.0755"},{"id":17,"name":"Train ID","value":"832-18"},{"id":16,"name":"Locomotive ID","value":"4045"},{"id":130,"name":"Impact","value":""},{"id":150,"name":"Time of Event (Mountain Time)","value":"17:27:46"},{"id":151,"name":"Denver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433</v>
      </c>
      <c r="B187" s="7">
        <v>4053</v>
      </c>
      <c r="C187" s="22" t="s">
        <v>99</v>
      </c>
      <c r="D187" s="22" t="s">
        <v>757</v>
      </c>
      <c r="E187" s="13">
        <v>42661.710173611114</v>
      </c>
      <c r="F187" s="13">
        <v>42661.723252314812</v>
      </c>
      <c r="G187" s="7">
        <v>3</v>
      </c>
      <c r="H187" s="13" t="s">
        <v>758</v>
      </c>
      <c r="I187" s="13">
        <v>42661.733344907407</v>
      </c>
      <c r="J187" s="7">
        <v>0</v>
      </c>
      <c r="K187" s="112" t="str">
        <f t="shared" si="47"/>
        <v>4053/4054</v>
      </c>
      <c r="L187" s="22" t="str">
        <f>VLOOKUP(A187,'Trips&amp;Operators'!$C$1:$E$10000,3,FALSE)</f>
        <v>BRUDER</v>
      </c>
      <c r="M187" s="6">
        <f t="shared" si="48"/>
        <v>1.0092592594446614E-2</v>
      </c>
      <c r="N187" s="7">
        <f t="shared" si="65"/>
        <v>14.533333336003125</v>
      </c>
      <c r="O187" s="7"/>
      <c r="P187" s="7"/>
      <c r="Q187" s="23"/>
      <c r="R187" s="23"/>
      <c r="S187" s="35">
        <f t="shared" si="63"/>
        <v>1</v>
      </c>
      <c r="T187" s="50" t="str">
        <f t="shared" si="49"/>
        <v>NorthBound</v>
      </c>
      <c r="U187" s="18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16:02:39-0600',mode:absolute,to:'2016-10-18 18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7" s="52" t="str">
        <f t="shared" si="51"/>
        <v>N</v>
      </c>
      <c r="X187" s="174">
        <f t="shared" si="64"/>
        <v>1</v>
      </c>
      <c r="Y187" s="67">
        <f t="shared" si="52"/>
        <v>9.8100000000000007E-2</v>
      </c>
      <c r="Z187" s="67">
        <f t="shared" si="53"/>
        <v>5.8920000000000003</v>
      </c>
      <c r="AA187" s="67">
        <f t="shared" si="54"/>
        <v>5.7939000000000007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55"/>
        <v>0833-18</v>
      </c>
      <c r="AE187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87" s="88" t="str">
        <f t="shared" si="57"/>
        <v>"C:\Program Files (x86)\AstroGrep\AstroGrep.exe" /spath="%USERPROFILE%\AppData\Local\Temp\OnboardLogs" /stypes="app*4053*20161018*" /stext=" 23:.+((SYSTEM_STATE.+slice.+state.+changed )|(ment ac)|(system.+state.+changed )|(\[timeout)|(PRM\|1\|D)|(kpr)|(kdp)|(\|lc)|(penalty))" /e /r /s</v>
      </c>
      <c r="AG187" s="1" t="str">
        <f t="shared" si="58"/>
        <v>NW</v>
      </c>
      <c r="AH187" s="92" t="str">
        <f t="shared" si="45"/>
        <v>"%USERPROFILE%\Documents\GitHub\eaglep3\Utilities\RefineRTDCRunTimes.py" --tripid 833-18 --locoid 4053 --swversion DE.1.0.7.0 --startMP 204:981 --initTime 2016-10-18T17:02:39 --startdatetime 2016-10-18T17:21:29 --delay 3 --endMP 300:58920 --enddatetime 2016-10-18T17:36:01 --enforcementcount 0 &gt;&gt;C:\Users\stu\Documents\GitHub\eaglep3-reporting\EC\2016-10-18-refined-times.txt</v>
      </c>
      <c r="AI187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{"issue":{"subject":"","project_id":79,"tracker_id":40,"status_id":1,"priority_id":2,"assigned_to_id":23,"start_date":"2016-10-18","description":"","custom_fields":[{"id":1,"name":"Subdivision","value":"NW"},{"id":4,"name":"Milepost","value":"5.892"},{"id":17,"name":"Train ID","value":"833-18"},{"id":16,"name":"Locomotive ID","value":"4053"},{"id":130,"name":"Impact","value":""},{"id":150,"name":"Time of Event (Mountain Time)","value":"17:36:01"},{"id":151,"name":"Denver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583</v>
      </c>
      <c r="B188" s="7">
        <v>4054</v>
      </c>
      <c r="C188" s="22" t="s">
        <v>99</v>
      </c>
      <c r="D188" s="22" t="s">
        <v>286</v>
      </c>
      <c r="E188" s="13">
        <v>42661.73505787037</v>
      </c>
      <c r="F188" s="13">
        <v>42661.73704861111</v>
      </c>
      <c r="G188" s="7">
        <v>1</v>
      </c>
      <c r="H188" s="13" t="s">
        <v>749</v>
      </c>
      <c r="I188" s="13">
        <v>42661.748148148145</v>
      </c>
      <c r="J188" s="7">
        <v>0</v>
      </c>
      <c r="K188" s="112" t="str">
        <f t="shared" si="47"/>
        <v>4053/4054</v>
      </c>
      <c r="L188" s="22" t="str">
        <f>VLOOKUP(A188,'Trips&amp;Operators'!$C$1:$E$10000,3,FALSE)</f>
        <v>BRUDER</v>
      </c>
      <c r="M188" s="6">
        <f t="shared" si="48"/>
        <v>1.1099537034169771E-2</v>
      </c>
      <c r="N188" s="7">
        <f t="shared" si="65"/>
        <v>15.98333332920447</v>
      </c>
      <c r="O188" s="7"/>
      <c r="P188" s="7"/>
      <c r="Q188" s="23"/>
      <c r="R188" s="23"/>
      <c r="S188" s="35">
        <f t="shared" si="63"/>
        <v>1</v>
      </c>
      <c r="T188" s="50" t="str">
        <f t="shared" si="49"/>
        <v>Southbound</v>
      </c>
      <c r="U188" s="18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16:38:29-0600',mode:absolute,to:'2016-10-18 18:57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8" s="52" t="str">
        <f t="shared" si="51"/>
        <v>N</v>
      </c>
      <c r="X188" s="174">
        <f t="shared" si="64"/>
        <v>1</v>
      </c>
      <c r="Y188" s="67">
        <f t="shared" si="52"/>
        <v>5.8608000000000002</v>
      </c>
      <c r="Z188" s="67">
        <f t="shared" si="53"/>
        <v>6.7000000000000004E-2</v>
      </c>
      <c r="AA188" s="67">
        <f t="shared" si="54"/>
        <v>5.7938000000000001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55"/>
        <v>0834-18</v>
      </c>
      <c r="AE188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88" s="88" t="str">
        <f t="shared" si="57"/>
        <v>"C:\Program Files (x86)\AstroGrep\AstroGrep.exe" /spath="%USERPROFILE%\AppData\Local\Temp\OnboardLogs" /stypes="app*4054*20161018*" /stext=" 23:.+((SYSTEM_STATE.+slice.+state.+changed )|(ment ac)|(system.+state.+changed )|(\[timeout)|(PRM\|1\|D)|(kpr)|(kdp)|(\|lc)|(penalty))" /e /r /s</v>
      </c>
      <c r="AG188" s="1" t="str">
        <f t="shared" si="58"/>
        <v>NW</v>
      </c>
      <c r="AH188" s="92" t="str">
        <f t="shared" si="45"/>
        <v>"%USERPROFILE%\Documents\GitHub\eaglep3\Utilities\RefineRTDCRunTimes.py" --tripid 834-18 --locoid 4054 --swversion DE.1.0.7.0 --startMP 300:58608 --initTime 2016-10-18T17:38:29 --startdatetime 2016-10-18T17:41:21 --delay 1 --endMP 204:670 --enddatetime 2016-10-18T17:57:20 --enforcementcount 0 &gt;&gt;C:\Users\stu\Documents\GitHub\eaglep3-reporting\EC\2016-10-18-refined-times.txt</v>
      </c>
      <c r="AI188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{"issue":{"subject":"","project_id":79,"tracker_id":40,"status_id":1,"priority_id":2,"assigned_to_id":23,"start_date":"2016-10-18","description":"","custom_fields":[{"id":1,"name":"Subdivision","value":"NW"},{"id":4,"name":"Milepost","value":"0.067"},{"id":17,"name":"Train ID","value":"834-18"},{"id":16,"name":"Locomotive ID","value":"4054"},{"id":130,"name":"Impact","value":""},{"id":150,"name":"Time of Event (Mountain Time)","value":"17:57:20"},{"id":151,"name":"Denver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585</v>
      </c>
      <c r="B189" s="7">
        <v>4046</v>
      </c>
      <c r="C189" s="22" t="s">
        <v>99</v>
      </c>
      <c r="D189" s="22" t="s">
        <v>759</v>
      </c>
      <c r="E189" s="13">
        <v>42661.737199074072</v>
      </c>
      <c r="F189" s="13">
        <v>42661.744155092594</v>
      </c>
      <c r="G189" s="7">
        <v>1</v>
      </c>
      <c r="H189" s="13" t="s">
        <v>758</v>
      </c>
      <c r="I189" s="13">
        <v>42661.75476851852</v>
      </c>
      <c r="J189" s="7">
        <v>0</v>
      </c>
      <c r="K189" s="112" t="str">
        <f t="shared" si="47"/>
        <v>4045/4046</v>
      </c>
      <c r="L189" s="22" t="str">
        <f>VLOOKUP(A189,'Trips&amp;Operators'!$C$1:$E$10000,3,FALSE)</f>
        <v>STURGEON</v>
      </c>
      <c r="M189" s="6">
        <f t="shared" si="48"/>
        <v>1.0613425925839692E-2</v>
      </c>
      <c r="N189" s="7">
        <f t="shared" si="65"/>
        <v>15.283333333209157</v>
      </c>
      <c r="O189" s="7"/>
      <c r="P189" s="7"/>
      <c r="Q189" s="23"/>
      <c r="R189" s="23"/>
      <c r="S189" s="35">
        <f t="shared" si="63"/>
        <v>1</v>
      </c>
      <c r="T189" s="50" t="str">
        <f t="shared" si="49"/>
        <v>NorthBound</v>
      </c>
      <c r="U189" s="18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16:41:34-0600',mode:absolute,to:'2016-10-18 19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9" s="52" t="str">
        <f t="shared" si="51"/>
        <v>N</v>
      </c>
      <c r="X189" s="174">
        <f t="shared" si="64"/>
        <v>1</v>
      </c>
      <c r="Y189" s="67">
        <f t="shared" si="52"/>
        <v>0.10489999999999999</v>
      </c>
      <c r="Z189" s="67">
        <f t="shared" si="53"/>
        <v>5.8920000000000003</v>
      </c>
      <c r="AA189" s="67">
        <f t="shared" si="54"/>
        <v>5.7871000000000006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55"/>
        <v>0835-18</v>
      </c>
      <c r="AE189" s="91" t="str">
        <f t="shared" si="56"/>
        <v>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 &amp; 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</v>
      </c>
      <c r="AF189" s="88" t="str">
        <f t="shared" si="57"/>
        <v>"C:\Program Files (x86)\AstroGrep\AstroGrep.exe" /spath="%USERPROFILE%\AppData\Local\Temp\OnboardLogs" /stypes="app*4046*20161019*" /stext=" 00:.+((SYSTEM_STATE.+slice.+state.+changed )|(ment ac)|(system.+state.+changed )|(\[timeout)|(PRM\|1\|D)|(kpr)|(kdp)|(\|lc)|(penalty))" /e /r /s</v>
      </c>
      <c r="AG189" s="1" t="str">
        <f t="shared" si="58"/>
        <v>NW</v>
      </c>
      <c r="AH189" s="92" t="str">
        <f t="shared" si="45"/>
        <v>"%USERPROFILE%\Documents\GitHub\eaglep3\Utilities\RefineRTDCRunTimes.py" --tripid 835-18 --locoid 4046 --swversion DE.1.0.7.0 --startMP 204:1049 --initTime 2016-10-18T17:41:34 --startdatetime 2016-10-18T17:51:35 --delay 1 --endMP 300:58920 --enddatetime 2016-10-18T18:06:52 --enforcementcount 0 &gt;&gt;C:\Users\stu\Documents\GitHub\eaglep3-reporting\EC\2016-10-18-refined-times.txt</v>
      </c>
      <c r="AI189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{"issue":{"subject":"","project_id":79,"tracker_id":40,"status_id":1,"priority_id":2,"assigned_to_id":23,"start_date":"2016-10-18","description":"","custom_fields":[{"id":1,"name":"Subdivision","value":"NW"},{"id":4,"name":"Milepost","value":"5.892"},{"id":17,"name":"Train ID","value":"835-18"},{"id":16,"name":"Locomotive ID","value":"4046"},{"id":130,"name":"Impact","value":""},{"id":150,"name":"Time of Event (Mountain Time)","value":"18:06:52"},{"id":151,"name":"Denver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590</v>
      </c>
      <c r="B190" s="7">
        <v>4045</v>
      </c>
      <c r="C190" s="22" t="s">
        <v>99</v>
      </c>
      <c r="D190" s="22" t="s">
        <v>329</v>
      </c>
      <c r="E190" s="13">
        <v>42661.755856481483</v>
      </c>
      <c r="F190" s="13">
        <v>42661.757303240738</v>
      </c>
      <c r="G190" s="7">
        <v>1</v>
      </c>
      <c r="H190" s="13" t="s">
        <v>760</v>
      </c>
      <c r="I190" s="13">
        <v>42661.769201388888</v>
      </c>
      <c r="J190" s="7">
        <v>0</v>
      </c>
      <c r="K190" s="112" t="str">
        <f t="shared" si="47"/>
        <v>4045/4046</v>
      </c>
      <c r="L190" s="22" t="str">
        <f>VLOOKUP(A190,'Trips&amp;Operators'!$C$1:$E$10000,3,FALSE)</f>
        <v>STURGEON</v>
      </c>
      <c r="M190" s="6">
        <f t="shared" si="48"/>
        <v>1.1898148150066845E-2</v>
      </c>
      <c r="N190" s="7">
        <f t="shared" si="65"/>
        <v>17.133333336096257</v>
      </c>
      <c r="O190" s="7"/>
      <c r="P190" s="7"/>
      <c r="Q190" s="23"/>
      <c r="R190" s="23"/>
      <c r="S190" s="35">
        <f t="shared" si="63"/>
        <v>1</v>
      </c>
      <c r="T190" s="50" t="str">
        <f t="shared" si="49"/>
        <v>Southbound</v>
      </c>
      <c r="U190" s="18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17:08:26-0600',mode:absolute,to:'2016-10-18 19:27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0" s="52" t="str">
        <f t="shared" si="51"/>
        <v>N</v>
      </c>
      <c r="X190" s="174">
        <f t="shared" si="64"/>
        <v>1</v>
      </c>
      <c r="Y190" s="67">
        <f t="shared" si="52"/>
        <v>5.8611000000000004</v>
      </c>
      <c r="Z190" s="67">
        <f t="shared" si="53"/>
        <v>7.7600000000000002E-2</v>
      </c>
      <c r="AA190" s="67">
        <f t="shared" si="54"/>
        <v>5.7835000000000001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55"/>
        <v>0836-18</v>
      </c>
      <c r="AE190" s="91" t="str">
        <f t="shared" si="56"/>
        <v>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 &amp; 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</v>
      </c>
      <c r="AF190" s="88" t="str">
        <f t="shared" si="57"/>
        <v>"C:\Program Files (x86)\AstroGrep\AstroGrep.exe" /spath="%USERPROFILE%\AppData\Local\Temp\OnboardLogs" /stypes="app*4045*20161019*" /stext=" 00:.+((SYSTEM_STATE.+slice.+state.+changed )|(ment ac)|(system.+state.+changed )|(\[timeout)|(PRM\|1\|D)|(kpr)|(kdp)|(\|lc)|(penalty))" /e /r /s</v>
      </c>
      <c r="AG190" s="1" t="str">
        <f t="shared" si="58"/>
        <v>NW</v>
      </c>
      <c r="AH190" s="92" t="str">
        <f t="shared" si="45"/>
        <v>"%USERPROFILE%\Documents\GitHub\eaglep3\Utilities\RefineRTDCRunTimes.py" --tripid 836-18 --locoid 4045 --swversion DE.1.0.7.0 --startMP 300:58611 --initTime 2016-10-18T18:08:26 --startdatetime 2016-10-18T18:10:31 --delay 1 --endMP 204:776 --enddatetime 2016-10-18T18:27:39 --enforcementcount 0 &gt;&gt;C:\Users\stu\Documents\GitHub\eaglep3-reporting\EC\2016-10-18-refined-times.txt</v>
      </c>
      <c r="AI190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{"issue":{"subject":"","project_id":79,"tracker_id":40,"status_id":1,"priority_id":2,"assigned_to_id":23,"start_date":"2016-10-18","description":"","custom_fields":[{"id":1,"name":"Subdivision","value":"NW"},{"id":4,"name":"Milepost","value":"0.0776"},{"id":17,"name":"Train ID","value":"836-18"},{"id":16,"name":"Locomotive ID","value":"4045"},{"id":130,"name":"Impact","value":""},{"id":150,"name":"Time of Event (Mountain Time)","value":"18:27:39"},{"id":151,"name":"Denver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588</v>
      </c>
      <c r="B191" s="7">
        <v>4053</v>
      </c>
      <c r="C191" s="22" t="s">
        <v>99</v>
      </c>
      <c r="D191" s="22" t="s">
        <v>389</v>
      </c>
      <c r="E191" s="13">
        <v>42661.750543981485</v>
      </c>
      <c r="F191" s="13">
        <v>42661.764791666668</v>
      </c>
      <c r="G191" s="7">
        <v>2</v>
      </c>
      <c r="H191" s="13" t="s">
        <v>400</v>
      </c>
      <c r="I191" s="13">
        <v>42661.775254629632</v>
      </c>
      <c r="J191" s="7">
        <v>0</v>
      </c>
      <c r="K191" s="112" t="str">
        <f t="shared" si="47"/>
        <v>4053/4054</v>
      </c>
      <c r="L191" s="22" t="str">
        <f>VLOOKUP(A191,'Trips&amp;Operators'!$C$1:$E$10000,3,FALSE)</f>
        <v>BRUDER</v>
      </c>
      <c r="M191" s="6">
        <f t="shared" si="48"/>
        <v>1.0462962964083999E-2</v>
      </c>
      <c r="N191" s="7">
        <f t="shared" si="65"/>
        <v>15.066666668280959</v>
      </c>
      <c r="O191" s="7"/>
      <c r="P191" s="7"/>
      <c r="Q191" s="23"/>
      <c r="R191" s="23"/>
      <c r="S191" s="35">
        <f t="shared" si="63"/>
        <v>1</v>
      </c>
      <c r="T191" s="50" t="str">
        <f t="shared" si="49"/>
        <v>NorthBound</v>
      </c>
      <c r="U191" s="18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17:00:47-0600',mode:absolute,to:'2016-10-18 19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1" s="52" t="str">
        <f t="shared" si="51"/>
        <v>N</v>
      </c>
      <c r="X191" s="174">
        <f t="shared" si="64"/>
        <v>1</v>
      </c>
      <c r="Y191" s="67">
        <f t="shared" si="52"/>
        <v>9.69E-2</v>
      </c>
      <c r="Z191" s="67">
        <f t="shared" si="53"/>
        <v>5.8960999999999997</v>
      </c>
      <c r="AA191" s="67">
        <f t="shared" si="54"/>
        <v>5.7991999999999999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55"/>
        <v>0837-18</v>
      </c>
      <c r="AE191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91" s="88" t="str">
        <f t="shared" si="57"/>
        <v>"C:\Program Files (x86)\AstroGrep\AstroGrep.exe" /spath="%USERPROFILE%\AppData\Local\Temp\OnboardLogs" /stypes="app*4053*20161019*" /stext=" 00:.+((SYSTEM_STATE.+slice.+state.+changed )|(ment ac)|(system.+state.+changed )|(\[timeout)|(PRM\|1\|D)|(kpr)|(kdp)|(\|lc)|(penalty))" /e /r /s</v>
      </c>
      <c r="AG191" s="1" t="str">
        <f t="shared" si="58"/>
        <v>NW</v>
      </c>
      <c r="AH191" s="92" t="str">
        <f t="shared" si="45"/>
        <v>"%USERPROFILE%\Documents\GitHub\eaglep3\Utilities\RefineRTDCRunTimes.py" --tripid 837-18 --locoid 4053 --swversion DE.1.0.7.0 --startMP 204:969 --initTime 2016-10-18T18:00:47 --startdatetime 2016-10-18T18:21:18 --delay 2 --endMP 300:58961 --enddatetime 2016-10-18T18:36:22 --enforcementcount 0 &gt;&gt;C:\Users\stu\Documents\GitHub\eaglep3-reporting\EC\2016-10-18-refined-times.txt</v>
      </c>
      <c r="AI191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{"issue":{"subject":"","project_id":79,"tracker_id":40,"status_id":1,"priority_id":2,"assigned_to_id":23,"start_date":"2016-10-18","description":"","custom_fields":[{"id":1,"name":"Subdivision","value":"NW"},{"id":4,"name":"Milepost","value":"5.8961"},{"id":17,"name":"Train ID","value":"837-18"},{"id":16,"name":"Locomotive ID","value":"4053"},{"id":130,"name":"Impact","value":""},{"id":150,"name":"Time of Event (Mountain Time)","value":"18:36:22"},{"id":151,"name":"Denver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595</v>
      </c>
      <c r="B192" s="7">
        <v>4054</v>
      </c>
      <c r="C192" s="22" t="s">
        <v>99</v>
      </c>
      <c r="D192" s="22" t="s">
        <v>332</v>
      </c>
      <c r="E192" s="13">
        <v>42661.77652777778</v>
      </c>
      <c r="F192" s="13">
        <v>42661.778738425928</v>
      </c>
      <c r="G192" s="7">
        <v>1</v>
      </c>
      <c r="H192" s="13" t="s">
        <v>330</v>
      </c>
      <c r="I192" s="13">
        <v>42661.789768518516</v>
      </c>
      <c r="J192" s="7">
        <v>0</v>
      </c>
      <c r="K192" s="112" t="str">
        <f t="shared" si="47"/>
        <v>4053/4054</v>
      </c>
      <c r="L192" s="22" t="str">
        <f>VLOOKUP(A192,'Trips&amp;Operators'!$C$1:$E$10000,3,FALSE)</f>
        <v>BRUDER</v>
      </c>
      <c r="M192" s="6">
        <f t="shared" si="48"/>
        <v>1.1030092588043772E-2</v>
      </c>
      <c r="N192" s="7">
        <f t="shared" si="65"/>
        <v>15.883333326783031</v>
      </c>
      <c r="O192" s="7"/>
      <c r="P192" s="7"/>
      <c r="Q192" s="23"/>
      <c r="R192" s="23"/>
      <c r="S192" s="35">
        <f t="shared" si="63"/>
        <v>1</v>
      </c>
      <c r="T192" s="50" t="str">
        <f t="shared" si="49"/>
        <v>Southbound</v>
      </c>
      <c r="U192" s="18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17:38:12-0600',mode:absolute,to:'2016-10-18 19:57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2" s="52" t="str">
        <f t="shared" si="51"/>
        <v>N</v>
      </c>
      <c r="X192" s="174">
        <f t="shared" si="64"/>
        <v>1</v>
      </c>
      <c r="Y192" s="67">
        <f t="shared" si="52"/>
        <v>5.8648999999999996</v>
      </c>
      <c r="Z192" s="67">
        <f t="shared" si="53"/>
        <v>7.1199999999999999E-2</v>
      </c>
      <c r="AA192" s="67">
        <f t="shared" si="54"/>
        <v>5.7936999999999994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55"/>
        <v>0838-18</v>
      </c>
      <c r="AE192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92" s="88" t="str">
        <f t="shared" si="57"/>
        <v>"C:\Program Files (x86)\AstroGrep\AstroGrep.exe" /spath="%USERPROFILE%\AppData\Local\Temp\OnboardLogs" /stypes="app*4054*20161019*" /stext=" 00:.+((SYSTEM_STATE.+slice.+state.+changed )|(ment ac)|(system.+state.+changed )|(\[timeout)|(PRM\|1\|D)|(kpr)|(kdp)|(\|lc)|(penalty))" /e /r /s</v>
      </c>
      <c r="AG192" s="1" t="str">
        <f t="shared" si="58"/>
        <v>NW</v>
      </c>
      <c r="AH192" s="92" t="str">
        <f t="shared" si="45"/>
        <v>"%USERPROFILE%\Documents\GitHub\eaglep3\Utilities\RefineRTDCRunTimes.py" --tripid 838-18 --locoid 4054 --swversion DE.1.0.7.0 --startMP 300:58649 --initTime 2016-10-18T18:38:12 --startdatetime 2016-10-18T18:41:23 --delay 1 --endMP 204:712 --enddatetime 2016-10-18T18:57:16 --enforcementcount 0 &gt;&gt;C:\Users\stu\Documents\GitHub\eaglep3-reporting\EC\2016-10-18-refined-times.txt</v>
      </c>
      <c r="AI192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{"issue":{"subject":"","project_id":79,"tracker_id":40,"status_id":1,"priority_id":2,"assigned_to_id":23,"start_date":"2016-10-18","description":"","custom_fields":[{"id":1,"name":"Subdivision","value":"NW"},{"id":4,"name":"Milepost","value":"0.0712"},{"id":17,"name":"Train ID","value":"838-18"},{"id":16,"name":"Locomotive ID","value":"4054"},{"id":130,"name":"Impact","value":""},{"id":150,"name":"Time of Event (Mountain Time)","value":"18:57:16"},{"id":151,"name":"Denver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597</v>
      </c>
      <c r="B193" s="7">
        <v>4046</v>
      </c>
      <c r="C193" s="22" t="s">
        <v>99</v>
      </c>
      <c r="D193" s="22" t="s">
        <v>761</v>
      </c>
      <c r="E193" s="13">
        <v>42661.778993055559</v>
      </c>
      <c r="F193" s="13">
        <v>42661.785775462966</v>
      </c>
      <c r="G193" s="7">
        <v>1</v>
      </c>
      <c r="H193" s="13" t="s">
        <v>752</v>
      </c>
      <c r="I193" s="13">
        <v>42661.796898148146</v>
      </c>
      <c r="J193" s="7">
        <v>0</v>
      </c>
      <c r="K193" s="112" t="str">
        <f t="shared" si="47"/>
        <v>4045/4046</v>
      </c>
      <c r="L193" s="22" t="str">
        <f>VLOOKUP(A193,'Trips&amp;Operators'!$C$1:$E$10000,3,FALSE)</f>
        <v>STURGEON</v>
      </c>
      <c r="M193" s="6">
        <f t="shared" si="48"/>
        <v>1.1122685180453118E-2</v>
      </c>
      <c r="N193" s="7">
        <f t="shared" si="65"/>
        <v>16.01666665985249</v>
      </c>
      <c r="O193" s="7"/>
      <c r="P193" s="7"/>
      <c r="Q193" s="23"/>
      <c r="R193" s="23"/>
      <c r="S193" s="35">
        <f t="shared" si="63"/>
        <v>1</v>
      </c>
      <c r="T193" s="50" t="str">
        <f t="shared" si="49"/>
        <v>NorthBound</v>
      </c>
      <c r="U193" s="18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17:41:45-0600',mode:absolute,to:'2016-10-18 20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3" s="52" t="str">
        <f t="shared" si="51"/>
        <v>N</v>
      </c>
      <c r="X193" s="174">
        <f t="shared" si="64"/>
        <v>1</v>
      </c>
      <c r="Y193" s="67">
        <f t="shared" si="52"/>
        <v>0.1056</v>
      </c>
      <c r="Z193" s="67">
        <f t="shared" si="53"/>
        <v>5.8936999999999999</v>
      </c>
      <c r="AA193" s="67">
        <f t="shared" si="54"/>
        <v>5.7881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55"/>
        <v>0839-18</v>
      </c>
      <c r="AE193" s="91" t="str">
        <f t="shared" si="56"/>
        <v>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 &amp; 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</v>
      </c>
      <c r="AF193" s="88" t="str">
        <f t="shared" si="57"/>
        <v>"C:\Program Files (x86)\AstroGrep\AstroGrep.exe" /spath="%USERPROFILE%\AppData\Local\Temp\OnboardLogs" /stypes="app*4046*20161019*" /stext=" 01:.+((SYSTEM_STATE.+slice.+state.+changed )|(ment ac)|(system.+state.+changed )|(\[timeout)|(PRM\|1\|D)|(kpr)|(kdp)|(\|lc)|(penalty))" /e /r /s</v>
      </c>
      <c r="AG193" s="1" t="str">
        <f t="shared" si="58"/>
        <v>NW</v>
      </c>
      <c r="AH193" s="92" t="str">
        <f t="shared" si="45"/>
        <v>"%USERPROFILE%\Documents\GitHub\eaglep3\Utilities\RefineRTDCRunTimes.py" --tripid 839-18 --locoid 4046 --swversion DE.1.0.7.0 --startMP 204:1056 --initTime 2016-10-18T18:41:45 --startdatetime 2016-10-18T18:51:31 --delay 1 --endMP 300:58937 --enddatetime 2016-10-18T19:07:32 --enforcementcount 0 &gt;&gt;C:\Users\stu\Documents\GitHub\eaglep3-reporting\EC\2016-10-18-refined-times.txt</v>
      </c>
      <c r="AI193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{"issue":{"subject":"","project_id":79,"tracker_id":40,"status_id":1,"priority_id":2,"assigned_to_id":23,"start_date":"2016-10-18","description":"","custom_fields":[{"id":1,"name":"Subdivision","value":"NW"},{"id":4,"name":"Milepost","value":"5.8937"},{"id":17,"name":"Train ID","value":"839-18"},{"id":16,"name":"Locomotive ID","value":"4046"},{"id":130,"name":"Impact","value":""},{"id":150,"name":"Time of Event (Mountain Time)","value":"19:07:32"},{"id":151,"name":"Denver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606</v>
      </c>
      <c r="B194" s="7">
        <v>4054</v>
      </c>
      <c r="C194" s="22" t="s">
        <v>99</v>
      </c>
      <c r="D194" s="22" t="s">
        <v>396</v>
      </c>
      <c r="E194" s="13">
        <v>42661.81832175926</v>
      </c>
      <c r="F194" s="13">
        <v>42661.820289351854</v>
      </c>
      <c r="G194" s="7">
        <v>1</v>
      </c>
      <c r="H194" s="13" t="s">
        <v>762</v>
      </c>
      <c r="I194" s="13">
        <v>42661.831377314818</v>
      </c>
      <c r="J194" s="7">
        <v>0</v>
      </c>
      <c r="K194" s="112" t="str">
        <f t="shared" si="47"/>
        <v>4053/4054</v>
      </c>
      <c r="L194" s="22" t="str">
        <f>VLOOKUP(A194,'Trips&amp;Operators'!$C$1:$E$10000,3,FALSE)</f>
        <v>BRUDER</v>
      </c>
      <c r="M194" s="6">
        <f t="shared" si="48"/>
        <v>1.1087962964666076E-2</v>
      </c>
      <c r="N194" s="7">
        <f t="shared" si="65"/>
        <v>15.966666669119149</v>
      </c>
      <c r="O194" s="7"/>
      <c r="P194" s="7"/>
      <c r="Q194" s="23"/>
      <c r="R194" s="23"/>
      <c r="S194" s="35">
        <f t="shared" si="63"/>
        <v>1</v>
      </c>
      <c r="T194" s="50" t="str">
        <f t="shared" si="49"/>
        <v>Southbound</v>
      </c>
      <c r="U194" s="18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18:38:23-0600',mode:absolute,to:'2016-10-18 20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4" s="52" t="str">
        <f t="shared" si="51"/>
        <v>N</v>
      </c>
      <c r="X194" s="174">
        <f t="shared" si="64"/>
        <v>1</v>
      </c>
      <c r="Y194" s="67">
        <f t="shared" si="52"/>
        <v>5.8635999999999999</v>
      </c>
      <c r="Z194" s="67">
        <f t="shared" si="53"/>
        <v>6.9599999999999995E-2</v>
      </c>
      <c r="AA194" s="67">
        <f t="shared" si="54"/>
        <v>5.7939999999999996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55"/>
        <v>0840-18</v>
      </c>
      <c r="AE194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94" s="88" t="str">
        <f t="shared" si="57"/>
        <v>"C:\Program Files (x86)\AstroGrep\AstroGrep.exe" /spath="%USERPROFILE%\AppData\Local\Temp\OnboardLogs" /stypes="app*4054*20161019*" /stext=" 01:.+((SYSTEM_STATE.+slice.+state.+changed )|(ment ac)|(system.+state.+changed )|(\[timeout)|(PRM\|1\|D)|(kpr)|(kdp)|(\|lc)|(penalty))" /e /r /s</v>
      </c>
      <c r="AG194" s="1" t="str">
        <f t="shared" si="58"/>
        <v>NW</v>
      </c>
      <c r="AH194" s="92" t="str">
        <f t="shared" si="45"/>
        <v>"%USERPROFILE%\Documents\GitHub\eaglep3\Utilities\RefineRTDCRunTimes.py" --tripid 840-18 --locoid 4054 --swversion DE.1.0.7.0 --startMP 300:58636 --initTime 2016-10-18T19:38:23 --startdatetime 2016-10-18T19:41:13 --delay 1 --endMP 204:696 --enddatetime 2016-10-18T19:57:11 --enforcementcount 0 &gt;&gt;C:\Users\stu\Documents\GitHub\eaglep3-reporting\EC\2016-10-18-refined-times.txt</v>
      </c>
      <c r="AI194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{"issue":{"subject":"","project_id":79,"tracker_id":40,"status_id":1,"priority_id":2,"assigned_to_id":23,"start_date":"2016-10-18","description":"","custom_fields":[{"id":1,"name":"Subdivision","value":"NW"},{"id":4,"name":"Milepost","value":"0.0696"},{"id":17,"name":"Train ID","value":"840-18"},{"id":16,"name":"Locomotive ID","value":"4054"},{"id":130,"name":"Impact","value":""},{"id":150,"name":"Time of Event (Mountain Time)","value":"19:57:11"},{"id":151,"name":"Denver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599</v>
      </c>
      <c r="B195" s="7">
        <v>4053</v>
      </c>
      <c r="C195" s="22" t="s">
        <v>99</v>
      </c>
      <c r="D195" s="22" t="s">
        <v>389</v>
      </c>
      <c r="E195" s="13">
        <v>42661.792314814818</v>
      </c>
      <c r="F195" s="13">
        <v>42661.80667824074</v>
      </c>
      <c r="G195" s="7">
        <v>1</v>
      </c>
      <c r="H195" s="13" t="s">
        <v>408</v>
      </c>
      <c r="I195" s="13">
        <v>42661.817106481481</v>
      </c>
      <c r="J195" s="7">
        <v>0</v>
      </c>
      <c r="K195" s="112" t="str">
        <f t="shared" si="47"/>
        <v>4053/4054</v>
      </c>
      <c r="L195" s="22" t="str">
        <f>VLOOKUP(A195,'Trips&amp;Operators'!$C$1:$E$10000,3,FALSE)</f>
        <v>BRUDER</v>
      </c>
      <c r="M195" s="6">
        <f t="shared" si="48"/>
        <v>1.0428240741021E-2</v>
      </c>
      <c r="N195" s="7">
        <f t="shared" si="65"/>
        <v>15.01666666707024</v>
      </c>
      <c r="O195" s="7"/>
      <c r="P195" s="7"/>
      <c r="Q195" s="23"/>
      <c r="R195" s="23"/>
      <c r="S195" s="35">
        <f t="shared" si="63"/>
        <v>1</v>
      </c>
      <c r="T195" s="50" t="str">
        <f t="shared" si="49"/>
        <v>NorthBound</v>
      </c>
      <c r="U195" s="18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18:00:56-0600',mode:absolute,to:'2016-10-18 20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5" s="52" t="str">
        <f t="shared" si="51"/>
        <v>N</v>
      </c>
      <c r="X195" s="174">
        <f t="shared" si="64"/>
        <v>1</v>
      </c>
      <c r="Y195" s="67">
        <f t="shared" si="52"/>
        <v>9.69E-2</v>
      </c>
      <c r="Z195" s="67">
        <f t="shared" si="53"/>
        <v>5.8958000000000004</v>
      </c>
      <c r="AA195" s="67">
        <f t="shared" si="54"/>
        <v>5.7989000000000006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55"/>
        <v>0841-18</v>
      </c>
      <c r="AE195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95" s="88" t="str">
        <f t="shared" si="57"/>
        <v>"C:\Program Files (x86)\AstroGrep\AstroGrep.exe" /spath="%USERPROFILE%\AppData\Local\Temp\OnboardLogs" /stypes="app*4053*20161019*" /stext=" 01:.+((SYSTEM_STATE.+slice.+state.+changed )|(ment ac)|(system.+state.+changed )|(\[timeout)|(PRM\|1\|D)|(kpr)|(kdp)|(\|lc)|(penalty))" /e /r /s</v>
      </c>
      <c r="AG195" s="1" t="str">
        <f t="shared" si="58"/>
        <v>NW</v>
      </c>
      <c r="AH195" s="92" t="str">
        <f t="shared" si="45"/>
        <v>"%USERPROFILE%\Documents\GitHub\eaglep3\Utilities\RefineRTDCRunTimes.py" --tripid 841-18 --locoid 4053 --swversion DE.1.0.7.0 --startMP 204:969 --initTime 2016-10-18T19:00:56 --startdatetime 2016-10-18T19:21:37 --delay 1 --endMP 300:58958 --enddatetime 2016-10-18T19:36:38 --enforcementcount 0 &gt;&gt;C:\Users\stu\Documents\GitHub\eaglep3-reporting\EC\2016-10-18-refined-times.txt</v>
      </c>
      <c r="AI195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{"issue":{"subject":"","project_id":79,"tracker_id":40,"status_id":1,"priority_id":2,"assigned_to_id":23,"start_date":"2016-10-18","description":"","custom_fields":[{"id":1,"name":"Subdivision","value":"NW"},{"id":4,"name":"Milepost","value":"5.8958"},{"id":17,"name":"Train ID","value":"841-18"},{"id":16,"name":"Locomotive ID","value":"4053"},{"id":130,"name":"Impact","value":""},{"id":150,"name":"Time of Event (Mountain Time)","value":"19:36:38"},{"id":151,"name":"Denver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611</v>
      </c>
      <c r="B196" s="7">
        <v>4054</v>
      </c>
      <c r="C196" s="22" t="s">
        <v>99</v>
      </c>
      <c r="D196" s="22" t="s">
        <v>327</v>
      </c>
      <c r="E196" s="13">
        <v>42661.859733796293</v>
      </c>
      <c r="F196" s="13">
        <v>42661.861458333333</v>
      </c>
      <c r="G196" s="7">
        <v>1</v>
      </c>
      <c r="H196" s="13" t="s">
        <v>742</v>
      </c>
      <c r="I196" s="13">
        <v>42661.872881944444</v>
      </c>
      <c r="J196" s="7">
        <v>0</v>
      </c>
      <c r="K196" s="112" t="str">
        <f t="shared" si="47"/>
        <v>4053/4054</v>
      </c>
      <c r="L196" s="22" t="str">
        <f>VLOOKUP(A196,'Trips&amp;Operators'!$C$1:$E$10000,3,FALSE)</f>
        <v>BRUDER</v>
      </c>
      <c r="M196" s="6">
        <f t="shared" si="48"/>
        <v>1.1423611111240461E-2</v>
      </c>
      <c r="N196" s="7">
        <f t="shared" si="65"/>
        <v>16.450000000186265</v>
      </c>
      <c r="O196" s="7"/>
      <c r="P196" s="7"/>
      <c r="Q196" s="23"/>
      <c r="R196" s="23"/>
      <c r="S196" s="35">
        <f t="shared" si="63"/>
        <v>1</v>
      </c>
      <c r="T196" s="50" t="str">
        <f t="shared" si="49"/>
        <v>Southbound</v>
      </c>
      <c r="U196" s="18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19:38:01-0600',mode:absolute,to:'2016-10-18 21:56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6" s="52" t="str">
        <f t="shared" si="51"/>
        <v>N</v>
      </c>
      <c r="X196" s="174">
        <f t="shared" si="64"/>
        <v>1</v>
      </c>
      <c r="Y196" s="67">
        <f t="shared" si="52"/>
        <v>5.8615000000000004</v>
      </c>
      <c r="Z196" s="67">
        <f t="shared" si="53"/>
        <v>7.0099999999999996E-2</v>
      </c>
      <c r="AA196" s="67">
        <f t="shared" si="54"/>
        <v>5.7914000000000003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55"/>
        <v>0842-18</v>
      </c>
      <c r="AE196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96" s="88" t="str">
        <f t="shared" si="57"/>
        <v>"C:\Program Files (x86)\AstroGrep\AstroGrep.exe" /spath="%USERPROFILE%\AppData\Local\Temp\OnboardLogs" /stypes="app*4054*20161019*" /stext=" 02:.+((SYSTEM_STATE.+slice.+state.+changed )|(ment ac)|(system.+state.+changed )|(\[timeout)|(PRM\|1\|D)|(kpr)|(kdp)|(\|lc)|(penalty))" /e /r /s</v>
      </c>
      <c r="AG196" s="1" t="str">
        <f t="shared" si="58"/>
        <v>NW</v>
      </c>
      <c r="AH196" s="92" t="str">
        <f t="shared" si="45"/>
        <v>"%USERPROFILE%\Documents\GitHub\eaglep3\Utilities\RefineRTDCRunTimes.py" --tripid 842-18 --locoid 4054 --swversion DE.1.0.7.0 --startMP 300:58615 --initTime 2016-10-18T20:38:01 --startdatetime 2016-10-18T20:40:30 --delay 1 --endMP 204:701 --enddatetime 2016-10-18T20:56:57 --enforcementcount 0 &gt;&gt;C:\Users\stu\Documents\GitHub\eaglep3-reporting\EC\2016-10-18-refined-times.txt</v>
      </c>
      <c r="AI196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{"issue":{"subject":"","project_id":79,"tracker_id":40,"status_id":1,"priority_id":2,"assigned_to_id":23,"start_date":"2016-10-18","description":"","custom_fields":[{"id":1,"name":"Subdivision","value":"NW"},{"id":4,"name":"Milepost","value":"0.0701"},{"id":17,"name":"Train ID","value":"842-18"},{"id":16,"name":"Locomotive ID","value":"4054"},{"id":130,"name":"Impact","value":""},{"id":150,"name":"Time of Event (Mountain Time)","value":"20:56:57"},{"id":151,"name":"Denver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438</v>
      </c>
      <c r="B197" s="7">
        <v>4053</v>
      </c>
      <c r="C197" s="22" t="s">
        <v>99</v>
      </c>
      <c r="D197" s="22" t="s">
        <v>401</v>
      </c>
      <c r="E197" s="13">
        <v>42661.836469907408</v>
      </c>
      <c r="F197" s="13">
        <v>42661.848136574074</v>
      </c>
      <c r="G197" s="7">
        <v>2</v>
      </c>
      <c r="H197" s="13" t="s">
        <v>763</v>
      </c>
      <c r="I197" s="13">
        <v>42661.857893518521</v>
      </c>
      <c r="J197" s="7">
        <v>0</v>
      </c>
      <c r="K197" s="112" t="str">
        <f t="shared" si="47"/>
        <v>4053/4054</v>
      </c>
      <c r="L197" s="22" t="str">
        <f>VLOOKUP(A197,'Trips&amp;Operators'!$C$1:$E$10000,3,FALSE)</f>
        <v>BRUDER</v>
      </c>
      <c r="M197" s="6">
        <f t="shared" si="48"/>
        <v>9.7569444478722289E-3</v>
      </c>
      <c r="N197" s="7">
        <f t="shared" si="65"/>
        <v>14.05000000493601</v>
      </c>
      <c r="O197" s="7"/>
      <c r="P197" s="7"/>
      <c r="Q197" s="23"/>
      <c r="R197" s="23"/>
      <c r="S197" s="35">
        <f t="shared" si="63"/>
        <v>1</v>
      </c>
      <c r="T197" s="50" t="str">
        <f t="shared" si="49"/>
        <v>NorthBound</v>
      </c>
      <c r="U197" s="18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19:04:31-0600',mode:absolute,to:'2016-10-18 21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7" s="52" t="str">
        <f t="shared" si="51"/>
        <v>N</v>
      </c>
      <c r="X197" s="174">
        <f t="shared" si="64"/>
        <v>1</v>
      </c>
      <c r="Y197" s="67">
        <f t="shared" si="52"/>
        <v>9.7900000000000001E-2</v>
      </c>
      <c r="Z197" s="67">
        <f t="shared" si="53"/>
        <v>5.8933</v>
      </c>
      <c r="AA197" s="67">
        <f t="shared" si="54"/>
        <v>5.7953999999999999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55"/>
        <v>0843-18</v>
      </c>
      <c r="AE197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97" s="88" t="str">
        <f t="shared" si="57"/>
        <v>"C:\Program Files (x86)\AstroGrep\AstroGrep.exe" /spath="%USERPROFILE%\AppData\Local\Temp\OnboardLogs" /stypes="app*4053*20161019*" /stext=" 02:.+((SYSTEM_STATE.+slice.+state.+changed )|(ment ac)|(system.+state.+changed )|(\[timeout)|(PRM\|1\|D)|(kpr)|(kdp)|(\|lc)|(penalty))" /e /r /s</v>
      </c>
      <c r="AG197" s="1" t="str">
        <f t="shared" si="58"/>
        <v>NW</v>
      </c>
      <c r="AH197" s="92" t="str">
        <f t="shared" si="45"/>
        <v>"%USERPROFILE%\Documents\GitHub\eaglep3\Utilities\RefineRTDCRunTimes.py" --tripid 843-18 --locoid 4053 --swversion DE.1.0.7.0 --startMP 204:979 --initTime 2016-10-18T20:04:31 --startdatetime 2016-10-18T20:21:19 --delay 2 --endMP 300:58933 --enddatetime 2016-10-18T20:35:22 --enforcementcount 0 &gt;&gt;C:\Users\stu\Documents\GitHub\eaglep3-reporting\EC\2016-10-18-refined-times.txt</v>
      </c>
      <c r="AI197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{"issue":{"subject":"","project_id":79,"tracker_id":40,"status_id":1,"priority_id":2,"assigned_to_id":23,"start_date":"2016-10-18","description":"","custom_fields":[{"id":1,"name":"Subdivision","value":"NW"},{"id":4,"name":"Milepost","value":"5.8933"},{"id":17,"name":"Train ID","value":"843-18"},{"id":16,"name":"Locomotive ID","value":"4053"},{"id":130,"name":"Impact","value":""},{"id":150,"name":"Time of Event (Mountain Time)","value":"20:35:22"},{"id":151,"name":"Denver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618</v>
      </c>
      <c r="B198" s="7">
        <v>4054</v>
      </c>
      <c r="C198" s="22" t="s">
        <v>99</v>
      </c>
      <c r="D198" s="22" t="s">
        <v>391</v>
      </c>
      <c r="E198" s="13">
        <v>42661.901562500003</v>
      </c>
      <c r="F198" s="13">
        <v>42661.903333333335</v>
      </c>
      <c r="G198" s="7">
        <v>1</v>
      </c>
      <c r="H198" s="13" t="s">
        <v>764</v>
      </c>
      <c r="I198" s="13">
        <v>42661.914942129632</v>
      </c>
      <c r="J198" s="7">
        <v>0</v>
      </c>
      <c r="K198" s="112" t="str">
        <f t="shared" si="47"/>
        <v>4053/4054</v>
      </c>
      <c r="L198" s="22" t="str">
        <f>VLOOKUP(A198,'Trips&amp;Operators'!$C$1:$E$10000,3,FALSE)</f>
        <v>STURGEON</v>
      </c>
      <c r="M198" s="6">
        <f t="shared" si="48"/>
        <v>1.1608796296059154E-2</v>
      </c>
      <c r="N198" s="7">
        <f t="shared" si="65"/>
        <v>16.716666666325182</v>
      </c>
      <c r="O198" s="7"/>
      <c r="P198" s="7"/>
      <c r="Q198" s="23"/>
      <c r="R198" s="23"/>
      <c r="S198" s="35">
        <f t="shared" si="63"/>
        <v>1</v>
      </c>
      <c r="T198" s="50" t="str">
        <f t="shared" si="49"/>
        <v>Southbound</v>
      </c>
      <c r="U198" s="18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20:38:15-0600',mode:absolute,to:'2016-10-18 22:57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8" s="52" t="str">
        <f t="shared" si="51"/>
        <v>N</v>
      </c>
      <c r="X198" s="174">
        <f t="shared" si="64"/>
        <v>1</v>
      </c>
      <c r="Y198" s="67">
        <f t="shared" si="52"/>
        <v>5.8624000000000001</v>
      </c>
      <c r="Z198" s="67">
        <f t="shared" si="53"/>
        <v>7.6100000000000001E-2</v>
      </c>
      <c r="AA198" s="67">
        <f t="shared" si="54"/>
        <v>5.7862999999999998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55"/>
        <v>0844-18</v>
      </c>
      <c r="AE198" s="91" t="str">
        <f t="shared" si="56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198" s="88" t="str">
        <f t="shared" si="57"/>
        <v>"C:\Program Files (x86)\AstroGrep\AstroGrep.exe" /spath="%USERPROFILE%\AppData\Local\Temp\OnboardLogs" /stypes="app*4054*20161019*" /stext=" 03:.+((SYSTEM_STATE.+slice.+state.+changed )|(ment ac)|(system.+state.+changed )|(\[timeout)|(PRM\|1\|D)|(kpr)|(kdp)|(\|lc)|(penalty))" /e /r /s</v>
      </c>
      <c r="AG198" s="1" t="str">
        <f t="shared" si="58"/>
        <v>NW</v>
      </c>
      <c r="AH198" s="92" t="str">
        <f t="shared" si="45"/>
        <v>"%USERPROFILE%\Documents\GitHub\eaglep3\Utilities\RefineRTDCRunTimes.py" --tripid 844-18 --locoid 4054 --swversion DE.1.0.7.0 --startMP 300:58624 --initTime 2016-10-18T21:38:15 --startdatetime 2016-10-18T21:40:48 --delay 1 --endMP 204:761 --enddatetime 2016-10-18T21:57:31 --enforcementcount 0 &gt;&gt;C:\Users\stu\Documents\GitHub\eaglep3-reporting\EC\2016-10-18-refined-times.txt</v>
      </c>
      <c r="AI198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{"issue":{"subject":"","project_id":79,"tracker_id":40,"status_id":1,"priority_id":2,"assigned_to_id":23,"start_date":"2016-10-18","description":"","custom_fields":[{"id":1,"name":"Subdivision","value":"NW"},{"id":4,"name":"Milepost","value":"0.0761"},{"id":17,"name":"Train ID","value":"844-18"},{"id":16,"name":"Locomotive ID","value":"4054"},{"id":130,"name":"Impact","value":""},{"id":150,"name":"Time of Event (Mountain Time)","value":"21:57:31"},{"id":151,"name":"Denver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614</v>
      </c>
      <c r="B199" s="7">
        <v>4053</v>
      </c>
      <c r="C199" s="22" t="s">
        <v>99</v>
      </c>
      <c r="D199" s="22" t="s">
        <v>765</v>
      </c>
      <c r="E199" s="13">
        <v>42661.875567129631</v>
      </c>
      <c r="F199" s="13">
        <v>42661.889884259261</v>
      </c>
      <c r="G199" s="7">
        <v>2</v>
      </c>
      <c r="H199" s="13" t="s">
        <v>394</v>
      </c>
      <c r="I199" s="13">
        <v>42661.90047453704</v>
      </c>
      <c r="J199" s="7">
        <v>0</v>
      </c>
      <c r="K199" s="112" t="str">
        <f t="shared" si="47"/>
        <v>4053/4054</v>
      </c>
      <c r="L199" s="22" t="str">
        <f>VLOOKUP(A199,'Trips&amp;Operators'!$C$1:$E$10000,3,FALSE)</f>
        <v>CANFIELD</v>
      </c>
      <c r="M199" s="6">
        <f t="shared" si="48"/>
        <v>1.0590277779556345E-2</v>
      </c>
      <c r="N199" s="7">
        <f t="shared" si="65"/>
        <v>15.250000002561137</v>
      </c>
      <c r="O199" s="7"/>
      <c r="P199" s="7"/>
      <c r="Q199" s="23"/>
      <c r="R199" s="23"/>
      <c r="S199" s="35">
        <f t="shared" si="63"/>
        <v>1</v>
      </c>
      <c r="T199" s="50" t="str">
        <f t="shared" si="49"/>
        <v>NorthBound</v>
      </c>
      <c r="U199" s="18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20:00:49-0600',mode:absolute,to:'2016-10-18 22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9" s="52" t="str">
        <f t="shared" si="51"/>
        <v>N</v>
      </c>
      <c r="X199" s="174">
        <f t="shared" si="64"/>
        <v>1</v>
      </c>
      <c r="Y199" s="67">
        <f t="shared" si="52"/>
        <v>9.8299999999999998E-2</v>
      </c>
      <c r="Z199" s="67">
        <f t="shared" si="53"/>
        <v>5.8940999999999999</v>
      </c>
      <c r="AA199" s="67">
        <f t="shared" si="54"/>
        <v>5.7957999999999998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55"/>
        <v>0845-18</v>
      </c>
      <c r="AE199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199" s="88" t="str">
        <f t="shared" si="57"/>
        <v>"C:\Program Files (x86)\AstroGrep\AstroGrep.exe" /spath="%USERPROFILE%\AppData\Local\Temp\OnboardLogs" /stypes="app*4053*20161019*" /stext=" 03:.+((SYSTEM_STATE.+slice.+state.+changed )|(ment ac)|(system.+state.+changed )|(\[timeout)|(PRM\|1\|D)|(kpr)|(kdp)|(\|lc)|(penalty))" /e /r /s</v>
      </c>
      <c r="AG199" s="1" t="str">
        <f t="shared" si="58"/>
        <v>NW</v>
      </c>
      <c r="AH199" s="92" t="str">
        <f t="shared" si="45"/>
        <v>"%USERPROFILE%\Documents\GitHub\eaglep3\Utilities\RefineRTDCRunTimes.py" --tripid 845-18 --locoid 4053 --swversion DE.1.0.7.0 --startMP 204:983 --initTime 2016-10-18T21:00:49 --startdatetime 2016-10-18T21:21:26 --delay 2 --endMP 300:58941 --enddatetime 2016-10-18T21:36:41 --enforcementcount 0 &gt;&gt;C:\Users\stu\Documents\GitHub\eaglep3-reporting\EC\2016-10-18-refined-times.txt</v>
      </c>
      <c r="AI199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{"issue":{"subject":"","project_id":79,"tracker_id":40,"status_id":1,"priority_id":2,"assigned_to_id":23,"start_date":"2016-10-18","description":"","custom_fields":[{"id":1,"name":"Subdivision","value":"NW"},{"id":4,"name":"Milepost","value":"5.8941"},{"id":17,"name":"Train ID","value":"845-18"},{"id":16,"name":"Locomotive ID","value":"4053"},{"id":130,"name":"Impact","value":""},{"id":150,"name":"Time of Event (Mountain Time)","value":"21:36:41"},{"id":151,"name":"Denver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621</v>
      </c>
      <c r="B200" s="7">
        <v>4053</v>
      </c>
      <c r="C200" s="22" t="s">
        <v>99</v>
      </c>
      <c r="D200" s="22" t="s">
        <v>766</v>
      </c>
      <c r="E200" s="13">
        <v>42661.924699074072</v>
      </c>
      <c r="F200" s="13">
        <v>42661.931458333333</v>
      </c>
      <c r="G200" s="7">
        <v>2</v>
      </c>
      <c r="H200" s="13" t="s">
        <v>744</v>
      </c>
      <c r="I200" s="13">
        <v>42661.942106481481</v>
      </c>
      <c r="J200" s="7">
        <v>0</v>
      </c>
      <c r="K200" s="112" t="str">
        <f t="shared" si="47"/>
        <v>4053/4054</v>
      </c>
      <c r="L200" s="22" t="str">
        <f>VLOOKUP(A200,'Trips&amp;Operators'!$C$1:$E$10000,3,FALSE)</f>
        <v>STURGEON</v>
      </c>
      <c r="M200" s="6">
        <f t="shared" si="48"/>
        <v>1.0648148148902692E-2</v>
      </c>
      <c r="N200" s="7">
        <f t="shared" si="65"/>
        <v>15.333333334419876</v>
      </c>
      <c r="O200" s="7"/>
      <c r="P200" s="7"/>
      <c r="Q200" s="23"/>
      <c r="R200" s="23"/>
      <c r="S200" s="35">
        <f t="shared" si="63"/>
        <v>1</v>
      </c>
      <c r="T200" s="50" t="str">
        <f t="shared" si="49"/>
        <v>NorthBound</v>
      </c>
      <c r="U200" s="18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21:11:34-0600',mode:absolute,to:'2016-10-18 23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0" s="52" t="str">
        <f t="shared" si="51"/>
        <v>N</v>
      </c>
      <c r="X200" s="174">
        <f t="shared" si="64"/>
        <v>2</v>
      </c>
      <c r="Y200" s="67">
        <f t="shared" si="52"/>
        <v>0.10390000000000001</v>
      </c>
      <c r="Z200" s="67">
        <f t="shared" si="53"/>
        <v>5.8930999999999996</v>
      </c>
      <c r="AA200" s="67">
        <f t="shared" si="54"/>
        <v>5.7891999999999992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55"/>
        <v>0847-18</v>
      </c>
      <c r="AE200" s="91" t="str">
        <f t="shared" si="56"/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AF200" s="88" t="str">
        <f t="shared" si="57"/>
        <v>"C:\Program Files (x86)\AstroGrep\AstroGrep.exe" /spath="%USERPROFILE%\AppData\Local\Temp\OnboardLogs" /stypes="app*4053*20161019*" /stext=" 04:.+((SYSTEM_STATE.+slice.+state.+changed )|(ment ac)|(system.+state.+changed )|(\[timeout)|(PRM\|1\|D)|(kpr)|(kdp)|(\|lc)|(penalty))" /e /r /s</v>
      </c>
      <c r="AG200" s="1" t="str">
        <f t="shared" si="58"/>
        <v>NW</v>
      </c>
      <c r="AH200" s="92" t="str">
        <f t="shared" si="45"/>
        <v>"%USERPROFILE%\Documents\GitHub\eaglep3\Utilities\RefineRTDCRunTimes.py" --tripid 847-18 --locoid 4053 --swversion DE.1.0.7.0 --startMP 204:1039 --initTime 2016-10-18T22:11:34 --startdatetime 2016-10-18T22:21:18 --delay 2 --endMP 300:58931 --enddatetime 2016-10-18T22:36:38 --enforcementcount 0 &gt;&gt;C:\Users\stu\Documents\GitHub\eaglep3-reporting\EC\2016-10-18-refined-times.txt</v>
      </c>
      <c r="AI200" s="122" t="str">
        <f t="shared" si="46"/>
        <v>echo {"issue":{"subject":"","project_id":79,"tracker_id":40,"status_id":1,"priority_id":2,"assigned_to_id":23,"start_date":"2016-10-18","description":"","custom_fields":[{"id":1,"name":"Subdivision","value":"NW"},{"id":4,"name":"Milepost","value":"5.8931"},{"id":17,"name":"Train ID","value":"847-18"},{"id":16,"name":"Locomotive ID","value":"4053"},{"id":130,"name":"Impact","value":""},{"id":150,"name":"Time of Event (Mountain Time)","value":"22:36:38"},{"id":151,"name":"Denver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440</v>
      </c>
      <c r="B201" s="7">
        <v>4015</v>
      </c>
      <c r="C201" s="22" t="s">
        <v>99</v>
      </c>
      <c r="D201" s="22" t="s">
        <v>689</v>
      </c>
      <c r="E201" s="13">
        <v>42661.119560185187</v>
      </c>
      <c r="F201" s="13">
        <v>42661.120729166665</v>
      </c>
      <c r="G201" s="7">
        <v>1</v>
      </c>
      <c r="H201" s="13" t="s">
        <v>250</v>
      </c>
      <c r="I201" s="13">
        <v>42661.127395833333</v>
      </c>
      <c r="J201" s="7">
        <v>0</v>
      </c>
      <c r="K201" s="112" t="str">
        <f t="shared" si="47"/>
        <v>4015/4016</v>
      </c>
      <c r="L201" s="22" t="str">
        <f>VLOOKUP(A201,'Trips&amp;Operators'!$C$1:$E$10000,3,FALSE)</f>
        <v>KILLION</v>
      </c>
      <c r="M201" s="6">
        <f t="shared" si="48"/>
        <v>6.6666666680248454E-3</v>
      </c>
      <c r="N201" s="7">
        <f t="shared" si="65"/>
        <v>9.6000000019557774</v>
      </c>
      <c r="O201" s="7"/>
      <c r="P201" s="7"/>
      <c r="Q201" s="23"/>
      <c r="R201" s="23"/>
      <c r="S201" s="35">
        <f t="shared" si="63"/>
        <v>1</v>
      </c>
      <c r="T201" s="50" t="str">
        <f t="shared" si="49"/>
        <v>Southbound</v>
      </c>
      <c r="U201" s="18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01:52:10-0600',mode:absolute,to:'2016-10-18 04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1" s="52" t="str">
        <f t="shared" si="51"/>
        <v>Y</v>
      </c>
      <c r="X201" s="174">
        <f t="shared" si="64"/>
        <v>-545</v>
      </c>
      <c r="Y201" s="67">
        <f t="shared" si="52"/>
        <v>2.3107000000000002</v>
      </c>
      <c r="Z201" s="67">
        <f t="shared" si="53"/>
        <v>1.6E-2</v>
      </c>
      <c r="AA201" s="67">
        <f t="shared" si="54"/>
        <v>2.2947000000000002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55"/>
        <v>0302-18</v>
      </c>
      <c r="AE201" s="91" t="str">
        <f t="shared" si="56"/>
        <v>aws s3 cp s3://rtdc.mdm.uploadarchive.raw/RTDC4015/ "%USERPROFILE%\AppData\Local\Temp\OnboardLogs"\RTDC4015\2016-10-18 --exclude "*" --recursive --include "*20161018*" &amp; "%USERPROFILE%\Documents\GitHub\mrs-test-scripts\Headless Mode &amp; Sideloading\WalkAndUnGZ.bat" "%USERPROFILE%\AppData\Local\Temp\OnboardLogs"\RTDC4015\2016-10-18 &amp; aws s3 cp s3://rtdc.mdm.uploadarchive.raw/RTDC4015/ "%USERPROFILE%\AppData\Local\Temp\OnboardLogs"\RTDC4015\2016-10-19 --exclude "*" --recursive --include "*20161019*" &amp; "%USERPROFILE%\Documents\GitHub\mrs-test-scripts\Headless Mode &amp; Sideloading\WalkAndUnGZ.bat" "%USERPROFILE%\AppData\Local\Temp\OnboardLogs"\RTDC4015\2016-10-19</v>
      </c>
      <c r="AF201" s="88" t="str">
        <f t="shared" si="57"/>
        <v>"C:\Program Files (x86)\AstroGrep\AstroGrep.exe" /spath="%USERPROFILE%\AppData\Local\Temp\OnboardLogs" /stypes="app*4015*20161018*" /stext=" 09:.+((SYSTEM_STATE.+slice.+state.+changed )|(ment ac)|(system.+state.+changed )|(\[timeout)|(PRM\|1\|D)|(kpr)|(kdp)|(\|lc)|(penalty))" /e /r /s</v>
      </c>
      <c r="AG201" s="1" t="str">
        <f t="shared" si="58"/>
        <v>Other</v>
      </c>
      <c r="AH201" s="92" t="str">
        <f t="shared" si="45"/>
        <v>"%USERPROFILE%\Documents\GitHub\eaglep3\Utilities\RefineRTDCRunTimes.py" --tripid 302-18 --locoid 4015 --swversion DE.1.0.7.0 --startMP 300:23107 --initTime 2016-10-18T02:52:10 --startdatetime 2016-10-18T02:53:51 --delay 1 --endMP 204:160 --enddatetime 2016-10-18T03:03:27 --enforcementcount 0 &gt;&gt;C:\Users\stu\Documents\GitHub\eaglep3-reporting\EC\2016-10-18-refined-times.txt</v>
      </c>
      <c r="AI201" s="122" t="str">
        <f t="shared" si="46"/>
        <v>echo {"issue":{"subject":"","project_id":79,"tracker_id":40,"status_id":1,"priority_id":2,"assigned_to_id":23,"start_date":"2016-10-18","description":"","custom_fields":[{"id":1,"name":"Subdivision","value":"Other"},{"id":4,"name":"Milepost","value":"0.016"},{"id":17,"name":"Train ID","value":"302-18"},{"id":16,"name":"Locomotive ID","value":"4015"},{"id":130,"name":"Impact","value":""},{"id":150,"name":"Time of Event (Mountain Time)","value":"03:03:27"},{"id":151,"name":"Denver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596</v>
      </c>
      <c r="B202" s="7">
        <v>4011</v>
      </c>
      <c r="C202" s="22" t="s">
        <v>99</v>
      </c>
      <c r="D202" s="22" t="s">
        <v>252</v>
      </c>
      <c r="E202" s="13">
        <v>42661.777013888888</v>
      </c>
      <c r="F202" s="13">
        <v>25568.708333333332</v>
      </c>
      <c r="G202" s="7">
        <v>1</v>
      </c>
      <c r="H202" s="13" t="s">
        <v>310</v>
      </c>
      <c r="I202" s="13">
        <v>25568.708333333332</v>
      </c>
      <c r="J202" s="7">
        <v>0</v>
      </c>
      <c r="K202" s="112" t="str">
        <f t="shared" si="47"/>
        <v>4011/4012</v>
      </c>
      <c r="L202" s="22" t="str">
        <f>VLOOKUP(A202,'Trips&amp;Operators'!$C$1:$E$10000,3,FALSE)</f>
        <v>HAITHCOX</v>
      </c>
      <c r="M202" s="6">
        <f t="shared" si="48"/>
        <v>0</v>
      </c>
      <c r="N202" s="7">
        <f t="shared" si="65"/>
        <v>0</v>
      </c>
      <c r="O202" s="7"/>
      <c r="P202" s="7"/>
      <c r="Q202" s="23"/>
      <c r="R202" s="23"/>
      <c r="S202" s="35">
        <f t="shared" si="63"/>
        <v>1</v>
      </c>
      <c r="T202" s="50" t="str">
        <f t="shared" si="49"/>
        <v>NorthBound</v>
      </c>
      <c r="U202" s="18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17:38:54-0600',mode:absolute,to:'1969-12-31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2" s="52" t="str">
        <f t="shared" si="51"/>
        <v>Y</v>
      </c>
      <c r="X202" s="174">
        <f t="shared" si="64"/>
        <v>1</v>
      </c>
      <c r="Y202" s="67">
        <f t="shared" si="52"/>
        <v>4.5999999999999999E-2</v>
      </c>
      <c r="Z202" s="67">
        <f t="shared" si="53"/>
        <v>2.3306</v>
      </c>
      <c r="AA202" s="67">
        <f t="shared" si="54"/>
        <v>2.2846000000000002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55"/>
        <v>0303-18</v>
      </c>
      <c r="AE202" s="91" t="str">
        <f t="shared" si="56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2" s="88" t="str">
        <f t="shared" si="57"/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202" s="1" t="str">
        <f t="shared" si="58"/>
        <v>Other</v>
      </c>
      <c r="AH202" s="92" t="str">
        <f t="shared" si="45"/>
        <v>"%USERPROFILE%\Documents\GitHub\eaglep3\Utilities\RefineRTDCRunTimes.py" --tripid 303-18 --locoid 4011 --swversion DE.1.0.7.0 --startMP 204:460 --initTime 2016-10-18T18:38:54 --startdatetime 1969-12-31T17:00:00 --delay 1 --endMP 300:23306 --enddatetime 1969-12-31T17:00:00 --enforcementcount 0 &gt;&gt;C:\Users\stu\Documents\GitHub\eaglep3-reporting\EC\2016-10-18-refined-times.txt</v>
      </c>
      <c r="AI202" s="122" t="str">
        <f t="shared" si="46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ID","value":"303-18"},{"id":16,"name":"Locomotive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442</v>
      </c>
      <c r="B203" s="7">
        <v>4039</v>
      </c>
      <c r="C203" s="22" t="s">
        <v>99</v>
      </c>
      <c r="D203" s="22" t="s">
        <v>690</v>
      </c>
      <c r="E203" s="13">
        <v>42661.142361111109</v>
      </c>
      <c r="F203" s="13">
        <v>42661.143807870372</v>
      </c>
      <c r="G203" s="7">
        <v>1</v>
      </c>
      <c r="H203" s="13" t="s">
        <v>229</v>
      </c>
      <c r="I203" s="13">
        <v>42661.150370370371</v>
      </c>
      <c r="J203" s="7">
        <v>0</v>
      </c>
      <c r="K203" s="112" t="str">
        <f t="shared" si="47"/>
        <v>4039/4040</v>
      </c>
      <c r="L203" s="22" t="str">
        <f>VLOOKUP(A203,'Trips&amp;Operators'!$C$1:$E$10000,3,FALSE)</f>
        <v>ACKERMAN</v>
      </c>
      <c r="M203" s="6">
        <f t="shared" si="48"/>
        <v>6.5624999988358468E-3</v>
      </c>
      <c r="N203" s="7">
        <f t="shared" si="65"/>
        <v>9.4499999983236194</v>
      </c>
      <c r="O203" s="7"/>
      <c r="P203" s="7"/>
      <c r="Q203" s="23"/>
      <c r="R203" s="23"/>
      <c r="S203" s="35">
        <f t="shared" si="63"/>
        <v>1</v>
      </c>
      <c r="T203" s="50" t="str">
        <f t="shared" si="49"/>
        <v>Southbound</v>
      </c>
      <c r="U203" s="18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02:25:00-0600',mode:absolute,to:'2016-10-18 04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3" s="52" t="str">
        <f t="shared" si="51"/>
        <v>Y</v>
      </c>
      <c r="X203" s="174">
        <f t="shared" si="64"/>
        <v>1</v>
      </c>
      <c r="Y203" s="67">
        <f t="shared" si="52"/>
        <v>2.234</v>
      </c>
      <c r="Z203" s="67">
        <f t="shared" si="53"/>
        <v>1.49E-2</v>
      </c>
      <c r="AA203" s="67">
        <f t="shared" si="54"/>
        <v>2.2191000000000001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55"/>
        <v>0304-18</v>
      </c>
      <c r="AE203" s="91" t="str">
        <f t="shared" si="56"/>
        <v>aws s3 cp s3://rtdc.mdm.uploadarchive.raw/RTDC4039/ "%USERPROFILE%\AppData\Local\Temp\OnboardLogs"\RTDC4039\2016-10-18 --exclude "*" --recursive --include "*20161018*" &amp; "%USERPROFILE%\Documents\GitHub\mrs-test-scripts\Headless Mode &amp; Sideloading\WalkAndUnGZ.bat" "%USERPROFILE%\AppData\Local\Temp\OnboardLogs"\RTDC4039\2016-10-18 &amp; 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</v>
      </c>
      <c r="AF203" s="88" t="str">
        <f t="shared" si="57"/>
        <v>"C:\Program Files (x86)\AstroGrep\AstroGrep.exe" /spath="%USERPROFILE%\AppData\Local\Temp\OnboardLogs" /stypes="app*4039*20161018*" /stext=" 09:.+((SYSTEM_STATE.+slice.+state.+changed )|(ment ac)|(system.+state.+changed )|(\[timeout)|(PRM\|1\|D)|(kpr)|(kdp)|(\|lc)|(penalty))" /e /r /s</v>
      </c>
      <c r="AG203" s="1" t="str">
        <f t="shared" si="58"/>
        <v>Other</v>
      </c>
      <c r="AH203" s="92" t="str">
        <f t="shared" ref="AH203:AH240" si="66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304-18 --locoid 4039 --swversion DE.1.0.7.0 --startMP 300:22340 --initTime 2016-10-18T03:25:00 --startdatetime 2016-10-18T03:27:05 --delay 1 --endMP 204:149 --enddatetime 2016-10-18T03:36:32 --enforcementcount 0 &gt;&gt;C:\Users\stu\Documents\GitHub\eaglep3-reporting\EC\2016-10-18-refined-times.txt</v>
      </c>
      <c r="AI203" s="122" t="str">
        <f t="shared" ref="AI203:AI240" si="67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{"issue":{"subject":"","project_id":79,"tracker_id":40,"status_id":1,"priority_id":2,"assigned_to_id":23,"start_date":"2016-10-18","description":"","custom_fields":[{"id":1,"name":"Subdivision","value":"Other"},{"id":4,"name":"Milepost","value":"0.0149"},{"id":17,"name":"Train ID","value":"304-18"},{"id":16,"name":"Locomotive ID","value":"4039"},{"id":130,"name":"Impact","value":""},{"id":150,"name":"Time of Event (Mountain Time)","value":"03:36:32"},{"id":151,"name":"Denver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601</v>
      </c>
      <c r="B204" s="7">
        <v>4025</v>
      </c>
      <c r="C204" s="22" t="s">
        <v>99</v>
      </c>
      <c r="D204" s="22" t="s">
        <v>676</v>
      </c>
      <c r="E204" s="13">
        <v>42661.797650462962</v>
      </c>
      <c r="F204" s="13">
        <v>25568.708333333332</v>
      </c>
      <c r="G204" s="7">
        <v>1</v>
      </c>
      <c r="H204" s="13" t="s">
        <v>691</v>
      </c>
      <c r="I204" s="13">
        <v>25568.708333333332</v>
      </c>
      <c r="J204" s="7">
        <v>0</v>
      </c>
      <c r="K204" s="112" t="str">
        <f t="shared" si="47"/>
        <v>4025/4026</v>
      </c>
      <c r="L204" s="22" t="str">
        <f>VLOOKUP(A204,'Trips&amp;Operators'!$C$1:$E$10000,3,FALSE)</f>
        <v>HILLS</v>
      </c>
      <c r="M204" s="6">
        <f t="shared" si="48"/>
        <v>0</v>
      </c>
      <c r="N204" s="7">
        <f t="shared" si="65"/>
        <v>0</v>
      </c>
      <c r="O204" s="7"/>
      <c r="P204" s="7"/>
      <c r="Q204" s="23"/>
      <c r="R204" s="23"/>
      <c r="S204" s="35">
        <f t="shared" si="63"/>
        <v>1</v>
      </c>
      <c r="T204" s="50" t="str">
        <f t="shared" si="49"/>
        <v>NorthBound</v>
      </c>
      <c r="U204" s="18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https://search-rtdc-monitor-bjffxe2xuh6vdkpspy63sjmuny.us-east-1.es.amazonaws.com/_plugin/kibana/#/discover/Steve-Slow-Train-Analysis-(2080s-and-2083s)?_g=(refreshInterval:(display:Off,section:0,value:0),time:(from:'2016-10-18 18:08:37-0600',mode:absolute,to:'1969-12-31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4" s="52" t="str">
        <f t="shared" si="51"/>
        <v>Y</v>
      </c>
      <c r="X204" s="174">
        <f t="shared" si="64"/>
        <v>1</v>
      </c>
      <c r="Y204" s="67">
        <f t="shared" si="52"/>
        <v>4.3799999999999999E-2</v>
      </c>
      <c r="Z204" s="67">
        <f t="shared" si="53"/>
        <v>2.2934999999999999</v>
      </c>
      <c r="AA204" s="67">
        <f t="shared" si="54"/>
        <v>2.2496999999999998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55"/>
        <v>0305-18</v>
      </c>
      <c r="AE204" s="91" t="str">
        <f t="shared" si="56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4" s="88" t="str">
        <f t="shared" si="57"/>
        <v>"C:\Program Files (x86)\AstroGrep\AstroGrep.exe" /spath="%USERPROFILE%\AppData\Local\Temp\OnboardLogs" /stypes="app*4025*19691231*" /stext=" 23:.+((SYSTEM_STATE.+slice.+state.+changed )|(ment ac)|(system.+state.+changed )|(\[timeout)|(PRM\|1\|D)|(kpr)|(kdp)|(\|lc)|(penalty))" /e /r /s</v>
      </c>
      <c r="AG204" s="1" t="str">
        <f t="shared" si="58"/>
        <v>Other</v>
      </c>
      <c r="AH204" s="92" t="str">
        <f t="shared" si="66"/>
        <v>"%USERPROFILE%\Documents\GitHub\eaglep3\Utilities\RefineRTDCRunTimes.py" --tripid 305-18 --locoid 4025 --swversion DE.1.0.7.0 --startMP 204:438 --initTime 2016-10-18T19:08:37 --startdatetime 1969-12-31T17:00:00 --delay 1 --endMP 300:22935 --enddatetime 1969-12-31T17:00:00 --enforcementcount 0 &gt;&gt;C:\Users\stu\Documents\GitHub\eaglep3-reporting\EC\2016-10-18-refined-times.txt</v>
      </c>
      <c r="AI204" s="122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{"issue":{"subject":"","project_id":79,"tracker_id":40,"status_id":1,"priority_id":2,"assigned_to_id":23,"start_date":"1969-12-31","description":"","custom_fields":[{"id":1,"name":"Subdivision","value":"Other"},{"id":4,"name":"Milepost","value":"2.2935"},{"id":17,"name":"Train ID","value":"305-18"},{"id":16,"name":"Locomotive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443</v>
      </c>
      <c r="B205" s="7">
        <v>4026</v>
      </c>
      <c r="C205" s="22" t="s">
        <v>99</v>
      </c>
      <c r="D205" s="22" t="s">
        <v>692</v>
      </c>
      <c r="E205" s="13">
        <v>42661.165300925924</v>
      </c>
      <c r="F205" s="13">
        <v>42661.166516203702</v>
      </c>
      <c r="G205" s="7">
        <v>1</v>
      </c>
      <c r="H205" s="13" t="s">
        <v>176</v>
      </c>
      <c r="I205" s="13">
        <v>42661.172326388885</v>
      </c>
      <c r="J205" s="7">
        <v>0</v>
      </c>
      <c r="K205" s="112" t="str">
        <f t="shared" ref="K205:K240" si="68">IF(ISEVEN(B205),(B205-1)&amp;"/"&amp;B205,B205&amp;"/"&amp;(B205+1))</f>
        <v>4025/4026</v>
      </c>
      <c r="L205" s="22" t="str">
        <f>VLOOKUP(A205,'Trips&amp;Operators'!$C$1:$E$10000,3,FALSE)</f>
        <v>BRANNON</v>
      </c>
      <c r="M205" s="6">
        <f t="shared" ref="M205:M240" si="69">I205-F205</f>
        <v>5.8101851827814244E-3</v>
      </c>
      <c r="N205" s="7">
        <f t="shared" si="65"/>
        <v>8.3666666632052511</v>
      </c>
      <c r="O205" s="7"/>
      <c r="P205" s="7"/>
      <c r="Q205" s="23"/>
      <c r="R205" s="23"/>
      <c r="S205" s="35">
        <f t="shared" si="63"/>
        <v>1</v>
      </c>
      <c r="T205" s="50" t="str">
        <f t="shared" ref="T205:T240" si="70">IF(ISEVEN(LEFT(AD205,4)),"Southbound","NorthBound")</f>
        <v>Southbound</v>
      </c>
      <c r="U205" s="18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40" si="71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https://search-rtdc-monitor-bjffxe2xuh6vdkpspy63sjmuny.us-east-1.es.amazonaws.com/_plugin/kibana/#/discover/Steve-Slow-Train-Analysis-(2080s-and-2083s)?_g=(refreshInterval:(display:Off,section:0,value:0),time:(from:'2016-10-18 02:58:02-0600',mode:absolute,to:'2016-10-18 05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5" s="52" t="str">
        <f t="shared" ref="W205:W240" si="72">IF(AA205&lt;IF(AG205="EC",23,5.65),"Y","N")</f>
        <v>Y</v>
      </c>
      <c r="X205" s="174">
        <f t="shared" si="64"/>
        <v>1</v>
      </c>
      <c r="Y205" s="67">
        <f t="shared" ref="Y205:Y240" si="73">RIGHT(D205,LEN(D205)-4)/10000</f>
        <v>2.3576000000000001</v>
      </c>
      <c r="Z205" s="67">
        <f t="shared" ref="Z205:Z240" si="74">RIGHT(H205,LEN(H205)-4)/10000</f>
        <v>1.47E-2</v>
      </c>
      <c r="AA205" s="67">
        <f t="shared" ref="AA205:AA268" si="75">ABS(Z205-Y205)</f>
        <v>2.3429000000000002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ref="AD205:AD240" si="76">IF(LEN(A205)=6,"0"&amp;A205,A205)</f>
        <v>0306-18</v>
      </c>
      <c r="AE205" s="91" t="str">
        <f t="shared" ref="AE205:AE240" si="7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 &amp; 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</v>
      </c>
      <c r="AF205" s="88" t="str">
        <f t="shared" ref="AF205:AF240" si="78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/stypes="app*4026*20161018*" /stext=" 10:.+((SYSTEM_STATE.+slice.+state.+changed )|(ment ac)|(system.+state.+changed )|(\[timeout)|(PRM\|1\|D)|(kpr)|(kdp)|(\|lc)|(penalty))" /e /r /s</v>
      </c>
      <c r="AG205" s="1" t="str">
        <f t="shared" ref="AG205:AG240" si="79">IFERROR(IF(VALUE(LEFT(AD205,2))&lt;=2,"EC",IF(OR(VALUE(LEFT(AD205,2))=8,VALUE(LEFT(AD205,2))=18),"NW","Other")),"Other")</f>
        <v>Other</v>
      </c>
      <c r="AH205" s="92" t="str">
        <f t="shared" si="66"/>
        <v>"%USERPROFILE%\Documents\GitHub\eaglep3\Utilities\RefineRTDCRunTimes.py" --tripid 306-18 --locoid 4026 --swversion DE.1.0.7.0 --startMP 300:23576 --initTime 2016-10-18T03:58:02 --startdatetime 2016-10-18T03:59:47 --delay 1 --endMP 204:147 --enddatetime 2016-10-18T04:08:09 --enforcementcount 0 &gt;&gt;C:\Users\stu\Documents\GitHub\eaglep3-reporting\EC\2016-10-18-refined-times.txt</v>
      </c>
      <c r="AI205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{"issue":{"subject":"","project_id":79,"tracker_id":40,"status_id":1,"priority_id":2,"assigned_to_id":23,"start_date":"2016-10-18","description":"","custom_fields":[{"id":1,"name":"Subdivision","value":"Other"},{"id":4,"name":"Milepost","value":"0.0147"},{"id":17,"name":"Train ID","value":"306-18"},{"id":16,"name":"Locomotive ID","value":"4026"},{"id":130,"name":"Impact","value":""},{"id":150,"name":"Time of Event (Mountain Time)","value":"04:08:09"},{"id":151,"name":"Denver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605</v>
      </c>
      <c r="B206" s="7">
        <v>4042</v>
      </c>
      <c r="C206" s="22" t="s">
        <v>99</v>
      </c>
      <c r="D206" s="22" t="s">
        <v>682</v>
      </c>
      <c r="E206" s="13">
        <v>42661.817835648151</v>
      </c>
      <c r="F206" s="13">
        <v>25568.708333333332</v>
      </c>
      <c r="G206" s="7">
        <v>1</v>
      </c>
      <c r="H206" s="13" t="s">
        <v>693</v>
      </c>
      <c r="I206" s="13">
        <v>25568.708333333332</v>
      </c>
      <c r="J206" s="7">
        <v>0</v>
      </c>
      <c r="K206" s="112" t="str">
        <f t="shared" si="68"/>
        <v>4041/4042</v>
      </c>
      <c r="L206" s="22" t="str">
        <f>VLOOKUP(A206,'Trips&amp;Operators'!$C$1:$E$10000,3,FALSE)</f>
        <v>STORY</v>
      </c>
      <c r="M206" s="6">
        <f t="shared" si="69"/>
        <v>0</v>
      </c>
      <c r="N206" s="7">
        <f t="shared" si="65"/>
        <v>0</v>
      </c>
      <c r="O206" s="7"/>
      <c r="P206" s="7"/>
      <c r="Q206" s="23"/>
      <c r="R206" s="23"/>
      <c r="S206" s="35">
        <f t="shared" si="63"/>
        <v>1</v>
      </c>
      <c r="T206" s="50" t="str">
        <f t="shared" si="70"/>
        <v>NorthBound</v>
      </c>
      <c r="U206" s="18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18:37:41-0600',mode:absolute,to:'1969-12-31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6" s="52" t="str">
        <f t="shared" si="72"/>
        <v>Y</v>
      </c>
      <c r="X206" s="174">
        <f t="shared" si="64"/>
        <v>1</v>
      </c>
      <c r="Y206" s="67">
        <f t="shared" si="73"/>
        <v>4.8000000000000001E-2</v>
      </c>
      <c r="Z206" s="67">
        <f t="shared" si="74"/>
        <v>2.3298999999999999</v>
      </c>
      <c r="AA206" s="67">
        <f t="shared" si="75"/>
        <v>2.2818999999999998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76"/>
        <v>0307-18</v>
      </c>
      <c r="AE206" s="91" t="str">
        <f t="shared" si="77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6" s="88" t="str">
        <f t="shared" si="78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06" s="1" t="str">
        <f t="shared" si="79"/>
        <v>Other</v>
      </c>
      <c r="AH206" s="92" t="str">
        <f t="shared" si="66"/>
        <v>"%USERPROFILE%\Documents\GitHub\eaglep3\Utilities\RefineRTDCRunTimes.py" --tripid 307-18 --locoid 4042 --swversion DE.1.0.7.0 --startMP 204:480 --initTime 2016-10-18T19:37:41 --startdatetime 1969-12-31T17:00:00 --delay 1 --endMP 300:23299 --enddatetime 1969-12-31T17:00:00 --enforcementcount 0 &gt;&gt;C:\Users\stu\Documents\GitHub\eaglep3-reporting\EC\2016-10-18-refined-times.txt</v>
      </c>
      <c r="AI206" s="122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ID","value":"307-18"},{"id":16,"name":"Locomotive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446</v>
      </c>
      <c r="B207" s="7">
        <v>4030</v>
      </c>
      <c r="C207" s="22" t="s">
        <v>99</v>
      </c>
      <c r="D207" s="22" t="s">
        <v>694</v>
      </c>
      <c r="E207" s="13">
        <v>42661.173298611109</v>
      </c>
      <c r="F207" s="13">
        <v>42661.17491898148</v>
      </c>
      <c r="G207" s="7">
        <v>1</v>
      </c>
      <c r="H207" s="13" t="s">
        <v>250</v>
      </c>
      <c r="I207" s="13">
        <v>42661.180960648147</v>
      </c>
      <c r="J207" s="7">
        <v>0</v>
      </c>
      <c r="K207" s="112" t="str">
        <f t="shared" si="68"/>
        <v>4029/4030</v>
      </c>
      <c r="L207" s="22" t="str">
        <f>VLOOKUP(A207,'Trips&amp;Operators'!$C$1:$E$10000,3,FALSE)</f>
        <v>SPECTOR</v>
      </c>
      <c r="M207" s="6">
        <f t="shared" si="69"/>
        <v>6.0416666674427688E-3</v>
      </c>
      <c r="N207" s="7">
        <f t="shared" si="65"/>
        <v>8.7000000011175871</v>
      </c>
      <c r="O207" s="7"/>
      <c r="P207" s="7"/>
      <c r="Q207" s="23"/>
      <c r="R207" s="23"/>
      <c r="S207" s="35">
        <f t="shared" ref="S207:S240" si="80">SUM(U207:U207)/IF(AG207="EC",12,1)</f>
        <v>1</v>
      </c>
      <c r="T207" s="50" t="str">
        <f t="shared" si="70"/>
        <v>Southbound</v>
      </c>
      <c r="U207" s="18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03:09:33-0600',mode:absolute,to:'2016-10-18 05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7" s="52" t="str">
        <f t="shared" si="72"/>
        <v>Y</v>
      </c>
      <c r="X207" s="174">
        <f t="shared" si="64"/>
        <v>1</v>
      </c>
      <c r="Y207" s="67">
        <f t="shared" si="73"/>
        <v>2.3349000000000002</v>
      </c>
      <c r="Z207" s="67">
        <f t="shared" si="74"/>
        <v>1.6E-2</v>
      </c>
      <c r="AA207" s="67">
        <f t="shared" si="75"/>
        <v>2.3189000000000002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76"/>
        <v>0308-18</v>
      </c>
      <c r="AE207" s="91" t="str">
        <f t="shared" si="77"/>
        <v>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 &amp; aws s3 cp s3://rtdc.mdm.uploadarchive.raw/RTDC4030/ "%USERPROFILE%\AppData\Local\Temp\OnboardLogs"\RTDC4030\2016-10-19 --exclude "*" --recursive --include "*20161019*" &amp; "%USERPROFILE%\Documents\GitHub\mrs-test-scripts\Headless Mode &amp; Sideloading\WalkAndUnGZ.bat" "%USERPROFILE%\AppData\Local\Temp\OnboardLogs"\RTDC4030\2016-10-19</v>
      </c>
      <c r="AF207" s="88" t="str">
        <f t="shared" si="78"/>
        <v>"C:\Program Files (x86)\AstroGrep\AstroGrep.exe" /spath="%USERPROFILE%\AppData\Local\Temp\OnboardLogs" /stypes="app*4030*20161018*" /stext=" 10:.+((SYSTEM_STATE.+slice.+state.+changed )|(ment ac)|(system.+state.+changed )|(\[timeout)|(PRM\|1\|D)|(kpr)|(kdp)|(\|lc)|(penalty))" /e /r /s</v>
      </c>
      <c r="AG207" s="1" t="str">
        <f t="shared" si="79"/>
        <v>Other</v>
      </c>
      <c r="AH207" s="92" t="str">
        <f t="shared" si="66"/>
        <v>"%USERPROFILE%\Documents\GitHub\eaglep3\Utilities\RefineRTDCRunTimes.py" --tripid 308-18 --locoid 4030 --swversion DE.1.0.7.0 --startMP 300:23349 --initTime 2016-10-18T04:09:33 --startdatetime 2016-10-18T04:11:53 --delay 1 --endMP 204:160 --enddatetime 2016-10-18T04:20:35 --enforcementcount 0 &gt;&gt;C:\Users\stu\Documents\GitHub\eaglep3-reporting\EC\2016-10-18-refined-times.txt</v>
      </c>
      <c r="AI207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{"issue":{"subject":"","project_id":79,"tracker_id":40,"status_id":1,"priority_id":2,"assigned_to_id":23,"start_date":"2016-10-18","description":"","custom_fields":[{"id":1,"name":"Subdivision","value":"Other"},{"id":4,"name":"Milepost","value":"0.016"},{"id":17,"name":"Train ID","value":"308-18"},{"id":16,"name":"Locomotive ID","value":"4030"},{"id":130,"name":"Impact","value":""},{"id":150,"name":"Time of Event (Mountain Time)","value":"04:20:35"},{"id":151,"name":"Denver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s="21" customFormat="1" x14ac:dyDescent="0.25">
      <c r="A208" s="37" t="s">
        <v>357</v>
      </c>
      <c r="B208" s="7">
        <v>4002</v>
      </c>
      <c r="C208" s="22" t="s">
        <v>99</v>
      </c>
      <c r="D208" s="22" t="s">
        <v>245</v>
      </c>
      <c r="E208" s="13">
        <v>42661.090300925927</v>
      </c>
      <c r="F208" s="13">
        <v>25568.708333333332</v>
      </c>
      <c r="G208" s="7">
        <v>1</v>
      </c>
      <c r="H208" s="13" t="s">
        <v>384</v>
      </c>
      <c r="I208" s="13">
        <v>25568.708333333332</v>
      </c>
      <c r="J208" s="7">
        <v>0</v>
      </c>
      <c r="K208" s="112" t="str">
        <f t="shared" si="68"/>
        <v>4001/4002</v>
      </c>
      <c r="L208" s="22" t="str">
        <f>VLOOKUP(A208,'Trips&amp;Operators'!$C$1:$E$10000,3,FALSE)</f>
        <v>CHANDLER</v>
      </c>
      <c r="M208" s="6">
        <f t="shared" si="69"/>
        <v>0</v>
      </c>
      <c r="N208" s="7">
        <f t="shared" si="65"/>
        <v>0</v>
      </c>
      <c r="O208" s="7"/>
      <c r="P208" s="7"/>
      <c r="Q208" s="23"/>
      <c r="R208" s="23"/>
      <c r="S208" s="35">
        <f t="shared" si="80"/>
        <v>1</v>
      </c>
      <c r="T208" s="50" t="str">
        <f t="shared" si="70"/>
        <v>NorthBound</v>
      </c>
      <c r="U208" s="18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01:10:02-0600',mode:absolute,to:'1969-12-31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8" s="52" t="str">
        <f t="shared" si="72"/>
        <v>Y</v>
      </c>
      <c r="X208" s="174">
        <f t="shared" si="64"/>
        <v>1</v>
      </c>
      <c r="Y208" s="67">
        <f t="shared" si="73"/>
        <v>4.6600000000000003E-2</v>
      </c>
      <c r="Z208" s="67">
        <f t="shared" si="74"/>
        <v>1.2091000000000001</v>
      </c>
      <c r="AA208" s="67">
        <f t="shared" si="75"/>
        <v>1.1625000000000001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76"/>
        <v>0309-17</v>
      </c>
      <c r="AE208" s="91" t="str">
        <f t="shared" si="77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8" s="88" t="str">
        <f t="shared" si="78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08" s="1" t="str">
        <f t="shared" si="79"/>
        <v>Other</v>
      </c>
      <c r="AH208" s="92" t="str">
        <f t="shared" si="66"/>
        <v>"%USERPROFILE%\Documents\GitHub\eaglep3\Utilities\RefineRTDCRunTimes.py" --tripid 309-17 --locoid 4002 --swversion DE.1.0.7.0 --startMP 204:466 --initTime 2016-10-18T02:10:02 --startdatetime 1969-12-31T17:00:00 --delay 1 --endMP 300:12091 --enddatetime 1969-12-31T17:00:00 --enforcementcount 0 &gt;&gt;C:\Users\stu\Documents\GitHub\eaglep3-reporting\EC\2016-10-18-refined-times.txt</v>
      </c>
      <c r="AI208" s="122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{"issue":{"subject":"","project_id":79,"tracker_id":40,"status_id":1,"priority_id":2,"assigned_to_id":23,"start_date":"1969-12-31","description":"","custom_fields":[{"id":1,"name":"Subdivision","value":"Other"},{"id":4,"name":"Milepost","value":"1.2091"},{"id":17,"name":"Train ID","value":"309-17"},{"id":16,"name":"Locomotive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1" customFormat="1" x14ac:dyDescent="0.25">
      <c r="A209" s="37" t="s">
        <v>632</v>
      </c>
      <c r="B209" s="7">
        <v>4018</v>
      </c>
      <c r="C209" s="22" t="s">
        <v>99</v>
      </c>
      <c r="D209" s="22" t="s">
        <v>375</v>
      </c>
      <c r="E209" s="13">
        <v>42662.01971064815</v>
      </c>
      <c r="F209" s="13">
        <v>25568.708333333332</v>
      </c>
      <c r="G209" s="7">
        <v>1</v>
      </c>
      <c r="H209" s="13" t="s">
        <v>695</v>
      </c>
      <c r="I209" s="13">
        <v>25568.708333333332</v>
      </c>
      <c r="J209" s="7">
        <v>0</v>
      </c>
      <c r="K209" s="112" t="str">
        <f t="shared" si="68"/>
        <v>4017/4018</v>
      </c>
      <c r="L209" s="22" t="str">
        <f>VLOOKUP(A209,'Trips&amp;Operators'!$C$1:$E$10000,3,FALSE)</f>
        <v>YANAI</v>
      </c>
      <c r="M209" s="6">
        <f t="shared" si="69"/>
        <v>0</v>
      </c>
      <c r="N209" s="7">
        <f t="shared" si="65"/>
        <v>0</v>
      </c>
      <c r="O209" s="7"/>
      <c r="P209" s="7"/>
      <c r="Q209" s="23"/>
      <c r="R209" s="23"/>
      <c r="S209" s="35">
        <f t="shared" si="80"/>
        <v>1</v>
      </c>
      <c r="T209" s="50" t="str">
        <f t="shared" si="70"/>
        <v>NorthBound</v>
      </c>
      <c r="U209" s="18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23:28:23-0600',mode:absolute,to:'1969-12-31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9" s="52" t="str">
        <f t="shared" si="72"/>
        <v>Y</v>
      </c>
      <c r="X209" s="174">
        <f t="shared" si="64"/>
        <v>0</v>
      </c>
      <c r="Y209" s="67">
        <f t="shared" si="73"/>
        <v>4.7300000000000002E-2</v>
      </c>
      <c r="Z209" s="67">
        <f t="shared" si="74"/>
        <v>2.3079000000000001</v>
      </c>
      <c r="AA209" s="67">
        <f t="shared" si="75"/>
        <v>2.2606000000000002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76"/>
        <v>0309-18</v>
      </c>
      <c r="AE209" s="91" t="str">
        <f t="shared" si="77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9" s="88" t="str">
        <f t="shared" si="78"/>
        <v>"C:\Program Files (x86)\AstroGrep\AstroGrep.exe" /spath="%USERPROFILE%\AppData\Local\Temp\OnboardLogs" /stypes="app*4018*19691231*" /stext=" 23:.+((SYSTEM_STATE.+slice.+state.+changed )|(ment ac)|(system.+state.+changed )|(\[timeout)|(PRM\|1\|D)|(kpr)|(kdp)|(\|lc)|(penalty))" /e /r /s</v>
      </c>
      <c r="AG209" s="1" t="str">
        <f t="shared" si="79"/>
        <v>Other</v>
      </c>
      <c r="AH209" s="92" t="str">
        <f t="shared" si="66"/>
        <v>"%USERPROFILE%\Documents\GitHub\eaglep3\Utilities\RefineRTDCRunTimes.py" --tripid 309-18 --locoid 4018 --swversion DE.1.0.7.0 --startMP 204:473 --initTime 2016-10-19T00:28:23 --startdatetime 1969-12-31T17:00:00 --delay 1 --endMP 300:23079 --enddatetime 1969-12-31T17:00:00 --enforcementcount 0 &gt;&gt;C:\Users\stu\Documents\GitHub\eaglep3-reporting\EC\2016-10-18-refined-times.txt</v>
      </c>
      <c r="AI209" s="122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{"issue":{"subject":"","project_id":79,"tracker_id":40,"status_id":1,"priority_id":2,"assigned_to_id":23,"start_date":"1969-12-31","description":"","custom_fields":[{"id":1,"name":"Subdivision","value":"Other"},{"id":4,"name":"Milepost","value":"2.3079"},{"id":17,"name":"Train ID","value":"309-18"},{"id":16,"name":"Locomotive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1" customFormat="1" x14ac:dyDescent="0.25">
      <c r="A210" s="37" t="s">
        <v>448</v>
      </c>
      <c r="B210" s="7">
        <v>4012</v>
      </c>
      <c r="C210" s="22" t="s">
        <v>99</v>
      </c>
      <c r="D210" s="22" t="s">
        <v>696</v>
      </c>
      <c r="E210" s="13">
        <v>42661.182384259257</v>
      </c>
      <c r="F210" s="13">
        <v>42661.183842592596</v>
      </c>
      <c r="G210" s="7">
        <v>1</v>
      </c>
      <c r="H210" s="13" t="s">
        <v>378</v>
      </c>
      <c r="I210" s="13">
        <v>42661.191655092596</v>
      </c>
      <c r="J210" s="7">
        <v>0</v>
      </c>
      <c r="K210" s="112" t="str">
        <f t="shared" si="68"/>
        <v>4011/4012</v>
      </c>
      <c r="L210" s="22" t="str">
        <f>VLOOKUP(A210,'Trips&amp;Operators'!$C$1:$E$10000,3,FALSE)</f>
        <v>DAVIS</v>
      </c>
      <c r="M210" s="6">
        <f t="shared" si="69"/>
        <v>7.8125E-3</v>
      </c>
      <c r="N210" s="7">
        <f t="shared" si="65"/>
        <v>11.25</v>
      </c>
      <c r="O210" s="7"/>
      <c r="P210" s="7"/>
      <c r="Q210" s="23"/>
      <c r="R210" s="23"/>
      <c r="S210" s="35">
        <f t="shared" si="80"/>
        <v>1</v>
      </c>
      <c r="T210" s="50" t="str">
        <f t="shared" si="70"/>
        <v>Southbound</v>
      </c>
      <c r="U210" s="18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03:22:38-0600',mode:absolute,to:'2016-10-18 05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0" s="52" t="str">
        <f t="shared" si="72"/>
        <v>Y</v>
      </c>
      <c r="X210" s="174">
        <f t="shared" si="64"/>
        <v>1</v>
      </c>
      <c r="Y210" s="67">
        <f t="shared" si="73"/>
        <v>2.3380999999999998</v>
      </c>
      <c r="Z210" s="67">
        <f t="shared" si="74"/>
        <v>1.38E-2</v>
      </c>
      <c r="AA210" s="67">
        <f t="shared" si="75"/>
        <v>2.3243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76"/>
        <v>0310-18</v>
      </c>
      <c r="AE210" s="91" t="str">
        <f t="shared" si="77"/>
        <v>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 &amp; 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</v>
      </c>
      <c r="AF210" s="88" t="str">
        <f t="shared" si="78"/>
        <v>"C:\Program Files (x86)\AstroGrep\AstroGrep.exe" /spath="%USERPROFILE%\AppData\Local\Temp\OnboardLogs" /stypes="app*4012*20161018*" /stext=" 10:.+((SYSTEM_STATE.+slice.+state.+changed )|(ment ac)|(system.+state.+changed )|(\[timeout)|(PRM\|1\|D)|(kpr)|(kdp)|(\|lc)|(penalty))" /e /r /s</v>
      </c>
      <c r="AG210" s="1" t="str">
        <f t="shared" si="79"/>
        <v>Other</v>
      </c>
      <c r="AH210" s="92" t="str">
        <f t="shared" si="66"/>
        <v>"%USERPROFILE%\Documents\GitHub\eaglep3\Utilities\RefineRTDCRunTimes.py" --tripid 310-18 --locoid 4012 --swversion DE.1.0.7.0 --startMP 300:23381 --initTime 2016-10-18T04:22:38 --startdatetime 2016-10-18T04:24:44 --delay 1 --endMP 204:138 --enddatetime 2016-10-18T04:35:59 --enforcementcount 0 &gt;&gt;C:\Users\stu\Documents\GitHub\eaglep3-reporting\EC\2016-10-18-refined-times.txt</v>
      </c>
      <c r="AI210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{"issue":{"subject":"","project_id":79,"tracker_id":40,"status_id":1,"priority_id":2,"assigned_to_id":23,"start_date":"2016-10-18","description":"","custom_fields":[{"id":1,"name":"Subdivision","value":"Other"},{"id":4,"name":"Milepost","value":"0.0138"},{"id":17,"name":"Train ID","value":"310-18"},{"id":16,"name":"Locomotive ID","value":"4012"},{"id":130,"name":"Impact","value":""},{"id":150,"name":"Time of Event (Mountain Time)","value":"04:35:59"},{"id":151,"name":"Denver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 s="37" t="s">
        <v>355</v>
      </c>
      <c r="B211" s="7">
        <v>4046</v>
      </c>
      <c r="C211" s="22" t="s">
        <v>99</v>
      </c>
      <c r="D211" s="22" t="s">
        <v>252</v>
      </c>
      <c r="E211" s="13">
        <v>42661.073078703703</v>
      </c>
      <c r="F211" s="13">
        <v>42661.074641203704</v>
      </c>
      <c r="G211" s="7">
        <v>1</v>
      </c>
      <c r="H211" s="13" t="s">
        <v>385</v>
      </c>
      <c r="I211" s="13">
        <v>42661.081608796296</v>
      </c>
      <c r="J211" s="7">
        <v>0</v>
      </c>
      <c r="K211" s="112" t="str">
        <f t="shared" si="68"/>
        <v>4045/4046</v>
      </c>
      <c r="L211" s="22" t="str">
        <f>VLOOKUP(A211,'Trips&amp;Operators'!$C$1:$E$10000,3,FALSE)</f>
        <v>NEWELL</v>
      </c>
      <c r="M211" s="6">
        <f t="shared" si="69"/>
        <v>6.9675925915362313E-3</v>
      </c>
      <c r="N211" s="7">
        <f t="shared" si="65"/>
        <v>10.033333331812173</v>
      </c>
      <c r="O211" s="7"/>
      <c r="P211" s="7"/>
      <c r="Q211" s="23"/>
      <c r="R211" s="23"/>
      <c r="S211" s="35">
        <f t="shared" si="80"/>
        <v>1</v>
      </c>
      <c r="T211" s="50" t="str">
        <f t="shared" si="70"/>
        <v>NorthBound</v>
      </c>
      <c r="U211" s="18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00:45:14-0600',mode:absolute,to:'2016-10-18 02:57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1" s="52" t="str">
        <f t="shared" si="72"/>
        <v>Y</v>
      </c>
      <c r="X211" s="174">
        <f t="shared" si="64"/>
        <v>1</v>
      </c>
      <c r="Y211" s="67">
        <f t="shared" si="73"/>
        <v>4.5999999999999999E-2</v>
      </c>
      <c r="Z211" s="67">
        <f t="shared" si="74"/>
        <v>2.2854000000000001</v>
      </c>
      <c r="AA211" s="67">
        <f t="shared" si="75"/>
        <v>2.2394000000000003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76"/>
        <v>0311-17</v>
      </c>
      <c r="AE211" s="91" t="str">
        <f t="shared" si="77"/>
        <v>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 &amp; 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</v>
      </c>
      <c r="AF211" s="88" t="str">
        <f t="shared" si="78"/>
        <v>"C:\Program Files (x86)\AstroGrep\AstroGrep.exe" /spath="%USERPROFILE%\AppData\Local\Temp\OnboardLogs" /stypes="app*4046*20161018*" /stext=" 07:.+((SYSTEM_STATE.+slice.+state.+changed )|(ment ac)|(system.+state.+changed )|(\[timeout)|(PRM\|1\|D)|(kpr)|(kdp)|(\|lc)|(penalty))" /e /r /s</v>
      </c>
      <c r="AG211" s="1" t="str">
        <f t="shared" si="79"/>
        <v>Other</v>
      </c>
      <c r="AH211" s="92" t="str">
        <f t="shared" si="66"/>
        <v>"%USERPROFILE%\Documents\GitHub\eaglep3\Utilities\RefineRTDCRunTimes.py" --tripid 311-17 --locoid 4046 --swversion DE.1.0.7.0 --startMP 204:460 --initTime 2016-10-18T01:45:14 --startdatetime 2016-10-18T01:47:29 --delay 1 --endMP 300:22854 --enddatetime 2016-10-18T01:57:31 --enforcementcount 0 &gt;&gt;C:\Users\stu\Documents\GitHub\eaglep3-reporting\EC\2016-10-18-refined-times.txt</v>
      </c>
      <c r="AI211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{"issue":{"subject":"","project_id":79,"tracker_id":40,"status_id":1,"priority_id":2,"assigned_to_id":23,"start_date":"2016-10-18","description":"","custom_fields":[{"id":1,"name":"Subdivision","value":"Other"},{"id":4,"name":"Milepost","value":"2.2854"},{"id":17,"name":"Train ID","value":"311-17"},{"id":16,"name":"Locomotive ID","value":"4046"},{"id":130,"name":"Impact","value":""},{"id":150,"name":"Time of Event (Mountain Time)","value":"01:57:31"},{"id":151,"name":"Denver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7" t="s">
        <v>633</v>
      </c>
      <c r="B212" s="7">
        <v>4029</v>
      </c>
      <c r="C212" s="22" t="s">
        <v>99</v>
      </c>
      <c r="D212" s="22" t="s">
        <v>281</v>
      </c>
      <c r="E212" s="13">
        <v>42662.054768518516</v>
      </c>
      <c r="F212" s="13">
        <v>42662.056597222225</v>
      </c>
      <c r="G212" s="7">
        <v>1</v>
      </c>
      <c r="H212" s="13" t="s">
        <v>697</v>
      </c>
      <c r="I212" s="13">
        <v>42662.062708333331</v>
      </c>
      <c r="J212" s="7">
        <v>0</v>
      </c>
      <c r="K212" s="112" t="str">
        <f t="shared" si="68"/>
        <v>4029/4030</v>
      </c>
      <c r="L212" s="22" t="str">
        <f>VLOOKUP(A212,'Trips&amp;Operators'!$C$1:$E$10000,3,FALSE)</f>
        <v>CHANDLER</v>
      </c>
      <c r="M212" s="6">
        <f t="shared" si="69"/>
        <v>6.1111111062928103E-3</v>
      </c>
      <c r="N212" s="7">
        <f t="shared" si="65"/>
        <v>8.7999999930616468</v>
      </c>
      <c r="O212" s="7"/>
      <c r="P212" s="7"/>
      <c r="Q212" s="23"/>
      <c r="R212" s="23"/>
      <c r="S212" s="35">
        <f t="shared" si="80"/>
        <v>1</v>
      </c>
      <c r="T212" s="50" t="str">
        <f t="shared" si="70"/>
        <v>NorthBound</v>
      </c>
      <c r="U212" s="18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00:18:52-0600',mode:absolute,to:'2016-10-19 02:30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2" s="52" t="str">
        <f t="shared" si="72"/>
        <v>Y</v>
      </c>
      <c r="X212" s="174">
        <f t="shared" si="64"/>
        <v>0</v>
      </c>
      <c r="Y212" s="67">
        <f t="shared" si="73"/>
        <v>4.7500000000000001E-2</v>
      </c>
      <c r="Z212" s="67">
        <f t="shared" si="74"/>
        <v>2.2267000000000001</v>
      </c>
      <c r="AA212" s="67">
        <f t="shared" si="75"/>
        <v>2.1792000000000002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76"/>
        <v>0311-18</v>
      </c>
      <c r="AE212" s="91" t="str">
        <f t="shared" si="77"/>
        <v>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 &amp; 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</v>
      </c>
      <c r="AF212" s="88" t="str">
        <f t="shared" si="78"/>
        <v>"C:\Program Files (x86)\AstroGrep\AstroGrep.exe" /spath="%USERPROFILE%\AppData\Local\Temp\OnboardLogs" /stypes="app*4029*20161019*" /stext=" 07:.+((SYSTEM_STATE.+slice.+state.+changed )|(ment ac)|(system.+state.+changed )|(\[timeout)|(PRM\|1\|D)|(kpr)|(kdp)|(\|lc)|(penalty))" /e /r /s</v>
      </c>
      <c r="AG212" s="1" t="str">
        <f t="shared" si="79"/>
        <v>Other</v>
      </c>
      <c r="AH212" s="92" t="str">
        <f t="shared" si="66"/>
        <v>"%USERPROFILE%\Documents\GitHub\eaglep3\Utilities\RefineRTDCRunTimes.py" --tripid 311-18 --locoid 4029 --swversion DE.1.0.7.0 --startMP 204:475 --initTime 2016-10-19T01:18:52 --startdatetime 2016-10-19T01:21:30 --delay 1 --endMP 300:22267 --enddatetime 2016-10-19T01:30:18 --enforcementcount 0 &gt;&gt;C:\Users\stu\Documents\GitHub\eaglep3-reporting\EC\2016-10-18-refined-times.txt</v>
      </c>
      <c r="AI212" s="122" t="str">
        <f t="shared" si="67"/>
        <v>echo {"issue":{"subject":"","project_id":79,"tracker_id":40,"status_id":1,"priority_id":2,"assigned_to_id":23,"start_date":"2016-10-19","description":"","custom_fields":[{"id":1,"name":"Subdivision","value":"Other"},{"id":4,"name":"Milepost","value":"2.2267"},{"id":17,"name":"Train ID","value":"311-18"},{"id":16,"name":"Locomotive ID","value":"4029"},{"id":130,"name":"Impact","value":""},{"id":150,"name":"Time of Event (Mountain Time)","value":"01:30:18"},{"id":151,"name":"Denver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635</v>
      </c>
      <c r="B213" s="7">
        <v>4044</v>
      </c>
      <c r="C213" s="22" t="s">
        <v>99</v>
      </c>
      <c r="D213" s="22" t="s">
        <v>233</v>
      </c>
      <c r="E213" s="13">
        <v>42662.064733796295</v>
      </c>
      <c r="F213" s="13">
        <v>42662.06927083333</v>
      </c>
      <c r="G213" s="7">
        <v>1</v>
      </c>
      <c r="H213" s="13" t="s">
        <v>698</v>
      </c>
      <c r="I213" s="13">
        <v>42662.075219907405</v>
      </c>
      <c r="J213" s="7">
        <v>0</v>
      </c>
      <c r="K213" s="112" t="str">
        <f t="shared" si="68"/>
        <v>4043/4044</v>
      </c>
      <c r="L213" s="22" t="str">
        <f>VLOOKUP(A213,'Trips&amp;Operators'!$C$1:$E$10000,3,FALSE)</f>
        <v>LEVERE</v>
      </c>
      <c r="M213" s="6">
        <f t="shared" si="69"/>
        <v>5.9490740750334226E-3</v>
      </c>
      <c r="N213" s="7">
        <f t="shared" si="65"/>
        <v>8.5666666680481285</v>
      </c>
      <c r="O213" s="7"/>
      <c r="P213" s="7"/>
      <c r="Q213" s="23"/>
      <c r="R213" s="23"/>
      <c r="S213" s="35">
        <f t="shared" si="80"/>
        <v>1</v>
      </c>
      <c r="T213" s="50" t="str">
        <f t="shared" si="70"/>
        <v>NorthBound</v>
      </c>
      <c r="U213" s="18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00:33:13-0600',mode:absolute,to:'2016-10-19 02:48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3" s="52" t="str">
        <f t="shared" si="72"/>
        <v>Y</v>
      </c>
      <c r="X213" s="174">
        <f t="shared" si="64"/>
        <v>2</v>
      </c>
      <c r="Y213" s="67">
        <f t="shared" si="73"/>
        <v>4.4699999999999997E-2</v>
      </c>
      <c r="Z213" s="67">
        <f t="shared" si="74"/>
        <v>2.2837000000000001</v>
      </c>
      <c r="AA213" s="67">
        <f t="shared" si="75"/>
        <v>2.2389999999999999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76"/>
        <v>0313-18</v>
      </c>
      <c r="AE213" s="91" t="str">
        <f t="shared" si="77"/>
        <v>aws s3 cp s3://rtdc.mdm.uploadarchive.raw/RTDC4044/ "%USERPROFILE%\AppData\Local\Temp\OnboardLogs"\RTDC4044\2016-10-19 --exclude "*" --recursive --include "*20161019*" &amp; "%USERPROFILE%\Documents\GitHub\mrs-test-scripts\Headless Mode &amp; Sideloading\WalkAndUnGZ.bat" "%USERPROFILE%\AppData\Local\Temp\OnboardLogs"\RTDC4044\2016-10-19 &amp; 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</v>
      </c>
      <c r="AF213" s="88" t="str">
        <f t="shared" si="78"/>
        <v>"C:\Program Files (x86)\AstroGrep\AstroGrep.exe" /spath="%USERPROFILE%\AppData\Local\Temp\OnboardLogs" /stypes="app*4044*20161019*" /stext=" 07:.+((SYSTEM_STATE.+slice.+state.+changed )|(ment ac)|(system.+state.+changed )|(\[timeout)|(PRM\|1\|D)|(kpr)|(kdp)|(\|lc)|(penalty))" /e /r /s</v>
      </c>
      <c r="AG213" s="1" t="str">
        <f t="shared" si="79"/>
        <v>Other</v>
      </c>
      <c r="AH213" s="92" t="str">
        <f t="shared" si="66"/>
        <v>"%USERPROFILE%\Documents\GitHub\eaglep3\Utilities\RefineRTDCRunTimes.py" --tripid 313-18 --locoid 4044 --swversion DE.1.0.7.0 --startMP 204:447 --initTime 2016-10-19T01:33:13 --startdatetime 2016-10-19T01:39:45 --delay 1 --endMP 300:22837 --enddatetime 2016-10-19T01:48:19 --enforcementcount 0 &gt;&gt;C:\Users\stu\Documents\GitHub\eaglep3-reporting\EC\2016-10-18-refined-times.txt</v>
      </c>
      <c r="AI213" s="122" t="str">
        <f t="shared" si="67"/>
        <v>echo {"issue":{"subject":"","project_id":79,"tracker_id":40,"status_id":1,"priority_id":2,"assigned_to_id":23,"start_date":"2016-10-19","description":"","custom_fields":[{"id":1,"name":"Subdivision","value":"Other"},{"id":4,"name":"Milepost","value":"2.2837"},{"id":17,"name":"Train ID","value":"313-18"},{"id":16,"name":"Locomotive ID","value":"4044"},{"id":130,"name":"Impact","value":""},{"id":150,"name":"Time of Event (Mountain Time)","value":"01:48:19"},{"id":151,"name":"Denver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s="21" customFormat="1" x14ac:dyDescent="0.25">
      <c r="A214" s="37" t="s">
        <v>636</v>
      </c>
      <c r="B214" s="7">
        <v>4016</v>
      </c>
      <c r="C214" s="22" t="s">
        <v>99</v>
      </c>
      <c r="D214" s="22" t="s">
        <v>293</v>
      </c>
      <c r="E214" s="13">
        <v>42662.089930555558</v>
      </c>
      <c r="F214" s="13">
        <v>25568.708333333332</v>
      </c>
      <c r="G214" s="7">
        <v>2</v>
      </c>
      <c r="H214" s="13" t="s">
        <v>699</v>
      </c>
      <c r="I214" s="13">
        <v>25568.708333333332</v>
      </c>
      <c r="J214" s="7">
        <v>0</v>
      </c>
      <c r="K214" s="112" t="str">
        <f t="shared" si="68"/>
        <v>4015/4016</v>
      </c>
      <c r="L214" s="22" t="str">
        <f>VLOOKUP(A214,'Trips&amp;Operators'!$C$1:$E$10000,3,FALSE)</f>
        <v>BERLING</v>
      </c>
      <c r="M214" s="6">
        <f t="shared" si="69"/>
        <v>0</v>
      </c>
      <c r="N214" s="7">
        <f t="shared" si="65"/>
        <v>0</v>
      </c>
      <c r="O214" s="7"/>
      <c r="P214" s="7"/>
      <c r="Q214" s="23"/>
      <c r="R214" s="23"/>
      <c r="S214" s="35">
        <f t="shared" si="80"/>
        <v>1</v>
      </c>
      <c r="T214" s="50" t="str">
        <f t="shared" si="70"/>
        <v>NorthBound</v>
      </c>
      <c r="U214" s="18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01:09:30-0600',mode:absolute,to:'1969-12-31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4" s="52" t="str">
        <f t="shared" si="72"/>
        <v>Y</v>
      </c>
      <c r="X214" s="174">
        <f t="shared" si="64"/>
        <v>2</v>
      </c>
      <c r="Y214" s="67">
        <f t="shared" si="73"/>
        <v>4.4400000000000002E-2</v>
      </c>
      <c r="Z214" s="67">
        <f t="shared" si="74"/>
        <v>2.3218999999999999</v>
      </c>
      <c r="AA214" s="67">
        <f t="shared" si="75"/>
        <v>2.2774999999999999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76"/>
        <v>0315-18</v>
      </c>
      <c r="AE214" s="91" t="str">
        <f t="shared" si="77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4" s="88" t="str">
        <f t="shared" si="78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14" s="1" t="str">
        <f t="shared" si="79"/>
        <v>Other</v>
      </c>
      <c r="AH214" s="92" t="str">
        <f t="shared" si="66"/>
        <v>"%USERPROFILE%\Documents\GitHub\eaglep3\Utilities\RefineRTDCRunTimes.py" --tripid 315-18 --locoid 4016 --swversion DE.1.0.7.0 --startMP 204:444 --initTime 2016-10-19T02:09:30 --startdatetime 1969-12-31T17:00:00 --delay 2 --endMP 300:23219 --enddatetime 1969-12-31T17:00:00 --enforcementcount 0 &gt;&gt;C:\Users\stu\Documents\GitHub\eaglep3-reporting\EC\2016-10-18-refined-times.txt</v>
      </c>
      <c r="AI214" s="122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{"issue":{"subject":"","project_id":79,"tracker_id":40,"status_id":1,"priority_id":2,"assigned_to_id":23,"start_date":"1969-12-31","description":"","custom_fields":[{"id":1,"name":"Subdivision","value":"Other"},{"id":4,"name":"Milepost","value":"2.3219"},{"id":17,"name":"Train ID","value":"315-18"},{"id":16,"name":"Locomotive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7" t="s">
        <v>452</v>
      </c>
      <c r="B215" s="7">
        <v>4046</v>
      </c>
      <c r="C215" s="22" t="s">
        <v>99</v>
      </c>
      <c r="D215" s="22" t="s">
        <v>767</v>
      </c>
      <c r="E215" s="13">
        <v>42661.200046296297</v>
      </c>
      <c r="F215" s="13">
        <v>42661.203379629631</v>
      </c>
      <c r="G215" s="7">
        <v>4</v>
      </c>
      <c r="H215" s="13" t="s">
        <v>768</v>
      </c>
      <c r="I215" s="13">
        <v>42661.207569444443</v>
      </c>
      <c r="J215" s="7">
        <v>0</v>
      </c>
      <c r="K215" s="112" t="str">
        <f t="shared" si="68"/>
        <v>4045/4046</v>
      </c>
      <c r="L215" s="22" t="str">
        <f>VLOOKUP(A215,'Trips&amp;Operators'!$C$1:$E$10000,3,FALSE)</f>
        <v>BEAM</v>
      </c>
      <c r="M215" s="6">
        <f t="shared" si="69"/>
        <v>4.1898148119798861E-3</v>
      </c>
      <c r="N215" s="7">
        <f t="shared" si="65"/>
        <v>6.033333329251036</v>
      </c>
      <c r="O215" s="7"/>
      <c r="P215" s="7"/>
      <c r="Q215" s="23"/>
      <c r="R215" s="23"/>
      <c r="S215" s="35">
        <f t="shared" si="80"/>
        <v>0</v>
      </c>
      <c r="T215" s="50" t="str">
        <f t="shared" si="70"/>
        <v>NorthBound</v>
      </c>
      <c r="U215" s="18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03:48:04-0600',mode:absolute,to:'2016-10-18 05:58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5" s="52" t="str">
        <f t="shared" si="72"/>
        <v>Y</v>
      </c>
      <c r="X215" s="174">
        <f t="shared" si="64"/>
        <v>586</v>
      </c>
      <c r="Y215" s="67">
        <f t="shared" si="73"/>
        <v>3.2650000000000001</v>
      </c>
      <c r="Z215" s="67">
        <f t="shared" si="74"/>
        <v>5.8997000000000002</v>
      </c>
      <c r="AA215" s="67">
        <f t="shared" si="75"/>
        <v>2.6347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76"/>
        <v>0901-18</v>
      </c>
      <c r="AE215" s="91" t="str">
        <f t="shared" si="77"/>
        <v>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 &amp; 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</v>
      </c>
      <c r="AF215" s="88" t="str">
        <f t="shared" si="78"/>
        <v>"C:\Program Files (x86)\AstroGrep\AstroGrep.exe" /spath="%USERPROFILE%\AppData\Local\Temp\OnboardLogs" /stypes="app*4046*20161018*" /stext=" 10:.+((SYSTEM_STATE.+slice.+state.+changed )|(ment ac)|(system.+state.+changed )|(\[timeout)|(PRM\|1\|D)|(kpr)|(kdp)|(\|lc)|(penalty))" /e /r /s</v>
      </c>
      <c r="AG215" s="1" t="str">
        <f t="shared" si="79"/>
        <v>Other</v>
      </c>
      <c r="AH215" s="92" t="str">
        <f t="shared" si="66"/>
        <v>"%USERPROFILE%\Documents\GitHub\eaglep3\Utilities\RefineRTDCRunTimes.py" --tripid 901-18 --locoid 4046 --swversion DE.1.0.7.0 --startMP 300:32650 --initTime 2016-10-18T04:48:04 --startdatetime 2016-10-18T04:52:52 --delay 4 --endMP 300:58997 --enddatetime 2016-10-18T04:58:54 --enforcementcount 0 &gt;&gt;C:\Users\stu\Documents\GitHub\eaglep3-reporting\EC\2016-10-18-refined-times.txt</v>
      </c>
      <c r="AI215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{"issue":{"subject":"","project_id":79,"tracker_id":40,"status_id":1,"priority_id":2,"assigned_to_id":23,"start_date":"2016-10-18","description":"","custom_fields":[{"id":1,"name":"Subdivision","value":"Other"},{"id":4,"name":"Milepost","value":"5.8997"},{"id":17,"name":"Train ID","value":"901-18"},{"id":16,"name":"Locomotive ID","value":"4046"},{"id":130,"name":"Impact","value":""},{"id":150,"name":"Time of Event (Mountain Time)","value":"04:58:54"},{"id":151,"name":"Denver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s="21" customFormat="1" x14ac:dyDescent="0.25">
      <c r="A216" s="37" t="s">
        <v>464</v>
      </c>
      <c r="B216" s="7">
        <v>4054</v>
      </c>
      <c r="C216" s="22" t="s">
        <v>99</v>
      </c>
      <c r="D216" s="22" t="s">
        <v>769</v>
      </c>
      <c r="E216" s="13">
        <v>42661.242615740739</v>
      </c>
      <c r="F216" s="13">
        <v>42661.243773148148</v>
      </c>
      <c r="G216" s="7">
        <v>1</v>
      </c>
      <c r="H216" s="13" t="s">
        <v>770</v>
      </c>
      <c r="I216" s="13">
        <v>42661.248969907407</v>
      </c>
      <c r="J216" s="7">
        <v>0</v>
      </c>
      <c r="K216" s="112" t="str">
        <f t="shared" si="68"/>
        <v>4053/4054</v>
      </c>
      <c r="L216" s="22" t="str">
        <f>VLOOKUP(A216,'Trips&amp;Operators'!$C$1:$E$10000,3,FALSE)</f>
        <v>LEVIN</v>
      </c>
      <c r="M216" s="6">
        <f t="shared" si="69"/>
        <v>5.1967592589790002E-3</v>
      </c>
      <c r="N216" s="7">
        <f t="shared" si="65"/>
        <v>7.4833333329297602</v>
      </c>
      <c r="O216" s="7"/>
      <c r="P216" s="7"/>
      <c r="Q216" s="23"/>
      <c r="R216" s="23"/>
      <c r="S216" s="35">
        <f t="shared" si="80"/>
        <v>1</v>
      </c>
      <c r="T216" s="50" t="str">
        <f t="shared" si="70"/>
        <v>Southbound</v>
      </c>
      <c r="U216" s="18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04:49:22-0600',mode:absolute,to:'2016-10-18 06:58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6" s="52" t="str">
        <f t="shared" si="72"/>
        <v>Y</v>
      </c>
      <c r="X216" s="174">
        <f t="shared" ref="X216:X240" si="81">VALUE(LEFT(AD216,4))-VALUE(LEFT(AD215,4))</f>
        <v>1</v>
      </c>
      <c r="Y216" s="67">
        <f t="shared" si="73"/>
        <v>2.2437999999999998</v>
      </c>
      <c r="Z216" s="67">
        <f t="shared" si="74"/>
        <v>7.1499999999999994E-2</v>
      </c>
      <c r="AA216" s="67">
        <f t="shared" si="75"/>
        <v>2.1722999999999999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76"/>
        <v>0902-18</v>
      </c>
      <c r="AE216" s="91" t="str">
        <f t="shared" si="77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216" s="88" t="str">
        <f t="shared" si="78"/>
        <v>"C:\Program Files (x86)\AstroGrep\AstroGrep.exe" /spath="%USERPROFILE%\AppData\Local\Temp\OnboardLogs" /stypes="app*4054*20161018*" /stext=" 11:.+((SYSTEM_STATE.+slice.+state.+changed )|(ment ac)|(system.+state.+changed )|(\[timeout)|(PRM\|1\|D)|(kpr)|(kdp)|(\|lc)|(penalty))" /e /r /s</v>
      </c>
      <c r="AG216" s="1" t="str">
        <f t="shared" si="79"/>
        <v>Other</v>
      </c>
      <c r="AH216" s="92" t="str">
        <f t="shared" si="66"/>
        <v>"%USERPROFILE%\Documents\GitHub\eaglep3\Utilities\RefineRTDCRunTimes.py" --tripid 902-18 --locoid 4054 --swversion DE.1.0.7.0 --startMP 300:22438 --initTime 2016-10-18T05:49:22 --startdatetime 2016-10-18T05:51:02 --delay 1 --endMP 204:715 --enddatetime 2016-10-18T05:58:31 --enforcementcount 0 &gt;&gt;C:\Users\stu\Documents\GitHub\eaglep3-reporting\EC\2016-10-18-refined-times.txt</v>
      </c>
      <c r="AI216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{"issue":{"subject":"","project_id":79,"tracker_id":40,"status_id":1,"priority_id":2,"assigned_to_id":23,"start_date":"2016-10-18","description":"","custom_fields":[{"id":1,"name":"Subdivision","value":"Other"},{"id":4,"name":"Milepost","value":"0.0715"},{"id":17,"name":"Train ID","value":"902-18"},{"id":16,"name":"Locomotive ID","value":"4054"},{"id":130,"name":"Impact","value":""},{"id":150,"name":"Time of Event (Mountain Time)","value":"05:58:31"},{"id":151,"name":"Denver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 s="37" t="s">
        <v>490</v>
      </c>
      <c r="B217" s="7">
        <v>4046</v>
      </c>
      <c r="C217" s="22" t="s">
        <v>99</v>
      </c>
      <c r="D217" s="22" t="s">
        <v>771</v>
      </c>
      <c r="E217" s="13">
        <v>42661.353078703702</v>
      </c>
      <c r="F217" s="13">
        <v>25568.708333333332</v>
      </c>
      <c r="G217" s="7">
        <v>1</v>
      </c>
      <c r="H217" s="13" t="s">
        <v>772</v>
      </c>
      <c r="I217" s="13">
        <v>25568.708333333332</v>
      </c>
      <c r="J217" s="7">
        <v>0</v>
      </c>
      <c r="K217" s="112" t="str">
        <f t="shared" si="68"/>
        <v>4045/4046</v>
      </c>
      <c r="L217" s="22" t="str">
        <f>VLOOKUP(A217,'Trips&amp;Operators'!$C$1:$E$10000,3,FALSE)</f>
        <v>BEAM</v>
      </c>
      <c r="M217" s="6">
        <f t="shared" si="69"/>
        <v>0</v>
      </c>
      <c r="N217" s="7">
        <f t="shared" si="65"/>
        <v>0</v>
      </c>
      <c r="O217" s="7"/>
      <c r="P217" s="7"/>
      <c r="Q217" s="23"/>
      <c r="R217" s="23"/>
      <c r="S217" s="35">
        <f t="shared" si="80"/>
        <v>1</v>
      </c>
      <c r="T217" s="50" t="str">
        <f t="shared" si="70"/>
        <v>NorthBound</v>
      </c>
      <c r="U217" s="18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07:28:26-0600',mode:absolute,to:'1969-12-31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7" s="52" t="str">
        <f t="shared" si="72"/>
        <v>Y</v>
      </c>
      <c r="X217" s="174">
        <f t="shared" si="81"/>
        <v>1</v>
      </c>
      <c r="Y217" s="67">
        <f t="shared" si="73"/>
        <v>0.1067</v>
      </c>
      <c r="Z217" s="67">
        <f t="shared" si="74"/>
        <v>2.4235000000000002</v>
      </c>
      <c r="AA217" s="67">
        <f t="shared" si="75"/>
        <v>2.3168000000000002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76"/>
        <v>0903-18</v>
      </c>
      <c r="AE217" s="91" t="str">
        <f t="shared" si="77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7" s="88" t="str">
        <f t="shared" si="78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17" s="1" t="str">
        <f t="shared" si="79"/>
        <v>Other</v>
      </c>
      <c r="AH217" s="92" t="str">
        <f t="shared" si="66"/>
        <v>"%USERPROFILE%\Documents\GitHub\eaglep3\Utilities\RefineRTDCRunTimes.py" --tripid 903-18 --locoid 4046 --swversion DE.1.0.7.0 --startMP 204:1067 --initTime 2016-10-18T08:28:26 --startdatetime 1969-12-31T17:00:00 --delay 1 --endMP 300:24235 --enddatetime 1969-12-31T17:00:00 --enforcementcount 0 &gt;&gt;C:\Users\stu\Documents\GitHub\eaglep3-reporting\EC\2016-10-18-refined-times.txt</v>
      </c>
      <c r="AI217" s="122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{"issue":{"subject":"","project_id":79,"tracker_id":40,"status_id":1,"priority_id":2,"assigned_to_id":23,"start_date":"1969-12-31","description":"","custom_fields":[{"id":1,"name":"Subdivision","value":"Other"},{"id":4,"name":"Milepost","value":"2.4235"},{"id":17,"name":"Train ID","value":"903-18"},{"id":16,"name":"Locomotive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7" t="s">
        <v>490</v>
      </c>
      <c r="B218" s="7">
        <v>4046</v>
      </c>
      <c r="C218" s="22" t="s">
        <v>99</v>
      </c>
      <c r="D218" s="22" t="s">
        <v>771</v>
      </c>
      <c r="E218" s="13">
        <v>42661.354780092595</v>
      </c>
      <c r="F218" s="13">
        <v>25568.708333333332</v>
      </c>
      <c r="G218" s="7">
        <v>0</v>
      </c>
      <c r="H218" s="13" t="s">
        <v>772</v>
      </c>
      <c r="I218" s="13">
        <v>25568.708333333332</v>
      </c>
      <c r="J218" s="7">
        <v>0</v>
      </c>
      <c r="K218" s="112" t="str">
        <f t="shared" si="68"/>
        <v>4045/4046</v>
      </c>
      <c r="L218" s="22" t="str">
        <f>VLOOKUP(A218,'Trips&amp;Operators'!$C$1:$E$10000,3,FALSE)</f>
        <v>BEAM</v>
      </c>
      <c r="M218" s="6">
        <f t="shared" si="69"/>
        <v>0</v>
      </c>
      <c r="N218" s="7">
        <f t="shared" ref="N218:N240" si="82">24*60*SUM($M218:$M218)</f>
        <v>0</v>
      </c>
      <c r="O218" s="7"/>
      <c r="P218" s="7"/>
      <c r="Q218" s="23"/>
      <c r="R218" s="23"/>
      <c r="S218" s="35">
        <f t="shared" si="80"/>
        <v>1</v>
      </c>
      <c r="T218" s="50" t="str">
        <f t="shared" si="70"/>
        <v>NorthBound</v>
      </c>
      <c r="U218" s="18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07:30:53-0600',mode:absolute,to:'1969-12-31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8" s="52" t="str">
        <f t="shared" si="72"/>
        <v>Y</v>
      </c>
      <c r="X218" s="174">
        <f t="shared" si="81"/>
        <v>0</v>
      </c>
      <c r="Y218" s="67">
        <f t="shared" si="73"/>
        <v>0.1067</v>
      </c>
      <c r="Z218" s="67">
        <f t="shared" si="74"/>
        <v>2.4235000000000002</v>
      </c>
      <c r="AA218" s="67">
        <f t="shared" si="75"/>
        <v>2.3168000000000002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76"/>
        <v>0903-18</v>
      </c>
      <c r="AE218" s="91" t="str">
        <f t="shared" si="77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8" s="88" t="str">
        <f t="shared" si="78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18" s="1" t="str">
        <f t="shared" si="79"/>
        <v>Other</v>
      </c>
      <c r="AH218" s="92" t="str">
        <f t="shared" si="66"/>
        <v>"%USERPROFILE%\Documents\GitHub\eaglep3\Utilities\RefineRTDCRunTimes.py" --tripid 903-18 --locoid 4046 --swversion DE.1.0.7.0 --startMP 204:1067 --initTime 2016-10-18T08:30:53 --startdatetime 1969-12-31T17:00:00 --delay 0 --endMP 300:24235 --enddatetime 1969-12-31T17:00:00 --enforcementcount 0 &gt;&gt;C:\Users\stu\Documents\GitHub\eaglep3-reporting\EC\2016-10-18-refined-times.txt</v>
      </c>
      <c r="AI218" s="122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{"issue":{"subject":"","project_id":79,"tracker_id":40,"status_id":1,"priority_id":2,"assigned_to_id":23,"start_date":"1969-12-31","description":"","custom_fields":[{"id":1,"name":"Subdivision","value":"Other"},{"id":4,"name":"Milepost","value":"2.4235"},{"id":17,"name":"Train ID","value":"903-18"},{"id":16,"name":"Locomotive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s="21" customFormat="1" x14ac:dyDescent="0.25">
      <c r="A219" s="37" t="s">
        <v>558</v>
      </c>
      <c r="B219" s="7">
        <v>4045</v>
      </c>
      <c r="C219" s="22" t="s">
        <v>99</v>
      </c>
      <c r="D219" s="22" t="s">
        <v>773</v>
      </c>
      <c r="E219" s="13">
        <v>42661.645879629628</v>
      </c>
      <c r="F219" s="13">
        <v>42661.647210648145</v>
      </c>
      <c r="G219" s="7">
        <v>1</v>
      </c>
      <c r="H219" s="13" t="s">
        <v>403</v>
      </c>
      <c r="I219" s="13">
        <v>42661.654733796298</v>
      </c>
      <c r="J219" s="7">
        <v>0</v>
      </c>
      <c r="K219" s="112" t="str">
        <f t="shared" si="68"/>
        <v>4045/4046</v>
      </c>
      <c r="L219" s="22" t="str">
        <f>VLOOKUP(A219,'Trips&amp;Operators'!$C$1:$E$10000,3,FALSE)</f>
        <v>STURGEON</v>
      </c>
      <c r="M219" s="6">
        <f t="shared" si="69"/>
        <v>7.5231481532682665E-3</v>
      </c>
      <c r="N219" s="7">
        <f t="shared" si="82"/>
        <v>10.833333340706304</v>
      </c>
      <c r="O219" s="7"/>
      <c r="P219" s="7"/>
      <c r="Q219" s="23"/>
      <c r="R219" s="23"/>
      <c r="S219" s="35">
        <f t="shared" si="80"/>
        <v>1</v>
      </c>
      <c r="T219" s="50" t="str">
        <f t="shared" si="70"/>
        <v>Southbound</v>
      </c>
      <c r="U219" s="18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14:30:04-0600',mode:absolute,to:'2016-10-18 16:42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9" s="52" t="str">
        <f t="shared" si="72"/>
        <v>Y</v>
      </c>
      <c r="X219" s="174">
        <f t="shared" si="81"/>
        <v>1</v>
      </c>
      <c r="Y219" s="67">
        <f t="shared" si="73"/>
        <v>2.3351000000000002</v>
      </c>
      <c r="Z219" s="67">
        <f t="shared" si="74"/>
        <v>7.0999999999999994E-2</v>
      </c>
      <c r="AA219" s="67">
        <f t="shared" si="75"/>
        <v>2.2641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76"/>
        <v>0904-18</v>
      </c>
      <c r="AE219" s="91" t="str">
        <f t="shared" si="77"/>
        <v>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 &amp; 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</v>
      </c>
      <c r="AF219" s="88" t="str">
        <f t="shared" si="78"/>
        <v>"C:\Program Files (x86)\AstroGrep\AstroGrep.exe" /spath="%USERPROFILE%\AppData\Local\Temp\OnboardLogs" /stypes="app*4045*20161018*" /stext=" 21:.+((SYSTEM_STATE.+slice.+state.+changed )|(ment ac)|(system.+state.+changed )|(\[timeout)|(PRM\|1\|D)|(kpr)|(kdp)|(\|lc)|(penalty))" /e /r /s</v>
      </c>
      <c r="AG219" s="1" t="str">
        <f t="shared" si="79"/>
        <v>Other</v>
      </c>
      <c r="AH219" s="92" t="str">
        <f t="shared" si="66"/>
        <v>"%USERPROFILE%\Documents\GitHub\eaglep3\Utilities\RefineRTDCRunTimes.py" --tripid 904-18 --locoid 4045 --swversion DE.1.0.7.0 --startMP 300:23351 --initTime 2016-10-18T15:30:04 --startdatetime 2016-10-18T15:31:59 --delay 1 --endMP 204:710 --enddatetime 2016-10-18T15:42:49 --enforcementcount 0 &gt;&gt;C:\Users\stu\Documents\GitHub\eaglep3-reporting\EC\2016-10-18-refined-times.txt</v>
      </c>
      <c r="AI219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{"issue":{"subject":"","project_id":79,"tracker_id":40,"status_id":1,"priority_id":2,"assigned_to_id":23,"start_date":"2016-10-18","description":"","custom_fields":[{"id":1,"name":"Subdivision","value":"Other"},{"id":4,"name":"Milepost","value":"0.071"},{"id":17,"name":"Train ID","value":"904-18"},{"id":16,"name":"Locomotive ID","value":"4045"},{"id":130,"name":"Impact","value":""},{"id":150,"name":"Time of Event (Mountain Time)","value":"15:42:49"},{"id":151,"name":"Denver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602</v>
      </c>
      <c r="B220" s="7">
        <v>4045</v>
      </c>
      <c r="C220" s="22" t="s">
        <v>99</v>
      </c>
      <c r="D220" s="22" t="s">
        <v>286</v>
      </c>
      <c r="E220" s="13">
        <v>42661.797893518517</v>
      </c>
      <c r="F220" s="13">
        <v>25568.708333333332</v>
      </c>
      <c r="G220" s="7">
        <v>1</v>
      </c>
      <c r="H220" s="13" t="s">
        <v>774</v>
      </c>
      <c r="I220" s="13">
        <v>25568.708333333332</v>
      </c>
      <c r="J220" s="7">
        <v>0</v>
      </c>
      <c r="K220" s="112" t="str">
        <f t="shared" si="68"/>
        <v>4045/4046</v>
      </c>
      <c r="L220" s="22" t="str">
        <f>VLOOKUP(A220,'Trips&amp;Operators'!$C$1:$E$10000,3,FALSE)</f>
        <v>STURGEON</v>
      </c>
      <c r="M220" s="6">
        <f t="shared" si="69"/>
        <v>0</v>
      </c>
      <c r="N220" s="7">
        <f t="shared" si="82"/>
        <v>0</v>
      </c>
      <c r="O220" s="7"/>
      <c r="P220" s="7"/>
      <c r="Q220" s="23"/>
      <c r="R220" s="23"/>
      <c r="S220" s="35">
        <f t="shared" si="80"/>
        <v>0</v>
      </c>
      <c r="T220" s="50" t="str">
        <f t="shared" si="70"/>
        <v>Southbound</v>
      </c>
      <c r="U220" s="18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18:08:58-0600',mode:absolute,to:'1969-12-31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0" s="52" t="str">
        <f t="shared" si="72"/>
        <v>Y</v>
      </c>
      <c r="X220" s="174">
        <f t="shared" si="81"/>
        <v>2</v>
      </c>
      <c r="Y220" s="67">
        <f t="shared" si="73"/>
        <v>5.8608000000000002</v>
      </c>
      <c r="Z220" s="67">
        <f t="shared" si="74"/>
        <v>2.8786</v>
      </c>
      <c r="AA220" s="67">
        <f t="shared" si="75"/>
        <v>2.9822000000000002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76"/>
        <v>0906-18</v>
      </c>
      <c r="AE220" s="91" t="str">
        <f t="shared" si="77"/>
        <v>aws s3 cp s3://rtdc.mdm.uploadarchive.raw/RTDC4045/ "%USERPROFILE%\AppData\Local\Temp\OnboardLogs"\RTDC4045\1969-12-31 --exclude "*" --recursive --include "*19691231*" &amp; "%USERPROFILE%\Documents\GitHub\mrs-test-scripts\Headless Mode &amp; Sideloading\WalkAndUnGZ.bat" "%USERPROFILE%\AppData\Local\Temp\OnboardLogs"\RTDC4045\1969-12-31 &amp; aws s3 cp s3://rtdc.mdm.uploadarchive.raw/RTDC4045/ "%USERPROFILE%\AppData\Local\Temp\OnboardLogs"\RTDC4045\1970-01-01 --exclude "*" --recursive --include "*19700101*" &amp; "%USERPROFILE%\Documents\GitHub\mrs-test-scripts\Headless Mode &amp; Sideloading\WalkAndUnGZ.bat" "%USERPROFILE%\AppData\Local\Temp\OnboardLogs"\RTDC4045\1970-01-01</v>
      </c>
      <c r="AF220" s="88" t="str">
        <f t="shared" si="78"/>
        <v>"C:\Program Files (x86)\AstroGrep\AstroGrep.exe" /spath="%USERPROFILE%\AppData\Local\Temp\OnboardLogs" /stypes="app*4045*19691231*" /stext=" 23:.+((SYSTEM_STATE.+slice.+state.+changed )|(ment ac)|(system.+state.+changed )|(\[timeout)|(PRM\|1\|D)|(kpr)|(kdp)|(\|lc)|(penalty))" /e /r /s</v>
      </c>
      <c r="AG220" s="1" t="str">
        <f t="shared" si="79"/>
        <v>Other</v>
      </c>
      <c r="AH220" s="92" t="str">
        <f t="shared" si="66"/>
        <v>"%USERPROFILE%\Documents\GitHub\eaglep3\Utilities\RefineRTDCRunTimes.py" --tripid 906-18 --locoid 4045 --swversion DE.1.0.7.0 --startMP 300:58608 --initTime 2016-10-18T19:08:58 --startdatetime 1969-12-31T17:00:00 --delay 1 --endMP 300:28786 --enddatetime 1969-12-31T17:00:00 --enforcementcount 0 &gt;&gt;C:\Users\stu\Documents\GitHub\eaglep3-reporting\EC\2016-10-18-refined-times.txt</v>
      </c>
      <c r="AI220" s="122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{"issue":{"subject":"","project_id":79,"tracker_id":40,"status_id":1,"priority_id":2,"assigned_to_id":23,"start_date":"1969-12-31","description":"","custom_fields":[{"id":1,"name":"Subdivision","value":"Other"},{"id":4,"name":"Milepost","value":"2.8786"},{"id":17,"name":"Train ID","value":"906-18"},{"id":16,"name":"Locomotive ID","value":"4045"},{"id":130,"name":"Impact","value":""},{"id":150,"name":"Time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 s="37" t="s">
        <v>623</v>
      </c>
      <c r="B221" s="7">
        <v>4054</v>
      </c>
      <c r="C221" s="22" t="s">
        <v>99</v>
      </c>
      <c r="D221" s="22" t="s">
        <v>327</v>
      </c>
      <c r="E221" s="13">
        <v>42661.943993055553</v>
      </c>
      <c r="F221" s="13">
        <v>42661.945821759262</v>
      </c>
      <c r="G221" s="7">
        <v>1</v>
      </c>
      <c r="H221" s="13" t="s">
        <v>775</v>
      </c>
      <c r="I221" s="13">
        <v>42661.951747685183</v>
      </c>
      <c r="J221" s="7">
        <v>0</v>
      </c>
      <c r="K221" s="112" t="str">
        <f t="shared" si="68"/>
        <v>4053/4054</v>
      </c>
      <c r="L221" s="22" t="str">
        <f>VLOOKUP(A221,'Trips&amp;Operators'!$C$1:$E$10000,3,FALSE)</f>
        <v>STURGEON</v>
      </c>
      <c r="M221" s="6">
        <f t="shared" si="69"/>
        <v>5.9259259214741178E-3</v>
      </c>
      <c r="N221" s="7">
        <f t="shared" si="82"/>
        <v>8.5333333269227296</v>
      </c>
      <c r="O221" s="7"/>
      <c r="P221" s="7"/>
      <c r="Q221" s="23"/>
      <c r="R221" s="23"/>
      <c r="S221" s="35">
        <f t="shared" si="80"/>
        <v>0</v>
      </c>
      <c r="T221" s="50" t="str">
        <f t="shared" si="70"/>
        <v>Southbound</v>
      </c>
      <c r="U221" s="18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21:39:21-0600',mode:absolute,to:'2016-10-18 23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1" s="52" t="str">
        <f t="shared" si="72"/>
        <v>Y</v>
      </c>
      <c r="X221" s="174">
        <f t="shared" si="81"/>
        <v>2</v>
      </c>
      <c r="Y221" s="67">
        <f t="shared" si="73"/>
        <v>5.8615000000000004</v>
      </c>
      <c r="Z221" s="67">
        <f t="shared" si="74"/>
        <v>2.1741999999999999</v>
      </c>
      <c r="AA221" s="67">
        <f t="shared" si="75"/>
        <v>3.6873000000000005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76"/>
        <v>0908-18</v>
      </c>
      <c r="AE221" s="91" t="str">
        <f t="shared" si="77"/>
        <v>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 &amp; 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</v>
      </c>
      <c r="AF221" s="88" t="str">
        <f t="shared" si="78"/>
        <v>"C:\Program Files (x86)\AstroGrep\AstroGrep.exe" /spath="%USERPROFILE%\AppData\Local\Temp\OnboardLogs" /stypes="app*4054*20161019*" /stext=" 04:.+((SYSTEM_STATE.+slice.+state.+changed )|(ment ac)|(system.+state.+changed )|(\[timeout)|(PRM\|1\|D)|(kpr)|(kdp)|(\|lc)|(penalty))" /e /r /s</v>
      </c>
      <c r="AG221" s="1" t="str">
        <f t="shared" si="79"/>
        <v>Other</v>
      </c>
      <c r="AH221" s="92" t="str">
        <f t="shared" si="66"/>
        <v>"%USERPROFILE%\Documents\GitHub\eaglep3\Utilities\RefineRTDCRunTimes.py" --tripid 908-18 --locoid 4054 --swversion DE.1.0.7.0 --startMP 300:58615 --initTime 2016-10-18T22:39:21 --startdatetime 2016-10-18T22:41:59 --delay 1 --endMP 300:21742 --enddatetime 2016-10-18T22:50:31 --enforcementcount 0 &gt;&gt;C:\Users\stu\Documents\GitHub\eaglep3-reporting\EC\2016-10-18-refined-times.txt</v>
      </c>
      <c r="AI221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{"issue":{"subject":"","project_id":79,"tracker_id":40,"status_id":1,"priority_id":2,"assigned_to_id":23,"start_date":"2016-10-18","description":"","custom_fields":[{"id":1,"name":"Subdivision","value":"Other"},{"id":4,"name":"Milepost","value":"2.1742"},{"id":17,"name":"Train ID","value":"908-18"},{"id":16,"name":"Locomotive ID","value":"4054"},{"id":130,"name":"Impact","value":""},{"id":150,"name":"Time of Event (Mountain Time)","value":"22:50:31"},{"id":151,"name":"Denver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1" customFormat="1" x14ac:dyDescent="0.25">
      <c r="A222" s="37" t="s">
        <v>627</v>
      </c>
      <c r="B222" s="7">
        <v>4028</v>
      </c>
      <c r="C222" s="22" t="s">
        <v>99</v>
      </c>
      <c r="D222" s="22" t="s">
        <v>700</v>
      </c>
      <c r="E222" s="13">
        <v>42661.962048611109</v>
      </c>
      <c r="F222" s="13">
        <v>42661.969699074078</v>
      </c>
      <c r="G222" s="7">
        <v>10</v>
      </c>
      <c r="H222" s="13" t="s">
        <v>701</v>
      </c>
      <c r="I222" s="13">
        <v>42661.977546296293</v>
      </c>
      <c r="J222" s="7">
        <v>0</v>
      </c>
      <c r="K222" s="112" t="str">
        <f t="shared" si="68"/>
        <v>4027/4028</v>
      </c>
      <c r="L222" s="22" t="str">
        <f>VLOOKUP(A222,'Trips&amp;Operators'!$C$1:$E$10000,3,FALSE)</f>
        <v>PINCURA</v>
      </c>
      <c r="M222" s="6">
        <f t="shared" si="69"/>
        <v>7.8472222157870419E-3</v>
      </c>
      <c r="N222" s="7">
        <f t="shared" si="82"/>
        <v>11.29999999073334</v>
      </c>
      <c r="O222" s="7"/>
      <c r="P222" s="7"/>
      <c r="Q222" s="23"/>
      <c r="R222" s="23"/>
      <c r="S222" s="35">
        <f t="shared" si="80"/>
        <v>0</v>
      </c>
      <c r="T222" s="50" t="e">
        <f t="shared" si="70"/>
        <v>#VALUE!</v>
      </c>
      <c r="U222" s="18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22:05:21-0600',mode:absolute,to:'2016-10-19 00:27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2" s="52" t="str">
        <f t="shared" si="72"/>
        <v>Y</v>
      </c>
      <c r="X222" s="174" t="e">
        <f t="shared" si="81"/>
        <v>#VALUE!</v>
      </c>
      <c r="Y222" s="67">
        <f t="shared" si="73"/>
        <v>2.2605</v>
      </c>
      <c r="Z222" s="67">
        <f t="shared" si="74"/>
        <v>9.7000000000000003E-3</v>
      </c>
      <c r="AA222" s="67">
        <f t="shared" si="75"/>
        <v>2.2507999999999999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76"/>
        <v>50-18</v>
      </c>
      <c r="AE222" s="91" t="str">
        <f t="shared" si="77"/>
        <v>aws s3 cp s3://rtdc.mdm.uploadarchive.raw/RTDC4028/ "%USERPROFILE%\AppData\Local\Temp\OnboardLogs"\RTDC4028\2016-10-18 --exclude "*" --recursive --include "*20161018*" &amp; "%USERPROFILE%\Documents\GitHub\mrs-test-scripts\Headless Mode &amp; Sideloading\WalkAndUnGZ.bat" "%USERPROFILE%\AppData\Local\Temp\OnboardLogs"\RTDC4028\2016-10-18 &amp; aws s3 cp s3://rtdc.mdm.uploadarchive.raw/RTDC4028/ "%USERPROFILE%\AppData\Local\Temp\OnboardLogs"\RTDC4028\2016-10-19 --exclude "*" --recursive --include "*20161019*" &amp; "%USERPROFILE%\Documents\GitHub\mrs-test-scripts\Headless Mode &amp; Sideloading\WalkAndUnGZ.bat" "%USERPROFILE%\AppData\Local\Temp\OnboardLogs"\RTDC4028\2016-10-19</v>
      </c>
      <c r="AF222" s="88" t="str">
        <f t="shared" si="78"/>
        <v>"C:\Program Files (x86)\AstroGrep\AstroGrep.exe" /spath="%USERPROFILE%\AppData\Local\Temp\OnboardLogs" /stypes="app*4028*20161019*" /stext=" 05:.+((SYSTEM_STATE.+slice.+state.+changed )|(ment ac)|(system.+state.+changed )|(\[timeout)|(PRM\|1\|D)|(kpr)|(kdp)|(\|lc)|(penalty))" /e /r /s</v>
      </c>
      <c r="AG222" s="1" t="str">
        <f t="shared" si="79"/>
        <v>Other</v>
      </c>
      <c r="AH222" s="92" t="str">
        <f t="shared" si="66"/>
        <v>"%USERPROFILE%\Documents\GitHub\eaglep3\Utilities\RefineRTDCRunTimes.py" --tripid 50-18 --locoid 4028 --swversion DE.1.0.7.0 --startMP 300:22605 --initTime 2016-10-18T23:05:21 --startdatetime 2016-10-18T23:16:22 --delay 10 --endMP 204:97 --enddatetime 2016-10-18T23:27:40 --enforcementcount 0 &gt;&gt;C:\Users\stu\Documents\GitHub\eaglep3-reporting\EC\2016-10-18-refined-times.txt</v>
      </c>
      <c r="AI222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{"issue":{"subject":"","project_id":79,"tracker_id":40,"status_id":1,"priority_id":2,"assigned_to_id":23,"start_date":"2016-10-18","description":"","custom_fields":[{"id":1,"name":"Subdivision","value":"Other"},{"id":4,"name":"Milepost","value":"0.0097"},{"id":17,"name":"Train ID","value":"50-18"},{"id":16,"name":"Locomotive ID","value":"4028"},{"id":130,"name":"Impact","value":""},{"id":150,"name":"Time of Event (Mountain Time)","value":"23:27:40"},{"id":151,"name":"Denver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 s="37" t="s">
        <v>425</v>
      </c>
      <c r="B223" s="7">
        <v>4037</v>
      </c>
      <c r="C223" s="22" t="s">
        <v>99</v>
      </c>
      <c r="D223" s="22" t="s">
        <v>702</v>
      </c>
      <c r="E223" s="13">
        <v>42661.493784722225</v>
      </c>
      <c r="F223" s="13">
        <v>42661.549895833334</v>
      </c>
      <c r="G223" s="7">
        <v>3</v>
      </c>
      <c r="H223" s="13" t="s">
        <v>388</v>
      </c>
      <c r="I223" s="13">
        <v>42661.557337962964</v>
      </c>
      <c r="J223" s="7">
        <v>0</v>
      </c>
      <c r="K223" s="112" t="str">
        <f t="shared" si="68"/>
        <v>4037/4038</v>
      </c>
      <c r="L223" s="22" t="str">
        <f>VLOOKUP(A223,'Trips&amp;Operators'!$C$1:$E$10000,3,FALSE)</f>
        <v>ARNOLD</v>
      </c>
      <c r="M223" s="6">
        <f t="shared" si="69"/>
        <v>7.442129630362615E-3</v>
      </c>
      <c r="N223" s="7">
        <f t="shared" si="82"/>
        <v>10.716666667722166</v>
      </c>
      <c r="O223" s="7"/>
      <c r="P223" s="7"/>
      <c r="Q223" s="23"/>
      <c r="R223" s="23"/>
      <c r="S223" s="35">
        <f t="shared" si="80"/>
        <v>0</v>
      </c>
      <c r="T223" s="50" t="e">
        <f t="shared" si="70"/>
        <v>#VALUE!</v>
      </c>
      <c r="U223" s="18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10:51:03-0600',mode:absolute,to:'2016-10-18 14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3" s="52" t="str">
        <f t="shared" si="72"/>
        <v>Y</v>
      </c>
      <c r="X223" s="174" t="e">
        <f t="shared" si="81"/>
        <v>#VALUE!</v>
      </c>
      <c r="Y223" s="67">
        <f t="shared" si="73"/>
        <v>4.2172000000000001</v>
      </c>
      <c r="Z223" s="67">
        <f t="shared" si="74"/>
        <v>1.44E-2</v>
      </c>
      <c r="AA223" s="67">
        <f t="shared" si="75"/>
        <v>4.2027999999999999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76"/>
        <v>51-18</v>
      </c>
      <c r="AE223" s="91" t="str">
        <f t="shared" si="77"/>
        <v>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 &amp; aws s3 cp s3://rtdc.mdm.uploadarchive.raw/RTDC4037/ "%USERPROFILE%\AppData\Local\Temp\OnboardLogs"\RTDC4037\2016-10-19 --exclude "*" --recursive --include "*20161019*" &amp; "%USERPROFILE%\Documents\GitHub\mrs-test-scripts\Headless Mode &amp; Sideloading\WalkAndUnGZ.bat" "%USERPROFILE%\AppData\Local\Temp\OnboardLogs"\RTDC4037\2016-10-19</v>
      </c>
      <c r="AF223" s="88" t="str">
        <f t="shared" si="78"/>
        <v>"C:\Program Files (x86)\AstroGrep\AstroGrep.exe" /spath="%USERPROFILE%\AppData\Local\Temp\OnboardLogs" /stypes="app*4037*20161018*" /stext=" 19:.+((SYSTEM_STATE.+slice.+state.+changed )|(ment ac)|(system.+state.+changed )|(\[timeout)|(PRM\|1\|D)|(kpr)|(kdp)|(\|lc)|(penalty))" /e /r /s</v>
      </c>
      <c r="AG223" s="1" t="str">
        <f t="shared" si="79"/>
        <v>Other</v>
      </c>
      <c r="AH223" s="92" t="str">
        <f t="shared" si="66"/>
        <v>"%USERPROFILE%\Documents\GitHub\eaglep3\Utilities\RefineRTDCRunTimes.py" --tripid 51-18 --locoid 4037 --swversion DE.1.0.7.0 --startMP 300:42172 --initTime 2016-10-18T11:51:03 --startdatetime 2016-10-18T13:11:51 --delay 3 --endMP 204:144 --enddatetime 2016-10-18T13:22:34 --enforcementcount 0 &gt;&gt;C:\Users\stu\Documents\GitHub\eaglep3-reporting\EC\2016-10-18-refined-times.txt</v>
      </c>
      <c r="AI223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{"issue":{"subject":"","project_id":79,"tracker_id":40,"status_id":1,"priority_id":2,"assigned_to_id":23,"start_date":"2016-10-18","description":"","custom_fields":[{"id":1,"name":"Subdivision","value":"Other"},{"id":4,"name":"Milepost","value":"0.0144"},{"id":17,"name":"Train ID","value":"51-18"},{"id":16,"name":"Locomotive ID","value":"4037"},{"id":130,"name":"Impact","value":""},{"id":150,"name":"Time of Event (Mountain Time)","value":"13:22:34"},{"id":151,"name":"Denver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1" customFormat="1" x14ac:dyDescent="0.25">
      <c r="A224" s="37" t="s">
        <v>425</v>
      </c>
      <c r="B224" s="7">
        <v>4037</v>
      </c>
      <c r="C224" s="22" t="s">
        <v>99</v>
      </c>
      <c r="D224" s="22" t="s">
        <v>703</v>
      </c>
      <c r="E224" s="13">
        <v>42661.547951388886</v>
      </c>
      <c r="F224" s="13">
        <v>42661.581087962964</v>
      </c>
      <c r="G224" s="7">
        <v>1</v>
      </c>
      <c r="H224" s="13" t="s">
        <v>704</v>
      </c>
      <c r="I224" s="13">
        <v>42661.588402777779</v>
      </c>
      <c r="J224" s="7">
        <v>0</v>
      </c>
      <c r="K224" s="112" t="str">
        <f t="shared" si="68"/>
        <v>4037/4038</v>
      </c>
      <c r="L224" s="22" t="str">
        <f>VLOOKUP(A224,'Trips&amp;Operators'!$C$1:$E$10000,3,FALSE)</f>
        <v>ARNOLD</v>
      </c>
      <c r="M224" s="6">
        <f t="shared" si="69"/>
        <v>7.3148148148902692E-3</v>
      </c>
      <c r="N224" s="7">
        <f t="shared" si="82"/>
        <v>10.533333333441988</v>
      </c>
      <c r="O224" s="7"/>
      <c r="P224" s="7"/>
      <c r="Q224" s="23"/>
      <c r="R224" s="23"/>
      <c r="S224" s="35">
        <f t="shared" si="80"/>
        <v>0</v>
      </c>
      <c r="T224" s="50" t="e">
        <f t="shared" si="70"/>
        <v>#VALUE!</v>
      </c>
      <c r="U224" s="18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12:09:03-0600',mode:absolute,to:'2016-10-18 15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4" s="52" t="str">
        <f t="shared" si="72"/>
        <v>Y</v>
      </c>
      <c r="X224" s="174" t="e">
        <f t="shared" si="81"/>
        <v>#VALUE!</v>
      </c>
      <c r="Y224" s="67">
        <f t="shared" si="73"/>
        <v>4.2229000000000001</v>
      </c>
      <c r="Z224" s="67">
        <f t="shared" si="74"/>
        <v>1.5100000000000001E-2</v>
      </c>
      <c r="AA224" s="67">
        <f t="shared" si="75"/>
        <v>4.2077999999999998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76"/>
        <v>51-18</v>
      </c>
      <c r="AE224" s="91" t="str">
        <f t="shared" si="77"/>
        <v>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 &amp; aws s3 cp s3://rtdc.mdm.uploadarchive.raw/RTDC4037/ "%USERPROFILE%\AppData\Local\Temp\OnboardLogs"\RTDC4037\2016-10-19 --exclude "*" --recursive --include "*20161019*" &amp; "%USERPROFILE%\Documents\GitHub\mrs-test-scripts\Headless Mode &amp; Sideloading\WalkAndUnGZ.bat" "%USERPROFILE%\AppData\Local\Temp\OnboardLogs"\RTDC4037\2016-10-19</v>
      </c>
      <c r="AF224" s="88" t="str">
        <f t="shared" si="78"/>
        <v>"C:\Program Files (x86)\AstroGrep\AstroGrep.exe" /spath="%USERPROFILE%\AppData\Local\Temp\OnboardLogs" /stypes="app*4037*20161018*" /stext=" 20:.+((SYSTEM_STATE.+slice.+state.+changed )|(ment ac)|(system.+state.+changed )|(\[timeout)|(PRM\|1\|D)|(kpr)|(kdp)|(\|lc)|(penalty))" /e /r /s</v>
      </c>
      <c r="AG224" s="1" t="str">
        <f t="shared" si="79"/>
        <v>Other</v>
      </c>
      <c r="AH224" s="92" t="str">
        <f t="shared" si="66"/>
        <v>"%USERPROFILE%\Documents\GitHub\eaglep3\Utilities\RefineRTDCRunTimes.py" --tripid 51-18 --locoid 4037 --swversion DE.1.0.7.0 --startMP 300:42229 --initTime 2016-10-18T13:09:03 --startdatetime 2016-10-18T13:56:46 --delay 1 --endMP 204:151 --enddatetime 2016-10-18T14:07:18 --enforcementcount 0 &gt;&gt;C:\Users\stu\Documents\GitHub\eaglep3-reporting\EC\2016-10-18-refined-times.txt</v>
      </c>
      <c r="AI224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{"issue":{"subject":"","project_id":79,"tracker_id":40,"status_id":1,"priority_id":2,"assigned_to_id":23,"start_date":"2016-10-18","description":"","custom_fields":[{"id":1,"name":"Subdivision","value":"Other"},{"id":4,"name":"Milepost","value":"0.0151"},{"id":17,"name":"Train ID","value":"51-18"},{"id":16,"name":"Locomotive ID","value":"4037"},{"id":130,"name":"Impact","value":""},{"id":150,"name":"Time of Event (Mountain Time)","value":"14:07:18"},{"id":151,"name":"Denver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1" customFormat="1" x14ac:dyDescent="0.25">
      <c r="A225" s="37" t="s">
        <v>425</v>
      </c>
      <c r="B225" s="7">
        <v>4037</v>
      </c>
      <c r="C225" s="22" t="s">
        <v>99</v>
      </c>
      <c r="D225" s="22" t="s">
        <v>703</v>
      </c>
      <c r="E225" s="13">
        <v>42661.578634259262</v>
      </c>
      <c r="F225" s="13">
        <v>42661.608587962961</v>
      </c>
      <c r="G225" s="7">
        <v>2</v>
      </c>
      <c r="H225" s="13" t="s">
        <v>704</v>
      </c>
      <c r="I225" s="13">
        <v>42661.61923611111</v>
      </c>
      <c r="J225" s="7">
        <v>0</v>
      </c>
      <c r="K225" s="112" t="str">
        <f t="shared" si="68"/>
        <v>4037/4038</v>
      </c>
      <c r="L225" s="22" t="str">
        <f>VLOOKUP(A225,'Trips&amp;Operators'!$C$1:$E$10000,3,FALSE)</f>
        <v>ARNOLD</v>
      </c>
      <c r="M225" s="6">
        <f t="shared" si="69"/>
        <v>1.0648148148902692E-2</v>
      </c>
      <c r="N225" s="7">
        <f t="shared" si="82"/>
        <v>15.333333334419876</v>
      </c>
      <c r="O225" s="7"/>
      <c r="P225" s="7"/>
      <c r="Q225" s="23"/>
      <c r="R225" s="23"/>
      <c r="S225" s="35">
        <f t="shared" si="80"/>
        <v>0</v>
      </c>
      <c r="T225" s="50" t="e">
        <f t="shared" si="70"/>
        <v>#VALUE!</v>
      </c>
      <c r="U225" s="18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12:53:14-0600',mode:absolute,to:'2016-10-18 15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5" s="52" t="str">
        <f t="shared" si="72"/>
        <v>Y</v>
      </c>
      <c r="X225" s="174" t="e">
        <f t="shared" si="81"/>
        <v>#VALUE!</v>
      </c>
      <c r="Y225" s="67">
        <f t="shared" si="73"/>
        <v>4.2229000000000001</v>
      </c>
      <c r="Z225" s="67">
        <f t="shared" si="74"/>
        <v>1.5100000000000001E-2</v>
      </c>
      <c r="AA225" s="67">
        <f t="shared" si="75"/>
        <v>4.2077999999999998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76"/>
        <v>51-18</v>
      </c>
      <c r="AE225" s="91" t="str">
        <f t="shared" si="77"/>
        <v>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 &amp; aws s3 cp s3://rtdc.mdm.uploadarchive.raw/RTDC4037/ "%USERPROFILE%\AppData\Local\Temp\OnboardLogs"\RTDC4037\2016-10-19 --exclude "*" --recursive --include "*20161019*" &amp; "%USERPROFILE%\Documents\GitHub\mrs-test-scripts\Headless Mode &amp; Sideloading\WalkAndUnGZ.bat" "%USERPROFILE%\AppData\Local\Temp\OnboardLogs"\RTDC4037\2016-10-19</v>
      </c>
      <c r="AF225" s="88" t="str">
        <f t="shared" si="78"/>
        <v>"C:\Program Files (x86)\AstroGrep\AstroGrep.exe" /spath="%USERPROFILE%\AppData\Local\Temp\OnboardLogs" /stypes="app*4037*20161018*" /stext=" 20:.+((SYSTEM_STATE.+slice.+state.+changed )|(ment ac)|(system.+state.+changed )|(\[timeout)|(PRM\|1\|D)|(kpr)|(kdp)|(\|lc)|(penalty))" /e /r /s</v>
      </c>
      <c r="AG225" s="1" t="str">
        <f t="shared" si="79"/>
        <v>Other</v>
      </c>
      <c r="AH225" s="92" t="str">
        <f t="shared" si="66"/>
        <v>"%USERPROFILE%\Documents\GitHub\eaglep3\Utilities\RefineRTDCRunTimes.py" --tripid 51-18 --locoid 4037 --swversion DE.1.0.7.0 --startMP 300:42229 --initTime 2016-10-18T13:53:14 --startdatetime 2016-10-18T14:36:22 --delay 2 --endMP 204:151 --enddatetime 2016-10-18T14:51:42 --enforcementcount 0 &gt;&gt;C:\Users\stu\Documents\GitHub\eaglep3-reporting\EC\2016-10-18-refined-times.txt</v>
      </c>
      <c r="AI225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{"issue":{"subject":"","project_id":79,"tracker_id":40,"status_id":1,"priority_id":2,"assigned_to_id":23,"start_date":"2016-10-18","description":"","custom_fields":[{"id":1,"name":"Subdivision","value":"Other"},{"id":4,"name":"Milepost","value":"0.0151"},{"id":17,"name":"Train ID","value":"51-18"},{"id":16,"name":"Locomotive ID","value":"4037"},{"id":130,"name":"Impact","value":""},{"id":150,"name":"Time of Event (Mountain Time)","value":"14:51:42"},{"id":151,"name":"Denver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 s="37" t="s">
        <v>425</v>
      </c>
      <c r="B226" s="7">
        <v>4037</v>
      </c>
      <c r="C226" s="22" t="s">
        <v>99</v>
      </c>
      <c r="D226" s="22" t="s">
        <v>299</v>
      </c>
      <c r="E226" s="13">
        <v>42661.605439814812</v>
      </c>
      <c r="F226" s="13">
        <v>25568.708333333332</v>
      </c>
      <c r="G226" s="7">
        <v>1</v>
      </c>
      <c r="H226" s="13" t="s">
        <v>229</v>
      </c>
      <c r="I226" s="13">
        <v>25568.708333333332</v>
      </c>
      <c r="J226" s="7">
        <v>0</v>
      </c>
      <c r="K226" s="112" t="str">
        <f t="shared" si="68"/>
        <v>4037/4038</v>
      </c>
      <c r="L226" s="22" t="str">
        <f>VLOOKUP(A226,'Trips&amp;Operators'!$C$1:$E$10000,3,FALSE)</f>
        <v>ARNOLD</v>
      </c>
      <c r="M226" s="6">
        <f t="shared" si="69"/>
        <v>0</v>
      </c>
      <c r="N226" s="7">
        <f t="shared" si="82"/>
        <v>0</v>
      </c>
      <c r="O226" s="7"/>
      <c r="P226" s="7"/>
      <c r="Q226" s="23"/>
      <c r="R226" s="23"/>
      <c r="S226" s="35">
        <f t="shared" si="80"/>
        <v>0</v>
      </c>
      <c r="T226" s="50" t="e">
        <f t="shared" si="70"/>
        <v>#VALUE!</v>
      </c>
      <c r="U226" s="18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13:31:50-0600',mode:absolute,to:'1969-12-31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6" s="52" t="str">
        <f t="shared" si="72"/>
        <v>N</v>
      </c>
      <c r="X226" s="174" t="e">
        <f t="shared" si="81"/>
        <v>#VALUE!</v>
      </c>
      <c r="Y226" s="67">
        <f t="shared" si="73"/>
        <v>5.8619000000000003</v>
      </c>
      <c r="Z226" s="67">
        <f t="shared" si="74"/>
        <v>1.49E-2</v>
      </c>
      <c r="AA226" s="67">
        <f t="shared" si="75"/>
        <v>5.8470000000000004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76"/>
        <v>51-18</v>
      </c>
      <c r="AE226" s="91" t="str">
        <f t="shared" si="77"/>
        <v>aws s3 cp s3://rtdc.mdm.uploadarchive.raw/RTDC4037/ "%USERPROFILE%\AppData\Local\Temp\OnboardLogs"\RTDC4037\1969-12-31 --exclude "*" --recursive --include "*19691231*" &amp; "%USERPROFILE%\Documents\GitHub\mrs-test-scripts\Headless Mode &amp; Sideloading\WalkAndUnGZ.bat" "%USERPROFILE%\AppData\Local\Temp\OnboardLogs"\RTDC4037\1969-12-31 &amp; aws s3 cp s3://rtdc.mdm.uploadarchive.raw/RTDC4037/ "%USERPROFILE%\AppData\Local\Temp\OnboardLogs"\RTDC4037\1970-01-01 --exclude "*" --recursive --include "*19700101*" &amp; "%USERPROFILE%\Documents\GitHub\mrs-test-scripts\Headless Mode &amp; Sideloading\WalkAndUnGZ.bat" "%USERPROFILE%\AppData\Local\Temp\OnboardLogs"\RTDC4037\1970-01-01</v>
      </c>
      <c r="AF226" s="88" t="str">
        <f t="shared" si="78"/>
        <v>"C:\Program Files (x86)\AstroGrep\AstroGrep.exe" /spath="%USERPROFILE%\AppData\Local\Temp\OnboardLogs" /stypes="app*4037*19691231*" /stext=" 23:.+((SYSTEM_STATE.+slice.+state.+changed )|(ment ac)|(system.+state.+changed )|(\[timeout)|(PRM\|1\|D)|(kpr)|(kdp)|(\|lc)|(penalty))" /e /r /s</v>
      </c>
      <c r="AG226" s="1" t="str">
        <f t="shared" si="79"/>
        <v>Other</v>
      </c>
      <c r="AH226" s="92" t="str">
        <f t="shared" si="66"/>
        <v>"%USERPROFILE%\Documents\GitHub\eaglep3\Utilities\RefineRTDCRunTimes.py" --tripid 51-18 --locoid 4037 --swversion DE.1.0.7.0 --startMP 300:58619 --initTime 2016-10-18T14:31:50 --startdatetime 1969-12-31T17:00:00 --delay 1 --endMP 204:149 --enddatetime 1969-12-31T17:00:00 --enforcementcount 0 &gt;&gt;C:\Users\stu\Documents\GitHub\eaglep3-reporting\EC\2016-10-18-refined-times.txt</v>
      </c>
      <c r="AI226" s="122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{"issue":{"subject":"","project_id":79,"tracker_id":40,"status_id":1,"priority_id":2,"assigned_to_id":23,"start_date":"1969-12-31","description":"","custom_fields":[{"id":1,"name":"Subdivision","value":"Other"},{"id":4,"name":"Milepost","value":"0.0149"},{"id":17,"name":"Train ID","value":"51-18"},{"id":16,"name":"Locomotive ID","value":"4037"},{"id":130,"name":"Impact","value":""},{"id":150,"name":"Time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91" x14ac:dyDescent="0.25">
      <c r="A227" s="37" t="s">
        <v>425</v>
      </c>
      <c r="B227" s="7">
        <v>4038</v>
      </c>
      <c r="C227" s="22" t="s">
        <v>99</v>
      </c>
      <c r="D227" s="22" t="s">
        <v>293</v>
      </c>
      <c r="E227" s="13">
        <v>42661.591122685182</v>
      </c>
      <c r="F227" s="13">
        <v>42661.608587962961</v>
      </c>
      <c r="G227" s="7">
        <v>1</v>
      </c>
      <c r="H227" s="13" t="s">
        <v>309</v>
      </c>
      <c r="I227" s="13">
        <v>42661.61923611111</v>
      </c>
      <c r="J227" s="7">
        <v>0</v>
      </c>
      <c r="K227" s="112" t="str">
        <f t="shared" si="68"/>
        <v>4037/4038</v>
      </c>
      <c r="L227" s="22" t="str">
        <f>VLOOKUP(A227,'Trips&amp;Operators'!$C$1:$E$10000,3,FALSE)</f>
        <v>ARNOLD</v>
      </c>
      <c r="M227" s="6">
        <f t="shared" si="69"/>
        <v>1.0648148148902692E-2</v>
      </c>
      <c r="N227" s="7">
        <f t="shared" si="82"/>
        <v>15.333333334419876</v>
      </c>
      <c r="O227" s="7"/>
      <c r="P227" s="7"/>
      <c r="Q227" s="23"/>
      <c r="R227" s="23"/>
      <c r="S227" s="35">
        <f t="shared" si="80"/>
        <v>0</v>
      </c>
      <c r="T227" s="50" t="e">
        <f t="shared" si="70"/>
        <v>#VALUE!</v>
      </c>
      <c r="U227" s="18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13:11:13-0600',mode:absolute,to:'2016-10-18 15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27" s="52" t="str">
        <f t="shared" si="72"/>
        <v>N</v>
      </c>
      <c r="X227" s="174" t="e">
        <f t="shared" si="81"/>
        <v>#VALUE!</v>
      </c>
      <c r="Y227" s="67">
        <f t="shared" si="73"/>
        <v>4.4400000000000002E-2</v>
      </c>
      <c r="Z227" s="67">
        <f t="shared" si="74"/>
        <v>5.8924000000000003</v>
      </c>
      <c r="AA227" s="67">
        <f t="shared" si="75"/>
        <v>5.8479999999999999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76"/>
        <v>51-18</v>
      </c>
      <c r="AE227" s="91" t="str">
        <f t="shared" si="77"/>
        <v>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 &amp; aws s3 cp s3://rtdc.mdm.uploadarchive.raw/RTDC4038/ "%USERPROFILE%\AppData\Local\Temp\OnboardLogs"\RTDC4038\2016-10-19 --exclude "*" --recursive --include "*20161019*" &amp; "%USERPROFILE%\Documents\GitHub\mrs-test-scripts\Headless Mode &amp; Sideloading\WalkAndUnGZ.bat" "%USERPROFILE%\AppData\Local\Temp\OnboardLogs"\RTDC4038\2016-10-19</v>
      </c>
      <c r="AF227" s="88" t="str">
        <f t="shared" si="78"/>
        <v>"C:\Program Files (x86)\AstroGrep\AstroGrep.exe" /spath="%USERPROFILE%\AppData\Local\Temp\OnboardLogs" /stypes="app*4038*20161018*" /stext=" 20:.+((SYSTEM_STATE.+slice.+state.+changed )|(ment ac)|(system.+state.+changed )|(\[timeout)|(PRM\|1\|D)|(kpr)|(kdp)|(\|lc)|(penalty))" /e /r /s</v>
      </c>
      <c r="AG227" s="1" t="str">
        <f t="shared" si="79"/>
        <v>Other</v>
      </c>
      <c r="AH227" s="92" t="str">
        <f t="shared" si="66"/>
        <v>"%USERPROFILE%\Documents\GitHub\eaglep3\Utilities\RefineRTDCRunTimes.py" --tripid 51-18 --locoid 4038 --swversion DE.1.0.7.0 --startMP 204:444 --initTime 2016-10-18T14:11:13 --startdatetime 2016-10-18T14:36:22 --delay 1 --endMP 300:58924 --enddatetime 2016-10-18T14:51:42 --enforcementcount 0 &gt;&gt;C:\Users\stu\Documents\GitHub\eaglep3-reporting\EC\2016-10-18-refined-times.txt</v>
      </c>
      <c r="AI227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{"issue":{"subject":"","project_id":79,"tracker_id":40,"status_id":1,"priority_id":2,"assigned_to_id":23,"start_date":"2016-10-18","description":"","custom_fields":[{"id":1,"name":"Subdivision","value":"Other"},{"id":4,"name":"Milepost","value":"5.8924"},{"id":17,"name":"Train ID","value":"51-18"},{"id":16,"name":"Locomotive ID","value":"4038"},{"id":130,"name":"Impact","value":""},{"id":150,"name":"Time of Event (Mountain Time)","value":"14:51:42"},{"id":151,"name":"Denver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91" x14ac:dyDescent="0.25">
      <c r="A228" s="37" t="s">
        <v>425</v>
      </c>
      <c r="B228" s="7">
        <v>4038</v>
      </c>
      <c r="C228" s="22" t="s">
        <v>99</v>
      </c>
      <c r="D228" s="22" t="s">
        <v>247</v>
      </c>
      <c r="E228" s="13">
        <v>42661.47314814815</v>
      </c>
      <c r="F228" s="13">
        <v>42661.496666666666</v>
      </c>
      <c r="G228" s="7">
        <v>2</v>
      </c>
      <c r="H228" s="13" t="s">
        <v>705</v>
      </c>
      <c r="I228" s="13">
        <v>42661.505567129629</v>
      </c>
      <c r="J228" s="7">
        <v>0</v>
      </c>
      <c r="K228" s="112" t="str">
        <f t="shared" si="68"/>
        <v>4037/4038</v>
      </c>
      <c r="L228" s="22" t="str">
        <f>VLOOKUP(A228,'Trips&amp;Operators'!$C$1:$E$10000,3,FALSE)</f>
        <v>ARNOLD</v>
      </c>
      <c r="M228" s="6">
        <f t="shared" si="69"/>
        <v>8.9004629626288079E-3</v>
      </c>
      <c r="N228" s="7">
        <f t="shared" si="82"/>
        <v>12.816666666185483</v>
      </c>
      <c r="O228" s="7"/>
      <c r="P228" s="7"/>
      <c r="Q228" s="23"/>
      <c r="R228" s="23"/>
      <c r="S228" s="35">
        <f t="shared" si="80"/>
        <v>0</v>
      </c>
      <c r="T228" s="50" t="e">
        <f t="shared" si="70"/>
        <v>#VALUE!</v>
      </c>
      <c r="U228" s="18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10:21:20-0600',mode:absolute,to:'2016-10-18 13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28" s="52" t="str">
        <f t="shared" si="72"/>
        <v>Y</v>
      </c>
      <c r="X228" s="174" t="e">
        <f t="shared" si="81"/>
        <v>#VALUE!</v>
      </c>
      <c r="Y228" s="67">
        <f t="shared" si="73"/>
        <v>4.4600000000000001E-2</v>
      </c>
      <c r="Z228" s="67">
        <f t="shared" si="74"/>
        <v>4.2468000000000004</v>
      </c>
      <c r="AA228" s="67">
        <f t="shared" si="75"/>
        <v>4.2022000000000004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76"/>
        <v>51-18</v>
      </c>
      <c r="AE228" s="91" t="str">
        <f t="shared" si="77"/>
        <v>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 &amp; aws s3 cp s3://rtdc.mdm.uploadarchive.raw/RTDC4038/ "%USERPROFILE%\AppData\Local\Temp\OnboardLogs"\RTDC4038\2016-10-19 --exclude "*" --recursive --include "*20161019*" &amp; "%USERPROFILE%\Documents\GitHub\mrs-test-scripts\Headless Mode &amp; Sideloading\WalkAndUnGZ.bat" "%USERPROFILE%\AppData\Local\Temp\OnboardLogs"\RTDC4038\2016-10-19</v>
      </c>
      <c r="AF228" s="88" t="str">
        <f t="shared" si="78"/>
        <v>"C:\Program Files (x86)\AstroGrep\AstroGrep.exe" /spath="%USERPROFILE%\AppData\Local\Temp\OnboardLogs" /stypes="app*4038*20161018*" /stext=" 18:.+((SYSTEM_STATE.+slice.+state.+changed )|(ment ac)|(system.+state.+changed )|(\[timeout)|(PRM\|1\|D)|(kpr)|(kdp)|(\|lc)|(penalty))" /e /r /s</v>
      </c>
      <c r="AG228" s="1" t="str">
        <f t="shared" si="79"/>
        <v>Other</v>
      </c>
      <c r="AH228" s="92" t="str">
        <f t="shared" si="66"/>
        <v>"%USERPROFILE%\Documents\GitHub\eaglep3\Utilities\RefineRTDCRunTimes.py" --tripid 51-18 --locoid 4038 --swversion DE.1.0.7.0 --startMP 204:446 --initTime 2016-10-18T11:21:20 --startdatetime 2016-10-18T11:55:12 --delay 2 --endMP 300:42468 --enddatetime 2016-10-18T12:08:01 --enforcementcount 0 &gt;&gt;C:\Users\stu\Documents\GitHub\eaglep3-reporting\EC\2016-10-18-refined-times.txt</v>
      </c>
      <c r="AI228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{"issue":{"subject":"","project_id":79,"tracker_id":40,"status_id":1,"priority_id":2,"assigned_to_id":23,"start_date":"2016-10-18","description":"","custom_fields":[{"id":1,"name":"Subdivision","value":"Other"},{"id":4,"name":"Milepost","value":"4.2468"},{"id":17,"name":"Train ID","value":"51-18"},{"id":16,"name":"Locomotive ID","value":"4038"},{"id":130,"name":"Impact","value":""},{"id":150,"name":"Time of Event (Mountain Time)","value":"12:08:01"},{"id":151,"name":"Denver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91" x14ac:dyDescent="0.25">
      <c r="A229" s="37" t="s">
        <v>425</v>
      </c>
      <c r="B229" s="7">
        <v>4038</v>
      </c>
      <c r="C229" s="22" t="s">
        <v>99</v>
      </c>
      <c r="D229" s="22" t="s">
        <v>669</v>
      </c>
      <c r="E229" s="13">
        <v>42661.625601851854</v>
      </c>
      <c r="F229" s="13">
        <v>25568.708333333332</v>
      </c>
      <c r="G229" s="7">
        <v>1</v>
      </c>
      <c r="H229" s="13" t="s">
        <v>386</v>
      </c>
      <c r="I229" s="13">
        <v>25568.708333333332</v>
      </c>
      <c r="J229" s="7">
        <v>0</v>
      </c>
      <c r="K229" s="112" t="str">
        <f t="shared" si="68"/>
        <v>4037/4038</v>
      </c>
      <c r="L229" s="22" t="str">
        <f>VLOOKUP(A229,'Trips&amp;Operators'!$C$1:$E$10000,3,FALSE)</f>
        <v>ARNOLD</v>
      </c>
      <c r="M229" s="6">
        <f t="shared" si="69"/>
        <v>0</v>
      </c>
      <c r="N229" s="7">
        <f t="shared" si="82"/>
        <v>0</v>
      </c>
      <c r="O229" s="7"/>
      <c r="P229" s="7"/>
      <c r="Q229" s="23"/>
      <c r="R229" s="23"/>
      <c r="S229" s="35">
        <f t="shared" si="80"/>
        <v>0</v>
      </c>
      <c r="T229" s="50" t="e">
        <f t="shared" si="70"/>
        <v>#VALUE!</v>
      </c>
      <c r="U229" s="18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14:00:52-0600',mode:absolute,to:'1969-12-31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29" s="52" t="str">
        <f t="shared" si="72"/>
        <v>Y</v>
      </c>
      <c r="X229" s="174" t="e">
        <f t="shared" si="81"/>
        <v>#VALUE!</v>
      </c>
      <c r="Y229" s="67">
        <f t="shared" si="73"/>
        <v>4.6199999999999998E-2</v>
      </c>
      <c r="Z229" s="67">
        <f t="shared" si="74"/>
        <v>2.3304</v>
      </c>
      <c r="AA229" s="67">
        <f t="shared" si="75"/>
        <v>2.2842000000000002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76"/>
        <v>51-18</v>
      </c>
      <c r="AE229" s="91" t="str">
        <f t="shared" si="77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29" s="88" t="str">
        <f t="shared" si="78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29" s="1" t="str">
        <f t="shared" si="79"/>
        <v>Other</v>
      </c>
      <c r="AH229" s="92" t="str">
        <f t="shared" si="66"/>
        <v>"%USERPROFILE%\Documents\GitHub\eaglep3\Utilities\RefineRTDCRunTimes.py" --tripid 51-18 --locoid 4038 --swversion DE.1.0.7.0 --startMP 204:462 --initTime 2016-10-18T15:00:52 --startdatetime 1969-12-31T17:00:00 --delay 1 --endMP 300:23304 --enddatetime 1969-12-31T17:00:00 --enforcementcount 0 &gt;&gt;C:\Users\stu\Documents\GitHub\eaglep3-reporting\EC\2016-10-18-refined-times.txt</v>
      </c>
      <c r="AI229" s="122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ID","value":"51-18"},{"id":16,"name":"Locomotive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91" x14ac:dyDescent="0.25">
      <c r="A230" s="37" t="s">
        <v>425</v>
      </c>
      <c r="B230" s="7">
        <v>4038</v>
      </c>
      <c r="C230" s="22" t="s">
        <v>99</v>
      </c>
      <c r="D230" s="22" t="s">
        <v>706</v>
      </c>
      <c r="E230" s="13">
        <v>42661.533726851849</v>
      </c>
      <c r="F230" s="13">
        <v>42661.567395833335</v>
      </c>
      <c r="G230" s="7">
        <v>2</v>
      </c>
      <c r="H230" s="13" t="s">
        <v>707</v>
      </c>
      <c r="I230" s="13">
        <v>42661.575810185182</v>
      </c>
      <c r="J230" s="7">
        <v>0</v>
      </c>
      <c r="K230" s="112" t="str">
        <f t="shared" si="68"/>
        <v>4037/4038</v>
      </c>
      <c r="L230" s="22" t="str">
        <f>VLOOKUP(A230,'Trips&amp;Operators'!$C$1:$E$10000,3,FALSE)</f>
        <v>ARNOLD</v>
      </c>
      <c r="M230" s="6">
        <f t="shared" si="69"/>
        <v>8.4143518470227718E-3</v>
      </c>
      <c r="N230" s="7">
        <f t="shared" si="82"/>
        <v>12.116666659712791</v>
      </c>
      <c r="O230" s="7"/>
      <c r="P230" s="7"/>
      <c r="Q230" s="23"/>
      <c r="R230" s="23"/>
      <c r="S230" s="35">
        <f t="shared" si="80"/>
        <v>0</v>
      </c>
      <c r="T230" s="50" t="e">
        <f t="shared" si="70"/>
        <v>#VALUE!</v>
      </c>
      <c r="U230" s="18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11:48:34-0600',mode:absolute,to:'2016-10-18 14:49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0" s="52" t="str">
        <f t="shared" si="72"/>
        <v>Y</v>
      </c>
      <c r="X230" s="174" t="e">
        <f t="shared" si="81"/>
        <v>#VALUE!</v>
      </c>
      <c r="Y230" s="67">
        <f t="shared" si="73"/>
        <v>4.6800000000000001E-2</v>
      </c>
      <c r="Z230" s="67">
        <f t="shared" si="74"/>
        <v>4.2595000000000001</v>
      </c>
      <c r="AA230" s="67">
        <f t="shared" si="75"/>
        <v>4.2126999999999999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76"/>
        <v>51-18</v>
      </c>
      <c r="AE230" s="91" t="str">
        <f t="shared" si="77"/>
        <v>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 &amp; aws s3 cp s3://rtdc.mdm.uploadarchive.raw/RTDC4038/ "%USERPROFILE%\AppData\Local\Temp\OnboardLogs"\RTDC4038\2016-10-19 --exclude "*" --recursive --include "*20161019*" &amp; "%USERPROFILE%\Documents\GitHub\mrs-test-scripts\Headless Mode &amp; Sideloading\WalkAndUnGZ.bat" "%USERPROFILE%\AppData\Local\Temp\OnboardLogs"\RTDC4038\2016-10-19</v>
      </c>
      <c r="AF230" s="88" t="str">
        <f t="shared" si="78"/>
        <v>"C:\Program Files (x86)\AstroGrep\AstroGrep.exe" /spath="%USERPROFILE%\AppData\Local\Temp\OnboardLogs" /stypes="app*4038*20161018*" /stext=" 19:.+((SYSTEM_STATE.+slice.+state.+changed )|(ment ac)|(system.+state.+changed )|(\[timeout)|(PRM\|1\|D)|(kpr)|(kdp)|(\|lc)|(penalty))" /e /r /s</v>
      </c>
      <c r="AG230" s="1" t="str">
        <f t="shared" si="79"/>
        <v>Other</v>
      </c>
      <c r="AH230" s="92" t="str">
        <f t="shared" si="66"/>
        <v>"%USERPROFILE%\Documents\GitHub\eaglep3\Utilities\RefineRTDCRunTimes.py" --tripid 51-18 --locoid 4038 --swversion DE.1.0.7.0 --startMP 204:468 --initTime 2016-10-18T12:48:34 --startdatetime 2016-10-18T13:37:03 --delay 2 --endMP 300:42595 --enddatetime 2016-10-18T13:49:10 --enforcementcount 0 &gt;&gt;C:\Users\stu\Documents\GitHub\eaglep3-reporting\EC\2016-10-18-refined-times.txt</v>
      </c>
      <c r="AI230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{"issue":{"subject":"","project_id":79,"tracker_id":40,"status_id":1,"priority_id":2,"assigned_to_id":23,"start_date":"2016-10-18","description":"","custom_fields":[{"id":1,"name":"Subdivision","value":"Other"},{"id":4,"name":"Milepost","value":"4.2595"},{"id":17,"name":"Train ID","value":"51-18"},{"id":16,"name":"Locomotive ID","value":"4038"},{"id":130,"name":"Impact","value":""},{"id":150,"name":"Time of Event (Mountain Time)","value":"13:49:10"},{"id":151,"name":"Denver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91" x14ac:dyDescent="0.25">
      <c r="A231" s="37" t="s">
        <v>425</v>
      </c>
      <c r="B231" s="7">
        <v>4038</v>
      </c>
      <c r="C231" s="22" t="s">
        <v>99</v>
      </c>
      <c r="D231" s="22" t="s">
        <v>706</v>
      </c>
      <c r="E231" s="13">
        <v>42661.564837962964</v>
      </c>
      <c r="F231" s="13">
        <v>42661.592928240738</v>
      </c>
      <c r="G231" s="7">
        <v>1</v>
      </c>
      <c r="H231" s="13" t="s">
        <v>708</v>
      </c>
      <c r="I231" s="13">
        <v>42661.60434027778</v>
      </c>
      <c r="J231" s="7">
        <v>0</v>
      </c>
      <c r="K231" s="112" t="str">
        <f t="shared" si="68"/>
        <v>4037/4038</v>
      </c>
      <c r="L231" s="22" t="str">
        <f>VLOOKUP(A231,'Trips&amp;Operators'!$C$1:$E$10000,3,FALSE)</f>
        <v>ARNOLD</v>
      </c>
      <c r="M231" s="6">
        <f t="shared" si="69"/>
        <v>1.1412037041736767E-2</v>
      </c>
      <c r="N231" s="7">
        <f t="shared" si="82"/>
        <v>16.433333340100944</v>
      </c>
      <c r="O231" s="7"/>
      <c r="P231" s="7"/>
      <c r="Q231" s="23"/>
      <c r="R231" s="23"/>
      <c r="S231" s="35">
        <f t="shared" si="80"/>
        <v>0</v>
      </c>
      <c r="T231" s="50" t="e">
        <f t="shared" si="70"/>
        <v>#VALUE!</v>
      </c>
      <c r="U231" s="18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12:33:22-0600',mode:absolute,to:'2016-10-18 15:30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1" s="52" t="str">
        <f t="shared" si="72"/>
        <v>Y</v>
      </c>
      <c r="X231" s="174" t="e">
        <f t="shared" si="81"/>
        <v>#VALUE!</v>
      </c>
      <c r="Y231" s="67">
        <f t="shared" si="73"/>
        <v>4.6800000000000001E-2</v>
      </c>
      <c r="Z231" s="67">
        <f t="shared" si="74"/>
        <v>4.2526999999999999</v>
      </c>
      <c r="AA231" s="67">
        <f t="shared" si="75"/>
        <v>4.2058999999999997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76"/>
        <v>51-18</v>
      </c>
      <c r="AE231" s="91" t="str">
        <f t="shared" si="77"/>
        <v>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 &amp; aws s3 cp s3://rtdc.mdm.uploadarchive.raw/RTDC4038/ "%USERPROFILE%\AppData\Local\Temp\OnboardLogs"\RTDC4038\2016-10-19 --exclude "*" --recursive --include "*20161019*" &amp; "%USERPROFILE%\Documents\GitHub\mrs-test-scripts\Headless Mode &amp; Sideloading\WalkAndUnGZ.bat" "%USERPROFILE%\AppData\Local\Temp\OnboardLogs"\RTDC4038\2016-10-19</v>
      </c>
      <c r="AF231" s="88" t="str">
        <f t="shared" si="78"/>
        <v>"C:\Program Files (x86)\AstroGrep\AstroGrep.exe" /spath="%USERPROFILE%\AppData\Local\Temp\OnboardLogs" /stypes="app*4038*20161018*" /stext=" 20:.+((SYSTEM_STATE.+slice.+state.+changed )|(ment ac)|(system.+state.+changed )|(\[timeout)|(PRM\|1\|D)|(kpr)|(kdp)|(\|lc)|(penalty))" /e /r /s</v>
      </c>
      <c r="AG231" s="1" t="str">
        <f t="shared" si="79"/>
        <v>Other</v>
      </c>
      <c r="AH231" s="92" t="str">
        <f t="shared" si="66"/>
        <v>"%USERPROFILE%\Documents\GitHub\eaglep3\Utilities\RefineRTDCRunTimes.py" --tripid 51-18 --locoid 4038 --swversion DE.1.0.7.0 --startMP 204:468 --initTime 2016-10-18T13:33:22 --startdatetime 2016-10-18T14:13:49 --delay 1 --endMP 300:42527 --enddatetime 2016-10-18T14:30:15 --enforcementcount 0 &gt;&gt;C:\Users\stu\Documents\GitHub\eaglep3-reporting\EC\2016-10-18-refined-times.txt</v>
      </c>
      <c r="AI231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{"issue":{"subject":"","project_id":79,"tracker_id":40,"status_id":1,"priority_id":2,"assigned_to_id":23,"start_date":"2016-10-18","description":"","custom_fields":[{"id":1,"name":"Subdivision","value":"Other"},{"id":4,"name":"Milepost","value":"4.2527"},{"id":17,"name":"Train ID","value":"51-18"},{"id":16,"name":"Locomotive ID","value":"4038"},{"id":130,"name":"Impact","value":""},{"id":150,"name":"Time of Event (Mountain Time)","value":"14:30:15"},{"id":151,"name":"Denver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91" x14ac:dyDescent="0.25">
      <c r="A232" s="37" t="s">
        <v>432</v>
      </c>
      <c r="B232" s="7">
        <v>4021</v>
      </c>
      <c r="C232" s="22" t="s">
        <v>99</v>
      </c>
      <c r="D232" s="22" t="s">
        <v>709</v>
      </c>
      <c r="E232" s="13">
        <v>42661.71329861111</v>
      </c>
      <c r="F232" s="13">
        <v>42661.716006944444</v>
      </c>
      <c r="G232" s="7">
        <v>2</v>
      </c>
      <c r="H232" s="13" t="s">
        <v>710</v>
      </c>
      <c r="I232" s="13">
        <v>42661.71670138889</v>
      </c>
      <c r="J232" s="7">
        <v>0</v>
      </c>
      <c r="K232" s="112" t="str">
        <f t="shared" si="68"/>
        <v>4021/4022</v>
      </c>
      <c r="L232" s="22" t="str">
        <f>VLOOKUP(A232,'Trips&amp;Operators'!$C$1:$E$10000,3,FALSE)</f>
        <v>BERLING</v>
      </c>
      <c r="M232" s="6">
        <f t="shared" si="69"/>
        <v>6.944444467080757E-4</v>
      </c>
      <c r="N232" s="7">
        <f t="shared" si="82"/>
        <v>1.000000003259629</v>
      </c>
      <c r="O232" s="7"/>
      <c r="P232" s="7"/>
      <c r="Q232" s="23"/>
      <c r="R232" s="23"/>
      <c r="S232" s="35">
        <f t="shared" si="80"/>
        <v>0</v>
      </c>
      <c r="T232" s="50" t="e">
        <f t="shared" si="70"/>
        <v>#VALUE!</v>
      </c>
      <c r="U232" s="18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16:07:09-0600',mode:absolute,to:'2016-10-18 18:12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32" s="52" t="str">
        <f t="shared" si="72"/>
        <v>Y</v>
      </c>
      <c r="X232" s="174" t="e">
        <f t="shared" si="81"/>
        <v>#VALUE!</v>
      </c>
      <c r="Y232" s="67">
        <f t="shared" si="73"/>
        <v>2.5122</v>
      </c>
      <c r="Z232" s="67">
        <f t="shared" si="74"/>
        <v>2.4285999999999999</v>
      </c>
      <c r="AA232" s="67">
        <f t="shared" si="75"/>
        <v>8.3600000000000119E-2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 t="shared" si="76"/>
        <v>52-18</v>
      </c>
      <c r="AE232" s="91" t="str">
        <f t="shared" si="77"/>
        <v>aws s3 cp s3://rtdc.mdm.uploadarchive.raw/RTDC4021/ "%USERPROFILE%\AppData\Local\Temp\OnboardLogs"\RTDC4021\2016-10-18 --exclude "*" --recursive --include "*20161018*" &amp; "%USERPROFILE%\Documents\GitHub\mrs-test-scripts\Headless Mode &amp; Sideloading\WalkAndUnGZ.bat" "%USERPROFILE%\AppData\Local\Temp\OnboardLogs"\RTDC4021\2016-10-18 &amp; aws s3 cp s3://rtdc.mdm.uploadarchive.raw/RTDC4021/ "%USERPROFILE%\AppData\Local\Temp\OnboardLogs"\RTDC4021\2016-10-19 --exclude "*" --recursive --include "*20161019*" &amp; "%USERPROFILE%\Documents\GitHub\mrs-test-scripts\Headless Mode &amp; Sideloading\WalkAndUnGZ.bat" "%USERPROFILE%\AppData\Local\Temp\OnboardLogs"\RTDC4021\2016-10-19</v>
      </c>
      <c r="AF232" s="88" t="str">
        <f t="shared" si="78"/>
        <v>"C:\Program Files (x86)\AstroGrep\AstroGrep.exe" /spath="%USERPROFILE%\AppData\Local\Temp\OnboardLogs" /stypes="app*4021*20161018*" /stext=" 23:.+((SYSTEM_STATE.+slice.+state.+changed )|(ment ac)|(system.+state.+changed )|(\[timeout)|(PRM\|1\|D)|(kpr)|(kdp)|(\|lc)|(penalty))" /e /r /s</v>
      </c>
      <c r="AG232" s="1" t="str">
        <f t="shared" si="79"/>
        <v>Other</v>
      </c>
      <c r="AH232" s="92" t="str">
        <f t="shared" si="66"/>
        <v>"%USERPROFILE%\Documents\GitHub\eaglep3\Utilities\RefineRTDCRunTimes.py" --tripid 52-18 --locoid 4021 --swversion DE.1.0.7.0 --startMP 300:25122 --initTime 2016-10-18T17:07:09 --startdatetime 2016-10-18T17:11:03 --delay 2 --endMP 300:24286 --enddatetime 2016-10-18T17:12:03 --enforcementcount 0 &gt;&gt;C:\Users\stu\Documents\GitHub\eaglep3-reporting\EC\2016-10-18-refined-times.txt</v>
      </c>
      <c r="AI232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{"issue":{"subject":"","project_id":79,"tracker_id":40,"status_id":1,"priority_id":2,"assigned_to_id":23,"start_date":"2016-10-18","description":"","custom_fields":[{"id":1,"name":"Subdivision","value":"Other"},{"id":4,"name":"Milepost","value":"2.4286"},{"id":17,"name":"Train ID","value":"52-18"},{"id":16,"name":"Locomotive ID","value":"4021"},{"id":130,"name":"Impact","value":""},{"id":150,"name":"Time of Event (Mountain Time)","value":"17:12:03"},{"id":151,"name":"Denver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91" x14ac:dyDescent="0.25">
      <c r="A233" s="37" t="s">
        <v>439</v>
      </c>
      <c r="B233" s="7">
        <v>4039</v>
      </c>
      <c r="C233" s="22" t="s">
        <v>99</v>
      </c>
      <c r="D233" s="22" t="s">
        <v>711</v>
      </c>
      <c r="E233" s="13">
        <v>42661.968622685185</v>
      </c>
      <c r="F233" s="13">
        <v>42661.970462962963</v>
      </c>
      <c r="G233" s="7">
        <v>2</v>
      </c>
      <c r="H233" s="13" t="s">
        <v>712</v>
      </c>
      <c r="I233" s="13">
        <v>42661.980706018519</v>
      </c>
      <c r="J233" s="7">
        <v>0</v>
      </c>
      <c r="K233" s="112" t="str">
        <f t="shared" si="68"/>
        <v>4039/4040</v>
      </c>
      <c r="L233" s="22" t="str">
        <f>VLOOKUP(A233,'Trips&amp;Operators'!$C$1:$E$10000,3,FALSE)</f>
        <v>MATTHEWS</v>
      </c>
      <c r="M233" s="6">
        <f t="shared" si="69"/>
        <v>1.0243055556202307E-2</v>
      </c>
      <c r="N233" s="7">
        <f t="shared" si="82"/>
        <v>14.750000000931323</v>
      </c>
      <c r="O233" s="7"/>
      <c r="P233" s="7"/>
      <c r="Q233" s="23"/>
      <c r="R233" s="23"/>
      <c r="S233" s="35">
        <f t="shared" si="80"/>
        <v>0</v>
      </c>
      <c r="T233" s="50" t="e">
        <f t="shared" si="70"/>
        <v>#VALUE!</v>
      </c>
      <c r="U233" s="18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22:14:49-0600',mode:absolute,to:'2016-10-19 00:32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33" s="52" t="str">
        <f t="shared" si="72"/>
        <v>Y</v>
      </c>
      <c r="X233" s="174" t="e">
        <f t="shared" si="81"/>
        <v>#VALUE!</v>
      </c>
      <c r="Y233" s="67">
        <f t="shared" si="73"/>
        <v>3.1440999999999999</v>
      </c>
      <c r="Z233" s="67">
        <f t="shared" si="74"/>
        <v>8.8499999999999995E-2</v>
      </c>
      <c r="AA233" s="67">
        <f t="shared" si="75"/>
        <v>3.0556000000000001</v>
      </c>
      <c r="AB233" s="64" t="e">
        <f>VLOOKUP(A233,Enforcements!$C$7:$K$21,8,0)</f>
        <v>#N/A</v>
      </c>
      <c r="AC233" s="60" t="e">
        <f>VLOOKUP(A233,Enforcements!$C$7:$E$21,3,0)</f>
        <v>#N/A</v>
      </c>
      <c r="AD233" s="61" t="str">
        <f t="shared" si="76"/>
        <v>54-18</v>
      </c>
      <c r="AE233" s="91" t="str">
        <f t="shared" si="77"/>
        <v>aws s3 cp s3://rtdc.mdm.uploadarchive.raw/RTDC4039/ "%USERPROFILE%\AppData\Local\Temp\OnboardLogs"\RTDC4039\2016-10-18 --exclude "*" --recursive --include "*20161018*" &amp; "%USERPROFILE%\Documents\GitHub\mrs-test-scripts\Headless Mode &amp; Sideloading\WalkAndUnGZ.bat" "%USERPROFILE%\AppData\Local\Temp\OnboardLogs"\RTDC4039\2016-10-18 &amp; 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</v>
      </c>
      <c r="AF233" s="88" t="str">
        <f t="shared" si="78"/>
        <v>"C:\Program Files (x86)\AstroGrep\AstroGrep.exe" /spath="%USERPROFILE%\AppData\Local\Temp\OnboardLogs" /stypes="app*4039*20161019*" /stext=" 05:.+((SYSTEM_STATE.+slice.+state.+changed )|(ment ac)|(system.+state.+changed )|(\[timeout)|(PRM\|1\|D)|(kpr)|(kdp)|(\|lc)|(penalty))" /e /r /s</v>
      </c>
      <c r="AG233" s="1" t="str">
        <f t="shared" si="79"/>
        <v>Other</v>
      </c>
      <c r="AH233" s="92" t="str">
        <f t="shared" si="66"/>
        <v>"%USERPROFILE%\Documents\GitHub\eaglep3\Utilities\RefineRTDCRunTimes.py" --tripid 54-18 --locoid 4039 --swversion DE.1.0.7.0 --startMP 300:31441 --initTime 2016-10-18T23:14:49 --startdatetime 2016-10-18T23:17:28 --delay 2 --endMP 204:885 --enddatetime 2016-10-18T23:32:13 --enforcementcount 0 &gt;&gt;C:\Users\stu\Documents\GitHub\eaglep3-reporting\EC\2016-10-18-refined-times.txt</v>
      </c>
      <c r="AI233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{"issue":{"subject":"","project_id":79,"tracker_id":40,"status_id":1,"priority_id":2,"assigned_to_id":23,"start_date":"2016-10-18","description":"","custom_fields":[{"id":1,"name":"Subdivision","value":"Other"},{"id":4,"name":"Milepost","value":"0.0885"},{"id":17,"name":"Train ID","value":"54-18"},{"id":16,"name":"Locomotive ID","value":"4039"},{"id":130,"name":"Impact","value":""},{"id":150,"name":"Time of Event (Mountain Time)","value":"23:32:13"},{"id":151,"name":"Denver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91" x14ac:dyDescent="0.25">
      <c r="A234" s="37" t="s">
        <v>434</v>
      </c>
      <c r="B234" s="7">
        <v>4022</v>
      </c>
      <c r="C234" s="22" t="s">
        <v>99</v>
      </c>
      <c r="D234" s="22" t="s">
        <v>713</v>
      </c>
      <c r="E234" s="13">
        <v>42661.758391203701</v>
      </c>
      <c r="F234" s="13">
        <v>42661.76090277778</v>
      </c>
      <c r="G234" s="7">
        <v>2</v>
      </c>
      <c r="H234" s="13" t="s">
        <v>714</v>
      </c>
      <c r="I234" s="13">
        <v>42661.768854166665</v>
      </c>
      <c r="J234" s="7">
        <v>0</v>
      </c>
      <c r="K234" s="112" t="str">
        <f t="shared" si="68"/>
        <v>4021/4022</v>
      </c>
      <c r="L234" s="22" t="str">
        <f>VLOOKUP(A234,'Trips&amp;Operators'!$C$1:$E$10000,3,FALSE)</f>
        <v>SWANSON</v>
      </c>
      <c r="M234" s="6">
        <f t="shared" si="69"/>
        <v>7.9513888849760406E-3</v>
      </c>
      <c r="N234" s="7">
        <f t="shared" si="82"/>
        <v>11.449999994365498</v>
      </c>
      <c r="O234" s="7"/>
      <c r="P234" s="7"/>
      <c r="Q234" s="23"/>
      <c r="R234" s="23"/>
      <c r="S234" s="35">
        <f t="shared" si="80"/>
        <v>0</v>
      </c>
      <c r="T234" s="50" t="e">
        <f t="shared" si="70"/>
        <v>#VALUE!</v>
      </c>
      <c r="U234" s="18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17:12:05-0600',mode:absolute,to:'2016-10-18 19:27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4" s="52" t="str">
        <f t="shared" si="72"/>
        <v>Y</v>
      </c>
      <c r="X234" s="174" t="e">
        <f t="shared" si="81"/>
        <v>#VALUE!</v>
      </c>
      <c r="Y234" s="67">
        <f t="shared" si="73"/>
        <v>2.9899999999999999E-2</v>
      </c>
      <c r="Z234" s="67">
        <f t="shared" si="74"/>
        <v>2.5600999999999998</v>
      </c>
      <c r="AA234" s="67">
        <f t="shared" si="75"/>
        <v>2.5301999999999998</v>
      </c>
      <c r="AB234" s="64" t="e">
        <f>VLOOKUP(A234,Enforcements!$C$7:$K$21,8,0)</f>
        <v>#N/A</v>
      </c>
      <c r="AC234" s="60" t="e">
        <f>VLOOKUP(A234,Enforcements!$C$7:$E$21,3,0)</f>
        <v>#N/A</v>
      </c>
      <c r="AD234" s="61" t="str">
        <f t="shared" si="76"/>
        <v>57-18</v>
      </c>
      <c r="AE234" s="91" t="str">
        <f t="shared" si="77"/>
        <v>aws s3 cp s3://rtdc.mdm.uploadarchive.raw/RTDC4022/ "%USERPROFILE%\AppData\Local\Temp\OnboardLogs"\RTDC4022\2016-10-18 --exclude "*" --recursive --include "*20161018*" &amp; "%USERPROFILE%\Documents\GitHub\mrs-test-scripts\Headless Mode &amp; Sideloading\WalkAndUnGZ.bat" "%USERPROFILE%\AppData\Local\Temp\OnboardLogs"\RTDC4022\2016-10-18 &amp; aws s3 cp s3://rtdc.mdm.uploadarchive.raw/RTDC4022/ "%USERPROFILE%\AppData\Local\Temp\OnboardLogs"\RTDC4022\2016-10-19 --exclude "*" --recursive --include "*20161019*" &amp; "%USERPROFILE%\Documents\GitHub\mrs-test-scripts\Headless Mode &amp; Sideloading\WalkAndUnGZ.bat" "%USERPROFILE%\AppData\Local\Temp\OnboardLogs"\RTDC4022\2016-10-19</v>
      </c>
      <c r="AF234" s="88" t="str">
        <f t="shared" si="78"/>
        <v>"C:\Program Files (x86)\AstroGrep\AstroGrep.exe" /spath="%USERPROFILE%\AppData\Local\Temp\OnboardLogs" /stypes="app*4022*20161019*" /stext=" 00:.+((SYSTEM_STATE.+slice.+state.+changed )|(ment ac)|(system.+state.+changed )|(\[timeout)|(PRM\|1\|D)|(kpr)|(kdp)|(\|lc)|(penalty))" /e /r /s</v>
      </c>
      <c r="AG234" s="1" t="str">
        <f t="shared" si="79"/>
        <v>Other</v>
      </c>
      <c r="AH234" s="92" t="str">
        <f t="shared" si="66"/>
        <v>"%USERPROFILE%\Documents\GitHub\eaglep3\Utilities\RefineRTDCRunTimes.py" --tripid 57-18 --locoid 4022 --swversion DE.1.0.7.0 --startMP 204:299 --initTime 2016-10-18T18:12:05 --startdatetime 2016-10-18T18:15:42 --delay 2 --endMP 300:25601 --enddatetime 2016-10-18T18:27:09 --enforcementcount 0 &gt;&gt;C:\Users\stu\Documents\GitHub\eaglep3-reporting\EC\2016-10-18-refined-times.txt</v>
      </c>
      <c r="AI234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{"issue":{"subject":"","project_id":79,"tracker_id":40,"status_id":1,"priority_id":2,"assigned_to_id":23,"start_date":"2016-10-18","description":"","custom_fields":[{"id":1,"name":"Subdivision","value":"Other"},{"id":4,"name":"Milepost","value":"2.5601"},{"id":17,"name":"Train ID","value":"57-18"},{"id":16,"name":"Locomotive ID","value":"4022"},{"id":130,"name":"Impact","value":""},{"id":150,"name":"Time of Event (Mountain Time)","value":"18:27:09"},{"id":151,"name":"Denver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91" x14ac:dyDescent="0.25">
      <c r="A235" s="37" t="s">
        <v>421</v>
      </c>
      <c r="B235" s="7">
        <v>4037</v>
      </c>
      <c r="C235" s="22" t="s">
        <v>99</v>
      </c>
      <c r="D235" s="22" t="s">
        <v>715</v>
      </c>
      <c r="E235" s="13">
        <v>42661.380462962959</v>
      </c>
      <c r="F235" s="13">
        <v>42661.419039351851</v>
      </c>
      <c r="G235" s="7">
        <v>5</v>
      </c>
      <c r="H235" s="13" t="s">
        <v>704</v>
      </c>
      <c r="I235" s="13">
        <v>42661.425717592596</v>
      </c>
      <c r="J235" s="7">
        <v>0</v>
      </c>
      <c r="K235" s="112" t="str">
        <f t="shared" si="68"/>
        <v>4037/4038</v>
      </c>
      <c r="L235" s="22" t="str">
        <f>VLOOKUP(A235,'Trips&amp;Operators'!$C$1:$E$10000,3,FALSE)</f>
        <v>ARNOLD</v>
      </c>
      <c r="M235" s="6">
        <f t="shared" si="69"/>
        <v>6.6782407448044978E-3</v>
      </c>
      <c r="N235" s="7">
        <f t="shared" si="82"/>
        <v>9.6166666725184768</v>
      </c>
      <c r="O235" s="7"/>
      <c r="P235" s="7"/>
      <c r="Q235" s="23"/>
      <c r="R235" s="23"/>
      <c r="S235" s="35">
        <f t="shared" si="80"/>
        <v>0</v>
      </c>
      <c r="T235" s="50" t="e">
        <f t="shared" si="70"/>
        <v>#VALUE!</v>
      </c>
      <c r="U235" s="18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08:07:52-0600',mode:absolute,to:'2016-10-18 11:13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35" s="52" t="str">
        <f t="shared" si="72"/>
        <v>Y</v>
      </c>
      <c r="X235" s="174" t="e">
        <f t="shared" si="81"/>
        <v>#VALUE!</v>
      </c>
      <c r="Y235" s="67">
        <f t="shared" si="73"/>
        <v>3.0625</v>
      </c>
      <c r="Z235" s="67">
        <f t="shared" si="74"/>
        <v>1.5100000000000001E-2</v>
      </c>
      <c r="AA235" s="67">
        <f t="shared" si="75"/>
        <v>3.0474000000000001</v>
      </c>
      <c r="AB235" s="64" t="e">
        <f>VLOOKUP(A235,Enforcements!$C$7:$K$21,8,0)</f>
        <v>#N/A</v>
      </c>
      <c r="AC235" s="60" t="e">
        <f>VLOOKUP(A235,Enforcements!$C$7:$E$21,3,0)</f>
        <v>#N/A</v>
      </c>
      <c r="AD235" s="61" t="str">
        <f t="shared" si="76"/>
        <v>60-17</v>
      </c>
      <c r="AE235" s="91" t="str">
        <f t="shared" si="77"/>
        <v>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 &amp; aws s3 cp s3://rtdc.mdm.uploadarchive.raw/RTDC4037/ "%USERPROFILE%\AppData\Local\Temp\OnboardLogs"\RTDC4037\2016-10-19 --exclude "*" --recursive --include "*20161019*" &amp; "%USERPROFILE%\Documents\GitHub\mrs-test-scripts\Headless Mode &amp; Sideloading\WalkAndUnGZ.bat" "%USERPROFILE%\AppData\Local\Temp\OnboardLogs"\RTDC4037\2016-10-19</v>
      </c>
      <c r="AF235" s="88" t="str">
        <f t="shared" si="78"/>
        <v>"C:\Program Files (x86)\AstroGrep\AstroGrep.exe" /spath="%USERPROFILE%\AppData\Local\Temp\OnboardLogs" /stypes="app*4037*20161018*" /stext=" 16:.+((SYSTEM_STATE.+slice.+state.+changed )|(ment ac)|(system.+state.+changed )|(\[timeout)|(PRM\|1\|D)|(kpr)|(kdp)|(\|lc)|(penalty))" /e /r /s</v>
      </c>
      <c r="AG235" s="1" t="str">
        <f t="shared" si="79"/>
        <v>Other</v>
      </c>
      <c r="AH235" s="92" t="str">
        <f t="shared" si="66"/>
        <v>"%USERPROFILE%\Documents\GitHub\eaglep3\Utilities\RefineRTDCRunTimes.py" --tripid 60-17 --locoid 4037 --swversion DE.1.0.7.0 --startMP 300:30625 --initTime 2016-10-18T09:07:52 --startdatetime 2016-10-18T10:03:25 --delay 5 --endMP 204:151 --enddatetime 2016-10-18T10:13:02 --enforcementcount 0 &gt;&gt;C:\Users\stu\Documents\GitHub\eaglep3-reporting\EC\2016-10-18-refined-times.txt</v>
      </c>
      <c r="AI235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{"issue":{"subject":"","project_id":79,"tracker_id":40,"status_id":1,"priority_id":2,"assigned_to_id":23,"start_date":"2016-10-18","description":"","custom_fields":[{"id":1,"name":"Subdivision","value":"Other"},{"id":4,"name":"Milepost","value":"0.0151"},{"id":17,"name":"Train ID","value":"60-17"},{"id":16,"name":"Locomotive ID","value":"4037"},{"id":130,"name":"Impact","value":""},{"id":150,"name":"Time of Event (Mountain Time)","value":"10:13:02"},{"id":151,"name":"Denver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91" x14ac:dyDescent="0.25">
      <c r="A236" s="37" t="s">
        <v>421</v>
      </c>
      <c r="B236" s="7">
        <v>4037</v>
      </c>
      <c r="C236" s="22" t="s">
        <v>99</v>
      </c>
      <c r="D236" s="22" t="s">
        <v>716</v>
      </c>
      <c r="E236" s="13">
        <v>42661.428622685184</v>
      </c>
      <c r="F236" s="13">
        <v>42661.459155092591</v>
      </c>
      <c r="G236" s="7">
        <v>1</v>
      </c>
      <c r="H236" s="13" t="s">
        <v>717</v>
      </c>
      <c r="I236" s="13">
        <v>42661.467685185184</v>
      </c>
      <c r="J236" s="7">
        <v>0</v>
      </c>
      <c r="K236" s="112" t="str">
        <f t="shared" si="68"/>
        <v>4037/4038</v>
      </c>
      <c r="L236" s="22" t="str">
        <f>VLOOKUP(A236,'Trips&amp;Operators'!$C$1:$E$10000,3,FALSE)</f>
        <v>ARNOLD</v>
      </c>
      <c r="M236" s="6">
        <f t="shared" si="69"/>
        <v>8.5300925929914229E-3</v>
      </c>
      <c r="N236" s="7">
        <f t="shared" si="82"/>
        <v>12.283333333907649</v>
      </c>
      <c r="O236" s="7"/>
      <c r="P236" s="7"/>
      <c r="Q236" s="23"/>
      <c r="R236" s="23"/>
      <c r="S236" s="35">
        <f t="shared" si="80"/>
        <v>0</v>
      </c>
      <c r="T236" s="50" t="e">
        <f t="shared" si="70"/>
        <v>#VALUE!</v>
      </c>
      <c r="U236" s="18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09:17:13-0600',mode:absolute,to:'2016-10-18 12:13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36" s="52" t="str">
        <f t="shared" si="72"/>
        <v>Y</v>
      </c>
      <c r="X236" s="174" t="e">
        <f t="shared" si="81"/>
        <v>#VALUE!</v>
      </c>
      <c r="Y236" s="67">
        <f t="shared" si="73"/>
        <v>3.5607000000000002</v>
      </c>
      <c r="Z236" s="67">
        <f t="shared" si="74"/>
        <v>1.55E-2</v>
      </c>
      <c r="AA236" s="67">
        <f t="shared" si="75"/>
        <v>3.5452000000000004</v>
      </c>
      <c r="AB236" s="64" t="e">
        <f>VLOOKUP(A236,Enforcements!$C$7:$K$21,8,0)</f>
        <v>#N/A</v>
      </c>
      <c r="AC236" s="60" t="e">
        <f>VLOOKUP(A236,Enforcements!$C$7:$E$21,3,0)</f>
        <v>#N/A</v>
      </c>
      <c r="AD236" s="61" t="str">
        <f t="shared" si="76"/>
        <v>60-17</v>
      </c>
      <c r="AE236" s="91" t="str">
        <f t="shared" si="77"/>
        <v>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 &amp; aws s3 cp s3://rtdc.mdm.uploadarchive.raw/RTDC4037/ "%USERPROFILE%\AppData\Local\Temp\OnboardLogs"\RTDC4037\2016-10-19 --exclude "*" --recursive --include "*20161019*" &amp; "%USERPROFILE%\Documents\GitHub\mrs-test-scripts\Headless Mode &amp; Sideloading\WalkAndUnGZ.bat" "%USERPROFILE%\AppData\Local\Temp\OnboardLogs"\RTDC4037\2016-10-19</v>
      </c>
      <c r="AF236" s="88" t="str">
        <f t="shared" si="78"/>
        <v>"C:\Program Files (x86)\AstroGrep\AstroGrep.exe" /spath="%USERPROFILE%\AppData\Local\Temp\OnboardLogs" /stypes="app*4037*20161018*" /stext=" 17:.+((SYSTEM_STATE.+slice.+state.+changed )|(ment ac)|(system.+state.+changed )|(\[timeout)|(PRM\|1\|D)|(kpr)|(kdp)|(\|lc)|(penalty))" /e /r /s</v>
      </c>
      <c r="AG236" s="1" t="str">
        <f t="shared" si="79"/>
        <v>Other</v>
      </c>
      <c r="AH236" s="92" t="str">
        <f t="shared" si="66"/>
        <v>"%USERPROFILE%\Documents\GitHub\eaglep3\Utilities\RefineRTDCRunTimes.py" --tripid 60-17 --locoid 4037 --swversion DE.1.0.7.0 --startMP 300:35607 --initTime 2016-10-18T10:17:13 --startdatetime 2016-10-18T11:01:11 --delay 1 --endMP 204:155 --enddatetime 2016-10-18T11:13:28 --enforcementcount 0 &gt;&gt;C:\Users\stu\Documents\GitHub\eaglep3-reporting\EC\2016-10-18-refined-times.txt</v>
      </c>
      <c r="AI236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{"issue":{"subject":"","project_id":79,"tracker_id":40,"status_id":1,"priority_id":2,"assigned_to_id":23,"start_date":"2016-10-18","description":"","custom_fields":[{"id":1,"name":"Subdivision","value":"Other"},{"id":4,"name":"Milepost","value":"0.0155"},{"id":17,"name":"Train ID","value":"60-17"},{"id":16,"name":"Locomotive ID","value":"4037"},{"id":130,"name":"Impact","value":""},{"id":150,"name":"Time of Event (Mountain Time)","value":"11:13:28"},{"id":151,"name":"Denver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91" x14ac:dyDescent="0.25">
      <c r="A237" s="37" t="s">
        <v>421</v>
      </c>
      <c r="B237" s="7">
        <v>4037</v>
      </c>
      <c r="C237" s="22" t="s">
        <v>99</v>
      </c>
      <c r="D237" s="22" t="s">
        <v>718</v>
      </c>
      <c r="E237" s="13">
        <v>42661.457175925927</v>
      </c>
      <c r="F237" s="13">
        <v>42661.482268518521</v>
      </c>
      <c r="G237" s="7">
        <v>1</v>
      </c>
      <c r="H237" s="13" t="s">
        <v>365</v>
      </c>
      <c r="I237" s="13">
        <v>42661.492222222223</v>
      </c>
      <c r="J237" s="7">
        <v>0</v>
      </c>
      <c r="K237" s="112" t="str">
        <f t="shared" si="68"/>
        <v>4037/4038</v>
      </c>
      <c r="L237" s="22" t="str">
        <f>VLOOKUP(A237,'Trips&amp;Operators'!$C$1:$E$10000,3,FALSE)</f>
        <v>ARNOLD</v>
      </c>
      <c r="M237" s="6">
        <f t="shared" si="69"/>
        <v>9.9537037021946162E-3</v>
      </c>
      <c r="N237" s="7">
        <f t="shared" si="82"/>
        <v>14.333333331160247</v>
      </c>
      <c r="O237" s="7"/>
      <c r="P237" s="7"/>
      <c r="Q237" s="23"/>
      <c r="R237" s="23"/>
      <c r="S237" s="35">
        <f t="shared" si="80"/>
        <v>0</v>
      </c>
      <c r="T237" s="50" t="e">
        <f t="shared" si="70"/>
        <v>#VALUE!</v>
      </c>
      <c r="U237" s="18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09:58:20-0600',mode:absolute,to:'2016-10-18 12:48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37" s="52" t="str">
        <f t="shared" si="72"/>
        <v>Y</v>
      </c>
      <c r="X237" s="174" t="e">
        <f t="shared" si="81"/>
        <v>#VALUE!</v>
      </c>
      <c r="Y237" s="67">
        <f t="shared" si="73"/>
        <v>4.2069999999999999</v>
      </c>
      <c r="Z237" s="67">
        <f t="shared" si="74"/>
        <v>1.5800000000000002E-2</v>
      </c>
      <c r="AA237" s="67">
        <f t="shared" si="75"/>
        <v>4.1912000000000003</v>
      </c>
      <c r="AB237" s="64" t="e">
        <f>VLOOKUP(A237,Enforcements!$C$7:$K$21,8,0)</f>
        <v>#N/A</v>
      </c>
      <c r="AC237" s="60" t="e">
        <f>VLOOKUP(A237,Enforcements!$C$7:$E$21,3,0)</f>
        <v>#N/A</v>
      </c>
      <c r="AD237" s="61" t="str">
        <f t="shared" si="76"/>
        <v>60-17</v>
      </c>
      <c r="AE237" s="91" t="str">
        <f t="shared" si="77"/>
        <v>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 &amp; aws s3 cp s3://rtdc.mdm.uploadarchive.raw/RTDC4037/ "%USERPROFILE%\AppData\Local\Temp\OnboardLogs"\RTDC4037\2016-10-19 --exclude "*" --recursive --include "*20161019*" &amp; "%USERPROFILE%\Documents\GitHub\mrs-test-scripts\Headless Mode &amp; Sideloading\WalkAndUnGZ.bat" "%USERPROFILE%\AppData\Local\Temp\OnboardLogs"\RTDC4037\2016-10-19</v>
      </c>
      <c r="AF237" s="88" t="str">
        <f t="shared" si="78"/>
        <v>"C:\Program Files (x86)\AstroGrep\AstroGrep.exe" /spath="%USERPROFILE%\AppData\Local\Temp\OnboardLogs" /stypes="app*4037*20161018*" /stext=" 17:.+((SYSTEM_STATE.+slice.+state.+changed )|(ment ac)|(system.+state.+changed )|(\[timeout)|(PRM\|1\|D)|(kpr)|(kdp)|(\|lc)|(penalty))" /e /r /s</v>
      </c>
      <c r="AG237" s="1" t="str">
        <f t="shared" si="79"/>
        <v>Other</v>
      </c>
      <c r="AH237" s="92" t="str">
        <f t="shared" si="66"/>
        <v>"%USERPROFILE%\Documents\GitHub\eaglep3\Utilities\RefineRTDCRunTimes.py" --tripid 60-17 --locoid 4037 --swversion DE.1.0.7.0 --startMP 300:42070 --initTime 2016-10-18T10:58:20 --startdatetime 2016-10-18T11:34:28 --delay 1 --endMP 204:158 --enddatetime 2016-10-18T11:48:48 --enforcementcount 0 &gt;&gt;C:\Users\stu\Documents\GitHub\eaglep3-reporting\EC\2016-10-18-refined-times.txt</v>
      </c>
      <c r="AI237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{"issue":{"subject":"","project_id":79,"tracker_id":40,"status_id":1,"priority_id":2,"assigned_to_id":23,"start_date":"2016-10-18","description":"","custom_fields":[{"id":1,"name":"Subdivision","value":"Other"},{"id":4,"name":"Milepost","value":"0.0158"},{"id":17,"name":"Train ID","value":"60-17"},{"id":16,"name":"Locomotive ID","value":"4037"},{"id":130,"name":"Impact","value":""},{"id":150,"name":"Time of Event (Mountain Time)","value":"11:48:48"},{"id":151,"name":"Denver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91" x14ac:dyDescent="0.25">
      <c r="A238" s="37" t="s">
        <v>421</v>
      </c>
      <c r="B238" s="7">
        <v>4038</v>
      </c>
      <c r="C238" s="22" t="s">
        <v>99</v>
      </c>
      <c r="D238" s="22" t="s">
        <v>382</v>
      </c>
      <c r="E238" s="13">
        <v>42661.413935185185</v>
      </c>
      <c r="F238" s="13">
        <v>42661.447013888886</v>
      </c>
      <c r="G238" s="7">
        <v>2</v>
      </c>
      <c r="H238" s="13" t="s">
        <v>719</v>
      </c>
      <c r="I238" s="13">
        <v>42661.454421296294</v>
      </c>
      <c r="J238" s="7">
        <v>0</v>
      </c>
      <c r="K238" s="112" t="str">
        <f t="shared" si="68"/>
        <v>4037/4038</v>
      </c>
      <c r="L238" s="22" t="str">
        <f>VLOOKUP(A238,'Trips&amp;Operators'!$C$1:$E$10000,3,FALSE)</f>
        <v>ARNOLD</v>
      </c>
      <c r="M238" s="6">
        <f t="shared" si="69"/>
        <v>7.4074074072996154E-3</v>
      </c>
      <c r="N238" s="7">
        <f t="shared" si="82"/>
        <v>10.666666666511446</v>
      </c>
      <c r="O238" s="7"/>
      <c r="P238" s="7"/>
      <c r="Q238" s="23"/>
      <c r="R238" s="23"/>
      <c r="S238" s="35">
        <f t="shared" si="80"/>
        <v>0</v>
      </c>
      <c r="T238" s="50" t="e">
        <f t="shared" si="70"/>
        <v>#VALUE!</v>
      </c>
      <c r="U238" s="18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08:56:04-0600',mode:absolute,to:'2016-10-18 11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8" s="52" t="str">
        <f t="shared" si="72"/>
        <v>Y</v>
      </c>
      <c r="X238" s="174" t="e">
        <f t="shared" si="81"/>
        <v>#VALUE!</v>
      </c>
      <c r="Y238" s="67">
        <f t="shared" si="73"/>
        <v>4.3700000000000003E-2</v>
      </c>
      <c r="Z238" s="67">
        <f t="shared" si="74"/>
        <v>3.5935000000000001</v>
      </c>
      <c r="AA238" s="67">
        <f t="shared" si="75"/>
        <v>3.5498000000000003</v>
      </c>
      <c r="AB238" s="64" t="e">
        <f>VLOOKUP(A238,Enforcements!$C$7:$K$21,8,0)</f>
        <v>#N/A</v>
      </c>
      <c r="AC238" s="60" t="e">
        <f>VLOOKUP(A238,Enforcements!$C$7:$E$21,3,0)</f>
        <v>#N/A</v>
      </c>
      <c r="AD238" s="61" t="str">
        <f t="shared" si="76"/>
        <v>60-17</v>
      </c>
      <c r="AE238" s="91" t="str">
        <f t="shared" si="77"/>
        <v>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 &amp; aws s3 cp s3://rtdc.mdm.uploadarchive.raw/RTDC4038/ "%USERPROFILE%\AppData\Local\Temp\OnboardLogs"\RTDC4038\2016-10-19 --exclude "*" --recursive --include "*20161019*" &amp; "%USERPROFILE%\Documents\GitHub\mrs-test-scripts\Headless Mode &amp; Sideloading\WalkAndUnGZ.bat" "%USERPROFILE%\AppData\Local\Temp\OnboardLogs"\RTDC4038\2016-10-19</v>
      </c>
      <c r="AF238" s="88" t="str">
        <f t="shared" si="78"/>
        <v>"C:\Program Files (x86)\AstroGrep\AstroGrep.exe" /spath="%USERPROFILE%\AppData\Local\Temp\OnboardLogs" /stypes="app*4038*20161018*" /stext=" 16:.+((SYSTEM_STATE.+slice.+state.+changed )|(ment ac)|(system.+state.+changed )|(\[timeout)|(PRM\|1\|D)|(kpr)|(kdp)|(\|lc)|(penalty))" /e /r /s</v>
      </c>
      <c r="AG238" s="1" t="str">
        <f t="shared" si="79"/>
        <v>Other</v>
      </c>
      <c r="AH238" s="92" t="str">
        <f t="shared" si="66"/>
        <v>"%USERPROFILE%\Documents\GitHub\eaglep3\Utilities\RefineRTDCRunTimes.py" --tripid 60-17 --locoid 4038 --swversion DE.1.0.7.0 --startMP 204:437 --initTime 2016-10-18T09:56:04 --startdatetime 2016-10-18T10:43:42 --delay 2 --endMP 300:35935 --enddatetime 2016-10-18T10:54:22 --enforcementcount 0 &gt;&gt;C:\Users\stu\Documents\GitHub\eaglep3-reporting\EC\2016-10-18-refined-times.txt</v>
      </c>
      <c r="AI238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{"issue":{"subject":"","project_id":79,"tracker_id":40,"status_id":1,"priority_id":2,"assigned_to_id":23,"start_date":"2016-10-18","description":"","custom_fields":[{"id":1,"name":"Subdivision","value":"Other"},{"id":4,"name":"Milepost","value":"3.5935"},{"id":17,"name":"Train ID","value":"60-17"},{"id":16,"name":"Locomotive ID","value":"4038"},{"id":130,"name":"Impact","value":""},{"id":150,"name":"Time of Event (Mountain Time)","value":"10:54:22"},{"id":151,"name":"Denver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  <row r="239" spans="1:91" x14ac:dyDescent="0.25">
      <c r="A239" s="37" t="s">
        <v>421</v>
      </c>
      <c r="B239" s="7">
        <v>4038</v>
      </c>
      <c r="C239" s="22" t="s">
        <v>99</v>
      </c>
      <c r="D239" s="22" t="s">
        <v>238</v>
      </c>
      <c r="E239" s="13">
        <v>42661.443784722222</v>
      </c>
      <c r="F239" s="13">
        <v>42661.482268518521</v>
      </c>
      <c r="G239" s="7">
        <v>1</v>
      </c>
      <c r="H239" s="13" t="s">
        <v>720</v>
      </c>
      <c r="I239" s="13">
        <v>42661.492222222223</v>
      </c>
      <c r="J239" s="7">
        <v>0</v>
      </c>
      <c r="K239" s="112" t="str">
        <f t="shared" si="68"/>
        <v>4037/4038</v>
      </c>
      <c r="L239" s="22" t="str">
        <f>VLOOKUP(A239,'Trips&amp;Operators'!$C$1:$E$10000,3,FALSE)</f>
        <v>ARNOLD</v>
      </c>
      <c r="M239" s="6">
        <f t="shared" si="69"/>
        <v>9.9537037021946162E-3</v>
      </c>
      <c r="N239" s="7">
        <f t="shared" si="82"/>
        <v>14.333333331160247</v>
      </c>
      <c r="O239" s="7"/>
      <c r="P239" s="7"/>
      <c r="Q239" s="23"/>
      <c r="R239" s="23"/>
      <c r="S239" s="35">
        <f t="shared" si="80"/>
        <v>0</v>
      </c>
      <c r="T239" s="50" t="e">
        <f t="shared" si="70"/>
        <v>#VALUE!</v>
      </c>
      <c r="U239" s="18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09:39:03-0600',mode:absolute,to:'2016-10-18 12:48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9" s="52" t="str">
        <f t="shared" si="72"/>
        <v>Y</v>
      </c>
      <c r="X239" s="174" t="e">
        <f t="shared" si="81"/>
        <v>#VALUE!</v>
      </c>
      <c r="Y239" s="67">
        <f t="shared" si="73"/>
        <v>4.5499999999999999E-2</v>
      </c>
      <c r="Z239" s="67">
        <f t="shared" si="74"/>
        <v>4.2374999999999998</v>
      </c>
      <c r="AA239" s="67">
        <f t="shared" si="75"/>
        <v>4.1920000000000002</v>
      </c>
      <c r="AB239" s="64" t="e">
        <f>VLOOKUP(A239,Enforcements!$C$7:$K$21,8,0)</f>
        <v>#N/A</v>
      </c>
      <c r="AC239" s="60" t="e">
        <f>VLOOKUP(A239,Enforcements!$C$7:$E$21,3,0)</f>
        <v>#N/A</v>
      </c>
      <c r="AD239" s="61" t="str">
        <f t="shared" si="76"/>
        <v>60-17</v>
      </c>
      <c r="AE239" s="91" t="str">
        <f t="shared" si="77"/>
        <v>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 &amp; aws s3 cp s3://rtdc.mdm.uploadarchive.raw/RTDC4038/ "%USERPROFILE%\AppData\Local\Temp\OnboardLogs"\RTDC4038\2016-10-19 --exclude "*" --recursive --include "*20161019*" &amp; "%USERPROFILE%\Documents\GitHub\mrs-test-scripts\Headless Mode &amp; Sideloading\WalkAndUnGZ.bat" "%USERPROFILE%\AppData\Local\Temp\OnboardLogs"\RTDC4038\2016-10-19</v>
      </c>
      <c r="AF239" s="88" t="str">
        <f t="shared" si="78"/>
        <v>"C:\Program Files (x86)\AstroGrep\AstroGrep.exe" /spath="%USERPROFILE%\AppData\Local\Temp\OnboardLogs" /stypes="app*4038*20161018*" /stext=" 17:.+((SYSTEM_STATE.+slice.+state.+changed )|(ment ac)|(system.+state.+changed )|(\[timeout)|(PRM\|1\|D)|(kpr)|(kdp)|(\|lc)|(penalty))" /e /r /s</v>
      </c>
      <c r="AG239" s="1" t="str">
        <f t="shared" si="79"/>
        <v>Other</v>
      </c>
      <c r="AH239" s="92" t="str">
        <f t="shared" si="66"/>
        <v>"%USERPROFILE%\Documents\GitHub\eaglep3\Utilities\RefineRTDCRunTimes.py" --tripid 60-17 --locoid 4038 --swversion DE.1.0.7.0 --startMP 204:455 --initTime 2016-10-18T10:39:03 --startdatetime 2016-10-18T11:34:28 --delay 1 --endMP 300:42375 --enddatetime 2016-10-18T11:48:48 --enforcementcount 0 &gt;&gt;C:\Users\stu\Documents\GitHub\eaglep3-reporting\EC\2016-10-18-refined-times.txt</v>
      </c>
      <c r="AI239" s="122" t="str">
        <f t="shared" si="67"/>
        <v>echo {"issue":{"subject":"","project_id":79,"tracker_id":40,"status_id":1,"priority_id":2,"assigned_to_id":23,"start_date":"2016-10-18","description":"","custom_fields":[{"id":1,"name":"Subdivision","value":"Other"},{"id":4,"name":"Milepost","value":"4.2375"},{"id":17,"name":"Train ID","value":"60-17"},{"id":16,"name":"Locomotive ID","value":"4038"},{"id":130,"name":"Impact","value":""},{"id":150,"name":"Time of Event (Mountain Time)","value":"11:48:48"},{"id":151,"name":"Denver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3"/>
      <c r="AK239" s="53"/>
      <c r="AL239" s="53"/>
    </row>
    <row r="240" spans="1:91" x14ac:dyDescent="0.25">
      <c r="A240" s="37" t="s">
        <v>581</v>
      </c>
      <c r="B240" s="7">
        <v>4040</v>
      </c>
      <c r="C240" s="22" t="s">
        <v>99</v>
      </c>
      <c r="D240" s="22" t="s">
        <v>721</v>
      </c>
      <c r="E240" s="13">
        <v>42661.733749999999</v>
      </c>
      <c r="F240" s="13">
        <v>25568.708333333332</v>
      </c>
      <c r="G240" s="7">
        <v>1</v>
      </c>
      <c r="H240" s="13" t="s">
        <v>722</v>
      </c>
      <c r="I240" s="13">
        <v>25568.708333333332</v>
      </c>
      <c r="J240" s="7">
        <v>0</v>
      </c>
      <c r="K240" s="112" t="str">
        <f t="shared" si="68"/>
        <v>4039/4040</v>
      </c>
      <c r="L240" s="22" t="str">
        <f>VLOOKUP(A240,'Trips&amp;Operators'!$C$1:$E$10000,3,FALSE)</f>
        <v>PINCURA</v>
      </c>
      <c r="M240" s="6">
        <f t="shared" si="69"/>
        <v>0</v>
      </c>
      <c r="N240" s="7">
        <f t="shared" si="82"/>
        <v>0</v>
      </c>
      <c r="O240" s="7"/>
      <c r="P240" s="7"/>
      <c r="Q240" s="23"/>
      <c r="R240" s="23"/>
      <c r="S240" s="35">
        <f t="shared" si="80"/>
        <v>0</v>
      </c>
      <c r="T240" s="50" t="e">
        <f t="shared" si="70"/>
        <v>#VALUE!</v>
      </c>
      <c r="U240" s="18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https://search-rtdc-monitor-bjffxe2xuh6vdkpspy63sjmuny.us-east-1.es.amazonaws.com/_plugin/kibana/#/discover/Steve-Slow-Train-Analysis-(2080s-and-2083s)?_g=(refreshInterval:(display:Off,section:0,value:0),time:(from:'2016-10-18 16:36:36-0600',mode:absolute,to:'1969-12-31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40" s="52" t="str">
        <f t="shared" si="72"/>
        <v>Y</v>
      </c>
      <c r="X240" s="174" t="e">
        <f t="shared" si="81"/>
        <v>#VALUE!</v>
      </c>
      <c r="Y240" s="67">
        <f t="shared" si="73"/>
        <v>0.14829999999999999</v>
      </c>
      <c r="Z240" s="67">
        <f t="shared" si="74"/>
        <v>2.3300999999999998</v>
      </c>
      <c r="AA240" s="67">
        <f t="shared" si="75"/>
        <v>2.1818</v>
      </c>
      <c r="AB240" s="64" t="e">
        <f>VLOOKUP(A240,Enforcements!$C$7:$K$21,8,0)</f>
        <v>#N/A</v>
      </c>
      <c r="AC240" s="60" t="e">
        <f>VLOOKUP(A240,Enforcements!$C$7:$E$21,3,0)</f>
        <v>#N/A</v>
      </c>
      <c r="AD240" s="61" t="str">
        <f t="shared" si="76"/>
        <v>67-18</v>
      </c>
      <c r="AE240" s="91" t="str">
        <f t="shared" si="77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40" s="88" t="str">
        <f t="shared" si="78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40" s="1" t="str">
        <f t="shared" si="79"/>
        <v>Other</v>
      </c>
      <c r="AH240" s="92" t="str">
        <f t="shared" si="66"/>
        <v>"%USERPROFILE%\Documents\GitHub\eaglep3\Utilities\RefineRTDCRunTimes.py" --tripid 67-18 --locoid 4040 --swversion DE.1.0.7.0 --startMP 204:1483 --initTime 2016-10-18T17:36:36 --startdatetime 1969-12-31T17:00:00 --delay 1 --endMP 300:23301 --enddatetime 1969-12-31T17:00:00 --enforcementcount 0 &gt;&gt;C:\Users\stu\Documents\GitHub\eaglep3-reporting\EC\2016-10-18-refined-times.txt</v>
      </c>
      <c r="AI240" s="122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ID","value":"67-18"},{"id":16,"name":"Locomotive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3"/>
      <c r="AK240" s="53"/>
      <c r="AL240" s="53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</row>
    <row r="278" spans="1:3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</row>
  </sheetData>
  <autoFilter ref="A12:AG278"/>
  <sortState ref="A13:AH200">
    <sortCondition ref="AG13:AG200"/>
    <sortCondition ref="AD13:AD200"/>
  </sortState>
  <mergeCells count="1">
    <mergeCell ref="A11:P11"/>
  </mergeCells>
  <conditionalFormatting sqref="W11:W12 W279:X1048576 W13:X240">
    <cfRule type="cellIs" dxfId="10" priority="344" operator="equal">
      <formula>"Y"</formula>
    </cfRule>
  </conditionalFormatting>
  <conditionalFormatting sqref="X279:X1048576 X13:X240">
    <cfRule type="cellIs" dxfId="9" priority="327" operator="greaterThan">
      <formula>1</formula>
    </cfRule>
  </conditionalFormatting>
  <conditionalFormatting sqref="X279:X1048576 X12:X240">
    <cfRule type="cellIs" dxfId="8" priority="324" operator="equal">
      <formula>0</formula>
    </cfRule>
  </conditionalFormatting>
  <conditionalFormatting sqref="A13:S240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A13:S240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AK13:AK240</xm:sqref>
        </x14:dataValidation>
        <x14:dataValidation type="list" allowBlank="1" showInputMessage="1" showErrorMessage="1">
          <x14:formula1>
            <xm:f>'Redmine List Values'!$C$2:$C$14</xm:f>
          </x14:formula1>
          <xm:sqref>AL13:AL240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39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4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39"/>
      <c r="P1" s="139"/>
      <c r="R1" s="89"/>
      <c r="S1" s="101"/>
      <c r="T1" s="86"/>
      <c r="V1" s="48"/>
      <c r="AC1" s="144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3" t="s">
        <v>80</v>
      </c>
      <c r="M2" s="134"/>
      <c r="N2" s="154"/>
      <c r="O2" s="140">
        <f>COUNTIF($O$7:$O$369,"=Y")</f>
        <v>0</v>
      </c>
      <c r="P2" s="136"/>
      <c r="R2" s="89"/>
      <c r="S2" s="101"/>
      <c r="T2" s="86"/>
      <c r="V2" s="48"/>
      <c r="AC2" s="145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5" t="s">
        <v>81</v>
      </c>
      <c r="M3" s="135"/>
      <c r="N3" s="156"/>
      <c r="O3" s="141">
        <f>COUNTA($O$7:$O$369)-O2</f>
        <v>35</v>
      </c>
      <c r="P3" s="136"/>
      <c r="R3" s="89"/>
      <c r="S3" s="101"/>
      <c r="T3" s="86"/>
      <c r="V3" s="48"/>
      <c r="AC3" s="145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39"/>
      <c r="P4" s="139"/>
      <c r="R4" s="89"/>
      <c r="S4" s="101"/>
      <c r="T4" s="86"/>
      <c r="V4" s="48"/>
      <c r="AC4" s="145"/>
    </row>
    <row r="5" spans="1:29" s="10" customFormat="1" ht="15" customHeight="1" x14ac:dyDescent="0.25">
      <c r="A5" s="184" t="str">
        <f>"Eagle P3 Braking Events - "&amp;TEXT(Variables!$A$2,"YYYY-mm-dd")</f>
        <v>Eagle P3 Braking Events - 2016-10-18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7"/>
      <c r="R5" s="99"/>
      <c r="S5" s="102"/>
      <c r="T5" s="104"/>
      <c r="V5" s="49"/>
      <c r="AC5" s="146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2" t="s">
        <v>35</v>
      </c>
      <c r="E6" s="142" t="s">
        <v>34</v>
      </c>
      <c r="F6" s="142" t="s">
        <v>33</v>
      </c>
      <c r="G6" s="142" t="s">
        <v>32</v>
      </c>
      <c r="H6" s="142" t="s">
        <v>31</v>
      </c>
      <c r="I6" s="142" t="s">
        <v>159</v>
      </c>
      <c r="J6" s="142" t="s">
        <v>30</v>
      </c>
      <c r="K6" s="142" t="s">
        <v>29</v>
      </c>
      <c r="L6" s="142" t="s">
        <v>28</v>
      </c>
      <c r="M6" s="125" t="s">
        <v>160</v>
      </c>
      <c r="N6" s="158" t="s">
        <v>47</v>
      </c>
      <c r="O6" s="142" t="s">
        <v>27</v>
      </c>
      <c r="P6" s="142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7" t="s">
        <v>181</v>
      </c>
    </row>
    <row r="7" spans="1:29" s="1" customFormat="1" x14ac:dyDescent="0.25">
      <c r="A7" s="36">
        <v>42661.407858796294</v>
      </c>
      <c r="B7" s="31" t="s">
        <v>289</v>
      </c>
      <c r="C7" s="31" t="s">
        <v>419</v>
      </c>
      <c r="D7" s="31" t="s">
        <v>189</v>
      </c>
      <c r="E7" s="31" t="s">
        <v>155</v>
      </c>
      <c r="F7" s="47">
        <v>200</v>
      </c>
      <c r="G7" s="47">
        <v>250</v>
      </c>
      <c r="H7" s="47">
        <v>26998</v>
      </c>
      <c r="I7" s="47">
        <v>25955</v>
      </c>
      <c r="J7" s="31" t="s">
        <v>154</v>
      </c>
      <c r="K7" s="47">
        <v>27350</v>
      </c>
      <c r="L7" s="160" t="s">
        <v>51</v>
      </c>
      <c r="M7" s="161">
        <f t="shared" ref="M7:M41" si="0">CONVERT((I7-K7)/10000,"mi","ft")*IF(L7="Increasing Mileposts (1)",-1,1)</f>
        <v>-736.56</v>
      </c>
      <c r="N7" s="162" t="str">
        <f>VLOOKUP(C7,'Trips&amp;Operators'!$C$1:$E$99999,3,FALSE)</f>
        <v>DAVIS</v>
      </c>
      <c r="O7" s="143" t="s">
        <v>258</v>
      </c>
      <c r="P7" s="163" t="s">
        <v>336</v>
      </c>
      <c r="Q7" s="31"/>
      <c r="R7" s="100" t="str">
        <f>VLOOKUP(C7,'Train Runs'!$A$13:$AE$10022,31,0)</f>
        <v>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 &amp; 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</v>
      </c>
      <c r="S7" s="103" t="str">
        <f>VLOOKUP(C7,'Train Runs'!$A$13:$AE$10022,22,0)</f>
        <v>https://search-rtdc-monitor-bjffxe2xuh6vdkpspy63sjmuny.us-east-1.es.amazonaws.com/_plugin/kibana/#/discover/Steve-Slow-Train-Analysis-(2080s-and-2083s)?_g=(refreshInterval:(display:Off,section:0,value:0),time:(from:'2016-10-18 08:07:30-0600',mode:absolute,to:'2016-10-18 10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7" s="105" t="str">
        <f t="shared" ref="T7:T41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/stypes="*4012*201610181*" /stext=" 15:.+((SYSTEM_STATE.+slice.+state.+changed )|(ment ac)|(system.+state.+changed )|(\[timeout)|(PRM\|1\|D)|(kpr)|(kdp)|(\|lc)|(penalty))" /e /r /s</v>
      </c>
      <c r="U7" s="9" t="str">
        <f t="shared" ref="U7:U41" si="2">MID(B7,13,4)</f>
        <v>4012</v>
      </c>
      <c r="V7" s="36">
        <f t="shared" ref="V7:V41" si="3">A7+6/24</f>
        <v>42661.657858796294</v>
      </c>
      <c r="W7" s="50" t="str">
        <f t="shared" ref="W7:W41" si="4">IF(VALUE(LEFT(IF(LEN(C7)=6,"0"&amp;C7,C7),2))&lt;=2,"EC",IF(OR(VALUE(LEFT(IF(LEN(C7)=6,"0"&amp;C7,C7),2))=8,VALUE(LEFT(IF(LEN(C7)=6,"0"&amp;C7,C7),2))=18),"NW","Other"))</f>
        <v>EC</v>
      </c>
      <c r="X7" s="50" t="str">
        <f t="shared" ref="X7:X41" si="5">IF(AND(E7="TRACK WARRANT AUTHORITY",G7&lt;10),"OMIT","KEEP")</f>
        <v>KEEP</v>
      </c>
      <c r="Y7" s="122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arrival","project_id":79,"tracker_id":40,"status_id":1,"priority_id":2,"assigned_to_id":23,"start_date":"2016-10-18","description":"","custom_fields":[{"id":1,"name":"Subdivision","value":"EC"},{"id":4,"name":"Milepost","value":"2.735"},{"id":17,"name":"Train ID","value":"138-18"},{"id":16,"name":"Locomotive ID","value":"4012"},{"id":130,"name":"Impact","value":""},{"id":150,"name":"Time of Event (Mountain Time)","value":"09:47:19"},{"id":151,"name":"Denver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4" t="str">
        <f t="shared" ref="AC7:AC41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"%USERPROFILE%\AppData\Local\Temp\OnboardLogs"\RTDC4012\*4012*201610181* | grep -SE "((Enforcement Ac)|(PRM))" -</v>
      </c>
    </row>
    <row r="8" spans="1:29" s="1" customFormat="1" x14ac:dyDescent="0.25">
      <c r="A8" s="36">
        <v>42661.291770833333</v>
      </c>
      <c r="B8" s="31" t="s">
        <v>215</v>
      </c>
      <c r="C8" s="31" t="s">
        <v>411</v>
      </c>
      <c r="D8" s="31" t="s">
        <v>49</v>
      </c>
      <c r="E8" s="31" t="s">
        <v>155</v>
      </c>
      <c r="F8" s="47">
        <v>0</v>
      </c>
      <c r="G8" s="47">
        <v>367</v>
      </c>
      <c r="H8" s="47">
        <v>109155</v>
      </c>
      <c r="I8" s="47">
        <v>108568</v>
      </c>
      <c r="J8" s="31" t="s">
        <v>154</v>
      </c>
      <c r="K8" s="47">
        <v>109135</v>
      </c>
      <c r="L8" s="160" t="s">
        <v>51</v>
      </c>
      <c r="M8" s="161">
        <f t="shared" si="0"/>
        <v>-299.37599999999998</v>
      </c>
      <c r="N8" s="162" t="str">
        <f>VLOOKUP(C8,'Trips&amp;Operators'!$C$1:$E$99999,3,FALSE)</f>
        <v>ACKERMAN</v>
      </c>
      <c r="O8" s="143" t="s">
        <v>258</v>
      </c>
      <c r="P8" s="163" t="s">
        <v>336</v>
      </c>
      <c r="Q8" s="31"/>
      <c r="R8" s="100" t="str">
        <f>VLOOKUP(C8,'Train Runs'!$A$13:$AE$10022,31,0)</f>
        <v>aws s3 cp s3://rtdc.mdm.uploadarchive.raw/RTDC4039/ "%USERPROFILE%\AppData\Local\Temp\OnboardLogs"\RTDC4039\2016-10-18 --exclude "*" --recursive --include "*20161018*" &amp; "%USERPROFILE%\Documents\GitHub\mrs-test-scripts\Headless Mode &amp; Sideloading\WalkAndUnGZ.bat" "%USERPROFILE%\AppData\Local\Temp\OnboardLogs"\RTDC4039\2016-10-18 &amp; 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</v>
      </c>
      <c r="S8" s="103" t="str">
        <f>VLOOKUP(C8,'Train Runs'!$A$13:$AE$10022,22,0)</f>
        <v>https://search-rtdc-monitor-bjffxe2xuh6vdkpspy63sjmuny.us-east-1.es.amazonaws.com/_plugin/kibana/#/discover/Steve-Slow-Train-Analysis-(2080s-and-2083s)?_g=(refreshInterval:(display:Off,section:0,value:0),time:(from:'2016-10-18 05:25:04-0600',mode:absolute,to:'2016-10-18 08:23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8" s="105" t="str">
        <f t="shared" si="1"/>
        <v>"C:\Program Files (x86)\AstroGrep\AstroGrep.exe" /spath="%USERPROFILE%\AppData\Local\Temp\OnboardLogs" /stypes="*4039*201610181*" /stext=" 13:.+((SYSTEM_STATE.+slice.+state.+changed )|(ment ac)|(system.+state.+changed )|(\[timeout)|(PRM\|1\|D)|(kpr)|(kdp)|(\|lc)|(penalty))" /e /r /s</v>
      </c>
      <c r="U8" s="9" t="str">
        <f t="shared" si="2"/>
        <v>4039</v>
      </c>
      <c r="V8" s="36">
        <f t="shared" si="3"/>
        <v>42661.541770833333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arrival","project_id":79,"tracker_id":40,"status_id":1,"priority_id":2,"assigned_to_id":23,"start_date":"2016-10-18","description":"","custom_fields":[{"id":1,"name":"Subdivision","value":"EC"},{"id":4,"name":"Milepost","value":"10.9135"},{"id":17,"name":"Train ID","value":"118-18"},{"id":16,"name":"Locomotive ID","value":"4039"},{"id":130,"name":"Impact","value":""},{"id":150,"name":"Time of Event (Mountain Time)","value":"07:00:09"},{"id":151,"name":"Denver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4" t="str">
        <f t="shared" si="7"/>
        <v>grep -hSE -A100 "Enforcement Action" "%USERPROFILE%\AppData\Local\Temp\OnboardLogs"\RTDC4039\*4039*201610181* | grep -SE "((Enforcement Ac)|(PRM))" -</v>
      </c>
    </row>
    <row r="9" spans="1:29" s="1" customFormat="1" x14ac:dyDescent="0.25">
      <c r="A9" s="36">
        <v>42661.582592592589</v>
      </c>
      <c r="B9" s="31" t="s">
        <v>426</v>
      </c>
      <c r="C9" s="31" t="s">
        <v>427</v>
      </c>
      <c r="D9" s="31" t="s">
        <v>49</v>
      </c>
      <c r="E9" s="31" t="s">
        <v>259</v>
      </c>
      <c r="F9" s="47">
        <v>300</v>
      </c>
      <c r="G9" s="47">
        <v>522</v>
      </c>
      <c r="H9" s="47">
        <v>24572</v>
      </c>
      <c r="I9" s="47">
        <v>22897</v>
      </c>
      <c r="J9" s="31" t="s">
        <v>260</v>
      </c>
      <c r="K9" s="47">
        <v>21848</v>
      </c>
      <c r="L9" s="160" t="s">
        <v>51</v>
      </c>
      <c r="M9" s="161">
        <f t="shared" si="0"/>
        <v>553.87199999999996</v>
      </c>
      <c r="N9" s="162" t="str">
        <f>VLOOKUP(C9,'Trips&amp;Operators'!$C$1:$E$99999,3,FALSE)</f>
        <v>STORY</v>
      </c>
      <c r="O9" s="143" t="s">
        <v>258</v>
      </c>
      <c r="P9" s="163"/>
      <c r="Q9" s="31"/>
      <c r="R9" s="100" t="str">
        <f>VLOOKUP(C9,'Train Runs'!$A$13:$AE$10022,31,0)</f>
        <v>aws s3 cp s3://rtdc.mdm.uploadarchive.raw/RTDC4015/ "%USERPROFILE%\AppData\Local\Temp\OnboardLogs"\RTDC4015\2016-10-18 --exclude "*" --recursive --include "*20161018*" &amp; "%USERPROFILE%\Documents\GitHub\mrs-test-scripts\Headless Mode &amp; Sideloading\WalkAndUnGZ.bat" "%USERPROFILE%\AppData\Local\Temp\OnboardLogs"\RTDC4015\2016-10-18 &amp; aws s3 cp s3://rtdc.mdm.uploadarchive.raw/RTDC4015/ "%USERPROFILE%\AppData\Local\Temp\OnboardLogs"\RTDC4015\2016-10-19 --exclude "*" --recursive --include "*20161019*" &amp; "%USERPROFILE%\Documents\GitHub\mrs-test-scripts\Headless Mode &amp; Sideloading\WalkAndUnGZ.bat" "%USERPROFILE%\AppData\Local\Temp\OnboardLogs"\RTDC4015\2016-10-19</v>
      </c>
      <c r="S9" s="103" t="str">
        <f>VLOOKUP(C9,'Train Runs'!$A$13:$AE$10022,22,0)</f>
        <v>https://search-rtdc-monitor-bjffxe2xuh6vdkpspy63sjmuny.us-east-1.es.amazonaws.com/_plugin/kibana/#/discover/Steve-Slow-Train-Analysis-(2080s-and-2083s)?_g=(refreshInterval:(display:Off,section:0,value:0),time:(from:'2016-10-18 12:14:14-0600',mode:absolute,to:'2016-10-18 15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9" s="105" t="str">
        <f t="shared" si="1"/>
        <v>"C:\Program Files (x86)\AstroGrep\AstroGrep.exe" /spath="%USERPROFILE%\AppData\Local\Temp\OnboardLogs" /stypes="*4015*201610181*" /stext=" 19:.+((SYSTEM_STATE.+slice.+state.+changed )|(ment ac)|(system.+state.+changed )|(\[timeout)|(PRM\|1\|D)|(kpr)|(kdp)|(\|lc)|(penalty))" /e /r /s</v>
      </c>
      <c r="U9" s="9" t="str">
        <f t="shared" si="2"/>
        <v>4015</v>
      </c>
      <c r="V9" s="36">
        <f t="shared" si="3"/>
        <v>42661.832592592589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{"issue":{"subject":"","project_id":79,"tracker_id":40,"status_id":1,"priority_id":2,"assigned_to_id":23,"start_date":"2016-10-18","description":"","custom_fields":[{"id":1,"name":"Subdivision","value":"EC"},{"id":4,"name":"Milepost","value":"2.1848"},{"id":17,"name":"Train ID","value":"172-18"},{"id":16,"name":"Locomotive ID","value":"4015"},{"id":130,"name":"Impact","value":""},{"id":150,"name":"Time of Event (Mountain Time)","value":"13:58:56"},{"id":151,"name":"Denver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4" t="str">
        <f t="shared" si="7"/>
        <v>grep -hSE -A100 "Enforcement Action" "%USERPROFILE%\AppData\Local\Temp\OnboardLogs"\RTDC4015\*4015*201610181* | grep -SE "((Enforcement Ac)|(PRM))" -</v>
      </c>
    </row>
    <row r="10" spans="1:29" s="1" customFormat="1" x14ac:dyDescent="0.25">
      <c r="A10" s="36">
        <v>42661.42696759259</v>
      </c>
      <c r="B10" s="31" t="s">
        <v>311</v>
      </c>
      <c r="C10" s="31" t="s">
        <v>420</v>
      </c>
      <c r="D10" s="31" t="s">
        <v>49</v>
      </c>
      <c r="E10" s="31" t="s">
        <v>259</v>
      </c>
      <c r="F10" s="47">
        <v>400</v>
      </c>
      <c r="G10" s="47">
        <v>501</v>
      </c>
      <c r="H10" s="47">
        <v>115976</v>
      </c>
      <c r="I10" s="47">
        <v>117275</v>
      </c>
      <c r="J10" s="31" t="s">
        <v>260</v>
      </c>
      <c r="K10" s="47">
        <v>116838</v>
      </c>
      <c r="L10" s="160" t="s">
        <v>50</v>
      </c>
      <c r="M10" s="161">
        <f t="shared" si="0"/>
        <v>-230.73599999999999</v>
      </c>
      <c r="N10" s="162" t="str">
        <f>VLOOKUP(C10,'Trips&amp;Operators'!$C$1:$E$99999,3,FALSE)</f>
        <v>SPECTOR</v>
      </c>
      <c r="O10" s="143" t="s">
        <v>258</v>
      </c>
      <c r="P10" s="163"/>
      <c r="Q10" s="31"/>
      <c r="R10" s="100" t="str">
        <f>VLOOKUP(C10,'Train Runs'!$A$13:$AE$10022,31,0)</f>
        <v>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 &amp; 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</v>
      </c>
      <c r="S10" s="103" t="str">
        <f>VLOOKUP(C10,'Train Runs'!$A$13:$AE$10022,22,0)</f>
        <v>https://search-rtdc-monitor-bjffxe2xuh6vdkpspy63sjmuny.us-east-1.es.amazonaws.com/_plugin/kibana/#/discover/Steve-Slow-Train-Analysis-(2080s-and-2083s)?_g=(refreshInterval:(display:Off,section:0,value:0),time:(from:'2016-10-18 08:41:11-0600',mode:absolute,to:'2016-10-18 11:29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0" s="105" t="str">
        <f t="shared" si="1"/>
        <v>"C:\Program Files (x86)\AstroGrep\AstroGrep.exe" /spath="%USERPROFILE%\AppData\Local\Temp\OnboardLogs" /stypes="*4029*201610181*" /stext=" 16:.+((SYSTEM_STATE.+slice.+state.+changed )|(ment ac)|(system.+state.+changed )|(\[timeout)|(PRM\|1\|D)|(kpr)|(kdp)|(\|lc)|(penalty))" /e /r /s</v>
      </c>
      <c r="U10" s="9" t="str">
        <f t="shared" si="2"/>
        <v>4029</v>
      </c>
      <c r="V10" s="36">
        <f t="shared" si="3"/>
        <v>42661.67696759259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{"issue":{"subject":"","project_id":79,"tracker_id":40,"status_id":1,"priority_id":2,"assigned_to_id":23,"start_date":"2016-10-18","description":"","custom_fields":[{"id":1,"name":"Subdivision","value":"EC"},{"id":4,"name":"Milepost","value":"11.6838"},{"id":17,"name":"Train ID","value":"149-18"},{"id":16,"name":"Locomotive ID","value":"4029"},{"id":130,"name":"Impact","value":""},{"id":150,"name":"Time of Event (Mountain Time)","value":"10:14:50"},{"id":151,"name":"Denver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4" t="str">
        <f t="shared" si="7"/>
        <v>grep -hSE -A100 "Enforcement Action" "%USERPROFILE%\AppData\Local\Temp\OnboardLogs"\RTDC4029\*4029*201610181* | grep -SE "((Enforcement Ac)|(PRM))" -</v>
      </c>
    </row>
    <row r="11" spans="1:29" s="1" customFormat="1" x14ac:dyDescent="0.25">
      <c r="A11" s="36">
        <v>42661.358611111114</v>
      </c>
      <c r="B11" s="31" t="s">
        <v>217</v>
      </c>
      <c r="C11" s="31" t="s">
        <v>417</v>
      </c>
      <c r="D11" s="31" t="s">
        <v>49</v>
      </c>
      <c r="E11" s="31" t="s">
        <v>259</v>
      </c>
      <c r="F11" s="47">
        <v>400</v>
      </c>
      <c r="G11" s="47">
        <v>476</v>
      </c>
      <c r="H11" s="47">
        <v>120946</v>
      </c>
      <c r="I11" s="47">
        <v>119533</v>
      </c>
      <c r="J11" s="31" t="s">
        <v>260</v>
      </c>
      <c r="K11" s="47">
        <v>119716</v>
      </c>
      <c r="L11" s="160" t="s">
        <v>51</v>
      </c>
      <c r="M11" s="161">
        <f t="shared" si="0"/>
        <v>-96.623999999999995</v>
      </c>
      <c r="N11" s="162" t="str">
        <f>VLOOKUP(C11,'Trips&amp;Operators'!$C$1:$E$99999,3,FALSE)</f>
        <v>ROCHA</v>
      </c>
      <c r="O11" s="143" t="s">
        <v>258</v>
      </c>
      <c r="P11" s="163"/>
      <c r="Q11" s="31"/>
      <c r="R11" s="100" t="str">
        <f>VLOOKUP(C11,'Train Runs'!$A$13:$AE$10022,31,0)</f>
        <v>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 &amp; 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</v>
      </c>
      <c r="S11" s="103" t="str">
        <f>VLOOKUP(C11,'Train Runs'!$A$13:$AE$10022,22,0)</f>
        <v>https://search-rtdc-monitor-bjffxe2xuh6vdkpspy63sjmuny.us-east-1.es.amazonaws.com/_plugin/kibana/#/discover/Steve-Slow-Train-Analysis-(2080s-and-2083s)?_g=(refreshInterval:(display:Off,section:0,value:0),time:(from:'2016-10-18 07:02:55-0600',mode:absolute,to:'2016-10-18 10:00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1" s="105" t="str">
        <f t="shared" si="1"/>
        <v>"C:\Program Files (x86)\AstroGrep\AstroGrep.exe" /spath="%USERPROFILE%\AppData\Local\Temp\OnboardLogs" /stypes="*4032*201610181*" /stext=" 14:.+((SYSTEM_STATE.+slice.+state.+changed )|(ment ac)|(system.+state.+changed )|(\[timeout)|(PRM\|1\|D)|(kpr)|(kdp)|(\|lc)|(penalty))" /e /r /s</v>
      </c>
      <c r="U11" s="9" t="str">
        <f t="shared" si="2"/>
        <v>4032</v>
      </c>
      <c r="V11" s="36">
        <f t="shared" si="3"/>
        <v>42661.608611111114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{"issue":{"subject":"","project_id":79,"tracker_id":40,"status_id":1,"priority_id":2,"assigned_to_id":23,"start_date":"2016-10-18","description":"","custom_fields":[{"id":1,"name":"Subdivision","value":"EC"},{"id":4,"name":"Milepost","value":"11.9716"},{"id":17,"name":"Train ID","value":"130-18"},{"id":16,"name":"Locomotive ID","value":"4032"},{"id":130,"name":"Impact","value":""},{"id":150,"name":"Time of Event (Mountain Time)","value":"08:36:24"},{"id":151,"name":"Denver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4" t="str">
        <f t="shared" si="7"/>
        <v>grep -hSE -A100 "Enforcement Action" "%USERPROFILE%\AppData\Local\Temp\OnboardLogs"\RTDC4032\*4032*201610181* | grep -SE "((Enforcement Ac)|(PRM))" -</v>
      </c>
    </row>
    <row r="12" spans="1:29" s="1" customFormat="1" x14ac:dyDescent="0.25">
      <c r="A12" s="36">
        <v>42661.512488425928</v>
      </c>
      <c r="B12" s="31" t="s">
        <v>290</v>
      </c>
      <c r="C12" s="31" t="s">
        <v>423</v>
      </c>
      <c r="D12" s="31" t="s">
        <v>49</v>
      </c>
      <c r="E12" s="31" t="s">
        <v>259</v>
      </c>
      <c r="F12" s="47">
        <v>600</v>
      </c>
      <c r="G12" s="47">
        <v>677</v>
      </c>
      <c r="H12" s="47">
        <v>182224</v>
      </c>
      <c r="I12" s="47">
        <v>184894</v>
      </c>
      <c r="J12" s="31" t="s">
        <v>260</v>
      </c>
      <c r="K12" s="47">
        <v>183829</v>
      </c>
      <c r="L12" s="160" t="s">
        <v>50</v>
      </c>
      <c r="M12" s="161">
        <f t="shared" si="0"/>
        <v>-562.32000000000005</v>
      </c>
      <c r="N12" s="162" t="str">
        <f>VLOOKUP(C12,'Trips&amp;Operators'!$C$1:$E$99999,3,FALSE)</f>
        <v>HAITHCOX</v>
      </c>
      <c r="O12" s="143" t="s">
        <v>258</v>
      </c>
      <c r="P12" s="163"/>
      <c r="Q12" s="31"/>
      <c r="R12" s="100" t="str">
        <f>VLOOKUP(C12,'Train Runs'!$A$13:$AE$10022,31,0)</f>
        <v>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 &amp; 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</v>
      </c>
      <c r="S12" s="103" t="str">
        <f>VLOOKUP(C12,'Train Runs'!$A$13:$AE$10022,22,0)</f>
        <v>https://search-rtdc-monitor-bjffxe2xuh6vdkpspy63sjmuny.us-east-1.es.amazonaws.com/_plugin/kibana/#/discover/Steve-Slow-Train-Analysis-(2080s-and-2083s)?_g=(refreshInterval:(display:Off,section:0,value:0),time:(from:'2016-10-18 10:41:26-0600',mode:absolute,to:'2016-10-18 13:24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2" s="105" t="str">
        <f t="shared" si="1"/>
        <v>"C:\Program Files (x86)\AstroGrep\AstroGrep.exe" /spath="%USERPROFILE%\AppData\Local\Temp\OnboardLogs" /stypes="*4011*201610181*" /stext=" 18:.+((SYSTEM_STATE.+slice.+state.+changed )|(ment ac)|(system.+state.+changed )|(\[timeout)|(PRM\|1\|D)|(kpr)|(kdp)|(\|lc)|(penalty))" /e /r /s</v>
      </c>
      <c r="U12" s="9" t="str">
        <f t="shared" si="2"/>
        <v>4011</v>
      </c>
      <c r="V12" s="36">
        <f t="shared" si="3"/>
        <v>42661.762488425928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{"issue":{"subject":"","project_id":79,"tracker_id":40,"status_id":1,"priority_id":2,"assigned_to_id":23,"start_date":"2016-10-18","description":"","custom_fields":[{"id":1,"name":"Subdivision","value":"EC"},{"id":4,"name":"Milepost","value":"18.3829"},{"id":17,"name":"Train ID","value":"165-18"},{"id":16,"name":"Locomotive ID","value":"4011"},{"id":130,"name":"Impact","value":""},{"id":150,"name":"Time of Event (Mountain Time)","value":"12:17:59"},{"id":151,"name":"Denver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4" t="str">
        <f t="shared" si="7"/>
        <v>grep -hSE -A100 "Enforcement Action" "%USERPROFILE%\AppData\Local\Temp\OnboardLogs"\RTDC4011\*4011*201610181* | grep -SE "((Enforcement Ac)|(PRM))" -</v>
      </c>
    </row>
    <row r="13" spans="1:29" s="1" customFormat="1" x14ac:dyDescent="0.25">
      <c r="A13" s="36">
        <v>42661.20239583333</v>
      </c>
      <c r="B13" s="31" t="s">
        <v>215</v>
      </c>
      <c r="C13" s="31" t="s">
        <v>410</v>
      </c>
      <c r="D13" s="31" t="s">
        <v>98</v>
      </c>
      <c r="E13" s="31" t="s">
        <v>259</v>
      </c>
      <c r="F13" s="47">
        <v>700</v>
      </c>
      <c r="G13" s="47">
        <v>752</v>
      </c>
      <c r="H13" s="47">
        <v>175845</v>
      </c>
      <c r="I13" s="47">
        <v>172900</v>
      </c>
      <c r="J13" s="31" t="s">
        <v>260</v>
      </c>
      <c r="K13" s="47">
        <v>183829</v>
      </c>
      <c r="L13" s="160" t="s">
        <v>51</v>
      </c>
      <c r="M13" s="161">
        <f t="shared" si="0"/>
        <v>-5770.5119999999997</v>
      </c>
      <c r="N13" s="162" t="str">
        <f>VLOOKUP(C13,'Trips&amp;Operators'!$C$1:$E$99999,3,FALSE)</f>
        <v>ACKERMAN</v>
      </c>
      <c r="O13" s="143" t="s">
        <v>258</v>
      </c>
      <c r="P13" s="163"/>
      <c r="Q13" s="31"/>
      <c r="R13" s="100" t="str">
        <f>VLOOKUP(C13,'Train Runs'!$A$13:$AE$10022,31,0)</f>
        <v>aws s3 cp s3://rtdc.mdm.uploadarchive.raw/RTDC4039/ "%USERPROFILE%\AppData\Local\Temp\OnboardLogs"\RTDC4039\2016-10-18 --exclude "*" --recursive --include "*20161018*" &amp; "%USERPROFILE%\Documents\GitHub\mrs-test-scripts\Headless Mode &amp; Sideloading\WalkAndUnGZ.bat" "%USERPROFILE%\AppData\Local\Temp\OnboardLogs"\RTDC4039\2016-10-18 &amp; 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</v>
      </c>
      <c r="S13" s="103" t="str">
        <f>VLOOKUP(C13,'Train Runs'!$A$13:$AE$10022,22,0)</f>
        <v>https://search-rtdc-monitor-bjffxe2xuh6vdkpspy63sjmuny.us-east-1.es.amazonaws.com/_plugin/kibana/#/discover/Steve-Slow-Train-Analysis-(2080s-and-2083s)?_g=(refreshInterval:(display:Off,section:0,value:0),time:(from:'2016-10-18 03:26:35-0600',mode:absolute,to:'2016-10-18 06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3" s="105" t="str">
        <f t="shared" si="1"/>
        <v>"C:\Program Files (x86)\AstroGrep\AstroGrep.exe" /spath="%USERPROFILE%\AppData\Local\Temp\OnboardLogs" /stypes="*4039*201610181*" /stext=" 10:.+((SYSTEM_STATE.+slice.+state.+changed )|(ment ac)|(system.+state.+changed )|(\[timeout)|(PRM\|1\|D)|(kpr)|(kdp)|(\|lc)|(penalty))" /e /r /s</v>
      </c>
      <c r="U13" s="9" t="str">
        <f t="shared" si="2"/>
        <v>4039</v>
      </c>
      <c r="V13" s="36">
        <f t="shared" si="3"/>
        <v>42661.45239583333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{"issue":{"subject":"","project_id":79,"tracker_id":40,"status_id":1,"priority_id":2,"assigned_to_id":23,"start_date":"2016-10-18","description":"","custom_fields":[{"id":1,"name":"Subdivision","value":"EC"},{"id":4,"name":"Milepost","value":"18.3829"},{"id":17,"name":"Train ID","value":"104-18"},{"id":16,"name":"Locomotive ID","value":"4039"},{"id":130,"name":"Impact","value":""},{"id":150,"name":"Time of Event (Mountain Time)","value":"04:51:27"},{"id":151,"name":"Denver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4" t="str">
        <f t="shared" si="7"/>
        <v>grep -hSE -A100 "Enforcement Action" "%USERPROFILE%\AppData\Local\Temp\OnboardLogs"\RTDC4039\*4039*201610181* | grep -SE "((Enforcement Ac)|(PRM))" -</v>
      </c>
    </row>
    <row r="14" spans="1:29" s="1" customFormat="1" x14ac:dyDescent="0.25">
      <c r="A14" s="36">
        <v>42661.555</v>
      </c>
      <c r="B14" s="31" t="s">
        <v>272</v>
      </c>
      <c r="C14" s="31" t="s">
        <v>424</v>
      </c>
      <c r="D14" s="31" t="s">
        <v>98</v>
      </c>
      <c r="E14" s="31" t="s">
        <v>259</v>
      </c>
      <c r="F14" s="47">
        <v>350</v>
      </c>
      <c r="G14" s="47">
        <v>401</v>
      </c>
      <c r="H14" s="47">
        <v>227844</v>
      </c>
      <c r="I14" s="47">
        <v>229372</v>
      </c>
      <c r="J14" s="31" t="s">
        <v>260</v>
      </c>
      <c r="K14" s="47">
        <v>224578</v>
      </c>
      <c r="L14" s="160" t="s">
        <v>50</v>
      </c>
      <c r="M14" s="161">
        <f t="shared" si="0"/>
        <v>-2531.232</v>
      </c>
      <c r="N14" s="162" t="str">
        <f>VLOOKUP(C14,'Trips&amp;Operators'!$C$1:$E$99999,3,FALSE)</f>
        <v>ROBINSON</v>
      </c>
      <c r="O14" s="143" t="s">
        <v>258</v>
      </c>
      <c r="P14" s="163"/>
      <c r="Q14" s="31"/>
      <c r="R14" s="100" t="str">
        <f>VLOOKUP(C14,'Train Runs'!$A$13:$AE$10022,31,0)</f>
        <v>aws s3 cp s3://rtdc.mdm.uploadarchive.raw/RTDC4042/ "%USERPROFILE%\AppData\Local\Temp\OnboardLogs"\RTDC4042\2016-10-18 --exclude "*" --recursive --include "*20161018*" &amp; "%USERPROFILE%\Documents\GitHub\mrs-test-scripts\Headless Mode &amp; Sideloading\WalkAndUnGZ.bat" "%USERPROFILE%\AppData\Local\Temp\OnboardLogs"\RTDC4042\2016-10-18 &amp; 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</v>
      </c>
      <c r="S14" s="103" t="str">
        <f>VLOOKUP(C14,'Train Runs'!$A$13:$AE$10022,22,0)</f>
        <v>https://search-rtdc-monitor-bjffxe2xuh6vdkpspy63sjmuny.us-east-1.es.amazonaws.com/_plugin/kibana/#/discover/Steve-Slow-Train-Analysis-(2080s-and-2083s)?_g=(refreshInterval:(display:Off,section:0,value:0),time:(from:'2016-10-18 11:37:23-0600',mode:absolute,to:'2016-10-18 14:24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4" s="105" t="str">
        <f t="shared" si="1"/>
        <v>"C:\Program Files (x86)\AstroGrep\AstroGrep.exe" /spath="%USERPROFILE%\AppData\Local\Temp\OnboardLogs" /stypes="*4042*201610181*" /stext=" 19:.+((SYSTEM_STATE.+slice.+state.+changed )|(ment ac)|(system.+state.+changed )|(\[timeout)|(PRM\|1\|D)|(kpr)|(kdp)|(\|lc)|(penalty))" /e /r /s</v>
      </c>
      <c r="U14" s="9" t="str">
        <f t="shared" si="2"/>
        <v>4042</v>
      </c>
      <c r="V14" s="36">
        <f t="shared" si="3"/>
        <v>42661.805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{"issue":{"subject":"","project_id":79,"tracker_id":40,"status_id":1,"priority_id":2,"assigned_to_id":23,"start_date":"2016-10-18","description":"","custom_fields":[{"id":1,"name":"Subdivision","value":"EC"},{"id":4,"name":"Milepost","value":"22.4578"},{"id":17,"name":"Train ID","value":"173-18"},{"id":16,"name":"Locomotive ID","value":"4042"},{"id":130,"name":"Impact","value":""},{"id":150,"name":"Time of Event (Mountain Time)","value":"13:19:12"},{"id":151,"name":"Denver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4" t="str">
        <f t="shared" si="7"/>
        <v>grep -hSE -A100 "Enforcement Action" "%USERPROFILE%\AppData\Local\Temp\OnboardLogs"\RTDC4042\*4042*201610181* | grep -SE "((Enforcement Ac)|(PRM))" -</v>
      </c>
    </row>
    <row r="15" spans="1:29" s="1" customFormat="1" x14ac:dyDescent="0.25">
      <c r="A15" s="36">
        <v>42661.633726851855</v>
      </c>
      <c r="B15" s="31" t="s">
        <v>426</v>
      </c>
      <c r="C15" s="31" t="s">
        <v>428</v>
      </c>
      <c r="D15" s="31" t="s">
        <v>49</v>
      </c>
      <c r="E15" s="31" t="s">
        <v>259</v>
      </c>
      <c r="F15" s="47">
        <v>150</v>
      </c>
      <c r="G15" s="47">
        <v>230</v>
      </c>
      <c r="H15" s="47">
        <v>229822</v>
      </c>
      <c r="I15" s="47">
        <v>229379</v>
      </c>
      <c r="J15" s="31" t="s">
        <v>260</v>
      </c>
      <c r="K15" s="47">
        <v>229055</v>
      </c>
      <c r="L15" s="160" t="s">
        <v>51</v>
      </c>
      <c r="M15" s="161">
        <f t="shared" si="0"/>
        <v>171.072</v>
      </c>
      <c r="N15" s="162" t="str">
        <f>VLOOKUP(C15,'Trips&amp;Operators'!$C$1:$E$99999,3,FALSE)</f>
        <v>STORY</v>
      </c>
      <c r="O15" s="143" t="s">
        <v>258</v>
      </c>
      <c r="P15" s="163"/>
      <c r="Q15" s="31"/>
      <c r="R15" s="100" t="str">
        <f>VLOOKUP(C15,'Train Runs'!$A$13:$AE$10022,31,0)</f>
        <v>aws s3 cp s3://rtdc.mdm.uploadarchive.raw/RTDC4015/ "%USERPROFILE%\AppData\Local\Temp\OnboardLogs"\RTDC4015\2016-10-18 --exclude "*" --recursive --include "*20161018*" &amp; "%USERPROFILE%\Documents\GitHub\mrs-test-scripts\Headless Mode &amp; Sideloading\WalkAndUnGZ.bat" "%USERPROFILE%\AppData\Local\Temp\OnboardLogs"\RTDC4015\2016-10-18 &amp; aws s3 cp s3://rtdc.mdm.uploadarchive.raw/RTDC4015/ "%USERPROFILE%\AppData\Local\Temp\OnboardLogs"\RTDC4015\2016-10-19 --exclude "*" --recursive --include "*20161019*" &amp; "%USERPROFILE%\Documents\GitHub\mrs-test-scripts\Headless Mode &amp; Sideloading\WalkAndUnGZ.bat" "%USERPROFILE%\AppData\Local\Temp\OnboardLogs"\RTDC4015\2016-10-19</v>
      </c>
      <c r="S15" s="103" t="str">
        <f>VLOOKUP(C15,'Train Runs'!$A$13:$AE$10022,22,0)</f>
        <v>https://search-rtdc-monitor-bjffxe2xuh6vdkpspy63sjmuny.us-east-1.es.amazonaws.com/_plugin/kibana/#/discover/Steve-Slow-Train-Analysis-(2080s-and-2083s)?_g=(refreshInterval:(display:Off,section:0,value:0),time:(from:'2016-10-18 14:02:34-0600',mode:absolute,to:'2016-10-18 16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5" s="105" t="str">
        <f t="shared" si="1"/>
        <v>"C:\Program Files (x86)\AstroGrep\AstroGrep.exe" /spath="%USERPROFILE%\AppData\Local\Temp\OnboardLogs" /stypes="*4015*201610182*" /stext=" 21:.+((SYSTEM_STATE.+slice.+state.+changed )|(ment ac)|(system.+state.+changed )|(\[timeout)|(PRM\|1\|D)|(kpr)|(kdp)|(\|lc)|(penalty))" /e /r /s</v>
      </c>
      <c r="U15" s="9" t="str">
        <f t="shared" si="2"/>
        <v>4015</v>
      </c>
      <c r="V15" s="36">
        <f t="shared" si="3"/>
        <v>42661.883726851855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{"issue":{"subject":"","project_id":79,"tracker_id":40,"status_id":1,"priority_id":2,"assigned_to_id":23,"start_date":"2016-10-18","description":"","custom_fields":[{"id":1,"name":"Subdivision","value":"EC"},{"id":4,"name":"Milepost","value":"22.9055"},{"id":17,"name":"Train ID","value":"186-18"},{"id":16,"name":"Locomotive ID","value":"4015"},{"id":130,"name":"Impact","value":""},{"id":150,"name":"Time of Event (Mountain Time)","value":"15:12:34"},{"id":151,"name":"Denver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4" t="str">
        <f t="shared" si="7"/>
        <v>grep -hSE -A100 "Enforcement Action" "%USERPROFILE%\AppData\Local\Temp\OnboardLogs"\RTDC4015\*4015*201610182* | grep -SE "((Enforcement Ac)|(PRM))" -</v>
      </c>
    </row>
    <row r="16" spans="1:29" s="1" customFormat="1" x14ac:dyDescent="0.25">
      <c r="A16" s="36">
        <v>42661.367152777777</v>
      </c>
      <c r="B16" s="31" t="s">
        <v>311</v>
      </c>
      <c r="C16" s="31" t="s">
        <v>418</v>
      </c>
      <c r="D16" s="31" t="s">
        <v>49</v>
      </c>
      <c r="E16" s="31" t="s">
        <v>259</v>
      </c>
      <c r="F16" s="47">
        <v>150</v>
      </c>
      <c r="G16" s="47">
        <v>276</v>
      </c>
      <c r="H16" s="47">
        <v>229643</v>
      </c>
      <c r="I16" s="47">
        <v>230126</v>
      </c>
      <c r="J16" s="31" t="s">
        <v>260</v>
      </c>
      <c r="K16" s="47">
        <v>230436</v>
      </c>
      <c r="L16" s="160" t="s">
        <v>50</v>
      </c>
      <c r="M16" s="161">
        <f t="shared" si="0"/>
        <v>163.68</v>
      </c>
      <c r="N16" s="162" t="str">
        <f>VLOOKUP(C16,'Trips&amp;Operators'!$C$1:$E$99999,3,FALSE)</f>
        <v>SPECTOR</v>
      </c>
      <c r="O16" s="143" t="s">
        <v>258</v>
      </c>
      <c r="P16" s="163"/>
      <c r="Q16" s="31"/>
      <c r="R16" s="100" t="str">
        <f>VLOOKUP(C16,'Train Runs'!$A$13:$AE$10022,31,0)</f>
        <v>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 &amp; 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</v>
      </c>
      <c r="S16" s="103" t="str">
        <f>VLOOKUP(C16,'Train Runs'!$A$13:$AE$10022,22,0)</f>
        <v>https://search-rtdc-monitor-bjffxe2xuh6vdkpspy63sjmuny.us-east-1.es.amazonaws.com/_plugin/kibana/#/discover/Steve-Slow-Train-Analysis-(2080s-and-2083s)?_g=(refreshInterval:(display:Off,section:0,value:0),time:(from:'2016-10-18 06:54:21-0600',mode:absolute,to:'2016-10-18 09:50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6" s="105" t="str">
        <f t="shared" si="1"/>
        <v>"C:\Program Files (x86)\AstroGrep\AstroGrep.exe" /spath="%USERPROFILE%\AppData\Local\Temp\OnboardLogs" /stypes="*4029*201610181*" /stext=" 14:.+((SYSTEM_STATE.+slice.+state.+changed )|(ment ac)|(system.+state.+changed )|(\[timeout)|(PRM\|1\|D)|(kpr)|(kdp)|(\|lc)|(penalty))" /e /r /s</v>
      </c>
      <c r="U16" s="9" t="str">
        <f t="shared" si="2"/>
        <v>4029</v>
      </c>
      <c r="V16" s="36">
        <f t="shared" si="3"/>
        <v>42661.617152777777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{"issue":{"subject":"","project_id":79,"tracker_id":40,"status_id":1,"priority_id":2,"assigned_to_id":23,"start_date":"2016-10-18","description":"","custom_fields":[{"id":1,"name":"Subdivision","value":"EC"},{"id":4,"name":"Milepost","value":"23.0436"},{"id":17,"name":"Train ID","value":"135-18"},{"id":16,"name":"Locomotive ID","value":"4029"},{"id":130,"name":"Impact","value":""},{"id":150,"name":"Time of Event (Mountain Time)","value":"08:48:42"},{"id":151,"name":"Denver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4" t="str">
        <f t="shared" si="7"/>
        <v>grep -hSE -A100 "Enforcement Action" "%USERPROFILE%\AppData\Local\Temp\OnboardLogs"\RTDC4029\*4029*201610181* | grep -SE "((Enforcement Ac)|(PRM))" -</v>
      </c>
    </row>
    <row r="17" spans="1:30" s="1" customFormat="1" x14ac:dyDescent="0.25">
      <c r="A17" s="36">
        <v>42661.670023148145</v>
      </c>
      <c r="B17" s="31" t="s">
        <v>197</v>
      </c>
      <c r="C17" s="31" t="s">
        <v>430</v>
      </c>
      <c r="D17" s="31" t="s">
        <v>49</v>
      </c>
      <c r="E17" s="31" t="s">
        <v>259</v>
      </c>
      <c r="F17" s="47">
        <v>150</v>
      </c>
      <c r="G17" s="47">
        <v>296</v>
      </c>
      <c r="H17" s="47">
        <v>229119</v>
      </c>
      <c r="I17" s="47">
        <v>229760</v>
      </c>
      <c r="J17" s="31" t="s">
        <v>260</v>
      </c>
      <c r="K17" s="47">
        <v>230436</v>
      </c>
      <c r="L17" s="160" t="s">
        <v>50</v>
      </c>
      <c r="M17" s="161">
        <f t="shared" si="0"/>
        <v>356.92799999999994</v>
      </c>
      <c r="N17" s="162" t="str">
        <f>VLOOKUP(C17,'Trips&amp;Operators'!$C$1:$E$99999,3,FALSE)</f>
        <v>HILLS</v>
      </c>
      <c r="O17" s="143" t="s">
        <v>258</v>
      </c>
      <c r="P17" s="163"/>
      <c r="Q17" s="31"/>
      <c r="R17" s="100" t="str">
        <f>VLOOKUP(C17,'Train Runs'!$A$13:$AE$10022,31,0)</f>
        <v>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 &amp; aws s3 cp s3://rtdc.mdm.uploadarchive.raw/RTDC4044/ "%USERPROFILE%\AppData\Local\Temp\OnboardLogs"\RTDC4044\2016-10-19 --exclude "*" --recursive --include "*20161019*" &amp; "%USERPROFILE%\Documents\GitHub\mrs-test-scripts\Headless Mode &amp; Sideloading\WalkAndUnGZ.bat" "%USERPROFILE%\AppData\Local\Temp\OnboardLogs"\RTDC4044\2016-10-19</v>
      </c>
      <c r="S17" s="103" t="str">
        <f>VLOOKUP(C17,'Train Runs'!$A$13:$AE$10022,22,0)</f>
        <v>https://search-rtdc-monitor-bjffxe2xuh6vdkpspy63sjmuny.us-east-1.es.amazonaws.com/_plugin/kibana/#/discover/Steve-Slow-Train-Analysis-(2080s-and-2083s)?_g=(refreshInterval:(display:Off,section:0,value:0),time:(from:'2016-10-18 14:25:29-0600',mode:absolute,to:'2016-10-18 17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7" s="105" t="str">
        <f t="shared" si="1"/>
        <v>"C:\Program Files (x86)\AstroGrep\AstroGrep.exe" /spath="%USERPROFILE%\AppData\Local\Temp\OnboardLogs" /stypes="*4044*201610182*" /stext=" 22:.+((SYSTEM_STATE.+slice.+state.+changed )|(ment ac)|(system.+state.+changed )|(\[timeout)|(PRM\|1\|D)|(kpr)|(kdp)|(\|lc)|(penalty))" /e /r /s</v>
      </c>
      <c r="U17" s="9" t="str">
        <f t="shared" si="2"/>
        <v>4044</v>
      </c>
      <c r="V17" s="36">
        <f t="shared" si="3"/>
        <v>42661.920023148145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{"issue":{"subject":"","project_id":79,"tracker_id":40,"status_id":1,"priority_id":2,"assigned_to_id":23,"start_date":"2016-10-18","description":"","custom_fields":[{"id":1,"name":"Subdivision","value":"EC"},{"id":4,"name":"Milepost","value":"23.0436"},{"id":17,"name":"Train ID","value":"195-18"},{"id":16,"name":"Locomotive ID","value":"4044"},{"id":130,"name":"Impact","value":""},{"id":150,"name":"Time of Event (Mountain Time)","value":"16:04:50"},{"id":151,"name":"Denver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4" t="str">
        <f t="shared" si="7"/>
        <v>grep -hSE -A100 "Enforcement Action" "%USERPROFILE%\AppData\Local\Temp\OnboardLogs"\RTDC4044\*4044*201610182* | grep -SE "((Enforcement Ac)|(PRM))" -</v>
      </c>
    </row>
    <row r="18" spans="1:30" s="1" customFormat="1" x14ac:dyDescent="0.25">
      <c r="A18" s="36">
        <v>42661.457280092596</v>
      </c>
      <c r="B18" s="31" t="s">
        <v>289</v>
      </c>
      <c r="C18" s="31" t="s">
        <v>422</v>
      </c>
      <c r="D18" s="31" t="s">
        <v>98</v>
      </c>
      <c r="E18" s="31" t="s">
        <v>259</v>
      </c>
      <c r="F18" s="47">
        <v>350</v>
      </c>
      <c r="G18" s="47">
        <v>402</v>
      </c>
      <c r="H18" s="47">
        <v>224790</v>
      </c>
      <c r="I18" s="47">
        <v>223307</v>
      </c>
      <c r="J18" s="31" t="s">
        <v>260</v>
      </c>
      <c r="K18" s="47">
        <v>232107</v>
      </c>
      <c r="L18" s="160" t="s">
        <v>51</v>
      </c>
      <c r="M18" s="161">
        <f t="shared" si="0"/>
        <v>-4646.3999999999996</v>
      </c>
      <c r="N18" s="162" t="str">
        <f>VLOOKUP(C18,'Trips&amp;Operators'!$C$1:$E$99999,3,FALSE)</f>
        <v>DAVIS</v>
      </c>
      <c r="O18" s="143" t="s">
        <v>258</v>
      </c>
      <c r="P18" s="163"/>
      <c r="Q18" s="31"/>
      <c r="R18" s="100" t="str">
        <f>VLOOKUP(C18,'Train Runs'!$A$13:$AE$10022,31,0)</f>
        <v>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 &amp; 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</v>
      </c>
      <c r="S18" s="103" t="str">
        <f>VLOOKUP(C18,'Train Runs'!$A$13:$AE$10022,22,0)</f>
        <v>https://search-rtdc-monitor-bjffxe2xuh6vdkpspy63sjmuny.us-east-1.es.amazonaws.com/_plugin/kibana/#/discover/Steve-Slow-Train-Analysis-(2080s-and-2083s)?_g=(refreshInterval:(display:Off,section:0,value:0),time:(from:'2016-10-18 09:53:15-0600',mode:absolute,to:'2016-10-18 12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8" s="105" t="str">
        <f t="shared" si="1"/>
        <v>"C:\Program Files (x86)\AstroGrep\AstroGrep.exe" /spath="%USERPROFILE%\AppData\Local\Temp\OnboardLogs" /stypes="*4012*201610181*" /stext=" 16:.+((SYSTEM_STATE.+slice.+state.+changed )|(ment ac)|(system.+state.+changed )|(\[timeout)|(PRM\|1\|D)|(kpr)|(kdp)|(\|lc)|(penalty))" /e /r /s</v>
      </c>
      <c r="U18" s="9" t="str">
        <f t="shared" si="2"/>
        <v>4012</v>
      </c>
      <c r="V18" s="36">
        <f t="shared" si="3"/>
        <v>42661.707280092596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{"issue":{"subject":"","project_id":79,"tracker_id":40,"status_id":1,"priority_id":2,"assigned_to_id":23,"start_date":"2016-10-18","description":"","custom_fields":[{"id":1,"name":"Subdivision","value":"EC"},{"id":4,"name":"Milepost","value":"23.2107"},{"id":17,"name":"Train ID","value":"152-18"},{"id":16,"name":"Locomotive ID","value":"4012"},{"id":130,"name":"Impact","value":""},{"id":150,"name":"Time of Event (Mountain Time)","value":"10:58:29"},{"id":151,"name":"Denver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4" t="str">
        <f t="shared" si="7"/>
        <v>grep -hSE -A100 "Enforcement Action" "%USERPROFILE%\AppData\Local\Temp\OnboardLogs"\RTDC4012\*4012*201610181* | grep -SE "((Enforcement Ac)|(PRM))" -</v>
      </c>
    </row>
    <row r="19" spans="1:30" s="1" customFormat="1" x14ac:dyDescent="0.25">
      <c r="A19" s="36">
        <v>42661.349861111114</v>
      </c>
      <c r="B19" s="31" t="s">
        <v>217</v>
      </c>
      <c r="C19" s="31" t="s">
        <v>417</v>
      </c>
      <c r="D19" s="31" t="s">
        <v>49</v>
      </c>
      <c r="E19" s="31" t="s">
        <v>262</v>
      </c>
      <c r="F19" s="47">
        <v>0</v>
      </c>
      <c r="G19" s="47">
        <v>693</v>
      </c>
      <c r="H19" s="47">
        <v>138479</v>
      </c>
      <c r="I19" s="47">
        <v>135496</v>
      </c>
      <c r="J19" s="31" t="s">
        <v>263</v>
      </c>
      <c r="K19" s="47">
        <v>133166</v>
      </c>
      <c r="L19" s="160" t="s">
        <v>51</v>
      </c>
      <c r="M19" s="161">
        <f t="shared" si="0"/>
        <v>1230.24</v>
      </c>
      <c r="N19" s="162" t="str">
        <f>VLOOKUP(C19,'Trips&amp;Operators'!$C$1:$E$99999,3,FALSE)</f>
        <v>ROCHA</v>
      </c>
      <c r="O19" s="143" t="s">
        <v>258</v>
      </c>
      <c r="P19" s="163" t="s">
        <v>790</v>
      </c>
      <c r="Q19" s="31"/>
      <c r="R19" s="100" t="str">
        <f>VLOOKUP(C19,'Train Runs'!$A$13:$AE$10022,31,0)</f>
        <v>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 &amp; 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</v>
      </c>
      <c r="S19" s="103" t="str">
        <f>VLOOKUP(C19,'Train Runs'!$A$13:$AE$10022,22,0)</f>
        <v>https://search-rtdc-monitor-bjffxe2xuh6vdkpspy63sjmuny.us-east-1.es.amazonaws.com/_plugin/kibana/#/discover/Steve-Slow-Train-Analysis-(2080s-and-2083s)?_g=(refreshInterval:(display:Off,section:0,value:0),time:(from:'2016-10-18 07:02:55-0600',mode:absolute,to:'2016-10-18 10:00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9" s="105" t="str">
        <f t="shared" si="1"/>
        <v>"C:\Program Files (x86)\AstroGrep\AstroGrep.exe" /spath="%USERPROFILE%\AppData\Local\Temp\OnboardLogs" /stypes="*4032*201610181*" /stext=" 14:.+((SYSTEM_STATE.+slice.+state.+changed )|(ment ac)|(system.+state.+changed )|(\[timeout)|(PRM\|1\|D)|(kpr)|(kdp)|(\|lc)|(penalty))" /e /r /s</v>
      </c>
      <c r="U19" s="9" t="str">
        <f t="shared" si="2"/>
        <v>4032</v>
      </c>
      <c r="V19" s="36">
        <f t="shared" si="3"/>
        <v>42661.599861111114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{"issue":{"subject":"EC1332RH 140-2T 2S STOP &amp; PROCEED, cleared afterward","project_id":79,"tracker_id":40,"status_id":1,"priority_id":2,"assigned_to_id":23,"start_date":"2016-10-18","description":"","custom_fields":[{"id":1,"name":"Subdivision","value":"EC"},{"id":4,"name":"Milepost","value":"13.3166"},{"id":17,"name":"Train ID","value":"130-18"},{"id":16,"name":"Locomotive ID","value":"4032"},{"id":130,"name":"Impact","value":""},{"id":150,"name":"Time of Event (Mountain Time)","value":"08:23:48"},{"id":151,"name":"Denver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4" t="str">
        <f t="shared" si="7"/>
        <v>grep -hSE -A100 "Enforcement Action" "%USERPROFILE%\AppData\Local\Temp\OnboardLogs"\RTDC4032\*4032*201610181* | grep -SE "((Enforcement Ac)|(PRM))" -</v>
      </c>
    </row>
    <row r="20" spans="1:30" x14ac:dyDescent="0.25">
      <c r="A20" s="36">
        <v>42661.3593287037</v>
      </c>
      <c r="B20" s="31" t="s">
        <v>311</v>
      </c>
      <c r="C20" s="31" t="s">
        <v>418</v>
      </c>
      <c r="D20" s="31" t="s">
        <v>49</v>
      </c>
      <c r="E20" s="31" t="s">
        <v>262</v>
      </c>
      <c r="F20" s="47">
        <v>0</v>
      </c>
      <c r="G20" s="47">
        <v>469</v>
      </c>
      <c r="H20" s="47">
        <v>153247</v>
      </c>
      <c r="I20" s="47">
        <v>154408</v>
      </c>
      <c r="J20" s="31" t="s">
        <v>263</v>
      </c>
      <c r="K20" s="47">
        <v>155600</v>
      </c>
      <c r="L20" s="160" t="s">
        <v>50</v>
      </c>
      <c r="M20" s="161">
        <f t="shared" si="0"/>
        <v>629.37599999999998</v>
      </c>
      <c r="N20" s="162" t="str">
        <f>VLOOKUP(C20,'Trips&amp;Operators'!$C$1:$E$99999,3,FALSE)</f>
        <v>SPECTOR</v>
      </c>
      <c r="O20" s="143" t="s">
        <v>258</v>
      </c>
      <c r="P20" s="163" t="s">
        <v>791</v>
      </c>
      <c r="Q20" s="31"/>
      <c r="R20" s="100" t="str">
        <f>VLOOKUP(C20,'Train Runs'!$A$13:$AE$10022,31,0)</f>
        <v>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 &amp; aws s3 cp s3://rtdc.mdm.uploadarchive.raw/RTDC4029/ "%USERPROFILE%\AppData\Local\Temp\OnboardLogs"\RTDC4029\2016-10-19 --exclude "*" --recursive --include "*20161019*" &amp; "%USERPROFILE%\Documents\GitHub\mrs-test-scripts\Headless Mode &amp; Sideloading\WalkAndUnGZ.bat" "%USERPROFILE%\AppData\Local\Temp\OnboardLogs"\RTDC4029\2016-10-19</v>
      </c>
      <c r="S20" s="103" t="str">
        <f>VLOOKUP(C20,'Train Runs'!$A$13:$AE$10022,22,0)</f>
        <v>https://search-rtdc-monitor-bjffxe2xuh6vdkpspy63sjmuny.us-east-1.es.amazonaws.com/_plugin/kibana/#/discover/Steve-Slow-Train-Analysis-(2080s-and-2083s)?_g=(refreshInterval:(display:Off,section:0,value:0),time:(from:'2016-10-18 06:54:21-0600',mode:absolute,to:'2016-10-18 09:50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0" s="105" t="str">
        <f t="shared" si="1"/>
        <v>"C:\Program Files (x86)\AstroGrep\AstroGrep.exe" /spath="%USERPROFILE%\AppData\Local\Temp\OnboardLogs" /stypes="*4029*201610181*" /stext=" 14:.+((SYSTEM_STATE.+slice.+state.+changed )|(ment ac)|(system.+state.+changed )|(\[timeout)|(PRM\|1\|D)|(kpr)|(kdp)|(\|lc)|(penalty))" /e /r /s</v>
      </c>
      <c r="U20" s="9" t="str">
        <f t="shared" si="2"/>
        <v>4029</v>
      </c>
      <c r="V20" s="36">
        <f t="shared" si="3"/>
        <v>42661.6093287037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{"issue":{"subject":"61st STOP, cleared afterward","project_id":79,"tracker_id":40,"status_id":1,"priority_id":2,"assigned_to_id":23,"start_date":"2016-10-18","description":"","custom_fields":[{"id":1,"name":"Subdivision","value":"EC"},{"id":4,"name":"Milepost","value":"15.56"},{"id":17,"name":"Train ID","value":"135-18"},{"id":16,"name":"Locomotive ID","value":"4029"},{"id":130,"name":"Impact","value":""},{"id":150,"name":"Time of Event (Mountain Time)","value":"08:37:26"},{"id":151,"name":"Denver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4" t="str">
        <f t="shared" si="7"/>
        <v>grep -hSE -A100 "Enforcement Action" "%USERPROFILE%\AppData\Local\Temp\OnboardLogs"\RTDC4029\*4029*201610181* | grep -SE "((Enforcement Ac)|(PRM))" -</v>
      </c>
      <c r="AD20" s="1"/>
    </row>
    <row r="21" spans="1:30" s="1" customFormat="1" x14ac:dyDescent="0.25">
      <c r="A21" s="36">
        <v>42661.386805555558</v>
      </c>
      <c r="B21" s="31" t="s">
        <v>289</v>
      </c>
      <c r="C21" s="31" t="s">
        <v>419</v>
      </c>
      <c r="D21" s="31" t="s">
        <v>49</v>
      </c>
      <c r="E21" s="31" t="s">
        <v>262</v>
      </c>
      <c r="F21" s="47">
        <v>0</v>
      </c>
      <c r="G21" s="47">
        <v>330</v>
      </c>
      <c r="H21" s="47">
        <v>193340</v>
      </c>
      <c r="I21" s="47">
        <v>192585</v>
      </c>
      <c r="J21" s="31" t="s">
        <v>263</v>
      </c>
      <c r="K21" s="47">
        <v>191723</v>
      </c>
      <c r="L21" s="160" t="s">
        <v>51</v>
      </c>
      <c r="M21" s="161">
        <f t="shared" si="0"/>
        <v>455.13600000000002</v>
      </c>
      <c r="N21" s="162" t="str">
        <f>VLOOKUP(C21,'Trips&amp;Operators'!$C$1:$E$99999,3,FALSE)</f>
        <v>DAVIS</v>
      </c>
      <c r="O21" s="143" t="s">
        <v>258</v>
      </c>
      <c r="P21" s="163" t="s">
        <v>337</v>
      </c>
      <c r="Q21" s="31"/>
      <c r="R21" s="100" t="str">
        <f>VLOOKUP(C21,'Train Runs'!$A$13:$AE$10022,31,0)</f>
        <v>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 &amp; 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</v>
      </c>
      <c r="S21" s="103" t="str">
        <f>VLOOKUP(C21,'Train Runs'!$A$13:$AE$10022,22,0)</f>
        <v>https://search-rtdc-monitor-bjffxe2xuh6vdkpspy63sjmuny.us-east-1.es.amazonaws.com/_plugin/kibana/#/discover/Steve-Slow-Train-Analysis-(2080s-and-2083s)?_g=(refreshInterval:(display:Off,section:0,value:0),time:(from:'2016-10-18 08:07:30-0600',mode:absolute,to:'2016-10-18 10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1" s="105" t="str">
        <f t="shared" si="1"/>
        <v>"C:\Program Files (x86)\AstroGrep\AstroGrep.exe" /spath="%USERPROFILE%\AppData\Local\Temp\OnboardLogs" /stypes="*4012*201610181*" /stext=" 15:.+((SYSTEM_STATE.+slice.+state.+changed )|(ment ac)|(system.+state.+changed )|(\[timeout)|(PRM\|1\|D)|(kpr)|(kdp)|(\|lc)|(penalty))" /e /r /s</v>
      </c>
      <c r="U21" s="9" t="str">
        <f t="shared" si="2"/>
        <v>4012</v>
      </c>
      <c r="V21" s="36">
        <f t="shared" si="3"/>
        <v>42661.636805555558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{"issue":{"subject":"Pena 4S STOP, cleared afterward","project_id":79,"tracker_id":40,"status_id":1,"priority_id":2,"assigned_to_id":23,"start_date":"2016-10-18","description":"","custom_fields":[{"id":1,"name":"Subdivision","value":"EC"},{"id":4,"name":"Milepost","value":"19.1723"},{"id":17,"name":"Train ID","value":"138-18"},{"id":16,"name":"Locomotive ID","value":"4012"},{"id":130,"name":"Impact","value":""},{"id":150,"name":"Time of Event (Mountain Time)","value":"09:17:00"},{"id":151,"name":"Denver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4" t="str">
        <f t="shared" si="7"/>
        <v>grep -hSE -A100 "Enforcement Action" "%USERPROFILE%\AppData\Local\Temp\OnboardLogs"\RTDC4012\*4012*201610181* | grep -SE "((Enforcement Ac)|(PRM))" -</v>
      </c>
    </row>
    <row r="22" spans="1:30" x14ac:dyDescent="0.25">
      <c r="A22" s="36">
        <v>42661.688449074078</v>
      </c>
      <c r="B22" s="31" t="s">
        <v>212</v>
      </c>
      <c r="C22" s="31" t="s">
        <v>431</v>
      </c>
      <c r="D22" s="31" t="s">
        <v>49</v>
      </c>
      <c r="E22" s="31" t="s">
        <v>262</v>
      </c>
      <c r="F22" s="47">
        <v>0</v>
      </c>
      <c r="G22" s="47">
        <v>351</v>
      </c>
      <c r="H22" s="47">
        <v>193500</v>
      </c>
      <c r="I22" s="47">
        <v>192684</v>
      </c>
      <c r="J22" s="31" t="s">
        <v>263</v>
      </c>
      <c r="K22" s="47">
        <v>191723</v>
      </c>
      <c r="L22" s="160" t="s">
        <v>51</v>
      </c>
      <c r="M22" s="161">
        <f t="shared" si="0"/>
        <v>507.40800000000002</v>
      </c>
      <c r="N22" s="162" t="str">
        <f>VLOOKUP(C22,'Trips&amp;Operators'!$C$1:$E$99999,3,FALSE)</f>
        <v>HILLS</v>
      </c>
      <c r="O22" s="143" t="s">
        <v>258</v>
      </c>
      <c r="P22" s="163" t="s">
        <v>337</v>
      </c>
      <c r="Q22" s="31"/>
      <c r="R22" s="100" t="str">
        <f>VLOOKUP(C22,'Train Runs'!$A$13:$AE$10022,31,0)</f>
        <v>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 &amp; aws s3 cp s3://rtdc.mdm.uploadarchive.raw/RTDC4043/ "%USERPROFILE%\AppData\Local\Temp\OnboardLogs"\RTDC4043\2016-10-19 --exclude "*" --recursive --include "*20161019*" &amp; "%USERPROFILE%\Documents\GitHub\mrs-test-scripts\Headless Mode &amp; Sideloading\WalkAndUnGZ.bat" "%USERPROFILE%\AppData\Local\Temp\OnboardLogs"\RTDC4043\2016-10-19</v>
      </c>
      <c r="S22" s="103" t="str">
        <f>VLOOKUP(C22,'Train Runs'!$A$13:$AE$10022,22,0)</f>
        <v>https://search-rtdc-monitor-bjffxe2xuh6vdkpspy63sjmuny.us-east-1.es.amazonaws.com/_plugin/kibana/#/discover/Steve-Slow-Train-Analysis-(2080s-and-2083s)?_g=(refreshInterval:(display:Off,section:0,value:0),time:(from:'2016-10-18 15:09:05-0600',mode:absolute,to:'2016-10-18 18:04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2" s="105" t="str">
        <f t="shared" si="1"/>
        <v>"C:\Program Files (x86)\AstroGrep\AstroGrep.exe" /spath="%USERPROFILE%\AppData\Local\Temp\OnboardLogs" /stypes="*4043*201610182*" /stext=" 22:.+((SYSTEM_STATE.+slice.+state.+changed )|(ment ac)|(system.+state.+changed )|(\[timeout)|(PRM\|1\|D)|(kpr)|(kdp)|(\|lc)|(penalty))" /e /r /s</v>
      </c>
      <c r="U22" s="9" t="str">
        <f t="shared" si="2"/>
        <v>4043</v>
      </c>
      <c r="V22" s="36">
        <f t="shared" si="3"/>
        <v>42661.938449074078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{"issue":{"subject":"Pena 4S STOP, cleared afterward","project_id":79,"tracker_id":40,"status_id":1,"priority_id":2,"assigned_to_id":23,"start_date":"2016-10-18","description":"","custom_fields":[{"id":1,"name":"Subdivision","value":"EC"},{"id":4,"name":"Milepost","value":"19.1723"},{"id":17,"name":"Train ID","value":"196-18"},{"id":16,"name":"Locomotive ID","value":"4043"},{"id":130,"name":"Impact","value":""},{"id":150,"name":"Time of Event (Mountain Time)","value":"16:31:22"},{"id":151,"name":"Denver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4" t="str">
        <f t="shared" si="7"/>
        <v>grep -hSE -A100 "Enforcement Action" "%USERPROFILE%\AppData\Local\Temp\OnboardLogs"\RTDC4043\*4043*201610182* | grep -SE "((Enforcement Ac)|(PRM))" -</v>
      </c>
      <c r="AD22" s="1"/>
    </row>
    <row r="23" spans="1:30" x14ac:dyDescent="0.25">
      <c r="A23" s="36">
        <v>42661.308159722219</v>
      </c>
      <c r="B23" s="31" t="s">
        <v>215</v>
      </c>
      <c r="C23" s="31" t="s">
        <v>411</v>
      </c>
      <c r="D23" s="31" t="s">
        <v>49</v>
      </c>
      <c r="E23" s="31" t="s">
        <v>264</v>
      </c>
      <c r="F23" s="47">
        <v>0</v>
      </c>
      <c r="G23" s="47">
        <v>53</v>
      </c>
      <c r="H23" s="47">
        <v>183</v>
      </c>
      <c r="I23" s="47">
        <v>145</v>
      </c>
      <c r="J23" s="31" t="s">
        <v>265</v>
      </c>
      <c r="K23" s="47">
        <v>1</v>
      </c>
      <c r="L23" s="160" t="s">
        <v>51</v>
      </c>
      <c r="M23" s="161">
        <f t="shared" si="0"/>
        <v>76.031999999999996</v>
      </c>
      <c r="N23" s="162" t="str">
        <f>VLOOKUP(C23,'Trips&amp;Operators'!$C$1:$E$99999,3,FALSE)</f>
        <v>ACKERMAN</v>
      </c>
      <c r="O23" s="143" t="s">
        <v>258</v>
      </c>
      <c r="P23" s="163"/>
      <c r="Q23" s="31"/>
      <c r="R23" s="100" t="str">
        <f>VLOOKUP(C23,'Train Runs'!$A$13:$AE$10022,31,0)</f>
        <v>aws s3 cp s3://rtdc.mdm.uploadarchive.raw/RTDC4039/ "%USERPROFILE%\AppData\Local\Temp\OnboardLogs"\RTDC4039\2016-10-18 --exclude "*" --recursive --include "*20161018*" &amp; "%USERPROFILE%\Documents\GitHub\mrs-test-scripts\Headless Mode &amp; Sideloading\WalkAndUnGZ.bat" "%USERPROFILE%\AppData\Local\Temp\OnboardLogs"\RTDC4039\2016-10-18 &amp; 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</v>
      </c>
      <c r="S23" s="103" t="str">
        <f>VLOOKUP(C23,'Train Runs'!$A$13:$AE$10022,22,0)</f>
        <v>https://search-rtdc-monitor-bjffxe2xuh6vdkpspy63sjmuny.us-east-1.es.amazonaws.com/_plugin/kibana/#/discover/Steve-Slow-Train-Analysis-(2080s-and-2083s)?_g=(refreshInterval:(display:Off,section:0,value:0),time:(from:'2016-10-18 05:25:04-0600',mode:absolute,to:'2016-10-18 08:23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3" s="105" t="str">
        <f t="shared" si="1"/>
        <v>"C:\Program Files (x86)\AstroGrep\AstroGrep.exe" /spath="%USERPROFILE%\AppData\Local\Temp\OnboardLogs" /stypes="*4039*201610181*" /stext=" 13:.+((SYSTEM_STATE.+slice.+state.+changed )|(ment ac)|(system.+state.+changed )|(\[timeout)|(PRM\|1\|D)|(kpr)|(kdp)|(\|lc)|(penalty))" /e /r /s</v>
      </c>
      <c r="U23" s="9" t="str">
        <f t="shared" si="2"/>
        <v>4039</v>
      </c>
      <c r="V23" s="36">
        <f t="shared" si="3"/>
        <v>42661.558159722219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{"issue":{"subject":"","project_id":79,"tracker_id":40,"status_id":1,"priority_id":2,"assigned_to_id":23,"start_date":"2016-10-18","description":"","custom_fields":[{"id":1,"name":"Subdivision","value":"EC"},{"id":4,"name":"Milepost","value":"0.0001"},{"id":17,"name":"Train ID","value":"118-18"},{"id":16,"name":"Locomotive ID","value":"4039"},{"id":130,"name":"Impact","value":""},{"id":150,"name":"Time of Event (Mountain Time)","value":"07:23:45"},{"id":151,"name":"Denver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4" t="str">
        <f t="shared" si="7"/>
        <v>grep -hSE -A100 "Enforcement Action" "%USERPROFILE%\AppData\Local\Temp\OnboardLogs"\RTDC4039\*4039*201610181* | grep -SE "((Enforcement Ac)|(PRM))" -</v>
      </c>
      <c r="AD23" s="1"/>
    </row>
    <row r="24" spans="1:30" x14ac:dyDescent="0.25">
      <c r="A24" s="36">
        <v>42661.346238425926</v>
      </c>
      <c r="B24" s="31" t="s">
        <v>212</v>
      </c>
      <c r="C24" s="31" t="s">
        <v>416</v>
      </c>
      <c r="D24" s="31" t="s">
        <v>49</v>
      </c>
      <c r="E24" s="31" t="s">
        <v>264</v>
      </c>
      <c r="F24" s="47">
        <v>0</v>
      </c>
      <c r="G24" s="47">
        <v>69</v>
      </c>
      <c r="H24" s="47">
        <v>242</v>
      </c>
      <c r="I24" s="47">
        <v>163</v>
      </c>
      <c r="J24" s="31" t="s">
        <v>265</v>
      </c>
      <c r="K24" s="47">
        <v>1</v>
      </c>
      <c r="L24" s="160" t="s">
        <v>51</v>
      </c>
      <c r="M24" s="161">
        <f t="shared" si="0"/>
        <v>85.536000000000001</v>
      </c>
      <c r="N24" s="162" t="str">
        <f>VLOOKUP(C24,'Trips&amp;Operators'!$C$1:$E$99999,3,FALSE)</f>
        <v>GEBRETEKLE</v>
      </c>
      <c r="O24" s="143" t="s">
        <v>258</v>
      </c>
      <c r="P24" s="163"/>
      <c r="Q24" s="31"/>
      <c r="R24" s="100" t="str">
        <f>VLOOKUP(C24,'Train Runs'!$A$13:$AE$10022,31,0)</f>
        <v>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 &amp; aws s3 cp s3://rtdc.mdm.uploadarchive.raw/RTDC4043/ "%USERPROFILE%\AppData\Local\Temp\OnboardLogs"\RTDC4043\2016-10-19 --exclude "*" --recursive --include "*20161019*" &amp; "%USERPROFILE%\Documents\GitHub\mrs-test-scripts\Headless Mode &amp; Sideloading\WalkAndUnGZ.bat" "%USERPROFILE%\AppData\Local\Temp\OnboardLogs"\RTDC4043\2016-10-19</v>
      </c>
      <c r="S24" s="103" t="str">
        <f>VLOOKUP(C24,'Train Runs'!$A$13:$AE$10022,22,0)</f>
        <v>https://search-rtdc-monitor-bjffxe2xuh6vdkpspy63sjmuny.us-east-1.es.amazonaws.com/_plugin/kibana/#/discover/Steve-Slow-Train-Analysis-(2080s-and-2083s)?_g=(refreshInterval:(display:Off,section:0,value:0),time:(from:'2016-10-18 06:35:36-0600',mode:absolute,to:'2016-10-18 09:18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4" s="105" t="str">
        <f t="shared" si="1"/>
        <v>"C:\Program Files (x86)\AstroGrep\AstroGrep.exe" /spath="%USERPROFILE%\AppData\Local\Temp\OnboardLogs" /stypes="*4043*201610181*" /stext=" 14:.+((SYSTEM_STATE.+slice.+state.+changed )|(ment ac)|(system.+state.+changed )|(\[timeout)|(PRM\|1\|D)|(kpr)|(kdp)|(\|lc)|(penalty))" /e /r /s</v>
      </c>
      <c r="U24" s="9" t="str">
        <f t="shared" si="2"/>
        <v>4043</v>
      </c>
      <c r="V24" s="36">
        <f t="shared" si="3"/>
        <v>42661.596238425926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{"issue":{"subject":"","project_id":79,"tracker_id":40,"status_id":1,"priority_id":2,"assigned_to_id":23,"start_date":"2016-10-18","description":"","custom_fields":[{"id":1,"name":"Subdivision","value":"EC"},{"id":4,"name":"Milepost","value":"0.0001"},{"id":17,"name":"Train ID","value":"126-18"},{"id":16,"name":"Locomotive ID","value":"4043"},{"id":130,"name":"Impact","value":""},{"id":150,"name":"Time of Event (Mountain Time)","value":"08:18:35"},{"id":151,"name":"Denver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4" t="str">
        <f t="shared" si="7"/>
        <v>grep -hSE -A100 "Enforcement Action" "%USERPROFILE%\AppData\Local\Temp\OnboardLogs"\RTDC4043\*4043*201610181* | grep -SE "((Enforcement Ac)|(PRM))" -</v>
      </c>
      <c r="AD24" s="1"/>
    </row>
    <row r="25" spans="1:30" ht="15" customHeight="1" x14ac:dyDescent="0.25">
      <c r="A25" s="36">
        <v>42661.412974537037</v>
      </c>
      <c r="B25" s="31" t="s">
        <v>289</v>
      </c>
      <c r="C25" s="31" t="s">
        <v>419</v>
      </c>
      <c r="D25" s="31" t="s">
        <v>49</v>
      </c>
      <c r="E25" s="31" t="s">
        <v>264</v>
      </c>
      <c r="F25" s="47">
        <v>0</v>
      </c>
      <c r="G25" s="47">
        <v>70</v>
      </c>
      <c r="H25" s="47">
        <v>271</v>
      </c>
      <c r="I25" s="47">
        <v>180</v>
      </c>
      <c r="J25" s="31" t="s">
        <v>265</v>
      </c>
      <c r="K25" s="47">
        <v>1</v>
      </c>
      <c r="L25" s="160" t="s">
        <v>51</v>
      </c>
      <c r="M25" s="161">
        <f t="shared" si="0"/>
        <v>94.512</v>
      </c>
      <c r="N25" s="162" t="str">
        <f>VLOOKUP(C25,'Trips&amp;Operators'!$C$1:$E$99999,3,FALSE)</f>
        <v>DAVIS</v>
      </c>
      <c r="O25" s="143" t="s">
        <v>258</v>
      </c>
      <c r="P25" s="163"/>
      <c r="Q25" s="31"/>
      <c r="R25" s="100" t="str">
        <f>VLOOKUP(C25,'Train Runs'!$A$13:$AE$10022,31,0)</f>
        <v>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 &amp; 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</v>
      </c>
      <c r="S25" s="103" t="str">
        <f>VLOOKUP(C25,'Train Runs'!$A$13:$AE$10022,22,0)</f>
        <v>https://search-rtdc-monitor-bjffxe2xuh6vdkpspy63sjmuny.us-east-1.es.amazonaws.com/_plugin/kibana/#/discover/Steve-Slow-Train-Analysis-(2080s-and-2083s)?_g=(refreshInterval:(display:Off,section:0,value:0),time:(from:'2016-10-18 08:07:30-0600',mode:absolute,to:'2016-10-18 10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5" s="105" t="str">
        <f t="shared" si="1"/>
        <v>"C:\Program Files (x86)\AstroGrep\AstroGrep.exe" /spath="%USERPROFILE%\AppData\Local\Temp\OnboardLogs" /stypes="*4012*201610181*" /stext=" 15:.+((SYSTEM_STATE.+slice.+state.+changed )|(ment ac)|(system.+state.+changed )|(\[timeout)|(PRM\|1\|D)|(kpr)|(kdp)|(\|lc)|(penalty))" /e /r /s</v>
      </c>
      <c r="U25" s="9" t="str">
        <f t="shared" si="2"/>
        <v>4012</v>
      </c>
      <c r="V25" s="36">
        <f t="shared" si="3"/>
        <v>42661.662974537037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{"issue":{"subject":"","project_id":79,"tracker_id":40,"status_id":1,"priority_id":2,"assigned_to_id":23,"start_date":"2016-10-18","description":"","custom_fields":[{"id":1,"name":"Subdivision","value":"EC"},{"id":4,"name":"Milepost","value":"0.0001"},{"id":17,"name":"Train ID","value":"138-18"},{"id":16,"name":"Locomotive ID","value":"4012"},{"id":130,"name":"Impact","value":""},{"id":150,"name":"Time of Event (Mountain Time)","value":"09:54:41"},{"id":151,"name":"Denver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4" t="str">
        <f t="shared" si="7"/>
        <v>grep -hSE -A100 "Enforcement Action" "%USERPROFILE%\AppData\Local\Temp\OnboardLogs"\RTDC4012\*4012*201610181* | grep -SE "((Enforcement Ac)|(PRM))" -</v>
      </c>
      <c r="AD25" s="1"/>
    </row>
    <row r="26" spans="1:30" x14ac:dyDescent="0.25">
      <c r="A26" s="36">
        <v>42661.484942129631</v>
      </c>
      <c r="B26" s="31" t="s">
        <v>289</v>
      </c>
      <c r="C26" s="31" t="s">
        <v>422</v>
      </c>
      <c r="D26" s="31" t="s">
        <v>49</v>
      </c>
      <c r="E26" s="31" t="s">
        <v>264</v>
      </c>
      <c r="F26" s="47">
        <v>0</v>
      </c>
      <c r="G26" s="47">
        <v>54</v>
      </c>
      <c r="H26" s="47">
        <v>170</v>
      </c>
      <c r="I26" s="47">
        <v>118</v>
      </c>
      <c r="J26" s="31" t="s">
        <v>265</v>
      </c>
      <c r="K26" s="47">
        <v>1</v>
      </c>
      <c r="L26" s="160" t="s">
        <v>51</v>
      </c>
      <c r="M26" s="161">
        <f t="shared" si="0"/>
        <v>61.776000000000003</v>
      </c>
      <c r="N26" s="162" t="str">
        <f>VLOOKUP(C26,'Trips&amp;Operators'!$C$1:$E$99999,3,FALSE)</f>
        <v>DAVIS</v>
      </c>
      <c r="O26" s="143" t="s">
        <v>258</v>
      </c>
      <c r="P26" s="163"/>
      <c r="Q26" s="31"/>
      <c r="R26" s="100" t="str">
        <f>VLOOKUP(C26,'Train Runs'!$A$13:$AE$10022,31,0)</f>
        <v>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 &amp; 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</v>
      </c>
      <c r="S26" s="103" t="str">
        <f>VLOOKUP(C26,'Train Runs'!$A$13:$AE$10022,22,0)</f>
        <v>https://search-rtdc-monitor-bjffxe2xuh6vdkpspy63sjmuny.us-east-1.es.amazonaws.com/_plugin/kibana/#/discover/Steve-Slow-Train-Analysis-(2080s-and-2083s)?_g=(refreshInterval:(display:Off,section:0,value:0),time:(from:'2016-10-18 09:53:15-0600',mode:absolute,to:'2016-10-18 12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6" s="105" t="str">
        <f t="shared" si="1"/>
        <v>"C:\Program Files (x86)\AstroGrep\AstroGrep.exe" /spath="%USERPROFILE%\AppData\Local\Temp\OnboardLogs" /stypes="*4012*201610181*" /stext=" 17:.+((SYSTEM_STATE.+slice.+state.+changed )|(ment ac)|(system.+state.+changed )|(\[timeout)|(PRM\|1\|D)|(kpr)|(kdp)|(\|lc)|(penalty))" /e /r /s</v>
      </c>
      <c r="U26" s="9" t="str">
        <f t="shared" si="2"/>
        <v>4012</v>
      </c>
      <c r="V26" s="36">
        <f t="shared" si="3"/>
        <v>42661.734942129631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{"issue":{"subject":"","project_id":79,"tracker_id":40,"status_id":1,"priority_id":2,"assigned_to_id":23,"start_date":"2016-10-18","description":"","custom_fields":[{"id":1,"name":"Subdivision","value":"EC"},{"id":4,"name":"Milepost","value":"0.0001"},{"id":17,"name":"Train ID","value":"152-18"},{"id":16,"name":"Locomotive ID","value":"4012"},{"id":130,"name":"Impact","value":""},{"id":150,"name":"Time of Event (Mountain Time)","value":"11:38:19"},{"id":151,"name":"Denver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4" t="str">
        <f t="shared" si="7"/>
        <v>grep -hSE -A100 "Enforcement Action" "%USERPROFILE%\AppData\Local\Temp\OnboardLogs"\RTDC4012\*4012*201610181* | grep -SE "((Enforcement Ac)|(PRM))" -</v>
      </c>
      <c r="AD26" s="1"/>
    </row>
    <row r="27" spans="1:30" x14ac:dyDescent="0.25">
      <c r="A27" s="36">
        <v>42661.669571759259</v>
      </c>
      <c r="B27" s="31" t="s">
        <v>274</v>
      </c>
      <c r="C27" s="31" t="s">
        <v>429</v>
      </c>
      <c r="D27" s="31" t="s">
        <v>49</v>
      </c>
      <c r="E27" s="31" t="s">
        <v>264</v>
      </c>
      <c r="F27" s="47">
        <v>0</v>
      </c>
      <c r="G27" s="47">
        <v>45</v>
      </c>
      <c r="H27" s="47">
        <v>176</v>
      </c>
      <c r="I27" s="47">
        <v>138</v>
      </c>
      <c r="J27" s="31" t="s">
        <v>265</v>
      </c>
      <c r="K27" s="47">
        <v>1</v>
      </c>
      <c r="L27" s="160" t="s">
        <v>51</v>
      </c>
      <c r="M27" s="161">
        <f t="shared" si="0"/>
        <v>72.335999999999999</v>
      </c>
      <c r="N27" s="162" t="str">
        <f>VLOOKUP(C27,'Trips&amp;Operators'!$C$1:$E$99999,3,FALSE)</f>
        <v>ROBINSON</v>
      </c>
      <c r="O27" s="143" t="s">
        <v>258</v>
      </c>
      <c r="P27" s="163"/>
      <c r="Q27" s="31"/>
      <c r="R27" s="100" t="str">
        <f>VLOOKUP(C27,'Train Runs'!$A$13:$AE$10022,31,0)</f>
        <v>aws s3 cp s3://rtdc.mdm.uploadarchive.raw/RTDC4041/ "%USERPROFILE%\AppData\Local\Temp\OnboardLogs"\RTDC4041\2016-10-18 --exclude "*" --recursive --include "*20161018*" &amp; "%USERPROFILE%\Documents\GitHub\mrs-test-scripts\Headless Mode &amp; Sideloading\WalkAndUnGZ.bat" "%USERPROFILE%\AppData\Local\Temp\OnboardLogs"\RTDC4041\2016-10-18 &amp; aws s3 cp s3://rtdc.mdm.uploadarchive.raw/RTDC4041/ "%USERPROFILE%\AppData\Local\Temp\OnboardLogs"\RTDC4041\2016-10-19 --exclude "*" --recursive --include "*20161019*" &amp; "%USERPROFILE%\Documents\GitHub\mrs-test-scripts\Headless Mode &amp; Sideloading\WalkAndUnGZ.bat" "%USERPROFILE%\AppData\Local\Temp\OnboardLogs"\RTDC4041\2016-10-19</v>
      </c>
      <c r="S27" s="103" t="str">
        <f>VLOOKUP(C27,'Train Runs'!$A$13:$AE$10022,22,0)</f>
        <v>https://search-rtdc-monitor-bjffxe2xuh6vdkpspy63sjmuny.us-east-1.es.amazonaws.com/_plugin/kibana/#/discover/Steve-Slow-Train-Analysis-(2080s-and-2083s)?_g=(refreshInterval:(display:Off,section:0,value:0),time:(from:'2016-10-18 14:11:38-0600',mode:absolute,to:'2016-10-18 17:04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7" s="105" t="str">
        <f t="shared" si="1"/>
        <v>"C:\Program Files (x86)\AstroGrep\AstroGrep.exe" /spath="%USERPROFILE%\AppData\Local\Temp\OnboardLogs" /stypes="*4041*201610182*" /stext=" 22:.+((SYSTEM_STATE.+slice.+state.+changed )|(ment ac)|(system.+state.+changed )|(\[timeout)|(PRM\|1\|D)|(kpr)|(kdp)|(\|lc)|(penalty))" /e /r /s</v>
      </c>
      <c r="U27" s="9" t="str">
        <f t="shared" si="2"/>
        <v>4041</v>
      </c>
      <c r="V27" s="36">
        <f t="shared" si="3"/>
        <v>42661.919571759259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{"issue":{"subject":"","project_id":79,"tracker_id":40,"status_id":1,"priority_id":2,"assigned_to_id":23,"start_date":"2016-10-18","description":"","custom_fields":[{"id":1,"name":"Subdivision","value":"EC"},{"id":4,"name":"Milepost","value":"0.0001"},{"id":17,"name":"Train ID","value":"188-18"},{"id":16,"name":"Locomotive ID","value":"4041"},{"id":130,"name":"Impact","value":""},{"id":150,"name":"Time of Event (Mountain Time)","value":"16:04:11"},{"id":151,"name":"Denver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4" t="str">
        <f t="shared" si="7"/>
        <v>grep -hSE -A100 "Enforcement Action" "%USERPROFILE%\AppData\Local\Temp\OnboardLogs"\RTDC4041\*4041*201610182* | grep -SE "((Enforcement Ac)|(PRM))" -</v>
      </c>
      <c r="AD27" s="1"/>
    </row>
    <row r="28" spans="1:30" x14ac:dyDescent="0.25">
      <c r="A28" s="36">
        <v>42661.815266203703</v>
      </c>
      <c r="B28" s="31" t="s">
        <v>274</v>
      </c>
      <c r="C28" s="31" t="s">
        <v>437</v>
      </c>
      <c r="D28" s="31" t="s">
        <v>49</v>
      </c>
      <c r="E28" s="31" t="s">
        <v>264</v>
      </c>
      <c r="F28" s="47">
        <v>0</v>
      </c>
      <c r="G28" s="47">
        <v>47</v>
      </c>
      <c r="H28" s="47">
        <v>185</v>
      </c>
      <c r="I28" s="47">
        <v>138</v>
      </c>
      <c r="J28" s="31" t="s">
        <v>265</v>
      </c>
      <c r="K28" s="47">
        <v>1</v>
      </c>
      <c r="L28" s="160" t="s">
        <v>51</v>
      </c>
      <c r="M28" s="161">
        <f t="shared" si="0"/>
        <v>72.335999999999999</v>
      </c>
      <c r="N28" s="162" t="str">
        <f>VLOOKUP(C28,'Trips&amp;Operators'!$C$1:$E$99999,3,FALSE)</f>
        <v>STORY</v>
      </c>
      <c r="O28" s="143" t="s">
        <v>258</v>
      </c>
      <c r="P28" s="163"/>
      <c r="Q28" s="31"/>
      <c r="R28" s="100" t="str">
        <f>VLOOKUP(C28,'Train Runs'!$A$13:$AE$10022,31,0)</f>
        <v>aws s3 cp s3://rtdc.mdm.uploadarchive.raw/RTDC4041/ "%USERPROFILE%\AppData\Local\Temp\OnboardLogs"\RTDC4041\2016-10-18 --exclude "*" --recursive --include "*20161018*" &amp; "%USERPROFILE%\Documents\GitHub\mrs-test-scripts\Headless Mode &amp; Sideloading\WalkAndUnGZ.bat" "%USERPROFILE%\AppData\Local\Temp\OnboardLogs"\RTDC4041\2016-10-18 &amp; aws s3 cp s3://rtdc.mdm.uploadarchive.raw/RTDC4041/ "%USERPROFILE%\AppData\Local\Temp\OnboardLogs"\RTDC4041\2016-10-19 --exclude "*" --recursive --include "*20161019*" &amp; "%USERPROFILE%\Documents\GitHub\mrs-test-scripts\Headless Mode &amp; Sideloading\WalkAndUnGZ.bat" "%USERPROFILE%\AppData\Local\Temp\OnboardLogs"\RTDC4041\2016-10-19</v>
      </c>
      <c r="S28" s="103" t="str">
        <f>VLOOKUP(C28,'Train Runs'!$A$13:$AE$10022,22,0)</f>
        <v>https://search-rtdc-monitor-bjffxe2xuh6vdkpspy63sjmuny.us-east-1.es.amazonaws.com/_plugin/kibana/#/discover/Steve-Slow-Train-Analysis-(2080s-and-2083s)?_g=(refreshInterval:(display:Off,section:0,value:0),time:(from:'2016-10-18 17:46:39-0600',mode:absolute,to:'2016-10-18 20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8" s="105" t="str">
        <f t="shared" si="1"/>
        <v>"C:\Program Files (x86)\AstroGrep\AstroGrep.exe" /spath="%USERPROFILE%\AppData\Local\Temp\OnboardLogs" /stypes="*4041*201610190*" /stext=" 01:.+((SYSTEM_STATE.+slice.+state.+changed )|(ment ac)|(system.+state.+changed )|(\[timeout)|(PRM\|1\|D)|(kpr)|(kdp)|(\|lc)|(penalty))" /e /r /s</v>
      </c>
      <c r="U28" s="9" t="str">
        <f t="shared" si="2"/>
        <v>4041</v>
      </c>
      <c r="V28" s="36">
        <f t="shared" si="3"/>
        <v>42662.065266203703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{"issue":{"subject":"","project_id":79,"tracker_id":40,"status_id":1,"priority_id":2,"assigned_to_id":23,"start_date":"2016-10-18","description":"","custom_fields":[{"id":1,"name":"Subdivision","value":"EC"},{"id":4,"name":"Milepost","value":"0.0001"},{"id":17,"name":"Train ID","value":"216-18"},{"id":16,"name":"Locomotive ID","value":"4041"},{"id":130,"name":"Impact","value":""},{"id":150,"name":"Time of Event (Mountain Time)","value":"19:33:59"},{"id":151,"name":"Denver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4" t="str">
        <f t="shared" si="7"/>
        <v>grep -hSE -A100 "Enforcement Action" "%USERPROFILE%\AppData\Local\Temp\OnboardLogs"\RTDC4041\*4041*201610190* | grep -SE "((Enforcement Ac)|(PRM))" -</v>
      </c>
      <c r="AD28" s="1"/>
    </row>
    <row r="29" spans="1:30" x14ac:dyDescent="0.25">
      <c r="A29" s="36">
        <v>42661.183032407411</v>
      </c>
      <c r="B29" s="31" t="s">
        <v>218</v>
      </c>
      <c r="C29" s="31" t="s">
        <v>409</v>
      </c>
      <c r="D29" s="31" t="s">
        <v>49</v>
      </c>
      <c r="E29" s="31" t="s">
        <v>264</v>
      </c>
      <c r="F29" s="47">
        <v>0</v>
      </c>
      <c r="G29" s="47">
        <v>90</v>
      </c>
      <c r="H29" s="47">
        <v>233132</v>
      </c>
      <c r="I29" s="47">
        <v>233251</v>
      </c>
      <c r="J29" s="31" t="s">
        <v>265</v>
      </c>
      <c r="K29" s="47">
        <v>233491</v>
      </c>
      <c r="L29" s="160" t="s">
        <v>50</v>
      </c>
      <c r="M29" s="161">
        <f t="shared" si="0"/>
        <v>126.72</v>
      </c>
      <c r="N29" s="162" t="str">
        <f>VLOOKUP(C29,'Trips&amp;Operators'!$C$1:$E$99999,3,FALSE)</f>
        <v>ACKERMAN</v>
      </c>
      <c r="O29" s="143" t="s">
        <v>258</v>
      </c>
      <c r="P29" s="163"/>
      <c r="Q29" s="31"/>
      <c r="R29" s="100" t="str">
        <f>VLOOKUP(C29,'Train Runs'!$A$13:$AE$10022,31,0)</f>
        <v>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 &amp; 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</v>
      </c>
      <c r="S29" s="103" t="str">
        <f>VLOOKUP(C29,'Train Runs'!$A$13:$AE$10022,22,0)</f>
        <v>https://search-rtdc-monitor-bjffxe2xuh6vdkpspy63sjmuny.us-east-1.es.amazonaws.com/_plugin/kibana/#/discover/Steve-Slow-Train-Analysis-(2080s-and-2083s)?_g=(refreshInterval:(display:Off,section:0,value:0),time:(from:'2016-10-18 02:39:23-0600',mode:absolute,to:'2016-10-18 05:23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9" s="105" t="str">
        <f t="shared" si="1"/>
        <v>"C:\Program Files (x86)\AstroGrep\AstroGrep.exe" /spath="%USERPROFILE%\AppData\Local\Temp\OnboardLogs" /stypes="*4031*201610181*" /stext=" 10:.+((SYSTEM_STATE.+slice.+state.+changed )|(ment ac)|(system.+state.+changed )|(\[timeout)|(PRM\|1\|D)|(kpr)|(kdp)|(\|lc)|(penalty))" /e /r /s</v>
      </c>
      <c r="U29" s="9" t="str">
        <f t="shared" si="2"/>
        <v>4031</v>
      </c>
      <c r="V29" s="36">
        <f t="shared" si="3"/>
        <v>42661.433032407411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{"issue":{"subject":"","project_id":79,"tracker_id":40,"status_id":1,"priority_id":2,"assigned_to_id":23,"start_date":"2016-10-18","description":"","custom_fields":[{"id":1,"name":"Subdivision","value":"EC"},{"id":4,"name":"Milepost","value":"23.3491"},{"id":17,"name":"Train ID","value":"103-18"},{"id":16,"name":"Locomotive ID","value":"4031"},{"id":130,"name":"Impact","value":""},{"id":150,"name":"Time of Event (Mountain Time)","value":"04:23:34"},{"id":151,"name":"Denver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4" t="str">
        <f t="shared" si="7"/>
        <v>grep -hSE -A100 "Enforcement Action" "%USERPROFILE%\AppData\Local\Temp\OnboardLogs"\RTDC4031\*4031*201610181* | grep -SE "((Enforcement Ac)|(PRM))" -</v>
      </c>
      <c r="AD29" s="1"/>
    </row>
    <row r="30" spans="1:30" x14ac:dyDescent="0.25">
      <c r="A30" s="36">
        <v>42661.183506944442</v>
      </c>
      <c r="B30" s="31" t="s">
        <v>218</v>
      </c>
      <c r="C30" s="31" t="s">
        <v>409</v>
      </c>
      <c r="D30" s="31" t="s">
        <v>49</v>
      </c>
      <c r="E30" s="31" t="s">
        <v>264</v>
      </c>
      <c r="F30" s="47">
        <v>0</v>
      </c>
      <c r="G30" s="47">
        <v>33</v>
      </c>
      <c r="H30" s="47">
        <v>233341</v>
      </c>
      <c r="I30" s="47">
        <v>233364</v>
      </c>
      <c r="J30" s="31" t="s">
        <v>265</v>
      </c>
      <c r="K30" s="47">
        <v>233491</v>
      </c>
      <c r="L30" s="160" t="s">
        <v>50</v>
      </c>
      <c r="M30" s="161">
        <f t="shared" si="0"/>
        <v>67.055999999999997</v>
      </c>
      <c r="N30" s="162" t="str">
        <f>VLOOKUP(C30,'Trips&amp;Operators'!$C$1:$E$99999,3,FALSE)</f>
        <v>ACKERMAN</v>
      </c>
      <c r="O30" s="143" t="s">
        <v>258</v>
      </c>
      <c r="P30" s="163"/>
      <c r="Q30" s="31"/>
      <c r="R30" s="100" t="str">
        <f>VLOOKUP(C30,'Train Runs'!$A$13:$AE$10022,31,0)</f>
        <v>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 &amp; 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</v>
      </c>
      <c r="S30" s="103" t="str">
        <f>VLOOKUP(C30,'Train Runs'!$A$13:$AE$10022,22,0)</f>
        <v>https://search-rtdc-monitor-bjffxe2xuh6vdkpspy63sjmuny.us-east-1.es.amazonaws.com/_plugin/kibana/#/discover/Steve-Slow-Train-Analysis-(2080s-and-2083s)?_g=(refreshInterval:(display:Off,section:0,value:0),time:(from:'2016-10-18 02:39:23-0600',mode:absolute,to:'2016-10-18 05:23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0" s="105" t="str">
        <f t="shared" si="1"/>
        <v>"C:\Program Files (x86)\AstroGrep\AstroGrep.exe" /spath="%USERPROFILE%\AppData\Local\Temp\OnboardLogs" /stypes="*4031*201610181*" /stext=" 10:.+((SYSTEM_STATE.+slice.+state.+changed )|(ment ac)|(system.+state.+changed )|(\[timeout)|(PRM\|1\|D)|(kpr)|(kdp)|(\|lc)|(penalty))" /e /r /s</v>
      </c>
      <c r="U30" s="9" t="str">
        <f t="shared" si="2"/>
        <v>4031</v>
      </c>
      <c r="V30" s="36">
        <f t="shared" si="3"/>
        <v>42661.433506944442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{"issue":{"subject":"","project_id":79,"tracker_id":40,"status_id":1,"priority_id":2,"assigned_to_id":23,"start_date":"2016-10-18","description":"","custom_fields":[{"id":1,"name":"Subdivision","value":"EC"},{"id":4,"name":"Milepost","value":"23.3491"},{"id":17,"name":"Train ID","value":"103-18"},{"id":16,"name":"Locomotive ID","value":"4031"},{"id":130,"name":"Impact","value":""},{"id":150,"name":"Time of Event (Mountain Time)","value":"04:24:15"},{"id":151,"name":"Denver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4" t="str">
        <f t="shared" si="7"/>
        <v>grep -hSE -A100 "Enforcement Action" "%USERPROFILE%\AppData\Local\Temp\OnboardLogs"\RTDC4031\*4031*201610181* | grep -SE "((Enforcement Ac)|(PRM))" -</v>
      </c>
      <c r="AD30" s="1"/>
    </row>
    <row r="31" spans="1:30" ht="15" customHeight="1" x14ac:dyDescent="0.25">
      <c r="A31" s="36">
        <v>42661.316620370373</v>
      </c>
      <c r="B31" s="31" t="s">
        <v>413</v>
      </c>
      <c r="C31" s="31" t="s">
        <v>414</v>
      </c>
      <c r="D31" s="31" t="s">
        <v>49</v>
      </c>
      <c r="E31" s="31" t="s">
        <v>264</v>
      </c>
      <c r="F31" s="47">
        <v>0</v>
      </c>
      <c r="G31" s="47">
        <v>52</v>
      </c>
      <c r="H31" s="47">
        <v>233291</v>
      </c>
      <c r="I31" s="47">
        <v>233329</v>
      </c>
      <c r="J31" s="31" t="s">
        <v>265</v>
      </c>
      <c r="K31" s="47">
        <v>233491</v>
      </c>
      <c r="L31" s="160" t="s">
        <v>50</v>
      </c>
      <c r="M31" s="161">
        <f t="shared" si="0"/>
        <v>85.536000000000001</v>
      </c>
      <c r="N31" s="162" t="str">
        <f>VLOOKUP(C31,'Trips&amp;Operators'!$C$1:$E$99999,3,FALSE)</f>
        <v>KILLION</v>
      </c>
      <c r="O31" s="143" t="s">
        <v>258</v>
      </c>
      <c r="P31" s="163"/>
      <c r="Q31" s="31"/>
      <c r="R31" s="100" t="str">
        <f>VLOOKUP(C31,'Train Runs'!$A$13:$AE$10022,31,0)</f>
        <v>aws s3 cp s3://rtdc.mdm.uploadarchive.raw/RTDC4016/ "%USERPROFILE%\AppData\Local\Temp\OnboardLogs"\RTDC4016\2016-10-18 --exclude "*" --recursive --include "*20161018*" &amp; "%USERPROFILE%\Documents\GitHub\mrs-test-scripts\Headless Mode &amp; Sideloading\WalkAndUnGZ.bat" "%USERPROFILE%\AppData\Local\Temp\OnboardLogs"\RTDC4016\2016-10-18 &amp; aws s3 cp s3://rtdc.mdm.uploadarchive.raw/RTDC4016/ "%USERPROFILE%\AppData\Local\Temp\OnboardLogs"\RTDC4016\2016-10-19 --exclude "*" --recursive --include "*20161019*" &amp; "%USERPROFILE%\Documents\GitHub\mrs-test-scripts\Headless Mode &amp; Sideloading\WalkAndUnGZ.bat" "%USERPROFILE%\AppData\Local\Temp\OnboardLogs"\RTDC4016\2016-10-19</v>
      </c>
      <c r="S31" s="103" t="str">
        <f>VLOOKUP(C31,'Train Runs'!$A$13:$AE$10022,22,0)</f>
        <v>https://search-rtdc-monitor-bjffxe2xuh6vdkpspy63sjmuny.us-east-1.es.amazonaws.com/_plugin/kibana/#/discover/Steve-Slow-Train-Analysis-(2080s-and-2083s)?_g=(refreshInterval:(display:Off,section:0,value:0),time:(from:'2016-10-18 05:53:52-0600',mode:absolute,to:'2016-10-18 08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1" s="105" t="str">
        <f t="shared" si="1"/>
        <v>"C:\Program Files (x86)\AstroGrep\AstroGrep.exe" /spath="%USERPROFILE%\AppData\Local\Temp\OnboardLogs" /stypes="*4016*201610181*" /stext=" 13:.+((SYSTEM_STATE.+slice.+state.+changed )|(ment ac)|(system.+state.+changed )|(\[timeout)|(PRM\|1\|D)|(kpr)|(kdp)|(\|lc)|(penalty))" /e /r /s</v>
      </c>
      <c r="U31" s="9" t="str">
        <f t="shared" si="2"/>
        <v>4016</v>
      </c>
      <c r="V31" s="36">
        <f t="shared" si="3"/>
        <v>42661.566620370373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{"issue":{"subject":"","project_id":79,"tracker_id":40,"status_id":1,"priority_id":2,"assigned_to_id":23,"start_date":"2016-10-18","description":"","custom_fields":[{"id":1,"name":"Subdivision","value":"EC"},{"id":4,"name":"Milepost","value":"23.3491"},{"id":17,"name":"Train ID","value":"127-18"},{"id":16,"name":"Locomotive ID","value":"4016"},{"id":130,"name":"Impact","value":""},{"id":150,"name":"Time of Event (Mountain Time)","value":"07:35:56"},{"id":151,"name":"Denver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4" t="str">
        <f t="shared" si="7"/>
        <v>grep -hSE -A100 "Enforcement Action" "%USERPROFILE%\AppData\Local\Temp\OnboardLogs"\RTDC4016\*4016*201610181* | grep -SE "((Enforcement Ac)|(PRM))" -</v>
      </c>
      <c r="AD31" s="1"/>
    </row>
    <row r="32" spans="1:30" x14ac:dyDescent="0.25">
      <c r="A32" s="36">
        <v>42661.293136574073</v>
      </c>
      <c r="B32" s="31" t="s">
        <v>199</v>
      </c>
      <c r="C32" s="31" t="s">
        <v>412</v>
      </c>
      <c r="D32" s="31" t="s">
        <v>49</v>
      </c>
      <c r="E32" s="31" t="s">
        <v>259</v>
      </c>
      <c r="F32" s="47">
        <v>150</v>
      </c>
      <c r="G32" s="47">
        <v>457</v>
      </c>
      <c r="H32" s="47">
        <v>54709</v>
      </c>
      <c r="I32" s="47">
        <v>55945</v>
      </c>
      <c r="J32" s="31" t="s">
        <v>260</v>
      </c>
      <c r="K32" s="47">
        <v>57008</v>
      </c>
      <c r="L32" s="160" t="s">
        <v>50</v>
      </c>
      <c r="M32" s="161">
        <f t="shared" si="0"/>
        <v>561.26400000000001</v>
      </c>
      <c r="N32" s="162" t="str">
        <f>VLOOKUP(C32,'Trips&amp;Operators'!$C$1:$E$99999,3,FALSE)</f>
        <v>BEAM</v>
      </c>
      <c r="O32" s="143" t="s">
        <v>258</v>
      </c>
      <c r="P32" s="163"/>
      <c r="Q32" s="31"/>
      <c r="R32" s="100" t="str">
        <f>VLOOKUP(C32,'Train Runs'!$A$13:$AE$10022,31,0)</f>
        <v>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 &amp; 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</v>
      </c>
      <c r="S32" s="103" t="str">
        <f>VLOOKUP(C32,'Train Runs'!$A$13:$AE$10022,22,0)</f>
        <v>https://search-rtdc-monitor-bjffxe2xuh6vdkpspy63sjmuny.us-east-1.es.amazonaws.com/_plugin/kibana/#/discover/Steve-Slow-Train-Analysis-(2080s-and-2083s)?_g=(refreshInterval:(display:Off,section:0,value:0),time:(from:'2016-10-18 05:45:19-0600',mode:absolute,to:'2016-10-18 08:05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2" s="105" t="str">
        <f t="shared" si="1"/>
        <v>"C:\Program Files (x86)\AstroGrep\AstroGrep.exe" /spath="%USERPROFILE%\AppData\Local\Temp\OnboardLogs" /stypes="*4046*201610181*" /stext=" 13:.+((SYSTEM_STATE.+slice.+state.+changed )|(ment ac)|(system.+state.+changed )|(\[timeout)|(PRM\|1\|D)|(kpr)|(kdp)|(\|lc)|(penalty))" /e /r /s</v>
      </c>
      <c r="U32" s="9" t="str">
        <f t="shared" si="2"/>
        <v>4046</v>
      </c>
      <c r="V32" s="36">
        <f t="shared" si="3"/>
        <v>42661.543136574073</v>
      </c>
      <c r="W32" s="50" t="str">
        <f t="shared" si="4"/>
        <v>NW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{"issue":{"subject":"","project_id":79,"tracker_id":40,"status_id":1,"priority_id":2,"assigned_to_id":23,"start_date":"2016-10-18","description":"","custom_fields":[{"id":1,"name":"Subdivision","value":"NW"},{"id":4,"name":"Milepost","value":"5.7008"},{"id":17,"name":"Train ID","value":"805-18"},{"id":16,"name":"Locomotive ID","value":"4046"},{"id":130,"name":"Impact","value":""},{"id":150,"name":"Time of Event (Mountain Time)","value":"07:02:07"},{"id":151,"name":"Denver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4" t="str">
        <f t="shared" si="7"/>
        <v>grep -hSE -A100 "Enforcement Action" "%USERPROFILE%\AppData\Local\Temp\OnboardLogs"\RTDC4046\*4046*201610181* | grep -SE "((Enforcement Ac)|(PRM))" -</v>
      </c>
      <c r="AD32" s="1"/>
    </row>
    <row r="33" spans="1:30" ht="15" customHeight="1" x14ac:dyDescent="0.25">
      <c r="A33" s="36">
        <v>42661.335972222223</v>
      </c>
      <c r="B33" s="31" t="s">
        <v>199</v>
      </c>
      <c r="C33" s="31" t="s">
        <v>415</v>
      </c>
      <c r="D33" s="31" t="s">
        <v>49</v>
      </c>
      <c r="E33" s="31" t="s">
        <v>264</v>
      </c>
      <c r="F33" s="47">
        <v>0</v>
      </c>
      <c r="G33" s="47">
        <v>153</v>
      </c>
      <c r="H33" s="47">
        <v>57967</v>
      </c>
      <c r="I33" s="47">
        <v>58172</v>
      </c>
      <c r="J33" s="31" t="s">
        <v>265</v>
      </c>
      <c r="K33" s="47">
        <v>59048</v>
      </c>
      <c r="L33" s="160" t="s">
        <v>50</v>
      </c>
      <c r="M33" s="161">
        <f t="shared" si="0"/>
        <v>462.52800000000002</v>
      </c>
      <c r="N33" s="162" t="str">
        <f>VLOOKUP(C33,'Trips&amp;Operators'!$C$1:$E$99999,3,FALSE)</f>
        <v>BEAM</v>
      </c>
      <c r="O33" s="143" t="s">
        <v>258</v>
      </c>
      <c r="P33" s="163"/>
      <c r="Q33" s="31"/>
      <c r="R33" s="100" t="str">
        <f>VLOOKUP(C33,'Train Runs'!$A$13:$AE$10022,31,0)</f>
        <v>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 &amp; 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</v>
      </c>
      <c r="S33" s="103" t="str">
        <f>VLOOKUP(C33,'Train Runs'!$A$13:$AE$10022,22,0)</f>
        <v>https://search-rtdc-monitor-bjffxe2xuh6vdkpspy63sjmuny.us-east-1.es.amazonaws.com/_plugin/kibana/#/discover/Steve-Slow-Train-Analysis-(2080s-and-2083s)?_g=(refreshInterval:(display:Off,section:0,value:0),time:(from:'2016-10-18 06:46:33-0600',mode:absolute,to:'2016-10-18 09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3" s="105" t="str">
        <f t="shared" si="1"/>
        <v>"C:\Program Files (x86)\AstroGrep\AstroGrep.exe" /spath="%USERPROFILE%\AppData\Local\Temp\OnboardLogs" /stypes="*4046*201610181*" /stext=" 14:.+((SYSTEM_STATE.+slice.+state.+changed )|(ment ac)|(system.+state.+changed )|(\[timeout)|(PRM\|1\|D)|(kpr)|(kdp)|(\|lc)|(penalty))" /e /r /s</v>
      </c>
      <c r="U33" s="9" t="str">
        <f t="shared" si="2"/>
        <v>4046</v>
      </c>
      <c r="V33" s="36">
        <f t="shared" si="3"/>
        <v>42661.585972222223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{"issue":{"subject":"","project_id":79,"tracker_id":40,"status_id":1,"priority_id":2,"assigned_to_id":23,"start_date":"2016-10-18","description":"","custom_fields":[{"id":1,"name":"Subdivision","value":"NW"},{"id":4,"name":"Milepost","value":"5.9048"},{"id":17,"name":"Train ID","value":"809-18"},{"id":16,"name":"Locomotive ID","value":"4046"},{"id":130,"name":"Impact","value":""},{"id":150,"name":"Time of Event (Mountain Time)","value":"08:03:48"},{"id":151,"name":"Denver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4" t="str">
        <f t="shared" si="7"/>
        <v>grep -hSE -A100 "Enforcement Action" "%USERPROFILE%\AppData\Local\Temp\OnboardLogs"\RTDC4046\*4046*201610181* | grep -SE "((Enforcement Ac)|(PRM))" -</v>
      </c>
      <c r="AD33" s="1"/>
    </row>
    <row r="34" spans="1:30" x14ac:dyDescent="0.25">
      <c r="A34" s="36">
        <v>42661.336782407408</v>
      </c>
      <c r="B34" s="31" t="s">
        <v>199</v>
      </c>
      <c r="C34" s="31" t="s">
        <v>415</v>
      </c>
      <c r="D34" s="31" t="s">
        <v>49</v>
      </c>
      <c r="E34" s="31" t="s">
        <v>264</v>
      </c>
      <c r="F34" s="47">
        <v>0</v>
      </c>
      <c r="G34" s="47">
        <v>61</v>
      </c>
      <c r="H34" s="47">
        <v>58801</v>
      </c>
      <c r="I34" s="47">
        <v>58896</v>
      </c>
      <c r="J34" s="31" t="s">
        <v>265</v>
      </c>
      <c r="K34" s="47">
        <v>59048</v>
      </c>
      <c r="L34" s="160" t="s">
        <v>50</v>
      </c>
      <c r="M34" s="161">
        <f t="shared" si="0"/>
        <v>80.256</v>
      </c>
      <c r="N34" s="162" t="str">
        <f>VLOOKUP(C34,'Trips&amp;Operators'!$C$1:$E$99999,3,FALSE)</f>
        <v>BEAM</v>
      </c>
      <c r="O34" s="143" t="s">
        <v>258</v>
      </c>
      <c r="P34" s="163"/>
      <c r="Q34" s="31"/>
      <c r="R34" s="100" t="str">
        <f>VLOOKUP(C34,'Train Runs'!$A$13:$AE$10022,31,0)</f>
        <v>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 &amp; 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</v>
      </c>
      <c r="S34" s="103" t="str">
        <f>VLOOKUP(C34,'Train Runs'!$A$13:$AE$10022,22,0)</f>
        <v>https://search-rtdc-monitor-bjffxe2xuh6vdkpspy63sjmuny.us-east-1.es.amazonaws.com/_plugin/kibana/#/discover/Steve-Slow-Train-Analysis-(2080s-and-2083s)?_g=(refreshInterval:(display:Off,section:0,value:0),time:(from:'2016-10-18 06:46:33-0600',mode:absolute,to:'2016-10-18 09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4" s="105" t="str">
        <f t="shared" si="1"/>
        <v>"C:\Program Files (x86)\AstroGrep\AstroGrep.exe" /spath="%USERPROFILE%\AppData\Local\Temp\OnboardLogs" /stypes="*4046*201610181*" /stext=" 14:.+((SYSTEM_STATE.+slice.+state.+changed )|(ment ac)|(system.+state.+changed )|(\[timeout)|(PRM\|1\|D)|(kpr)|(kdp)|(\|lc)|(penalty))" /e /r /s</v>
      </c>
      <c r="U34" s="9" t="str">
        <f t="shared" si="2"/>
        <v>4046</v>
      </c>
      <c r="V34" s="36">
        <f t="shared" si="3"/>
        <v>42661.586782407408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{"issue":{"subject":"","project_id":79,"tracker_id":40,"status_id":1,"priority_id":2,"assigned_to_id":23,"start_date":"2016-10-18","description":"","custom_fields":[{"id":1,"name":"Subdivision","value":"NW"},{"id":4,"name":"Milepost","value":"5.9048"},{"id":17,"name":"Train ID","value":"809-18"},{"id":16,"name":"Locomotive ID","value":"4046"},{"id":130,"name":"Impact","value":""},{"id":150,"name":"Time of Event (Mountain Time)","value":"08:04:58"},{"id":151,"name":"Denver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4" t="str">
        <f t="shared" si="7"/>
        <v>grep -hSE -A100 "Enforcement Action" "%USERPROFILE%\AppData\Local\Temp\OnboardLogs"\RTDC4046\*4046*201610181* | grep -SE "((Enforcement Ac)|(PRM))" -</v>
      </c>
      <c r="AD34" s="1"/>
    </row>
    <row r="35" spans="1:30" x14ac:dyDescent="0.25">
      <c r="A35" s="36">
        <v>42661.733356481483</v>
      </c>
      <c r="B35" s="31" t="s">
        <v>345</v>
      </c>
      <c r="C35" s="31" t="s">
        <v>433</v>
      </c>
      <c r="D35" s="31" t="s">
        <v>49</v>
      </c>
      <c r="E35" s="31" t="s">
        <v>264</v>
      </c>
      <c r="F35" s="47">
        <v>0</v>
      </c>
      <c r="G35" s="47">
        <v>47</v>
      </c>
      <c r="H35" s="47">
        <v>58903</v>
      </c>
      <c r="I35" s="47">
        <v>58935</v>
      </c>
      <c r="J35" s="31" t="s">
        <v>265</v>
      </c>
      <c r="K35" s="47">
        <v>59048</v>
      </c>
      <c r="L35" s="160" t="s">
        <v>50</v>
      </c>
      <c r="M35" s="161">
        <f t="shared" si="0"/>
        <v>59.664000000000001</v>
      </c>
      <c r="N35" s="162" t="str">
        <f>VLOOKUP(C35,'Trips&amp;Operators'!$C$1:$E$99999,3,FALSE)</f>
        <v>BRUDER</v>
      </c>
      <c r="O35" s="143" t="s">
        <v>258</v>
      </c>
      <c r="P35" s="163"/>
      <c r="Q35" s="31"/>
      <c r="R35" s="100" t="str">
        <f>VLOOKUP(C35,'Train Runs'!$A$13:$AE$10022,31,0)</f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S35" s="103" t="str">
        <f>VLOOKUP(C35,'Train Runs'!$A$13:$AE$10022,22,0)</f>
        <v>https://search-rtdc-monitor-bjffxe2xuh6vdkpspy63sjmuny.us-east-1.es.amazonaws.com/_plugin/kibana/#/discover/Steve-Slow-Train-Analysis-(2080s-and-2083s)?_g=(refreshInterval:(display:Off,section:0,value:0),time:(from:'2016-10-18 16:02:39-0600',mode:absolute,to:'2016-10-18 18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35" s="105" t="str">
        <f t="shared" si="1"/>
        <v>"C:\Program Files (x86)\AstroGrep\AstroGrep.exe" /spath="%USERPROFILE%\AppData\Local\Temp\OnboardLogs" /stypes="*4053*201610182*" /stext=" 23:.+((SYSTEM_STATE.+slice.+state.+changed )|(ment ac)|(system.+state.+changed )|(\[timeout)|(PRM\|1\|D)|(kpr)|(kdp)|(\|lc)|(penalty))" /e /r /s</v>
      </c>
      <c r="U35" s="9" t="str">
        <f t="shared" si="2"/>
        <v>4053</v>
      </c>
      <c r="V35" s="36">
        <f t="shared" si="3"/>
        <v>42661.983356481483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{"issue":{"subject":"","project_id":79,"tracker_id":40,"status_id":1,"priority_id":2,"assigned_to_id":23,"start_date":"2016-10-18","description":"","custom_fields":[{"id":1,"name":"Subdivision","value":"NW"},{"id":4,"name":"Milepost","value":"5.9048"},{"id":17,"name":"Train ID","value":"833-18"},{"id":16,"name":"Locomotive ID","value":"4053"},{"id":130,"name":"Impact","value":""},{"id":150,"name":"Time of Event (Mountain Time)","value":"17:36:02"},{"id":151,"name":"Denver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4" t="str">
        <f t="shared" si="7"/>
        <v>grep -hSE -A100 "Enforcement Action" "%USERPROFILE%\AppData\Local\Temp\OnboardLogs"\RTDC4053\*4053*201610182* | grep -SE "((Enforcement Ac)|(PRM))" -</v>
      </c>
      <c r="AD35" s="1"/>
    </row>
    <row r="36" spans="1:30" x14ac:dyDescent="0.25">
      <c r="A36" s="36">
        <v>42661.857905092591</v>
      </c>
      <c r="B36" s="31" t="s">
        <v>345</v>
      </c>
      <c r="C36" s="31" t="s">
        <v>438</v>
      </c>
      <c r="D36" s="31" t="s">
        <v>49</v>
      </c>
      <c r="E36" s="31" t="s">
        <v>264</v>
      </c>
      <c r="F36" s="47">
        <v>0</v>
      </c>
      <c r="G36" s="47">
        <v>41</v>
      </c>
      <c r="H36" s="47">
        <v>58918</v>
      </c>
      <c r="I36" s="47">
        <v>58944</v>
      </c>
      <c r="J36" s="31" t="s">
        <v>265</v>
      </c>
      <c r="K36" s="47">
        <v>59048</v>
      </c>
      <c r="L36" s="160" t="s">
        <v>50</v>
      </c>
      <c r="M36" s="161">
        <f t="shared" si="0"/>
        <v>54.911999999999999</v>
      </c>
      <c r="N36" s="162" t="str">
        <f>VLOOKUP(C36,'Trips&amp;Operators'!$C$1:$E$99999,3,FALSE)</f>
        <v>BRUDER</v>
      </c>
      <c r="O36" s="143" t="s">
        <v>258</v>
      </c>
      <c r="P36" s="163"/>
      <c r="Q36" s="31"/>
      <c r="R36" s="100" t="str">
        <f>VLOOKUP(C36,'Train Runs'!$A$13:$AE$10022,31,0)</f>
        <v>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 &amp; 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</v>
      </c>
      <c r="S36" s="103" t="str">
        <f>VLOOKUP(C36,'Train Runs'!$A$13:$AE$10022,22,0)</f>
        <v>https://search-rtdc-monitor-bjffxe2xuh6vdkpspy63sjmuny.us-east-1.es.amazonaws.com/_plugin/kibana/#/discover/Steve-Slow-Train-Analysis-(2080s-and-2083s)?_g=(refreshInterval:(display:Off,section:0,value:0),time:(from:'2016-10-18 19:04:31-0600',mode:absolute,to:'2016-10-18 21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36" s="105" t="str">
        <f t="shared" si="1"/>
        <v>"C:\Program Files (x86)\AstroGrep\AstroGrep.exe" /spath="%USERPROFILE%\AppData\Local\Temp\OnboardLogs" /stypes="*4053*201610190*" /stext=" 02:.+((SYSTEM_STATE.+slice.+state.+changed )|(ment ac)|(system.+state.+changed )|(\[timeout)|(PRM\|1\|D)|(kpr)|(kdp)|(\|lc)|(penalty))" /e /r /s</v>
      </c>
      <c r="U36" s="9" t="str">
        <f t="shared" si="2"/>
        <v>4053</v>
      </c>
      <c r="V36" s="36">
        <f t="shared" si="3"/>
        <v>42662.107905092591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{"issue":{"subject":"","project_id":79,"tracker_id":40,"status_id":1,"priority_id":2,"assigned_to_id":23,"start_date":"2016-10-18","description":"","custom_fields":[{"id":1,"name":"Subdivision","value":"NW"},{"id":4,"name":"Milepost","value":"5.9048"},{"id":17,"name":"Train ID","value":"843-18"},{"id":16,"name":"Locomotive ID","value":"4053"},{"id":130,"name":"Impact","value":""},{"id":150,"name":"Time of Event (Mountain Time)","value":"20:35:23"},{"id":151,"name":"Denver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4" t="str">
        <f t="shared" si="7"/>
        <v>grep -hSE -A100 "Enforcement Action" "%USERPROFILE%\AppData\Local\Temp\OnboardLogs"\RTDC4053\*4053*201610190* | grep -SE "((Enforcement Ac)|(PRM))" -</v>
      </c>
      <c r="AD36" s="1"/>
    </row>
    <row r="37" spans="1:30" ht="15" customHeight="1" x14ac:dyDescent="0.25">
      <c r="A37" s="36">
        <v>42661.71671296296</v>
      </c>
      <c r="B37" s="31" t="s">
        <v>347</v>
      </c>
      <c r="C37" s="31" t="s">
        <v>432</v>
      </c>
      <c r="D37" s="31" t="s">
        <v>49</v>
      </c>
      <c r="E37" s="31" t="s">
        <v>262</v>
      </c>
      <c r="F37" s="47">
        <v>0</v>
      </c>
      <c r="G37" s="47">
        <v>14</v>
      </c>
      <c r="H37" s="47">
        <v>24269</v>
      </c>
      <c r="I37" s="47">
        <v>24258</v>
      </c>
      <c r="J37" s="31" t="s">
        <v>263</v>
      </c>
      <c r="K37" s="47">
        <v>24235</v>
      </c>
      <c r="L37" s="160" t="s">
        <v>51</v>
      </c>
      <c r="M37" s="161">
        <f t="shared" si="0"/>
        <v>12.144</v>
      </c>
      <c r="N37" s="162" t="str">
        <f>VLOOKUP(C37,'Trips&amp;Operators'!$C$1:$E$99999,3,FALSE)</f>
        <v>BERLING</v>
      </c>
      <c r="O37" s="143" t="s">
        <v>258</v>
      </c>
      <c r="P37" s="163"/>
      <c r="Q37" s="31"/>
      <c r="R37" s="100" t="str">
        <f>VLOOKUP(C37,'Train Runs'!$A$13:$AE$10022,31,0)</f>
        <v>aws s3 cp s3://rtdc.mdm.uploadarchive.raw/RTDC4021/ "%USERPROFILE%\AppData\Local\Temp\OnboardLogs"\RTDC4021\2016-10-18 --exclude "*" --recursive --include "*20161018*" &amp; "%USERPROFILE%\Documents\GitHub\mrs-test-scripts\Headless Mode &amp; Sideloading\WalkAndUnGZ.bat" "%USERPROFILE%\AppData\Local\Temp\OnboardLogs"\RTDC4021\2016-10-18 &amp; aws s3 cp s3://rtdc.mdm.uploadarchive.raw/RTDC4021/ "%USERPROFILE%\AppData\Local\Temp\OnboardLogs"\RTDC4021\2016-10-19 --exclude "*" --recursive --include "*20161019*" &amp; "%USERPROFILE%\Documents\GitHub\mrs-test-scripts\Headless Mode &amp; Sideloading\WalkAndUnGZ.bat" "%USERPROFILE%\AppData\Local\Temp\OnboardLogs"\RTDC4021\2016-10-19</v>
      </c>
      <c r="S37" s="103" t="str">
        <f>VLOOKUP(C37,'Train Runs'!$A$13:$AE$10022,22,0)</f>
        <v>https://search-rtdc-monitor-bjffxe2xuh6vdkpspy63sjmuny.us-east-1.es.amazonaws.com/_plugin/kibana/#/discover/Steve-Slow-Train-Analysis-(2080s-and-2083s)?_g=(refreshInterval:(display:Off,section:0,value:0),time:(from:'2016-10-18 16:07:09-0600',mode:absolute,to:'2016-10-18 18:12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7" s="105" t="str">
        <f t="shared" si="1"/>
        <v>"C:\Program Files (x86)\AstroGrep\AstroGrep.exe" /spath="%USERPROFILE%\AppData\Local\Temp\OnboardLogs" /stypes="*4021*201610182*" /stext=" 23:.+((SYSTEM_STATE.+slice.+state.+changed )|(ment ac)|(system.+state.+changed )|(\[timeout)|(PRM\|1\|D)|(kpr)|(kdp)|(\|lc)|(penalty))" /e /r /s</v>
      </c>
      <c r="U37" s="9" t="str">
        <f t="shared" si="2"/>
        <v>4021</v>
      </c>
      <c r="V37" s="36">
        <f t="shared" si="3"/>
        <v>42661.96671296296</v>
      </c>
      <c r="W37" s="50" t="str">
        <f t="shared" si="4"/>
        <v>Other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{"issue":{"subject":"","project_id":79,"tracker_id":40,"status_id":1,"priority_id":2,"assigned_to_id":23,"start_date":"2016-10-18","description":"","custom_fields":[{"id":1,"name":"Subdivision","value":"Other"},{"id":4,"name":"Milepost","value":"2.4235"},{"id":17,"name":"Train ID","value":"52-18"},{"id":16,"name":"Locomotive ID","value":"4021"},{"id":130,"name":"Impact","value":""},{"id":150,"name":"Time of Event (Mountain Time)","value":"17:12:04"},{"id":151,"name":"Denver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4" t="str">
        <f t="shared" si="7"/>
        <v>grep -hSE -A100 "Enforcement Action" "%USERPROFILE%\AppData\Local\Temp\OnboardLogs"\RTDC4021\*4021*201610182* | grep -SE "((Enforcement Ac)|(PRM))" -</v>
      </c>
      <c r="AD37" s="1"/>
    </row>
    <row r="38" spans="1:30" x14ac:dyDescent="0.25">
      <c r="A38" s="36">
        <v>42661.573483796295</v>
      </c>
      <c r="B38" s="31" t="s">
        <v>338</v>
      </c>
      <c r="C38" s="31" t="s">
        <v>425</v>
      </c>
      <c r="D38" s="31" t="s">
        <v>49</v>
      </c>
      <c r="E38" s="31" t="s">
        <v>262</v>
      </c>
      <c r="F38" s="47">
        <v>0</v>
      </c>
      <c r="G38" s="47">
        <v>258</v>
      </c>
      <c r="H38" s="47">
        <v>33612</v>
      </c>
      <c r="I38" s="47">
        <v>34051</v>
      </c>
      <c r="J38" s="31" t="s">
        <v>263</v>
      </c>
      <c r="K38" s="47">
        <v>34583</v>
      </c>
      <c r="L38" s="160" t="s">
        <v>50</v>
      </c>
      <c r="M38" s="161">
        <f t="shared" si="0"/>
        <v>280.89600000000002</v>
      </c>
      <c r="N38" s="162" t="str">
        <f>VLOOKUP(C38,'Trips&amp;Operators'!$C$1:$E$99999,3,FALSE)</f>
        <v>ARNOLD</v>
      </c>
      <c r="O38" s="143" t="s">
        <v>258</v>
      </c>
      <c r="P38" s="163"/>
      <c r="Q38" s="31"/>
      <c r="R38" s="100" t="str">
        <f>VLOOKUP(C38,'Train Runs'!$A$13:$AE$10022,31,0)</f>
        <v>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 &amp; aws s3 cp s3://rtdc.mdm.uploadarchive.raw/RTDC4037/ "%USERPROFILE%\AppData\Local\Temp\OnboardLogs"\RTDC4037\2016-10-19 --exclude "*" --recursive --include "*20161019*" &amp; "%USERPROFILE%\Documents\GitHub\mrs-test-scripts\Headless Mode &amp; Sideloading\WalkAndUnGZ.bat" "%USERPROFILE%\AppData\Local\Temp\OnboardLogs"\RTDC4037\2016-10-19</v>
      </c>
      <c r="S38" s="103" t="str">
        <f>VLOOKUP(C38,'Train Runs'!$A$13:$AE$10022,22,0)</f>
        <v>https://search-rtdc-monitor-bjffxe2xuh6vdkpspy63sjmuny.us-east-1.es.amazonaws.com/_plugin/kibana/#/discover/Steve-Slow-Train-Analysis-(2080s-and-2083s)?_g=(refreshInterval:(display:Off,section:0,value:0),time:(from:'2016-10-18 10:51:03-0600',mode:absolute,to:'2016-10-18 14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8" s="105" t="str">
        <f t="shared" si="1"/>
        <v>"C:\Program Files (x86)\AstroGrep\AstroGrep.exe" /spath="%USERPROFILE%\AppData\Local\Temp\OnboardLogs" /stypes="*4038*201610181*" /stext=" 19:.+((SYSTEM_STATE.+slice.+state.+changed )|(ment ac)|(system.+state.+changed )|(\[timeout)|(PRM\|1\|D)|(kpr)|(kdp)|(\|lc)|(penalty))" /e /r /s</v>
      </c>
      <c r="U38" s="9" t="str">
        <f t="shared" si="2"/>
        <v>4038</v>
      </c>
      <c r="V38" s="36">
        <f t="shared" si="3"/>
        <v>42661.823483796295</v>
      </c>
      <c r="W38" s="50" t="str">
        <f t="shared" si="4"/>
        <v>Other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{"issue":{"subject":"","project_id":79,"tracker_id":40,"status_id":1,"priority_id":2,"assigned_to_id":23,"start_date":"2016-10-18","description":"","custom_fields":[{"id":1,"name":"Subdivision","value":"Other"},{"id":4,"name":"Milepost","value":"3.4583"},{"id":17,"name":"Train ID","value":"51-18"},{"id":16,"name":"Locomotive ID","value":"4038"},{"id":130,"name":"Impact","value":""},{"id":150,"name":"Time of Event (Mountain Time)","value":"13:45:49"},{"id":151,"name":"Denver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4" t="str">
        <f t="shared" si="7"/>
        <v>grep -hSE -A100 "Enforcement Action" "%USERPROFILE%\AppData\Local\Temp\OnboardLogs"\RTDC4038\*4038*201610181* | grep -SE "((Enforcement Ac)|(PRM))" -</v>
      </c>
      <c r="AD38" s="1"/>
    </row>
    <row r="39" spans="1:30" x14ac:dyDescent="0.25">
      <c r="A39" s="36">
        <v>42661.431041666663</v>
      </c>
      <c r="B39" s="31" t="s">
        <v>340</v>
      </c>
      <c r="C39" s="31" t="s">
        <v>421</v>
      </c>
      <c r="D39" s="31" t="s">
        <v>49</v>
      </c>
      <c r="E39" s="31" t="s">
        <v>262</v>
      </c>
      <c r="F39" s="47">
        <v>0</v>
      </c>
      <c r="G39" s="47">
        <v>168</v>
      </c>
      <c r="H39" s="47">
        <v>35180</v>
      </c>
      <c r="I39" s="47">
        <v>34879</v>
      </c>
      <c r="J39" s="31" t="s">
        <v>263</v>
      </c>
      <c r="K39" s="47">
        <v>34680</v>
      </c>
      <c r="L39" s="160" t="s">
        <v>51</v>
      </c>
      <c r="M39" s="161">
        <f t="shared" si="0"/>
        <v>105.072</v>
      </c>
      <c r="N39" s="162" t="str">
        <f>VLOOKUP(C39,'Trips&amp;Operators'!$C$1:$E$99999,3,FALSE)</f>
        <v>ARNOLD</v>
      </c>
      <c r="O39" s="143" t="s">
        <v>258</v>
      </c>
      <c r="P39" s="163"/>
      <c r="Q39" s="31"/>
      <c r="R39" s="100" t="str">
        <f>VLOOKUP(C39,'Train Runs'!$A$13:$AE$10022,31,0)</f>
        <v>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 &amp; aws s3 cp s3://rtdc.mdm.uploadarchive.raw/RTDC4037/ "%USERPROFILE%\AppData\Local\Temp\OnboardLogs"\RTDC4037\2016-10-19 --exclude "*" --recursive --include "*20161019*" &amp; "%USERPROFILE%\Documents\GitHub\mrs-test-scripts\Headless Mode &amp; Sideloading\WalkAndUnGZ.bat" "%USERPROFILE%\AppData\Local\Temp\OnboardLogs"\RTDC4037\2016-10-19</v>
      </c>
      <c r="S39" s="103" t="str">
        <f>VLOOKUP(C39,'Train Runs'!$A$13:$AE$10022,22,0)</f>
        <v>https://search-rtdc-monitor-bjffxe2xuh6vdkpspy63sjmuny.us-east-1.es.amazonaws.com/_plugin/kibana/#/discover/Steve-Slow-Train-Analysis-(2080s-and-2083s)?_g=(refreshInterval:(display:Off,section:0,value:0),time:(from:'2016-10-18 08:07:52-0600',mode:absolute,to:'2016-10-18 11:13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9" s="105" t="str">
        <f t="shared" si="1"/>
        <v>"C:\Program Files (x86)\AstroGrep\AstroGrep.exe" /spath="%USERPROFILE%\AppData\Local\Temp\OnboardLogs" /stypes="*4037*201610181*" /stext=" 16:.+((SYSTEM_STATE.+slice.+state.+changed )|(ment ac)|(system.+state.+changed )|(\[timeout)|(PRM\|1\|D)|(kpr)|(kdp)|(\|lc)|(penalty))" /e /r /s</v>
      </c>
      <c r="U39" s="9" t="str">
        <f t="shared" si="2"/>
        <v>4037</v>
      </c>
      <c r="V39" s="36">
        <f t="shared" si="3"/>
        <v>42661.681041666663</v>
      </c>
      <c r="W39" s="50" t="str">
        <f t="shared" si="4"/>
        <v>Other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{"issue":{"subject":"","project_id":79,"tracker_id":40,"status_id":1,"priority_id":2,"assigned_to_id":23,"start_date":"2016-10-18","description":"","custom_fields":[{"id":1,"name":"Subdivision","value":"Other"},{"id":4,"name":"Milepost","value":"3.468"},{"id":17,"name":"Train ID","value":"60-17"},{"id":16,"name":"Locomotive ID","value":"4037"},{"id":130,"name":"Impact","value":""},{"id":150,"name":"Time of Event (Mountain Time)","value":"10:20:42"},{"id":151,"name":"Denver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4" t="str">
        <f t="shared" si="7"/>
        <v>grep -hSE -A100 "Enforcement Action" "%USERPROFILE%\AppData\Local\Temp\OnboardLogs"\RTDC4037\*4037*201610181* | grep -SE "((Enforcement Ac)|(PRM))" -</v>
      </c>
      <c r="AD39" s="1"/>
    </row>
    <row r="40" spans="1:30" x14ac:dyDescent="0.25">
      <c r="A40" s="36">
        <v>42661.980706018519</v>
      </c>
      <c r="B40" s="31" t="s">
        <v>215</v>
      </c>
      <c r="C40" s="31" t="s">
        <v>439</v>
      </c>
      <c r="D40" s="31" t="s">
        <v>49</v>
      </c>
      <c r="E40" s="31" t="s">
        <v>264</v>
      </c>
      <c r="F40" s="47">
        <v>0</v>
      </c>
      <c r="G40" s="47">
        <v>18</v>
      </c>
      <c r="H40" s="47">
        <v>863</v>
      </c>
      <c r="I40" s="47">
        <v>854</v>
      </c>
      <c r="J40" s="31" t="s">
        <v>265</v>
      </c>
      <c r="K40" s="47">
        <v>826</v>
      </c>
      <c r="L40" s="160" t="s">
        <v>51</v>
      </c>
      <c r="M40" s="161">
        <f t="shared" si="0"/>
        <v>14.784000000000001</v>
      </c>
      <c r="N40" s="162" t="str">
        <f>VLOOKUP(C40,'Trips&amp;Operators'!$C$1:$E$99999,3,FALSE)</f>
        <v>MATTHEWS</v>
      </c>
      <c r="O40" s="143" t="s">
        <v>258</v>
      </c>
      <c r="P40" s="163"/>
      <c r="Q40" s="31"/>
      <c r="R40" s="100" t="str">
        <f>VLOOKUP(C40,'Train Runs'!$A$13:$AE$10022,31,0)</f>
        <v>aws s3 cp s3://rtdc.mdm.uploadarchive.raw/RTDC4039/ "%USERPROFILE%\AppData\Local\Temp\OnboardLogs"\RTDC4039\2016-10-18 --exclude "*" --recursive --include "*20161018*" &amp; "%USERPROFILE%\Documents\GitHub\mrs-test-scripts\Headless Mode &amp; Sideloading\WalkAndUnGZ.bat" "%USERPROFILE%\AppData\Local\Temp\OnboardLogs"\RTDC4039\2016-10-18 &amp; 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</v>
      </c>
      <c r="S40" s="103" t="str">
        <f>VLOOKUP(C40,'Train Runs'!$A$13:$AE$10022,22,0)</f>
        <v>https://search-rtdc-monitor-bjffxe2xuh6vdkpspy63sjmuny.us-east-1.es.amazonaws.com/_plugin/kibana/#/discover/Steve-Slow-Train-Analysis-(2080s-and-2083s)?_g=(refreshInterval:(display:Off,section:0,value:0),time:(from:'2016-10-18 22:14:49-0600',mode:absolute,to:'2016-10-19 00:32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0" s="105" t="str">
        <f t="shared" si="1"/>
        <v>"C:\Program Files (x86)\AstroGrep\AstroGrep.exe" /spath="%USERPROFILE%\AppData\Local\Temp\OnboardLogs" /stypes="*4039*201610190*" /stext=" 05:.+((SYSTEM_STATE.+slice.+state.+changed )|(ment ac)|(system.+state.+changed )|(\[timeout)|(PRM\|1\|D)|(kpr)|(kdp)|(\|lc)|(penalty))" /e /r /s</v>
      </c>
      <c r="U40" s="9" t="str">
        <f t="shared" si="2"/>
        <v>4039</v>
      </c>
      <c r="V40" s="36">
        <f t="shared" si="3"/>
        <v>42662.230706018519</v>
      </c>
      <c r="W40" s="50" t="str">
        <f t="shared" si="4"/>
        <v>Other</v>
      </c>
      <c r="X40" s="50" t="str">
        <f t="shared" si="5"/>
        <v>KEEP</v>
      </c>
      <c r="Y40" s="122" t="str">
        <f t="shared" si="6"/>
        <v>echo {"issue":{"subject":"","project_id":79,"tracker_id":40,"status_id":1,"priority_id":2,"assigned_to_id":23,"start_date":"2016-10-18","description":"","custom_fields":[{"id":1,"name":"Subdivision","value":"Other"},{"id":4,"name":"Milepost","value":"0.0826"},{"id":17,"name":"Train ID","value":"54-18"},{"id":16,"name":"Locomotive ID","value":"4039"},{"id":130,"name":"Impact","value":""},{"id":150,"name":"Time of Event (Mountain Time)","value":"23:32:13"},{"id":151,"name":"Denver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4" t="str">
        <f t="shared" si="7"/>
        <v>grep -hSE -A100 "Enforcement Action" "%USERPROFILE%\AppData\Local\Temp\OnboardLogs"\RTDC4039\*4039*201610190* | grep -SE "((Enforcement Ac)|(PRM))" -</v>
      </c>
      <c r="AD40" s="1"/>
    </row>
    <row r="41" spans="1:30" x14ac:dyDescent="0.25">
      <c r="A41" s="36">
        <v>42661.768969907411</v>
      </c>
      <c r="B41" s="31" t="s">
        <v>351</v>
      </c>
      <c r="C41" s="31" t="s">
        <v>434</v>
      </c>
      <c r="D41" s="31" t="s">
        <v>98</v>
      </c>
      <c r="E41" s="31" t="s">
        <v>435</v>
      </c>
      <c r="F41" s="47">
        <v>0</v>
      </c>
      <c r="G41" s="47">
        <v>4</v>
      </c>
      <c r="H41" s="47">
        <v>25632</v>
      </c>
      <c r="I41" s="47">
        <v>25635</v>
      </c>
      <c r="J41" s="31" t="s">
        <v>436</v>
      </c>
      <c r="K41" s="47">
        <v>574</v>
      </c>
      <c r="L41" s="160" t="s">
        <v>50</v>
      </c>
      <c r="M41" s="161">
        <f t="shared" si="0"/>
        <v>-13232.208000000001</v>
      </c>
      <c r="N41" s="162" t="str">
        <f>VLOOKUP(C41,'Trips&amp;Operators'!$C$1:$E$99999,3,FALSE)</f>
        <v>SWANSON</v>
      </c>
      <c r="O41" s="143" t="s">
        <v>258</v>
      </c>
      <c r="P41" s="163"/>
      <c r="Q41" s="31"/>
      <c r="R41" s="100" t="str">
        <f>VLOOKUP(C41,'Train Runs'!$A$13:$AE$10022,31,0)</f>
        <v>aws s3 cp s3://rtdc.mdm.uploadarchive.raw/RTDC4022/ "%USERPROFILE%\AppData\Local\Temp\OnboardLogs"\RTDC4022\2016-10-18 --exclude "*" --recursive --include "*20161018*" &amp; "%USERPROFILE%\Documents\GitHub\mrs-test-scripts\Headless Mode &amp; Sideloading\WalkAndUnGZ.bat" "%USERPROFILE%\AppData\Local\Temp\OnboardLogs"\RTDC4022\2016-10-18 &amp; aws s3 cp s3://rtdc.mdm.uploadarchive.raw/RTDC4022/ "%USERPROFILE%\AppData\Local\Temp\OnboardLogs"\RTDC4022\2016-10-19 --exclude "*" --recursive --include "*20161019*" &amp; "%USERPROFILE%\Documents\GitHub\mrs-test-scripts\Headless Mode &amp; Sideloading\WalkAndUnGZ.bat" "%USERPROFILE%\AppData\Local\Temp\OnboardLogs"\RTDC4022\2016-10-19</v>
      </c>
      <c r="S41" s="103" t="str">
        <f>VLOOKUP(C41,'Train Runs'!$A$13:$AE$10022,22,0)</f>
        <v>https://search-rtdc-monitor-bjffxe2xuh6vdkpspy63sjmuny.us-east-1.es.amazonaws.com/_plugin/kibana/#/discover/Steve-Slow-Train-Analysis-(2080s-and-2083s)?_g=(refreshInterval:(display:Off,section:0,value:0),time:(from:'2016-10-18 17:12:05-0600',mode:absolute,to:'2016-10-18 19:27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41" s="105" t="str">
        <f t="shared" si="1"/>
        <v>"C:\Program Files (x86)\AstroGrep\AstroGrep.exe" /spath="%USERPROFILE%\AppData\Local\Temp\OnboardLogs" /stypes="*4022*201610190*" /stext=" 00:.+((SYSTEM_STATE.+slice.+state.+changed )|(ment ac)|(system.+state.+changed )|(\[timeout)|(PRM\|1\|D)|(kpr)|(kdp)|(\|lc)|(penalty))" /e /r /s</v>
      </c>
      <c r="U41" s="9" t="str">
        <f t="shared" si="2"/>
        <v>4022</v>
      </c>
      <c r="V41" s="36">
        <f t="shared" si="3"/>
        <v>42662.018969907411</v>
      </c>
      <c r="W41" s="50" t="str">
        <f t="shared" si="4"/>
        <v>Other</v>
      </c>
      <c r="X41" s="50" t="str">
        <f t="shared" si="5"/>
        <v>KEEP</v>
      </c>
      <c r="Y41" s="122" t="str">
        <f t="shared" si="6"/>
        <v>echo {"issue":{"subject":"","project_id":79,"tracker_id":40,"status_id":1,"priority_id":2,"assigned_to_id":23,"start_date":"2016-10-18","description":"","custom_fields":[{"id":1,"name":"Subdivision","value":"Other"},{"id":4,"name":"Milepost","value":"0.0574"},{"id":17,"name":"Train ID","value":"57-18"},{"id":16,"name":"Locomotive ID","value":"4022"},{"id":130,"name":"Impact","value":""},{"id":150,"name":"Time of Event (Mountain Time)","value":"18:27:19"},{"id":151,"name":"Denver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4" t="str">
        <f t="shared" si="7"/>
        <v>grep -hSE -A100 "Enforcement Action" "%USERPROFILE%\AppData\Local\Temp\OnboardLogs"\RTDC4022\*4022*201610190* | grep -SE "((Enforcement Ac)|(PRM))" -</v>
      </c>
      <c r="AD41" s="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66">
    <sortState ref="A7:AC66">
      <sortCondition ref="W7:W41"/>
      <sortCondition ref="E7:E41"/>
      <sortCondition ref="K7:K41"/>
      <sortCondition ref="F7:F41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41">
    <cfRule type="cellIs" dxfId="1" priority="2" operator="equal">
      <formula>"Y"</formula>
    </cfRule>
  </conditionalFormatting>
  <conditionalFormatting sqref="A7:P41">
    <cfRule type="expression" dxfId="0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Values'!$C$2:$C$14</xm:f>
          </x14:formula1>
          <xm:sqref>AB7:AB41</xm:sqref>
        </x14:dataValidation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/>
  </sheetViews>
  <sheetFormatPr defaultRowHeight="15" x14ac:dyDescent="0.25"/>
  <cols>
    <col min="1" max="1" width="9.140625" style="168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8"/>
      <c r="B1" s="185" t="str">
        <f>"Trips that did not appear in PTC Data "&amp;TEXT(Variables!$A$2,"YYYY-mm-dd")</f>
        <v>Trips that did not appear in PTC Data 2016-10-18</v>
      </c>
      <c r="C1" s="185"/>
      <c r="D1" s="185"/>
      <c r="E1" s="185"/>
      <c r="F1" s="185"/>
    </row>
    <row r="2" spans="1:11" s="24" customFormat="1" ht="45" x14ac:dyDescent="0.25">
      <c r="A2" s="183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x14ac:dyDescent="0.25">
      <c r="A3" s="181">
        <v>236</v>
      </c>
      <c r="B3" s="47" t="str">
        <f>A3&amp;"-"&amp;IF(DAY(Variables!$A$2)&lt;10,0,"")&amp;DAY(Variables!$A$2)</f>
        <v>236-18</v>
      </c>
      <c r="C3" s="164"/>
      <c r="D3" s="165"/>
      <c r="E3" s="31" t="s">
        <v>789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2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22236-18%22)),sort:!(Time,asc))</v>
      </c>
      <c r="J3" s="31" t="e">
        <f>VLOOKUP(B3,'Train Runs'!$A$13:$A$100019,1,FALSE)</f>
        <v>#N/A</v>
      </c>
      <c r="K3" s="21" t="e">
        <f t="shared" ref="K3:K20" si="1">IF(VLOOKUP(A3,$K$59:$K$82,1,FALSE),"Cancelled")</f>
        <v>#N/A</v>
      </c>
    </row>
    <row r="4" spans="1:11" x14ac:dyDescent="0.25">
      <c r="A4" s="181">
        <v>241</v>
      </c>
      <c r="B4" s="47" t="str">
        <f>A4&amp;"-"&amp;IF(DAY(Variables!$A$2)&lt;10,0,"")&amp;DAY(Variables!$A$2)</f>
        <v>241-18</v>
      </c>
      <c r="C4" s="164"/>
      <c r="D4" s="165"/>
      <c r="E4" s="31" t="s">
        <v>789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22241-18%22)),sort:!(Time,asc))</v>
      </c>
      <c r="J4" s="31" t="e">
        <f>VLOOKUP(B4,'Train Runs'!$A$13:$A$100019,1,FALSE)</f>
        <v>#N/A</v>
      </c>
      <c r="K4" s="21" t="e">
        <f t="shared" si="1"/>
        <v>#N/A</v>
      </c>
    </row>
    <row r="5" spans="1:11" x14ac:dyDescent="0.25">
      <c r="A5" s="181">
        <v>242</v>
      </c>
      <c r="B5" s="47" t="str">
        <f>A5&amp;"-"&amp;IF(DAY(Variables!$A$2)&lt;10,0,"")&amp;DAY(Variables!$A$2)</f>
        <v>242-18</v>
      </c>
      <c r="C5" s="164"/>
      <c r="D5" s="165"/>
      <c r="E5" s="31" t="s">
        <v>789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22242-18%22)),sort:!(Time,asc))</v>
      </c>
      <c r="J5" s="31" t="e">
        <f>VLOOKUP(B5,'Train Runs'!$A$13:$A$100019,1,FALSE)</f>
        <v>#N/A</v>
      </c>
      <c r="K5" s="21" t="e">
        <f t="shared" si="1"/>
        <v>#N/A</v>
      </c>
    </row>
    <row r="6" spans="1:11" x14ac:dyDescent="0.25">
      <c r="A6" s="181">
        <v>235</v>
      </c>
      <c r="B6" s="47" t="str">
        <f>A6&amp;"-"&amp;IF(DAY(Variables!$A$2)&lt;10,0,"")&amp;DAY(Variables!$A$2)</f>
        <v>235-18</v>
      </c>
      <c r="C6" s="164"/>
      <c r="D6" s="165"/>
      <c r="E6" s="31" t="s">
        <v>789</v>
      </c>
      <c r="F6" s="22" t="str">
        <f>VLOOKUP(B6,'Trips&amp;Operators'!$C$2:$E$10000,3,FALSE)</f>
        <v>CHANDLER</v>
      </c>
      <c r="G6" s="22" t="str">
        <f>VLOOKUP(B6,'Trips&amp;Operators'!$C$1:$F$10000,4,FALSE)</f>
        <v>rtdc.l.rtdc.4029:itc</v>
      </c>
      <c r="H6" s="30">
        <f>VLOOKUP(B6,'Trips&amp;Operators'!$C$1:$H$10000,5,FALSE)</f>
        <v>42661.949745370373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22235-18%22)),sort:!(Time,asc))</v>
      </c>
      <c r="J6" s="31" t="e">
        <f>VLOOKUP(B6,'Train Runs'!$A$13:$A$100019,1,FALSE)</f>
        <v>#N/A</v>
      </c>
      <c r="K6" s="21" t="e">
        <f t="shared" si="1"/>
        <v>#N/A</v>
      </c>
    </row>
    <row r="7" spans="1:11" s="21" customFormat="1" x14ac:dyDescent="0.25">
      <c r="A7" s="181"/>
      <c r="B7" s="47" t="str">
        <f>A7&amp;"-"&amp;IF(DAY(Variables!$A$2)&lt;10,0,"")&amp;DAY(Variables!$A$2)</f>
        <v>-18</v>
      </c>
      <c r="C7" s="164"/>
      <c r="D7" s="165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7" s="31" t="e">
        <f>VLOOKUP(B7,'Train Runs'!$A$13:$A$100019,1,FALSE)</f>
        <v>#N/A</v>
      </c>
      <c r="K7" s="21" t="e">
        <f t="shared" si="1"/>
        <v>#N/A</v>
      </c>
    </row>
    <row r="8" spans="1:11" x14ac:dyDescent="0.25">
      <c r="A8" s="181"/>
      <c r="B8" s="47" t="str">
        <f>A8&amp;"-"&amp;IF(DAY(Variables!$A$2)&lt;10,0,"")&amp;DAY(Variables!$A$2)</f>
        <v>-18</v>
      </c>
      <c r="C8" s="164"/>
      <c r="D8" s="165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8" s="31" t="e">
        <f>VLOOKUP(B8,'Train Runs'!$A$13:$A$100019,1,FALSE)</f>
        <v>#N/A</v>
      </c>
      <c r="K8" s="21" t="e">
        <f t="shared" si="1"/>
        <v>#N/A</v>
      </c>
    </row>
    <row r="9" spans="1:11" x14ac:dyDescent="0.25">
      <c r="A9" s="181"/>
      <c r="B9" s="47" t="str">
        <f>A9&amp;"-"&amp;IF(DAY(Variables!$A$2)&lt;10,0,"")&amp;DAY(Variables!$A$2)</f>
        <v>-18</v>
      </c>
      <c r="C9" s="164"/>
      <c r="D9" s="165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9" s="31" t="e">
        <f>VLOOKUP(B9,'Train Runs'!$A$13:$A$100019,1,FALSE)</f>
        <v>#N/A</v>
      </c>
      <c r="K9" s="21" t="e">
        <f t="shared" si="1"/>
        <v>#N/A</v>
      </c>
    </row>
    <row r="10" spans="1:11" x14ac:dyDescent="0.25">
      <c r="A10" s="181"/>
      <c r="B10" s="47" t="str">
        <f>A10&amp;"-"&amp;IF(DAY(Variables!$A$2)&lt;10,0,"")&amp;DAY(Variables!$A$2)</f>
        <v>-18</v>
      </c>
      <c r="C10" s="164"/>
      <c r="D10" s="165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10" s="31" t="e">
        <f>VLOOKUP(B10,'Train Runs'!$A$13:$A$100019,1,FALSE)</f>
        <v>#N/A</v>
      </c>
      <c r="K10" s="21" t="e">
        <f t="shared" si="1"/>
        <v>#N/A</v>
      </c>
    </row>
    <row r="11" spans="1:11" x14ac:dyDescent="0.25">
      <c r="A11" s="181"/>
      <c r="B11" s="47" t="str">
        <f>A11&amp;"-"&amp;IF(DAY(Variables!$A$2)&lt;10,0,"")&amp;DAY(Variables!$A$2)</f>
        <v>-18</v>
      </c>
      <c r="C11" s="164"/>
      <c r="D11" s="165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11" s="31" t="e">
        <f>VLOOKUP(B11,'Train Runs'!$A$13:$A$100019,1,FALSE)</f>
        <v>#N/A</v>
      </c>
      <c r="K11" s="21" t="e">
        <f t="shared" si="1"/>
        <v>#N/A</v>
      </c>
    </row>
    <row r="12" spans="1:11" x14ac:dyDescent="0.25">
      <c r="A12" s="181"/>
      <c r="B12" s="47" t="str">
        <f>A12&amp;"-"&amp;IF(DAY(Variables!$A$2)&lt;10,0,"")&amp;DAY(Variables!$A$2)</f>
        <v>-18</v>
      </c>
      <c r="C12" s="164"/>
      <c r="D12" s="165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12" s="31" t="e">
        <f>VLOOKUP(B12,'Train Runs'!$A$13:$A$100019,1,FALSE)</f>
        <v>#N/A</v>
      </c>
      <c r="K12" s="21" t="e">
        <f t="shared" si="1"/>
        <v>#N/A</v>
      </c>
    </row>
    <row r="13" spans="1:11" x14ac:dyDescent="0.25">
      <c r="A13" s="181"/>
      <c r="B13" s="47" t="str">
        <f>A13&amp;"-"&amp;IF(DAY(Variables!$A$2)&lt;10,0,"")&amp;DAY(Variables!$A$2)</f>
        <v>-18</v>
      </c>
      <c r="C13" s="164"/>
      <c r="D13" s="165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13" s="31" t="e">
        <f>VLOOKUP(B13,'Train Runs'!$A$13:$A$100019,1,FALSE)</f>
        <v>#N/A</v>
      </c>
      <c r="K13" s="21" t="e">
        <f t="shared" si="1"/>
        <v>#N/A</v>
      </c>
    </row>
    <row r="14" spans="1:11" x14ac:dyDescent="0.25">
      <c r="A14" s="181"/>
      <c r="B14" s="47" t="str">
        <f>A14&amp;"-"&amp;IF(DAY(Variables!$A$2)&lt;10,0,"")&amp;DAY(Variables!$A$2)</f>
        <v>-18</v>
      </c>
      <c r="C14" s="164"/>
      <c r="D14" s="165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14" s="31" t="e">
        <f>VLOOKUP(B14,'Train Runs'!$A$13:$A$100019,1,FALSE)</f>
        <v>#N/A</v>
      </c>
      <c r="K14" s="21" t="e">
        <f t="shared" si="1"/>
        <v>#N/A</v>
      </c>
    </row>
    <row r="15" spans="1:11" x14ac:dyDescent="0.25">
      <c r="A15" s="181"/>
      <c r="B15" s="47" t="str">
        <f>A15&amp;"-"&amp;IF(DAY(Variables!$A$2)&lt;10,0,"")&amp;DAY(Variables!$A$2)</f>
        <v>-18</v>
      </c>
      <c r="C15" s="164"/>
      <c r="D15" s="165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15" s="31" t="e">
        <f>VLOOKUP(B15,'Train Runs'!$A$13:$A$100019,1,FALSE)</f>
        <v>#N/A</v>
      </c>
      <c r="K15" s="21" t="e">
        <f t="shared" si="1"/>
        <v>#N/A</v>
      </c>
    </row>
    <row r="16" spans="1:11" x14ac:dyDescent="0.25">
      <c r="A16" s="181"/>
      <c r="B16" s="47" t="str">
        <f>A16&amp;"-"&amp;IF(DAY(Variables!$A$2)&lt;10,0,"")&amp;DAY(Variables!$A$2)</f>
        <v>-18</v>
      </c>
      <c r="C16" s="164"/>
      <c r="D16" s="165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16" s="31" t="e">
        <f>VLOOKUP(B16,'Train Runs'!$A$13:$A$100019,1,FALSE)</f>
        <v>#N/A</v>
      </c>
      <c r="K16" s="21" t="e">
        <f t="shared" si="1"/>
        <v>#N/A</v>
      </c>
    </row>
    <row r="17" spans="1:11" x14ac:dyDescent="0.25">
      <c r="A17" s="181"/>
      <c r="B17" s="47" t="str">
        <f>A17&amp;"-"&amp;IF(DAY(Variables!$A$2)&lt;10,0,"")&amp;DAY(Variables!$A$2)</f>
        <v>-18</v>
      </c>
      <c r="C17" s="164"/>
      <c r="D17" s="165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17" s="31" t="e">
        <f>VLOOKUP(B17,'Train Runs'!$A$13:$A$100019,1,FALSE)</f>
        <v>#N/A</v>
      </c>
      <c r="K17" s="21" t="e">
        <f t="shared" si="1"/>
        <v>#N/A</v>
      </c>
    </row>
    <row r="18" spans="1:11" x14ac:dyDescent="0.25">
      <c r="A18" s="181"/>
      <c r="B18" s="47" t="str">
        <f>A18&amp;"-"&amp;IF(DAY(Variables!$A$2)&lt;10,0,"")&amp;DAY(Variables!$A$2)</f>
        <v>-18</v>
      </c>
      <c r="C18" s="164"/>
      <c r="D18" s="165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18" s="31" t="e">
        <f>VLOOKUP(B18,'Train Runs'!$A$13:$A$100019,1,FALSE)</f>
        <v>#N/A</v>
      </c>
      <c r="K18" s="21" t="e">
        <f t="shared" si="1"/>
        <v>#N/A</v>
      </c>
    </row>
    <row r="19" spans="1:11" x14ac:dyDescent="0.25">
      <c r="A19" s="181"/>
      <c r="B19" s="47" t="str">
        <f>A19&amp;"-"&amp;IF(DAY(Variables!$A$2)&lt;10,0,"")&amp;DAY(Variables!$A$2)</f>
        <v>-18</v>
      </c>
      <c r="C19" s="164"/>
      <c r="D19" s="165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19" s="31" t="e">
        <f>VLOOKUP(B19,'Train Runs'!$A$13:$A$100019,1,FALSE)</f>
        <v>#N/A</v>
      </c>
      <c r="K19" s="21" t="e">
        <f t="shared" si="1"/>
        <v>#N/A</v>
      </c>
    </row>
    <row r="20" spans="1:11" x14ac:dyDescent="0.25">
      <c r="A20" s="181"/>
      <c r="B20" s="47" t="str">
        <f>A20&amp;"-"&amp;IF(DAY(Variables!$A$2)&lt;10,0,"")&amp;DAY(Variables!$A$2)</f>
        <v>-18</v>
      </c>
      <c r="C20" s="164"/>
      <c r="D20" s="165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20" s="31" t="e">
        <f>VLOOKUP(B20,'Train Runs'!$A$13:$A$100019,1,FALSE)</f>
        <v>#N/A</v>
      </c>
      <c r="K20" s="21" t="e">
        <f t="shared" si="1"/>
        <v>#N/A</v>
      </c>
    </row>
    <row r="21" spans="1:11" x14ac:dyDescent="0.25">
      <c r="C21" s="110"/>
      <c r="D21" s="110"/>
      <c r="E21" s="31"/>
      <c r="F21" s="22"/>
      <c r="G21" s="22"/>
      <c r="H21" s="30"/>
      <c r="I21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42661.033819444441</v>
      </c>
      <c r="B2" s="21" t="s">
        <v>340</v>
      </c>
      <c r="C2" s="21" t="s">
        <v>352</v>
      </c>
      <c r="D2" s="21">
        <v>1810000</v>
      </c>
      <c r="E2" s="21" t="s">
        <v>275</v>
      </c>
      <c r="F2" s="21" t="str">
        <f t="shared" ref="F2:F65" si="0">B2</f>
        <v>rtdc.l.rtdc.4037:itc</v>
      </c>
      <c r="G2" s="8">
        <f t="shared" ref="G2:G65" si="1">A2</f>
        <v>42661.033819444441</v>
      </c>
    </row>
    <row r="3" spans="1:7" x14ac:dyDescent="0.25">
      <c r="A3" s="8">
        <v>42661.046168981484</v>
      </c>
      <c r="B3" s="21" t="s">
        <v>290</v>
      </c>
      <c r="C3" s="21" t="s">
        <v>353</v>
      </c>
      <c r="D3" s="21">
        <v>1230000</v>
      </c>
      <c r="E3" s="21" t="s">
        <v>216</v>
      </c>
      <c r="F3" s="21" t="str">
        <f t="shared" si="0"/>
        <v>rtdc.l.rtdc.4011:itc</v>
      </c>
      <c r="G3" s="8">
        <f t="shared" si="1"/>
        <v>42661.046168981484</v>
      </c>
    </row>
    <row r="4" spans="1:7" x14ac:dyDescent="0.25">
      <c r="A4" s="8">
        <v>42661.046863425923</v>
      </c>
      <c r="B4" s="21" t="s">
        <v>290</v>
      </c>
      <c r="C4" s="21" t="s">
        <v>353</v>
      </c>
      <c r="D4" s="21">
        <v>1230000</v>
      </c>
      <c r="E4" s="21" t="s">
        <v>216</v>
      </c>
      <c r="F4" s="21" t="str">
        <f t="shared" si="0"/>
        <v>rtdc.l.rtdc.4011:itc</v>
      </c>
      <c r="G4" s="8">
        <f t="shared" si="1"/>
        <v>42661.046863425923</v>
      </c>
    </row>
    <row r="5" spans="1:7" x14ac:dyDescent="0.25">
      <c r="A5" s="8">
        <v>42661.047372685185</v>
      </c>
      <c r="B5" s="21" t="s">
        <v>290</v>
      </c>
      <c r="C5" s="21" t="s">
        <v>353</v>
      </c>
      <c r="D5" s="21">
        <v>1230000</v>
      </c>
      <c r="E5" s="21" t="s">
        <v>216</v>
      </c>
      <c r="F5" s="21" t="str">
        <f t="shared" si="0"/>
        <v>rtdc.l.rtdc.4011:itc</v>
      </c>
      <c r="G5" s="8">
        <f t="shared" si="1"/>
        <v>42661.047372685185</v>
      </c>
    </row>
    <row r="6" spans="1:7" x14ac:dyDescent="0.25">
      <c r="A6" s="8">
        <v>42661.059965277775</v>
      </c>
      <c r="B6" s="21" t="s">
        <v>273</v>
      </c>
      <c r="C6" s="21" t="s">
        <v>354</v>
      </c>
      <c r="D6" s="21">
        <v>1800000</v>
      </c>
      <c r="E6" s="21" t="s">
        <v>210</v>
      </c>
      <c r="F6" s="21" t="str">
        <f t="shared" si="0"/>
        <v>rtdc.l.rtdc.4001:itc</v>
      </c>
      <c r="G6" s="8">
        <f t="shared" si="1"/>
        <v>42661.059965277775</v>
      </c>
    </row>
    <row r="7" spans="1:7" x14ac:dyDescent="0.25">
      <c r="A7" s="8">
        <v>42661.068576388891</v>
      </c>
      <c r="B7" s="21" t="s">
        <v>338</v>
      </c>
      <c r="C7" s="21" t="s">
        <v>355</v>
      </c>
      <c r="D7" s="21">
        <v>1810000</v>
      </c>
      <c r="E7" s="21" t="s">
        <v>275</v>
      </c>
      <c r="F7" s="21" t="str">
        <f t="shared" si="0"/>
        <v>rtdc.l.rtdc.4038:itc</v>
      </c>
      <c r="G7" s="8">
        <f t="shared" si="1"/>
        <v>42661.068576388891</v>
      </c>
    </row>
    <row r="8" spans="1:7" x14ac:dyDescent="0.25">
      <c r="A8" s="8">
        <v>42661.070254629631</v>
      </c>
      <c r="B8" s="21" t="s">
        <v>338</v>
      </c>
      <c r="C8" s="21" t="s">
        <v>356</v>
      </c>
      <c r="D8" s="21">
        <v>1810000</v>
      </c>
      <c r="E8" s="21" t="s">
        <v>275</v>
      </c>
      <c r="F8" s="21" t="str">
        <f t="shared" si="0"/>
        <v>rtdc.l.rtdc.4038:itc</v>
      </c>
      <c r="G8" s="8">
        <f t="shared" si="1"/>
        <v>42661.070254629631</v>
      </c>
    </row>
    <row r="9" spans="1:7" ht="15.75" thickBot="1" x14ac:dyDescent="0.3">
      <c r="A9" s="25">
        <v>42661.073553240742</v>
      </c>
      <c r="B9" s="21" t="s">
        <v>199</v>
      </c>
      <c r="C9" s="21" t="s">
        <v>355</v>
      </c>
      <c r="D9" s="21">
        <v>1180000</v>
      </c>
      <c r="E9" s="21" t="s">
        <v>190</v>
      </c>
      <c r="F9" s="21" t="str">
        <f t="shared" si="0"/>
        <v>rtdc.l.rtdc.4046:itc</v>
      </c>
      <c r="G9" s="8">
        <f t="shared" si="1"/>
        <v>42661.073553240742</v>
      </c>
    </row>
    <row r="10" spans="1:7" x14ac:dyDescent="0.25">
      <c r="A10" s="8">
        <v>42661.090613425928</v>
      </c>
      <c r="B10" s="21" t="s">
        <v>339</v>
      </c>
      <c r="C10" s="21" t="s">
        <v>357</v>
      </c>
      <c r="D10" s="21">
        <v>1800000</v>
      </c>
      <c r="E10" s="21" t="s">
        <v>210</v>
      </c>
      <c r="F10" s="21" t="str">
        <f t="shared" si="0"/>
        <v>rtdc.l.rtdc.4002:itc</v>
      </c>
      <c r="G10" s="8">
        <f t="shared" si="1"/>
        <v>42661.090613425928</v>
      </c>
    </row>
    <row r="11" spans="1:7" x14ac:dyDescent="0.25">
      <c r="A11" s="8">
        <v>42661.118159722224</v>
      </c>
      <c r="B11" s="21" t="s">
        <v>426</v>
      </c>
      <c r="C11" s="21" t="s">
        <v>440</v>
      </c>
      <c r="D11" s="21">
        <v>2030000</v>
      </c>
      <c r="E11" s="21" t="s">
        <v>301</v>
      </c>
      <c r="F11" s="21" t="str">
        <f t="shared" si="0"/>
        <v>rtdc.l.rtdc.4015:itc</v>
      </c>
      <c r="G11" s="8">
        <f t="shared" si="1"/>
        <v>42661.118159722224</v>
      </c>
    </row>
    <row r="12" spans="1:7" x14ac:dyDescent="0.25">
      <c r="A12" s="8">
        <v>42661.119976851849</v>
      </c>
      <c r="B12" s="21" t="s">
        <v>426</v>
      </c>
      <c r="C12" s="21" t="s">
        <v>440</v>
      </c>
      <c r="D12" s="21">
        <v>2030000</v>
      </c>
      <c r="E12" s="21" t="s">
        <v>301</v>
      </c>
      <c r="F12" s="21" t="str">
        <f t="shared" si="0"/>
        <v>rtdc.l.rtdc.4015:itc</v>
      </c>
      <c r="G12" s="8">
        <f t="shared" si="1"/>
        <v>42661.119976851849</v>
      </c>
    </row>
    <row r="13" spans="1:7" x14ac:dyDescent="0.25">
      <c r="A13" s="8">
        <v>42661.130300925928</v>
      </c>
      <c r="B13" s="21" t="s">
        <v>197</v>
      </c>
      <c r="C13" s="21" t="s">
        <v>441</v>
      </c>
      <c r="D13" s="21">
        <v>2030000</v>
      </c>
      <c r="E13" s="21" t="s">
        <v>301</v>
      </c>
      <c r="F13" s="21" t="str">
        <f t="shared" si="0"/>
        <v>rtdc.l.rtdc.4044:itc</v>
      </c>
      <c r="G13" s="8">
        <f t="shared" si="1"/>
        <v>42661.130300925928</v>
      </c>
    </row>
    <row r="14" spans="1:7" x14ac:dyDescent="0.25">
      <c r="A14" s="8">
        <v>42661.143043981479</v>
      </c>
      <c r="B14" s="21" t="s">
        <v>215</v>
      </c>
      <c r="C14" s="21" t="s">
        <v>442</v>
      </c>
      <c r="D14" s="21">
        <v>1260000</v>
      </c>
      <c r="E14" s="21" t="s">
        <v>312</v>
      </c>
      <c r="F14" s="21" t="str">
        <f t="shared" si="0"/>
        <v>rtdc.l.rtdc.4039:itc</v>
      </c>
      <c r="G14" s="8">
        <f t="shared" si="1"/>
        <v>42661.143043981479</v>
      </c>
    </row>
    <row r="15" spans="1:7" x14ac:dyDescent="0.25">
      <c r="A15" s="8">
        <v>42661.153090277781</v>
      </c>
      <c r="B15" s="21" t="s">
        <v>218</v>
      </c>
      <c r="C15" s="21" t="s">
        <v>409</v>
      </c>
      <c r="D15" s="21">
        <v>1260000</v>
      </c>
      <c r="E15" s="21" t="s">
        <v>312</v>
      </c>
      <c r="F15" s="21" t="str">
        <f t="shared" si="0"/>
        <v>rtdc.l.rtdc.4031:itc</v>
      </c>
      <c r="G15" s="8">
        <f t="shared" si="1"/>
        <v>42661.153090277781</v>
      </c>
    </row>
    <row r="16" spans="1:7" x14ac:dyDescent="0.25">
      <c r="A16" s="8">
        <v>42661.165752314817</v>
      </c>
      <c r="B16" s="21" t="s">
        <v>313</v>
      </c>
      <c r="C16" s="21" t="s">
        <v>443</v>
      </c>
      <c r="D16" s="21">
        <v>1190000</v>
      </c>
      <c r="E16" s="21" t="s">
        <v>444</v>
      </c>
      <c r="F16" s="21" t="str">
        <f t="shared" si="0"/>
        <v>rtdc.l.rtdc.4026:itc</v>
      </c>
      <c r="G16" s="8">
        <f t="shared" si="1"/>
        <v>42661.165752314817</v>
      </c>
    </row>
    <row r="17" spans="1:7" x14ac:dyDescent="0.25">
      <c r="A17" s="8">
        <v>42661.170706018522</v>
      </c>
      <c r="B17" s="21" t="s">
        <v>426</v>
      </c>
      <c r="C17" s="21" t="s">
        <v>445</v>
      </c>
      <c r="D17" s="21">
        <v>2030000</v>
      </c>
      <c r="E17" s="21" t="s">
        <v>301</v>
      </c>
      <c r="F17" s="21" t="str">
        <f t="shared" si="0"/>
        <v>rtdc.l.rtdc.4015:itc</v>
      </c>
      <c r="G17" s="8">
        <f t="shared" si="1"/>
        <v>42661.170706018522</v>
      </c>
    </row>
    <row r="18" spans="1:7" x14ac:dyDescent="0.25">
      <c r="A18" s="8">
        <v>42661.17386574074</v>
      </c>
      <c r="B18" s="21" t="s">
        <v>315</v>
      </c>
      <c r="C18" s="21" t="s">
        <v>446</v>
      </c>
      <c r="D18" s="21">
        <v>1090000</v>
      </c>
      <c r="E18" s="21" t="s">
        <v>343</v>
      </c>
      <c r="F18" s="21" t="str">
        <f t="shared" si="0"/>
        <v>rtdc.l.rtdc.4030:itc</v>
      </c>
      <c r="G18" s="8">
        <f t="shared" si="1"/>
        <v>42661.17386574074</v>
      </c>
    </row>
    <row r="19" spans="1:7" x14ac:dyDescent="0.25">
      <c r="A19" s="8">
        <v>42661.174768518518</v>
      </c>
      <c r="B19" s="21" t="s">
        <v>188</v>
      </c>
      <c r="C19" s="21" t="s">
        <v>447</v>
      </c>
      <c r="D19" s="21">
        <v>1190000</v>
      </c>
      <c r="E19" s="21" t="s">
        <v>444</v>
      </c>
      <c r="F19" s="21" t="str">
        <f t="shared" si="0"/>
        <v>rtdc.l.rtdc.4018:itc</v>
      </c>
      <c r="G19" s="8">
        <f t="shared" si="1"/>
        <v>42661.174768518518</v>
      </c>
    </row>
    <row r="20" spans="1:7" x14ac:dyDescent="0.25">
      <c r="A20" s="8">
        <v>42661.182928240742</v>
      </c>
      <c r="B20" s="21" t="s">
        <v>289</v>
      </c>
      <c r="C20" s="21" t="s">
        <v>448</v>
      </c>
      <c r="D20" s="21">
        <v>1990000</v>
      </c>
      <c r="E20" s="21" t="s">
        <v>449</v>
      </c>
      <c r="F20" s="21" t="str">
        <f t="shared" si="0"/>
        <v>rtdc.l.rtdc.4012:itc</v>
      </c>
      <c r="G20" s="8">
        <f t="shared" si="1"/>
        <v>42661.182928240742</v>
      </c>
    </row>
    <row r="21" spans="1:7" x14ac:dyDescent="0.25">
      <c r="A21" s="8">
        <v>42661.184710648151</v>
      </c>
      <c r="B21" s="21" t="s">
        <v>311</v>
      </c>
      <c r="C21" s="21" t="s">
        <v>450</v>
      </c>
      <c r="D21" s="21">
        <v>1090000</v>
      </c>
      <c r="E21" s="21" t="s">
        <v>343</v>
      </c>
      <c r="F21" s="21" t="str">
        <f t="shared" si="0"/>
        <v>rtdc.l.rtdc.4029:itc</v>
      </c>
      <c r="G21" s="8">
        <f t="shared" si="1"/>
        <v>42661.184710648151</v>
      </c>
    </row>
    <row r="22" spans="1:7" x14ac:dyDescent="0.25">
      <c r="A22" s="27">
        <v>42661.185555555552</v>
      </c>
      <c r="B22" s="21" t="s">
        <v>215</v>
      </c>
      <c r="C22" s="21" t="s">
        <v>410</v>
      </c>
      <c r="D22" s="21">
        <v>1260000</v>
      </c>
      <c r="E22" s="21" t="s">
        <v>312</v>
      </c>
      <c r="F22" s="21" t="str">
        <f t="shared" si="0"/>
        <v>rtdc.l.rtdc.4039:itc</v>
      </c>
      <c r="G22" s="8">
        <f t="shared" si="1"/>
        <v>42661.185555555552</v>
      </c>
    </row>
    <row r="23" spans="1:7" x14ac:dyDescent="0.25">
      <c r="A23" s="8">
        <v>42661.185891203706</v>
      </c>
      <c r="B23" s="21" t="s">
        <v>311</v>
      </c>
      <c r="C23" s="21" t="s">
        <v>450</v>
      </c>
      <c r="D23" s="21">
        <v>1090000</v>
      </c>
      <c r="E23" s="21" t="s">
        <v>343</v>
      </c>
      <c r="F23" s="21" t="str">
        <f t="shared" si="0"/>
        <v>rtdc.l.rtdc.4029:itc</v>
      </c>
      <c r="G23" s="8">
        <f t="shared" si="1"/>
        <v>42661.185891203706</v>
      </c>
    </row>
    <row r="24" spans="1:7" x14ac:dyDescent="0.25">
      <c r="A24" s="8">
        <v>42661.194062499999</v>
      </c>
      <c r="B24" s="21" t="s">
        <v>290</v>
      </c>
      <c r="C24" s="21" t="s">
        <v>451</v>
      </c>
      <c r="D24" s="21">
        <v>1990000</v>
      </c>
      <c r="E24" s="21" t="s">
        <v>449</v>
      </c>
      <c r="F24" s="21" t="str">
        <f t="shared" si="0"/>
        <v>rtdc.l.rtdc.4011:itc</v>
      </c>
      <c r="G24" s="8">
        <f t="shared" si="1"/>
        <v>42661.194062499999</v>
      </c>
    </row>
    <row r="25" spans="1:7" x14ac:dyDescent="0.25">
      <c r="A25" s="8">
        <v>42661.200636574074</v>
      </c>
      <c r="B25" s="21" t="s">
        <v>199</v>
      </c>
      <c r="C25" s="21" t="s">
        <v>452</v>
      </c>
      <c r="D25" s="21">
        <v>1340000</v>
      </c>
      <c r="E25" s="21" t="s">
        <v>453</v>
      </c>
      <c r="F25" s="21" t="str">
        <f t="shared" si="0"/>
        <v>rtdc.l.rtdc.4046:itc</v>
      </c>
      <c r="G25" s="8">
        <f t="shared" si="1"/>
        <v>42661.200636574074</v>
      </c>
    </row>
    <row r="26" spans="1:7" x14ac:dyDescent="0.25">
      <c r="A26" s="8">
        <v>42661.205069444448</v>
      </c>
      <c r="B26" s="21" t="s">
        <v>197</v>
      </c>
      <c r="C26" s="21" t="s">
        <v>454</v>
      </c>
      <c r="D26" s="21">
        <v>1100000</v>
      </c>
      <c r="E26" s="21" t="s">
        <v>455</v>
      </c>
      <c r="F26" s="21" t="str">
        <f t="shared" si="0"/>
        <v>rtdc.l.rtdc.4044:itc</v>
      </c>
      <c r="G26" s="8">
        <f t="shared" si="1"/>
        <v>42661.205069444448</v>
      </c>
    </row>
    <row r="27" spans="1:7" x14ac:dyDescent="0.25">
      <c r="A27" s="8">
        <v>42661.20579861111</v>
      </c>
      <c r="B27" s="21" t="s">
        <v>413</v>
      </c>
      <c r="C27" s="21" t="s">
        <v>456</v>
      </c>
      <c r="D27" s="21">
        <v>2030000</v>
      </c>
      <c r="E27" s="21" t="s">
        <v>301</v>
      </c>
      <c r="F27" s="21" t="str">
        <f t="shared" si="0"/>
        <v>rtdc.l.rtdc.4016:itc</v>
      </c>
      <c r="G27" s="8">
        <f t="shared" si="1"/>
        <v>42661.20579861111</v>
      </c>
    </row>
    <row r="28" spans="1:7" x14ac:dyDescent="0.25">
      <c r="A28" s="8">
        <v>42661.206736111111</v>
      </c>
      <c r="B28" s="21" t="s">
        <v>313</v>
      </c>
      <c r="C28" s="21" t="s">
        <v>457</v>
      </c>
      <c r="D28" s="21">
        <v>1190000</v>
      </c>
      <c r="E28" s="21" t="s">
        <v>444</v>
      </c>
      <c r="F28" s="21" t="str">
        <f t="shared" si="0"/>
        <v>rtdc.l.rtdc.4026:itc</v>
      </c>
      <c r="G28" s="8">
        <f t="shared" si="1"/>
        <v>42661.206736111111</v>
      </c>
    </row>
    <row r="29" spans="1:7" x14ac:dyDescent="0.25">
      <c r="A29" s="8">
        <v>42661.209282407406</v>
      </c>
      <c r="B29" s="21" t="s">
        <v>288</v>
      </c>
      <c r="C29" s="21" t="s">
        <v>458</v>
      </c>
      <c r="D29" s="21">
        <v>1340000</v>
      </c>
      <c r="E29" s="21" t="s">
        <v>453</v>
      </c>
      <c r="F29" s="21" t="str">
        <f t="shared" si="0"/>
        <v>rtdc.l.rtdc.4045:itc</v>
      </c>
      <c r="G29" s="8">
        <f t="shared" si="1"/>
        <v>42661.209282407406</v>
      </c>
    </row>
    <row r="30" spans="1:7" x14ac:dyDescent="0.25">
      <c r="A30" s="8">
        <v>42661.221851851849</v>
      </c>
      <c r="B30" s="21" t="s">
        <v>315</v>
      </c>
      <c r="C30" s="21" t="s">
        <v>459</v>
      </c>
      <c r="D30" s="21">
        <v>1090000</v>
      </c>
      <c r="E30" s="21" t="s">
        <v>343</v>
      </c>
      <c r="F30" s="21" t="str">
        <f t="shared" si="0"/>
        <v>rtdc.l.rtdc.4030:itc</v>
      </c>
      <c r="G30" s="8">
        <f t="shared" si="1"/>
        <v>42661.221851851849</v>
      </c>
    </row>
    <row r="31" spans="1:7" x14ac:dyDescent="0.25">
      <c r="A31" s="8">
        <v>42661.229456018518</v>
      </c>
      <c r="B31" s="21" t="s">
        <v>218</v>
      </c>
      <c r="C31" s="21" t="s">
        <v>460</v>
      </c>
      <c r="D31" s="21">
        <v>900000</v>
      </c>
      <c r="E31" s="21" t="s">
        <v>346</v>
      </c>
      <c r="F31" s="21" t="str">
        <f t="shared" si="0"/>
        <v>rtdc.l.rtdc.4031:itc</v>
      </c>
      <c r="G31" s="8">
        <f t="shared" si="1"/>
        <v>42661.229456018518</v>
      </c>
    </row>
    <row r="32" spans="1:7" x14ac:dyDescent="0.25">
      <c r="A32" s="8">
        <v>42661.230937499997</v>
      </c>
      <c r="B32" s="21" t="s">
        <v>289</v>
      </c>
      <c r="C32" s="21" t="s">
        <v>461</v>
      </c>
      <c r="D32" s="21">
        <v>1990000</v>
      </c>
      <c r="E32" s="21" t="s">
        <v>449</v>
      </c>
      <c r="F32" s="21" t="str">
        <f t="shared" si="0"/>
        <v>rtdc.l.rtdc.4012:itc</v>
      </c>
      <c r="G32" s="8">
        <f t="shared" si="1"/>
        <v>42661.230937499997</v>
      </c>
    </row>
    <row r="33" spans="1:7" x14ac:dyDescent="0.25">
      <c r="A33" s="8">
        <v>42661.234247685185</v>
      </c>
      <c r="B33" s="21" t="s">
        <v>266</v>
      </c>
      <c r="C33" s="21" t="s">
        <v>462</v>
      </c>
      <c r="D33" s="21">
        <v>1260000</v>
      </c>
      <c r="E33" s="21" t="s">
        <v>312</v>
      </c>
      <c r="F33" s="21" t="str">
        <f t="shared" si="0"/>
        <v>rtdc.l.rtdc.4040:itc</v>
      </c>
      <c r="G33" s="8">
        <f t="shared" si="1"/>
        <v>42661.234247685185</v>
      </c>
    </row>
    <row r="34" spans="1:7" x14ac:dyDescent="0.25">
      <c r="A34" s="8">
        <v>42661.239710648151</v>
      </c>
      <c r="B34" s="21" t="s">
        <v>199</v>
      </c>
      <c r="C34" s="21" t="s">
        <v>463</v>
      </c>
      <c r="D34" s="21">
        <v>1340000</v>
      </c>
      <c r="E34" s="21" t="s">
        <v>453</v>
      </c>
      <c r="F34" s="21" t="str">
        <f t="shared" si="0"/>
        <v>rtdc.l.rtdc.4046:itc</v>
      </c>
      <c r="G34" s="8">
        <f t="shared" si="1"/>
        <v>42661.239710648151</v>
      </c>
    </row>
    <row r="35" spans="1:7" x14ac:dyDescent="0.25">
      <c r="A35" s="8">
        <v>42661.243032407408</v>
      </c>
      <c r="B35" s="21" t="s">
        <v>341</v>
      </c>
      <c r="C35" s="21" t="s">
        <v>464</v>
      </c>
      <c r="D35" s="21">
        <v>1300000</v>
      </c>
      <c r="E35" s="21" t="s">
        <v>114</v>
      </c>
      <c r="F35" s="21" t="str">
        <f t="shared" si="0"/>
        <v>rtdc.l.rtdc.4054:itc</v>
      </c>
      <c r="G35" s="8">
        <f t="shared" si="1"/>
        <v>42661.243032407408</v>
      </c>
    </row>
    <row r="36" spans="1:7" x14ac:dyDescent="0.25">
      <c r="A36" s="8">
        <v>42661.244641203702</v>
      </c>
      <c r="B36" s="21" t="s">
        <v>212</v>
      </c>
      <c r="C36" s="21" t="s">
        <v>465</v>
      </c>
      <c r="D36" s="21">
        <v>1100000</v>
      </c>
      <c r="E36" s="21" t="s">
        <v>455</v>
      </c>
      <c r="F36" s="21" t="str">
        <f t="shared" si="0"/>
        <v>rtdc.l.rtdc.4043:itc</v>
      </c>
      <c r="G36" s="8">
        <f t="shared" si="1"/>
        <v>42661.244641203702</v>
      </c>
    </row>
    <row r="37" spans="1:7" x14ac:dyDescent="0.25">
      <c r="A37" s="8">
        <v>42661.24863425926</v>
      </c>
      <c r="B37" s="21" t="s">
        <v>188</v>
      </c>
      <c r="C37" s="21" t="s">
        <v>466</v>
      </c>
      <c r="D37" s="21">
        <v>1190000</v>
      </c>
      <c r="E37" s="21" t="s">
        <v>444</v>
      </c>
      <c r="F37" s="21" t="str">
        <f t="shared" si="0"/>
        <v>rtdc.l.rtdc.4018:itc</v>
      </c>
      <c r="G37" s="8">
        <f t="shared" si="1"/>
        <v>42661.24863425926</v>
      </c>
    </row>
    <row r="38" spans="1:7" x14ac:dyDescent="0.25">
      <c r="A38" s="8">
        <v>42661.254687499997</v>
      </c>
      <c r="B38" s="21" t="s">
        <v>288</v>
      </c>
      <c r="C38" s="21" t="s">
        <v>467</v>
      </c>
      <c r="D38" s="21">
        <v>1340000</v>
      </c>
      <c r="E38" s="21" t="s">
        <v>453</v>
      </c>
      <c r="F38" s="21" t="str">
        <f t="shared" si="0"/>
        <v>rtdc.l.rtdc.4045:itc</v>
      </c>
      <c r="G38" s="8">
        <f t="shared" si="1"/>
        <v>42661.254687499997</v>
      </c>
    </row>
    <row r="39" spans="1:7" x14ac:dyDescent="0.25">
      <c r="A39" s="8">
        <v>42661.255925925929</v>
      </c>
      <c r="B39" s="21" t="s">
        <v>426</v>
      </c>
      <c r="C39" s="21" t="s">
        <v>468</v>
      </c>
      <c r="D39" s="21">
        <v>2030000</v>
      </c>
      <c r="E39" s="21" t="s">
        <v>301</v>
      </c>
      <c r="F39" s="21" t="str">
        <f t="shared" si="0"/>
        <v>rtdc.l.rtdc.4015:itc</v>
      </c>
      <c r="G39" s="8">
        <f t="shared" si="1"/>
        <v>42661.255925925929</v>
      </c>
    </row>
    <row r="40" spans="1:7" x14ac:dyDescent="0.25">
      <c r="A40" s="8">
        <v>42661.257037037038</v>
      </c>
      <c r="B40" s="26" t="s">
        <v>311</v>
      </c>
      <c r="C40" s="21" t="s">
        <v>469</v>
      </c>
      <c r="D40" s="21">
        <v>1090000</v>
      </c>
      <c r="E40" s="21" t="s">
        <v>343</v>
      </c>
      <c r="F40" s="21" t="str">
        <f t="shared" si="0"/>
        <v>rtdc.l.rtdc.4029:itc</v>
      </c>
      <c r="G40" s="8">
        <f t="shared" si="1"/>
        <v>42661.257037037038</v>
      </c>
    </row>
    <row r="41" spans="1:7" x14ac:dyDescent="0.25">
      <c r="A41" s="8">
        <v>42661.261516203704</v>
      </c>
      <c r="B41" s="21" t="s">
        <v>345</v>
      </c>
      <c r="C41" s="21" t="s">
        <v>470</v>
      </c>
      <c r="D41" s="21">
        <v>1300000</v>
      </c>
      <c r="E41" s="21" t="s">
        <v>114</v>
      </c>
      <c r="F41" s="21" t="str">
        <f t="shared" si="0"/>
        <v>rtdc.l.rtdc.4053:itc</v>
      </c>
      <c r="G41" s="8">
        <f t="shared" si="1"/>
        <v>42661.261516203704</v>
      </c>
    </row>
    <row r="42" spans="1:7" x14ac:dyDescent="0.25">
      <c r="A42" s="8">
        <v>42661.264710648145</v>
      </c>
      <c r="B42" s="21" t="s">
        <v>217</v>
      </c>
      <c r="C42" s="21" t="s">
        <v>471</v>
      </c>
      <c r="D42" s="21">
        <v>900000</v>
      </c>
      <c r="E42" s="21" t="s">
        <v>346</v>
      </c>
      <c r="F42" s="21" t="str">
        <f t="shared" si="0"/>
        <v>rtdc.l.rtdc.4032:itc</v>
      </c>
      <c r="G42" s="8">
        <f t="shared" si="1"/>
        <v>42661.264710648145</v>
      </c>
    </row>
    <row r="43" spans="1:7" x14ac:dyDescent="0.25">
      <c r="A43" s="8">
        <v>42661.267847222225</v>
      </c>
      <c r="B43" s="21" t="s">
        <v>215</v>
      </c>
      <c r="C43" s="21" t="s">
        <v>411</v>
      </c>
      <c r="D43" s="21">
        <v>1260000</v>
      </c>
      <c r="E43" s="21" t="s">
        <v>312</v>
      </c>
      <c r="F43" s="21" t="str">
        <f t="shared" si="0"/>
        <v>rtdc.l.rtdc.4039:itc</v>
      </c>
      <c r="G43" s="8">
        <f t="shared" si="1"/>
        <v>42661.267847222225</v>
      </c>
    </row>
    <row r="44" spans="1:7" x14ac:dyDescent="0.25">
      <c r="A44" s="8">
        <v>42661.268773148149</v>
      </c>
      <c r="B44" s="21" t="s">
        <v>290</v>
      </c>
      <c r="C44" s="21" t="s">
        <v>472</v>
      </c>
      <c r="D44" s="21">
        <v>1990000</v>
      </c>
      <c r="E44" s="21" t="s">
        <v>449</v>
      </c>
      <c r="F44" s="21" t="str">
        <f t="shared" si="0"/>
        <v>rtdc.l.rtdc.4011:itc</v>
      </c>
      <c r="G44" s="8">
        <f t="shared" si="1"/>
        <v>42661.268773148149</v>
      </c>
    </row>
    <row r="45" spans="1:7" x14ac:dyDescent="0.25">
      <c r="A45" s="8">
        <v>42661.275567129633</v>
      </c>
      <c r="B45" s="21" t="s">
        <v>341</v>
      </c>
      <c r="C45" s="21" t="s">
        <v>473</v>
      </c>
      <c r="D45" s="21">
        <v>1300000</v>
      </c>
      <c r="E45" s="21" t="s">
        <v>114</v>
      </c>
      <c r="F45" s="21" t="str">
        <f t="shared" si="0"/>
        <v>rtdc.l.rtdc.4054:itc</v>
      </c>
      <c r="G45" s="8">
        <f t="shared" si="1"/>
        <v>42661.275567129633</v>
      </c>
    </row>
    <row r="46" spans="1:7" x14ac:dyDescent="0.25">
      <c r="A46" s="8">
        <v>42661.278611111113</v>
      </c>
      <c r="B46" s="21" t="s">
        <v>197</v>
      </c>
      <c r="C46" s="21" t="s">
        <v>474</v>
      </c>
      <c r="D46" s="21">
        <v>1100000</v>
      </c>
      <c r="E46" s="21" t="s">
        <v>455</v>
      </c>
      <c r="F46" s="21" t="str">
        <f t="shared" si="0"/>
        <v>rtdc.l.rtdc.4044:itc</v>
      </c>
      <c r="G46" s="8">
        <f t="shared" si="1"/>
        <v>42661.278611111113</v>
      </c>
    </row>
    <row r="47" spans="1:7" x14ac:dyDescent="0.25">
      <c r="A47" s="8">
        <v>42661.281759259262</v>
      </c>
      <c r="B47" s="21" t="s">
        <v>199</v>
      </c>
      <c r="C47" s="21" t="s">
        <v>412</v>
      </c>
      <c r="D47" s="21">
        <v>1340000</v>
      </c>
      <c r="E47" s="21" t="s">
        <v>453</v>
      </c>
      <c r="F47" s="21" t="str">
        <f t="shared" si="0"/>
        <v>rtdc.l.rtdc.4046:itc</v>
      </c>
      <c r="G47" s="8">
        <f t="shared" si="1"/>
        <v>42661.281759259262</v>
      </c>
    </row>
    <row r="48" spans="1:7" x14ac:dyDescent="0.25">
      <c r="A48" s="8">
        <v>42661.282256944447</v>
      </c>
      <c r="B48" s="21" t="s">
        <v>261</v>
      </c>
      <c r="C48" s="21" t="s">
        <v>475</v>
      </c>
      <c r="D48" s="21">
        <v>1190000</v>
      </c>
      <c r="E48" s="21" t="s">
        <v>444</v>
      </c>
      <c r="F48" s="21" t="str">
        <f t="shared" si="0"/>
        <v>rtdc.l.rtdc.4017:itc</v>
      </c>
      <c r="G48" s="8">
        <f t="shared" si="1"/>
        <v>42661.282256944447</v>
      </c>
    </row>
    <row r="49" spans="1:7" x14ac:dyDescent="0.25">
      <c r="A49" s="8">
        <v>42661.287800925929</v>
      </c>
      <c r="B49" s="21" t="s">
        <v>413</v>
      </c>
      <c r="C49" s="21" t="s">
        <v>414</v>
      </c>
      <c r="D49" s="21">
        <v>2030000</v>
      </c>
      <c r="E49" s="21" t="s">
        <v>301</v>
      </c>
      <c r="F49" s="21" t="str">
        <f t="shared" si="0"/>
        <v>rtdc.l.rtdc.4016:itc</v>
      </c>
      <c r="G49" s="8">
        <f t="shared" si="1"/>
        <v>42661.287800925929</v>
      </c>
    </row>
    <row r="50" spans="1:7" x14ac:dyDescent="0.25">
      <c r="A50" s="8">
        <v>42661.295115740744</v>
      </c>
      <c r="B50" s="21" t="s">
        <v>315</v>
      </c>
      <c r="C50" s="21" t="s">
        <v>476</v>
      </c>
      <c r="D50" s="21">
        <v>1090000</v>
      </c>
      <c r="E50" s="21" t="s">
        <v>343</v>
      </c>
      <c r="F50" s="21" t="str">
        <f t="shared" si="0"/>
        <v>rtdc.l.rtdc.4030:itc</v>
      </c>
      <c r="G50" s="8">
        <f t="shared" si="1"/>
        <v>42661.295115740744</v>
      </c>
    </row>
    <row r="51" spans="1:7" x14ac:dyDescent="0.25">
      <c r="A51" s="8">
        <v>42661.296458333331</v>
      </c>
      <c r="B51" s="21" t="s">
        <v>288</v>
      </c>
      <c r="C51" s="21" t="s">
        <v>477</v>
      </c>
      <c r="D51" s="21">
        <v>1340000</v>
      </c>
      <c r="E51" s="21" t="s">
        <v>453</v>
      </c>
      <c r="F51" s="21" t="str">
        <f t="shared" si="0"/>
        <v>rtdc.l.rtdc.4045:itc</v>
      </c>
      <c r="G51" s="8">
        <f t="shared" si="1"/>
        <v>42661.296458333331</v>
      </c>
    </row>
    <row r="52" spans="1:7" x14ac:dyDescent="0.25">
      <c r="A52" s="8">
        <v>42661.299803240741</v>
      </c>
      <c r="B52" s="21" t="s">
        <v>218</v>
      </c>
      <c r="C52" s="21" t="s">
        <v>478</v>
      </c>
      <c r="D52" s="21">
        <v>900000</v>
      </c>
      <c r="E52" s="21" t="s">
        <v>346</v>
      </c>
      <c r="F52" s="21" t="str">
        <f t="shared" si="0"/>
        <v>rtdc.l.rtdc.4031:itc</v>
      </c>
      <c r="G52" s="8">
        <f t="shared" si="1"/>
        <v>42661.299803240741</v>
      </c>
    </row>
    <row r="53" spans="1:7" x14ac:dyDescent="0.25">
      <c r="A53" s="8">
        <v>42661.302951388891</v>
      </c>
      <c r="B53" s="21" t="s">
        <v>345</v>
      </c>
      <c r="C53" s="21" t="s">
        <v>479</v>
      </c>
      <c r="D53" s="21">
        <v>1300000</v>
      </c>
      <c r="E53" s="21" t="s">
        <v>114</v>
      </c>
      <c r="F53" s="21" t="str">
        <f t="shared" si="0"/>
        <v>rtdc.l.rtdc.4053:itc</v>
      </c>
      <c r="G53" s="8">
        <f t="shared" si="1"/>
        <v>42661.302951388891</v>
      </c>
    </row>
    <row r="54" spans="1:7" x14ac:dyDescent="0.25">
      <c r="A54" s="8">
        <v>42661.305277777778</v>
      </c>
      <c r="B54" s="21" t="s">
        <v>289</v>
      </c>
      <c r="C54" s="21" t="s">
        <v>480</v>
      </c>
      <c r="D54" s="21">
        <v>1990000</v>
      </c>
      <c r="E54" s="21" t="s">
        <v>449</v>
      </c>
      <c r="F54" s="21" t="str">
        <f t="shared" si="0"/>
        <v>rtdc.l.rtdc.4012:itc</v>
      </c>
      <c r="G54" s="8">
        <f t="shared" si="1"/>
        <v>42661.305277777778</v>
      </c>
    </row>
    <row r="55" spans="1:7" x14ac:dyDescent="0.25">
      <c r="A55" s="8">
        <v>42661.310416666667</v>
      </c>
      <c r="B55" s="21" t="s">
        <v>266</v>
      </c>
      <c r="C55" s="21" t="s">
        <v>481</v>
      </c>
      <c r="D55" s="21">
        <v>1260000</v>
      </c>
      <c r="E55" s="21" t="s">
        <v>312</v>
      </c>
      <c r="F55" s="21" t="str">
        <f t="shared" si="0"/>
        <v>rtdc.l.rtdc.4040:itc</v>
      </c>
      <c r="G55" s="8">
        <f t="shared" si="1"/>
        <v>42661.310416666667</v>
      </c>
    </row>
    <row r="56" spans="1:7" x14ac:dyDescent="0.25">
      <c r="A56" s="8">
        <v>42661.316828703704</v>
      </c>
      <c r="B56" s="21" t="s">
        <v>212</v>
      </c>
      <c r="C56" s="21" t="s">
        <v>416</v>
      </c>
      <c r="D56" s="21">
        <v>1100000</v>
      </c>
      <c r="E56" s="21" t="s">
        <v>455</v>
      </c>
      <c r="F56" s="21" t="str">
        <f t="shared" si="0"/>
        <v>rtdc.l.rtdc.4043:itc</v>
      </c>
      <c r="G56" s="8">
        <f t="shared" si="1"/>
        <v>42661.316828703704</v>
      </c>
    </row>
    <row r="57" spans="1:7" x14ac:dyDescent="0.25">
      <c r="A57" s="8">
        <v>42661.318182870367</v>
      </c>
      <c r="B57" s="21" t="s">
        <v>341</v>
      </c>
      <c r="C57" s="21" t="s">
        <v>482</v>
      </c>
      <c r="D57" s="21">
        <v>1300000</v>
      </c>
      <c r="E57" s="21" t="s">
        <v>114</v>
      </c>
      <c r="F57" s="21" t="str">
        <f t="shared" si="0"/>
        <v>rtdc.l.rtdc.4054:itc</v>
      </c>
      <c r="G57" s="8">
        <f t="shared" si="1"/>
        <v>42661.318182870367</v>
      </c>
    </row>
    <row r="58" spans="1:7" x14ac:dyDescent="0.25">
      <c r="A58" s="8">
        <v>42661.318923611114</v>
      </c>
      <c r="B58" s="21" t="s">
        <v>188</v>
      </c>
      <c r="C58" s="21" t="s">
        <v>483</v>
      </c>
      <c r="D58" s="21">
        <v>1190000</v>
      </c>
      <c r="E58" s="21" t="s">
        <v>444</v>
      </c>
      <c r="F58" s="21" t="str">
        <f t="shared" si="0"/>
        <v>rtdc.l.rtdc.4018:itc</v>
      </c>
      <c r="G58" s="8">
        <f t="shared" si="1"/>
        <v>42661.318923611114</v>
      </c>
    </row>
    <row r="59" spans="1:7" x14ac:dyDescent="0.25">
      <c r="A59" s="8">
        <v>42661.322627314818</v>
      </c>
      <c r="B59" s="21" t="s">
        <v>426</v>
      </c>
      <c r="C59" s="21" t="s">
        <v>484</v>
      </c>
      <c r="D59" s="21">
        <v>2030000</v>
      </c>
      <c r="E59" s="21" t="s">
        <v>301</v>
      </c>
      <c r="F59" s="21" t="str">
        <f t="shared" si="0"/>
        <v>rtdc.l.rtdc.4015:itc</v>
      </c>
      <c r="G59" s="8">
        <f t="shared" si="1"/>
        <v>42661.322627314818</v>
      </c>
    </row>
    <row r="60" spans="1:7" x14ac:dyDescent="0.25">
      <c r="A60" s="8">
        <v>42661.324432870373</v>
      </c>
      <c r="B60" s="21" t="s">
        <v>199</v>
      </c>
      <c r="C60" s="21" t="s">
        <v>415</v>
      </c>
      <c r="D60" s="21">
        <v>1340000</v>
      </c>
      <c r="E60" s="21" t="s">
        <v>453</v>
      </c>
      <c r="F60" s="21" t="str">
        <f t="shared" si="0"/>
        <v>rtdc.l.rtdc.4046:itc</v>
      </c>
      <c r="G60" s="8">
        <f t="shared" si="1"/>
        <v>42661.324432870373</v>
      </c>
    </row>
    <row r="61" spans="1:7" x14ac:dyDescent="0.25">
      <c r="A61" s="8">
        <v>42661.329895833333</v>
      </c>
      <c r="B61" s="21" t="s">
        <v>311</v>
      </c>
      <c r="C61" s="21" t="s">
        <v>418</v>
      </c>
      <c r="D61" s="21">
        <v>1090000</v>
      </c>
      <c r="E61" s="21" t="s">
        <v>343</v>
      </c>
      <c r="F61" s="21" t="str">
        <f t="shared" si="0"/>
        <v>rtdc.l.rtdc.4029:itc</v>
      </c>
      <c r="G61" s="8">
        <f t="shared" si="1"/>
        <v>42661.329895833333</v>
      </c>
    </row>
    <row r="62" spans="1:7" x14ac:dyDescent="0.25">
      <c r="A62" s="8">
        <v>42661.335960648146</v>
      </c>
      <c r="B62" s="21" t="s">
        <v>217</v>
      </c>
      <c r="C62" s="21" t="s">
        <v>417</v>
      </c>
      <c r="D62" s="21">
        <v>900000</v>
      </c>
      <c r="E62" s="21" t="s">
        <v>346</v>
      </c>
      <c r="F62" s="21" t="str">
        <f t="shared" si="0"/>
        <v>rtdc.l.rtdc.4032:itc</v>
      </c>
      <c r="G62" s="8">
        <f t="shared" si="1"/>
        <v>42661.335960648146</v>
      </c>
    </row>
    <row r="63" spans="1:7" x14ac:dyDescent="0.25">
      <c r="A63" s="8">
        <v>42661.338518518518</v>
      </c>
      <c r="B63" s="21" t="s">
        <v>288</v>
      </c>
      <c r="C63" s="21" t="s">
        <v>485</v>
      </c>
      <c r="D63" s="21">
        <v>1340000</v>
      </c>
      <c r="E63" s="21" t="s">
        <v>453</v>
      </c>
      <c r="F63" s="21" t="str">
        <f t="shared" si="0"/>
        <v>rtdc.l.rtdc.4045:itc</v>
      </c>
      <c r="G63" s="8">
        <f t="shared" si="1"/>
        <v>42661.338518518518</v>
      </c>
    </row>
    <row r="64" spans="1:7" x14ac:dyDescent="0.25">
      <c r="A64" s="27">
        <v>42661.339421296296</v>
      </c>
      <c r="B64" s="21" t="s">
        <v>290</v>
      </c>
      <c r="C64" s="21" t="s">
        <v>486</v>
      </c>
      <c r="D64" s="21">
        <v>1990000</v>
      </c>
      <c r="E64" s="21" t="s">
        <v>449</v>
      </c>
      <c r="F64" s="21" t="str">
        <f t="shared" si="0"/>
        <v>rtdc.l.rtdc.4011:itc</v>
      </c>
      <c r="G64" s="8">
        <f t="shared" si="1"/>
        <v>42661.339421296296</v>
      </c>
    </row>
    <row r="65" spans="1:7" x14ac:dyDescent="0.25">
      <c r="A65" s="8">
        <v>42661.345266203702</v>
      </c>
      <c r="B65" s="21" t="s">
        <v>345</v>
      </c>
      <c r="C65" s="21" t="s">
        <v>487</v>
      </c>
      <c r="D65" s="21">
        <v>1300000</v>
      </c>
      <c r="E65" s="21" t="s">
        <v>114</v>
      </c>
      <c r="F65" s="21" t="str">
        <f t="shared" si="0"/>
        <v>rtdc.l.rtdc.4053:itc</v>
      </c>
      <c r="G65" s="8">
        <f t="shared" si="1"/>
        <v>42661.345266203702</v>
      </c>
    </row>
    <row r="66" spans="1:7" x14ac:dyDescent="0.25">
      <c r="A66" s="8">
        <v>42661.345821759256</v>
      </c>
      <c r="B66" s="21" t="s">
        <v>215</v>
      </c>
      <c r="C66" s="21" t="s">
        <v>488</v>
      </c>
      <c r="D66" s="21">
        <v>1260000</v>
      </c>
      <c r="E66" s="21" t="s">
        <v>312</v>
      </c>
      <c r="F66" s="21" t="str">
        <f t="shared" ref="F66:F129" si="2">B66</f>
        <v>rtdc.l.rtdc.4039:itc</v>
      </c>
      <c r="G66" s="8">
        <f t="shared" ref="G66:G129" si="3">A66</f>
        <v>42661.345821759256</v>
      </c>
    </row>
    <row r="67" spans="1:7" x14ac:dyDescent="0.25">
      <c r="A67" s="8">
        <v>42661.350682870368</v>
      </c>
      <c r="B67" s="21" t="s">
        <v>197</v>
      </c>
      <c r="C67" s="21" t="s">
        <v>489</v>
      </c>
      <c r="D67" s="21">
        <v>1100000</v>
      </c>
      <c r="E67" s="21" t="s">
        <v>455</v>
      </c>
      <c r="F67" s="21" t="str">
        <f t="shared" si="2"/>
        <v>rtdc.l.rtdc.4044:itc</v>
      </c>
      <c r="G67" s="8">
        <f t="shared" si="3"/>
        <v>42661.350682870368</v>
      </c>
    </row>
    <row r="68" spans="1:7" x14ac:dyDescent="0.25">
      <c r="A68" s="8">
        <v>42661.351539351854</v>
      </c>
      <c r="B68" s="21" t="s">
        <v>188</v>
      </c>
      <c r="C68" s="21" t="s">
        <v>483</v>
      </c>
      <c r="D68" s="21">
        <v>1190000</v>
      </c>
      <c r="E68" s="21" t="s">
        <v>444</v>
      </c>
      <c r="F68" s="21" t="str">
        <f t="shared" si="2"/>
        <v>rtdc.l.rtdc.4018:itc</v>
      </c>
      <c r="G68" s="8">
        <f t="shared" si="3"/>
        <v>42661.351539351854</v>
      </c>
    </row>
    <row r="69" spans="1:7" x14ac:dyDescent="0.25">
      <c r="A69" s="8">
        <v>42661.353449074071</v>
      </c>
      <c r="B69" s="21" t="s">
        <v>199</v>
      </c>
      <c r="C69" s="21" t="s">
        <v>490</v>
      </c>
      <c r="D69" s="21">
        <v>1340000</v>
      </c>
      <c r="E69" s="21" t="s">
        <v>453</v>
      </c>
      <c r="F69" s="21" t="str">
        <f t="shared" si="2"/>
        <v>rtdc.l.rtdc.4046:itc</v>
      </c>
      <c r="G69" s="8">
        <f t="shared" si="3"/>
        <v>42661.353449074071</v>
      </c>
    </row>
    <row r="70" spans="1:7" x14ac:dyDescent="0.25">
      <c r="A70" s="8">
        <v>42661.355057870373</v>
      </c>
      <c r="B70" s="21" t="s">
        <v>199</v>
      </c>
      <c r="C70" s="21" t="s">
        <v>490</v>
      </c>
      <c r="D70" s="21">
        <v>1340000</v>
      </c>
      <c r="E70" s="21" t="s">
        <v>453</v>
      </c>
      <c r="F70" s="21" t="str">
        <f t="shared" si="2"/>
        <v>rtdc.l.rtdc.4046:itc</v>
      </c>
      <c r="G70" s="8">
        <f t="shared" si="3"/>
        <v>42661.355057870373</v>
      </c>
    </row>
    <row r="71" spans="1:7" x14ac:dyDescent="0.25">
      <c r="A71" s="8">
        <v>42661.358252314814</v>
      </c>
      <c r="B71" s="21" t="s">
        <v>341</v>
      </c>
      <c r="C71" s="21" t="s">
        <v>491</v>
      </c>
      <c r="D71" s="21">
        <v>1300000</v>
      </c>
      <c r="E71" s="21" t="s">
        <v>114</v>
      </c>
      <c r="F71" s="21" t="str">
        <f t="shared" si="2"/>
        <v>rtdc.l.rtdc.4054:itc</v>
      </c>
      <c r="G71" s="8">
        <f t="shared" si="3"/>
        <v>42661.358252314814</v>
      </c>
    </row>
    <row r="72" spans="1:7" x14ac:dyDescent="0.25">
      <c r="A72" s="8">
        <v>42661.364710648151</v>
      </c>
      <c r="B72" s="21" t="s">
        <v>314</v>
      </c>
      <c r="C72" s="21" t="s">
        <v>492</v>
      </c>
      <c r="D72" s="21">
        <v>1240000</v>
      </c>
      <c r="E72" s="21" t="s">
        <v>344</v>
      </c>
      <c r="F72" s="21" t="str">
        <f t="shared" si="2"/>
        <v>rtdc.l.rtdc.4025:itc</v>
      </c>
      <c r="G72" s="8">
        <f t="shared" si="3"/>
        <v>42661.364710648151</v>
      </c>
    </row>
    <row r="73" spans="1:7" x14ac:dyDescent="0.25">
      <c r="A73" s="8">
        <v>42661.367094907408</v>
      </c>
      <c r="B73" s="21" t="s">
        <v>261</v>
      </c>
      <c r="C73" s="21" t="s">
        <v>493</v>
      </c>
      <c r="D73" s="21">
        <v>1190000</v>
      </c>
      <c r="E73" s="21" t="s">
        <v>444</v>
      </c>
      <c r="F73" s="21" t="str">
        <f t="shared" si="2"/>
        <v>rtdc.l.rtdc.4017:itc</v>
      </c>
      <c r="G73" s="8">
        <f t="shared" si="3"/>
        <v>42661.367094907408</v>
      </c>
    </row>
    <row r="74" spans="1:7" x14ac:dyDescent="0.25">
      <c r="A74" s="8">
        <v>42661.374328703707</v>
      </c>
      <c r="B74" s="21" t="s">
        <v>315</v>
      </c>
      <c r="C74" s="21" t="s">
        <v>494</v>
      </c>
      <c r="D74" s="21">
        <v>1090000</v>
      </c>
      <c r="E74" s="21" t="s">
        <v>343</v>
      </c>
      <c r="F74" s="21" t="str">
        <f t="shared" si="2"/>
        <v>rtdc.l.rtdc.4030:itc</v>
      </c>
      <c r="G74" s="8">
        <f t="shared" si="3"/>
        <v>42661.374328703707</v>
      </c>
    </row>
    <row r="75" spans="1:7" x14ac:dyDescent="0.25">
      <c r="A75" s="8">
        <v>42661.376168981478</v>
      </c>
      <c r="B75" s="21" t="s">
        <v>218</v>
      </c>
      <c r="C75" s="21" t="s">
        <v>495</v>
      </c>
      <c r="D75" s="21">
        <v>900000</v>
      </c>
      <c r="E75" s="21" t="s">
        <v>346</v>
      </c>
      <c r="F75" s="21" t="str">
        <f t="shared" si="2"/>
        <v>rtdc.l.rtdc.4031:itc</v>
      </c>
      <c r="G75" s="8">
        <f t="shared" si="3"/>
        <v>42661.376168981478</v>
      </c>
    </row>
    <row r="76" spans="1:7" x14ac:dyDescent="0.25">
      <c r="A76" s="8">
        <v>42661.380590277775</v>
      </c>
      <c r="B76" s="21" t="s">
        <v>289</v>
      </c>
      <c r="C76" s="21" t="s">
        <v>419</v>
      </c>
      <c r="D76" s="21">
        <v>1990000</v>
      </c>
      <c r="E76" s="21" t="s">
        <v>449</v>
      </c>
      <c r="F76" s="21" t="str">
        <f t="shared" si="2"/>
        <v>rtdc.l.rtdc.4012:itc</v>
      </c>
      <c r="G76" s="8">
        <f t="shared" si="3"/>
        <v>42661.380590277775</v>
      </c>
    </row>
    <row r="77" spans="1:7" x14ac:dyDescent="0.25">
      <c r="A77" s="8">
        <v>42661.382928240739</v>
      </c>
      <c r="B77" s="21" t="s">
        <v>266</v>
      </c>
      <c r="C77" s="21" t="s">
        <v>496</v>
      </c>
      <c r="D77" s="21">
        <v>1260000</v>
      </c>
      <c r="E77" s="21" t="s">
        <v>312</v>
      </c>
      <c r="F77" s="21" t="str">
        <f t="shared" si="2"/>
        <v>rtdc.l.rtdc.4040:itc</v>
      </c>
      <c r="G77" s="8">
        <f t="shared" si="3"/>
        <v>42661.382928240739</v>
      </c>
    </row>
    <row r="78" spans="1:7" x14ac:dyDescent="0.25">
      <c r="A78" s="8">
        <v>42661.383877314816</v>
      </c>
      <c r="B78" s="21" t="s">
        <v>340</v>
      </c>
      <c r="C78" s="21" t="s">
        <v>421</v>
      </c>
      <c r="D78" s="21">
        <v>860000</v>
      </c>
      <c r="E78" s="21" t="s">
        <v>497</v>
      </c>
      <c r="F78" s="21" t="str">
        <f t="shared" si="2"/>
        <v>rtdc.l.rtdc.4037:itc</v>
      </c>
      <c r="G78" s="8">
        <f t="shared" si="3"/>
        <v>42661.383877314816</v>
      </c>
    </row>
    <row r="79" spans="1:7" x14ac:dyDescent="0.25">
      <c r="A79" s="8">
        <v>42661.387789351851</v>
      </c>
      <c r="B79" s="21" t="s">
        <v>345</v>
      </c>
      <c r="C79" s="21" t="s">
        <v>498</v>
      </c>
      <c r="D79" s="21">
        <v>1300000</v>
      </c>
      <c r="E79" s="21" t="s">
        <v>114</v>
      </c>
      <c r="F79" s="21" t="str">
        <f t="shared" si="2"/>
        <v>rtdc.l.rtdc.4053:itc</v>
      </c>
      <c r="G79" s="8">
        <f t="shared" si="3"/>
        <v>42661.387789351851</v>
      </c>
    </row>
    <row r="80" spans="1:7" x14ac:dyDescent="0.25">
      <c r="A80" s="8">
        <v>42661.389756944445</v>
      </c>
      <c r="B80" s="21" t="s">
        <v>212</v>
      </c>
      <c r="C80" s="21" t="s">
        <v>499</v>
      </c>
      <c r="D80" s="21">
        <v>1100000</v>
      </c>
      <c r="E80" s="21" t="s">
        <v>455</v>
      </c>
      <c r="F80" s="21" t="str">
        <f t="shared" si="2"/>
        <v>rtdc.l.rtdc.4043:itc</v>
      </c>
      <c r="G80" s="8">
        <f t="shared" si="3"/>
        <v>42661.389756944445</v>
      </c>
    </row>
    <row r="81" spans="1:7" x14ac:dyDescent="0.25">
      <c r="A81" s="8">
        <v>42661.395266203705</v>
      </c>
      <c r="B81" s="21" t="s">
        <v>313</v>
      </c>
      <c r="C81" s="21" t="s">
        <v>500</v>
      </c>
      <c r="D81" s="21">
        <v>1240000</v>
      </c>
      <c r="E81" s="21" t="s">
        <v>344</v>
      </c>
      <c r="F81" s="21" t="str">
        <f t="shared" si="2"/>
        <v>rtdc.l.rtdc.4026:itc</v>
      </c>
      <c r="G81" s="8">
        <f t="shared" si="3"/>
        <v>42661.395266203705</v>
      </c>
    </row>
    <row r="82" spans="1:7" x14ac:dyDescent="0.25">
      <c r="A82" s="8">
        <v>42661.398368055554</v>
      </c>
      <c r="B82" s="21" t="s">
        <v>188</v>
      </c>
      <c r="C82" s="21" t="s">
        <v>501</v>
      </c>
      <c r="D82" s="21">
        <v>1190000</v>
      </c>
      <c r="E82" s="21" t="s">
        <v>444</v>
      </c>
      <c r="F82" s="21" t="str">
        <f t="shared" si="2"/>
        <v>rtdc.l.rtdc.4018:itc</v>
      </c>
      <c r="G82" s="8">
        <f t="shared" si="3"/>
        <v>42661.398368055554</v>
      </c>
    </row>
    <row r="83" spans="1:7" x14ac:dyDescent="0.25">
      <c r="A83" s="8">
        <v>42661.4</v>
      </c>
      <c r="B83" s="21" t="s">
        <v>341</v>
      </c>
      <c r="C83" s="21" t="s">
        <v>502</v>
      </c>
      <c r="D83" s="21">
        <v>1300000</v>
      </c>
      <c r="E83" s="21" t="s">
        <v>114</v>
      </c>
      <c r="F83" s="21" t="str">
        <f t="shared" si="2"/>
        <v>rtdc.l.rtdc.4054:itc</v>
      </c>
      <c r="G83" s="8">
        <f t="shared" si="3"/>
        <v>42661.4</v>
      </c>
    </row>
    <row r="84" spans="1:7" x14ac:dyDescent="0.25">
      <c r="A84" s="8">
        <v>42661.404016203705</v>
      </c>
      <c r="B84" s="21" t="s">
        <v>311</v>
      </c>
      <c r="C84" s="21" t="s">
        <v>420</v>
      </c>
      <c r="D84" s="21">
        <v>1090000</v>
      </c>
      <c r="E84" s="21" t="s">
        <v>343</v>
      </c>
      <c r="F84" s="21" t="str">
        <f t="shared" si="2"/>
        <v>rtdc.l.rtdc.4029:itc</v>
      </c>
      <c r="G84" s="8">
        <f t="shared" si="3"/>
        <v>42661.404016203705</v>
      </c>
    </row>
    <row r="85" spans="1:7" x14ac:dyDescent="0.25">
      <c r="A85" s="8">
        <v>42661.412268518521</v>
      </c>
      <c r="B85" s="21" t="s">
        <v>217</v>
      </c>
      <c r="C85" s="21" t="s">
        <v>503</v>
      </c>
      <c r="D85" s="21">
        <v>900000</v>
      </c>
      <c r="E85" s="21" t="s">
        <v>346</v>
      </c>
      <c r="F85" s="21" t="str">
        <f t="shared" si="2"/>
        <v>rtdc.l.rtdc.4032:itc</v>
      </c>
      <c r="G85" s="8">
        <f t="shared" si="3"/>
        <v>42661.412268518521</v>
      </c>
    </row>
    <row r="86" spans="1:7" x14ac:dyDescent="0.25">
      <c r="A86" s="8">
        <v>42661.414467592593</v>
      </c>
      <c r="B86" s="21" t="s">
        <v>290</v>
      </c>
      <c r="C86" s="21" t="s">
        <v>504</v>
      </c>
      <c r="D86" s="21">
        <v>1990000</v>
      </c>
      <c r="E86" s="21" t="s">
        <v>449</v>
      </c>
      <c r="F86" s="21" t="str">
        <f t="shared" si="2"/>
        <v>rtdc.l.rtdc.4011:itc</v>
      </c>
      <c r="G86" s="8">
        <f t="shared" si="3"/>
        <v>42661.414467592593</v>
      </c>
    </row>
    <row r="87" spans="1:7" x14ac:dyDescent="0.25">
      <c r="A87" s="8">
        <v>42661.414907407408</v>
      </c>
      <c r="B87" s="21" t="s">
        <v>338</v>
      </c>
      <c r="C87" s="21" t="s">
        <v>421</v>
      </c>
      <c r="D87" s="21">
        <v>860000</v>
      </c>
      <c r="E87" s="21" t="s">
        <v>497</v>
      </c>
      <c r="F87" s="21" t="str">
        <f t="shared" si="2"/>
        <v>rtdc.l.rtdc.4038:itc</v>
      </c>
      <c r="G87" s="8">
        <f t="shared" si="3"/>
        <v>42661.414907407408</v>
      </c>
    </row>
    <row r="88" spans="1:7" x14ac:dyDescent="0.25">
      <c r="A88" s="8">
        <v>42661.417395833334</v>
      </c>
      <c r="B88" s="21" t="s">
        <v>215</v>
      </c>
      <c r="C88" s="21" t="s">
        <v>505</v>
      </c>
      <c r="D88" s="21">
        <v>1260000</v>
      </c>
      <c r="E88" s="21" t="s">
        <v>312</v>
      </c>
      <c r="F88" s="21" t="str">
        <f t="shared" si="2"/>
        <v>rtdc.l.rtdc.4039:itc</v>
      </c>
      <c r="G88" s="8">
        <f t="shared" si="3"/>
        <v>42661.417395833334</v>
      </c>
    </row>
    <row r="89" spans="1:7" x14ac:dyDescent="0.25">
      <c r="A89" s="8">
        <v>42661.424583333333</v>
      </c>
      <c r="B89" s="21" t="s">
        <v>197</v>
      </c>
      <c r="C89" s="21" t="s">
        <v>506</v>
      </c>
      <c r="D89" s="21">
        <v>1100000</v>
      </c>
      <c r="E89" s="21" t="s">
        <v>455</v>
      </c>
      <c r="F89" s="21" t="str">
        <f t="shared" si="2"/>
        <v>rtdc.l.rtdc.4044:itc</v>
      </c>
      <c r="G89" s="8">
        <f t="shared" si="3"/>
        <v>42661.424583333333</v>
      </c>
    </row>
    <row r="90" spans="1:7" x14ac:dyDescent="0.25">
      <c r="A90" s="8">
        <v>42661.424803240741</v>
      </c>
      <c r="B90" s="21" t="s">
        <v>218</v>
      </c>
      <c r="C90" s="21" t="s">
        <v>507</v>
      </c>
      <c r="D90" s="21">
        <v>900000</v>
      </c>
      <c r="E90" s="21" t="s">
        <v>346</v>
      </c>
      <c r="F90" s="21" t="str">
        <f t="shared" si="2"/>
        <v>rtdc.l.rtdc.4031:itc</v>
      </c>
      <c r="G90" s="8">
        <f t="shared" si="3"/>
        <v>42661.424803240741</v>
      </c>
    </row>
    <row r="91" spans="1:7" x14ac:dyDescent="0.25">
      <c r="A91" s="8">
        <v>42661.427997685183</v>
      </c>
      <c r="B91" s="21" t="s">
        <v>340</v>
      </c>
      <c r="C91" s="21" t="s">
        <v>421</v>
      </c>
      <c r="D91" s="21">
        <v>860000</v>
      </c>
      <c r="E91" s="21" t="s">
        <v>497</v>
      </c>
      <c r="F91" s="21" t="str">
        <f t="shared" si="2"/>
        <v>rtdc.l.rtdc.4037:itc</v>
      </c>
      <c r="G91" s="8">
        <f t="shared" si="3"/>
        <v>42661.427997685183</v>
      </c>
    </row>
    <row r="92" spans="1:7" x14ac:dyDescent="0.25">
      <c r="A92" s="8">
        <v>42661.428518518522</v>
      </c>
      <c r="B92" s="21" t="s">
        <v>345</v>
      </c>
      <c r="C92" s="21" t="s">
        <v>508</v>
      </c>
      <c r="D92" s="21">
        <v>1300000</v>
      </c>
      <c r="E92" s="21" t="s">
        <v>114</v>
      </c>
      <c r="F92" s="21" t="str">
        <f t="shared" si="2"/>
        <v>rtdc.l.rtdc.4053:itc</v>
      </c>
      <c r="G92" s="8">
        <f t="shared" si="3"/>
        <v>42661.428518518522</v>
      </c>
    </row>
    <row r="93" spans="1:7" x14ac:dyDescent="0.25">
      <c r="A93" s="8">
        <v>42661.429143518515</v>
      </c>
      <c r="B93" s="21" t="s">
        <v>340</v>
      </c>
      <c r="C93" s="21" t="s">
        <v>421</v>
      </c>
      <c r="D93" s="21">
        <v>860000</v>
      </c>
      <c r="E93" s="21" t="s">
        <v>497</v>
      </c>
      <c r="F93" s="21" t="str">
        <f t="shared" si="2"/>
        <v>rtdc.l.rtdc.4037:itc</v>
      </c>
      <c r="G93" s="8">
        <f t="shared" si="3"/>
        <v>42661.429143518515</v>
      </c>
    </row>
    <row r="94" spans="1:7" x14ac:dyDescent="0.25">
      <c r="A94" s="8">
        <v>42661.436342592591</v>
      </c>
      <c r="B94" s="21" t="s">
        <v>261</v>
      </c>
      <c r="C94" s="21" t="s">
        <v>509</v>
      </c>
      <c r="D94" s="21">
        <v>900000</v>
      </c>
      <c r="E94" s="21" t="s">
        <v>346</v>
      </c>
      <c r="F94" s="21" t="str">
        <f t="shared" si="2"/>
        <v>rtdc.l.rtdc.4017:itc</v>
      </c>
      <c r="G94" s="8">
        <f t="shared" si="3"/>
        <v>42661.436342592591</v>
      </c>
    </row>
    <row r="95" spans="1:7" x14ac:dyDescent="0.25">
      <c r="A95" s="8">
        <v>42661.437245370369</v>
      </c>
      <c r="B95" s="21" t="s">
        <v>314</v>
      </c>
      <c r="C95" s="21" t="s">
        <v>510</v>
      </c>
      <c r="D95" s="21">
        <v>1340000</v>
      </c>
      <c r="E95" s="21" t="s">
        <v>453</v>
      </c>
      <c r="F95" s="21" t="str">
        <f t="shared" si="2"/>
        <v>rtdc.l.rtdc.4025:itc</v>
      </c>
      <c r="G95" s="8">
        <f t="shared" si="3"/>
        <v>42661.437245370369</v>
      </c>
    </row>
    <row r="96" spans="1:7" x14ac:dyDescent="0.25">
      <c r="A96" s="8">
        <v>42661.441122685188</v>
      </c>
      <c r="B96" s="21" t="s">
        <v>413</v>
      </c>
      <c r="C96" s="21" t="s">
        <v>507</v>
      </c>
      <c r="D96" s="21">
        <v>1360000</v>
      </c>
      <c r="E96" s="21" t="s">
        <v>511</v>
      </c>
      <c r="F96" s="21" t="str">
        <f t="shared" si="2"/>
        <v>rtdc.l.rtdc.4016:itc</v>
      </c>
      <c r="G96" s="8">
        <f t="shared" si="3"/>
        <v>42661.441122685188</v>
      </c>
    </row>
    <row r="97" spans="1:7" x14ac:dyDescent="0.25">
      <c r="A97" s="8">
        <v>42661.441643518519</v>
      </c>
      <c r="B97" s="21" t="s">
        <v>341</v>
      </c>
      <c r="C97" s="21" t="s">
        <v>512</v>
      </c>
      <c r="D97" s="21">
        <v>1300000</v>
      </c>
      <c r="E97" s="21" t="s">
        <v>114</v>
      </c>
      <c r="F97" s="21" t="str">
        <f t="shared" si="2"/>
        <v>rtdc.l.rtdc.4054:itc</v>
      </c>
      <c r="G97" s="8">
        <f t="shared" si="3"/>
        <v>42661.441643518519</v>
      </c>
    </row>
    <row r="98" spans="1:7" x14ac:dyDescent="0.25">
      <c r="A98" s="8">
        <v>42661.44226851852</v>
      </c>
      <c r="B98" s="21" t="s">
        <v>413</v>
      </c>
      <c r="C98" s="21" t="s">
        <v>507</v>
      </c>
      <c r="D98" s="21">
        <v>1360000</v>
      </c>
      <c r="E98" s="21" t="s">
        <v>511</v>
      </c>
      <c r="F98" s="21" t="str">
        <f t="shared" si="2"/>
        <v>rtdc.l.rtdc.4016:itc</v>
      </c>
      <c r="G98" s="8">
        <f t="shared" si="3"/>
        <v>42661.44226851852</v>
      </c>
    </row>
    <row r="99" spans="1:7" x14ac:dyDescent="0.25">
      <c r="A99" s="8">
        <v>42661.442812499998</v>
      </c>
      <c r="B99" s="21" t="s">
        <v>338</v>
      </c>
      <c r="C99" s="21" t="s">
        <v>421</v>
      </c>
      <c r="D99" s="21">
        <v>860000</v>
      </c>
      <c r="E99" s="21" t="s">
        <v>497</v>
      </c>
      <c r="F99" s="21" t="str">
        <f t="shared" si="2"/>
        <v>rtdc.l.rtdc.4038:itc</v>
      </c>
      <c r="G99" s="8">
        <f t="shared" si="3"/>
        <v>42661.442812499998</v>
      </c>
    </row>
    <row r="100" spans="1:7" x14ac:dyDescent="0.25">
      <c r="A100" s="8">
        <v>42661.443761574075</v>
      </c>
      <c r="B100" s="21" t="s">
        <v>413</v>
      </c>
      <c r="C100" s="21" t="s">
        <v>507</v>
      </c>
      <c r="D100" s="21">
        <v>1360000</v>
      </c>
      <c r="E100" s="21" t="s">
        <v>511</v>
      </c>
      <c r="F100" s="21" t="str">
        <f t="shared" si="2"/>
        <v>rtdc.l.rtdc.4016:itc</v>
      </c>
      <c r="G100" s="8">
        <f t="shared" si="3"/>
        <v>42661.443761574075</v>
      </c>
    </row>
    <row r="101" spans="1:7" x14ac:dyDescent="0.25">
      <c r="A101" s="8">
        <v>42661.444282407407</v>
      </c>
      <c r="B101" s="21" t="s">
        <v>338</v>
      </c>
      <c r="C101" s="21" t="s">
        <v>421</v>
      </c>
      <c r="D101" s="21">
        <v>860000</v>
      </c>
      <c r="E101" s="21" t="s">
        <v>497</v>
      </c>
      <c r="F101" s="21" t="str">
        <f t="shared" si="2"/>
        <v>rtdc.l.rtdc.4038:itc</v>
      </c>
      <c r="G101" s="8">
        <f t="shared" si="3"/>
        <v>42661.444282407407</v>
      </c>
    </row>
    <row r="102" spans="1:7" x14ac:dyDescent="0.25">
      <c r="A102" s="8">
        <v>42661.445405092592</v>
      </c>
      <c r="B102" s="21" t="s">
        <v>413</v>
      </c>
      <c r="C102" s="21" t="s">
        <v>507</v>
      </c>
      <c r="D102" s="21">
        <v>1360000</v>
      </c>
      <c r="E102" s="21" t="s">
        <v>511</v>
      </c>
      <c r="F102" s="21" t="str">
        <f t="shared" si="2"/>
        <v>rtdc.l.rtdc.4016:itc</v>
      </c>
      <c r="G102" s="8">
        <f t="shared" si="3"/>
        <v>42661.445405092592</v>
      </c>
    </row>
    <row r="103" spans="1:7" x14ac:dyDescent="0.25">
      <c r="A103" s="8">
        <v>42661.445474537039</v>
      </c>
      <c r="B103" s="21" t="s">
        <v>315</v>
      </c>
      <c r="C103" s="21" t="s">
        <v>513</v>
      </c>
      <c r="D103" s="21">
        <v>1090000</v>
      </c>
      <c r="E103" s="21" t="s">
        <v>343</v>
      </c>
      <c r="F103" s="21" t="str">
        <f t="shared" si="2"/>
        <v>rtdc.l.rtdc.4030:itc</v>
      </c>
      <c r="G103" s="8">
        <f t="shared" si="3"/>
        <v>42661.445474537039</v>
      </c>
    </row>
    <row r="104" spans="1:7" x14ac:dyDescent="0.25">
      <c r="A104" s="8">
        <v>42661.453969907408</v>
      </c>
      <c r="B104" s="21" t="s">
        <v>289</v>
      </c>
      <c r="C104" s="21" t="s">
        <v>422</v>
      </c>
      <c r="D104" s="21">
        <v>1990000</v>
      </c>
      <c r="E104" s="21" t="s">
        <v>449</v>
      </c>
      <c r="F104" s="21" t="str">
        <f t="shared" si="2"/>
        <v>rtdc.l.rtdc.4012:itc</v>
      </c>
      <c r="G104" s="8">
        <f t="shared" si="3"/>
        <v>42661.453969907408</v>
      </c>
    </row>
    <row r="105" spans="1:7" x14ac:dyDescent="0.25">
      <c r="A105" s="8">
        <v>42661.456446759257</v>
      </c>
      <c r="B105" s="21" t="s">
        <v>340</v>
      </c>
      <c r="C105" s="21" t="s">
        <v>421</v>
      </c>
      <c r="D105" s="21">
        <v>860000</v>
      </c>
      <c r="E105" s="21" t="s">
        <v>497</v>
      </c>
      <c r="F105" s="21" t="str">
        <f t="shared" si="2"/>
        <v>rtdc.l.rtdc.4037:itc</v>
      </c>
      <c r="G105" s="8">
        <f t="shared" si="3"/>
        <v>42661.456446759257</v>
      </c>
    </row>
    <row r="106" spans="1:7" x14ac:dyDescent="0.25">
      <c r="A106" s="8">
        <v>42661.45758101852</v>
      </c>
      <c r="B106" s="21" t="s">
        <v>340</v>
      </c>
      <c r="C106" s="21" t="s">
        <v>421</v>
      </c>
      <c r="D106" s="21">
        <v>860000</v>
      </c>
      <c r="E106" s="21" t="s">
        <v>497</v>
      </c>
      <c r="F106" s="21" t="str">
        <f t="shared" si="2"/>
        <v>rtdc.l.rtdc.4037:itc</v>
      </c>
      <c r="G106" s="8">
        <f t="shared" si="3"/>
        <v>42661.45758101852</v>
      </c>
    </row>
    <row r="107" spans="1:7" x14ac:dyDescent="0.25">
      <c r="A107" s="8">
        <v>42661.459988425922</v>
      </c>
      <c r="B107" s="21" t="s">
        <v>272</v>
      </c>
      <c r="C107" s="21" t="s">
        <v>514</v>
      </c>
      <c r="D107" s="21">
        <v>2140000</v>
      </c>
      <c r="E107" s="21" t="s">
        <v>342</v>
      </c>
      <c r="F107" s="21" t="str">
        <f t="shared" si="2"/>
        <v>rtdc.l.rtdc.4042:itc</v>
      </c>
      <c r="G107" s="8">
        <f t="shared" si="3"/>
        <v>42661.459988425922</v>
      </c>
    </row>
    <row r="108" spans="1:7" x14ac:dyDescent="0.25">
      <c r="A108" s="8">
        <v>42661.463449074072</v>
      </c>
      <c r="B108" s="21" t="s">
        <v>212</v>
      </c>
      <c r="C108" s="21" t="s">
        <v>515</v>
      </c>
      <c r="D108" s="21">
        <v>1100000</v>
      </c>
      <c r="E108" s="21" t="s">
        <v>455</v>
      </c>
      <c r="F108" s="21" t="str">
        <f t="shared" si="2"/>
        <v>rtdc.l.rtdc.4043:itc</v>
      </c>
      <c r="G108" s="8">
        <f t="shared" si="3"/>
        <v>42661.463449074072</v>
      </c>
    </row>
    <row r="109" spans="1:7" x14ac:dyDescent="0.25">
      <c r="A109" s="8">
        <v>42661.470393518517</v>
      </c>
      <c r="B109" s="21" t="s">
        <v>345</v>
      </c>
      <c r="C109" s="21" t="s">
        <v>516</v>
      </c>
      <c r="D109" s="21">
        <v>1300000</v>
      </c>
      <c r="E109" s="21" t="s">
        <v>114</v>
      </c>
      <c r="F109" s="21" t="str">
        <f t="shared" si="2"/>
        <v>rtdc.l.rtdc.4053:itc</v>
      </c>
      <c r="G109" s="8">
        <f t="shared" si="3"/>
        <v>42661.470393518517</v>
      </c>
    </row>
    <row r="110" spans="1:7" x14ac:dyDescent="0.25">
      <c r="A110" s="8">
        <v>42661.471585648149</v>
      </c>
      <c r="B110" s="21" t="s">
        <v>188</v>
      </c>
      <c r="C110" s="21" t="s">
        <v>517</v>
      </c>
      <c r="D110" s="21">
        <v>2150000</v>
      </c>
      <c r="E110" s="21" t="s">
        <v>316</v>
      </c>
      <c r="F110" s="21" t="str">
        <f t="shared" si="2"/>
        <v>rtdc.l.rtdc.4018:itc</v>
      </c>
      <c r="G110" s="8">
        <f t="shared" si="3"/>
        <v>42661.471585648149</v>
      </c>
    </row>
    <row r="111" spans="1:7" x14ac:dyDescent="0.25">
      <c r="A111" s="8">
        <v>42661.471828703703</v>
      </c>
      <c r="B111" s="21" t="s">
        <v>338</v>
      </c>
      <c r="C111" s="21" t="s">
        <v>421</v>
      </c>
      <c r="D111" s="21">
        <v>860000</v>
      </c>
      <c r="E111" s="21" t="s">
        <v>497</v>
      </c>
      <c r="F111" s="21" t="str">
        <f t="shared" si="2"/>
        <v>rtdc.l.rtdc.4038:itc</v>
      </c>
      <c r="G111" s="8">
        <f t="shared" si="3"/>
        <v>42661.471828703703</v>
      </c>
    </row>
    <row r="112" spans="1:7" x14ac:dyDescent="0.25">
      <c r="A112" s="8">
        <v>42661.47278935185</v>
      </c>
      <c r="B112" s="21" t="s">
        <v>313</v>
      </c>
      <c r="C112" s="21" t="s">
        <v>518</v>
      </c>
      <c r="D112" s="21">
        <v>1340000</v>
      </c>
      <c r="E112" s="21" t="s">
        <v>453</v>
      </c>
      <c r="F112" s="21" t="str">
        <f t="shared" si="2"/>
        <v>rtdc.l.rtdc.4026:itc</v>
      </c>
      <c r="G112" s="8">
        <f t="shared" si="3"/>
        <v>42661.47278935185</v>
      </c>
    </row>
    <row r="113" spans="1:7" x14ac:dyDescent="0.25">
      <c r="A113" s="8">
        <v>42661.474618055552</v>
      </c>
      <c r="B113" s="21" t="s">
        <v>338</v>
      </c>
      <c r="C113" s="21" t="s">
        <v>425</v>
      </c>
      <c r="D113" s="21">
        <v>860000</v>
      </c>
      <c r="E113" s="21" t="s">
        <v>497</v>
      </c>
      <c r="F113" s="21" t="str">
        <f t="shared" si="2"/>
        <v>rtdc.l.rtdc.4038:itc</v>
      </c>
      <c r="G113" s="8">
        <f t="shared" si="3"/>
        <v>42661.474618055552</v>
      </c>
    </row>
    <row r="114" spans="1:7" x14ac:dyDescent="0.25">
      <c r="A114" s="8">
        <v>42661.476944444446</v>
      </c>
      <c r="B114" s="21" t="s">
        <v>426</v>
      </c>
      <c r="C114" s="21" t="s">
        <v>519</v>
      </c>
      <c r="D114" s="21">
        <v>1360000</v>
      </c>
      <c r="E114" s="21" t="s">
        <v>511</v>
      </c>
      <c r="F114" s="21" t="str">
        <f t="shared" si="2"/>
        <v>rtdc.l.rtdc.4015:itc</v>
      </c>
      <c r="G114" s="8">
        <f t="shared" si="3"/>
        <v>42661.476944444446</v>
      </c>
    </row>
    <row r="115" spans="1:7" x14ac:dyDescent="0.25">
      <c r="A115" s="8">
        <v>42661.478900462964</v>
      </c>
      <c r="B115" s="21" t="s">
        <v>311</v>
      </c>
      <c r="C115" s="21" t="s">
        <v>520</v>
      </c>
      <c r="D115" s="21">
        <v>1540000</v>
      </c>
      <c r="E115" s="21" t="s">
        <v>348</v>
      </c>
      <c r="F115" s="21" t="str">
        <f t="shared" si="2"/>
        <v>rtdc.l.rtdc.4029:itc</v>
      </c>
      <c r="G115" s="8">
        <f t="shared" si="3"/>
        <v>42661.478900462964</v>
      </c>
    </row>
    <row r="116" spans="1:7" x14ac:dyDescent="0.25">
      <c r="A116" s="8">
        <v>42661.483611111114</v>
      </c>
      <c r="B116" s="21" t="s">
        <v>341</v>
      </c>
      <c r="C116" s="21" t="s">
        <v>521</v>
      </c>
      <c r="D116" s="21">
        <v>1300000</v>
      </c>
      <c r="E116" s="21" t="s">
        <v>114</v>
      </c>
      <c r="F116" s="21" t="str">
        <f t="shared" si="2"/>
        <v>rtdc.l.rtdc.4054:itc</v>
      </c>
      <c r="G116" s="8">
        <f t="shared" si="3"/>
        <v>42661.483611111114</v>
      </c>
    </row>
    <row r="117" spans="1:7" x14ac:dyDescent="0.25">
      <c r="A117" s="8">
        <v>42661.487673611111</v>
      </c>
      <c r="B117" s="21" t="s">
        <v>290</v>
      </c>
      <c r="C117" s="21" t="s">
        <v>423</v>
      </c>
      <c r="D117" s="21">
        <v>2090000</v>
      </c>
      <c r="E117" s="21" t="s">
        <v>522</v>
      </c>
      <c r="F117" s="21" t="str">
        <f t="shared" si="2"/>
        <v>rtdc.l.rtdc.4011:itc</v>
      </c>
      <c r="G117" s="8">
        <f t="shared" si="3"/>
        <v>42661.487673611111</v>
      </c>
    </row>
    <row r="118" spans="1:7" x14ac:dyDescent="0.25">
      <c r="A118" s="8">
        <v>42661.492789351854</v>
      </c>
      <c r="B118" s="21" t="s">
        <v>274</v>
      </c>
      <c r="C118" s="21" t="s">
        <v>523</v>
      </c>
      <c r="D118" s="21">
        <v>2140000</v>
      </c>
      <c r="E118" s="21" t="s">
        <v>342</v>
      </c>
      <c r="F118" s="21" t="str">
        <f t="shared" si="2"/>
        <v>rtdc.l.rtdc.4041:itc</v>
      </c>
      <c r="G118" s="8">
        <f t="shared" si="3"/>
        <v>42661.492789351854</v>
      </c>
    </row>
    <row r="119" spans="1:7" x14ac:dyDescent="0.25">
      <c r="A119" s="8">
        <v>42661.495520833334</v>
      </c>
      <c r="B119" s="21" t="s">
        <v>340</v>
      </c>
      <c r="C119" s="21" t="s">
        <v>425</v>
      </c>
      <c r="D119" s="21">
        <v>860000</v>
      </c>
      <c r="E119" s="21" t="s">
        <v>497</v>
      </c>
      <c r="F119" s="21" t="str">
        <f t="shared" si="2"/>
        <v>rtdc.l.rtdc.4037:itc</v>
      </c>
      <c r="G119" s="8">
        <f t="shared" si="3"/>
        <v>42661.495520833334</v>
      </c>
    </row>
    <row r="120" spans="1:7" x14ac:dyDescent="0.25">
      <c r="A120" s="8">
        <v>42661.497476851851</v>
      </c>
      <c r="B120" s="21" t="s">
        <v>197</v>
      </c>
      <c r="C120" s="21" t="s">
        <v>524</v>
      </c>
      <c r="D120" s="21">
        <v>2220000</v>
      </c>
      <c r="E120" s="21" t="s">
        <v>525</v>
      </c>
      <c r="F120" s="21" t="str">
        <f t="shared" si="2"/>
        <v>rtdc.l.rtdc.4044:itc</v>
      </c>
      <c r="G120" s="8">
        <f t="shared" si="3"/>
        <v>42661.497476851851</v>
      </c>
    </row>
    <row r="121" spans="1:7" x14ac:dyDescent="0.25">
      <c r="A121" s="8">
        <v>42661.503958333335</v>
      </c>
      <c r="B121" s="21" t="s">
        <v>261</v>
      </c>
      <c r="C121" s="21" t="s">
        <v>526</v>
      </c>
      <c r="D121" s="21">
        <v>2150000</v>
      </c>
      <c r="E121" s="21" t="s">
        <v>316</v>
      </c>
      <c r="F121" s="21" t="str">
        <f t="shared" si="2"/>
        <v>rtdc.l.rtdc.4017:itc</v>
      </c>
      <c r="G121" s="8">
        <f t="shared" si="3"/>
        <v>42661.503958333335</v>
      </c>
    </row>
    <row r="122" spans="1:7" x14ac:dyDescent="0.25">
      <c r="A122" s="8">
        <v>42661.505219907405</v>
      </c>
      <c r="B122" s="26" t="s">
        <v>314</v>
      </c>
      <c r="C122" s="21" t="s">
        <v>527</v>
      </c>
      <c r="D122" s="21">
        <v>930000</v>
      </c>
      <c r="E122" s="21" t="s">
        <v>291</v>
      </c>
      <c r="F122" s="21" t="str">
        <f t="shared" si="2"/>
        <v>rtdc.l.rtdc.4025:itc</v>
      </c>
      <c r="G122" s="8">
        <f t="shared" si="3"/>
        <v>42661.505219907405</v>
      </c>
    </row>
    <row r="123" spans="1:7" x14ac:dyDescent="0.25">
      <c r="A123" s="8">
        <v>42661.511365740742</v>
      </c>
      <c r="B123" s="21" t="s">
        <v>345</v>
      </c>
      <c r="C123" s="21" t="s">
        <v>528</v>
      </c>
      <c r="D123" s="21">
        <v>1300000</v>
      </c>
      <c r="E123" s="21" t="s">
        <v>114</v>
      </c>
      <c r="F123" s="21" t="str">
        <f t="shared" si="2"/>
        <v>rtdc.l.rtdc.4053:itc</v>
      </c>
      <c r="G123" s="8">
        <f t="shared" si="3"/>
        <v>42661.511365740742</v>
      </c>
    </row>
    <row r="124" spans="1:7" x14ac:dyDescent="0.25">
      <c r="A124" s="8">
        <v>42661.513391203705</v>
      </c>
      <c r="B124" s="21" t="s">
        <v>315</v>
      </c>
      <c r="C124" s="21" t="s">
        <v>529</v>
      </c>
      <c r="D124" s="21">
        <v>0</v>
      </c>
      <c r="E124" s="21" t="s">
        <v>303</v>
      </c>
      <c r="F124" s="21" t="str">
        <f t="shared" si="2"/>
        <v>rtdc.l.rtdc.4030:itc</v>
      </c>
      <c r="G124" s="8">
        <f t="shared" si="3"/>
        <v>42661.513391203705</v>
      </c>
    </row>
    <row r="125" spans="1:7" x14ac:dyDescent="0.25">
      <c r="A125" s="8">
        <v>42661.51662037037</v>
      </c>
      <c r="B125" s="21" t="s">
        <v>413</v>
      </c>
      <c r="C125" s="21" t="s">
        <v>530</v>
      </c>
      <c r="D125" s="21">
        <v>1740000</v>
      </c>
      <c r="E125" s="21" t="s">
        <v>531</v>
      </c>
      <c r="F125" s="21" t="str">
        <f t="shared" si="2"/>
        <v>rtdc.l.rtdc.4016:itc</v>
      </c>
      <c r="G125" s="8">
        <f t="shared" si="3"/>
        <v>42661.51662037037</v>
      </c>
    </row>
    <row r="126" spans="1:7" x14ac:dyDescent="0.25">
      <c r="A126" s="8">
        <v>42661.524953703702</v>
      </c>
      <c r="B126" s="21" t="s">
        <v>289</v>
      </c>
      <c r="C126" s="21" t="s">
        <v>532</v>
      </c>
      <c r="D126" s="21">
        <v>2090000</v>
      </c>
      <c r="E126" s="21" t="s">
        <v>522</v>
      </c>
      <c r="F126" s="21" t="str">
        <f t="shared" si="2"/>
        <v>rtdc.l.rtdc.4012:itc</v>
      </c>
      <c r="G126" s="8">
        <f t="shared" si="3"/>
        <v>42661.524953703702</v>
      </c>
    </row>
    <row r="127" spans="1:7" x14ac:dyDescent="0.25">
      <c r="A127" s="8">
        <v>42661.525266203702</v>
      </c>
      <c r="B127" s="21" t="s">
        <v>341</v>
      </c>
      <c r="C127" s="21" t="s">
        <v>533</v>
      </c>
      <c r="D127" s="21">
        <v>1300000</v>
      </c>
      <c r="E127" s="21" t="s">
        <v>114</v>
      </c>
      <c r="F127" s="21" t="str">
        <f t="shared" si="2"/>
        <v>rtdc.l.rtdc.4054:itc</v>
      </c>
      <c r="G127" s="8">
        <f t="shared" si="3"/>
        <v>42661.525266203702</v>
      </c>
    </row>
    <row r="128" spans="1:7" x14ac:dyDescent="0.25">
      <c r="A128" s="8">
        <v>42661.526331018518</v>
      </c>
      <c r="B128" s="21" t="s">
        <v>272</v>
      </c>
      <c r="C128" s="21" t="s">
        <v>424</v>
      </c>
      <c r="D128" s="21">
        <v>2140000</v>
      </c>
      <c r="E128" s="21" t="s">
        <v>342</v>
      </c>
      <c r="F128" s="21" t="str">
        <f t="shared" si="2"/>
        <v>rtdc.l.rtdc.4042:itc</v>
      </c>
      <c r="G128" s="8">
        <f t="shared" si="3"/>
        <v>42661.526331018518</v>
      </c>
    </row>
    <row r="129" spans="1:7" x14ac:dyDescent="0.25">
      <c r="A129" s="8">
        <v>42661.527962962966</v>
      </c>
      <c r="B129" s="21" t="s">
        <v>212</v>
      </c>
      <c r="C129" s="21" t="s">
        <v>534</v>
      </c>
      <c r="D129" s="21">
        <v>2220000</v>
      </c>
      <c r="E129" s="21" t="s">
        <v>525</v>
      </c>
      <c r="F129" s="21" t="str">
        <f t="shared" si="2"/>
        <v>rtdc.l.rtdc.4043:itc</v>
      </c>
      <c r="G129" s="8">
        <f t="shared" si="3"/>
        <v>42661.527962962966</v>
      </c>
    </row>
    <row r="130" spans="1:7" x14ac:dyDescent="0.25">
      <c r="A130" s="8">
        <v>42661.534259259257</v>
      </c>
      <c r="B130" s="21" t="s">
        <v>338</v>
      </c>
      <c r="C130" s="21" t="s">
        <v>425</v>
      </c>
      <c r="D130" s="21">
        <v>860000</v>
      </c>
      <c r="E130" s="21" t="s">
        <v>497</v>
      </c>
      <c r="F130" s="21" t="str">
        <f t="shared" ref="F130:F193" si="4">B130</f>
        <v>rtdc.l.rtdc.4038:itc</v>
      </c>
      <c r="G130" s="8">
        <f t="shared" ref="G130:G193" si="5">A130</f>
        <v>42661.534259259257</v>
      </c>
    </row>
    <row r="131" spans="1:7" x14ac:dyDescent="0.25">
      <c r="A131" s="8">
        <v>42661.539282407408</v>
      </c>
      <c r="B131" s="21" t="s">
        <v>188</v>
      </c>
      <c r="C131" s="21" t="s">
        <v>535</v>
      </c>
      <c r="D131" s="21">
        <v>2150000</v>
      </c>
      <c r="E131" s="21" t="s">
        <v>316</v>
      </c>
      <c r="F131" s="21" t="str">
        <f t="shared" si="4"/>
        <v>rtdc.l.rtdc.4018:itc</v>
      </c>
      <c r="G131" s="8">
        <f t="shared" si="5"/>
        <v>42661.539282407408</v>
      </c>
    </row>
    <row r="132" spans="1:7" x14ac:dyDescent="0.25">
      <c r="A132" s="8">
        <v>42661.545497685183</v>
      </c>
      <c r="B132" s="21" t="s">
        <v>313</v>
      </c>
      <c r="C132" s="21" t="s">
        <v>536</v>
      </c>
      <c r="D132" s="21">
        <v>930000</v>
      </c>
      <c r="E132" s="21" t="s">
        <v>291</v>
      </c>
      <c r="F132" s="21" t="str">
        <f t="shared" si="4"/>
        <v>rtdc.l.rtdc.4026:itc</v>
      </c>
      <c r="G132" s="8">
        <f t="shared" si="5"/>
        <v>42661.545497685183</v>
      </c>
    </row>
    <row r="133" spans="1:7" x14ac:dyDescent="0.25">
      <c r="A133" s="8">
        <v>42661.547071759262</v>
      </c>
      <c r="B133" s="21" t="s">
        <v>311</v>
      </c>
      <c r="C133" s="21" t="s">
        <v>537</v>
      </c>
      <c r="D133" s="21">
        <v>1540000</v>
      </c>
      <c r="E133" s="21" t="s">
        <v>348</v>
      </c>
      <c r="F133" s="21" t="str">
        <f t="shared" si="4"/>
        <v>rtdc.l.rtdc.4029:itc</v>
      </c>
      <c r="G133" s="8">
        <f t="shared" si="5"/>
        <v>42661.547071759262</v>
      </c>
    </row>
    <row r="134" spans="1:7" x14ac:dyDescent="0.25">
      <c r="A134" s="8">
        <v>42661.547430555554</v>
      </c>
      <c r="B134" s="21" t="s">
        <v>340</v>
      </c>
      <c r="C134" s="21" t="s">
        <v>425</v>
      </c>
      <c r="D134" s="21">
        <v>860000</v>
      </c>
      <c r="E134" s="21" t="s">
        <v>497</v>
      </c>
      <c r="F134" s="21" t="str">
        <f t="shared" si="4"/>
        <v>rtdc.l.rtdc.4037:itc</v>
      </c>
      <c r="G134" s="8">
        <f t="shared" si="5"/>
        <v>42661.547430555554</v>
      </c>
    </row>
    <row r="135" spans="1:7" x14ac:dyDescent="0.25">
      <c r="A135" s="8">
        <v>42661.548472222225</v>
      </c>
      <c r="B135" s="21" t="s">
        <v>340</v>
      </c>
      <c r="C135" s="21" t="s">
        <v>425</v>
      </c>
      <c r="D135" s="21">
        <v>860000</v>
      </c>
      <c r="E135" s="21" t="s">
        <v>497</v>
      </c>
      <c r="F135" s="21" t="str">
        <f t="shared" si="4"/>
        <v>rtdc.l.rtdc.4037:itc</v>
      </c>
      <c r="G135" s="8">
        <f t="shared" si="5"/>
        <v>42661.548472222225</v>
      </c>
    </row>
    <row r="136" spans="1:7" x14ac:dyDescent="0.25">
      <c r="A136" s="8">
        <v>42661.550381944442</v>
      </c>
      <c r="B136" s="21" t="s">
        <v>345</v>
      </c>
      <c r="C136" s="21" t="s">
        <v>538</v>
      </c>
      <c r="D136" s="21">
        <v>1770000</v>
      </c>
      <c r="E136" s="21" t="s">
        <v>302</v>
      </c>
      <c r="F136" s="21" t="str">
        <f t="shared" si="4"/>
        <v>rtdc.l.rtdc.4053:itc</v>
      </c>
      <c r="G136" s="8">
        <f t="shared" si="5"/>
        <v>42661.550381944442</v>
      </c>
    </row>
    <row r="137" spans="1:7" x14ac:dyDescent="0.25">
      <c r="A137" s="8">
        <v>42661.552094907405</v>
      </c>
      <c r="B137" s="21" t="s">
        <v>426</v>
      </c>
      <c r="C137" s="21" t="s">
        <v>427</v>
      </c>
      <c r="D137" s="21">
        <v>1740000</v>
      </c>
      <c r="E137" s="21" t="s">
        <v>531</v>
      </c>
      <c r="F137" s="21" t="str">
        <f t="shared" si="4"/>
        <v>rtdc.l.rtdc.4015:itc</v>
      </c>
      <c r="G137" s="8">
        <f t="shared" si="5"/>
        <v>42661.552094907405</v>
      </c>
    </row>
    <row r="138" spans="1:7" x14ac:dyDescent="0.25">
      <c r="A138" s="8">
        <v>42661.558599537035</v>
      </c>
      <c r="B138" s="21" t="s">
        <v>290</v>
      </c>
      <c r="C138" s="21" t="s">
        <v>539</v>
      </c>
      <c r="D138" s="21">
        <v>2090000</v>
      </c>
      <c r="E138" s="21" t="s">
        <v>522</v>
      </c>
      <c r="F138" s="21" t="str">
        <f t="shared" si="4"/>
        <v>rtdc.l.rtdc.4011:itc</v>
      </c>
      <c r="G138" s="8">
        <f t="shared" si="5"/>
        <v>42661.558599537035</v>
      </c>
    </row>
    <row r="139" spans="1:7" x14ac:dyDescent="0.25">
      <c r="A139" s="8">
        <v>42661.559687499997</v>
      </c>
      <c r="B139" s="21" t="s">
        <v>338</v>
      </c>
      <c r="C139" s="21" t="s">
        <v>425</v>
      </c>
      <c r="D139" s="21">
        <v>860000</v>
      </c>
      <c r="E139" s="21" t="s">
        <v>497</v>
      </c>
      <c r="F139" s="21" t="str">
        <f t="shared" si="4"/>
        <v>rtdc.l.rtdc.4038:itc</v>
      </c>
      <c r="G139" s="8">
        <f t="shared" si="5"/>
        <v>42661.559687499997</v>
      </c>
    </row>
    <row r="140" spans="1:7" x14ac:dyDescent="0.25">
      <c r="A140" s="8">
        <v>42661.563831018517</v>
      </c>
      <c r="B140" s="21" t="s">
        <v>274</v>
      </c>
      <c r="C140" s="21" t="s">
        <v>540</v>
      </c>
      <c r="D140" s="21">
        <v>2140000</v>
      </c>
      <c r="E140" s="21" t="s">
        <v>342</v>
      </c>
      <c r="F140" s="21" t="str">
        <f t="shared" si="4"/>
        <v>rtdc.l.rtdc.4041:itc</v>
      </c>
      <c r="G140" s="8">
        <f t="shared" si="5"/>
        <v>42661.563831018517</v>
      </c>
    </row>
    <row r="141" spans="1:7" x14ac:dyDescent="0.25">
      <c r="A141" s="8">
        <v>42661.565300925926</v>
      </c>
      <c r="B141" s="21" t="s">
        <v>338</v>
      </c>
      <c r="C141" s="21" t="s">
        <v>425</v>
      </c>
      <c r="D141" s="21">
        <v>860000</v>
      </c>
      <c r="E141" s="21" t="s">
        <v>497</v>
      </c>
      <c r="F141" s="21" t="str">
        <f t="shared" si="4"/>
        <v>rtdc.l.rtdc.4038:itc</v>
      </c>
      <c r="G141" s="8">
        <f t="shared" si="5"/>
        <v>42661.565300925926</v>
      </c>
    </row>
    <row r="142" spans="1:7" x14ac:dyDescent="0.25">
      <c r="A142" s="8">
        <v>42661.568229166667</v>
      </c>
      <c r="B142" s="21" t="s">
        <v>341</v>
      </c>
      <c r="C142" s="21" t="s">
        <v>541</v>
      </c>
      <c r="D142" s="21">
        <v>1770000</v>
      </c>
      <c r="E142" s="21" t="s">
        <v>302</v>
      </c>
      <c r="F142" s="21" t="str">
        <f t="shared" si="4"/>
        <v>rtdc.l.rtdc.4054:itc</v>
      </c>
      <c r="G142" s="8">
        <f t="shared" si="5"/>
        <v>42661.568229166667</v>
      </c>
    </row>
    <row r="143" spans="1:7" x14ac:dyDescent="0.25">
      <c r="A143" s="8">
        <v>42661.56826388889</v>
      </c>
      <c r="B143" s="21" t="s">
        <v>197</v>
      </c>
      <c r="C143" s="21" t="s">
        <v>542</v>
      </c>
      <c r="D143" s="21">
        <v>2220000</v>
      </c>
      <c r="E143" s="21" t="s">
        <v>525</v>
      </c>
      <c r="F143" s="21" t="str">
        <f t="shared" si="4"/>
        <v>rtdc.l.rtdc.4044:itc</v>
      </c>
      <c r="G143" s="8">
        <f t="shared" si="5"/>
        <v>42661.56826388889</v>
      </c>
    </row>
    <row r="144" spans="1:7" x14ac:dyDescent="0.25">
      <c r="A144" s="8">
        <v>42661.571076388886</v>
      </c>
      <c r="B144" s="21" t="s">
        <v>261</v>
      </c>
      <c r="C144" s="21" t="s">
        <v>543</v>
      </c>
      <c r="D144" s="21">
        <v>2150000</v>
      </c>
      <c r="E144" s="21" t="s">
        <v>316</v>
      </c>
      <c r="F144" s="21" t="str">
        <f t="shared" si="4"/>
        <v>rtdc.l.rtdc.4017:itc</v>
      </c>
      <c r="G144" s="8">
        <f t="shared" si="5"/>
        <v>42661.571076388886</v>
      </c>
    </row>
    <row r="145" spans="1:7" x14ac:dyDescent="0.25">
      <c r="A145" s="8">
        <v>42661.577847222223</v>
      </c>
      <c r="B145" s="21" t="s">
        <v>340</v>
      </c>
      <c r="C145" s="21" t="s">
        <v>425</v>
      </c>
      <c r="D145" s="21">
        <v>860000</v>
      </c>
      <c r="E145" s="21" t="s">
        <v>497</v>
      </c>
      <c r="F145" s="21" t="str">
        <f t="shared" si="4"/>
        <v>rtdc.l.rtdc.4037:itc</v>
      </c>
      <c r="G145" s="8">
        <f t="shared" si="5"/>
        <v>42661.577847222223</v>
      </c>
    </row>
    <row r="146" spans="1:7" x14ac:dyDescent="0.25">
      <c r="A146" s="8">
        <v>42661.579050925924</v>
      </c>
      <c r="B146" s="21" t="s">
        <v>340</v>
      </c>
      <c r="C146" s="21" t="s">
        <v>425</v>
      </c>
      <c r="D146" s="21">
        <v>860000</v>
      </c>
      <c r="E146" s="21" t="s">
        <v>497</v>
      </c>
      <c r="F146" s="21" t="str">
        <f t="shared" si="4"/>
        <v>rtdc.l.rtdc.4037:itc</v>
      </c>
      <c r="G146" s="8">
        <f t="shared" si="5"/>
        <v>42661.579050925924</v>
      </c>
    </row>
    <row r="147" spans="1:7" x14ac:dyDescent="0.25">
      <c r="A147" s="8">
        <v>42661.580520833333</v>
      </c>
      <c r="B147" s="21" t="s">
        <v>314</v>
      </c>
      <c r="C147" s="21" t="s">
        <v>544</v>
      </c>
      <c r="D147" s="21">
        <v>930000</v>
      </c>
      <c r="E147" s="21" t="s">
        <v>291</v>
      </c>
      <c r="F147" s="21" t="str">
        <f t="shared" si="4"/>
        <v>rtdc.l.rtdc.4025:itc</v>
      </c>
      <c r="G147" s="8">
        <f t="shared" si="5"/>
        <v>42661.580520833333</v>
      </c>
    </row>
    <row r="148" spans="1:7" x14ac:dyDescent="0.25">
      <c r="A148" s="8">
        <v>42661.586944444447</v>
      </c>
      <c r="B148" s="21" t="s">
        <v>345</v>
      </c>
      <c r="C148" s="21" t="s">
        <v>545</v>
      </c>
      <c r="D148" s="21">
        <v>1770000</v>
      </c>
      <c r="E148" s="21" t="s">
        <v>302</v>
      </c>
      <c r="F148" s="21" t="str">
        <f t="shared" si="4"/>
        <v>rtdc.l.rtdc.4053:itc</v>
      </c>
      <c r="G148" s="8">
        <f t="shared" si="5"/>
        <v>42661.586944444447</v>
      </c>
    </row>
    <row r="149" spans="1:7" x14ac:dyDescent="0.25">
      <c r="A149" s="8">
        <v>42661.588425925926</v>
      </c>
      <c r="B149" s="21" t="s">
        <v>315</v>
      </c>
      <c r="C149" s="21" t="s">
        <v>546</v>
      </c>
      <c r="D149" s="21">
        <v>1540000</v>
      </c>
      <c r="E149" s="21" t="s">
        <v>348</v>
      </c>
      <c r="F149" s="21" t="str">
        <f t="shared" si="4"/>
        <v>rtdc.l.rtdc.4030:itc</v>
      </c>
      <c r="G149" s="8">
        <f t="shared" si="5"/>
        <v>42661.588425925926</v>
      </c>
    </row>
    <row r="150" spans="1:7" x14ac:dyDescent="0.25">
      <c r="A150" s="8">
        <v>42661.589872685188</v>
      </c>
      <c r="B150" s="21" t="s">
        <v>413</v>
      </c>
      <c r="C150" s="21" t="s">
        <v>547</v>
      </c>
      <c r="D150" s="21">
        <v>1740000</v>
      </c>
      <c r="E150" s="21" t="s">
        <v>531</v>
      </c>
      <c r="F150" s="21" t="str">
        <f t="shared" si="4"/>
        <v>rtdc.l.rtdc.4016:itc</v>
      </c>
      <c r="G150" s="8">
        <f t="shared" si="5"/>
        <v>42661.589872685188</v>
      </c>
    </row>
    <row r="151" spans="1:7" x14ac:dyDescent="0.25">
      <c r="A151" s="8">
        <v>42661.591562499998</v>
      </c>
      <c r="B151" s="21" t="s">
        <v>338</v>
      </c>
      <c r="C151" s="21" t="s">
        <v>425</v>
      </c>
      <c r="D151" s="21">
        <v>860000</v>
      </c>
      <c r="E151" s="21" t="s">
        <v>497</v>
      </c>
      <c r="F151" s="21" t="str">
        <f t="shared" si="4"/>
        <v>rtdc.l.rtdc.4038:itc</v>
      </c>
      <c r="G151" s="8">
        <f t="shared" si="5"/>
        <v>42661.591562499998</v>
      </c>
    </row>
    <row r="152" spans="1:7" x14ac:dyDescent="0.25">
      <c r="A152" s="8">
        <v>42661.596747685187</v>
      </c>
      <c r="B152" s="21" t="s">
        <v>289</v>
      </c>
      <c r="C152" s="21" t="s">
        <v>548</v>
      </c>
      <c r="D152" s="21">
        <v>2090000</v>
      </c>
      <c r="E152" s="21" t="s">
        <v>522</v>
      </c>
      <c r="F152" s="21" t="str">
        <f t="shared" si="4"/>
        <v>rtdc.l.rtdc.4012:itc</v>
      </c>
      <c r="G152" s="8">
        <f t="shared" si="5"/>
        <v>42661.596747685187</v>
      </c>
    </row>
    <row r="153" spans="1:7" x14ac:dyDescent="0.25">
      <c r="A153" s="8">
        <v>42661.59951388889</v>
      </c>
      <c r="B153" s="21" t="s">
        <v>272</v>
      </c>
      <c r="C153" s="21" t="s">
        <v>549</v>
      </c>
      <c r="D153" s="21">
        <v>2140000</v>
      </c>
      <c r="E153" s="21" t="s">
        <v>342</v>
      </c>
      <c r="F153" s="21" t="str">
        <f t="shared" si="4"/>
        <v>rtdc.l.rtdc.4042:itc</v>
      </c>
      <c r="G153" s="8">
        <f t="shared" si="5"/>
        <v>42661.59951388889</v>
      </c>
    </row>
    <row r="154" spans="1:7" x14ac:dyDescent="0.25">
      <c r="A154" s="8">
        <v>42661.605821759258</v>
      </c>
      <c r="B154" s="21" t="s">
        <v>340</v>
      </c>
      <c r="C154" s="21" t="s">
        <v>425</v>
      </c>
      <c r="D154" s="21">
        <v>860000</v>
      </c>
      <c r="E154" s="21" t="s">
        <v>497</v>
      </c>
      <c r="F154" s="21" t="str">
        <f t="shared" si="4"/>
        <v>rtdc.l.rtdc.4037:itc</v>
      </c>
      <c r="G154" s="8">
        <f t="shared" si="5"/>
        <v>42661.605821759258</v>
      </c>
    </row>
    <row r="155" spans="1:7" x14ac:dyDescent="0.25">
      <c r="A155" s="8">
        <v>42661.606828703705</v>
      </c>
      <c r="B155" s="21" t="s">
        <v>212</v>
      </c>
      <c r="C155" s="21" t="s">
        <v>550</v>
      </c>
      <c r="D155" s="21">
        <v>2220000</v>
      </c>
      <c r="E155" s="21" t="s">
        <v>525</v>
      </c>
      <c r="F155" s="21" t="str">
        <f t="shared" si="4"/>
        <v>rtdc.l.rtdc.4043:itc</v>
      </c>
      <c r="G155" s="8">
        <f t="shared" si="5"/>
        <v>42661.606828703705</v>
      </c>
    </row>
    <row r="156" spans="1:7" x14ac:dyDescent="0.25">
      <c r="A156" s="8">
        <v>42661.610451388886</v>
      </c>
      <c r="B156" s="21" t="s">
        <v>188</v>
      </c>
      <c r="C156" s="21" t="s">
        <v>551</v>
      </c>
      <c r="D156" s="21">
        <v>2150000</v>
      </c>
      <c r="E156" s="21" t="s">
        <v>316</v>
      </c>
      <c r="F156" s="21" t="str">
        <f t="shared" si="4"/>
        <v>rtdc.l.rtdc.4018:itc</v>
      </c>
      <c r="G156" s="8">
        <f t="shared" si="5"/>
        <v>42661.610451388886</v>
      </c>
    </row>
    <row r="157" spans="1:7" x14ac:dyDescent="0.25">
      <c r="A157" s="8">
        <v>42661.610567129632</v>
      </c>
      <c r="B157" s="21" t="s">
        <v>341</v>
      </c>
      <c r="C157" s="21" t="s">
        <v>552</v>
      </c>
      <c r="D157" s="21">
        <v>1770000</v>
      </c>
      <c r="E157" s="21" t="s">
        <v>302</v>
      </c>
      <c r="F157" s="21" t="str">
        <f t="shared" si="4"/>
        <v>rtdc.l.rtdc.4054:itc</v>
      </c>
      <c r="G157" s="8">
        <f t="shared" si="5"/>
        <v>42661.610567129632</v>
      </c>
    </row>
    <row r="158" spans="1:7" x14ac:dyDescent="0.25">
      <c r="A158" s="8">
        <v>42661.616041666668</v>
      </c>
      <c r="B158" s="21" t="s">
        <v>313</v>
      </c>
      <c r="C158" s="21" t="s">
        <v>553</v>
      </c>
      <c r="D158" s="21">
        <v>930000</v>
      </c>
      <c r="E158" s="21" t="s">
        <v>291</v>
      </c>
      <c r="F158" s="21" t="str">
        <f t="shared" si="4"/>
        <v>rtdc.l.rtdc.4026:itc</v>
      </c>
      <c r="G158" s="8">
        <f t="shared" si="5"/>
        <v>42661.616041666668</v>
      </c>
    </row>
    <row r="159" spans="1:7" x14ac:dyDescent="0.25">
      <c r="A159" s="8">
        <v>42661.618472222224</v>
      </c>
      <c r="B159" s="21" t="s">
        <v>311</v>
      </c>
      <c r="C159" s="21" t="s">
        <v>546</v>
      </c>
      <c r="D159" s="21">
        <v>1540000</v>
      </c>
      <c r="E159" s="21" t="s">
        <v>348</v>
      </c>
      <c r="F159" s="21" t="str">
        <f t="shared" si="4"/>
        <v>rtdc.l.rtdc.4029:itc</v>
      </c>
      <c r="G159" s="8">
        <f t="shared" si="5"/>
        <v>42661.618472222224</v>
      </c>
    </row>
    <row r="160" spans="1:7" x14ac:dyDescent="0.25">
      <c r="A160" s="8">
        <v>42661.61928240741</v>
      </c>
      <c r="B160" s="21" t="s">
        <v>311</v>
      </c>
      <c r="C160" s="21" t="s">
        <v>554</v>
      </c>
      <c r="D160" s="21">
        <v>1540000</v>
      </c>
      <c r="E160" s="21" t="s">
        <v>348</v>
      </c>
      <c r="F160" s="21" t="str">
        <f t="shared" si="4"/>
        <v>rtdc.l.rtdc.4029:itc</v>
      </c>
      <c r="G160" s="8">
        <f t="shared" si="5"/>
        <v>42661.61928240741</v>
      </c>
    </row>
    <row r="161" spans="1:7" x14ac:dyDescent="0.25">
      <c r="A161" s="8">
        <v>42661.626030092593</v>
      </c>
      <c r="B161" s="21" t="s">
        <v>338</v>
      </c>
      <c r="C161" s="21" t="s">
        <v>425</v>
      </c>
      <c r="D161" s="21">
        <v>860000</v>
      </c>
      <c r="E161" s="21" t="s">
        <v>497</v>
      </c>
      <c r="F161" s="21" t="str">
        <f t="shared" si="4"/>
        <v>rtdc.l.rtdc.4038:itc</v>
      </c>
      <c r="G161" s="8">
        <f t="shared" si="5"/>
        <v>42661.626030092593</v>
      </c>
    </row>
    <row r="162" spans="1:7" x14ac:dyDescent="0.25">
      <c r="A162" s="8">
        <v>42661.626747685186</v>
      </c>
      <c r="B162" s="21" t="s">
        <v>345</v>
      </c>
      <c r="C162" s="21" t="s">
        <v>555</v>
      </c>
      <c r="D162" s="21">
        <v>1770000</v>
      </c>
      <c r="E162" s="21" t="s">
        <v>302</v>
      </c>
      <c r="F162" s="21" t="str">
        <f t="shared" si="4"/>
        <v>rtdc.l.rtdc.4053:itc</v>
      </c>
      <c r="G162" s="8">
        <f t="shared" si="5"/>
        <v>42661.626747685186</v>
      </c>
    </row>
    <row r="163" spans="1:7" x14ac:dyDescent="0.25">
      <c r="A163" s="8">
        <v>42661.62709490741</v>
      </c>
      <c r="B163" s="21" t="s">
        <v>426</v>
      </c>
      <c r="C163" s="21" t="s">
        <v>428</v>
      </c>
      <c r="D163" s="21">
        <v>1740000</v>
      </c>
      <c r="E163" s="21" t="s">
        <v>531</v>
      </c>
      <c r="F163" s="21" t="str">
        <f t="shared" si="4"/>
        <v>rtdc.l.rtdc.4015:itc</v>
      </c>
      <c r="G163" s="8">
        <f t="shared" si="5"/>
        <v>42661.62709490741</v>
      </c>
    </row>
    <row r="164" spans="1:7" x14ac:dyDescent="0.25">
      <c r="A164" s="8">
        <v>42661.631331018521</v>
      </c>
      <c r="B164" s="21" t="s">
        <v>290</v>
      </c>
      <c r="C164" s="21" t="s">
        <v>556</v>
      </c>
      <c r="D164" s="21">
        <v>2090000</v>
      </c>
      <c r="E164" s="21" t="s">
        <v>522</v>
      </c>
      <c r="F164" s="21" t="str">
        <f t="shared" si="4"/>
        <v>rtdc.l.rtdc.4011:itc</v>
      </c>
      <c r="G164" s="8">
        <f t="shared" si="5"/>
        <v>42661.631331018521</v>
      </c>
    </row>
    <row r="165" spans="1:7" x14ac:dyDescent="0.25">
      <c r="A165" s="8">
        <v>42661.633460648147</v>
      </c>
      <c r="B165" s="21" t="s">
        <v>274</v>
      </c>
      <c r="C165" s="21" t="s">
        <v>429</v>
      </c>
      <c r="D165" s="21">
        <v>2140000</v>
      </c>
      <c r="E165" s="21" t="s">
        <v>342</v>
      </c>
      <c r="F165" s="21" t="str">
        <f t="shared" si="4"/>
        <v>rtdc.l.rtdc.4041:itc</v>
      </c>
      <c r="G165" s="8">
        <f t="shared" si="5"/>
        <v>42661.633460648147</v>
      </c>
    </row>
    <row r="166" spans="1:7" x14ac:dyDescent="0.25">
      <c r="A166" s="8">
        <v>42661.643541666665</v>
      </c>
      <c r="B166" s="21" t="s">
        <v>197</v>
      </c>
      <c r="C166" s="21" t="s">
        <v>430</v>
      </c>
      <c r="D166" s="21">
        <v>2220000</v>
      </c>
      <c r="E166" s="21" t="s">
        <v>525</v>
      </c>
      <c r="F166" s="21" t="str">
        <f t="shared" si="4"/>
        <v>rtdc.l.rtdc.4044:itc</v>
      </c>
      <c r="G166" s="8">
        <f t="shared" si="5"/>
        <v>42661.643541666665</v>
      </c>
    </row>
    <row r="167" spans="1:7" x14ac:dyDescent="0.25">
      <c r="A167" s="8">
        <v>42661.643784722219</v>
      </c>
      <c r="B167" s="21" t="s">
        <v>261</v>
      </c>
      <c r="C167" s="21" t="s">
        <v>557</v>
      </c>
      <c r="D167" s="21">
        <v>2150000</v>
      </c>
      <c r="E167" s="21" t="s">
        <v>316</v>
      </c>
      <c r="F167" s="21" t="str">
        <f t="shared" si="4"/>
        <v>rtdc.l.rtdc.4017:itc</v>
      </c>
      <c r="G167" s="8">
        <f t="shared" si="5"/>
        <v>42661.643784722219</v>
      </c>
    </row>
    <row r="168" spans="1:7" x14ac:dyDescent="0.25">
      <c r="A168" s="8">
        <v>42661.646481481483</v>
      </c>
      <c r="B168" s="21" t="s">
        <v>288</v>
      </c>
      <c r="C168" s="21" t="s">
        <v>558</v>
      </c>
      <c r="D168" s="21">
        <v>1480000</v>
      </c>
      <c r="E168" s="21" t="s">
        <v>192</v>
      </c>
      <c r="F168" s="21" t="str">
        <f t="shared" si="4"/>
        <v>rtdc.l.rtdc.4045:itc</v>
      </c>
      <c r="G168" s="8">
        <f t="shared" si="5"/>
        <v>42661.646481481483</v>
      </c>
    </row>
    <row r="169" spans="1:7" x14ac:dyDescent="0.25">
      <c r="A169" s="8">
        <v>42661.651493055557</v>
      </c>
      <c r="B169" s="21" t="s">
        <v>341</v>
      </c>
      <c r="C169" s="21" t="s">
        <v>559</v>
      </c>
      <c r="D169" s="21">
        <v>1770000</v>
      </c>
      <c r="E169" s="21" t="s">
        <v>302</v>
      </c>
      <c r="F169" s="21" t="str">
        <f t="shared" si="4"/>
        <v>rtdc.l.rtdc.4054:itc</v>
      </c>
      <c r="G169" s="8">
        <f t="shared" si="5"/>
        <v>42661.651493055557</v>
      </c>
    </row>
    <row r="170" spans="1:7" x14ac:dyDescent="0.25">
      <c r="A170" s="8">
        <v>42661.653738425928</v>
      </c>
      <c r="B170" s="21" t="s">
        <v>314</v>
      </c>
      <c r="C170" s="21" t="s">
        <v>560</v>
      </c>
      <c r="D170" s="21">
        <v>930000</v>
      </c>
      <c r="E170" s="21" t="s">
        <v>291</v>
      </c>
      <c r="F170" s="21" t="str">
        <f t="shared" si="4"/>
        <v>rtdc.l.rtdc.4025:itc</v>
      </c>
      <c r="G170" s="8">
        <f t="shared" si="5"/>
        <v>42661.653738425928</v>
      </c>
    </row>
    <row r="171" spans="1:7" x14ac:dyDescent="0.25">
      <c r="A171" s="8">
        <v>42661.656967592593</v>
      </c>
      <c r="B171" s="21" t="s">
        <v>199</v>
      </c>
      <c r="C171" s="21" t="s">
        <v>561</v>
      </c>
      <c r="D171" s="21">
        <v>1480000</v>
      </c>
      <c r="E171" s="21" t="s">
        <v>192</v>
      </c>
      <c r="F171" s="21" t="str">
        <f t="shared" si="4"/>
        <v>rtdc.l.rtdc.4046:itc</v>
      </c>
      <c r="G171" s="8">
        <f t="shared" si="5"/>
        <v>42661.656967592593</v>
      </c>
    </row>
    <row r="172" spans="1:7" x14ac:dyDescent="0.25">
      <c r="A172" s="8">
        <v>42661.661863425928</v>
      </c>
      <c r="B172" s="21" t="s">
        <v>315</v>
      </c>
      <c r="C172" s="21" t="s">
        <v>562</v>
      </c>
      <c r="D172" s="21">
        <v>1540000</v>
      </c>
      <c r="E172" s="21" t="s">
        <v>348</v>
      </c>
      <c r="F172" s="21" t="str">
        <f t="shared" si="4"/>
        <v>rtdc.l.rtdc.4030:itc</v>
      </c>
      <c r="G172" s="8">
        <f t="shared" si="5"/>
        <v>42661.661863425928</v>
      </c>
    </row>
    <row r="173" spans="1:7" x14ac:dyDescent="0.25">
      <c r="A173" s="8">
        <v>42661.663171296299</v>
      </c>
      <c r="B173" s="21" t="s">
        <v>413</v>
      </c>
      <c r="C173" s="21" t="s">
        <v>563</v>
      </c>
      <c r="D173" s="21">
        <v>1740000</v>
      </c>
      <c r="E173" s="21" t="s">
        <v>531</v>
      </c>
      <c r="F173" s="21" t="str">
        <f t="shared" si="4"/>
        <v>rtdc.l.rtdc.4016:itc</v>
      </c>
      <c r="G173" s="8">
        <f t="shared" si="5"/>
        <v>42661.663171296299</v>
      </c>
    </row>
    <row r="174" spans="1:7" x14ac:dyDescent="0.25">
      <c r="A174" s="8">
        <v>42661.671215277776</v>
      </c>
      <c r="B174" s="21" t="s">
        <v>345</v>
      </c>
      <c r="C174" s="21" t="s">
        <v>564</v>
      </c>
      <c r="D174" s="21">
        <v>1770000</v>
      </c>
      <c r="E174" s="21" t="s">
        <v>302</v>
      </c>
      <c r="F174" s="21" t="str">
        <f t="shared" si="4"/>
        <v>rtdc.l.rtdc.4053:itc</v>
      </c>
      <c r="G174" s="8">
        <f t="shared" si="5"/>
        <v>42661.671215277776</v>
      </c>
    </row>
    <row r="175" spans="1:7" x14ac:dyDescent="0.25">
      <c r="A175" s="8">
        <v>42661.671400462961</v>
      </c>
      <c r="B175" s="21" t="s">
        <v>289</v>
      </c>
      <c r="C175" s="21" t="s">
        <v>565</v>
      </c>
      <c r="D175" s="21">
        <v>2090000</v>
      </c>
      <c r="E175" s="21" t="s">
        <v>522</v>
      </c>
      <c r="F175" s="21" t="str">
        <f t="shared" si="4"/>
        <v>rtdc.l.rtdc.4012:itc</v>
      </c>
      <c r="G175" s="8">
        <f t="shared" si="5"/>
        <v>42661.671400462961</v>
      </c>
    </row>
    <row r="176" spans="1:7" x14ac:dyDescent="0.25">
      <c r="A176" s="8">
        <v>42661.671967592592</v>
      </c>
      <c r="B176" s="21" t="s">
        <v>272</v>
      </c>
      <c r="C176" s="21" t="s">
        <v>566</v>
      </c>
      <c r="D176" s="21">
        <v>2140000</v>
      </c>
      <c r="E176" s="21" t="s">
        <v>342</v>
      </c>
      <c r="F176" s="21" t="str">
        <f t="shared" si="4"/>
        <v>rtdc.l.rtdc.4042:itc</v>
      </c>
      <c r="G176" s="8">
        <f t="shared" si="5"/>
        <v>42661.671967592592</v>
      </c>
    </row>
    <row r="177" spans="1:7" x14ac:dyDescent="0.25">
      <c r="A177" s="8">
        <v>42661.672824074078</v>
      </c>
      <c r="B177" s="21" t="s">
        <v>288</v>
      </c>
      <c r="C177" s="21" t="s">
        <v>567</v>
      </c>
      <c r="D177" s="21">
        <v>1480000</v>
      </c>
      <c r="E177" s="21" t="s">
        <v>192</v>
      </c>
      <c r="F177" s="21" t="str">
        <f t="shared" si="4"/>
        <v>rtdc.l.rtdc.4045:itc</v>
      </c>
      <c r="G177" s="8">
        <f t="shared" si="5"/>
        <v>42661.672824074078</v>
      </c>
    </row>
    <row r="178" spans="1:7" x14ac:dyDescent="0.25">
      <c r="A178" s="8">
        <v>42661.673333333332</v>
      </c>
      <c r="B178" s="21" t="s">
        <v>212</v>
      </c>
      <c r="C178" s="21" t="s">
        <v>431</v>
      </c>
      <c r="D178" s="21">
        <v>2220000</v>
      </c>
      <c r="E178" s="21" t="s">
        <v>525</v>
      </c>
      <c r="F178" s="21" t="str">
        <f t="shared" si="4"/>
        <v>rtdc.l.rtdc.4043:itc</v>
      </c>
      <c r="G178" s="8">
        <f t="shared" si="5"/>
        <v>42661.673333333332</v>
      </c>
    </row>
    <row r="179" spans="1:7" x14ac:dyDescent="0.25">
      <c r="A179" s="8">
        <v>42661.684120370373</v>
      </c>
      <c r="B179" s="21" t="s">
        <v>188</v>
      </c>
      <c r="C179" s="21" t="s">
        <v>568</v>
      </c>
      <c r="D179" s="21">
        <v>2150000</v>
      </c>
      <c r="E179" s="21" t="s">
        <v>316</v>
      </c>
      <c r="F179" s="21" t="str">
        <f t="shared" si="4"/>
        <v>rtdc.l.rtdc.4018:itc</v>
      </c>
      <c r="G179" s="8">
        <f t="shared" si="5"/>
        <v>42661.684120370373</v>
      </c>
    </row>
    <row r="180" spans="1:7" x14ac:dyDescent="0.25">
      <c r="A180" s="8">
        <v>42661.690983796296</v>
      </c>
      <c r="B180" s="21" t="s">
        <v>313</v>
      </c>
      <c r="C180" s="21" t="s">
        <v>569</v>
      </c>
      <c r="D180" s="21">
        <v>930000</v>
      </c>
      <c r="E180" s="21" t="s">
        <v>291</v>
      </c>
      <c r="F180" s="21" t="str">
        <f t="shared" si="4"/>
        <v>rtdc.l.rtdc.4026:itc</v>
      </c>
      <c r="G180" s="8">
        <f t="shared" si="5"/>
        <v>42661.690983796296</v>
      </c>
    </row>
    <row r="181" spans="1:7" x14ac:dyDescent="0.25">
      <c r="A181" s="8">
        <v>42661.693368055552</v>
      </c>
      <c r="B181" s="21" t="s">
        <v>341</v>
      </c>
      <c r="C181" s="21" t="s">
        <v>570</v>
      </c>
      <c r="D181" s="21">
        <v>1770000</v>
      </c>
      <c r="E181" s="21" t="s">
        <v>302</v>
      </c>
      <c r="F181" s="21" t="str">
        <f t="shared" si="4"/>
        <v>rtdc.l.rtdc.4054:itc</v>
      </c>
      <c r="G181" s="8">
        <f t="shared" si="5"/>
        <v>42661.693368055552</v>
      </c>
    </row>
    <row r="182" spans="1:7" x14ac:dyDescent="0.25">
      <c r="A182" s="8">
        <v>42661.69494212963</v>
      </c>
      <c r="B182" s="21" t="s">
        <v>199</v>
      </c>
      <c r="C182" s="21" t="s">
        <v>571</v>
      </c>
      <c r="D182" s="21">
        <v>1480000</v>
      </c>
      <c r="E182" s="21" t="s">
        <v>192</v>
      </c>
      <c r="F182" s="21" t="str">
        <f t="shared" si="4"/>
        <v>rtdc.l.rtdc.4046:itc</v>
      </c>
      <c r="G182" s="8">
        <f t="shared" si="5"/>
        <v>42661.69494212963</v>
      </c>
    </row>
    <row r="183" spans="1:7" x14ac:dyDescent="0.25">
      <c r="A183" s="8">
        <v>42661.696145833332</v>
      </c>
      <c r="B183" s="21" t="s">
        <v>311</v>
      </c>
      <c r="C183" s="21" t="s">
        <v>572</v>
      </c>
      <c r="D183" s="21">
        <v>1540000</v>
      </c>
      <c r="E183" s="21" t="s">
        <v>348</v>
      </c>
      <c r="F183" s="21" t="str">
        <f t="shared" si="4"/>
        <v>rtdc.l.rtdc.4029:itc</v>
      </c>
      <c r="G183" s="8">
        <f t="shared" si="5"/>
        <v>42661.696145833332</v>
      </c>
    </row>
    <row r="184" spans="1:7" x14ac:dyDescent="0.25">
      <c r="A184" s="8">
        <v>42661.69840277778</v>
      </c>
      <c r="B184" s="21" t="s">
        <v>426</v>
      </c>
      <c r="C184" s="21" t="s">
        <v>573</v>
      </c>
      <c r="D184" s="21">
        <v>1740000</v>
      </c>
      <c r="E184" s="21" t="s">
        <v>531</v>
      </c>
      <c r="F184" s="21" t="str">
        <f t="shared" si="4"/>
        <v>rtdc.l.rtdc.4015:itc</v>
      </c>
      <c r="G184" s="8">
        <f t="shared" si="5"/>
        <v>42661.69840277778</v>
      </c>
    </row>
    <row r="185" spans="1:7" x14ac:dyDescent="0.25">
      <c r="A185" s="8">
        <v>42661.70417824074</v>
      </c>
      <c r="B185" s="21" t="s">
        <v>290</v>
      </c>
      <c r="C185" s="21" t="s">
        <v>574</v>
      </c>
      <c r="D185" s="21">
        <v>2090000</v>
      </c>
      <c r="E185" s="21" t="s">
        <v>522</v>
      </c>
      <c r="F185" s="21" t="str">
        <f t="shared" si="4"/>
        <v>rtdc.l.rtdc.4011:itc</v>
      </c>
      <c r="G185" s="8">
        <f t="shared" si="5"/>
        <v>42661.70417824074</v>
      </c>
    </row>
    <row r="186" spans="1:7" x14ac:dyDescent="0.25">
      <c r="A186" s="8">
        <v>42661.706018518518</v>
      </c>
      <c r="B186" s="21" t="s">
        <v>274</v>
      </c>
      <c r="C186" s="21" t="s">
        <v>575</v>
      </c>
      <c r="D186" s="21">
        <v>2140000</v>
      </c>
      <c r="E186" s="21" t="s">
        <v>342</v>
      </c>
      <c r="F186" s="21" t="str">
        <f t="shared" si="4"/>
        <v>rtdc.l.rtdc.4041:itc</v>
      </c>
      <c r="G186" s="8">
        <f t="shared" si="5"/>
        <v>42661.706018518518</v>
      </c>
    </row>
    <row r="187" spans="1:7" x14ac:dyDescent="0.25">
      <c r="A187" s="8">
        <v>42661.711701388886</v>
      </c>
      <c r="B187" s="21" t="s">
        <v>345</v>
      </c>
      <c r="C187" s="21" t="s">
        <v>433</v>
      </c>
      <c r="D187" s="21">
        <v>1770000</v>
      </c>
      <c r="E187" s="21" t="s">
        <v>302</v>
      </c>
      <c r="F187" s="21" t="str">
        <f t="shared" si="4"/>
        <v>rtdc.l.rtdc.4053:itc</v>
      </c>
      <c r="G187" s="8">
        <f t="shared" si="5"/>
        <v>42661.711701388886</v>
      </c>
    </row>
    <row r="188" spans="1:7" x14ac:dyDescent="0.25">
      <c r="A188" s="8">
        <v>42661.714641203704</v>
      </c>
      <c r="B188" s="21" t="s">
        <v>347</v>
      </c>
      <c r="C188" s="21" t="s">
        <v>432</v>
      </c>
      <c r="D188" s="21">
        <v>2350000</v>
      </c>
      <c r="E188" s="21" t="s">
        <v>317</v>
      </c>
      <c r="F188" s="21" t="str">
        <f t="shared" si="4"/>
        <v>rtdc.l.rtdc.4021:itc</v>
      </c>
      <c r="G188" s="8">
        <f t="shared" si="5"/>
        <v>42661.714641203704</v>
      </c>
    </row>
    <row r="189" spans="1:7" x14ac:dyDescent="0.25">
      <c r="A189" s="8">
        <v>42661.714965277781</v>
      </c>
      <c r="B189" s="21" t="s">
        <v>288</v>
      </c>
      <c r="C189" s="21" t="s">
        <v>576</v>
      </c>
      <c r="D189" s="21">
        <v>1480000</v>
      </c>
      <c r="E189" s="21" t="s">
        <v>192</v>
      </c>
      <c r="F189" s="21" t="str">
        <f t="shared" si="4"/>
        <v>rtdc.l.rtdc.4045:itc</v>
      </c>
      <c r="G189" s="8">
        <f t="shared" si="5"/>
        <v>42661.714965277781</v>
      </c>
    </row>
    <row r="190" spans="1:7" x14ac:dyDescent="0.25">
      <c r="A190" s="8">
        <v>42661.715752314813</v>
      </c>
      <c r="B190" s="21" t="s">
        <v>197</v>
      </c>
      <c r="C190" s="21" t="s">
        <v>577</v>
      </c>
      <c r="D190" s="21">
        <v>1180000</v>
      </c>
      <c r="E190" s="21" t="s">
        <v>190</v>
      </c>
      <c r="F190" s="21" t="str">
        <f t="shared" si="4"/>
        <v>rtdc.l.rtdc.4044:itc</v>
      </c>
      <c r="G190" s="8">
        <f t="shared" si="5"/>
        <v>42661.715752314813</v>
      </c>
    </row>
    <row r="191" spans="1:7" x14ac:dyDescent="0.25">
      <c r="A191" s="8">
        <v>42661.721898148149</v>
      </c>
      <c r="B191" s="21" t="s">
        <v>261</v>
      </c>
      <c r="C191" s="21" t="s">
        <v>578</v>
      </c>
      <c r="D191" s="21">
        <v>2150000</v>
      </c>
      <c r="E191" s="21" t="s">
        <v>316</v>
      </c>
      <c r="F191" s="21" t="str">
        <f t="shared" si="4"/>
        <v>rtdc.l.rtdc.4017:itc</v>
      </c>
      <c r="G191" s="8">
        <f t="shared" si="5"/>
        <v>42661.721898148149</v>
      </c>
    </row>
    <row r="192" spans="1:7" x14ac:dyDescent="0.25">
      <c r="A192" s="8">
        <v>42661.726388888892</v>
      </c>
      <c r="B192" s="21" t="s">
        <v>314</v>
      </c>
      <c r="C192" s="21" t="s">
        <v>579</v>
      </c>
      <c r="D192" s="21">
        <v>2220000</v>
      </c>
      <c r="E192" s="21" t="s">
        <v>525</v>
      </c>
      <c r="F192" s="21" t="str">
        <f t="shared" si="4"/>
        <v>rtdc.l.rtdc.4025:itc</v>
      </c>
      <c r="G192" s="8">
        <f t="shared" si="5"/>
        <v>42661.726388888892</v>
      </c>
    </row>
    <row r="193" spans="1:7" x14ac:dyDescent="0.25">
      <c r="A193" s="8">
        <v>42661.732824074075</v>
      </c>
      <c r="B193" s="21" t="s">
        <v>315</v>
      </c>
      <c r="C193" s="21" t="s">
        <v>580</v>
      </c>
      <c r="D193" s="21">
        <v>1540000</v>
      </c>
      <c r="E193" s="21" t="s">
        <v>348</v>
      </c>
      <c r="F193" s="21" t="str">
        <f t="shared" si="4"/>
        <v>rtdc.l.rtdc.4030:itc</v>
      </c>
      <c r="G193" s="8">
        <f t="shared" si="5"/>
        <v>42661.732824074075</v>
      </c>
    </row>
    <row r="194" spans="1:7" x14ac:dyDescent="0.25">
      <c r="A194" s="8">
        <v>42661.734537037039</v>
      </c>
      <c r="B194" s="21" t="s">
        <v>266</v>
      </c>
      <c r="C194" s="21" t="s">
        <v>581</v>
      </c>
      <c r="D194" s="21">
        <v>110000</v>
      </c>
      <c r="E194" s="21" t="s">
        <v>582</v>
      </c>
      <c r="F194" s="21" t="str">
        <f t="shared" ref="F194:F235" si="6">B194</f>
        <v>rtdc.l.rtdc.4040:itc</v>
      </c>
      <c r="G194" s="8">
        <f t="shared" ref="G194:G235" si="7">A194</f>
        <v>42661.734537037039</v>
      </c>
    </row>
    <row r="195" spans="1:7" x14ac:dyDescent="0.25">
      <c r="A195" s="8">
        <v>42661.735671296294</v>
      </c>
      <c r="B195" s="21" t="s">
        <v>341</v>
      </c>
      <c r="C195" s="21" t="s">
        <v>583</v>
      </c>
      <c r="D195" s="21">
        <v>1770000</v>
      </c>
      <c r="E195" s="21" t="s">
        <v>302</v>
      </c>
      <c r="F195" s="21" t="str">
        <f t="shared" si="6"/>
        <v>rtdc.l.rtdc.4054:itc</v>
      </c>
      <c r="G195" s="8">
        <f t="shared" si="7"/>
        <v>42661.735671296294</v>
      </c>
    </row>
    <row r="196" spans="1:7" x14ac:dyDescent="0.25">
      <c r="A196" s="8">
        <v>42661.737060185187</v>
      </c>
      <c r="B196" s="21" t="s">
        <v>413</v>
      </c>
      <c r="C196" s="21" t="s">
        <v>584</v>
      </c>
      <c r="D196" s="21">
        <v>2350000</v>
      </c>
      <c r="E196" s="21" t="s">
        <v>317</v>
      </c>
      <c r="F196" s="21" t="str">
        <f t="shared" si="6"/>
        <v>rtdc.l.rtdc.4016:itc</v>
      </c>
      <c r="G196" s="8">
        <f t="shared" si="7"/>
        <v>42661.737060185187</v>
      </c>
    </row>
    <row r="197" spans="1:7" x14ac:dyDescent="0.25">
      <c r="A197" s="8">
        <v>42661.738009259258</v>
      </c>
      <c r="B197" s="21" t="s">
        <v>199</v>
      </c>
      <c r="C197" s="21" t="s">
        <v>585</v>
      </c>
      <c r="D197" s="21">
        <v>1480000</v>
      </c>
      <c r="E197" s="21" t="s">
        <v>192</v>
      </c>
      <c r="F197" s="21" t="str">
        <f t="shared" si="6"/>
        <v>rtdc.l.rtdc.4046:itc</v>
      </c>
      <c r="G197" s="8">
        <f t="shared" si="7"/>
        <v>42661.738009259258</v>
      </c>
    </row>
    <row r="198" spans="1:7" x14ac:dyDescent="0.25">
      <c r="A198" s="8">
        <v>42661.744745370372</v>
      </c>
      <c r="B198" s="21" t="s">
        <v>289</v>
      </c>
      <c r="C198" s="21" t="s">
        <v>586</v>
      </c>
      <c r="D198" s="21">
        <v>2090000</v>
      </c>
      <c r="E198" s="21" t="s">
        <v>522</v>
      </c>
      <c r="F198" s="21" t="str">
        <f t="shared" si="6"/>
        <v>rtdc.l.rtdc.4012:itc</v>
      </c>
      <c r="G198" s="8">
        <f t="shared" si="7"/>
        <v>42661.744745370372</v>
      </c>
    </row>
    <row r="199" spans="1:7" x14ac:dyDescent="0.25">
      <c r="A199" s="8">
        <v>42661.74763888889</v>
      </c>
      <c r="B199" s="21" t="s">
        <v>272</v>
      </c>
      <c r="C199" s="21" t="s">
        <v>587</v>
      </c>
      <c r="D199" s="21">
        <v>1740000</v>
      </c>
      <c r="E199" s="21" t="s">
        <v>531</v>
      </c>
      <c r="F199" s="21" t="str">
        <f t="shared" si="6"/>
        <v>rtdc.l.rtdc.4042:itc</v>
      </c>
      <c r="G199" s="8">
        <f t="shared" si="7"/>
        <v>42661.74763888889</v>
      </c>
    </row>
    <row r="200" spans="1:7" x14ac:dyDescent="0.25">
      <c r="A200" s="8">
        <v>42661.751250000001</v>
      </c>
      <c r="B200" s="21" t="s">
        <v>345</v>
      </c>
      <c r="C200" s="21" t="s">
        <v>588</v>
      </c>
      <c r="D200" s="21">
        <v>1770000</v>
      </c>
      <c r="E200" s="21" t="s">
        <v>302</v>
      </c>
      <c r="F200" s="21" t="str">
        <f t="shared" si="6"/>
        <v>rtdc.l.rtdc.4053:itc</v>
      </c>
      <c r="G200" s="8">
        <f t="shared" si="7"/>
        <v>42661.751250000001</v>
      </c>
    </row>
    <row r="201" spans="1:7" x14ac:dyDescent="0.25">
      <c r="A201" s="8">
        <v>42661.752349537041</v>
      </c>
      <c r="B201" s="21" t="s">
        <v>212</v>
      </c>
      <c r="C201" s="21" t="s">
        <v>589</v>
      </c>
      <c r="D201" s="21">
        <v>1180000</v>
      </c>
      <c r="E201" s="21" t="s">
        <v>190</v>
      </c>
      <c r="F201" s="21" t="str">
        <f t="shared" si="6"/>
        <v>rtdc.l.rtdc.4043:itc</v>
      </c>
      <c r="G201" s="8">
        <f t="shared" si="7"/>
        <v>42661.752349537041</v>
      </c>
    </row>
    <row r="202" spans="1:7" x14ac:dyDescent="0.25">
      <c r="A202" s="27">
        <v>42661.756273148145</v>
      </c>
      <c r="B202" s="21" t="s">
        <v>288</v>
      </c>
      <c r="C202" s="21" t="s">
        <v>590</v>
      </c>
      <c r="D202" s="21">
        <v>1480000</v>
      </c>
      <c r="E202" s="21" t="s">
        <v>192</v>
      </c>
      <c r="F202" s="21" t="str">
        <f t="shared" si="6"/>
        <v>rtdc.l.rtdc.4045:itc</v>
      </c>
      <c r="G202" s="8">
        <f t="shared" si="7"/>
        <v>42661.756273148145</v>
      </c>
    </row>
    <row r="203" spans="1:7" x14ac:dyDescent="0.25">
      <c r="A203" s="8">
        <v>42661.756608796299</v>
      </c>
      <c r="B203" s="21" t="s">
        <v>313</v>
      </c>
      <c r="C203" s="21" t="s">
        <v>591</v>
      </c>
      <c r="D203" s="21">
        <v>2220000</v>
      </c>
      <c r="E203" s="21" t="s">
        <v>525</v>
      </c>
      <c r="F203" s="21" t="str">
        <f t="shared" si="6"/>
        <v>rtdc.l.rtdc.4026:itc</v>
      </c>
      <c r="G203" s="8">
        <f t="shared" si="7"/>
        <v>42661.756608796299</v>
      </c>
    </row>
    <row r="204" spans="1:7" x14ac:dyDescent="0.25">
      <c r="A204" s="8">
        <v>42661.758148148147</v>
      </c>
      <c r="B204" s="21" t="s">
        <v>188</v>
      </c>
      <c r="C204" s="21" t="s">
        <v>592</v>
      </c>
      <c r="D204" s="21">
        <v>1230000</v>
      </c>
      <c r="E204" s="21" t="s">
        <v>216</v>
      </c>
      <c r="F204" s="21" t="str">
        <f t="shared" si="6"/>
        <v>rtdc.l.rtdc.4018:itc</v>
      </c>
      <c r="G204" s="8">
        <f t="shared" si="7"/>
        <v>42661.758148148147</v>
      </c>
    </row>
    <row r="205" spans="1:7" x14ac:dyDescent="0.25">
      <c r="A205" s="8">
        <v>42661.759583333333</v>
      </c>
      <c r="B205" s="21" t="s">
        <v>351</v>
      </c>
      <c r="C205" s="21" t="s">
        <v>434</v>
      </c>
      <c r="D205" s="21">
        <v>2150000</v>
      </c>
      <c r="E205" s="21" t="s">
        <v>316</v>
      </c>
      <c r="F205" s="21" t="str">
        <f t="shared" si="6"/>
        <v>rtdc.l.rtdc.4022:itc</v>
      </c>
      <c r="G205" s="8">
        <f t="shared" si="7"/>
        <v>42661.759583333333</v>
      </c>
    </row>
    <row r="206" spans="1:7" x14ac:dyDescent="0.25">
      <c r="A206" s="8">
        <v>42661.769247685188</v>
      </c>
      <c r="B206" s="21" t="s">
        <v>311</v>
      </c>
      <c r="C206" s="21" t="s">
        <v>593</v>
      </c>
      <c r="D206" s="21">
        <v>1800000</v>
      </c>
      <c r="E206" s="21" t="s">
        <v>210</v>
      </c>
      <c r="F206" s="21" t="str">
        <f t="shared" si="6"/>
        <v>rtdc.l.rtdc.4029:itc</v>
      </c>
      <c r="G206" s="8">
        <f t="shared" si="7"/>
        <v>42661.769247685188</v>
      </c>
    </row>
    <row r="207" spans="1:7" x14ac:dyDescent="0.25">
      <c r="A207" s="8">
        <v>42661.772557870368</v>
      </c>
      <c r="B207" s="21" t="s">
        <v>426</v>
      </c>
      <c r="C207" s="21" t="s">
        <v>594</v>
      </c>
      <c r="D207" s="21">
        <v>2350000</v>
      </c>
      <c r="E207" s="21" t="s">
        <v>317</v>
      </c>
      <c r="F207" s="21" t="str">
        <f t="shared" si="6"/>
        <v>rtdc.l.rtdc.4015:itc</v>
      </c>
      <c r="G207" s="8">
        <f t="shared" si="7"/>
        <v>42661.772557870368</v>
      </c>
    </row>
    <row r="208" spans="1:7" x14ac:dyDescent="0.25">
      <c r="A208" s="8">
        <v>42661.777094907404</v>
      </c>
      <c r="B208" s="21" t="s">
        <v>341</v>
      </c>
      <c r="C208" s="21" t="s">
        <v>595</v>
      </c>
      <c r="D208" s="21">
        <v>1770000</v>
      </c>
      <c r="E208" s="21" t="s">
        <v>302</v>
      </c>
      <c r="F208" s="21" t="str">
        <f t="shared" si="6"/>
        <v>rtdc.l.rtdc.4054:itc</v>
      </c>
      <c r="G208" s="8">
        <f t="shared" si="7"/>
        <v>42661.777094907404</v>
      </c>
    </row>
    <row r="209" spans="1:7" x14ac:dyDescent="0.25">
      <c r="A209" s="8">
        <v>42661.777395833335</v>
      </c>
      <c r="B209" s="21" t="s">
        <v>290</v>
      </c>
      <c r="C209" s="21" t="s">
        <v>596</v>
      </c>
      <c r="D209" s="21">
        <v>2090000</v>
      </c>
      <c r="E209" s="21" t="s">
        <v>522</v>
      </c>
      <c r="F209" s="21" t="str">
        <f t="shared" si="6"/>
        <v>rtdc.l.rtdc.4011:itc</v>
      </c>
      <c r="G209" s="8">
        <f t="shared" si="7"/>
        <v>42661.777395833335</v>
      </c>
    </row>
    <row r="210" spans="1:7" x14ac:dyDescent="0.25">
      <c r="A210" s="8">
        <v>42661.779456018521</v>
      </c>
      <c r="B210" s="21" t="s">
        <v>199</v>
      </c>
      <c r="C210" s="21" t="s">
        <v>597</v>
      </c>
      <c r="D210" s="21">
        <v>1480000</v>
      </c>
      <c r="E210" s="21" t="s">
        <v>192</v>
      </c>
      <c r="F210" s="21" t="str">
        <f t="shared" si="6"/>
        <v>rtdc.l.rtdc.4046:itc</v>
      </c>
      <c r="G210" s="8">
        <f t="shared" si="7"/>
        <v>42661.779456018521</v>
      </c>
    </row>
    <row r="211" spans="1:7" x14ac:dyDescent="0.25">
      <c r="A211" s="8">
        <v>42661.783020833333</v>
      </c>
      <c r="B211" s="21" t="s">
        <v>274</v>
      </c>
      <c r="C211" s="21" t="s">
        <v>437</v>
      </c>
      <c r="D211" s="21">
        <v>1740000</v>
      </c>
      <c r="E211" s="21" t="s">
        <v>531</v>
      </c>
      <c r="F211" s="21" t="str">
        <f t="shared" si="6"/>
        <v>rtdc.l.rtdc.4041:itc</v>
      </c>
      <c r="G211" s="8">
        <f t="shared" si="7"/>
        <v>42661.783020833333</v>
      </c>
    </row>
    <row r="212" spans="1:7" x14ac:dyDescent="0.25">
      <c r="A212" s="8">
        <v>42661.789050925923</v>
      </c>
      <c r="B212" s="21" t="s">
        <v>197</v>
      </c>
      <c r="C212" s="21" t="s">
        <v>598</v>
      </c>
      <c r="D212" s="21">
        <v>1180000</v>
      </c>
      <c r="E212" s="21" t="s">
        <v>190</v>
      </c>
      <c r="F212" s="21" t="str">
        <f t="shared" si="6"/>
        <v>rtdc.l.rtdc.4044:itc</v>
      </c>
      <c r="G212" s="8">
        <f t="shared" si="7"/>
        <v>42661.789050925923</v>
      </c>
    </row>
    <row r="213" spans="1:7" x14ac:dyDescent="0.25">
      <c r="A213" s="8">
        <v>42661.793055555558</v>
      </c>
      <c r="B213" s="21" t="s">
        <v>345</v>
      </c>
      <c r="C213" s="21" t="s">
        <v>599</v>
      </c>
      <c r="D213" s="21">
        <v>1770000</v>
      </c>
      <c r="E213" s="21" t="s">
        <v>302</v>
      </c>
      <c r="F213" s="21" t="str">
        <f t="shared" si="6"/>
        <v>rtdc.l.rtdc.4053:itc</v>
      </c>
      <c r="G213" s="8">
        <f t="shared" si="7"/>
        <v>42661.793055555558</v>
      </c>
    </row>
    <row r="214" spans="1:7" x14ac:dyDescent="0.25">
      <c r="A214" s="8">
        <v>42661.796412037038</v>
      </c>
      <c r="B214" s="21" t="s">
        <v>261</v>
      </c>
      <c r="C214" s="21" t="s">
        <v>600</v>
      </c>
      <c r="D214" s="21">
        <v>1230000</v>
      </c>
      <c r="E214" s="21" t="s">
        <v>216</v>
      </c>
      <c r="F214" s="21" t="str">
        <f t="shared" si="6"/>
        <v>rtdc.l.rtdc.4017:itc</v>
      </c>
      <c r="G214" s="8">
        <f t="shared" si="7"/>
        <v>42661.796412037038</v>
      </c>
    </row>
    <row r="215" spans="1:7" x14ac:dyDescent="0.25">
      <c r="A215" s="8">
        <v>42661.798043981478</v>
      </c>
      <c r="B215" s="21" t="s">
        <v>314</v>
      </c>
      <c r="C215" s="21" t="s">
        <v>601</v>
      </c>
      <c r="D215" s="21">
        <v>2220000</v>
      </c>
      <c r="E215" s="21" t="s">
        <v>525</v>
      </c>
      <c r="F215" s="21" t="str">
        <f t="shared" si="6"/>
        <v>rtdc.l.rtdc.4025:itc</v>
      </c>
      <c r="G215" s="8">
        <f t="shared" si="7"/>
        <v>42661.798043981478</v>
      </c>
    </row>
    <row r="216" spans="1:7" x14ac:dyDescent="0.25">
      <c r="A216" s="8">
        <v>42661.798333333332</v>
      </c>
      <c r="B216" s="21" t="s">
        <v>288</v>
      </c>
      <c r="C216" s="21" t="s">
        <v>602</v>
      </c>
      <c r="D216" s="21">
        <v>1480000</v>
      </c>
      <c r="E216" s="21" t="s">
        <v>192</v>
      </c>
      <c r="F216" s="21" t="str">
        <f t="shared" si="6"/>
        <v>rtdc.l.rtdc.4045:itc</v>
      </c>
      <c r="G216" s="8">
        <f t="shared" si="7"/>
        <v>42661.798333333332</v>
      </c>
    </row>
    <row r="217" spans="1:7" x14ac:dyDescent="0.25">
      <c r="A217" s="8">
        <v>42661.809467592589</v>
      </c>
      <c r="B217" s="21" t="s">
        <v>315</v>
      </c>
      <c r="C217" s="21" t="s">
        <v>603</v>
      </c>
      <c r="D217" s="21">
        <v>1800000</v>
      </c>
      <c r="E217" s="21" t="s">
        <v>210</v>
      </c>
      <c r="F217" s="21" t="str">
        <f t="shared" si="6"/>
        <v>rtdc.l.rtdc.4030:itc</v>
      </c>
      <c r="G217" s="8">
        <f t="shared" si="7"/>
        <v>42661.809467592589</v>
      </c>
    </row>
    <row r="218" spans="1:7" x14ac:dyDescent="0.25">
      <c r="A218" s="8">
        <v>42661.809618055559</v>
      </c>
      <c r="B218" s="21" t="s">
        <v>413</v>
      </c>
      <c r="C218" s="21" t="s">
        <v>604</v>
      </c>
      <c r="D218" s="21">
        <v>2350000</v>
      </c>
      <c r="E218" s="21" t="s">
        <v>317</v>
      </c>
      <c r="F218" s="21" t="str">
        <f t="shared" si="6"/>
        <v>rtdc.l.rtdc.4016:itc</v>
      </c>
      <c r="G218" s="8">
        <f t="shared" si="7"/>
        <v>42661.809618055559</v>
      </c>
    </row>
    <row r="219" spans="1:7" x14ac:dyDescent="0.25">
      <c r="A219" s="8">
        <v>42661.818298611113</v>
      </c>
      <c r="B219" s="21" t="s">
        <v>272</v>
      </c>
      <c r="C219" s="21" t="s">
        <v>605</v>
      </c>
      <c r="D219" s="21">
        <v>1740000</v>
      </c>
      <c r="E219" s="21" t="s">
        <v>531</v>
      </c>
      <c r="F219" s="21" t="str">
        <f t="shared" si="6"/>
        <v>rtdc.l.rtdc.4042:itc</v>
      </c>
      <c r="G219" s="8">
        <f t="shared" si="7"/>
        <v>42661.818298611113</v>
      </c>
    </row>
    <row r="220" spans="1:7" x14ac:dyDescent="0.25">
      <c r="A220" s="8">
        <v>42661.819155092591</v>
      </c>
      <c r="B220" s="21" t="s">
        <v>341</v>
      </c>
      <c r="C220" s="21" t="s">
        <v>606</v>
      </c>
      <c r="D220" s="21">
        <v>1770000</v>
      </c>
      <c r="E220" s="21" t="s">
        <v>302</v>
      </c>
      <c r="F220" s="21" t="str">
        <f t="shared" si="6"/>
        <v>rtdc.l.rtdc.4054:itc</v>
      </c>
      <c r="G220" s="8">
        <f t="shared" si="7"/>
        <v>42661.819155092591</v>
      </c>
    </row>
    <row r="221" spans="1:7" x14ac:dyDescent="0.25">
      <c r="A221" s="8">
        <v>42661.82471064815</v>
      </c>
      <c r="B221" s="21" t="s">
        <v>212</v>
      </c>
      <c r="C221" s="21" t="s">
        <v>607</v>
      </c>
      <c r="D221" s="21">
        <v>1180000</v>
      </c>
      <c r="E221" s="21" t="s">
        <v>190</v>
      </c>
      <c r="F221" s="21" t="str">
        <f t="shared" si="6"/>
        <v>rtdc.l.rtdc.4043:itc</v>
      </c>
      <c r="G221" s="8">
        <f t="shared" si="7"/>
        <v>42661.82471064815</v>
      </c>
    </row>
    <row r="222" spans="1:7" x14ac:dyDescent="0.25">
      <c r="A222" s="8">
        <v>42661.831006944441</v>
      </c>
      <c r="B222" s="21" t="s">
        <v>188</v>
      </c>
      <c r="C222" s="21" t="s">
        <v>608</v>
      </c>
      <c r="D222" s="21">
        <v>1230000</v>
      </c>
      <c r="E222" s="21" t="s">
        <v>216</v>
      </c>
      <c r="F222" s="21" t="str">
        <f t="shared" si="6"/>
        <v>rtdc.l.rtdc.4018:itc</v>
      </c>
      <c r="G222" s="8">
        <f t="shared" si="7"/>
        <v>42661.831006944441</v>
      </c>
    </row>
    <row r="223" spans="1:7" x14ac:dyDescent="0.25">
      <c r="A223" s="8">
        <v>42661.837789351855</v>
      </c>
      <c r="B223" s="21" t="s">
        <v>345</v>
      </c>
      <c r="C223" s="21" t="s">
        <v>438</v>
      </c>
      <c r="D223" s="21">
        <v>1770000</v>
      </c>
      <c r="E223" s="21" t="s">
        <v>302</v>
      </c>
      <c r="F223" s="21" t="str">
        <f t="shared" si="6"/>
        <v>rtdc.l.rtdc.4053:itc</v>
      </c>
      <c r="G223" s="8">
        <f t="shared" si="7"/>
        <v>42661.837789351855</v>
      </c>
    </row>
    <row r="224" spans="1:7" x14ac:dyDescent="0.25">
      <c r="A224" s="8">
        <v>42661.848657407405</v>
      </c>
      <c r="B224" t="s">
        <v>426</v>
      </c>
      <c r="C224" t="s">
        <v>609</v>
      </c>
      <c r="D224">
        <v>2350000</v>
      </c>
      <c r="E224" t="s">
        <v>317</v>
      </c>
      <c r="F224" s="21" t="str">
        <f t="shared" si="6"/>
        <v>rtdc.l.rtdc.4015:itc</v>
      </c>
      <c r="G224" s="8">
        <f t="shared" si="7"/>
        <v>42661.848657407405</v>
      </c>
    </row>
    <row r="225" spans="1:7" x14ac:dyDescent="0.25">
      <c r="A225" s="8">
        <v>42661.851435185185</v>
      </c>
      <c r="B225" t="s">
        <v>311</v>
      </c>
      <c r="C225" t="s">
        <v>610</v>
      </c>
      <c r="D225">
        <v>1800000</v>
      </c>
      <c r="E225" t="s">
        <v>210</v>
      </c>
      <c r="F225" s="21" t="str">
        <f t="shared" si="6"/>
        <v>rtdc.l.rtdc.4029:itc</v>
      </c>
      <c r="G225" s="8">
        <f t="shared" si="7"/>
        <v>42661.851435185185</v>
      </c>
    </row>
    <row r="226" spans="1:7" x14ac:dyDescent="0.25">
      <c r="A226" s="8">
        <v>42661.860289351855</v>
      </c>
      <c r="B226" t="s">
        <v>341</v>
      </c>
      <c r="C226" t="s">
        <v>611</v>
      </c>
      <c r="D226">
        <v>1770000</v>
      </c>
      <c r="E226" t="s">
        <v>302</v>
      </c>
      <c r="F226" s="21" t="str">
        <f t="shared" si="6"/>
        <v>rtdc.l.rtdc.4054:itc</v>
      </c>
      <c r="G226" s="8">
        <f t="shared" si="7"/>
        <v>42661.860289351855</v>
      </c>
    </row>
    <row r="227" spans="1:7" x14ac:dyDescent="0.25">
      <c r="A227" s="8">
        <v>42661.870185185187</v>
      </c>
      <c r="B227" t="s">
        <v>261</v>
      </c>
      <c r="C227" t="s">
        <v>612</v>
      </c>
      <c r="D227">
        <v>1230000</v>
      </c>
      <c r="E227" t="s">
        <v>216</v>
      </c>
      <c r="F227" s="21" t="str">
        <f t="shared" si="6"/>
        <v>rtdc.l.rtdc.4017:itc</v>
      </c>
      <c r="G227" s="8">
        <f t="shared" si="7"/>
        <v>42661.870185185187</v>
      </c>
    </row>
    <row r="228" spans="1:7" x14ac:dyDescent="0.25">
      <c r="A228" s="8">
        <v>42661.870439814818</v>
      </c>
      <c r="B228" t="s">
        <v>197</v>
      </c>
      <c r="C228" t="s">
        <v>613</v>
      </c>
      <c r="D228">
        <v>1180000</v>
      </c>
      <c r="E228" t="s">
        <v>190</v>
      </c>
      <c r="F228" s="21" t="str">
        <f t="shared" si="6"/>
        <v>rtdc.l.rtdc.4044:itc</v>
      </c>
      <c r="G228" s="8">
        <f t="shared" si="7"/>
        <v>42661.870439814818</v>
      </c>
    </row>
    <row r="229" spans="1:7" x14ac:dyDescent="0.25">
      <c r="A229" s="8">
        <v>42661.876342592594</v>
      </c>
      <c r="B229" t="s">
        <v>345</v>
      </c>
      <c r="C229" t="s">
        <v>614</v>
      </c>
      <c r="D229">
        <v>1840000</v>
      </c>
      <c r="E229" t="s">
        <v>615</v>
      </c>
      <c r="F229" s="21" t="str">
        <f t="shared" si="6"/>
        <v>rtdc.l.rtdc.4053:itc</v>
      </c>
      <c r="G229" s="8">
        <f t="shared" si="7"/>
        <v>42661.876342592594</v>
      </c>
    </row>
    <row r="230" spans="1:7" x14ac:dyDescent="0.25">
      <c r="A230" s="8">
        <v>42661.882939814815</v>
      </c>
      <c r="B230" t="s">
        <v>311</v>
      </c>
      <c r="C230" t="s">
        <v>616</v>
      </c>
      <c r="D230">
        <v>1800000</v>
      </c>
      <c r="E230" t="s">
        <v>210</v>
      </c>
      <c r="F230" s="21" t="str">
        <f t="shared" si="6"/>
        <v>rtdc.l.rtdc.4029:itc</v>
      </c>
      <c r="G230" s="8">
        <f t="shared" si="7"/>
        <v>42661.882939814815</v>
      </c>
    </row>
    <row r="231" spans="1:7" x14ac:dyDescent="0.25">
      <c r="A231" s="8">
        <v>42661.883611111109</v>
      </c>
      <c r="B231" t="s">
        <v>311</v>
      </c>
      <c r="C231" t="s">
        <v>616</v>
      </c>
      <c r="D231">
        <v>1800000</v>
      </c>
      <c r="E231" t="s">
        <v>210</v>
      </c>
      <c r="F231" s="21" t="str">
        <f t="shared" si="6"/>
        <v>rtdc.l.rtdc.4029:itc</v>
      </c>
      <c r="G231" s="8">
        <f t="shared" si="7"/>
        <v>42661.883611111109</v>
      </c>
    </row>
    <row r="232" spans="1:7" x14ac:dyDescent="0.25">
      <c r="A232" s="8">
        <v>42661.88753472222</v>
      </c>
      <c r="B232" t="s">
        <v>413</v>
      </c>
      <c r="C232" t="s">
        <v>617</v>
      </c>
      <c r="D232">
        <v>2370000</v>
      </c>
      <c r="E232" t="s">
        <v>349</v>
      </c>
      <c r="F232" s="21" t="str">
        <f t="shared" si="6"/>
        <v>rtdc.l.rtdc.4016:itc</v>
      </c>
      <c r="G232" s="8">
        <f t="shared" si="7"/>
        <v>42661.88753472222</v>
      </c>
    </row>
    <row r="233" spans="1:7" x14ac:dyDescent="0.25">
      <c r="A233" s="8">
        <v>42661.88758101852</v>
      </c>
      <c r="B233" t="s">
        <v>315</v>
      </c>
      <c r="C233" t="s">
        <v>616</v>
      </c>
      <c r="D233">
        <v>1800000</v>
      </c>
      <c r="E233" t="s">
        <v>210</v>
      </c>
      <c r="F233" s="21" t="str">
        <f t="shared" si="6"/>
        <v>rtdc.l.rtdc.4030:itc</v>
      </c>
      <c r="G233" s="8">
        <f t="shared" si="7"/>
        <v>42661.88758101852</v>
      </c>
    </row>
    <row r="234" spans="1:7" x14ac:dyDescent="0.25">
      <c r="A234" s="8">
        <v>42661.902175925927</v>
      </c>
      <c r="B234" t="s">
        <v>341</v>
      </c>
      <c r="C234" t="s">
        <v>618</v>
      </c>
      <c r="D234">
        <v>1480000</v>
      </c>
      <c r="E234" t="s">
        <v>192</v>
      </c>
      <c r="F234" s="21" t="str">
        <f t="shared" si="6"/>
        <v>rtdc.l.rtdc.4054:itc</v>
      </c>
      <c r="G234" s="8">
        <f t="shared" si="7"/>
        <v>42661.902175925927</v>
      </c>
    </row>
    <row r="235" spans="1:7" x14ac:dyDescent="0.25">
      <c r="A235" s="8">
        <v>42661.910914351851</v>
      </c>
      <c r="B235" t="s">
        <v>212</v>
      </c>
      <c r="C235" t="s">
        <v>619</v>
      </c>
      <c r="D235">
        <v>1180000</v>
      </c>
      <c r="E235" t="s">
        <v>190</v>
      </c>
      <c r="F235" s="21" t="str">
        <f t="shared" si="6"/>
        <v>rtdc.l.rtdc.4043:itc</v>
      </c>
      <c r="G235" s="8">
        <f t="shared" si="7"/>
        <v>42661.910914351851</v>
      </c>
    </row>
    <row r="236" spans="1:7" x14ac:dyDescent="0.25">
      <c r="A236" s="8">
        <v>42661.915162037039</v>
      </c>
      <c r="B236" t="s">
        <v>188</v>
      </c>
      <c r="C236" t="s">
        <v>620</v>
      </c>
      <c r="D236">
        <v>1230000</v>
      </c>
      <c r="E236" t="s">
        <v>216</v>
      </c>
      <c r="F236" s="21" t="str">
        <f t="shared" ref="F236:F265" si="8">B236</f>
        <v>rtdc.l.rtdc.4018:itc</v>
      </c>
      <c r="G236" s="8">
        <f t="shared" ref="G236:G265" si="9">A236</f>
        <v>42661.915162037039</v>
      </c>
    </row>
    <row r="237" spans="1:7" x14ac:dyDescent="0.25">
      <c r="A237" s="8">
        <v>42661.925324074073</v>
      </c>
      <c r="B237" t="s">
        <v>345</v>
      </c>
      <c r="C237" t="s">
        <v>621</v>
      </c>
      <c r="D237">
        <v>1480000</v>
      </c>
      <c r="E237" t="s">
        <v>192</v>
      </c>
      <c r="F237" s="21" t="str">
        <f t="shared" si="8"/>
        <v>rtdc.l.rtdc.4053:itc</v>
      </c>
      <c r="G237" s="8">
        <f t="shared" si="9"/>
        <v>42661.925324074073</v>
      </c>
    </row>
    <row r="238" spans="1:7" x14ac:dyDescent="0.25">
      <c r="A238" s="8">
        <v>42661.934999999998</v>
      </c>
      <c r="B238" t="s">
        <v>426</v>
      </c>
      <c r="C238" t="s">
        <v>622</v>
      </c>
      <c r="D238">
        <v>2370000</v>
      </c>
      <c r="E238" t="s">
        <v>349</v>
      </c>
      <c r="F238" s="21" t="str">
        <f t="shared" si="8"/>
        <v>rtdc.l.rtdc.4015:itc</v>
      </c>
      <c r="G238" s="8">
        <f t="shared" si="9"/>
        <v>42661.934999999998</v>
      </c>
    </row>
    <row r="239" spans="1:7" x14ac:dyDescent="0.25">
      <c r="A239" s="8">
        <v>42661.944467592592</v>
      </c>
      <c r="B239" t="s">
        <v>341</v>
      </c>
      <c r="C239" t="s">
        <v>623</v>
      </c>
      <c r="D239">
        <v>1480000</v>
      </c>
      <c r="E239" t="s">
        <v>192</v>
      </c>
      <c r="F239" s="21" t="str">
        <f t="shared" si="8"/>
        <v>rtdc.l.rtdc.4054:itc</v>
      </c>
      <c r="G239" s="8">
        <f t="shared" si="9"/>
        <v>42661.944467592592</v>
      </c>
    </row>
    <row r="240" spans="1:7" x14ac:dyDescent="0.25">
      <c r="A240" s="8">
        <v>42661.949745370373</v>
      </c>
      <c r="B240" t="s">
        <v>311</v>
      </c>
      <c r="C240" t="s">
        <v>624</v>
      </c>
      <c r="D240">
        <v>1800000</v>
      </c>
      <c r="E240" t="s">
        <v>210</v>
      </c>
      <c r="F240" s="21" t="str">
        <f t="shared" si="8"/>
        <v>rtdc.l.rtdc.4029:itc</v>
      </c>
      <c r="G240" s="8">
        <f t="shared" si="9"/>
        <v>42661.949745370373</v>
      </c>
    </row>
    <row r="241" spans="1:7" x14ac:dyDescent="0.25">
      <c r="A241" s="8">
        <v>42661.957303240742</v>
      </c>
      <c r="B241" t="s">
        <v>311</v>
      </c>
      <c r="C241" t="s">
        <v>625</v>
      </c>
      <c r="D241">
        <v>1800000</v>
      </c>
      <c r="E241" t="s">
        <v>210</v>
      </c>
      <c r="F241" s="21" t="str">
        <f t="shared" si="8"/>
        <v>rtdc.l.rtdc.4029:itc</v>
      </c>
      <c r="G241" s="8">
        <f t="shared" si="9"/>
        <v>42661.957303240742</v>
      </c>
    </row>
    <row r="242" spans="1:7" x14ac:dyDescent="0.25">
      <c r="A242" s="8">
        <v>42661.964328703703</v>
      </c>
      <c r="B242" t="s">
        <v>261</v>
      </c>
      <c r="C242" t="s">
        <v>626</v>
      </c>
      <c r="D242">
        <v>1230000</v>
      </c>
      <c r="E242" t="s">
        <v>216</v>
      </c>
      <c r="F242" s="21" t="str">
        <f t="shared" si="8"/>
        <v>rtdc.l.rtdc.4017:itc</v>
      </c>
      <c r="G242" s="8">
        <f t="shared" si="9"/>
        <v>42661.964328703703</v>
      </c>
    </row>
    <row r="243" spans="1:7" x14ac:dyDescent="0.25">
      <c r="A243" s="8">
        <v>42661.968414351853</v>
      </c>
      <c r="B243" t="s">
        <v>267</v>
      </c>
      <c r="C243" t="s">
        <v>627</v>
      </c>
      <c r="D243">
        <v>110000</v>
      </c>
      <c r="E243" t="s">
        <v>582</v>
      </c>
      <c r="F243" s="21" t="str">
        <f t="shared" si="8"/>
        <v>rtdc.l.rtdc.4028:itc</v>
      </c>
      <c r="G243" s="8">
        <f t="shared" si="9"/>
        <v>42661.968414351853</v>
      </c>
    </row>
    <row r="244" spans="1:7" x14ac:dyDescent="0.25">
      <c r="A244" s="8">
        <v>42661.969282407408</v>
      </c>
      <c r="B244" t="s">
        <v>215</v>
      </c>
      <c r="C244" t="s">
        <v>439</v>
      </c>
      <c r="D244">
        <v>150000</v>
      </c>
      <c r="E244" t="s">
        <v>350</v>
      </c>
      <c r="F244" s="21" t="str">
        <f t="shared" si="8"/>
        <v>rtdc.l.rtdc.4039:itc</v>
      </c>
      <c r="G244" s="8">
        <f t="shared" si="9"/>
        <v>42661.969282407408</v>
      </c>
    </row>
    <row r="245" spans="1:7" x14ac:dyDescent="0.25">
      <c r="A245" s="8">
        <v>42661.974189814813</v>
      </c>
      <c r="B245" t="s">
        <v>197</v>
      </c>
      <c r="C245" t="s">
        <v>628</v>
      </c>
      <c r="D245">
        <v>1180000</v>
      </c>
      <c r="E245" t="s">
        <v>190</v>
      </c>
      <c r="F245" s="21" t="str">
        <f t="shared" si="8"/>
        <v>rtdc.l.rtdc.4044:itc</v>
      </c>
      <c r="G245" s="8">
        <f t="shared" si="9"/>
        <v>42661.974189814813</v>
      </c>
    </row>
    <row r="246" spans="1:7" x14ac:dyDescent="0.25">
      <c r="A246" s="8">
        <v>42661.9921875</v>
      </c>
      <c r="B246" t="s">
        <v>315</v>
      </c>
      <c r="C246" t="s">
        <v>629</v>
      </c>
      <c r="D246">
        <v>1800000</v>
      </c>
      <c r="E246" t="s">
        <v>210</v>
      </c>
      <c r="F246" s="21" t="str">
        <f t="shared" si="8"/>
        <v>rtdc.l.rtdc.4030:itc</v>
      </c>
      <c r="G246" s="8">
        <f t="shared" si="9"/>
        <v>42661.9921875</v>
      </c>
    </row>
    <row r="247" spans="1:7" x14ac:dyDescent="0.25">
      <c r="A247" s="8">
        <v>42661.996944444443</v>
      </c>
      <c r="B247" t="s">
        <v>413</v>
      </c>
      <c r="C247" t="s">
        <v>630</v>
      </c>
      <c r="D247">
        <v>2350000</v>
      </c>
      <c r="E247" t="s">
        <v>317</v>
      </c>
      <c r="F247" s="21" t="str">
        <f t="shared" si="8"/>
        <v>rtdc.l.rtdc.4016:itc</v>
      </c>
      <c r="G247" s="8">
        <f t="shared" si="9"/>
        <v>42661.996944444443</v>
      </c>
    </row>
    <row r="248" spans="1:7" x14ac:dyDescent="0.25">
      <c r="A248" s="8">
        <v>42662.018078703702</v>
      </c>
      <c r="B248" t="s">
        <v>212</v>
      </c>
      <c r="C248" t="s">
        <v>631</v>
      </c>
      <c r="D248">
        <v>1180000</v>
      </c>
      <c r="E248" t="s">
        <v>190</v>
      </c>
      <c r="F248" s="21" t="str">
        <f t="shared" si="8"/>
        <v>rtdc.l.rtdc.4043:itc</v>
      </c>
      <c r="G248" s="8">
        <f t="shared" si="9"/>
        <v>42662.018078703702</v>
      </c>
    </row>
    <row r="249" spans="1:7" x14ac:dyDescent="0.25">
      <c r="A249" s="8">
        <v>42662.019444444442</v>
      </c>
      <c r="B249" t="s">
        <v>188</v>
      </c>
      <c r="C249" t="s">
        <v>632</v>
      </c>
      <c r="D249">
        <v>1230000</v>
      </c>
      <c r="E249" t="s">
        <v>216</v>
      </c>
      <c r="F249" s="21" t="str">
        <f t="shared" si="8"/>
        <v>rtdc.l.rtdc.4018:itc</v>
      </c>
      <c r="G249" s="8">
        <f t="shared" si="9"/>
        <v>42662.019444444442</v>
      </c>
    </row>
    <row r="250" spans="1:7" x14ac:dyDescent="0.25">
      <c r="A250" s="8">
        <v>42662.020219907405</v>
      </c>
      <c r="B250" t="s">
        <v>188</v>
      </c>
      <c r="C250" t="s">
        <v>632</v>
      </c>
      <c r="D250">
        <v>1230000</v>
      </c>
      <c r="E250" t="s">
        <v>216</v>
      </c>
      <c r="F250" s="21" t="str">
        <f t="shared" si="8"/>
        <v>rtdc.l.rtdc.4018:itc</v>
      </c>
      <c r="G250" s="8">
        <f t="shared" si="9"/>
        <v>42662.020219907405</v>
      </c>
    </row>
    <row r="251" spans="1:7" x14ac:dyDescent="0.25">
      <c r="A251" s="8">
        <v>42662.055069444446</v>
      </c>
      <c r="B251" t="s">
        <v>311</v>
      </c>
      <c r="C251" t="s">
        <v>633</v>
      </c>
      <c r="D251">
        <v>1800000</v>
      </c>
      <c r="E251" t="s">
        <v>210</v>
      </c>
      <c r="F251" s="21" t="str">
        <f t="shared" si="8"/>
        <v>rtdc.l.rtdc.4029:itc</v>
      </c>
      <c r="G251" s="8">
        <f t="shared" si="9"/>
        <v>42662.055069444446</v>
      </c>
    </row>
    <row r="252" spans="1:7" x14ac:dyDescent="0.25">
      <c r="A252" s="8">
        <v>42662.055243055554</v>
      </c>
      <c r="B252" t="s">
        <v>426</v>
      </c>
      <c r="C252" t="s">
        <v>634</v>
      </c>
      <c r="D252">
        <v>2350000</v>
      </c>
      <c r="E252" t="s">
        <v>317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197</v>
      </c>
      <c r="C253" t="s">
        <v>635</v>
      </c>
      <c r="D253">
        <v>1180000</v>
      </c>
      <c r="E253" t="s">
        <v>190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413</v>
      </c>
      <c r="C254" t="s">
        <v>636</v>
      </c>
      <c r="D254">
        <v>2350000</v>
      </c>
      <c r="E254" t="s">
        <v>317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157</v>
      </c>
      <c r="C255" t="s">
        <v>208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208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207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209</v>
      </c>
      <c r="C258" t="s">
        <v>205</v>
      </c>
      <c r="D258">
        <v>1480000</v>
      </c>
      <c r="E258" t="s">
        <v>192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198</v>
      </c>
      <c r="C259" t="s">
        <v>206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198</v>
      </c>
      <c r="C261" t="s">
        <v>201</v>
      </c>
      <c r="D261">
        <v>1180000</v>
      </c>
      <c r="E261" t="s">
        <v>190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200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194</v>
      </c>
      <c r="C263" t="s">
        <v>202</v>
      </c>
      <c r="D263">
        <v>1480000</v>
      </c>
      <c r="E263" t="s">
        <v>192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197</v>
      </c>
      <c r="C264" t="s">
        <v>203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200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200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200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200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200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195</v>
      </c>
      <c r="C270" t="s">
        <v>204</v>
      </c>
      <c r="D270">
        <v>1480000</v>
      </c>
      <c r="E270" t="s">
        <v>192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200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200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200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9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82" t="s">
        <v>168</v>
      </c>
      <c r="B1" s="182" t="s">
        <v>171</v>
      </c>
      <c r="C1" s="182" t="s">
        <v>164</v>
      </c>
      <c r="D1" s="166" t="s">
        <v>178</v>
      </c>
      <c r="E1" s="182" t="s">
        <v>165</v>
      </c>
      <c r="F1" s="182" t="s">
        <v>163</v>
      </c>
      <c r="G1" s="182" t="s">
        <v>161</v>
      </c>
      <c r="H1" s="182" t="s">
        <v>174</v>
      </c>
      <c r="I1" s="182" t="s">
        <v>175</v>
      </c>
      <c r="J1" s="182" t="s">
        <v>637</v>
      </c>
      <c r="K1" s="182" t="s">
        <v>169</v>
      </c>
      <c r="L1" s="182" t="s">
        <v>167</v>
      </c>
      <c r="M1" s="182" t="s">
        <v>162</v>
      </c>
      <c r="N1" s="182" t="s">
        <v>172</v>
      </c>
      <c r="O1" s="182" t="s">
        <v>166</v>
      </c>
      <c r="P1" s="182" t="s">
        <v>173</v>
      </c>
      <c r="Q1" s="182" t="s">
        <v>170</v>
      </c>
    </row>
    <row r="2" spans="1:17" x14ac:dyDescent="0.25">
      <c r="A2" s="168">
        <v>46.37</v>
      </c>
      <c r="B2" s="168">
        <v>0.38</v>
      </c>
      <c r="C2" s="168">
        <v>29.33</v>
      </c>
      <c r="D2" s="8">
        <v>42661</v>
      </c>
      <c r="E2" s="168">
        <v>0.51</v>
      </c>
      <c r="F2" s="168" t="s">
        <v>214</v>
      </c>
      <c r="G2" s="168">
        <v>275.52999999999997</v>
      </c>
      <c r="H2" s="168">
        <v>0</v>
      </c>
      <c r="I2" s="168">
        <v>0</v>
      </c>
      <c r="J2" s="168"/>
      <c r="K2" s="168">
        <v>1011.95</v>
      </c>
      <c r="L2" s="168" t="s">
        <v>213</v>
      </c>
      <c r="M2" s="168">
        <v>46.37</v>
      </c>
      <c r="N2" s="168">
        <v>1476770400</v>
      </c>
      <c r="O2" s="168">
        <v>7.92</v>
      </c>
      <c r="P2" s="168">
        <v>155</v>
      </c>
      <c r="Q2" s="168">
        <v>2.34</v>
      </c>
    </row>
    <row r="3" spans="1:17" x14ac:dyDescent="0.25">
      <c r="A3" s="168">
        <v>45.15</v>
      </c>
      <c r="B3" s="168">
        <v>0.33</v>
      </c>
      <c r="C3" s="168">
        <v>29.31</v>
      </c>
      <c r="D3" s="8">
        <v>42661.041666666664</v>
      </c>
      <c r="E3" s="168">
        <v>0.54</v>
      </c>
      <c r="F3" s="168" t="s">
        <v>214</v>
      </c>
      <c r="G3" s="168">
        <v>275.88</v>
      </c>
      <c r="H3" s="168">
        <v>0</v>
      </c>
      <c r="I3" s="168">
        <v>0</v>
      </c>
      <c r="J3" s="168"/>
      <c r="K3" s="168">
        <v>1012.65</v>
      </c>
      <c r="L3" s="168" t="s">
        <v>213</v>
      </c>
      <c r="M3" s="168">
        <v>45.15</v>
      </c>
      <c r="N3" s="168">
        <v>1476774000</v>
      </c>
      <c r="O3" s="168">
        <v>8.06</v>
      </c>
      <c r="P3" s="168">
        <v>160</v>
      </c>
      <c r="Q3" s="168">
        <v>2.0499999999999998</v>
      </c>
    </row>
    <row r="4" spans="1:17" x14ac:dyDescent="0.25">
      <c r="A4" s="168">
        <v>43.98</v>
      </c>
      <c r="B4" s="168">
        <v>0.3</v>
      </c>
      <c r="C4" s="168">
        <v>29.19</v>
      </c>
      <c r="D4" s="8">
        <v>42661.083333333336</v>
      </c>
      <c r="E4" s="168">
        <v>0.56000000000000005</v>
      </c>
      <c r="F4" s="168" t="s">
        <v>214</v>
      </c>
      <c r="G4" s="168">
        <v>276.23</v>
      </c>
      <c r="H4" s="168">
        <v>0</v>
      </c>
      <c r="I4" s="168">
        <v>0</v>
      </c>
      <c r="J4" s="168"/>
      <c r="K4" s="168">
        <v>1013.42</v>
      </c>
      <c r="L4" s="168" t="s">
        <v>213</v>
      </c>
      <c r="M4" s="168">
        <v>43.98</v>
      </c>
      <c r="N4" s="168">
        <v>1476777600</v>
      </c>
      <c r="O4" s="168">
        <v>8.02</v>
      </c>
      <c r="P4" s="168">
        <v>152</v>
      </c>
      <c r="Q4" s="168">
        <v>2.1800000000000002</v>
      </c>
    </row>
    <row r="5" spans="1:17" x14ac:dyDescent="0.25">
      <c r="A5" s="168">
        <v>42.65</v>
      </c>
      <c r="B5" s="168">
        <v>0.25</v>
      </c>
      <c r="C5" s="168">
        <v>28.8</v>
      </c>
      <c r="D5" s="8">
        <v>42661.125</v>
      </c>
      <c r="E5" s="168">
        <v>0.57999999999999996</v>
      </c>
      <c r="F5" s="168" t="s">
        <v>214</v>
      </c>
      <c r="G5" s="168">
        <v>276.58</v>
      </c>
      <c r="H5" s="168">
        <v>0</v>
      </c>
      <c r="I5" s="168">
        <v>0</v>
      </c>
      <c r="J5" s="168"/>
      <c r="K5" s="168">
        <v>1014.3</v>
      </c>
      <c r="L5" s="168" t="s">
        <v>213</v>
      </c>
      <c r="M5" s="168">
        <v>42.65</v>
      </c>
      <c r="N5" s="168">
        <v>1476781200</v>
      </c>
      <c r="O5" s="168">
        <v>7.56</v>
      </c>
      <c r="P5" s="168">
        <v>149</v>
      </c>
      <c r="Q5" s="168">
        <v>1.91</v>
      </c>
    </row>
    <row r="6" spans="1:17" x14ac:dyDescent="0.25">
      <c r="A6" s="168">
        <v>41.57</v>
      </c>
      <c r="B6" s="168">
        <v>0.26</v>
      </c>
      <c r="C6" s="168">
        <v>29.42</v>
      </c>
      <c r="D6" s="8">
        <v>42661.166666666664</v>
      </c>
      <c r="E6" s="168">
        <v>0.62</v>
      </c>
      <c r="F6" s="168" t="s">
        <v>214</v>
      </c>
      <c r="G6" s="168">
        <v>276.45</v>
      </c>
      <c r="H6" s="168">
        <v>0</v>
      </c>
      <c r="I6" s="168">
        <v>0</v>
      </c>
      <c r="J6" s="168"/>
      <c r="K6" s="168">
        <v>1014.98</v>
      </c>
      <c r="L6" s="168" t="s">
        <v>213</v>
      </c>
      <c r="M6" s="168">
        <v>41.57</v>
      </c>
      <c r="N6" s="168">
        <v>1476784800</v>
      </c>
      <c r="O6" s="168">
        <v>7.32</v>
      </c>
      <c r="P6" s="168">
        <v>172</v>
      </c>
      <c r="Q6" s="168">
        <v>1.83</v>
      </c>
    </row>
    <row r="7" spans="1:17" x14ac:dyDescent="0.25">
      <c r="A7" s="168">
        <v>41.02</v>
      </c>
      <c r="B7" s="168">
        <v>0.14000000000000001</v>
      </c>
      <c r="C7" s="168">
        <v>28.74</v>
      </c>
      <c r="D7" s="8">
        <v>42661.208333333336</v>
      </c>
      <c r="E7" s="168">
        <v>0.61</v>
      </c>
      <c r="F7" s="168" t="s">
        <v>269</v>
      </c>
      <c r="G7" s="168">
        <v>276.14</v>
      </c>
      <c r="H7" s="168">
        <v>0</v>
      </c>
      <c r="I7" s="168">
        <v>0</v>
      </c>
      <c r="J7" s="168"/>
      <c r="K7" s="168">
        <v>1015.52</v>
      </c>
      <c r="L7" s="168" t="s">
        <v>270</v>
      </c>
      <c r="M7" s="168">
        <v>41.02</v>
      </c>
      <c r="N7" s="168">
        <v>1476788400</v>
      </c>
      <c r="O7" s="168">
        <v>7.86</v>
      </c>
      <c r="P7" s="168">
        <v>179</v>
      </c>
      <c r="Q7" s="168">
        <v>2</v>
      </c>
    </row>
    <row r="8" spans="1:17" x14ac:dyDescent="0.25">
      <c r="A8" s="168">
        <v>39.130000000000003</v>
      </c>
      <c r="B8" s="168">
        <v>0.12</v>
      </c>
      <c r="C8" s="168">
        <v>27.14</v>
      </c>
      <c r="D8" s="8">
        <v>42661.25</v>
      </c>
      <c r="E8" s="168">
        <v>0.62</v>
      </c>
      <c r="F8" s="168" t="s">
        <v>269</v>
      </c>
      <c r="G8" s="168">
        <v>275.93</v>
      </c>
      <c r="H8" s="168">
        <v>0</v>
      </c>
      <c r="I8" s="168">
        <v>0</v>
      </c>
      <c r="J8" s="168"/>
      <c r="K8" s="168">
        <v>1015.92</v>
      </c>
      <c r="L8" s="168" t="s">
        <v>270</v>
      </c>
      <c r="M8" s="168">
        <v>39.130000000000003</v>
      </c>
      <c r="N8" s="168">
        <v>1476792000</v>
      </c>
      <c r="O8" s="168">
        <v>7.17</v>
      </c>
      <c r="P8" s="168">
        <v>210</v>
      </c>
      <c r="Q8" s="168">
        <v>1.66</v>
      </c>
    </row>
    <row r="9" spans="1:17" x14ac:dyDescent="0.25">
      <c r="A9" s="168">
        <v>39.96</v>
      </c>
      <c r="B9" s="168">
        <v>0.12</v>
      </c>
      <c r="C9" s="168">
        <v>27.63</v>
      </c>
      <c r="D9" s="8">
        <v>42661.291666666664</v>
      </c>
      <c r="E9" s="168">
        <v>0.61</v>
      </c>
      <c r="F9" s="168" t="s">
        <v>269</v>
      </c>
      <c r="G9" s="168">
        <v>275.99</v>
      </c>
      <c r="H9" s="168">
        <v>0</v>
      </c>
      <c r="I9" s="168">
        <v>0</v>
      </c>
      <c r="J9" s="168"/>
      <c r="K9" s="168">
        <v>1016.09</v>
      </c>
      <c r="L9" s="168" t="s">
        <v>270</v>
      </c>
      <c r="M9" s="168">
        <v>39.96</v>
      </c>
      <c r="N9" s="168">
        <v>1476795600</v>
      </c>
      <c r="O9" s="168">
        <v>6.21</v>
      </c>
      <c r="P9" s="168">
        <v>171</v>
      </c>
      <c r="Q9" s="168">
        <v>2.27</v>
      </c>
    </row>
    <row r="10" spans="1:17" x14ac:dyDescent="0.25">
      <c r="A10" s="168">
        <v>41.84</v>
      </c>
      <c r="B10" s="168">
        <v>0.13</v>
      </c>
      <c r="C10" s="168">
        <v>27.87</v>
      </c>
      <c r="D10" s="8">
        <v>42661.333333333336</v>
      </c>
      <c r="E10" s="168">
        <v>0.56999999999999995</v>
      </c>
      <c r="F10" s="168" t="s">
        <v>304</v>
      </c>
      <c r="G10" s="168">
        <v>276.16000000000003</v>
      </c>
      <c r="H10" s="168">
        <v>0</v>
      </c>
      <c r="I10" s="168">
        <v>0</v>
      </c>
      <c r="J10" s="168"/>
      <c r="K10" s="168">
        <v>1016.07</v>
      </c>
      <c r="L10" s="168" t="s">
        <v>270</v>
      </c>
      <c r="M10" s="168">
        <v>41.84</v>
      </c>
      <c r="N10" s="168">
        <v>1476799200</v>
      </c>
      <c r="O10" s="168">
        <v>5.64</v>
      </c>
      <c r="P10" s="168">
        <v>155</v>
      </c>
      <c r="Q10" s="168">
        <v>1.76</v>
      </c>
    </row>
    <row r="11" spans="1:17" x14ac:dyDescent="0.25">
      <c r="A11" s="168">
        <v>46.58</v>
      </c>
      <c r="B11" s="168">
        <v>0.11</v>
      </c>
      <c r="C11" s="168">
        <v>28.8</v>
      </c>
      <c r="D11" s="8">
        <v>42661.375</v>
      </c>
      <c r="E11" s="168">
        <v>0.5</v>
      </c>
      <c r="F11" s="168" t="s">
        <v>304</v>
      </c>
      <c r="G11" s="168">
        <v>276.18</v>
      </c>
      <c r="H11" s="168">
        <v>0</v>
      </c>
      <c r="I11" s="168">
        <v>0</v>
      </c>
      <c r="J11" s="168"/>
      <c r="K11" s="168">
        <v>1015.74</v>
      </c>
      <c r="L11" s="168" t="s">
        <v>270</v>
      </c>
      <c r="M11" s="168">
        <v>46.58</v>
      </c>
      <c r="N11" s="168">
        <v>1476802800</v>
      </c>
      <c r="O11" s="168">
        <v>6.04</v>
      </c>
      <c r="P11" s="168">
        <v>147</v>
      </c>
      <c r="Q11" s="168">
        <v>2.12</v>
      </c>
    </row>
    <row r="12" spans="1:17" x14ac:dyDescent="0.25">
      <c r="A12" s="168">
        <v>50.83</v>
      </c>
      <c r="B12" s="168">
        <v>0.12</v>
      </c>
      <c r="C12" s="168">
        <v>29.11</v>
      </c>
      <c r="D12" s="8">
        <v>42661.416666666664</v>
      </c>
      <c r="E12" s="168">
        <v>0.43</v>
      </c>
      <c r="F12" s="168" t="s">
        <v>304</v>
      </c>
      <c r="G12" s="168">
        <v>275.79000000000002</v>
      </c>
      <c r="H12" s="168">
        <v>0</v>
      </c>
      <c r="I12" s="168">
        <v>0</v>
      </c>
      <c r="J12" s="168"/>
      <c r="K12" s="168">
        <v>1015.01</v>
      </c>
      <c r="L12" s="168" t="s">
        <v>270</v>
      </c>
      <c r="M12" s="168">
        <v>50.83</v>
      </c>
      <c r="N12" s="168">
        <v>1476806400</v>
      </c>
      <c r="O12" s="168">
        <v>6.67</v>
      </c>
      <c r="P12" s="168">
        <v>140</v>
      </c>
      <c r="Q12" s="168">
        <v>2.63</v>
      </c>
    </row>
    <row r="13" spans="1:17" x14ac:dyDescent="0.25">
      <c r="A13" s="168">
        <v>54.39</v>
      </c>
      <c r="B13" s="168">
        <v>0.1</v>
      </c>
      <c r="C13" s="168">
        <v>29.01</v>
      </c>
      <c r="D13" s="8">
        <v>42661.458333333336</v>
      </c>
      <c r="E13" s="168">
        <v>0.38</v>
      </c>
      <c r="F13" s="168" t="s">
        <v>304</v>
      </c>
      <c r="G13" s="168">
        <v>275.25</v>
      </c>
      <c r="H13" s="168">
        <v>0</v>
      </c>
      <c r="I13" s="168">
        <v>0</v>
      </c>
      <c r="J13" s="168"/>
      <c r="K13" s="168">
        <v>1014.05</v>
      </c>
      <c r="L13" s="168" t="s">
        <v>270</v>
      </c>
      <c r="M13" s="168">
        <v>54.39</v>
      </c>
      <c r="N13" s="168">
        <v>1476810000</v>
      </c>
      <c r="O13" s="168">
        <v>5.37</v>
      </c>
      <c r="P13" s="168">
        <v>145</v>
      </c>
      <c r="Q13" s="168">
        <v>1.17</v>
      </c>
    </row>
    <row r="14" spans="1:17" x14ac:dyDescent="0.25">
      <c r="A14" s="168">
        <v>56.61</v>
      </c>
      <c r="B14" s="168">
        <v>0.11</v>
      </c>
      <c r="C14" s="168">
        <v>29.32</v>
      </c>
      <c r="D14" s="8">
        <v>42661.5</v>
      </c>
      <c r="E14" s="168">
        <v>0.35</v>
      </c>
      <c r="F14" s="168" t="s">
        <v>304</v>
      </c>
      <c r="G14" s="168">
        <v>275.04000000000002</v>
      </c>
      <c r="H14" s="168">
        <v>0</v>
      </c>
      <c r="I14" s="168">
        <v>0</v>
      </c>
      <c r="J14" s="168"/>
      <c r="K14" s="168">
        <v>1012.95</v>
      </c>
      <c r="L14" s="168" t="s">
        <v>270</v>
      </c>
      <c r="M14" s="168">
        <v>56.61</v>
      </c>
      <c r="N14" s="168">
        <v>1476813600</v>
      </c>
      <c r="O14" s="168">
        <v>4.8899999999999997</v>
      </c>
      <c r="P14" s="168">
        <v>80</v>
      </c>
      <c r="Q14" s="168">
        <v>1.29</v>
      </c>
    </row>
    <row r="15" spans="1:17" x14ac:dyDescent="0.25">
      <c r="A15" s="168">
        <v>59.82</v>
      </c>
      <c r="B15" s="168">
        <v>0.19</v>
      </c>
      <c r="C15" s="168">
        <v>29.28</v>
      </c>
      <c r="D15" s="8">
        <v>42661.541666666664</v>
      </c>
      <c r="E15" s="168">
        <v>0.31</v>
      </c>
      <c r="F15" s="168" t="s">
        <v>304</v>
      </c>
      <c r="G15" s="168">
        <v>275.36</v>
      </c>
      <c r="H15" s="168">
        <v>0</v>
      </c>
      <c r="I15" s="168">
        <v>0</v>
      </c>
      <c r="J15" s="168"/>
      <c r="K15" s="168">
        <v>1011.82</v>
      </c>
      <c r="L15" s="168" t="s">
        <v>270</v>
      </c>
      <c r="M15" s="168">
        <v>59.82</v>
      </c>
      <c r="N15" s="168">
        <v>1476817200</v>
      </c>
      <c r="O15" s="168">
        <v>4.91</v>
      </c>
      <c r="P15" s="168">
        <v>83</v>
      </c>
      <c r="Q15" s="168">
        <v>2.61</v>
      </c>
    </row>
    <row r="16" spans="1:17" x14ac:dyDescent="0.25">
      <c r="A16" s="168">
        <v>61.44</v>
      </c>
      <c r="B16" s="168">
        <v>0.39</v>
      </c>
      <c r="C16" s="168">
        <v>28.88</v>
      </c>
      <c r="D16" s="8">
        <v>42661.583333333336</v>
      </c>
      <c r="E16" s="168">
        <v>0.28999999999999998</v>
      </c>
      <c r="F16" s="168" t="s">
        <v>268</v>
      </c>
      <c r="G16" s="168">
        <v>276.02</v>
      </c>
      <c r="H16" s="168">
        <v>0</v>
      </c>
      <c r="I16" s="168">
        <v>0</v>
      </c>
      <c r="J16" s="168"/>
      <c r="K16" s="168">
        <v>1010.78</v>
      </c>
      <c r="L16" s="168" t="s">
        <v>213</v>
      </c>
      <c r="M16" s="168">
        <v>61.44</v>
      </c>
      <c r="N16" s="168">
        <v>1476820800</v>
      </c>
      <c r="O16" s="168">
        <v>4.93</v>
      </c>
      <c r="P16" s="168">
        <v>97</v>
      </c>
      <c r="Q16" s="168">
        <v>1.69</v>
      </c>
    </row>
    <row r="17" spans="1:17" x14ac:dyDescent="0.25">
      <c r="A17" s="168">
        <v>62.89</v>
      </c>
      <c r="B17" s="168">
        <v>0.54</v>
      </c>
      <c r="C17" s="168">
        <v>29.04</v>
      </c>
      <c r="D17" s="8">
        <v>42661.625</v>
      </c>
      <c r="E17" s="168">
        <v>0.28000000000000003</v>
      </c>
      <c r="F17" s="168" t="s">
        <v>268</v>
      </c>
      <c r="G17" s="168">
        <v>276.94</v>
      </c>
      <c r="H17" s="168">
        <v>0</v>
      </c>
      <c r="I17" s="168">
        <v>0</v>
      </c>
      <c r="J17" s="168"/>
      <c r="K17" s="168">
        <v>1010.1</v>
      </c>
      <c r="L17" s="168" t="s">
        <v>213</v>
      </c>
      <c r="M17" s="168">
        <v>62.89</v>
      </c>
      <c r="N17" s="168">
        <v>1476824400</v>
      </c>
      <c r="O17" s="168">
        <v>4.88</v>
      </c>
      <c r="P17" s="168">
        <v>102</v>
      </c>
      <c r="Q17" s="168">
        <v>1.91</v>
      </c>
    </row>
    <row r="18" spans="1:17" x14ac:dyDescent="0.25">
      <c r="A18" s="168">
        <v>63.21</v>
      </c>
      <c r="B18" s="168">
        <v>0.6</v>
      </c>
      <c r="C18" s="168">
        <v>28.23</v>
      </c>
      <c r="D18" s="8">
        <v>42661.666666666664</v>
      </c>
      <c r="E18" s="168">
        <v>0.27</v>
      </c>
      <c r="F18" s="168" t="s">
        <v>268</v>
      </c>
      <c r="G18" s="168">
        <v>278.25</v>
      </c>
      <c r="H18" s="168">
        <v>0</v>
      </c>
      <c r="I18" s="168">
        <v>0</v>
      </c>
      <c r="J18" s="168"/>
      <c r="K18" s="168">
        <v>1009.8</v>
      </c>
      <c r="L18" s="168" t="s">
        <v>638</v>
      </c>
      <c r="M18" s="168">
        <v>63.21</v>
      </c>
      <c r="N18" s="168">
        <v>1476828000</v>
      </c>
      <c r="O18" s="168">
        <v>4.92</v>
      </c>
      <c r="P18" s="168">
        <v>69</v>
      </c>
      <c r="Q18" s="168">
        <v>2.74</v>
      </c>
    </row>
    <row r="19" spans="1:17" x14ac:dyDescent="0.25">
      <c r="A19" s="168">
        <v>61.29</v>
      </c>
      <c r="B19" s="168">
        <v>0.7</v>
      </c>
      <c r="C19" s="168">
        <v>27.5</v>
      </c>
      <c r="D19" s="8">
        <v>42661.708333333336</v>
      </c>
      <c r="E19" s="168">
        <v>0.28000000000000003</v>
      </c>
      <c r="F19" s="168" t="s">
        <v>268</v>
      </c>
      <c r="G19" s="168">
        <v>279.83</v>
      </c>
      <c r="H19" s="168">
        <v>1.1999999999999999E-3</v>
      </c>
      <c r="I19" s="168">
        <v>0.02</v>
      </c>
      <c r="J19" s="168" t="s">
        <v>639</v>
      </c>
      <c r="K19" s="168">
        <v>1009.97</v>
      </c>
      <c r="L19" s="168" t="s">
        <v>638</v>
      </c>
      <c r="M19" s="168">
        <v>61.29</v>
      </c>
      <c r="N19" s="168">
        <v>1476831600</v>
      </c>
      <c r="O19" s="168">
        <v>5.0599999999999996</v>
      </c>
      <c r="P19" s="168">
        <v>43</v>
      </c>
      <c r="Q19" s="168">
        <v>3.04</v>
      </c>
    </row>
    <row r="20" spans="1:17" x14ac:dyDescent="0.25">
      <c r="A20" s="168">
        <v>58.23</v>
      </c>
      <c r="B20" s="168">
        <v>0.74</v>
      </c>
      <c r="C20" s="168">
        <v>27.58</v>
      </c>
      <c r="D20" s="8">
        <v>42661.75</v>
      </c>
      <c r="E20" s="168">
        <v>0.31</v>
      </c>
      <c r="F20" s="168" t="s">
        <v>268</v>
      </c>
      <c r="G20" s="168">
        <v>281.24</v>
      </c>
      <c r="H20" s="168">
        <v>0</v>
      </c>
      <c r="I20" s="168">
        <v>0</v>
      </c>
      <c r="J20" s="168"/>
      <c r="K20" s="168">
        <v>1010.39</v>
      </c>
      <c r="L20" s="168" t="s">
        <v>638</v>
      </c>
      <c r="M20" s="168">
        <v>58.23</v>
      </c>
      <c r="N20" s="168">
        <v>1476835200</v>
      </c>
      <c r="O20" s="168">
        <v>5.38</v>
      </c>
      <c r="P20" s="168">
        <v>8</v>
      </c>
      <c r="Q20" s="168">
        <v>2.2400000000000002</v>
      </c>
    </row>
    <row r="21" spans="1:17" x14ac:dyDescent="0.25">
      <c r="A21" s="168">
        <v>55.57</v>
      </c>
      <c r="B21" s="168">
        <v>0.56999999999999995</v>
      </c>
      <c r="C21" s="168">
        <v>28.1</v>
      </c>
      <c r="D21" s="8">
        <v>42661.791666666664</v>
      </c>
      <c r="E21" s="168">
        <v>0.35</v>
      </c>
      <c r="F21" s="168" t="s">
        <v>214</v>
      </c>
      <c r="G21" s="168">
        <v>282.23</v>
      </c>
      <c r="H21" s="168">
        <v>0</v>
      </c>
      <c r="I21" s="168">
        <v>0</v>
      </c>
      <c r="J21" s="168"/>
      <c r="K21" s="168">
        <v>1010.87</v>
      </c>
      <c r="L21" s="168" t="s">
        <v>213</v>
      </c>
      <c r="M21" s="168">
        <v>55.57</v>
      </c>
      <c r="N21" s="168">
        <v>1476838800</v>
      </c>
      <c r="O21" s="168">
        <v>5.79</v>
      </c>
      <c r="P21" s="168">
        <v>21</v>
      </c>
      <c r="Q21" s="168">
        <v>1.71</v>
      </c>
    </row>
    <row r="22" spans="1:17" x14ac:dyDescent="0.25">
      <c r="A22" s="168">
        <v>53.33</v>
      </c>
      <c r="B22" s="168">
        <v>0.38</v>
      </c>
      <c r="C22" s="168">
        <v>29.65</v>
      </c>
      <c r="D22" s="8">
        <v>42661.833333333336</v>
      </c>
      <c r="E22" s="168">
        <v>0.4</v>
      </c>
      <c r="F22" s="168" t="s">
        <v>214</v>
      </c>
      <c r="G22" s="168">
        <v>283.05</v>
      </c>
      <c r="H22" s="168">
        <v>0</v>
      </c>
      <c r="I22" s="168">
        <v>0</v>
      </c>
      <c r="J22" s="168"/>
      <c r="K22" s="168">
        <v>1011.77</v>
      </c>
      <c r="L22" s="168" t="s">
        <v>213</v>
      </c>
      <c r="M22" s="168">
        <v>53.33</v>
      </c>
      <c r="N22" s="168">
        <v>1476842400</v>
      </c>
      <c r="O22" s="168">
        <v>6.55</v>
      </c>
      <c r="P22" s="168">
        <v>330</v>
      </c>
      <c r="Q22" s="168">
        <v>0.83</v>
      </c>
    </row>
    <row r="23" spans="1:17" x14ac:dyDescent="0.25">
      <c r="A23" s="168">
        <v>51.46</v>
      </c>
      <c r="B23" s="168">
        <v>0.28999999999999998</v>
      </c>
      <c r="C23" s="168">
        <v>28.22</v>
      </c>
      <c r="D23" s="8">
        <v>42661.875</v>
      </c>
      <c r="E23" s="168">
        <v>0.4</v>
      </c>
      <c r="F23" s="168" t="s">
        <v>214</v>
      </c>
      <c r="G23" s="168">
        <v>284.14</v>
      </c>
      <c r="H23" s="168">
        <v>0</v>
      </c>
      <c r="I23" s="168">
        <v>0</v>
      </c>
      <c r="J23" s="168"/>
      <c r="K23" s="168">
        <v>1012.82</v>
      </c>
      <c r="L23" s="168" t="s">
        <v>213</v>
      </c>
      <c r="M23" s="168">
        <v>51.46</v>
      </c>
      <c r="N23" s="168">
        <v>1476846000</v>
      </c>
      <c r="O23" s="168">
        <v>7.55</v>
      </c>
      <c r="P23" s="168">
        <v>335</v>
      </c>
      <c r="Q23" s="168">
        <v>2.4300000000000002</v>
      </c>
    </row>
    <row r="24" spans="1:17" x14ac:dyDescent="0.25">
      <c r="A24" s="168">
        <v>51.11</v>
      </c>
      <c r="B24" s="168">
        <v>0.32</v>
      </c>
      <c r="C24" s="168">
        <v>30.04</v>
      </c>
      <c r="D24" s="8">
        <v>42661.916666666664</v>
      </c>
      <c r="E24" s="168">
        <v>0.44</v>
      </c>
      <c r="F24" s="168" t="s">
        <v>214</v>
      </c>
      <c r="G24" s="168">
        <v>285.74</v>
      </c>
      <c r="H24" s="168">
        <v>0</v>
      </c>
      <c r="I24" s="168">
        <v>0</v>
      </c>
      <c r="J24" s="168"/>
      <c r="K24" s="168">
        <v>1013.88</v>
      </c>
      <c r="L24" s="168" t="s">
        <v>213</v>
      </c>
      <c r="M24" s="168">
        <v>51.11</v>
      </c>
      <c r="N24" s="168">
        <v>1476849600</v>
      </c>
      <c r="O24" s="168">
        <v>6.92</v>
      </c>
      <c r="P24" s="168">
        <v>347</v>
      </c>
      <c r="Q24" s="168">
        <v>4.2699999999999996</v>
      </c>
    </row>
    <row r="25" spans="1:17" x14ac:dyDescent="0.25">
      <c r="A25" s="168">
        <v>47.02</v>
      </c>
      <c r="B25" s="168">
        <v>0.35</v>
      </c>
      <c r="C25" s="168">
        <v>33.659999999999997</v>
      </c>
      <c r="D25" s="8">
        <v>42661.958333333336</v>
      </c>
      <c r="E25" s="168">
        <v>0.56000000000000005</v>
      </c>
      <c r="F25" s="168" t="s">
        <v>214</v>
      </c>
      <c r="G25" s="168">
        <v>287.60000000000002</v>
      </c>
      <c r="H25" s="168">
        <v>0</v>
      </c>
      <c r="I25" s="168">
        <v>0</v>
      </c>
      <c r="J25" s="168"/>
      <c r="K25" s="168">
        <v>1015.03</v>
      </c>
      <c r="L25" s="168" t="s">
        <v>213</v>
      </c>
      <c r="M25" s="168">
        <v>48.53</v>
      </c>
      <c r="N25" s="168">
        <v>1476853200</v>
      </c>
      <c r="O25" s="168">
        <v>6.98</v>
      </c>
      <c r="P25" s="168">
        <v>350</v>
      </c>
      <c r="Q25" s="168">
        <v>4.21</v>
      </c>
    </row>
    <row r="26" spans="1:17" x14ac:dyDescent="0.25">
      <c r="A26" s="168">
        <v>42.68</v>
      </c>
      <c r="B26" s="168">
        <v>0.4</v>
      </c>
      <c r="C26" s="168">
        <v>34.25</v>
      </c>
      <c r="D26" s="8">
        <v>42662</v>
      </c>
      <c r="E26" s="168">
        <v>0.65</v>
      </c>
      <c r="F26" s="168" t="s">
        <v>214</v>
      </c>
      <c r="G26" s="168">
        <v>289.39999999999998</v>
      </c>
      <c r="H26" s="168">
        <v>0</v>
      </c>
      <c r="I26" s="168">
        <v>0</v>
      </c>
      <c r="J26" s="168"/>
      <c r="K26" s="168">
        <v>1016.13</v>
      </c>
      <c r="L26" s="168" t="s">
        <v>213</v>
      </c>
      <c r="M26" s="168">
        <v>45.43</v>
      </c>
      <c r="N26" s="168">
        <v>1476856800</v>
      </c>
      <c r="O26" s="168">
        <v>7.41</v>
      </c>
      <c r="P26" s="168">
        <v>357</v>
      </c>
      <c r="Q26" s="168">
        <v>5.26</v>
      </c>
    </row>
    <row r="27" spans="1:17" x14ac:dyDescent="0.25">
      <c r="A27" s="168">
        <v>40.630000000000003</v>
      </c>
      <c r="B27" s="168">
        <v>0.6</v>
      </c>
      <c r="C27" s="168">
        <v>34.42</v>
      </c>
      <c r="D27" s="8">
        <v>42662.041666666664</v>
      </c>
      <c r="E27" s="168">
        <v>0.7</v>
      </c>
      <c r="F27" s="168" t="s">
        <v>639</v>
      </c>
      <c r="G27" s="168">
        <v>290.95999999999998</v>
      </c>
      <c r="H27" s="168">
        <v>6.4999999999999997E-3</v>
      </c>
      <c r="I27" s="168">
        <v>0.28999999999999998</v>
      </c>
      <c r="J27" s="168" t="s">
        <v>639</v>
      </c>
      <c r="K27" s="168">
        <v>1017.09</v>
      </c>
      <c r="L27" s="168" t="s">
        <v>640</v>
      </c>
      <c r="M27" s="168">
        <v>43.54</v>
      </c>
      <c r="N27" s="168">
        <v>1476860400</v>
      </c>
      <c r="O27" s="168">
        <v>5.57</v>
      </c>
      <c r="P27" s="168">
        <v>14</v>
      </c>
      <c r="Q27" s="168">
        <v>5</v>
      </c>
    </row>
    <row r="28" spans="1:17" x14ac:dyDescent="0.25">
      <c r="A28" s="168">
        <v>42.62</v>
      </c>
      <c r="B28" s="168">
        <v>0.74</v>
      </c>
      <c r="C28" s="168">
        <v>35.08</v>
      </c>
      <c r="D28" s="8">
        <v>42662.083333333336</v>
      </c>
      <c r="E28" s="168">
        <v>0.74</v>
      </c>
      <c r="F28" s="168" t="s">
        <v>214</v>
      </c>
      <c r="G28" s="168">
        <v>292.51</v>
      </c>
      <c r="H28" s="168">
        <v>4.4000000000000003E-3</v>
      </c>
      <c r="I28" s="168">
        <v>0.17</v>
      </c>
      <c r="J28" s="168" t="s">
        <v>639</v>
      </c>
      <c r="K28" s="168">
        <v>1018.07</v>
      </c>
      <c r="L28" s="168" t="s">
        <v>638</v>
      </c>
      <c r="M28" s="168">
        <v>42.62</v>
      </c>
      <c r="N28" s="168">
        <v>1476864000</v>
      </c>
      <c r="O28" s="168">
        <v>3.79</v>
      </c>
      <c r="P28" s="168">
        <v>17</v>
      </c>
      <c r="Q28" s="168">
        <v>2.21</v>
      </c>
    </row>
    <row r="29" spans="1:17" x14ac:dyDescent="0.25">
      <c r="A29" s="168">
        <v>42.32</v>
      </c>
      <c r="B29" s="168">
        <v>0.71</v>
      </c>
      <c r="C29" s="168">
        <v>35.880000000000003</v>
      </c>
      <c r="D29" s="8">
        <v>42662.125</v>
      </c>
      <c r="E29" s="168">
        <v>0.78</v>
      </c>
      <c r="F29" s="168" t="s">
        <v>639</v>
      </c>
      <c r="G29" s="168">
        <v>294.07</v>
      </c>
      <c r="H29" s="168">
        <v>6.1000000000000004E-3</v>
      </c>
      <c r="I29" s="168">
        <v>0.27</v>
      </c>
      <c r="J29" s="168" t="s">
        <v>639</v>
      </c>
      <c r="K29" s="168">
        <v>1019.04</v>
      </c>
      <c r="L29" s="168" t="s">
        <v>640</v>
      </c>
      <c r="M29" s="168">
        <v>42.32</v>
      </c>
      <c r="N29" s="168">
        <v>1476867600</v>
      </c>
      <c r="O29" s="168">
        <v>2.65</v>
      </c>
      <c r="P29" s="168">
        <v>47</v>
      </c>
      <c r="Q29" s="168">
        <v>1.71</v>
      </c>
    </row>
    <row r="31" spans="1:17" x14ac:dyDescent="0.25">
      <c r="A31" s="136" t="s">
        <v>271</v>
      </c>
    </row>
    <row r="33" spans="1:1" x14ac:dyDescent="0.25">
      <c r="A33" s="136" t="s">
        <v>211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8" t="s">
        <v>100</v>
      </c>
      <c r="D1" s="149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42661</v>
      </c>
      <c r="B2" s="4"/>
      <c r="C2" s="150">
        <v>50</v>
      </c>
      <c r="D2" s="151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8" t="s">
        <v>100</v>
      </c>
      <c r="D4" s="149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7" t="s">
        <v>287</v>
      </c>
      <c r="J17" s="33"/>
      <c r="K17" s="34"/>
      <c r="L17" s="34"/>
    </row>
    <row r="18" spans="3:13" x14ac:dyDescent="0.25">
      <c r="C18" t="s">
        <v>776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777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778</v>
      </c>
      <c r="J20" t="s">
        <v>87</v>
      </c>
      <c r="M20" s="68" t="s">
        <v>191</v>
      </c>
    </row>
    <row r="21" spans="3:13" x14ac:dyDescent="0.25">
      <c r="C21" t="s">
        <v>779</v>
      </c>
      <c r="J21" s="21" t="s">
        <v>90</v>
      </c>
      <c r="K21" s="21" t="s">
        <v>91</v>
      </c>
      <c r="M21" s="68" t="s">
        <v>193</v>
      </c>
    </row>
    <row r="22" spans="3:13" x14ac:dyDescent="0.25">
      <c r="C22" t="s">
        <v>780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781</v>
      </c>
      <c r="J23" s="29" t="s">
        <v>95</v>
      </c>
      <c r="K23" s="21"/>
      <c r="M23" s="69">
        <v>-6</v>
      </c>
    </row>
    <row r="24" spans="3:13" x14ac:dyDescent="0.25">
      <c r="C24" t="s">
        <v>782</v>
      </c>
      <c r="J24" s="21" t="s">
        <v>109</v>
      </c>
      <c r="K24" s="21"/>
      <c r="M24" s="68" t="s">
        <v>111</v>
      </c>
    </row>
    <row r="25" spans="3:13" x14ac:dyDescent="0.25">
      <c r="J25" t="s">
        <v>152</v>
      </c>
      <c r="M25" s="68" t="b">
        <v>1</v>
      </c>
    </row>
    <row r="26" spans="3:13" x14ac:dyDescent="0.25">
      <c r="J26" t="s">
        <v>153</v>
      </c>
      <c r="M26" s="68" t="str">
        <f>"C:\Users\stu\Documents\GitHub\eaglep3-reporting\EC\"&amp;TEXT(A2,"yyyy-mm-dd")&amp;"-refined-times.txt"</f>
        <v>C:\Users\stu\Documents\GitHub\eaglep3-reporting\EC\2016-10-18-refined-times.txt</v>
      </c>
    </row>
    <row r="27" spans="3:13" x14ac:dyDescent="0.25">
      <c r="J27" t="s">
        <v>220</v>
      </c>
      <c r="M27" s="68" t="str">
        <f>"C:\Users\stu\Documents\GitHub\eaglep3-reporting\EC\"&amp;TEXT(A2,"YYYY-MM-DD")&amp;"-Enforcements.txt"</f>
        <v>C:\Users\stu\Documents\GitHub\eaglep3-reporting\EC\2016-10-18-Enforcements.txt</v>
      </c>
    </row>
    <row r="28" spans="3:13" x14ac:dyDescent="0.25">
      <c r="J28" t="s">
        <v>221</v>
      </c>
      <c r="M28" s="106" t="str">
        <f>"C:\Users\stu\Documents\GitHub\eaglep3-reporting\EC\"&amp;TEXT(A2,"YYYY-MM-DD")&amp;"-Runs-Refined.txt"</f>
        <v>C:\Users\stu\Documents\GitHub\eaglep3-reporting\EC\2016-10-18-Runs-Refined.txt</v>
      </c>
    </row>
    <row r="29" spans="3:13" x14ac:dyDescent="0.25">
      <c r="J29" t="s">
        <v>222</v>
      </c>
      <c r="M29" s="106" t="str">
        <f>"C:\Users\stu\Documents\GitHub\eaglep3-reporting\EC\"&amp;TEXT(A2,"YYYY-MM-DD")&amp;"-Trips.txt"</f>
        <v>C:\Users\stu\Documents\GitHub\eaglep3-reporting\EC\2016-10-18-Trips.txt</v>
      </c>
    </row>
    <row r="30" spans="3:13" x14ac:dyDescent="0.25">
      <c r="J30" t="s">
        <v>223</v>
      </c>
      <c r="M30" s="106" t="str">
        <f>"C:\Users\stu\Documents\GitHub\eaglep3-reporting\EC\"&amp;TEXT(A2,"YYYY-MM-DD")&amp;"-Weather.txt"</f>
        <v>C:\Users\stu\Documents\GitHub\eaglep3-reporting\EC\2016-10-18-Weather.txt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2016-10-19T15:47:54Z</dcterms:modified>
</cp:coreProperties>
</file>