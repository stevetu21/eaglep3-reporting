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7" i="1" l="1"/>
  <c r="L77" i="1"/>
  <c r="M77" i="1"/>
  <c r="P77" i="1" s="1"/>
  <c r="V77" i="1"/>
  <c r="Z77" i="1"/>
  <c r="AA77" i="1" s="1"/>
  <c r="AB77" i="1"/>
  <c r="AC77" i="1"/>
  <c r="AD77" i="1"/>
  <c r="T77" i="1" s="1"/>
  <c r="AE77" i="1"/>
  <c r="AF77" i="1"/>
  <c r="AH77" i="1"/>
  <c r="K78" i="1"/>
  <c r="L78" i="1"/>
  <c r="M78" i="1"/>
  <c r="V78" i="1"/>
  <c r="Y78" i="1"/>
  <c r="AA78" i="1" s="1"/>
  <c r="AB78" i="1"/>
  <c r="AC78" i="1"/>
  <c r="AD78" i="1"/>
  <c r="T78" i="1" s="1"/>
  <c r="AE78" i="1"/>
  <c r="AF78" i="1"/>
  <c r="AH78" i="1"/>
  <c r="K64" i="1"/>
  <c r="L64" i="1"/>
  <c r="M64" i="1"/>
  <c r="P64" i="1" s="1"/>
  <c r="V64" i="1"/>
  <c r="Y64" i="1"/>
  <c r="Z64" i="1"/>
  <c r="AB64" i="1"/>
  <c r="AC64" i="1"/>
  <c r="AD64" i="1"/>
  <c r="T64" i="1" s="1"/>
  <c r="AE64" i="1"/>
  <c r="AF64" i="1"/>
  <c r="AH64" i="1"/>
  <c r="K25" i="1"/>
  <c r="L25" i="1"/>
  <c r="M25" i="1"/>
  <c r="P25" i="1" s="1"/>
  <c r="V25" i="1"/>
  <c r="AA25" i="1"/>
  <c r="AB25" i="1"/>
  <c r="AC25" i="1"/>
  <c r="AD25" i="1"/>
  <c r="AG25" i="1" s="1"/>
  <c r="AE25" i="1"/>
  <c r="AF25" i="1"/>
  <c r="AH25" i="1"/>
  <c r="AG77" i="1" l="1"/>
  <c r="W77" i="1"/>
  <c r="AA64" i="1"/>
  <c r="AG78" i="1"/>
  <c r="W78" i="1" s="1"/>
  <c r="X78" i="1"/>
  <c r="U77" i="1"/>
  <c r="S77" i="1" s="1"/>
  <c r="AI78" i="1"/>
  <c r="AI77" i="1"/>
  <c r="AG64" i="1"/>
  <c r="W25" i="1"/>
  <c r="T25" i="1"/>
  <c r="U25" i="1" s="1"/>
  <c r="S25" i="1" s="1"/>
  <c r="AI25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X25" i="1" s="1"/>
  <c r="AE24" i="1"/>
  <c r="AF24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/>
  <c r="V42" i="1"/>
  <c r="Y42" i="1"/>
  <c r="Z42" i="1"/>
  <c r="AB42" i="1"/>
  <c r="AC42" i="1"/>
  <c r="AD42" i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K83" i="1"/>
  <c r="L83" i="1"/>
  <c r="M83" i="1"/>
  <c r="P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P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S67" i="3" s="1"/>
  <c r="Y203" i="1"/>
  <c r="Z203" i="1"/>
  <c r="AB203" i="1"/>
  <c r="AC203" i="1"/>
  <c r="AD203" i="1"/>
  <c r="T203" i="1" s="1"/>
  <c r="AE203" i="1"/>
  <c r="R67" i="3" s="1"/>
  <c r="AF203" i="1"/>
  <c r="K204" i="1"/>
  <c r="L204" i="1"/>
  <c r="M204" i="1"/>
  <c r="N204" i="1" s="1"/>
  <c r="V204" i="1"/>
  <c r="S68" i="3" s="1"/>
  <c r="Y204" i="1"/>
  <c r="Z204" i="1"/>
  <c r="AB204" i="1"/>
  <c r="AC204" i="1"/>
  <c r="AD204" i="1"/>
  <c r="AG204" i="1" s="1"/>
  <c r="AE204" i="1"/>
  <c r="R68" i="3" s="1"/>
  <c r="AF204" i="1"/>
  <c r="K212" i="1"/>
  <c r="L212" i="1"/>
  <c r="M212" i="1"/>
  <c r="N212" i="1" s="1"/>
  <c r="V212" i="1"/>
  <c r="S69" i="3" s="1"/>
  <c r="Y212" i="1"/>
  <c r="Z212" i="1"/>
  <c r="AB212" i="1"/>
  <c r="AC212" i="1"/>
  <c r="AD212" i="1"/>
  <c r="AG212" i="1" s="1"/>
  <c r="AE212" i="1"/>
  <c r="R69" i="3" s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C50" i="3"/>
  <c r="M9" i="3"/>
  <c r="N9" i="3"/>
  <c r="U9" i="3"/>
  <c r="T9" i="3" s="1"/>
  <c r="V9" i="3"/>
  <c r="W9" i="3"/>
  <c r="X9" i="3"/>
  <c r="M16" i="3"/>
  <c r="N16" i="3"/>
  <c r="U16" i="3"/>
  <c r="T16" i="3" s="1"/>
  <c r="V16" i="3"/>
  <c r="W16" i="3"/>
  <c r="X16" i="3"/>
  <c r="M37" i="3"/>
  <c r="N37" i="3"/>
  <c r="R37" i="3"/>
  <c r="S37" i="3"/>
  <c r="U37" i="3"/>
  <c r="T37" i="3" s="1"/>
  <c r="V37" i="3"/>
  <c r="W37" i="3"/>
  <c r="X37" i="3"/>
  <c r="M38" i="3"/>
  <c r="N38" i="3"/>
  <c r="R38" i="3"/>
  <c r="S38" i="3"/>
  <c r="U38" i="3"/>
  <c r="T38" i="3" s="1"/>
  <c r="V38" i="3"/>
  <c r="W38" i="3"/>
  <c r="X38" i="3"/>
  <c r="M25" i="3"/>
  <c r="N25" i="3"/>
  <c r="U25" i="3"/>
  <c r="T25" i="3" s="1"/>
  <c r="V25" i="3"/>
  <c r="W25" i="3"/>
  <c r="X25" i="3"/>
  <c r="M61" i="3"/>
  <c r="N61" i="3"/>
  <c r="U61" i="3"/>
  <c r="T61" i="3" s="1"/>
  <c r="V61" i="3"/>
  <c r="W61" i="3"/>
  <c r="X61" i="3"/>
  <c r="M39" i="3"/>
  <c r="N39" i="3"/>
  <c r="U39" i="3"/>
  <c r="T39" i="3" s="1"/>
  <c r="V39" i="3"/>
  <c r="W39" i="3"/>
  <c r="X39" i="3"/>
  <c r="M55" i="3"/>
  <c r="N55" i="3"/>
  <c r="U55" i="3"/>
  <c r="T55" i="3" s="1"/>
  <c r="V55" i="3"/>
  <c r="W55" i="3"/>
  <c r="X55" i="3"/>
  <c r="M56" i="3"/>
  <c r="N56" i="3"/>
  <c r="U56" i="3"/>
  <c r="T56" i="3" s="1"/>
  <c r="V56" i="3"/>
  <c r="W56" i="3"/>
  <c r="X56" i="3"/>
  <c r="M26" i="3"/>
  <c r="N26" i="3"/>
  <c r="U26" i="3"/>
  <c r="T26" i="3" s="1"/>
  <c r="V26" i="3"/>
  <c r="W26" i="3"/>
  <c r="X26" i="3"/>
  <c r="M27" i="3"/>
  <c r="N27" i="3"/>
  <c r="U27" i="3"/>
  <c r="T27" i="3" s="1"/>
  <c r="V27" i="3"/>
  <c r="W27" i="3"/>
  <c r="X27" i="3"/>
  <c r="M23" i="3"/>
  <c r="N23" i="3"/>
  <c r="U23" i="3"/>
  <c r="AC23" i="3" s="1"/>
  <c r="V23" i="3"/>
  <c r="W23" i="3"/>
  <c r="X23" i="3"/>
  <c r="M17" i="3"/>
  <c r="N17" i="3"/>
  <c r="U17" i="3"/>
  <c r="T17" i="3" s="1"/>
  <c r="V17" i="3"/>
  <c r="W17" i="3"/>
  <c r="X17" i="3"/>
  <c r="M62" i="3"/>
  <c r="N62" i="3"/>
  <c r="U62" i="3"/>
  <c r="T62" i="3" s="1"/>
  <c r="V62" i="3"/>
  <c r="W62" i="3"/>
  <c r="X62" i="3"/>
  <c r="M30" i="3"/>
  <c r="N30" i="3"/>
  <c r="U30" i="3"/>
  <c r="T30" i="3" s="1"/>
  <c r="V30" i="3"/>
  <c r="W30" i="3"/>
  <c r="X30" i="3"/>
  <c r="M40" i="3"/>
  <c r="N40" i="3"/>
  <c r="T40" i="3"/>
  <c r="U40" i="3"/>
  <c r="AC40" i="3" s="1"/>
  <c r="V40" i="3"/>
  <c r="W40" i="3"/>
  <c r="Y40" i="3" s="1"/>
  <c r="X40" i="3"/>
  <c r="M57" i="3"/>
  <c r="N57" i="3"/>
  <c r="U57" i="3"/>
  <c r="AC57" i="3" s="1"/>
  <c r="V57" i="3"/>
  <c r="W57" i="3"/>
  <c r="X57" i="3"/>
  <c r="M14" i="3"/>
  <c r="N14" i="3"/>
  <c r="U14" i="3"/>
  <c r="T14" i="3" s="1"/>
  <c r="V14" i="3"/>
  <c r="W14" i="3"/>
  <c r="Y14" i="3" s="1"/>
  <c r="X14" i="3"/>
  <c r="M58" i="3"/>
  <c r="N58" i="3"/>
  <c r="U58" i="3"/>
  <c r="T58" i="3" s="1"/>
  <c r="V58" i="3"/>
  <c r="W58" i="3"/>
  <c r="X58" i="3"/>
  <c r="M46" i="3"/>
  <c r="N46" i="3"/>
  <c r="U46" i="3"/>
  <c r="T46" i="3" s="1"/>
  <c r="V46" i="3"/>
  <c r="W46" i="3"/>
  <c r="Y46" i="3" s="1"/>
  <c r="X46" i="3"/>
  <c r="M63" i="3"/>
  <c r="N63" i="3"/>
  <c r="U63" i="3"/>
  <c r="T63" i="3" s="1"/>
  <c r="V63" i="3"/>
  <c r="W63" i="3"/>
  <c r="X63" i="3"/>
  <c r="M47" i="3"/>
  <c r="N47" i="3"/>
  <c r="U47" i="3"/>
  <c r="AC47" i="3" s="1"/>
  <c r="V47" i="3"/>
  <c r="W47" i="3"/>
  <c r="Y47" i="3" s="1"/>
  <c r="X47" i="3"/>
  <c r="M64" i="3"/>
  <c r="N64" i="3"/>
  <c r="U64" i="3"/>
  <c r="T64" i="3" s="1"/>
  <c r="V64" i="3"/>
  <c r="W64" i="3"/>
  <c r="X64" i="3"/>
  <c r="M7" i="3"/>
  <c r="N7" i="3"/>
  <c r="U7" i="3"/>
  <c r="T7" i="3" s="1"/>
  <c r="V7" i="3"/>
  <c r="W7" i="3"/>
  <c r="X7" i="3"/>
  <c r="M41" i="3"/>
  <c r="N41" i="3"/>
  <c r="U41" i="3"/>
  <c r="T41" i="3" s="1"/>
  <c r="V41" i="3"/>
  <c r="W41" i="3"/>
  <c r="X41" i="3"/>
  <c r="M31" i="3"/>
  <c r="N31" i="3"/>
  <c r="U31" i="3"/>
  <c r="AC31" i="3" s="1"/>
  <c r="V31" i="3"/>
  <c r="W31" i="3"/>
  <c r="Y31" i="3" s="1"/>
  <c r="X31" i="3"/>
  <c r="M32" i="3"/>
  <c r="N32" i="3"/>
  <c r="U32" i="3"/>
  <c r="T32" i="3" s="1"/>
  <c r="V32" i="3"/>
  <c r="W32" i="3"/>
  <c r="X32" i="3"/>
  <c r="M22" i="3"/>
  <c r="N22" i="3"/>
  <c r="U22" i="3"/>
  <c r="T22" i="3" s="1"/>
  <c r="V22" i="3"/>
  <c r="W22" i="3"/>
  <c r="Y22" i="3" s="1"/>
  <c r="X22" i="3"/>
  <c r="M18" i="3"/>
  <c r="N18" i="3"/>
  <c r="U18" i="3"/>
  <c r="T18" i="3" s="1"/>
  <c r="V18" i="3"/>
  <c r="W18" i="3"/>
  <c r="X18" i="3"/>
  <c r="M15" i="3"/>
  <c r="N15" i="3"/>
  <c r="U15" i="3"/>
  <c r="T15" i="3" s="1"/>
  <c r="V15" i="3"/>
  <c r="W15" i="3"/>
  <c r="Y15" i="3" s="1"/>
  <c r="X15" i="3"/>
  <c r="M10" i="3"/>
  <c r="N10" i="3"/>
  <c r="U10" i="3"/>
  <c r="T10" i="3" s="1"/>
  <c r="V10" i="3"/>
  <c r="W10" i="3"/>
  <c r="X10" i="3"/>
  <c r="M50" i="3"/>
  <c r="N50" i="3"/>
  <c r="U50" i="3"/>
  <c r="T50" i="3" s="1"/>
  <c r="V50" i="3"/>
  <c r="W50" i="3"/>
  <c r="Y50" i="3" s="1"/>
  <c r="X50" i="3"/>
  <c r="M49" i="3"/>
  <c r="N49" i="3"/>
  <c r="U49" i="3"/>
  <c r="T49" i="3" s="1"/>
  <c r="V49" i="3"/>
  <c r="W49" i="3"/>
  <c r="X49" i="3"/>
  <c r="M8" i="3"/>
  <c r="N8" i="3"/>
  <c r="U8" i="3"/>
  <c r="T8" i="3" s="1"/>
  <c r="V8" i="3"/>
  <c r="W8" i="3"/>
  <c r="Y8" i="3" s="1"/>
  <c r="X8" i="3"/>
  <c r="M11" i="3"/>
  <c r="N11" i="3"/>
  <c r="U11" i="3"/>
  <c r="T11" i="3" s="1"/>
  <c r="V11" i="3"/>
  <c r="W11" i="3"/>
  <c r="X11" i="3"/>
  <c r="M19" i="3"/>
  <c r="N19" i="3"/>
  <c r="U19" i="3"/>
  <c r="T19" i="3" s="1"/>
  <c r="V19" i="3"/>
  <c r="W19" i="3"/>
  <c r="Y19" i="3" s="1"/>
  <c r="X19" i="3"/>
  <c r="M33" i="3"/>
  <c r="N33" i="3"/>
  <c r="U33" i="3"/>
  <c r="T33" i="3" s="1"/>
  <c r="V33" i="3"/>
  <c r="W33" i="3"/>
  <c r="X33" i="3"/>
  <c r="M34" i="3"/>
  <c r="N34" i="3"/>
  <c r="U34" i="3"/>
  <c r="T34" i="3" s="1"/>
  <c r="V34" i="3"/>
  <c r="W34" i="3"/>
  <c r="X34" i="3"/>
  <c r="M65" i="3"/>
  <c r="N65" i="3"/>
  <c r="U65" i="3"/>
  <c r="T65" i="3" s="1"/>
  <c r="V65" i="3"/>
  <c r="W65" i="3"/>
  <c r="X65" i="3"/>
  <c r="M13" i="3"/>
  <c r="N13" i="3"/>
  <c r="U13" i="3"/>
  <c r="T13" i="3" s="1"/>
  <c r="V13" i="3"/>
  <c r="W13" i="3"/>
  <c r="Y13" i="3" s="1"/>
  <c r="X13" i="3"/>
  <c r="M42" i="3"/>
  <c r="N42" i="3"/>
  <c r="U42" i="3"/>
  <c r="T42" i="3" s="1"/>
  <c r="V42" i="3"/>
  <c r="W42" i="3"/>
  <c r="X42" i="3"/>
  <c r="M48" i="3"/>
  <c r="N48" i="3"/>
  <c r="U48" i="3"/>
  <c r="T48" i="3" s="1"/>
  <c r="V48" i="3"/>
  <c r="W48" i="3"/>
  <c r="X48" i="3"/>
  <c r="M24" i="3"/>
  <c r="N24" i="3"/>
  <c r="U24" i="3"/>
  <c r="T24" i="3" s="1"/>
  <c r="V24" i="3"/>
  <c r="W24" i="3"/>
  <c r="X24" i="3"/>
  <c r="M20" i="3"/>
  <c r="N20" i="3"/>
  <c r="U20" i="3"/>
  <c r="T20" i="3" s="1"/>
  <c r="V20" i="3"/>
  <c r="W20" i="3"/>
  <c r="X20" i="3"/>
  <c r="M51" i="3"/>
  <c r="N51" i="3"/>
  <c r="U51" i="3"/>
  <c r="T51" i="3" s="1"/>
  <c r="V51" i="3"/>
  <c r="W51" i="3"/>
  <c r="X51" i="3"/>
  <c r="M70" i="3"/>
  <c r="N70" i="3"/>
  <c r="U70" i="3"/>
  <c r="T70" i="3" s="1"/>
  <c r="V70" i="3"/>
  <c r="W70" i="3"/>
  <c r="X70" i="3"/>
  <c r="M69" i="3"/>
  <c r="N69" i="3"/>
  <c r="U69" i="3"/>
  <c r="T69" i="3" s="1"/>
  <c r="V69" i="3"/>
  <c r="W69" i="3"/>
  <c r="X69" i="3"/>
  <c r="M12" i="3"/>
  <c r="N12" i="3"/>
  <c r="U12" i="3"/>
  <c r="T12" i="3" s="1"/>
  <c r="V12" i="3"/>
  <c r="W12" i="3"/>
  <c r="X12" i="3"/>
  <c r="M66" i="3"/>
  <c r="N66" i="3"/>
  <c r="U66" i="3"/>
  <c r="T66" i="3" s="1"/>
  <c r="V66" i="3"/>
  <c r="W66" i="3"/>
  <c r="X66" i="3"/>
  <c r="M52" i="3"/>
  <c r="N52" i="3"/>
  <c r="U52" i="3"/>
  <c r="T52" i="3" s="1"/>
  <c r="V52" i="3"/>
  <c r="W52" i="3"/>
  <c r="X52" i="3"/>
  <c r="M35" i="3"/>
  <c r="N35" i="3"/>
  <c r="U35" i="3"/>
  <c r="T35" i="3" s="1"/>
  <c r="V35" i="3"/>
  <c r="W35" i="3"/>
  <c r="X35" i="3"/>
  <c r="M53" i="3"/>
  <c r="N53" i="3"/>
  <c r="U53" i="3"/>
  <c r="T53" i="3" s="1"/>
  <c r="V53" i="3"/>
  <c r="W53" i="3"/>
  <c r="X53" i="3"/>
  <c r="M29" i="3"/>
  <c r="N29" i="3"/>
  <c r="U29" i="3"/>
  <c r="T29" i="3" s="1"/>
  <c r="V29" i="3"/>
  <c r="W29" i="3"/>
  <c r="X29" i="3"/>
  <c r="M43" i="3"/>
  <c r="N43" i="3"/>
  <c r="U43" i="3"/>
  <c r="T43" i="3" s="1"/>
  <c r="V43" i="3"/>
  <c r="W43" i="3"/>
  <c r="X43" i="3"/>
  <c r="M44" i="3"/>
  <c r="N44" i="3"/>
  <c r="U44" i="3"/>
  <c r="T44" i="3" s="1"/>
  <c r="V44" i="3"/>
  <c r="W44" i="3"/>
  <c r="X44" i="3"/>
  <c r="M59" i="3"/>
  <c r="N59" i="3"/>
  <c r="U59" i="3"/>
  <c r="T59" i="3" s="1"/>
  <c r="V59" i="3"/>
  <c r="W59" i="3"/>
  <c r="X59" i="3"/>
  <c r="M60" i="3"/>
  <c r="N60" i="3"/>
  <c r="U60" i="3"/>
  <c r="T60" i="3" s="1"/>
  <c r="V60" i="3"/>
  <c r="W60" i="3"/>
  <c r="X60" i="3"/>
  <c r="M36" i="3"/>
  <c r="N36" i="3"/>
  <c r="U36" i="3"/>
  <c r="T36" i="3" s="1"/>
  <c r="V36" i="3"/>
  <c r="W36" i="3"/>
  <c r="X36" i="3"/>
  <c r="M28" i="3"/>
  <c r="N28" i="3"/>
  <c r="U28" i="3"/>
  <c r="T28" i="3" s="1"/>
  <c r="V28" i="3"/>
  <c r="W28" i="3"/>
  <c r="X28" i="3"/>
  <c r="M67" i="3"/>
  <c r="N67" i="3"/>
  <c r="U67" i="3"/>
  <c r="T67" i="3" s="1"/>
  <c r="V67" i="3"/>
  <c r="W67" i="3"/>
  <c r="X67" i="3"/>
  <c r="M68" i="3"/>
  <c r="N68" i="3"/>
  <c r="U68" i="3"/>
  <c r="T68" i="3" s="1"/>
  <c r="V68" i="3"/>
  <c r="W68" i="3"/>
  <c r="X68" i="3"/>
  <c r="M45" i="3"/>
  <c r="N45" i="3"/>
  <c r="U45" i="3"/>
  <c r="T45" i="3" s="1"/>
  <c r="V45" i="3"/>
  <c r="W45" i="3"/>
  <c r="X45" i="3"/>
  <c r="M21" i="3"/>
  <c r="N21" i="3"/>
  <c r="U21" i="3"/>
  <c r="T21" i="3" s="1"/>
  <c r="V21" i="3"/>
  <c r="W21" i="3"/>
  <c r="X21" i="3"/>
  <c r="Y30" i="3" l="1"/>
  <c r="Y17" i="3"/>
  <c r="Y27" i="3"/>
  <c r="Y56" i="3"/>
  <c r="Y39" i="3"/>
  <c r="Y25" i="3"/>
  <c r="Y9" i="3"/>
  <c r="Y21" i="3"/>
  <c r="Y68" i="3"/>
  <c r="Y28" i="3"/>
  <c r="Y60" i="3"/>
  <c r="Y44" i="3"/>
  <c r="Y29" i="3"/>
  <c r="Y35" i="3"/>
  <c r="Y66" i="3"/>
  <c r="Y69" i="3"/>
  <c r="Y51" i="3"/>
  <c r="Y24" i="3"/>
  <c r="Y42" i="3"/>
  <c r="Y65" i="3"/>
  <c r="Y41" i="3"/>
  <c r="AC34" i="3"/>
  <c r="Y61" i="3"/>
  <c r="AC42" i="3"/>
  <c r="X80" i="1"/>
  <c r="AA114" i="1"/>
  <c r="AA98" i="1"/>
  <c r="W98" i="1" s="1"/>
  <c r="AI105" i="1"/>
  <c r="AA105" i="1"/>
  <c r="T81" i="1"/>
  <c r="X81" i="1"/>
  <c r="X40" i="1"/>
  <c r="AA42" i="1"/>
  <c r="U78" i="1"/>
  <c r="S78" i="1" s="1"/>
  <c r="AA124" i="1"/>
  <c r="W124" i="1" s="1"/>
  <c r="AA56" i="1"/>
  <c r="AA55" i="1"/>
  <c r="X77" i="1"/>
  <c r="T65" i="1"/>
  <c r="X65" i="1"/>
  <c r="AG26" i="1"/>
  <c r="X26" i="1"/>
  <c r="AI64" i="1"/>
  <c r="U64" i="1"/>
  <c r="S64" i="1" s="1"/>
  <c r="X37" i="1"/>
  <c r="X64" i="1"/>
  <c r="AA202" i="1"/>
  <c r="W202" i="1" s="1"/>
  <c r="AA198" i="1"/>
  <c r="AA194" i="1"/>
  <c r="W194" i="1" s="1"/>
  <c r="AI154" i="1"/>
  <c r="W64" i="1"/>
  <c r="T171" i="1"/>
  <c r="X171" i="1"/>
  <c r="AG42" i="1"/>
  <c r="AI42" i="1" s="1"/>
  <c r="X42" i="1"/>
  <c r="AG172" i="1"/>
  <c r="AI172" i="1" s="1"/>
  <c r="X172" i="1"/>
  <c r="T41" i="1"/>
  <c r="X41" i="1"/>
  <c r="X173" i="1"/>
  <c r="AG38" i="1"/>
  <c r="AI38" i="1" s="1"/>
  <c r="X38" i="1"/>
  <c r="X174" i="1"/>
  <c r="AG170" i="1"/>
  <c r="AI170" i="1" s="1"/>
  <c r="X170" i="1"/>
  <c r="AI146" i="1"/>
  <c r="AI76" i="1"/>
  <c r="X39" i="1"/>
  <c r="P136" i="1"/>
  <c r="AA213" i="1"/>
  <c r="W213" i="1" s="1"/>
  <c r="AA167" i="1"/>
  <c r="AA159" i="1"/>
  <c r="AI209" i="1"/>
  <c r="AA205" i="1"/>
  <c r="W205" i="1" s="1"/>
  <c r="AI131" i="1"/>
  <c r="AA99" i="1"/>
  <c r="W99" i="1" s="1"/>
  <c r="AA69" i="1"/>
  <c r="AA22" i="1"/>
  <c r="W22" i="1" s="1"/>
  <c r="AG180" i="1"/>
  <c r="U180" i="1" s="1"/>
  <c r="S180" i="1" s="1"/>
  <c r="X180" i="1"/>
  <c r="X168" i="1"/>
  <c r="X141" i="1"/>
  <c r="T54" i="1"/>
  <c r="AA47" i="1"/>
  <c r="W47" i="1" s="1"/>
  <c r="AI46" i="1"/>
  <c r="X22" i="1"/>
  <c r="AA19" i="1"/>
  <c r="X146" i="1"/>
  <c r="AI106" i="1"/>
  <c r="AI82" i="1"/>
  <c r="AA82" i="1"/>
  <c r="AI72" i="1"/>
  <c r="AA41" i="1"/>
  <c r="T22" i="1"/>
  <c r="U22" i="1" s="1"/>
  <c r="S22" i="1" s="1"/>
  <c r="AI205" i="1"/>
  <c r="AI83" i="1"/>
  <c r="AA60" i="1"/>
  <c r="X44" i="1"/>
  <c r="AG196" i="1"/>
  <c r="AI196" i="1" s="1"/>
  <c r="X196" i="1"/>
  <c r="AI193" i="1"/>
  <c r="X188" i="1"/>
  <c r="AA178" i="1"/>
  <c r="W178" i="1" s="1"/>
  <c r="AA174" i="1"/>
  <c r="X165" i="1"/>
  <c r="AA161" i="1"/>
  <c r="AA219" i="1"/>
  <c r="AA146" i="1"/>
  <c r="W146" i="1" s="1"/>
  <c r="AA126" i="1"/>
  <c r="W126" i="1" s="1"/>
  <c r="AA109" i="1"/>
  <c r="X96" i="1"/>
  <c r="AA93" i="1"/>
  <c r="AA89" i="1"/>
  <c r="W89" i="1" s="1"/>
  <c r="Y55" i="3"/>
  <c r="AC62" i="3"/>
  <c r="AC26" i="3"/>
  <c r="Y45" i="3"/>
  <c r="Y36" i="3"/>
  <c r="Y53" i="3"/>
  <c r="Y52" i="3"/>
  <c r="Y12" i="3"/>
  <c r="Y70" i="3"/>
  <c r="Y20" i="3"/>
  <c r="Y48" i="3"/>
  <c r="Y34" i="3"/>
  <c r="T47" i="3"/>
  <c r="Y63" i="3"/>
  <c r="Y58" i="3"/>
  <c r="Y57" i="3"/>
  <c r="Y37" i="3"/>
  <c r="Y16" i="3"/>
  <c r="AC66" i="3"/>
  <c r="AC56" i="3"/>
  <c r="AC38" i="3"/>
  <c r="AC22" i="3"/>
  <c r="AC64" i="3"/>
  <c r="Y33" i="3"/>
  <c r="Y49" i="3"/>
  <c r="Y10" i="3"/>
  <c r="Y18" i="3"/>
  <c r="Y32" i="3"/>
  <c r="Y64" i="3"/>
  <c r="Y62" i="3"/>
  <c r="Y23" i="3"/>
  <c r="Y26" i="3"/>
  <c r="Y38" i="3"/>
  <c r="AC58" i="3"/>
  <c r="AC24" i="3"/>
  <c r="Y67" i="3"/>
  <c r="Y59" i="3"/>
  <c r="Y43" i="3"/>
  <c r="Y11" i="3"/>
  <c r="AC70" i="3"/>
  <c r="AC68" i="3"/>
  <c r="AC60" i="3"/>
  <c r="AC52" i="3"/>
  <c r="AC48" i="3"/>
  <c r="AC44" i="3"/>
  <c r="AC36" i="3"/>
  <c r="AC32" i="3"/>
  <c r="AC28" i="3"/>
  <c r="AC20" i="3"/>
  <c r="AC16" i="3"/>
  <c r="AC12" i="3"/>
  <c r="AC8" i="3"/>
  <c r="T31" i="3"/>
  <c r="T57" i="3"/>
  <c r="T23" i="3"/>
  <c r="AC67" i="3"/>
  <c r="AC63" i="3"/>
  <c r="AC59" i="3"/>
  <c r="AC55" i="3"/>
  <c r="AC51" i="3"/>
  <c r="AC43" i="3"/>
  <c r="AC39" i="3"/>
  <c r="AC35" i="3"/>
  <c r="AC27" i="3"/>
  <c r="AC19" i="3"/>
  <c r="AC15" i="3"/>
  <c r="AC11" i="3"/>
  <c r="AC46" i="3"/>
  <c r="AC30" i="3"/>
  <c r="AC18" i="3"/>
  <c r="AC14" i="3"/>
  <c r="AC10" i="3"/>
  <c r="AC69" i="3"/>
  <c r="AC65" i="3"/>
  <c r="AC61" i="3"/>
  <c r="AC53" i="3"/>
  <c r="AC49" i="3"/>
  <c r="AC45" i="3"/>
  <c r="AC41" i="3"/>
  <c r="AC37" i="3"/>
  <c r="AC33" i="3"/>
  <c r="AC29" i="3"/>
  <c r="AC25" i="3"/>
  <c r="AC21" i="3"/>
  <c r="AC17" i="3"/>
  <c r="AC13" i="3"/>
  <c r="AC9" i="3"/>
  <c r="AA169" i="1"/>
  <c r="W169" i="1" s="1"/>
  <c r="AA137" i="1"/>
  <c r="AA79" i="1"/>
  <c r="AA57" i="1"/>
  <c r="AA16" i="1"/>
  <c r="AI201" i="1"/>
  <c r="AA201" i="1"/>
  <c r="W201" i="1" s="1"/>
  <c r="AA139" i="1"/>
  <c r="AA131" i="1"/>
  <c r="W131" i="1" s="1"/>
  <c r="AI126" i="1"/>
  <c r="AA103" i="1"/>
  <c r="AA65" i="1"/>
  <c r="AA191" i="1"/>
  <c r="X162" i="1"/>
  <c r="AG211" i="1"/>
  <c r="U211" i="1" s="1"/>
  <c r="S211" i="1" s="1"/>
  <c r="X211" i="1"/>
  <c r="AA210" i="1"/>
  <c r="W210" i="1" s="1"/>
  <c r="X144" i="1"/>
  <c r="AA122" i="1"/>
  <c r="X109" i="1"/>
  <c r="X98" i="1"/>
  <c r="X75" i="1"/>
  <c r="T71" i="1"/>
  <c r="U71" i="1" s="1"/>
  <c r="S71" i="1" s="1"/>
  <c r="AI68" i="1"/>
  <c r="AG34" i="1"/>
  <c r="U34" i="1" s="1"/>
  <c r="S34" i="1" s="1"/>
  <c r="T17" i="1"/>
  <c r="U17" i="1" s="1"/>
  <c r="S17" i="1" s="1"/>
  <c r="T49" i="1"/>
  <c r="T21" i="1"/>
  <c r="U21" i="1" s="1"/>
  <c r="S21" i="1" s="1"/>
  <c r="W105" i="1"/>
  <c r="T105" i="1"/>
  <c r="U105" i="1" s="1"/>
  <c r="S105" i="1" s="1"/>
  <c r="AI98" i="1"/>
  <c r="X202" i="1"/>
  <c r="AA199" i="1"/>
  <c r="AI197" i="1"/>
  <c r="AA190" i="1"/>
  <c r="AI185" i="1"/>
  <c r="AG179" i="1"/>
  <c r="U179" i="1" s="1"/>
  <c r="S179" i="1" s="1"/>
  <c r="X179" i="1"/>
  <c r="AG171" i="1"/>
  <c r="AG165" i="1"/>
  <c r="AI165" i="1" s="1"/>
  <c r="X161" i="1"/>
  <c r="AA216" i="1"/>
  <c r="AA215" i="1"/>
  <c r="AA151" i="1"/>
  <c r="AI142" i="1"/>
  <c r="AA116" i="1"/>
  <c r="AA115" i="1"/>
  <c r="AA110" i="1"/>
  <c r="AA108" i="1"/>
  <c r="X108" i="1"/>
  <c r="AA106" i="1"/>
  <c r="W106" i="1" s="1"/>
  <c r="AG97" i="1"/>
  <c r="U97" i="1" s="1"/>
  <c r="S97" i="1" s="1"/>
  <c r="X97" i="1"/>
  <c r="AA94" i="1"/>
  <c r="W94" i="1" s="1"/>
  <c r="X93" i="1"/>
  <c r="AA81" i="1"/>
  <c r="AA71" i="1"/>
  <c r="W71" i="1" s="1"/>
  <c r="AA63" i="1"/>
  <c r="W63" i="1" s="1"/>
  <c r="AA62" i="1"/>
  <c r="AA48" i="1"/>
  <c r="X45" i="1"/>
  <c r="AA38" i="1"/>
  <c r="AA23" i="1"/>
  <c r="AA20" i="1"/>
  <c r="X18" i="1"/>
  <c r="W82" i="1"/>
  <c r="AA203" i="1"/>
  <c r="AG195" i="1"/>
  <c r="X191" i="1"/>
  <c r="X183" i="1"/>
  <c r="AI181" i="1"/>
  <c r="AA179" i="1"/>
  <c r="AA177" i="1"/>
  <c r="W177" i="1" s="1"/>
  <c r="AA170" i="1"/>
  <c r="W170" i="1" s="1"/>
  <c r="AI157" i="1"/>
  <c r="AA147" i="1"/>
  <c r="W147" i="1" s="1"/>
  <c r="AG141" i="1"/>
  <c r="AI141" i="1" s="1"/>
  <c r="AA138" i="1"/>
  <c r="W138" i="1" s="1"/>
  <c r="AA119" i="1"/>
  <c r="AA112" i="1"/>
  <c r="AG108" i="1"/>
  <c r="U108" i="1" s="1"/>
  <c r="S108" i="1" s="1"/>
  <c r="AA91" i="1"/>
  <c r="W91" i="1" s="1"/>
  <c r="AA87" i="1"/>
  <c r="AA80" i="1"/>
  <c r="AA52" i="1"/>
  <c r="AA51" i="1"/>
  <c r="AG41" i="1"/>
  <c r="AI41" i="1" s="1"/>
  <c r="AA36" i="1"/>
  <c r="AA18" i="1"/>
  <c r="W18" i="1" s="1"/>
  <c r="T18" i="1"/>
  <c r="U18" i="1" s="1"/>
  <c r="S18" i="1" s="1"/>
  <c r="AA15" i="1"/>
  <c r="X189" i="1"/>
  <c r="AA188" i="1"/>
  <c r="AA157" i="1"/>
  <c r="W157" i="1" s="1"/>
  <c r="T125" i="1"/>
  <c r="X125" i="1"/>
  <c r="AG125" i="1"/>
  <c r="AI125" i="1" s="1"/>
  <c r="X101" i="1"/>
  <c r="T101" i="1"/>
  <c r="AG31" i="1"/>
  <c r="AI31" i="1" s="1"/>
  <c r="T31" i="1"/>
  <c r="T30" i="1"/>
  <c r="AG30" i="1"/>
  <c r="T187" i="1"/>
  <c r="X187" i="1"/>
  <c r="AG187" i="1"/>
  <c r="T212" i="1"/>
  <c r="U212" i="1" s="1"/>
  <c r="S212" i="1" s="1"/>
  <c r="AI147" i="1"/>
  <c r="AG137" i="1"/>
  <c r="AI137" i="1" s="1"/>
  <c r="T137" i="1"/>
  <c r="T201" i="1"/>
  <c r="U201" i="1" s="1"/>
  <c r="S201" i="1" s="1"/>
  <c r="AG188" i="1"/>
  <c r="AI177" i="1"/>
  <c r="AA176" i="1"/>
  <c r="AG173" i="1"/>
  <c r="AA196" i="1"/>
  <c r="X193" i="1"/>
  <c r="T192" i="1"/>
  <c r="X192" i="1"/>
  <c r="AG192" i="1"/>
  <c r="AA192" i="1"/>
  <c r="AA165" i="1"/>
  <c r="AG215" i="1"/>
  <c r="U215" i="1" s="1"/>
  <c r="S215" i="1" s="1"/>
  <c r="AG208" i="1"/>
  <c r="AI208" i="1" s="1"/>
  <c r="T208" i="1"/>
  <c r="X208" i="1"/>
  <c r="AG145" i="1"/>
  <c r="U145" i="1" s="1"/>
  <c r="S145" i="1" s="1"/>
  <c r="X142" i="1"/>
  <c r="AA141" i="1"/>
  <c r="W141" i="1" s="1"/>
  <c r="AA135" i="1"/>
  <c r="AA134" i="1"/>
  <c r="AA130" i="1"/>
  <c r="T121" i="1"/>
  <c r="AG121" i="1"/>
  <c r="AA90" i="1"/>
  <c r="W90" i="1" s="1"/>
  <c r="AI90" i="1"/>
  <c r="AI47" i="1"/>
  <c r="T40" i="1"/>
  <c r="AG40" i="1"/>
  <c r="AI40" i="1" s="1"/>
  <c r="X201" i="1"/>
  <c r="AA197" i="1"/>
  <c r="W197" i="1" s="1"/>
  <c r="AA193" i="1"/>
  <c r="W193" i="1" s="1"/>
  <c r="AI189" i="1"/>
  <c r="AA185" i="1"/>
  <c r="W185" i="1" s="1"/>
  <c r="AA184" i="1"/>
  <c r="W184" i="1" s="1"/>
  <c r="AA180" i="1"/>
  <c r="AA172" i="1"/>
  <c r="W172" i="1" s="1"/>
  <c r="AI158" i="1"/>
  <c r="AA158" i="1"/>
  <c r="W158" i="1" s="1"/>
  <c r="AA209" i="1"/>
  <c r="W209" i="1" s="1"/>
  <c r="AA154" i="1"/>
  <c r="W154" i="1" s="1"/>
  <c r="AA153" i="1"/>
  <c r="W153" i="1" s="1"/>
  <c r="X149" i="1"/>
  <c r="AA142" i="1"/>
  <c r="W142" i="1" s="1"/>
  <c r="X133" i="1"/>
  <c r="X126" i="1"/>
  <c r="AA125" i="1"/>
  <c r="AA117" i="1"/>
  <c r="AA111" i="1"/>
  <c r="AA97" i="1"/>
  <c r="AA96" i="1"/>
  <c r="AA95" i="1"/>
  <c r="X85" i="1"/>
  <c r="AA83" i="1"/>
  <c r="W83" i="1" s="1"/>
  <c r="X82" i="1"/>
  <c r="AA73" i="1"/>
  <c r="W73" i="1" s="1"/>
  <c r="AA72" i="1"/>
  <c r="W72" i="1" s="1"/>
  <c r="X67" i="1"/>
  <c r="AA61" i="1"/>
  <c r="AA46" i="1"/>
  <c r="W46" i="1" s="1"/>
  <c r="AA39" i="1"/>
  <c r="AA28" i="1"/>
  <c r="AG109" i="1"/>
  <c r="AI109" i="1" s="1"/>
  <c r="AI94" i="1"/>
  <c r="AG81" i="1"/>
  <c r="AA76" i="1"/>
  <c r="W76" i="1" s="1"/>
  <c r="AA75" i="1"/>
  <c r="AA68" i="1"/>
  <c r="W68" i="1" s="1"/>
  <c r="AA59" i="1"/>
  <c r="W59" i="1" s="1"/>
  <c r="AA45" i="1"/>
  <c r="AA40" i="1"/>
  <c r="AA32" i="1"/>
  <c r="AA31" i="1"/>
  <c r="AG28" i="1"/>
  <c r="U28" i="1" s="1"/>
  <c r="S28" i="1" s="1"/>
  <c r="AA26" i="1"/>
  <c r="W26" i="1" s="1"/>
  <c r="AG23" i="1"/>
  <c r="W159" i="1"/>
  <c r="W219" i="1"/>
  <c r="AI169" i="1"/>
  <c r="AI184" i="1"/>
  <c r="AI153" i="1"/>
  <c r="W196" i="1"/>
  <c r="X195" i="1"/>
  <c r="T188" i="1"/>
  <c r="T184" i="1"/>
  <c r="U184" i="1" s="1"/>
  <c r="S184" i="1" s="1"/>
  <c r="AA181" i="1"/>
  <c r="W181" i="1" s="1"/>
  <c r="T177" i="1"/>
  <c r="U177" i="1" s="1"/>
  <c r="S177" i="1" s="1"/>
  <c r="T172" i="1"/>
  <c r="U172" i="1" s="1"/>
  <c r="S172" i="1" s="1"/>
  <c r="T169" i="1"/>
  <c r="U169" i="1" s="1"/>
  <c r="S169" i="1" s="1"/>
  <c r="AA166" i="1"/>
  <c r="W166" i="1" s="1"/>
  <c r="T165" i="1"/>
  <c r="AA162" i="1"/>
  <c r="AA160" i="1"/>
  <c r="AA217" i="1"/>
  <c r="W215" i="1"/>
  <c r="X157" i="1"/>
  <c r="AA156" i="1"/>
  <c r="AA148" i="1"/>
  <c r="X145" i="1"/>
  <c r="AA144" i="1"/>
  <c r="AA143" i="1"/>
  <c r="T141" i="1"/>
  <c r="U196" i="1"/>
  <c r="S196" i="1" s="1"/>
  <c r="T161" i="1"/>
  <c r="T219" i="1"/>
  <c r="U219" i="1" s="1"/>
  <c r="S219" i="1" s="1"/>
  <c r="X215" i="1"/>
  <c r="T209" i="1"/>
  <c r="T153" i="1"/>
  <c r="U153" i="1" s="1"/>
  <c r="S153" i="1" s="1"/>
  <c r="AG130" i="1"/>
  <c r="AI130" i="1" s="1"/>
  <c r="X130" i="1"/>
  <c r="AG122" i="1"/>
  <c r="AI122" i="1" s="1"/>
  <c r="X122" i="1"/>
  <c r="T117" i="1"/>
  <c r="AG117" i="1"/>
  <c r="AI117" i="1" s="1"/>
  <c r="X118" i="1"/>
  <c r="T100" i="1"/>
  <c r="X100" i="1"/>
  <c r="AG100" i="1"/>
  <c r="AI99" i="1"/>
  <c r="AI89" i="1"/>
  <c r="AA212" i="1"/>
  <c r="W212" i="1" s="1"/>
  <c r="AA204" i="1"/>
  <c r="W204" i="1" s="1"/>
  <c r="T202" i="1"/>
  <c r="U202" i="1" s="1"/>
  <c r="S202" i="1" s="1"/>
  <c r="AA195" i="1"/>
  <c r="AA182" i="1"/>
  <c r="X177" i="1"/>
  <c r="AG176" i="1"/>
  <c r="X176" i="1"/>
  <c r="AG161" i="1"/>
  <c r="AG160" i="1"/>
  <c r="U160" i="1" s="1"/>
  <c r="S160" i="1" s="1"/>
  <c r="X160" i="1"/>
  <c r="AA208" i="1"/>
  <c r="T157" i="1"/>
  <c r="U157" i="1" s="1"/>
  <c r="S157" i="1" s="1"/>
  <c r="AA149" i="1"/>
  <c r="AG148" i="1"/>
  <c r="U148" i="1" s="1"/>
  <c r="S148" i="1" s="1"/>
  <c r="X148" i="1"/>
  <c r="T146" i="1"/>
  <c r="U146" i="1" s="1"/>
  <c r="S146" i="1" s="1"/>
  <c r="AI138" i="1"/>
  <c r="AA133" i="1"/>
  <c r="AG132" i="1"/>
  <c r="AI132" i="1" s="1"/>
  <c r="X132" i="1"/>
  <c r="AG128" i="1"/>
  <c r="U128" i="1" s="1"/>
  <c r="S128" i="1" s="1"/>
  <c r="T213" i="1"/>
  <c r="U213" i="1" s="1"/>
  <c r="S213" i="1" s="1"/>
  <c r="X213" i="1"/>
  <c r="AA200" i="1"/>
  <c r="T193" i="1"/>
  <c r="U193" i="1" s="1"/>
  <c r="S193" i="1" s="1"/>
  <c r="AA189" i="1"/>
  <c r="W189" i="1" s="1"/>
  <c r="AA187" i="1"/>
  <c r="AA186" i="1"/>
  <c r="W186" i="1" s="1"/>
  <c r="T185" i="1"/>
  <c r="AA173" i="1"/>
  <c r="AA171" i="1"/>
  <c r="T170" i="1"/>
  <c r="U170" i="1" s="1"/>
  <c r="S170" i="1" s="1"/>
  <c r="AA163" i="1"/>
  <c r="T158" i="1"/>
  <c r="U158" i="1" s="1"/>
  <c r="S158" i="1" s="1"/>
  <c r="X209" i="1"/>
  <c r="AA206" i="1"/>
  <c r="X205" i="1"/>
  <c r="AA155" i="1"/>
  <c r="W155" i="1" s="1"/>
  <c r="AA150" i="1"/>
  <c r="AG149" i="1"/>
  <c r="U149" i="1" s="1"/>
  <c r="S149" i="1" s="1"/>
  <c r="AA145" i="1"/>
  <c r="AG133" i="1"/>
  <c r="U133" i="1" s="1"/>
  <c r="S133" i="1" s="1"/>
  <c r="T130" i="1"/>
  <c r="X129" i="1"/>
  <c r="AG129" i="1"/>
  <c r="AI129" i="1" s="1"/>
  <c r="AA129" i="1"/>
  <c r="AA118" i="1"/>
  <c r="W118" i="1" s="1"/>
  <c r="AG114" i="1"/>
  <c r="W114" i="1" s="1"/>
  <c r="X114" i="1"/>
  <c r="AI71" i="1"/>
  <c r="T93" i="1"/>
  <c r="T89" i="1"/>
  <c r="U89" i="1" s="1"/>
  <c r="S89" i="1" s="1"/>
  <c r="T75" i="1"/>
  <c r="T68" i="1"/>
  <c r="U68" i="1" s="1"/>
  <c r="S68" i="1" s="1"/>
  <c r="T59" i="1"/>
  <c r="U59" i="1" s="1"/>
  <c r="S59" i="1" s="1"/>
  <c r="T45" i="1"/>
  <c r="AA33" i="1"/>
  <c r="AA27" i="1"/>
  <c r="W27" i="1" s="1"/>
  <c r="T27" i="1"/>
  <c r="U27" i="1" s="1"/>
  <c r="S27" i="1" s="1"/>
  <c r="T26" i="1"/>
  <c r="U26" i="1" s="1"/>
  <c r="S26" i="1" s="1"/>
  <c r="AA21" i="1"/>
  <c r="W21" i="1" s="1"/>
  <c r="AG15" i="1"/>
  <c r="AA107" i="1"/>
  <c r="AA101" i="1"/>
  <c r="X94" i="1"/>
  <c r="AG93" i="1"/>
  <c r="AG92" i="1"/>
  <c r="AI92" i="1" s="1"/>
  <c r="X92" i="1"/>
  <c r="AA85" i="1"/>
  <c r="AG84" i="1"/>
  <c r="AI84" i="1" s="1"/>
  <c r="X84" i="1"/>
  <c r="X76" i="1"/>
  <c r="AG75" i="1"/>
  <c r="AI75" i="1" s="1"/>
  <c r="AG74" i="1"/>
  <c r="U74" i="1" s="1"/>
  <c r="S74" i="1" s="1"/>
  <c r="X74" i="1"/>
  <c r="AA67" i="1"/>
  <c r="X63" i="1"/>
  <c r="AG62" i="1"/>
  <c r="AI62" i="1" s="1"/>
  <c r="AA58" i="1"/>
  <c r="T55" i="1"/>
  <c r="U55" i="1" s="1"/>
  <c r="S55" i="1" s="1"/>
  <c r="X46" i="1"/>
  <c r="AG45" i="1"/>
  <c r="AI45" i="1" s="1"/>
  <c r="AA140" i="1"/>
  <c r="AA132" i="1"/>
  <c r="AA123" i="1"/>
  <c r="AA121" i="1"/>
  <c r="AG113" i="1"/>
  <c r="AI113" i="1" s="1"/>
  <c r="AG107" i="1"/>
  <c r="AI107" i="1" s="1"/>
  <c r="AA102" i="1"/>
  <c r="AG101" i="1"/>
  <c r="U101" i="1" s="1"/>
  <c r="S101" i="1" s="1"/>
  <c r="T98" i="1"/>
  <c r="U98" i="1" s="1"/>
  <c r="S98" i="1" s="1"/>
  <c r="AA86" i="1"/>
  <c r="AG85" i="1"/>
  <c r="U85" i="1" s="1"/>
  <c r="S85" i="1" s="1"/>
  <c r="T82" i="1"/>
  <c r="U82" i="1" s="1"/>
  <c r="S82" i="1" s="1"/>
  <c r="X68" i="1"/>
  <c r="AG67" i="1"/>
  <c r="U67" i="1" s="1"/>
  <c r="S67" i="1" s="1"/>
  <c r="X59" i="1"/>
  <c r="AG58" i="1"/>
  <c r="U58" i="1" s="1"/>
  <c r="S58" i="1" s="1"/>
  <c r="AA54" i="1"/>
  <c r="W54" i="1" s="1"/>
  <c r="AA53" i="1"/>
  <c r="AA49" i="1"/>
  <c r="W49" i="1" s="1"/>
  <c r="AG48" i="1"/>
  <c r="AI48" i="1" s="1"/>
  <c r="X48" i="1"/>
  <c r="AA44" i="1"/>
  <c r="AA43" i="1"/>
  <c r="AG39" i="1"/>
  <c r="AI39" i="1" s="1"/>
  <c r="AA34" i="1"/>
  <c r="AG33" i="1"/>
  <c r="U33" i="1" s="1"/>
  <c r="S33" i="1" s="1"/>
  <c r="X33" i="1"/>
  <c r="AG32" i="1"/>
  <c r="AA30" i="1"/>
  <c r="W30" i="1" s="1"/>
  <c r="X27" i="1"/>
  <c r="AA24" i="1"/>
  <c r="AG19" i="1"/>
  <c r="AA17" i="1"/>
  <c r="W17" i="1" s="1"/>
  <c r="AA128" i="1"/>
  <c r="AA127" i="1"/>
  <c r="AA120" i="1"/>
  <c r="W120" i="1" s="1"/>
  <c r="T118" i="1"/>
  <c r="U118" i="1" s="1"/>
  <c r="S118" i="1" s="1"/>
  <c r="X110" i="1"/>
  <c r="AA100" i="1"/>
  <c r="W100" i="1" s="1"/>
  <c r="AA92" i="1"/>
  <c r="AA84" i="1"/>
  <c r="AA74" i="1"/>
  <c r="AA66" i="1"/>
  <c r="W66" i="1" s="1"/>
  <c r="T63" i="1"/>
  <c r="U63" i="1" s="1"/>
  <c r="S63" i="1" s="1"/>
  <c r="X55" i="1"/>
  <c r="AA50" i="1"/>
  <c r="U49" i="1"/>
  <c r="S49" i="1" s="1"/>
  <c r="X49" i="1"/>
  <c r="T46" i="1"/>
  <c r="U46" i="1" s="1"/>
  <c r="S46" i="1" s="1"/>
  <c r="AA35" i="1"/>
  <c r="X34" i="1"/>
  <c r="AA29" i="1"/>
  <c r="AA14" i="1"/>
  <c r="W14" i="1" s="1"/>
  <c r="T14" i="1"/>
  <c r="U14" i="1" s="1"/>
  <c r="S14" i="1" s="1"/>
  <c r="T174" i="1"/>
  <c r="AI213" i="1"/>
  <c r="X200" i="1"/>
  <c r="T200" i="1"/>
  <c r="AG199" i="1"/>
  <c r="AI199" i="1" s="1"/>
  <c r="X197" i="1"/>
  <c r="T182" i="1"/>
  <c r="X182" i="1"/>
  <c r="X181" i="1"/>
  <c r="AI188" i="1"/>
  <c r="T175" i="1"/>
  <c r="T167" i="1"/>
  <c r="X167" i="1"/>
  <c r="X166" i="1"/>
  <c r="X164" i="1"/>
  <c r="AG164" i="1"/>
  <c r="AI164" i="1" s="1"/>
  <c r="X218" i="1"/>
  <c r="AG218" i="1"/>
  <c r="AI218" i="1" s="1"/>
  <c r="X219" i="1"/>
  <c r="AG216" i="1"/>
  <c r="AI216" i="1" s="1"/>
  <c r="T216" i="1"/>
  <c r="X216" i="1"/>
  <c r="X152" i="1"/>
  <c r="AG152" i="1"/>
  <c r="X153" i="1"/>
  <c r="T143" i="1"/>
  <c r="X143" i="1"/>
  <c r="AG143" i="1"/>
  <c r="AI139" i="1"/>
  <c r="T127" i="1"/>
  <c r="X127" i="1"/>
  <c r="AG127" i="1"/>
  <c r="X128" i="1"/>
  <c r="AI124" i="1"/>
  <c r="AG120" i="1"/>
  <c r="X121" i="1"/>
  <c r="T120" i="1"/>
  <c r="X120" i="1"/>
  <c r="T190" i="1"/>
  <c r="X190" i="1"/>
  <c r="T183" i="1"/>
  <c r="T168" i="1"/>
  <c r="AG150" i="1"/>
  <c r="T150" i="1"/>
  <c r="X150" i="1"/>
  <c r="T123" i="1"/>
  <c r="X123" i="1"/>
  <c r="AG123" i="1"/>
  <c r="AA113" i="1"/>
  <c r="U113" i="1"/>
  <c r="S113" i="1" s="1"/>
  <c r="AG200" i="1"/>
  <c r="AI200" i="1" s="1"/>
  <c r="AG214" i="1"/>
  <c r="W214" i="1" s="1"/>
  <c r="X204" i="1"/>
  <c r="T204" i="1"/>
  <c r="U204" i="1" s="1"/>
  <c r="S204" i="1" s="1"/>
  <c r="AG203" i="1"/>
  <c r="T198" i="1"/>
  <c r="X198" i="1"/>
  <c r="U195" i="1"/>
  <c r="S195" i="1" s="1"/>
  <c r="AI204" i="1"/>
  <c r="T191" i="1"/>
  <c r="X214" i="1"/>
  <c r="X203" i="1"/>
  <c r="X199" i="1"/>
  <c r="AG198" i="1"/>
  <c r="AI198" i="1" s="1"/>
  <c r="AG191" i="1"/>
  <c r="AI191" i="1" s="1"/>
  <c r="T189" i="1"/>
  <c r="U189" i="1" s="1"/>
  <c r="S189" i="1" s="1"/>
  <c r="T186" i="1"/>
  <c r="U186" i="1" s="1"/>
  <c r="S186" i="1" s="1"/>
  <c r="X186" i="1"/>
  <c r="X185" i="1"/>
  <c r="X184" i="1"/>
  <c r="AA183" i="1"/>
  <c r="AG182" i="1"/>
  <c r="AI182" i="1" s="1"/>
  <c r="AG175" i="1"/>
  <c r="X175" i="1"/>
  <c r="T173" i="1"/>
  <c r="X169" i="1"/>
  <c r="AA168" i="1"/>
  <c r="AG167" i="1"/>
  <c r="T163" i="1"/>
  <c r="X163" i="1"/>
  <c r="AG163" i="1"/>
  <c r="AI163" i="1" s="1"/>
  <c r="AG162" i="1"/>
  <c r="AI162" i="1" s="1"/>
  <c r="T162" i="1"/>
  <c r="AI155" i="1"/>
  <c r="AG134" i="1"/>
  <c r="T134" i="1"/>
  <c r="X134" i="1"/>
  <c r="T206" i="1"/>
  <c r="X206" i="1"/>
  <c r="AG206" i="1"/>
  <c r="AI91" i="1"/>
  <c r="AG86" i="1"/>
  <c r="T86" i="1"/>
  <c r="X86" i="1"/>
  <c r="AG20" i="1"/>
  <c r="X21" i="1"/>
  <c r="T20" i="1"/>
  <c r="X20" i="1"/>
  <c r="X212" i="1"/>
  <c r="T197" i="1"/>
  <c r="U197" i="1" s="1"/>
  <c r="S197" i="1" s="1"/>
  <c r="T194" i="1"/>
  <c r="U194" i="1" s="1"/>
  <c r="S194" i="1" s="1"/>
  <c r="X194" i="1"/>
  <c r="AG190" i="1"/>
  <c r="U185" i="1"/>
  <c r="S185" i="1" s="1"/>
  <c r="AG183" i="1"/>
  <c r="AI183" i="1" s="1"/>
  <c r="T181" i="1"/>
  <c r="U181" i="1" s="1"/>
  <c r="S181" i="1" s="1"/>
  <c r="T178" i="1"/>
  <c r="U178" i="1" s="1"/>
  <c r="S178" i="1" s="1"/>
  <c r="X178" i="1"/>
  <c r="AA175" i="1"/>
  <c r="AG174" i="1"/>
  <c r="AG168" i="1"/>
  <c r="T166" i="1"/>
  <c r="U166" i="1" s="1"/>
  <c r="S166" i="1" s="1"/>
  <c r="W139" i="1"/>
  <c r="X136" i="1"/>
  <c r="AG136" i="1"/>
  <c r="X137" i="1"/>
  <c r="T217" i="1"/>
  <c r="X217" i="1"/>
  <c r="T207" i="1"/>
  <c r="AG156" i="1"/>
  <c r="X156" i="1"/>
  <c r="T154" i="1"/>
  <c r="U154" i="1" s="1"/>
  <c r="S154" i="1" s="1"/>
  <c r="T151" i="1"/>
  <c r="X151" i="1"/>
  <c r="T144" i="1"/>
  <c r="AG140" i="1"/>
  <c r="X140" i="1"/>
  <c r="T138" i="1"/>
  <c r="U138" i="1" s="1"/>
  <c r="S138" i="1" s="1"/>
  <c r="T135" i="1"/>
  <c r="X135" i="1"/>
  <c r="AI118" i="1"/>
  <c r="AG112" i="1"/>
  <c r="W112" i="1" s="1"/>
  <c r="X113" i="1"/>
  <c r="T112" i="1"/>
  <c r="X112" i="1"/>
  <c r="T95" i="1"/>
  <c r="X95" i="1"/>
  <c r="AG95" i="1"/>
  <c r="X88" i="1"/>
  <c r="AG88" i="1"/>
  <c r="X89" i="1"/>
  <c r="AI66" i="1"/>
  <c r="AG37" i="1"/>
  <c r="T37" i="1"/>
  <c r="T159" i="1"/>
  <c r="U159" i="1" s="1"/>
  <c r="S159" i="1" s="1"/>
  <c r="X159" i="1"/>
  <c r="X158" i="1"/>
  <c r="AA218" i="1"/>
  <c r="AG217" i="1"/>
  <c r="AI217" i="1" s="1"/>
  <c r="U209" i="1"/>
  <c r="S209" i="1" s="1"/>
  <c r="AG207" i="1"/>
  <c r="AI207" i="1" s="1"/>
  <c r="X207" i="1"/>
  <c r="T205" i="1"/>
  <c r="U205" i="1" s="1"/>
  <c r="S205" i="1" s="1"/>
  <c r="T155" i="1"/>
  <c r="U155" i="1" s="1"/>
  <c r="S155" i="1" s="1"/>
  <c r="X155" i="1"/>
  <c r="X154" i="1"/>
  <c r="AA152" i="1"/>
  <c r="AG151" i="1"/>
  <c r="AG144" i="1"/>
  <c r="T142" i="1"/>
  <c r="U142" i="1" s="1"/>
  <c r="S142" i="1" s="1"/>
  <c r="T139" i="1"/>
  <c r="U139" i="1" s="1"/>
  <c r="S139" i="1" s="1"/>
  <c r="X139" i="1"/>
  <c r="X138" i="1"/>
  <c r="AA136" i="1"/>
  <c r="AG135" i="1"/>
  <c r="T126" i="1"/>
  <c r="U126" i="1" s="1"/>
  <c r="S126" i="1" s="1"/>
  <c r="AG102" i="1"/>
  <c r="T102" i="1"/>
  <c r="X102" i="1"/>
  <c r="T79" i="1"/>
  <c r="AG79" i="1"/>
  <c r="X70" i="1"/>
  <c r="AG70" i="1"/>
  <c r="X71" i="1"/>
  <c r="T43" i="1"/>
  <c r="X43" i="1"/>
  <c r="AG43" i="1"/>
  <c r="AA164" i="1"/>
  <c r="W164" i="1" s="1"/>
  <c r="T210" i="1"/>
  <c r="U210" i="1" s="1"/>
  <c r="S210" i="1" s="1"/>
  <c r="X210" i="1"/>
  <c r="AA207" i="1"/>
  <c r="T147" i="1"/>
  <c r="U147" i="1" s="1"/>
  <c r="S147" i="1" s="1"/>
  <c r="X147" i="1"/>
  <c r="T131" i="1"/>
  <c r="U131" i="1" s="1"/>
  <c r="S131" i="1" s="1"/>
  <c r="X131" i="1"/>
  <c r="T124" i="1"/>
  <c r="U124" i="1" s="1"/>
  <c r="S124" i="1" s="1"/>
  <c r="X124" i="1"/>
  <c r="AG116" i="1"/>
  <c r="X117" i="1"/>
  <c r="T116" i="1"/>
  <c r="X116" i="1"/>
  <c r="X104" i="1"/>
  <c r="AG104" i="1"/>
  <c r="X105" i="1"/>
  <c r="AI73" i="1"/>
  <c r="T70" i="1"/>
  <c r="AI55" i="1"/>
  <c r="AG119" i="1"/>
  <c r="AG115" i="1"/>
  <c r="AG111" i="1"/>
  <c r="AI108" i="1"/>
  <c r="T106" i="1"/>
  <c r="U106" i="1" s="1"/>
  <c r="S106" i="1" s="1"/>
  <c r="T103" i="1"/>
  <c r="X103" i="1"/>
  <c r="T96" i="1"/>
  <c r="T90" i="1"/>
  <c r="U90" i="1" s="1"/>
  <c r="S90" i="1" s="1"/>
  <c r="T87" i="1"/>
  <c r="X87" i="1"/>
  <c r="T80" i="1"/>
  <c r="T72" i="1"/>
  <c r="U72" i="1" s="1"/>
  <c r="S72" i="1" s="1"/>
  <c r="T69" i="1"/>
  <c r="X69" i="1"/>
  <c r="AI63" i="1"/>
  <c r="AG57" i="1"/>
  <c r="X58" i="1"/>
  <c r="T57" i="1"/>
  <c r="X57" i="1"/>
  <c r="AI54" i="1"/>
  <c r="AG35" i="1"/>
  <c r="T35" i="1"/>
  <c r="X35" i="1"/>
  <c r="AG29" i="1"/>
  <c r="X30" i="1"/>
  <c r="T29" i="1"/>
  <c r="X29" i="1"/>
  <c r="AG16" i="1"/>
  <c r="X17" i="1"/>
  <c r="T16" i="1"/>
  <c r="X16" i="1"/>
  <c r="X119" i="1"/>
  <c r="X115" i="1"/>
  <c r="X111" i="1"/>
  <c r="AG110" i="1"/>
  <c r="T107" i="1"/>
  <c r="X107" i="1"/>
  <c r="X106" i="1"/>
  <c r="AA104" i="1"/>
  <c r="AG103" i="1"/>
  <c r="AG96" i="1"/>
  <c r="T94" i="1"/>
  <c r="U94" i="1" s="1"/>
  <c r="S94" i="1" s="1"/>
  <c r="T91" i="1"/>
  <c r="U91" i="1" s="1"/>
  <c r="S91" i="1" s="1"/>
  <c r="X91" i="1"/>
  <c r="X90" i="1"/>
  <c r="AA88" i="1"/>
  <c r="AG87" i="1"/>
  <c r="AG80" i="1"/>
  <c r="W80" i="1" s="1"/>
  <c r="T76" i="1"/>
  <c r="U76" i="1" s="1"/>
  <c r="S76" i="1" s="1"/>
  <c r="T73" i="1"/>
  <c r="U73" i="1" s="1"/>
  <c r="S73" i="1" s="1"/>
  <c r="X73" i="1"/>
  <c r="X72" i="1"/>
  <c r="AA70" i="1"/>
  <c r="AG69" i="1"/>
  <c r="T66" i="1"/>
  <c r="U66" i="1" s="1"/>
  <c r="S66" i="1" s="1"/>
  <c r="X66" i="1"/>
  <c r="AI59" i="1"/>
  <c r="W55" i="1"/>
  <c r="U54" i="1"/>
  <c r="S54" i="1" s="1"/>
  <c r="AG53" i="1"/>
  <c r="X54" i="1"/>
  <c r="T53" i="1"/>
  <c r="X53" i="1"/>
  <c r="T99" i="1"/>
  <c r="U99" i="1" s="1"/>
  <c r="S99" i="1" s="1"/>
  <c r="X99" i="1"/>
  <c r="T83" i="1"/>
  <c r="U83" i="1" s="1"/>
  <c r="S83" i="1" s="1"/>
  <c r="X83" i="1"/>
  <c r="AG61" i="1"/>
  <c r="X62" i="1"/>
  <c r="T61" i="1"/>
  <c r="X61" i="1"/>
  <c r="AG50" i="1"/>
  <c r="T50" i="1"/>
  <c r="X50" i="1"/>
  <c r="AG24" i="1"/>
  <c r="T24" i="1"/>
  <c r="X24" i="1"/>
  <c r="AG65" i="1"/>
  <c r="AG60" i="1"/>
  <c r="AG56" i="1"/>
  <c r="AG52" i="1"/>
  <c r="W52" i="1" s="1"/>
  <c r="T51" i="1"/>
  <c r="X51" i="1"/>
  <c r="T44" i="1"/>
  <c r="T38" i="1"/>
  <c r="T36" i="1"/>
  <c r="X36" i="1"/>
  <c r="X31" i="1"/>
  <c r="AI27" i="1"/>
  <c r="AI22" i="1"/>
  <c r="AI18" i="1"/>
  <c r="AI14" i="1"/>
  <c r="X60" i="1"/>
  <c r="X56" i="1"/>
  <c r="X52" i="1"/>
  <c r="AG51" i="1"/>
  <c r="AI49" i="1"/>
  <c r="AG44" i="1"/>
  <c r="T42" i="1"/>
  <c r="T39" i="1"/>
  <c r="AA37" i="1"/>
  <c r="AG36" i="1"/>
  <c r="AI26" i="1"/>
  <c r="AI21" i="1"/>
  <c r="AI17" i="1"/>
  <c r="T47" i="1"/>
  <c r="U47" i="1" s="1"/>
  <c r="S47" i="1" s="1"/>
  <c r="X47" i="1"/>
  <c r="X32" i="1"/>
  <c r="X28" i="1"/>
  <c r="X23" i="1"/>
  <c r="X19" i="1"/>
  <c r="X15" i="1"/>
  <c r="S25" i="3"/>
  <c r="R25" i="3"/>
  <c r="S17" i="3"/>
  <c r="R17" i="3"/>
  <c r="S39" i="3"/>
  <c r="R39" i="3"/>
  <c r="S30" i="3"/>
  <c r="R30" i="3"/>
  <c r="S26" i="3"/>
  <c r="R26" i="3"/>
  <c r="S23" i="3"/>
  <c r="R23" i="3"/>
  <c r="S27" i="3"/>
  <c r="R27" i="3"/>
  <c r="S40" i="3"/>
  <c r="R40" i="3"/>
  <c r="S14" i="3"/>
  <c r="R14" i="3"/>
  <c r="S32" i="3"/>
  <c r="R32" i="3"/>
  <c r="S41" i="3"/>
  <c r="R41" i="3"/>
  <c r="S22" i="3"/>
  <c r="R22" i="3"/>
  <c r="S11" i="3"/>
  <c r="R11" i="3"/>
  <c r="S33" i="3"/>
  <c r="R33" i="3"/>
  <c r="S15" i="3"/>
  <c r="R15" i="3"/>
  <c r="S34" i="3"/>
  <c r="R34" i="3"/>
  <c r="S19" i="3"/>
  <c r="R19" i="3"/>
  <c r="S13" i="3"/>
  <c r="R13" i="3"/>
  <c r="S42" i="3"/>
  <c r="R42" i="3"/>
  <c r="S20" i="3"/>
  <c r="R20" i="3"/>
  <c r="S24" i="3"/>
  <c r="R24" i="3"/>
  <c r="S61" i="3"/>
  <c r="R61" i="3"/>
  <c r="S62" i="3"/>
  <c r="R62" i="3"/>
  <c r="S57" i="3"/>
  <c r="R57" i="3"/>
  <c r="S58" i="3"/>
  <c r="R58" i="3"/>
  <c r="S65" i="3"/>
  <c r="R65" i="3"/>
  <c r="S48" i="3"/>
  <c r="R48" i="3"/>
  <c r="S51" i="3"/>
  <c r="R51" i="3"/>
  <c r="S12" i="3"/>
  <c r="R12" i="3"/>
  <c r="S35" i="3"/>
  <c r="R35" i="3"/>
  <c r="S44" i="3"/>
  <c r="R44" i="3"/>
  <c r="S36" i="3"/>
  <c r="R36" i="3"/>
  <c r="S28" i="3"/>
  <c r="R28" i="3"/>
  <c r="S45" i="3"/>
  <c r="R45" i="3"/>
  <c r="S21" i="3"/>
  <c r="R21" i="3"/>
  <c r="S66" i="3"/>
  <c r="R66" i="3"/>
  <c r="S52" i="3"/>
  <c r="R52" i="3"/>
  <c r="S53" i="3"/>
  <c r="R53" i="3"/>
  <c r="S59" i="3"/>
  <c r="R59" i="3"/>
  <c r="S60" i="3"/>
  <c r="R60" i="3"/>
  <c r="S70" i="3"/>
  <c r="R70" i="3"/>
  <c r="R54" i="3"/>
  <c r="M54" i="3"/>
  <c r="N54" i="3"/>
  <c r="S54" i="3"/>
  <c r="U54" i="3"/>
  <c r="V54" i="3"/>
  <c r="W54" i="3"/>
  <c r="X54" i="3"/>
  <c r="W218" i="1" l="1"/>
  <c r="W121" i="1"/>
  <c r="W20" i="1"/>
  <c r="W96" i="1"/>
  <c r="W84" i="1"/>
  <c r="U109" i="1"/>
  <c r="S109" i="1" s="1"/>
  <c r="AI180" i="1"/>
  <c r="AI34" i="1"/>
  <c r="AI58" i="1"/>
  <c r="W61" i="1"/>
  <c r="U81" i="1"/>
  <c r="S81" i="1" s="1"/>
  <c r="W179" i="1"/>
  <c r="AI97" i="1"/>
  <c r="W34" i="1"/>
  <c r="U100" i="1"/>
  <c r="S100" i="1" s="1"/>
  <c r="U141" i="1"/>
  <c r="S141" i="1" s="1"/>
  <c r="W195" i="1"/>
  <c r="W38" i="1"/>
  <c r="U42" i="1"/>
  <c r="S42" i="1" s="1"/>
  <c r="W42" i="1"/>
  <c r="U38" i="1"/>
  <c r="S38" i="1" s="1"/>
  <c r="W145" i="1"/>
  <c r="W57" i="1"/>
  <c r="W144" i="1"/>
  <c r="W174" i="1"/>
  <c r="W206" i="1"/>
  <c r="AI148" i="1"/>
  <c r="W161" i="1"/>
  <c r="U171" i="1"/>
  <c r="S171" i="1" s="1"/>
  <c r="W16" i="1"/>
  <c r="U165" i="1"/>
  <c r="S165" i="1" s="1"/>
  <c r="W180" i="1"/>
  <c r="AI100" i="1"/>
  <c r="W211" i="1"/>
  <c r="AI149" i="1"/>
  <c r="AI171" i="1"/>
  <c r="W191" i="1"/>
  <c r="AI128" i="1"/>
  <c r="W113" i="1"/>
  <c r="W171" i="1"/>
  <c r="U117" i="1"/>
  <c r="S117" i="1" s="1"/>
  <c r="U188" i="1"/>
  <c r="S188" i="1" s="1"/>
  <c r="W95" i="1"/>
  <c r="W117" i="1"/>
  <c r="U40" i="1"/>
  <c r="S40" i="1" s="1"/>
  <c r="AI85" i="1"/>
  <c r="W37" i="1"/>
  <c r="U129" i="1"/>
  <c r="S129" i="1" s="1"/>
  <c r="W129" i="1"/>
  <c r="W62" i="1"/>
  <c r="W137" i="1"/>
  <c r="U187" i="1"/>
  <c r="S187" i="1" s="1"/>
  <c r="W33" i="1"/>
  <c r="W208" i="1"/>
  <c r="W31" i="1"/>
  <c r="U31" i="1"/>
  <c r="S31" i="1" s="1"/>
  <c r="W108" i="1"/>
  <c r="Y54" i="3"/>
  <c r="T54" i="3"/>
  <c r="AC54" i="3"/>
  <c r="W67" i="1"/>
  <c r="W35" i="1"/>
  <c r="AI67" i="1"/>
  <c r="U130" i="1"/>
  <c r="S130" i="1" s="1"/>
  <c r="U161" i="1"/>
  <c r="S161" i="1" s="1"/>
  <c r="W32" i="1"/>
  <c r="W39" i="1"/>
  <c r="W107" i="1"/>
  <c r="U75" i="1"/>
  <c r="S75" i="1" s="1"/>
  <c r="U125" i="1"/>
  <c r="S125" i="1" s="1"/>
  <c r="W176" i="1"/>
  <c r="W53" i="1"/>
  <c r="U107" i="1"/>
  <c r="S107" i="1" s="1"/>
  <c r="AI161" i="1"/>
  <c r="AI145" i="1"/>
  <c r="W127" i="1"/>
  <c r="W43" i="1"/>
  <c r="U208" i="1"/>
  <c r="S208" i="1" s="1"/>
  <c r="W81" i="1"/>
  <c r="AI81" i="1"/>
  <c r="W86" i="1"/>
  <c r="AI33" i="1"/>
  <c r="W70" i="1"/>
  <c r="W29" i="1"/>
  <c r="AI74" i="1"/>
  <c r="W102" i="1"/>
  <c r="AI133" i="1"/>
  <c r="W152" i="1"/>
  <c r="U84" i="1"/>
  <c r="S84" i="1" s="1"/>
  <c r="U173" i="1"/>
  <c r="S173" i="1" s="1"/>
  <c r="U41" i="1"/>
  <c r="S41" i="1" s="1"/>
  <c r="W188" i="1"/>
  <c r="W24" i="1"/>
  <c r="W104" i="1"/>
  <c r="W110" i="1"/>
  <c r="W207" i="1"/>
  <c r="U62" i="1"/>
  <c r="S62" i="1" s="1"/>
  <c r="W97" i="1"/>
  <c r="U132" i="1"/>
  <c r="S132" i="1" s="1"/>
  <c r="W74" i="1"/>
  <c r="W173" i="1"/>
  <c r="W187" i="1"/>
  <c r="W143" i="1"/>
  <c r="W40" i="1"/>
  <c r="U121" i="1"/>
  <c r="S121" i="1" s="1"/>
  <c r="W165" i="1"/>
  <c r="U192" i="1"/>
  <c r="S192" i="1" s="1"/>
  <c r="U137" i="1"/>
  <c r="W132" i="1"/>
  <c r="W150" i="1"/>
  <c r="W199" i="1"/>
  <c r="W45" i="1"/>
  <c r="W41" i="1"/>
  <c r="U114" i="1"/>
  <c r="S114" i="1" s="1"/>
  <c r="AI121" i="1"/>
  <c r="U92" i="1"/>
  <c r="S92" i="1" s="1"/>
  <c r="W148" i="1"/>
  <c r="AI192" i="1"/>
  <c r="AI28" i="1"/>
  <c r="W85" i="1"/>
  <c r="W192" i="1"/>
  <c r="U23" i="1"/>
  <c r="S23" i="1" s="1"/>
  <c r="AI23" i="1"/>
  <c r="U30" i="1"/>
  <c r="S30" i="1" s="1"/>
  <c r="AI30" i="1"/>
  <c r="W48" i="1"/>
  <c r="U48" i="1"/>
  <c r="S48" i="1" s="1"/>
  <c r="U39" i="1"/>
  <c r="S39" i="1" s="1"/>
  <c r="W88" i="1"/>
  <c r="AI101" i="1"/>
  <c r="U122" i="1"/>
  <c r="S122" i="1" s="1"/>
  <c r="AI114" i="1"/>
  <c r="W101" i="1"/>
  <c r="W109" i="1"/>
  <c r="W92" i="1"/>
  <c r="W149" i="1"/>
  <c r="W28" i="1"/>
  <c r="W125" i="1"/>
  <c r="W23" i="1"/>
  <c r="AI206" i="1"/>
  <c r="W128" i="1"/>
  <c r="U45" i="1"/>
  <c r="S45" i="1" s="1"/>
  <c r="U93" i="1"/>
  <c r="S93" i="1" s="1"/>
  <c r="AI93" i="1"/>
  <c r="U15" i="1"/>
  <c r="S15" i="1" s="1"/>
  <c r="AI15" i="1"/>
  <c r="W75" i="1"/>
  <c r="W175" i="1"/>
  <c r="W162" i="1"/>
  <c r="W15" i="1"/>
  <c r="W133" i="1"/>
  <c r="U176" i="1"/>
  <c r="S176" i="1" s="1"/>
  <c r="AI176" i="1"/>
  <c r="W160" i="1"/>
  <c r="U19" i="1"/>
  <c r="S19" i="1" s="1"/>
  <c r="AI19" i="1"/>
  <c r="W19" i="1"/>
  <c r="W122" i="1"/>
  <c r="W190" i="1"/>
  <c r="AI190" i="1"/>
  <c r="W183" i="1"/>
  <c r="W200" i="1"/>
  <c r="AI214" i="1"/>
  <c r="U32" i="1"/>
  <c r="S32" i="1" s="1"/>
  <c r="AI32" i="1"/>
  <c r="W58" i="1"/>
  <c r="W93" i="1"/>
  <c r="W130" i="1"/>
  <c r="W168" i="1"/>
  <c r="U123" i="1"/>
  <c r="S123" i="1" s="1"/>
  <c r="AI123" i="1"/>
  <c r="U60" i="1"/>
  <c r="S60" i="1" s="1"/>
  <c r="W60" i="1"/>
  <c r="AI60" i="1"/>
  <c r="U115" i="1"/>
  <c r="S115" i="1" s="1"/>
  <c r="W115" i="1"/>
  <c r="AI115" i="1"/>
  <c r="AI43" i="1"/>
  <c r="U43" i="1"/>
  <c r="S43" i="1" s="1"/>
  <c r="AI70" i="1"/>
  <c r="U70" i="1"/>
  <c r="S70" i="1" s="1"/>
  <c r="W136" i="1"/>
  <c r="AI160" i="1"/>
  <c r="U207" i="1"/>
  <c r="S207" i="1" s="1"/>
  <c r="AI167" i="1"/>
  <c r="U217" i="1"/>
  <c r="S217" i="1" s="1"/>
  <c r="W217" i="1"/>
  <c r="AI88" i="1"/>
  <c r="U88" i="1"/>
  <c r="S88" i="1" s="1"/>
  <c r="AI186" i="1"/>
  <c r="U174" i="1"/>
  <c r="S174" i="1" s="1"/>
  <c r="U20" i="1"/>
  <c r="S20" i="1" s="1"/>
  <c r="AI20" i="1"/>
  <c r="AI203" i="1"/>
  <c r="U191" i="1"/>
  <c r="S191" i="1" s="1"/>
  <c r="AI210" i="1"/>
  <c r="U198" i="1"/>
  <c r="S198" i="1" s="1"/>
  <c r="W198" i="1"/>
  <c r="U200" i="1"/>
  <c r="S200" i="1" s="1"/>
  <c r="AI212" i="1"/>
  <c r="U150" i="1"/>
  <c r="S150" i="1" s="1"/>
  <c r="AI150" i="1"/>
  <c r="AI127" i="1"/>
  <c r="U127" i="1"/>
  <c r="S127" i="1" s="1"/>
  <c r="AI168" i="1"/>
  <c r="U218" i="1"/>
  <c r="S218" i="1" s="1"/>
  <c r="AI175" i="1"/>
  <c r="U164" i="1"/>
  <c r="S164" i="1" s="1"/>
  <c r="U52" i="1"/>
  <c r="S52" i="1" s="1"/>
  <c r="AI52" i="1"/>
  <c r="AI140" i="1"/>
  <c r="U140" i="1"/>
  <c r="S140" i="1" s="1"/>
  <c r="AI156" i="1"/>
  <c r="U156" i="1"/>
  <c r="S156" i="1" s="1"/>
  <c r="AI136" i="1"/>
  <c r="U136" i="1"/>
  <c r="S136" i="1" s="1"/>
  <c r="AI179" i="1"/>
  <c r="U168" i="1"/>
  <c r="S168" i="1" s="1"/>
  <c r="AI174" i="1"/>
  <c r="U163" i="1"/>
  <c r="S163" i="1" s="1"/>
  <c r="W163" i="1"/>
  <c r="AI143" i="1"/>
  <c r="U143" i="1"/>
  <c r="S143" i="1" s="1"/>
  <c r="U216" i="1"/>
  <c r="S216" i="1" s="1"/>
  <c r="AI166" i="1"/>
  <c r="AI44" i="1"/>
  <c r="U44" i="1"/>
  <c r="S44" i="1" s="1"/>
  <c r="U35" i="1"/>
  <c r="S35" i="1" s="1"/>
  <c r="AI35" i="1"/>
  <c r="W44" i="1"/>
  <c r="AI36" i="1"/>
  <c r="U36" i="1"/>
  <c r="S36" i="1" s="1"/>
  <c r="W36" i="1"/>
  <c r="U65" i="1"/>
  <c r="S65" i="1" s="1"/>
  <c r="AI65" i="1"/>
  <c r="W65" i="1"/>
  <c r="U24" i="1"/>
  <c r="S24" i="1" s="1"/>
  <c r="AI24" i="1"/>
  <c r="AI69" i="1"/>
  <c r="U69" i="1"/>
  <c r="S69" i="1" s="1"/>
  <c r="W69" i="1"/>
  <c r="AI96" i="1"/>
  <c r="U96" i="1"/>
  <c r="S96" i="1" s="1"/>
  <c r="AI103" i="1"/>
  <c r="U103" i="1"/>
  <c r="S103" i="1" s="1"/>
  <c r="W103" i="1"/>
  <c r="U16" i="1"/>
  <c r="S16" i="1" s="1"/>
  <c r="AI16" i="1"/>
  <c r="U29" i="1"/>
  <c r="S29" i="1" s="1"/>
  <c r="AI29" i="1"/>
  <c r="U119" i="1"/>
  <c r="S119" i="1" s="1"/>
  <c r="AI119" i="1"/>
  <c r="W119" i="1"/>
  <c r="AI104" i="1"/>
  <c r="U104" i="1"/>
  <c r="S104" i="1" s="1"/>
  <c r="AI144" i="1"/>
  <c r="U144" i="1"/>
  <c r="S144" i="1" s="1"/>
  <c r="AI151" i="1"/>
  <c r="U151" i="1"/>
  <c r="S151" i="1" s="1"/>
  <c r="W151" i="1"/>
  <c r="W140" i="1"/>
  <c r="W216" i="1"/>
  <c r="AI195" i="1"/>
  <c r="U183" i="1"/>
  <c r="S183" i="1" s="1"/>
  <c r="U162" i="1"/>
  <c r="S162" i="1" s="1"/>
  <c r="AI173" i="1"/>
  <c r="AI178" i="1"/>
  <c r="U167" i="1"/>
  <c r="S167" i="1" s="1"/>
  <c r="AI187" i="1"/>
  <c r="U175" i="1"/>
  <c r="S175" i="1" s="1"/>
  <c r="AI194" i="1"/>
  <c r="U182" i="1"/>
  <c r="S182" i="1" s="1"/>
  <c r="AI152" i="1"/>
  <c r="U152" i="1"/>
  <c r="S152" i="1" s="1"/>
  <c r="W182" i="1"/>
  <c r="U61" i="1"/>
  <c r="S61" i="1" s="1"/>
  <c r="AI61" i="1"/>
  <c r="U110" i="1"/>
  <c r="S110" i="1" s="1"/>
  <c r="AI110" i="1"/>
  <c r="U116" i="1"/>
  <c r="S116" i="1" s="1"/>
  <c r="AI116" i="1"/>
  <c r="AI79" i="1"/>
  <c r="U79" i="1"/>
  <c r="S79" i="1" s="1"/>
  <c r="U102" i="1"/>
  <c r="S102" i="1" s="1"/>
  <c r="AI102" i="1"/>
  <c r="W79" i="1"/>
  <c r="W116" i="1"/>
  <c r="U134" i="1"/>
  <c r="S134" i="1" s="1"/>
  <c r="AI134" i="1"/>
  <c r="AI51" i="1"/>
  <c r="U51" i="1"/>
  <c r="S51" i="1" s="1"/>
  <c r="W51" i="1"/>
  <c r="U56" i="1"/>
  <c r="S56" i="1" s="1"/>
  <c r="W56" i="1"/>
  <c r="AI56" i="1"/>
  <c r="U50" i="1"/>
  <c r="S50" i="1" s="1"/>
  <c r="AI50" i="1"/>
  <c r="U53" i="1"/>
  <c r="S53" i="1" s="1"/>
  <c r="AI53" i="1"/>
  <c r="AI80" i="1"/>
  <c r="U80" i="1"/>
  <c r="S80" i="1" s="1"/>
  <c r="AI87" i="1"/>
  <c r="U87" i="1"/>
  <c r="S87" i="1" s="1"/>
  <c r="W87" i="1"/>
  <c r="U57" i="1"/>
  <c r="S57" i="1" s="1"/>
  <c r="AI57" i="1"/>
  <c r="U111" i="1"/>
  <c r="S111" i="1" s="1"/>
  <c r="AI111" i="1"/>
  <c r="W50" i="1"/>
  <c r="AI135" i="1"/>
  <c r="U135" i="1"/>
  <c r="S135" i="1" s="1"/>
  <c r="W135" i="1"/>
  <c r="AI37" i="1"/>
  <c r="U37" i="1"/>
  <c r="S37" i="1" s="1"/>
  <c r="AI95" i="1"/>
  <c r="U95" i="1"/>
  <c r="S95" i="1" s="1"/>
  <c r="U112" i="1"/>
  <c r="S112" i="1" s="1"/>
  <c r="AI112" i="1"/>
  <c r="AI202" i="1"/>
  <c r="U190" i="1"/>
  <c r="S190" i="1" s="1"/>
  <c r="U86" i="1"/>
  <c r="S86" i="1" s="1"/>
  <c r="AI86" i="1"/>
  <c r="AI159" i="1"/>
  <c r="U206" i="1"/>
  <c r="S206" i="1" s="1"/>
  <c r="W123" i="1"/>
  <c r="U203" i="1"/>
  <c r="S203" i="1" s="1"/>
  <c r="AI215" i="1"/>
  <c r="U214" i="1"/>
  <c r="S214" i="1" s="1"/>
  <c r="AI219" i="1"/>
  <c r="W111" i="1"/>
  <c r="U120" i="1"/>
  <c r="S120" i="1" s="1"/>
  <c r="AI120" i="1"/>
  <c r="W134" i="1"/>
  <c r="W156" i="1"/>
  <c r="AI211" i="1"/>
  <c r="U199" i="1"/>
  <c r="S199" i="1" s="1"/>
  <c r="W203" i="1"/>
  <c r="W167" i="1"/>
  <c r="S43" i="3"/>
  <c r="S29" i="3"/>
  <c r="R49" i="3"/>
  <c r="R50" i="3"/>
  <c r="R47" i="3"/>
  <c r="R64" i="3"/>
  <c r="S46" i="3"/>
  <c r="S63" i="3"/>
  <c r="S55" i="3"/>
  <c r="S56" i="3"/>
  <c r="S31" i="3"/>
  <c r="S7" i="3"/>
  <c r="R9" i="3"/>
  <c r="R16" i="3"/>
  <c r="S50" i="3"/>
  <c r="S49" i="3"/>
  <c r="S64" i="3"/>
  <c r="S47" i="3"/>
  <c r="R55" i="3"/>
  <c r="R56" i="3"/>
  <c r="R7" i="3"/>
  <c r="R31" i="3"/>
  <c r="S9" i="3"/>
  <c r="S16" i="3"/>
  <c r="R10" i="3"/>
  <c r="R8" i="3"/>
  <c r="R18" i="3"/>
  <c r="R29" i="3"/>
  <c r="R43" i="3"/>
  <c r="R46" i="3"/>
  <c r="R63" i="3"/>
  <c r="S18" i="3"/>
  <c r="S10" i="3"/>
  <c r="S8" i="3"/>
  <c r="AC7" i="3"/>
  <c r="Y7" i="3" l="1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7" i="1" l="1"/>
  <c r="AH38" i="1"/>
  <c r="AH41" i="1"/>
  <c r="AH43" i="1"/>
  <c r="AH44" i="1"/>
  <c r="AH45" i="1"/>
  <c r="AH51" i="1"/>
  <c r="AH52" i="1"/>
  <c r="AH56" i="1"/>
  <c r="AH57" i="1"/>
  <c r="AH58" i="1"/>
  <c r="AH67" i="1"/>
  <c r="AH69" i="1"/>
  <c r="AH70" i="1"/>
  <c r="AH73" i="1"/>
  <c r="AH74" i="1"/>
  <c r="AH75" i="1"/>
  <c r="AH76" i="1"/>
  <c r="AH86" i="1"/>
  <c r="AH87" i="1"/>
  <c r="AH98" i="1"/>
  <c r="AH108" i="1"/>
  <c r="AH118" i="1"/>
  <c r="AH119" i="1"/>
  <c r="AH120" i="1"/>
  <c r="AH121" i="1"/>
  <c r="AH127" i="1"/>
  <c r="AH128" i="1"/>
  <c r="AH132" i="1"/>
  <c r="AH139" i="1"/>
  <c r="AH140" i="1"/>
  <c r="AH147" i="1"/>
  <c r="AH148" i="1"/>
  <c r="AH158" i="1"/>
  <c r="AH182" i="1"/>
  <c r="AH192" i="1"/>
  <c r="AH193" i="1"/>
  <c r="AH207" i="1"/>
  <c r="AH92" i="1"/>
  <c r="AH94" i="1"/>
  <c r="AH96" i="1"/>
  <c r="AH100" i="1"/>
  <c r="AH102" i="1"/>
  <c r="AH109" i="1"/>
  <c r="AH111" i="1"/>
  <c r="AH113" i="1"/>
  <c r="AH129" i="1"/>
  <c r="AH141" i="1"/>
  <c r="AH143" i="1"/>
  <c r="AH145" i="1"/>
  <c r="AH159" i="1"/>
  <c r="AH164" i="1"/>
  <c r="AH167" i="1"/>
  <c r="AH170" i="1"/>
  <c r="AH173" i="1"/>
  <c r="AH217" i="1"/>
  <c r="AH22" i="1"/>
  <c r="AH23" i="1"/>
  <c r="AH24" i="1"/>
  <c r="AH26" i="1"/>
  <c r="AH39" i="1"/>
  <c r="AH46" i="1"/>
  <c r="AH53" i="1"/>
  <c r="AH59" i="1"/>
  <c r="AH60" i="1"/>
  <c r="AH61" i="1"/>
  <c r="AH62" i="1"/>
  <c r="AH63" i="1"/>
  <c r="AH68" i="1"/>
  <c r="AH71" i="1"/>
  <c r="AH79" i="1"/>
  <c r="AH80" i="1"/>
  <c r="AH81" i="1"/>
  <c r="AH82" i="1"/>
  <c r="AH88" i="1"/>
  <c r="AH89" i="1"/>
  <c r="AH90" i="1"/>
  <c r="AH91" i="1"/>
  <c r="AH93" i="1"/>
  <c r="AH95" i="1"/>
  <c r="AH99" i="1"/>
  <c r="AH101" i="1"/>
  <c r="AH105" i="1"/>
  <c r="AH110" i="1"/>
  <c r="AH112" i="1"/>
  <c r="AH122" i="1"/>
  <c r="AH133" i="1"/>
  <c r="AH142" i="1"/>
  <c r="AH144" i="1"/>
  <c r="AH149" i="1"/>
  <c r="AH160" i="1"/>
  <c r="AH165" i="1"/>
  <c r="AH168" i="1"/>
  <c r="AH214" i="1"/>
  <c r="AH18" i="1"/>
  <c r="AH19" i="1"/>
  <c r="AH20" i="1"/>
  <c r="AH27" i="1"/>
  <c r="AH28" i="1"/>
  <c r="AH29" i="1"/>
  <c r="AH30" i="1"/>
  <c r="AH31" i="1"/>
  <c r="AH32" i="1"/>
  <c r="AH33" i="1"/>
  <c r="AH40" i="1"/>
  <c r="AH47" i="1"/>
  <c r="AH48" i="1"/>
  <c r="AH65" i="1"/>
  <c r="AH72" i="1"/>
  <c r="AH83" i="1"/>
  <c r="AH84" i="1"/>
  <c r="AH106" i="1"/>
  <c r="AH114" i="1"/>
  <c r="AH123" i="1"/>
  <c r="AH124" i="1"/>
  <c r="AH125" i="1"/>
  <c r="AH130" i="1"/>
  <c r="AH134" i="1"/>
  <c r="AH135" i="1"/>
  <c r="AH150" i="1"/>
  <c r="AH151" i="1"/>
  <c r="AH152" i="1"/>
  <c r="AH153" i="1"/>
  <c r="AH154" i="1"/>
  <c r="AH162" i="1"/>
  <c r="AH163" i="1"/>
  <c r="AH174" i="1"/>
  <c r="AH175" i="1"/>
  <c r="AH183" i="1"/>
  <c r="AH191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8" i="1"/>
  <c r="AH209" i="1"/>
  <c r="AH218" i="1"/>
  <c r="AH219" i="1"/>
  <c r="AH172" i="1"/>
  <c r="AH216" i="1"/>
  <c r="AH14" i="1"/>
  <c r="AH15" i="1"/>
  <c r="AH16" i="1"/>
  <c r="AH21" i="1"/>
  <c r="AH34" i="1"/>
  <c r="AH35" i="1"/>
  <c r="AH36" i="1"/>
  <c r="AH37" i="1"/>
  <c r="AH42" i="1"/>
  <c r="AH49" i="1"/>
  <c r="AH50" i="1"/>
  <c r="AH54" i="1"/>
  <c r="AH55" i="1"/>
  <c r="AH66" i="1"/>
  <c r="AH85" i="1"/>
  <c r="AH97" i="1"/>
  <c r="AH103" i="1"/>
  <c r="AH104" i="1"/>
  <c r="AH107" i="1"/>
  <c r="AH115" i="1"/>
  <c r="AH116" i="1"/>
  <c r="AH117" i="1"/>
  <c r="AH126" i="1"/>
  <c r="AH131" i="1"/>
  <c r="AH136" i="1"/>
  <c r="AH137" i="1"/>
  <c r="AH138" i="1"/>
  <c r="AH146" i="1"/>
  <c r="AH155" i="1"/>
  <c r="AH156" i="1"/>
  <c r="AH157" i="1"/>
  <c r="AH176" i="1"/>
  <c r="AH177" i="1"/>
  <c r="AH178" i="1"/>
  <c r="AH179" i="1"/>
  <c r="AH180" i="1"/>
  <c r="AH181" i="1"/>
  <c r="AH184" i="1"/>
  <c r="AH185" i="1"/>
  <c r="AH186" i="1"/>
  <c r="AH187" i="1"/>
  <c r="AH188" i="1"/>
  <c r="AH189" i="1"/>
  <c r="AH190" i="1"/>
  <c r="AH206" i="1"/>
  <c r="AH210" i="1"/>
  <c r="AH211" i="1"/>
  <c r="AH212" i="1"/>
  <c r="AH213" i="1"/>
  <c r="AH161" i="1"/>
  <c r="AH166" i="1"/>
  <c r="AH169" i="1"/>
  <c r="AH171" i="1"/>
  <c r="AH215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<sst xmlns="http://schemas.openxmlformats.org/spreadsheetml/2006/main" count="2356" uniqueCount="777">
  <si>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</si>
  <si>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</si>
  <si>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</si>
  <si>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</si>
  <si>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</si>
  <si>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</si>
  <si>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</si>
  <si>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</si>
  <si>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</si>
  <si>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</si>
  <si>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</si>
  <si>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</si>
  <si>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</si>
  <si>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</si>
  <si>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</si>
  <si>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</si>
  <si>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</si>
  <si>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</si>
  <si>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</si>
  <si>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</si>
  <si>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</si>
  <si>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</si>
  <si>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</si>
  <si>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</si>
  <si>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</si>
  <si>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</si>
  <si>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</si>
  <si>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</si>
  <si>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</si>
  <si>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</si>
  <si>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</si>
  <si>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</si>
  <si>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</si>
  <si>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</si>
  <si>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</si>
  <si>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</si>
  <si>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</si>
  <si>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</si>
  <si>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</si>
  <si>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</si>
  <si>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</si>
  <si>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</si>
  <si>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</si>
  <si>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</si>
  <si>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</si>
  <si>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</si>
  <si>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</si>
  <si>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</si>
  <si>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</si>
  <si>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</si>
  <si>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</si>
  <si>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</si>
  <si>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</si>
  <si>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</si>
  <si>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</si>
  <si>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</si>
  <si>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</si>
  <si>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</si>
  <si>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</si>
  <si>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</si>
  <si>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</si>
  <si>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</si>
  <si>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</si>
  <si>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</si>
  <si>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</si>
  <si>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</si>
  <si>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</si>
  <si>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</si>
  <si>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</si>
  <si>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</si>
  <si>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</si>
  <si>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</si>
  <si>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</si>
  <si>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</si>
  <si>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</si>
  <si>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</si>
  <si>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</si>
  <si>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</si>
  <si>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</si>
  <si>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</si>
  <si>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</si>
  <si>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</si>
  <si>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</si>
  <si>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</si>
  <si>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</si>
  <si>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</si>
  <si>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</si>
  <si>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</si>
  <si>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</si>
  <si>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</si>
  <si>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</si>
  <si>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</si>
  <si>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</si>
  <si>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</si>
  <si>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</si>
  <si>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</si>
  <si>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</si>
  <si>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</si>
  <si>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</si>
  <si>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</si>
  <si>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</si>
  <si>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</si>
  <si>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</si>
  <si>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</si>
  <si>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</si>
  <si>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</si>
  <si>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</si>
  <si>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</si>
  <si>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</si>
  <si>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</si>
  <si>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</si>
  <si>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</si>
  <si>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</si>
  <si>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</si>
  <si>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</si>
  <si>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</si>
  <si>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</si>
  <si>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</si>
  <si>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</si>
  <si>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</si>
  <si>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</si>
  <si>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</si>
  <si>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</si>
  <si>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</si>
  <si>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</si>
  <si>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</si>
  <si>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</si>
  <si>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</si>
  <si>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</si>
  <si>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</si>
  <si>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</si>
  <si>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</si>
  <si>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</si>
  <si>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</si>
  <si>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</si>
  <si>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</si>
  <si>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</si>
  <si>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</si>
  <si>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</si>
  <si>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</si>
  <si>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</si>
  <si>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</si>
  <si>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</si>
  <si>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</si>
  <si>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</si>
  <si>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</si>
  <si>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</si>
  <si>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</si>
  <si>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</si>
  <si>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</si>
  <si>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</si>
  <si>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</si>
  <si>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</si>
  <si>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</si>
  <si>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</si>
  <si>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</si>
  <si>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</si>
  <si>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</si>
  <si>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</si>
  <si>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</si>
  <si>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</si>
  <si>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</si>
  <si>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</si>
  <si>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</si>
  <si>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</si>
  <si>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</si>
  <si>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</si>
  <si>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</si>
  <si>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</si>
  <si>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</si>
  <si>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</si>
  <si>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</si>
  <si>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</si>
  <si>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</si>
  <si>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</si>
  <si>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</si>
  <si>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</si>
  <si>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</si>
  <si>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</si>
  <si>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</si>
  <si>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</si>
  <si>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</si>
  <si>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</si>
  <si>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</si>
  <si>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</si>
  <si>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</si>
  <si>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</si>
  <si>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</si>
  <si>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</si>
  <si>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</si>
  <si>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</si>
  <si>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</si>
  <si>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</si>
  <si>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</si>
  <si>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</si>
  <si>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</si>
  <si>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</si>
  <si>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</si>
  <si>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</si>
  <si>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</si>
  <si>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</si>
  <si>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</si>
  <si>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</si>
  <si>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</si>
  <si>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</si>
  <si>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</si>
  <si>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</si>
  <si>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</si>
  <si>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</si>
  <si>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</si>
  <si>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</si>
  <si>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</si>
  <si>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</si>
  <si>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</si>
  <si>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</si>
  <si>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</si>
  <si>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</si>
  <si>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</si>
  <si>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</si>
  <si>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</si>
  <si>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</si>
  <si>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</si>
  <si>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</si>
  <si>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</si>
  <si>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</si>
  <si>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</si>
  <si>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</si>
  <si>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</si>
  <si>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</si>
  <si>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</si>
  <si>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204:139</t>
  </si>
  <si>
    <t>204:458</t>
  </si>
  <si>
    <t>204:464</t>
  </si>
  <si>
    <t>204:467</t>
  </si>
  <si>
    <t>204:460</t>
  </si>
  <si>
    <t>human_readable_time</t>
  </si>
  <si>
    <t>OUN</t>
  </si>
  <si>
    <t>204:232978</t>
  </si>
  <si>
    <t>204:138</t>
  </si>
  <si>
    <t>204:232980</t>
  </si>
  <si>
    <t>204:232994</t>
  </si>
  <si>
    <t>204:469</t>
  </si>
  <si>
    <t>204:449</t>
  </si>
  <si>
    <t>204:475</t>
  </si>
  <si>
    <t>Reactive Warning (1)</t>
  </si>
  <si>
    <t>204:233299</t>
  </si>
  <si>
    <t>204:462</t>
  </si>
  <si>
    <t>204:172</t>
  </si>
  <si>
    <t>204:143</t>
  </si>
  <si>
    <t>204:232955</t>
  </si>
  <si>
    <t>rtdc.l.rtdc.4044:itc</t>
  </si>
  <si>
    <t>rtdc.l.rtdc.4043:itc</t>
  </si>
  <si>
    <t>STURGEON</t>
  </si>
  <si>
    <t>204:233276</t>
  </si>
  <si>
    <t>204:437</t>
  </si>
  <si>
    <t>204:232971</t>
  </si>
  <si>
    <t>204:232975</t>
  </si>
  <si>
    <t>204:233280</t>
  </si>
  <si>
    <t>300:58943</t>
  </si>
  <si>
    <t>clear-night</t>
  </si>
  <si>
    <t>Clear</t>
  </si>
  <si>
    <t>Loco - PTC</t>
  </si>
  <si>
    <t>Power</t>
  </si>
  <si>
    <t>204:232953</t>
  </si>
  <si>
    <t>204:233297</t>
  </si>
  <si>
    <t>204:232934</t>
  </si>
  <si>
    <t>204:233274</t>
  </si>
  <si>
    <t>204:232965</t>
  </si>
  <si>
    <t>204:161</t>
  </si>
  <si>
    <t>204:233303</t>
  </si>
  <si>
    <t>204:477</t>
  </si>
  <si>
    <t>204:233263</t>
  </si>
  <si>
    <t>204:478</t>
  </si>
  <si>
    <t>rtdc.l.rtdc.4045:itc</t>
  </si>
  <si>
    <t>MALAVE</t>
  </si>
  <si>
    <t>NEWELL</t>
  </si>
  <si>
    <t>clear-day</t>
  </si>
  <si>
    <t>rtdc.l.rtdc.4003:itc</t>
  </si>
  <si>
    <t>rtdc.l.rtdc.4038:itc</t>
  </si>
  <si>
    <t>DAVIS</t>
  </si>
  <si>
    <t>rtdc.l.rtdc.4004:itc</t>
  </si>
  <si>
    <t>STEWART</t>
  </si>
  <si>
    <t>CLARK</t>
  </si>
  <si>
    <t>YANAI</t>
  </si>
  <si>
    <t>CHANDLER</t>
  </si>
  <si>
    <t>243-16</t>
  </si>
  <si>
    <t>245-16</t>
  </si>
  <si>
    <t>242-16</t>
  </si>
  <si>
    <t>309-16</t>
  </si>
  <si>
    <t>244-16</t>
  </si>
  <si>
    <t>246-16</t>
  </si>
  <si>
    <t>311-16</t>
  </si>
  <si>
    <t>313-16</t>
  </si>
  <si>
    <t>315-16</t>
  </si>
  <si>
    <t>204:232973</t>
  </si>
  <si>
    <t>204:233268</t>
  </si>
  <si>
    <t>204:233285</t>
  </si>
  <si>
    <t>204:156</t>
  </si>
  <si>
    <t>204:232943</t>
  </si>
  <si>
    <t>204:440</t>
  </si>
  <si>
    <t>204:233286</t>
  </si>
  <si>
    <t>204:233259</t>
  </si>
  <si>
    <t>204:232940</t>
  </si>
  <si>
    <t>204:165</t>
  </si>
  <si>
    <t>204:167</t>
  </si>
  <si>
    <t>204:480</t>
  </si>
  <si>
    <t>300:58937</t>
  </si>
  <si>
    <t>rtdc.l.rtdc.4011:itc</t>
  </si>
  <si>
    <t>rtdc.l.rtdc.4040:itc</t>
  </si>
  <si>
    <t>KILLION</t>
  </si>
  <si>
    <t>rtdc.l.rtdc.4028:itc</t>
  </si>
  <si>
    <t>rtdc.l.rtdc.4039:itc</t>
  </si>
  <si>
    <t>YORK</t>
  </si>
  <si>
    <t>rtdc.l.rtdc.4027:itc</t>
  </si>
  <si>
    <t>rtdc.l.rtdc.4012:itc</t>
  </si>
  <si>
    <t>BARTLETT</t>
  </si>
  <si>
    <t>BRUDER</t>
  </si>
  <si>
    <t>204:232962</t>
  </si>
  <si>
    <t>204:233309</t>
  </si>
  <si>
    <t>204:232990</t>
  </si>
  <si>
    <t>204:232942</t>
  </si>
  <si>
    <t>204:482</t>
  </si>
  <si>
    <t>204:232944</t>
  </si>
  <si>
    <t>204:233240</t>
  </si>
  <si>
    <t>204:232883</t>
  </si>
  <si>
    <t>204:233293</t>
  </si>
  <si>
    <t>300:58619</t>
  </si>
  <si>
    <t>204:233311</t>
  </si>
  <si>
    <t>204:233314</t>
  </si>
  <si>
    <t>CLI Grep</t>
  </si>
  <si>
    <t>Y</t>
  </si>
  <si>
    <t>STARKS</t>
  </si>
  <si>
    <t>LEVERE</t>
  </si>
  <si>
    <t>311-18</t>
  </si>
  <si>
    <t>244-18</t>
  </si>
  <si>
    <t>313-18</t>
  </si>
  <si>
    <t>315-18</t>
  </si>
  <si>
    <t>204:233295</t>
  </si>
  <si>
    <t>204:232930</t>
  </si>
  <si>
    <t>204:145</t>
  </si>
  <si>
    <t>204:233316</t>
  </si>
  <si>
    <t>204:233307</t>
  </si>
  <si>
    <t>204:232982</t>
  </si>
  <si>
    <t>204:233249</t>
  </si>
  <si>
    <t>204:233246</t>
  </si>
  <si>
    <t>204:232988</t>
  </si>
  <si>
    <t>204:134</t>
  </si>
  <si>
    <t>204:473</t>
  </si>
  <si>
    <t>204:129</t>
  </si>
  <si>
    <t>204:664</t>
  </si>
  <si>
    <t>204:233322</t>
  </si>
  <si>
    <t>204:233000</t>
  </si>
  <si>
    <t>300:58946</t>
  </si>
  <si>
    <t>204:1006</t>
  </si>
  <si>
    <t>300:58624</t>
  </si>
  <si>
    <t>204:233230</t>
  </si>
  <si>
    <t>204:136</t>
  </si>
  <si>
    <t>204:232972</t>
  </si>
  <si>
    <t>204:433</t>
  </si>
  <si>
    <t>204:233284</t>
  </si>
  <si>
    <t>300:23306</t>
  </si>
  <si>
    <t>300:22839</t>
  </si>
  <si>
    <t>204:435</t>
  </si>
  <si>
    <t>204:232932</t>
  </si>
  <si>
    <t>Time (US/Mountain)</t>
  </si>
  <si>
    <t>Source</t>
  </si>
  <si>
    <t>Employee Identifier</t>
  </si>
  <si>
    <t>Employee Last Name</t>
  </si>
  <si>
    <t>rtdc.l.rtdc.4031:itc</t>
  </si>
  <si>
    <t>101-19</t>
  </si>
  <si>
    <t>rtdc.l.rtdc.4007:itc</t>
  </si>
  <si>
    <t>103-19</t>
  </si>
  <si>
    <t>ACKERMAN</t>
  </si>
  <si>
    <t>rtdc.l.rtdc.4053:itc</t>
  </si>
  <si>
    <t>105-19</t>
  </si>
  <si>
    <t>BRANNON</t>
  </si>
  <si>
    <t>102-19</t>
  </si>
  <si>
    <t>rtdc.l.rtdc.4002:itc</t>
  </si>
  <si>
    <t>107-19</t>
  </si>
  <si>
    <t>SPECTOR</t>
  </si>
  <si>
    <t>109-19</t>
  </si>
  <si>
    <t>GRASTON</t>
  </si>
  <si>
    <t>104-19</t>
  </si>
  <si>
    <t>111-19</t>
  </si>
  <si>
    <t>106-19</t>
  </si>
  <si>
    <t>113-19</t>
  </si>
  <si>
    <t>800-19</t>
  </si>
  <si>
    <t>rtdc.l.rtdc.4001:itc</t>
  </si>
  <si>
    <t>108-19</t>
  </si>
  <si>
    <t>110-19</t>
  </si>
  <si>
    <t>115-19</t>
  </si>
  <si>
    <t>117-19</t>
  </si>
  <si>
    <t>801-19</t>
  </si>
  <si>
    <t>rtdc.l.rtdc.4032:itc</t>
  </si>
  <si>
    <t>112-19</t>
  </si>
  <si>
    <t>803-19</t>
  </si>
  <si>
    <t>ROBINSON</t>
  </si>
  <si>
    <t>114-19</t>
  </si>
  <si>
    <t>119-19</t>
  </si>
  <si>
    <t>802-19</t>
  </si>
  <si>
    <t>121-19</t>
  </si>
  <si>
    <t>123-19</t>
  </si>
  <si>
    <t>rtdc.l.rtdc.4008:itc</t>
  </si>
  <si>
    <t>116-19</t>
  </si>
  <si>
    <t>118-19</t>
  </si>
  <si>
    <t>804-19</t>
  </si>
  <si>
    <t>125-19</t>
  </si>
  <si>
    <t>rtdc.l.rtdc.4054:itc</t>
  </si>
  <si>
    <t>120-19</t>
  </si>
  <si>
    <t>805-19</t>
  </si>
  <si>
    <t>127-19</t>
  </si>
  <si>
    <t>807-19</t>
  </si>
  <si>
    <t>122-19</t>
  </si>
  <si>
    <t>124-19</t>
  </si>
  <si>
    <t>806-19</t>
  </si>
  <si>
    <t>129-19</t>
  </si>
  <si>
    <t>131-19</t>
  </si>
  <si>
    <t>808-19</t>
  </si>
  <si>
    <t>126-19</t>
  </si>
  <si>
    <t>133-19</t>
  </si>
  <si>
    <t>809-19</t>
  </si>
  <si>
    <t>128-19</t>
  </si>
  <si>
    <t>135-19</t>
  </si>
  <si>
    <t>811-19</t>
  </si>
  <si>
    <t>137-19</t>
  </si>
  <si>
    <t>130-19</t>
  </si>
  <si>
    <t>810-19</t>
  </si>
  <si>
    <t>132-19</t>
  </si>
  <si>
    <t>139-19</t>
  </si>
  <si>
    <t>134-19</t>
  </si>
  <si>
    <t>812-19</t>
  </si>
  <si>
    <t>141-19</t>
  </si>
  <si>
    <t>136-19</t>
  </si>
  <si>
    <t>138-19</t>
  </si>
  <si>
    <t>143-19</t>
  </si>
  <si>
    <t>813-19</t>
  </si>
  <si>
    <t>145-19</t>
  </si>
  <si>
    <t>140-19</t>
  </si>
  <si>
    <t>147-19</t>
  </si>
  <si>
    <t>142-19</t>
  </si>
  <si>
    <t>814-19</t>
  </si>
  <si>
    <t>149-19</t>
  </si>
  <si>
    <t>151-19</t>
  </si>
  <si>
    <t>144-19</t>
  </si>
  <si>
    <t>815-19</t>
  </si>
  <si>
    <t>146-19</t>
  </si>
  <si>
    <t>153-19</t>
  </si>
  <si>
    <t>148-19</t>
  </si>
  <si>
    <t>155-19</t>
  </si>
  <si>
    <t>150-19</t>
  </si>
  <si>
    <t>816-19</t>
  </si>
  <si>
    <t>152-19</t>
  </si>
  <si>
    <t>157-19</t>
  </si>
  <si>
    <t>rtdc.l.rtdc.4021:itc</t>
  </si>
  <si>
    <t>165-19</t>
  </si>
  <si>
    <t>817-19</t>
  </si>
  <si>
    <t>159-19</t>
  </si>
  <si>
    <t>154-19</t>
  </si>
  <si>
    <t>161-19</t>
  </si>
  <si>
    <t>156-19</t>
  </si>
  <si>
    <t>163-19</t>
  </si>
  <si>
    <t>BONDS</t>
  </si>
  <si>
    <t>158-19</t>
  </si>
  <si>
    <t>818-19</t>
  </si>
  <si>
    <t>160-19</t>
  </si>
  <si>
    <t>167-19</t>
  </si>
  <si>
    <t>YOUNG</t>
  </si>
  <si>
    <t>162-19</t>
  </si>
  <si>
    <t>819-19</t>
  </si>
  <si>
    <t>169-19</t>
  </si>
  <si>
    <t>DELGADO</t>
  </si>
  <si>
    <t>164-19</t>
  </si>
  <si>
    <t>166-19</t>
  </si>
  <si>
    <t>171-19</t>
  </si>
  <si>
    <t>ISHMAEL</t>
  </si>
  <si>
    <t>820-19</t>
  </si>
  <si>
    <t>173-19</t>
  </si>
  <si>
    <t>168-19</t>
  </si>
  <si>
    <t>175-19</t>
  </si>
  <si>
    <t>177-19</t>
  </si>
  <si>
    <t>170-19</t>
  </si>
  <si>
    <t>821-19</t>
  </si>
  <si>
    <t>172-19</t>
  </si>
  <si>
    <t>179-19</t>
  </si>
  <si>
    <t>53-19</t>
  </si>
  <si>
    <t>822-19</t>
  </si>
  <si>
    <t>174-19</t>
  </si>
  <si>
    <t>181-19</t>
  </si>
  <si>
    <t>176-19</t>
  </si>
  <si>
    <t>59-19</t>
  </si>
  <si>
    <t>183-19</t>
  </si>
  <si>
    <t>178-19</t>
  </si>
  <si>
    <t>52-19</t>
  </si>
  <si>
    <t>ARNOLD</t>
  </si>
  <si>
    <t>185-19</t>
  </si>
  <si>
    <t>823-19</t>
  </si>
  <si>
    <t>180-19</t>
  </si>
  <si>
    <t>187-19</t>
  </si>
  <si>
    <t>182-19</t>
  </si>
  <si>
    <t>824-19</t>
  </si>
  <si>
    <t>189-19</t>
  </si>
  <si>
    <t>184-19</t>
  </si>
  <si>
    <t>191-19</t>
  </si>
  <si>
    <t>61-19</t>
  </si>
  <si>
    <t>186-19</t>
  </si>
  <si>
    <t>193-19</t>
  </si>
  <si>
    <t>825-19</t>
  </si>
  <si>
    <t>904-19</t>
  </si>
  <si>
    <t>188-19</t>
  </si>
  <si>
    <t>190-19</t>
  </si>
  <si>
    <t>195-19</t>
  </si>
  <si>
    <t>197-19</t>
  </si>
  <si>
    <t>826-19</t>
  </si>
  <si>
    <t>192-19</t>
  </si>
  <si>
    <t>827-19</t>
  </si>
  <si>
    <t>199-19</t>
  </si>
  <si>
    <t>194-19</t>
  </si>
  <si>
    <t>828-19</t>
  </si>
  <si>
    <t>201-19</t>
  </si>
  <si>
    <t>196-19</t>
  </si>
  <si>
    <t>829-19</t>
  </si>
  <si>
    <t>203-19</t>
  </si>
  <si>
    <t>198-19</t>
  </si>
  <si>
    <t>830-19</t>
  </si>
  <si>
    <t>205-19</t>
  </si>
  <si>
    <t>831-19</t>
  </si>
  <si>
    <t>200-19</t>
  </si>
  <si>
    <t>207-19</t>
  </si>
  <si>
    <t>202-19</t>
  </si>
  <si>
    <t>204-19</t>
  </si>
  <si>
    <t>209-19</t>
  </si>
  <si>
    <t>833-19</t>
  </si>
  <si>
    <t>832-19</t>
  </si>
  <si>
    <t>211-19</t>
  </si>
  <si>
    <t>206-19</t>
  </si>
  <si>
    <t>834-19</t>
  </si>
  <si>
    <t>213-19</t>
  </si>
  <si>
    <t>835-19</t>
  </si>
  <si>
    <t>208-19</t>
  </si>
  <si>
    <t>215-19</t>
  </si>
  <si>
    <t>210-19</t>
  </si>
  <si>
    <t>836-19</t>
  </si>
  <si>
    <t>217-19</t>
  </si>
  <si>
    <t>837-19</t>
  </si>
  <si>
    <t>219-19</t>
  </si>
  <si>
    <t>212-19</t>
  </si>
  <si>
    <t>214-19</t>
  </si>
  <si>
    <t>838-19</t>
  </si>
  <si>
    <t>303-19</t>
  </si>
  <si>
    <t>839-19</t>
  </si>
  <si>
    <t>216-19</t>
  </si>
  <si>
    <t>221-19</t>
  </si>
  <si>
    <t>906-19</t>
  </si>
  <si>
    <t>218-19</t>
  </si>
  <si>
    <t>841-19</t>
  </si>
  <si>
    <t>220-19</t>
  </si>
  <si>
    <t>223-19</t>
  </si>
  <si>
    <t>840-19</t>
  </si>
  <si>
    <t>307-19</t>
  </si>
  <si>
    <t>222-19</t>
  </si>
  <si>
    <t>225-19</t>
  </si>
  <si>
    <t>224-19</t>
  </si>
  <si>
    <t>227-19</t>
  </si>
  <si>
    <t>843-19</t>
  </si>
  <si>
    <t>842-19</t>
  </si>
  <si>
    <t>229-19</t>
  </si>
  <si>
    <t>226-19</t>
  </si>
  <si>
    <t>845-19</t>
  </si>
  <si>
    <t>228-19</t>
  </si>
  <si>
    <t>231-19</t>
  </si>
  <si>
    <t>844-19</t>
  </si>
  <si>
    <t>230-19</t>
  </si>
  <si>
    <t>233-19</t>
  </si>
  <si>
    <t>232-19</t>
  </si>
  <si>
    <t>235-19</t>
  </si>
  <si>
    <t>847-19</t>
  </si>
  <si>
    <t>908-19</t>
  </si>
  <si>
    <t>237-19</t>
  </si>
  <si>
    <t>234-19</t>
  </si>
  <si>
    <t>239-19</t>
  </si>
  <si>
    <t>236-19</t>
  </si>
  <si>
    <t>238-19</t>
  </si>
  <si>
    <t>241-19</t>
  </si>
  <si>
    <t>243-19</t>
  </si>
  <si>
    <t>240-19</t>
  </si>
  <si>
    <t>309-19</t>
  </si>
  <si>
    <t>242-19</t>
  </si>
  <si>
    <t>311-19</t>
  </si>
  <si>
    <t>244-19</t>
  </si>
  <si>
    <t>313-19</t>
  </si>
  <si>
    <t>315-19</t>
  </si>
  <si>
    <t>204:708</t>
  </si>
  <si>
    <t>204:233151</t>
  </si>
  <si>
    <t>204:232504</t>
  </si>
  <si>
    <t>204:169</t>
  </si>
  <si>
    <t>204:233408</t>
  </si>
  <si>
    <t>204:232715</t>
  </si>
  <si>
    <t>204:748</t>
  </si>
  <si>
    <t>204:233334</t>
  </si>
  <si>
    <t>204:232648</t>
  </si>
  <si>
    <t>204:444</t>
  </si>
  <si>
    <t>204:232981</t>
  </si>
  <si>
    <t>204:141</t>
  </si>
  <si>
    <t>204:757</t>
  </si>
  <si>
    <t>204:233257</t>
  </si>
  <si>
    <t>204:132</t>
  </si>
  <si>
    <t>204:232879</t>
  </si>
  <si>
    <t>204:752</t>
  </si>
  <si>
    <t>204:766</t>
  </si>
  <si>
    <t>204:233200</t>
  </si>
  <si>
    <t>204:233007</t>
  </si>
  <si>
    <t>204:232928</t>
  </si>
  <si>
    <t>204:233105</t>
  </si>
  <si>
    <t>204:232798</t>
  </si>
  <si>
    <t>204:1171</t>
  </si>
  <si>
    <t>204:232921</t>
  </si>
  <si>
    <t>204:488</t>
  </si>
  <si>
    <t>204:191</t>
  </si>
  <si>
    <t>204:233308</t>
  </si>
  <si>
    <t>204:233305</t>
  </si>
  <si>
    <t>204:232969</t>
  </si>
  <si>
    <t>204:232967</t>
  </si>
  <si>
    <t>204:497</t>
  </si>
  <si>
    <t>204:232926</t>
  </si>
  <si>
    <t>204:424</t>
  </si>
  <si>
    <t>204:176</t>
  </si>
  <si>
    <t>204:233241</t>
  </si>
  <si>
    <t>204:232917</t>
  </si>
  <si>
    <t>204:233266</t>
  </si>
  <si>
    <t>204:491</t>
  </si>
  <si>
    <t>204:233251</t>
  </si>
  <si>
    <t>204:19140</t>
  </si>
  <si>
    <t>204:232960</t>
  </si>
  <si>
    <t>204:232986</t>
  </si>
  <si>
    <t>204:232923</t>
  </si>
  <si>
    <t>204:233217</t>
  </si>
  <si>
    <t>204:232891</t>
  </si>
  <si>
    <t>204:232959</t>
  </si>
  <si>
    <t>204:183</t>
  </si>
  <si>
    <t>204:187</t>
  </si>
  <si>
    <t>204:300</t>
  </si>
  <si>
    <t>204:442</t>
  </si>
  <si>
    <t>204:231858</t>
  </si>
  <si>
    <t>204:123</t>
  </si>
  <si>
    <t>204:232963</t>
  </si>
  <si>
    <t>204:484</t>
  </si>
  <si>
    <t>204:233221</t>
  </si>
  <si>
    <t>204:232894</t>
  </si>
  <si>
    <t>204:233287</t>
  </si>
  <si>
    <t>204:431</t>
  </si>
  <si>
    <t>204:233301</t>
  </si>
  <si>
    <t>204:127878</t>
  </si>
  <si>
    <t>204:175528</t>
  </si>
  <si>
    <t>204:522</t>
  </si>
  <si>
    <t>204:154789</t>
  </si>
  <si>
    <t>204:233312</t>
  </si>
  <si>
    <t>204:232992</t>
  </si>
  <si>
    <t>204:233069</t>
  </si>
  <si>
    <t>204:232742</t>
  </si>
  <si>
    <t>204:610</t>
  </si>
  <si>
    <t>300:23297</t>
  </si>
  <si>
    <t>300:22829</t>
  </si>
  <si>
    <t>300:23314</t>
  </si>
  <si>
    <t>300:22363</t>
  </si>
  <si>
    <t>300:23007</t>
  </si>
  <si>
    <t>300:20744</t>
  </si>
  <si>
    <t>204:988</t>
  </si>
  <si>
    <t>300:25550</t>
  </si>
  <si>
    <t>300:24442</t>
  </si>
  <si>
    <t>204:1486</t>
  </si>
  <si>
    <t>204:1164</t>
  </si>
  <si>
    <t>204:1165</t>
  </si>
  <si>
    <t>204:1309</t>
  </si>
  <si>
    <t>300:34417</t>
  </si>
  <si>
    <t>300:58704</t>
  </si>
  <si>
    <t>204:621</t>
  </si>
  <si>
    <t>204:904</t>
  </si>
  <si>
    <t>300:58073</t>
  </si>
  <si>
    <t>300:58705</t>
  </si>
  <si>
    <t>204:691</t>
  </si>
  <si>
    <t>204:981</t>
  </si>
  <si>
    <t>204:985</t>
  </si>
  <si>
    <t>300:58645</t>
  </si>
  <si>
    <t>204:650</t>
  </si>
  <si>
    <t>204:976</t>
  </si>
  <si>
    <t>300:59003</t>
  </si>
  <si>
    <t>300:58690</t>
  </si>
  <si>
    <t>204:710</t>
  </si>
  <si>
    <t>204:937</t>
  </si>
  <si>
    <t>300:58982</t>
  </si>
  <si>
    <t>300:58670</t>
  </si>
  <si>
    <t>204:605</t>
  </si>
  <si>
    <t>300:59012</t>
  </si>
  <si>
    <t>300:58698</t>
  </si>
  <si>
    <t>204:951</t>
  </si>
  <si>
    <t>300:58988</t>
  </si>
  <si>
    <t>300:58664</t>
  </si>
  <si>
    <t>204:974</t>
  </si>
  <si>
    <t>300:58092</t>
  </si>
  <si>
    <t>300:58662</t>
  </si>
  <si>
    <t>204:673</t>
  </si>
  <si>
    <t>300:58950</t>
  </si>
  <si>
    <t>300:58632</t>
  </si>
  <si>
    <t>204:771</t>
  </si>
  <si>
    <t>204:1058</t>
  </si>
  <si>
    <t>300:58997</t>
  </si>
  <si>
    <t>300:58677</t>
  </si>
  <si>
    <t>204:687</t>
  </si>
  <si>
    <t>204:978</t>
  </si>
  <si>
    <t>300:58975</t>
  </si>
  <si>
    <t>300:58656</t>
  </si>
  <si>
    <t>204:428</t>
  </si>
  <si>
    <t>300:58971</t>
  </si>
  <si>
    <t>300:58647</t>
  </si>
  <si>
    <t>300:58954</t>
  </si>
  <si>
    <t>300:58640</t>
  </si>
  <si>
    <t>204:920</t>
  </si>
  <si>
    <t>300:58958</t>
  </si>
  <si>
    <t>300:58653</t>
  </si>
  <si>
    <t>204:643</t>
  </si>
  <si>
    <t>204:969</t>
  </si>
  <si>
    <t>300:58641</t>
  </si>
  <si>
    <t>204:680</t>
  </si>
  <si>
    <t>204:941</t>
  </si>
  <si>
    <t>204:178</t>
  </si>
  <si>
    <t>204:972</t>
  </si>
  <si>
    <t>300:58643</t>
  </si>
  <si>
    <t>204:117</t>
  </si>
  <si>
    <t>300:58976</t>
  </si>
  <si>
    <t>300:58668</t>
  </si>
  <si>
    <t>204:762</t>
  </si>
  <si>
    <t>204:703</t>
  </si>
  <si>
    <t>204:1056</t>
  </si>
  <si>
    <t>300:58630</t>
  </si>
  <si>
    <t>204:999</t>
  </si>
  <si>
    <t>300:58952</t>
  </si>
  <si>
    <t>300:58666</t>
  </si>
  <si>
    <t>204:694</t>
  </si>
  <si>
    <t>204:983</t>
  </si>
  <si>
    <t>300:58984</t>
  </si>
  <si>
    <t>204:852</t>
  </si>
  <si>
    <t>300:58963</t>
  </si>
  <si>
    <t>204:1130</t>
  </si>
  <si>
    <t>300:58978</t>
  </si>
  <si>
    <t>300:23497</t>
  </si>
  <si>
    <t>204:631</t>
  </si>
  <si>
    <t>300:28784</t>
  </si>
  <si>
    <t>300:21594</t>
  </si>
  <si>
    <t>precipType</t>
  </si>
  <si>
    <t>partly-cloudy-day</t>
  </si>
  <si>
    <t>Partly Cloudy</t>
  </si>
  <si>
    <t>rain</t>
  </si>
  <si>
    <t>partly-cloudy-night</t>
  </si>
  <si>
    <t>Mostly Cloudy</t>
  </si>
  <si>
    <t>Summary for DUS 2016-09-19: Partly cloudy starting in the afternoon, continuing until evening.</t>
  </si>
  <si>
    <t>Dispatcher error prevented init at DUS, init'd at 38th</t>
  </si>
  <si>
    <t>First few 1001s received were blank. After several attempts, the trip ID was available. This only happens in the event of dispatcher error (linking up wrong equipment/crew)</t>
  </si>
  <si>
    <t>At 20:32:28, EC1752RH 175-1T 1S downgraded from 270 to STOP &amp; PROCEED. It seems that a train had to be talked past this location… anything wrong happen here?</t>
  </si>
  <si>
    <t>EC1752RH 175-1T 1S stuck at STOP &amp; PROCEED</t>
  </si>
  <si>
    <t>61st offline from 20:28:11 - 21:00:56</t>
  </si>
  <si>
    <t>61st was offline from 20:28:11 - 21:00:56. Any idea what may have caused this?</t>
  </si>
  <si>
    <t>Early arrival</t>
  </si>
  <si>
    <t>Overspeed</t>
  </si>
  <si>
    <t>Chambers 2N STOP, cleared afterwards</t>
  </si>
  <si>
    <t>61st 2N STOP, cleared afterward</t>
  </si>
  <si>
    <t>No controls sent to DIA 2N from 17:49:21.904 - 18:22:02.688. A PSS was issued at 18:09:51. Seems like a TMDS issue occurred here, any ideas?</t>
  </si>
  <si>
    <t>CRMFP 2S was RESTRICTING</t>
  </si>
  <si>
    <t>http://stevetu21.github.io/eaglep3/load_kml.html?kml=http://rtdc.gmaps-snips.s3.amazonaws.com/0be4c5bb-7d5a-46bc-b980-3b4ec4309e93.kml</t>
  </si>
  <si>
    <t>Wi-MAX outage</t>
  </si>
  <si>
    <t>Consist update issue prevented track selection</t>
  </si>
  <si>
    <t>From 05:01:02 til 05:17:22, a flurry of 1030s confused the operator and prevented track selection</t>
  </si>
  <si>
    <t>Onboard in-route failure</t>
  </si>
  <si>
    <t>Multiple CPU Faults at 10:39:50</t>
  </si>
  <si>
    <t>Departure test not performed after a TMC reboot</t>
  </si>
  <si>
    <t>Two init attempts made, in both cases failed because no departure test was performed. The TMC had recently rebooted, therefore a departure test was necessary</t>
  </si>
  <si>
    <t>Init attempt made, failed because no departure test was performed. The TMC had recently rebooted, therefore a departure test was necessary</t>
  </si>
  <si>
    <t>Random audit from Transportation (efficiency test)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</si>
</sst>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19" fillId="0" borderId="0" applyNumberFormat="0" applyFill="0" applyBorder="0" applyAlignment="0" applyProtection="0"/>
  </cellStyleXfs>
  <cellXfs count="18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20" fillId="0" borderId="0" xfId="0" applyFont="1" applyFill="1"/>
    <xf numFmtId="169" fontId="19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be4c5bb-7d5a-46bc-b980-3b4ec4309e93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workbookViewId="0">
      <selection activeCell="R140" sqref="R14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42632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42632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COUNTIFS($N$13:$N$9397,"&gt;0",$AG$13:$AG$9397,I1)</f>
        <v>137</v>
      </c>
      <c r="K5" s="46"/>
      <c r="L5" s="46"/>
      <c r="M5" s="47">
        <f>AVERAGEIFS($N$13:$N$9397,$AG$13:$AG$9397,I1)</f>
        <v>38.745498783328998</v>
      </c>
      <c r="N5" s="45">
        <f t="array" ref="N5">MIN(IF($AG$13:$AG$9397=I1,IF(ISNUMBER($N$13:$N$9397),IF($N$13:$N$9397&gt;0,$N$13:$N$9397))))</f>
        <v>22.116666660876945</v>
      </c>
      <c r="O5" s="3">
        <f t="array" ref="O5">MAX(IF($AG$13:$AG$9397=I1,IF(ISNUMBER($N$13:$N$9397),IF($N$13:$N$9397&gt;0,$N$13:$N$9397))))</f>
        <v>46.750000000465661</v>
      </c>
      <c r="P5" s="2"/>
      <c r="R5" s="87" t="s">
        <v>17</v>
      </c>
      <c r="S5" s="57">
        <f>COUNTIFS($N$13:$N$9397,"&gt;0",$AG$13:$AG$9397,R1)</f>
        <v>47</v>
      </c>
      <c r="T5" s="46"/>
      <c r="U5" s="160"/>
      <c r="V5" s="47">
        <f>AVERAGEIFS($N$13:$N$9397,$AG$13:$AG$9397,R1)</f>
        <v>15.649645390865849</v>
      </c>
      <c r="W5" s="45">
        <f t="array" ref="W5">MIN(IF($AG$13:$AG$9397=R1,IF(ISNUMBER($N$13:$N$9397),IF($N$13:$N$9397&gt;0,$N$13:$N$9397))))</f>
        <v>12.849999996833503</v>
      </c>
      <c r="X5" s="165">
        <f t="array" ref="X5">MAX(IF($AG$13:$AG$9397=R1,IF(ISNUMBER($N$13:$N$9397),IF($N$13:$N$9397&gt;0,$N$13:$N$9397))))</f>
        <v>28.900000008288771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COUNT($O$13:$O$176)</f>
        <v>0</v>
      </c>
      <c r="K6" s="46"/>
      <c r="L6" s="46"/>
      <c r="M6" s="47">
        <f>IFERROR(AVERAGE($O$13:$O$176),0)</f>
        <v>0</v>
      </c>
      <c r="N6" s="45">
        <f>MIN($O$13:$O$176)</f>
        <v>0</v>
      </c>
      <c r="O6" s="3">
        <f>MAX($O$13:$O$176)</f>
        <v>0</v>
      </c>
      <c r="P6" s="2"/>
      <c r="R6" s="88" t="s">
        <v>43</v>
      </c>
      <c r="S6" s="57">
        <f>COUNT($O$13:$O$176)</f>
        <v>0</v>
      </c>
      <c r="T6" s="46"/>
      <c r="U6" s="160"/>
      <c r="V6" s="47">
        <f>IFERROR(AVERAGE($O$13:$O$176),0)</f>
        <v>0</v>
      </c>
      <c r="W6" s="45">
        <f>MIN($O$13:$O$176)</f>
        <v>0</v>
      </c>
      <c r="X6" s="165">
        <f>MAX($O$13:$O$176)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COUNTIFS($P$13:$P$9397,"&gt;0",$AG$13:$AG$9397,I1)</f>
        <v>7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COUNTIFS($P$13:$P$9397,"&gt;0",$AG$13:$AG$9397,R1)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137</v>
      </c>
      <c r="K8" s="46"/>
      <c r="L8" s="46"/>
      <c r="M8" s="47">
        <f>M5</f>
        <v>38.745498783328998</v>
      </c>
      <c r="N8" s="45">
        <f>N5</f>
        <v>22.116666660876945</v>
      </c>
      <c r="O8" s="3">
        <f>O5</f>
        <v>46.750000000465661</v>
      </c>
      <c r="P8" s="2"/>
      <c r="R8" s="87" t="s">
        <v>16</v>
      </c>
      <c r="S8" s="57">
        <f>S5</f>
        <v>47</v>
      </c>
      <c r="T8" s="46"/>
      <c r="U8" s="160"/>
      <c r="V8" s="47">
        <f>V5</f>
        <v>15.649645390865849</v>
      </c>
      <c r="W8" s="45">
        <f>W5</f>
        <v>12.849999996833503</v>
      </c>
      <c r="X8" s="165">
        <f>X5</f>
        <v>28.900000008288771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0.95138888888888884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0" t="str">
        <f>"Eagle P3 System Performance - "&amp;TEXT(Variables!A2,"yyyy-mm-dd")</f>
        <v>Eagle P3 System Performance - 2016-09-19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S11" s="72">
        <f>AVERAGE(S13:S116)</f>
        <v>0.96394230769230771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369</v>
      </c>
      <c r="B13" s="7">
        <v>4031</v>
      </c>
      <c r="C13" s="24" t="s">
        <v>106</v>
      </c>
      <c r="D13" s="24" t="s">
        <v>591</v>
      </c>
      <c r="E13" s="15">
        <v>42632.12431712963</v>
      </c>
      <c r="F13" s="15">
        <v>42632.142442129632</v>
      </c>
      <c r="G13" s="7">
        <v>2</v>
      </c>
      <c r="H13" s="15" t="s">
        <v>592</v>
      </c>
      <c r="I13" s="15">
        <v>42632.160416666666</v>
      </c>
      <c r="J13" s="7">
        <v>0</v>
      </c>
      <c r="K13" s="121" t="str">
        <f t="shared" ref="K13:K79" si="0">IF(ISEVEN(B13),(B13-1)&amp;"/"&amp;B13,B13&amp;"/"&amp;(B13+1))</f>
        <v>4031/4032</v>
      </c>
      <c r="L13" s="24" t="str">
        <f>VLOOKUP(A13,'Trips&amp;Operators'!$C$1:$E$10000,3,FALSE)</f>
        <v>KILLION</v>
      </c>
      <c r="M13" s="6">
        <f t="shared" ref="M13:M79" si="1">I13-F13</f>
        <v>1.7974537033296656E-2</v>
      </c>
      <c r="N13" s="7">
        <f t="shared" ref="N13:P79" si="2">24*60*SUM($M13:$M13)</f>
        <v>25.883333327947184</v>
      </c>
      <c r="O13" s="7"/>
      <c r="P13" s="7"/>
      <c r="Q13" s="25"/>
      <c r="R13" s="25"/>
      <c r="S13" s="37">
        <f t="shared" ref="S13:S79" si="3">SUM(U13:U13)/IF(AG13="EC",12,1)</f>
        <v>1</v>
      </c>
      <c r="T13" s="52" t="str">
        <f t="shared" ref="T13:T79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9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https://search-rtdc-monitor-bjffxe2xuh6vdkpspy63sjmuny.us-east-1.es.amazonaws.com/_plugin/kibana/#/discover/Steve-Slow-Train-Analysis-(2080s-and-2083s)?_g=(refreshInterval:(display:Off,section:0,value:0),time:(from:'2016-09-19 01:59:01-0600',mode:absolute,to:'2016-09-19 04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9" si="6">IF(AA13&lt;IF(AG13="EC",23,5.65),"Y","N")</f>
        <v>N</v>
      </c>
      <c r="X13" s="168" t="e">
        <f t="shared" ref="X13:X76" si="7">VALUE(LEFT(AD13,4))-VALUE(LEFT(AD12,4))</f>
        <v>#VALUE!</v>
      </c>
      <c r="Y13" s="69">
        <f t="shared" ref="Y13:Y79" si="8">RIGHT(D13,LEN(D13)-4)/10000</f>
        <v>7.0800000000000002E-2</v>
      </c>
      <c r="Z13" s="69">
        <f t="shared" ref="Z13:Z79" si="9">RIGHT(H13,LEN(H13)-4)/10000</f>
        <v>23.315100000000001</v>
      </c>
      <c r="AA13" s="69">
        <f t="shared" ref="AA13:AA79" si="10">ABS(Z13-Y13)</f>
        <v>23.244300000000003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9" si="11">IF(LEN(A13)=6,"0"&amp;A13,A13)</f>
        <v>0101-19</v>
      </c>
      <c r="AE13" s="99" t="str">
        <f t="shared" ref="AE13:AE79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AF13" s="96" t="str">
        <f t="shared" ref="AF13:AF79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/stypes="app*4031*20160919*" /stext=" 09:.+((SYSTEM_STATE.+slice.+state.+changed )|(ment ac)|(system.+state.+changed )|(\|lc)|(penalty)|(\[timeout)|(PRM\|1\|D)|(kpr)|(kdp))" /e /r /s</v>
      </c>
      <c r="AG13" s="1" t="str">
        <f t="shared" ref="AG13:AG79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101-19 --locoid 4031 --swversion DE.1.0.7.0 --startMP 204:708 --initTime 2016-09-19T02:59:01 --startdatetime 2016-09-19T03:25:07 --delay 2 --endMP 204:233151 --enddatetime 2016-09-19T03:51:00 --enforcementcount 0 &gt;&gt;C:\Users\stu\Documents\GitHub\eaglep3-reporting\EC\2016-09-19-refined-times.txt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{"issue":{"subject":"","project_id":79,"tracker_id":40,"status_id":1,"priority_id":2,"assigned_to_id":23,"start_date":"2016-09-19","description":"","custom_fields":[{"id":1,"name":"Subdivision","value":"EC"},{"id":4,"name":"Milepost","value":"23.3151"},{"id":17,"name":"Train ID","value":"101-19"},{"id":16,"name":"Locomotive ID","value":"4031"},{"id":130,"name":"Impact","value":""},{"id":150,"name":"Time of Event (Mountain Time)","value":"03:51:00"},{"id":151,"name":"Denver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376</v>
      </c>
      <c r="B14" s="7">
        <v>4012</v>
      </c>
      <c r="C14" s="24" t="s">
        <v>106</v>
      </c>
      <c r="D14" s="24" t="s">
        <v>593</v>
      </c>
      <c r="E14" s="15">
        <v>42632.174340277779</v>
      </c>
      <c r="F14" s="15">
        <v>42632.228622685187</v>
      </c>
      <c r="G14" s="7">
        <v>1</v>
      </c>
      <c r="H14" s="15" t="s">
        <v>594</v>
      </c>
      <c r="I14" s="15">
        <v>42632.243981481479</v>
      </c>
      <c r="J14" s="7">
        <v>0</v>
      </c>
      <c r="K14" s="121" t="str">
        <f t="shared" si="0"/>
        <v>4011/4012</v>
      </c>
      <c r="L14" s="24" t="str">
        <f>VLOOKUP(A14,'Trips&amp;Operators'!$C$1:$E$10000,3,FALSE)</f>
        <v>KILLION</v>
      </c>
      <c r="M14" s="6">
        <f t="shared" si="1"/>
        <v>1.5358796292275656E-2</v>
      </c>
      <c r="N14" s="7">
        <f t="shared" si="2"/>
        <v>22.116666660876945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03:11:03-0600',mode:absolute,to:'2016-09-19 06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23.250399999999999</v>
      </c>
      <c r="Z14" s="69">
        <f t="shared" si="9"/>
        <v>1.6899999999999998E-2</v>
      </c>
      <c r="AA14" s="69">
        <f t="shared" si="10"/>
        <v>23.233499999999999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0102-19</v>
      </c>
      <c r="AE14" s="99" t="str">
        <f t="shared" si="12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14" s="96" t="str">
        <f t="shared" si="13"/>
        <v>"C:\Program Files (x86)\AstroGrep\AstroGrep.exe" /spath="%USERPROFILE%\AppData\Local\Temp\OnboardLogs" /stypes="app*4012*20160919*" /stext=" 11:.+((SYSTEM_STATE.+slice.+state.+changed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80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102-19 --locoid 4012 --swversion DE.1.0.7.0 --startMP 204:232504 --initTime 2016-09-19T04:11:03 --startdatetime 2016-09-19T05:29:13 --delay 1 --endMP 204:169 --enddatetime 2016-09-19T05:51:20 --enforcementcount 0 &gt;&gt;C:\Users\stu\Documents\GitHub\eaglep3-reporting\EC\2016-09-19-refined-times.txt</v>
      </c>
      <c r="AI14" s="134" t="str">
        <f t="shared" ref="AI14:AI80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{"issue":{"subject":"","project_id":79,"tracker_id":40,"status_id":1,"priority_id":2,"assigned_to_id":23,"start_date":"2016-09-19","description":"","custom_fields":[{"id":1,"name":"Subdivision","value":"EC"},{"id":4,"name":"Milepost","value":"0.0169"},{"id":17,"name":"Train ID","value":"102-19"},{"id":16,"name":"Locomotive ID","value":"4012"},{"id":130,"name":"Impact","value":""},{"id":150,"name":"Time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371</v>
      </c>
      <c r="B15" s="7">
        <v>4007</v>
      </c>
      <c r="C15" s="24" t="s">
        <v>106</v>
      </c>
      <c r="D15" s="24" t="s">
        <v>349</v>
      </c>
      <c r="E15" s="15">
        <v>42632.155706018515</v>
      </c>
      <c r="F15" s="15">
        <v>42632.157407407409</v>
      </c>
      <c r="G15" s="7">
        <v>1</v>
      </c>
      <c r="H15" s="15" t="s">
        <v>595</v>
      </c>
      <c r="I15" s="15">
        <v>42632.189872685187</v>
      </c>
      <c r="J15" s="7">
        <v>0</v>
      </c>
      <c r="K15" s="121" t="str">
        <f t="shared" si="0"/>
        <v>4007/4008</v>
      </c>
      <c r="L15" s="24" t="str">
        <f>VLOOKUP(A15,'Trips&amp;Operators'!$C$1:$E$10000,3,FALSE)</f>
        <v>ACKERMAN</v>
      </c>
      <c r="M15" s="6">
        <f t="shared" si="1"/>
        <v>3.2465277778101154E-2</v>
      </c>
      <c r="N15" s="7">
        <f t="shared" si="2"/>
        <v>46.750000000465661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02:44:13-0600',mode:absolute,to:'2016-09-19 05:33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6.6400000000000001E-2</v>
      </c>
      <c r="Z15" s="69">
        <f t="shared" si="9"/>
        <v>23.340800000000002</v>
      </c>
      <c r="AA15" s="69">
        <f t="shared" si="10"/>
        <v>23.2744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0103-19</v>
      </c>
      <c r="AE15" s="99" t="str">
        <f t="shared" si="12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15" s="96" t="str">
        <f t="shared" si="13"/>
        <v>"C:\Program Files (x86)\AstroGrep\AstroGrep.exe" /spath="%USERPROFILE%\AppData\Local\Temp\OnboardLogs" /stypes="app*4007*20160919*"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103-19 --locoid 4007 --swversion DE.1.0.7.0 --startMP 204:664 --initTime 2016-09-19T03:44:13 --startdatetime 2016-09-19T03:46:40 --delay 1 --endMP 204:233408 --enddatetime 2016-09-19T04:33:25 --enforcementcount 0 &gt;&gt;C:\Users\stu\Documents\GitHub\eaglep3-reporting\EC\2016-09-19-refined-times.txt</v>
      </c>
      <c r="AI15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{"issue":{"subject":"","project_id":79,"tracker_id":40,"status_id":1,"priority_id":2,"assigned_to_id":23,"start_date":"2016-09-19","description":"","custom_fields":[{"id":1,"name":"Subdivision","value":"EC"},{"id":4,"name":"Milepost","value":"23.3408"},{"id":17,"name":"Train ID","value":"103-19"},{"id":16,"name":"Locomotive ID","value":"4007"},{"id":130,"name":"Impact","value":""},{"id":150,"name":"Time of Event (Mountain Time)","value":"04:33:25"},{"id":151,"name":"Denver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382</v>
      </c>
      <c r="B16" s="7">
        <v>4026</v>
      </c>
      <c r="C16" s="24" t="s">
        <v>106</v>
      </c>
      <c r="D16" s="24" t="s">
        <v>596</v>
      </c>
      <c r="E16" s="15">
        <v>42632.194386574076</v>
      </c>
      <c r="F16" s="15">
        <v>42632.196712962963</v>
      </c>
      <c r="G16" s="7">
        <v>2</v>
      </c>
      <c r="H16" s="15" t="s">
        <v>339</v>
      </c>
      <c r="I16" s="15">
        <v>42632.224409722221</v>
      </c>
      <c r="J16" s="7">
        <v>0</v>
      </c>
      <c r="K16" s="121" t="str">
        <f t="shared" si="0"/>
        <v>4025/4026</v>
      </c>
      <c r="L16" s="24" t="str">
        <f>VLOOKUP(A16,'Trips&amp;Operators'!$C$1:$E$10000,3,FALSE)</f>
        <v>ACKERMAN</v>
      </c>
      <c r="M16" s="6">
        <f t="shared" si="1"/>
        <v>2.7696759258105885E-2</v>
      </c>
      <c r="N16" s="7">
        <f t="shared" si="2"/>
        <v>39.883333331672475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03:39:55-0600',mode:absolute,to:'2016-09-19 06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23.2715</v>
      </c>
      <c r="Z16" s="69">
        <f t="shared" si="9"/>
        <v>1.4500000000000001E-2</v>
      </c>
      <c r="AA16" s="69">
        <f t="shared" si="10"/>
        <v>23.256999999999998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0104-19</v>
      </c>
      <c r="AE16" s="99" t="str">
        <f t="shared" si="12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16" s="96" t="str">
        <f t="shared" si="13"/>
        <v>"C:\Program Files (x86)\AstroGrep\AstroGrep.exe" /spath="%USERPROFILE%\AppData\Local\Temp\OnboardLogs" /stypes="app*4026*20160919*"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104-19 --locoid 4026 --swversion DE.1.0.7.0 --startMP 204:232715 --initTime 2016-09-19T04:39:55 --startdatetime 2016-09-19T04:43:16 --delay 2 --endMP 204:145 --enddatetime 2016-09-19T05:23:09 --enforcementcount 0 &gt;&gt;C:\Users\stu\Documents\GitHub\eaglep3-reporting\EC\2016-09-19-refined-times.txt</v>
      </c>
      <c r="AI1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{"issue":{"subject":"","project_id":79,"tracker_id":40,"status_id":1,"priority_id":2,"assigned_to_id":23,"start_date":"2016-09-19","description":"","custom_fields":[{"id":1,"name":"Subdivision","value":"EC"},{"id":4,"name":"Milepost","value":"0.0145"},{"id":17,"name":"Train ID","value":"104-19"},{"id":16,"name":"Locomotive ID","value":"4026"},{"id":130,"name":"Impact","value":""},{"id":150,"name":"Time of Event (Mountain Time)","value":"05:23:09"},{"id":151,"name":"Denver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374</v>
      </c>
      <c r="B17" s="7">
        <v>4053</v>
      </c>
      <c r="C17" s="24" t="s">
        <v>106</v>
      </c>
      <c r="D17" s="24" t="s">
        <v>597</v>
      </c>
      <c r="E17" s="15">
        <v>42632.172708333332</v>
      </c>
      <c r="F17" s="15">
        <v>42632.177291666667</v>
      </c>
      <c r="G17" s="7">
        <v>1</v>
      </c>
      <c r="H17" s="15" t="s">
        <v>598</v>
      </c>
      <c r="I17" s="15">
        <v>42632.20453703704</v>
      </c>
      <c r="J17" s="7">
        <v>0</v>
      </c>
      <c r="K17" s="121" t="str">
        <f t="shared" si="0"/>
        <v>4053/4054</v>
      </c>
      <c r="L17" s="24" t="str">
        <f>VLOOKUP(A17,'Trips&amp;Operators'!$C$1:$E$10000,3,FALSE)</f>
        <v>BRANNON</v>
      </c>
      <c r="M17" s="6">
        <f t="shared" si="1"/>
        <v>2.7245370372838806E-2</v>
      </c>
      <c r="N17" s="7">
        <f t="shared" si="2"/>
        <v>39.233333336887881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03:08:42-0600',mode:absolute,to:'2016-09-19 05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7.4800000000000005E-2</v>
      </c>
      <c r="Z17" s="69">
        <f t="shared" si="9"/>
        <v>23.333400000000001</v>
      </c>
      <c r="AA17" s="69">
        <f t="shared" si="10"/>
        <v>23.258600000000001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0105-19</v>
      </c>
      <c r="AE17" s="99" t="str">
        <f t="shared" si="12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17" s="96" t="str">
        <f t="shared" si="13"/>
        <v>"C:\Program Files (x86)\AstroGrep\AstroGrep.exe" /spath="%USERPROFILE%\AppData\Local\Temp\OnboardLogs" /stypes="app*4053*20160919*"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105-19 --locoid 4053 --swversion DE.1.0.7.0 --startMP 204:748 --initTime 2016-09-19T04:08:42 --startdatetime 2016-09-19T04:15:18 --delay 1 --endMP 204:233334 --enddatetime 2016-09-19T04:54:32 --enforcementcount 0 &gt;&gt;C:\Users\stu\Documents\GitHub\eaglep3-reporting\EC\2016-09-19-refined-times.txt</v>
      </c>
      <c r="AI17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{"issue":{"subject":"","project_id":79,"tracker_id":40,"status_id":1,"priority_id":2,"assigned_to_id":23,"start_date":"2016-09-19","description":"","custom_fields":[{"id":1,"name":"Subdivision","value":"EC"},{"id":4,"name":"Milepost","value":"23.3334"},{"id":17,"name":"Train ID","value":"105-19"},{"id":16,"name":"Locomotive ID","value":"4053"},{"id":130,"name":"Impact","value":""},{"id":150,"name":"Time of Event (Mountain Time)","value":"04:54:32"},{"id":151,"name":"Denver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384</v>
      </c>
      <c r="B18" s="7">
        <v>4041</v>
      </c>
      <c r="C18" s="24" t="s">
        <v>106</v>
      </c>
      <c r="D18" s="24" t="s">
        <v>599</v>
      </c>
      <c r="E18" s="15">
        <v>42632.206979166665</v>
      </c>
      <c r="F18" s="15">
        <v>42632.216157407405</v>
      </c>
      <c r="G18" s="7">
        <v>2</v>
      </c>
      <c r="H18" s="15" t="s">
        <v>217</v>
      </c>
      <c r="I18" s="15">
        <v>42632.246087962965</v>
      </c>
      <c r="J18" s="7">
        <v>0</v>
      </c>
      <c r="K18" s="121" t="str">
        <f t="shared" si="0"/>
        <v>4041/4042</v>
      </c>
      <c r="L18" s="24" t="str">
        <f>VLOOKUP(A18,'Trips&amp;Operators'!$C$1:$E$10000,3,FALSE)</f>
        <v>BRANNON</v>
      </c>
      <c r="M18" s="6">
        <f t="shared" si="1"/>
        <v>2.9930555559985805E-2</v>
      </c>
      <c r="N18" s="7">
        <f t="shared" si="2"/>
        <v>43.10000000637956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03:58:03-0600',mode:absolute,to:'2016-09-19 06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23.264800000000001</v>
      </c>
      <c r="Z18" s="69">
        <f t="shared" si="9"/>
        <v>1.5800000000000002E-2</v>
      </c>
      <c r="AA18" s="69">
        <f t="shared" si="10"/>
        <v>23.249000000000002</v>
      </c>
      <c r="AB18" s="66" t="str">
        <f>VLOOKUP(A18,Enforcements!$C$7:$K$20,8,0)</f>
        <v>Bulletin (2)</v>
      </c>
      <c r="AC18" s="62" t="str">
        <f>VLOOKUP(A18,Enforcements!$C$7:$E$20,3,0)</f>
        <v>GRADE CROSSING</v>
      </c>
      <c r="AD18" s="63" t="str">
        <f t="shared" si="11"/>
        <v>0106-19</v>
      </c>
      <c r="AE18" s="99" t="str">
        <f t="shared" si="12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18" s="96" t="str">
        <f t="shared" si="13"/>
        <v>"C:\Program Files (x86)\AstroGrep\AstroGrep.exe" /spath="%USERPROFILE%\AppData\Local\Temp\OnboardLogs" /stypes="app*4041*20160919*"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106-19 --locoid 4041 --swversion DE.1.0.7.0 --startMP 204:232648 --initTime 2016-09-19T04:58:03 --startdatetime 2016-09-19T05:11:16 --delay 2 --endMP 204:158 --enddatetime 2016-09-19T05:54:22 --enforcementcount 0 &gt;&gt;C:\Users\stu\Documents\GitHub\eaglep3-reporting\EC\2016-09-19-refined-times.txt</v>
      </c>
      <c r="AI18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{"issue":{"subject":"","project_id":79,"tracker_id":40,"status_id":1,"priority_id":2,"assigned_to_id":23,"start_date":"2016-09-19","description":"","custom_fields":[{"id":1,"name":"Subdivision","value":"EC"},{"id":4,"name":"Milepost","value":"0.0158"},{"id":17,"name":"Train ID","value":"106-19"},{"id":16,"name":"Locomotive ID","value":"4041"},{"id":130,"name":"Impact","value":""},{"id":150,"name":"Time of Event (Mountain Time)","value":"05:54:22"},{"id":151,"name":"Denver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378</v>
      </c>
      <c r="B19" s="7">
        <v>4002</v>
      </c>
      <c r="C19" s="24" t="s">
        <v>106</v>
      </c>
      <c r="D19" s="24" t="s">
        <v>600</v>
      </c>
      <c r="E19" s="15">
        <v>42632.184687499997</v>
      </c>
      <c r="F19" s="15">
        <v>42632.188217592593</v>
      </c>
      <c r="G19" s="7">
        <v>1</v>
      </c>
      <c r="H19" s="15" t="s">
        <v>296</v>
      </c>
      <c r="I19" s="15">
        <v>42632.213599537034</v>
      </c>
      <c r="J19" s="7">
        <v>0</v>
      </c>
      <c r="K19" s="121" t="str">
        <f t="shared" si="0"/>
        <v>4001/4002</v>
      </c>
      <c r="L19" s="24" t="str">
        <f>VLOOKUP(A19,'Trips&amp;Operators'!$C$1:$E$10000,3,FALSE)</f>
        <v>SPECTOR</v>
      </c>
      <c r="M19" s="6">
        <f t="shared" si="1"/>
        <v>2.5381944440596271E-2</v>
      </c>
      <c r="N19" s="7">
        <f t="shared" si="2"/>
        <v>36.549999994458631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03:25:57-0600',mode:absolute,to:'2016-09-19 06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4.4400000000000002E-2</v>
      </c>
      <c r="Z19" s="69">
        <f t="shared" si="9"/>
        <v>23.328499999999998</v>
      </c>
      <c r="AA19" s="69">
        <f t="shared" si="10"/>
        <v>23.284099999999999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0107-19</v>
      </c>
      <c r="AE19" s="99" t="str">
        <f t="shared" si="12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19" s="96" t="str">
        <f t="shared" si="13"/>
        <v>"C:\Program Files (x86)\AstroGrep\AstroGrep.exe" /spath="%USERPROFILE%\AppData\Local\Temp\OnboardLogs" /stypes="app*4002*20160919*"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107-19 --locoid 4002 --swversion DE.1.0.7.0 --startMP 204:444 --initTime 2016-09-19T04:25:57 --startdatetime 2016-09-19T04:31:02 --delay 1 --endMP 204:233285 --enddatetime 2016-09-19T05:07:35 --enforcementcount 0 &gt;&gt;C:\Users\stu\Documents\GitHub\eaglep3-reporting\EC\2016-09-19-refined-times.txt</v>
      </c>
      <c r="AI1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{"issue":{"subject":"","project_id":79,"tracker_id":40,"status_id":1,"priority_id":2,"assigned_to_id":23,"start_date":"2016-09-19","description":"","custom_fields":[{"id":1,"name":"Subdivision","value":"EC"},{"id":4,"name":"Milepost","value":"23.3285"},{"id":17,"name":"Train ID","value":"107-19"},{"id":16,"name":"Locomotive ID","value":"4002"},{"id":130,"name":"Impact","value":""},{"id":150,"name":"Time of Event (Mountain Time)","value":"05:07:35"},{"id":151,"name":"Denver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388</v>
      </c>
      <c r="B20" s="7">
        <v>4001</v>
      </c>
      <c r="C20" s="24" t="s">
        <v>106</v>
      </c>
      <c r="D20" s="24" t="s">
        <v>601</v>
      </c>
      <c r="E20" s="15">
        <v>42632.219629629632</v>
      </c>
      <c r="F20" s="15">
        <v>42632.226817129631</v>
      </c>
      <c r="G20" s="7">
        <v>1</v>
      </c>
      <c r="H20" s="15" t="s">
        <v>602</v>
      </c>
      <c r="I20" s="15">
        <v>42632.254421296297</v>
      </c>
      <c r="J20" s="7">
        <v>0</v>
      </c>
      <c r="K20" s="121" t="str">
        <f t="shared" si="0"/>
        <v>4001/4002</v>
      </c>
      <c r="L20" s="24" t="str">
        <f>VLOOKUP(A20,'Trips&amp;Operators'!$C$1:$E$10000,3,FALSE)</f>
        <v>SPECTOR</v>
      </c>
      <c r="M20" s="6">
        <f t="shared" si="1"/>
        <v>2.7604166665696539E-2</v>
      </c>
      <c r="N20" s="7">
        <f t="shared" si="2"/>
        <v>39.749999998603016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04:16:16-0600',mode:absolute,to:'2016-09-19 07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23.298100000000002</v>
      </c>
      <c r="Z20" s="69">
        <f t="shared" si="9"/>
        <v>1.41E-2</v>
      </c>
      <c r="AA20" s="69">
        <f t="shared" si="10"/>
        <v>23.284000000000002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0108-19</v>
      </c>
      <c r="AE20" s="99" t="str">
        <f t="shared" si="12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20" s="96" t="str">
        <f t="shared" si="13"/>
        <v>"C:\Program Files (x86)\AstroGrep\AstroGrep.exe" /spath="%USERPROFILE%\AppData\Local\Temp\OnboardLogs" /stypes="app*4001*20160919*"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108-19 --locoid 4001 --swversion DE.1.0.7.0 --startMP 204:232981 --initTime 2016-09-19T05:16:16 --startdatetime 2016-09-19T05:26:37 --delay 1 --endMP 204:141 --enddatetime 2016-09-19T06:06:22 --enforcementcount 0 &gt;&gt;C:\Users\stu\Documents\GitHub\eaglep3-reporting\EC\2016-09-19-refined-times.txt</v>
      </c>
      <c r="AI2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{"issue":{"subject":"","project_id":79,"tracker_id":40,"status_id":1,"priority_id":2,"assigned_to_id":23,"start_date":"2016-09-19","description":"","custom_fields":[{"id":1,"name":"Subdivision","value":"EC"},{"id":4,"name":"Milepost","value":"0.0141"},{"id":17,"name":"Train ID","value":"108-19"},{"id":16,"name":"Locomotive ID","value":"4001"},{"id":130,"name":"Impact","value":""},{"id":150,"name":"Time of Event (Mountain Time)","value":"06:06:22"},{"id":151,"name":"Denver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380</v>
      </c>
      <c r="B21" s="7">
        <v>4046</v>
      </c>
      <c r="C21" s="24" t="s">
        <v>106</v>
      </c>
      <c r="D21" s="24" t="s">
        <v>232</v>
      </c>
      <c r="E21" s="15">
        <v>42632.194872685184</v>
      </c>
      <c r="F21" s="15">
        <v>42632.198229166665</v>
      </c>
      <c r="G21" s="7">
        <v>1</v>
      </c>
      <c r="H21" s="15" t="s">
        <v>325</v>
      </c>
      <c r="I21" s="15">
        <v>42632.223449074074</v>
      </c>
      <c r="J21" s="7">
        <v>0</v>
      </c>
      <c r="K21" s="121" t="str">
        <f t="shared" si="0"/>
        <v>4045/4046</v>
      </c>
      <c r="L21" s="24" t="str">
        <f>VLOOKUP(A21,'Trips&amp;Operators'!$C$1:$E$10000,3,FALSE)</f>
        <v>GRASTON</v>
      </c>
      <c r="M21" s="6">
        <f t="shared" si="1"/>
        <v>2.5219907409336884E-2</v>
      </c>
      <c r="N21" s="7">
        <f t="shared" si="2"/>
        <v>36.316666669445112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03:40:37-0600',mode:absolute,to:'2016-09-19 06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4.6399999999999997E-2</v>
      </c>
      <c r="Z21" s="69">
        <f t="shared" si="9"/>
        <v>23.3293</v>
      </c>
      <c r="AA21" s="69">
        <f t="shared" si="10"/>
        <v>23.282900000000001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0109-19</v>
      </c>
      <c r="AE21" s="99" t="str">
        <f t="shared" si="12"/>
        <v>aws s3 cp s3://rtdc.mdm.uploadarchive/RTDC4046/2016-09-19/ "%USERPROFILE%\AppData\Local\Temp\OnboardLogs"\RTDC4046\2016-09-19 --recursive &amp; "%USERPROFILE%\Documents\GitHub\mrs-test-scripts\Headless Mode &amp; Sideloading\WalkAndUnGZ.bat" "%USERPROFILE%\AppData\Local\Temp\OnboardLogs"\RTDC4046\2016-09-19 &amp; 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</v>
      </c>
      <c r="AF21" s="96" t="str">
        <f t="shared" si="13"/>
        <v>"C:\Program Files (x86)\AstroGrep\AstroGrep.exe" /spath="%USERPROFILE%\AppData\Local\Temp\OnboardLogs" /stypes="app*4046*20160919*"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109-19 --locoid 4046 --swversion DE.1.0.7.0 --startMP 204:464 --initTime 2016-09-19T04:40:37 --startdatetime 2016-09-19T04:45:27 --delay 1 --endMP 204:233293 --enddatetime 2016-09-19T05:21:46 --enforcementcount 0 &gt;&gt;C:\Users\stu\Documents\GitHub\eaglep3-reporting\EC\2016-09-19-refined-times.txt</v>
      </c>
      <c r="AI21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{"issue":{"subject":"","project_id":79,"tracker_id":40,"status_id":1,"priority_id":2,"assigned_to_id":23,"start_date":"2016-09-19","description":"","custom_fields":[{"id":1,"name":"Subdivision","value":"EC"},{"id":4,"name":"Milepost","value":"23.3293"},{"id":17,"name":"Train ID","value":"109-19"},{"id":16,"name":"Locomotive ID","value":"4046"},{"id":130,"name":"Impact","value":""},{"id":150,"name":"Time of Event (Mountain Time)","value":"05:21:46"},{"id":151,"name":"Denver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389</v>
      </c>
      <c r="B22" s="7">
        <v>4045</v>
      </c>
      <c r="C22" s="24" t="s">
        <v>106</v>
      </c>
      <c r="D22" s="24" t="s">
        <v>228</v>
      </c>
      <c r="E22" s="15">
        <v>42632.224930555552</v>
      </c>
      <c r="F22" s="15">
        <v>42632.23709490741</v>
      </c>
      <c r="G22" s="7">
        <v>1</v>
      </c>
      <c r="H22" s="15" t="s">
        <v>127</v>
      </c>
      <c r="I22" s="15">
        <v>42632.263854166667</v>
      </c>
      <c r="J22" s="7">
        <v>0</v>
      </c>
      <c r="K22" s="121" t="str">
        <f t="shared" si="0"/>
        <v>4045/4046</v>
      </c>
      <c r="L22" s="24" t="str">
        <f>VLOOKUP(A22,'Trips&amp;Operators'!$C$1:$E$10000,3,FALSE)</f>
        <v>GRASTON</v>
      </c>
      <c r="M22" s="6">
        <f t="shared" si="1"/>
        <v>2.675925925723277E-2</v>
      </c>
      <c r="N22" s="7">
        <f t="shared" si="2"/>
        <v>38.533333330415189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04:23:54-0600',mode:absolute,to:'2016-09-19 07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23.297699999999999</v>
      </c>
      <c r="Z22" s="69">
        <f t="shared" si="9"/>
        <v>1.54E-2</v>
      </c>
      <c r="AA22" s="69">
        <f t="shared" si="10"/>
        <v>23.282299999999999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0110-19</v>
      </c>
      <c r="AE22" s="99" t="str">
        <f t="shared" si="12"/>
        <v>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 &amp; 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</v>
      </c>
      <c r="AF22" s="96" t="str">
        <f t="shared" si="13"/>
        <v>"C:\Program Files (x86)\AstroGrep\AstroGrep.exe" /spath="%USERPROFILE%\AppData\Local\Temp\OnboardLogs" /stypes="app*4045*20160919*"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110-19 --locoid 4045 --swversion DE.1.0.7.0 --startMP 204:232977 --initTime 2016-09-19T05:23:54 --startdatetime 2016-09-19T05:41:25 --delay 1 --endMP 204:154 --enddatetime 2016-09-19T06:19:57 --enforcementcount 0 &gt;&gt;C:\Users\stu\Documents\GitHub\eaglep3-reporting\EC\2016-09-19-refined-times.txt</v>
      </c>
      <c r="AI22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{"issue":{"subject":"","project_id":79,"tracker_id":40,"status_id":1,"priority_id":2,"assigned_to_id":23,"start_date":"2016-09-19","description":"","custom_fields":[{"id":1,"name":"Subdivision","value":"EC"},{"id":4,"name":"Milepost","value":"0.0154"},{"id":17,"name":"Train ID","value":"110-19"},{"id":16,"name":"Locomotive ID","value":"4045"},{"id":130,"name":"Impact","value":""},{"id":150,"name":"Time of Event (Mountain Time)","value":"06:19:57"},{"id":151,"name":"Denver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4031</v>
      </c>
      <c r="C23" s="24" t="s">
        <v>106</v>
      </c>
      <c r="D23" s="24" t="s">
        <v>603</v>
      </c>
      <c r="E23" s="15">
        <v>42632.206226851849</v>
      </c>
      <c r="F23" s="15">
        <v>42632.208726851852</v>
      </c>
      <c r="G23" s="7">
        <v>2</v>
      </c>
      <c r="H23" s="15" t="s">
        <v>604</v>
      </c>
      <c r="I23" s="15">
        <v>42632.234456018516</v>
      </c>
      <c r="J23" s="7">
        <v>0</v>
      </c>
      <c r="K23" s="121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2.5729166663950309E-2</v>
      </c>
      <c r="N23" s="7">
        <f t="shared" si="2"/>
        <v>37.049999996088445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03:56:58-0600',mode:absolute,to:'2016-09-19 06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7.5700000000000003E-2</v>
      </c>
      <c r="Z23" s="69">
        <f t="shared" si="9"/>
        <v>23.325700000000001</v>
      </c>
      <c r="AA23" s="69">
        <f t="shared" si="10"/>
        <v>23.25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0111-19</v>
      </c>
      <c r="AE23" s="99" t="str">
        <f t="shared" si="12"/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AF23" s="96" t="str">
        <f t="shared" si="13"/>
        <v>"C:\Program Files (x86)\AstroGrep\AstroGrep.exe" /spath="%USERPROFILE%\AppData\Local\Temp\OnboardLogs" /stypes="app*4031*20160919*"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111-19 --locoid 4031 --swversion DE.1.0.7.0 --startMP 204:757 --initTime 2016-09-19T04:56:58 --startdatetime 2016-09-19T05:00:34 --delay 2 --endMP 204:233257 --enddatetime 2016-09-19T05:37:37 --enforcementcount 0 &gt;&gt;C:\Users\stu\Documents\GitHub\eaglep3-reporting\EC\2016-09-19-refined-times.txt</v>
      </c>
      <c r="AI23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{"issue":{"subject":"","project_id":79,"tracker_id":40,"status_id":1,"priority_id":2,"assigned_to_id":23,"start_date":"2016-09-19","description":"","custom_fields":[{"id":1,"name":"Subdivision","value":"EC"},{"id":4,"name":"Milepost","value":"23.3257"},{"id":17,"name":"Train ID","value":"111-19"},{"id":16,"name":"Locomotive ID","value":"4031"},{"id":130,"name":"Impact","value":""},{"id":150,"name":"Time of Event (Mountain Time)","value":"05:37:37"},{"id":151,"name":"Denver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394</v>
      </c>
      <c r="B24" s="7">
        <v>4032</v>
      </c>
      <c r="C24" s="24" t="s">
        <v>106</v>
      </c>
      <c r="D24" s="24" t="s">
        <v>263</v>
      </c>
      <c r="E24" s="15">
        <v>42632.244571759256</v>
      </c>
      <c r="F24" s="15">
        <v>42632.247372685182</v>
      </c>
      <c r="G24" s="7">
        <v>1</v>
      </c>
      <c r="H24" s="15" t="s">
        <v>605</v>
      </c>
      <c r="I24" s="15">
        <v>42632.274965277778</v>
      </c>
      <c r="J24" s="7">
        <v>0</v>
      </c>
      <c r="K24" s="121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2.7592592596192844E-2</v>
      </c>
      <c r="N24" s="7">
        <f t="shared" si="2"/>
        <v>39.733333338517696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04:52:11-0600',mode:absolute,to:'2016-09-19 07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23.295300000000001</v>
      </c>
      <c r="Z24" s="69">
        <f t="shared" si="9"/>
        <v>1.32E-2</v>
      </c>
      <c r="AA24" s="69">
        <f t="shared" si="10"/>
        <v>23.2821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0112-19</v>
      </c>
      <c r="AE24" s="99" t="str">
        <f t="shared" si="12"/>
        <v>aws s3 cp s3://rtdc.mdm.uploadarchive/RTDC4032/2016-09-19/ "%USERPROFILE%\AppData\Local\Temp\OnboardLogs"\RTDC4032\2016-09-19 --recursive &amp; "%USERPROFILE%\Documents\GitHub\mrs-test-scripts\Headless Mode &amp; Sideloading\WalkAndUnGZ.bat" "%USERPROFILE%\AppData\Local\Temp\OnboardLogs"\RTDC4032\2016-09-19 &amp; aws s3 cp s3://rtdc.mdm.uploadarchive/RTDC4032/2016-09-20/ "%USERPROFILE%\AppData\Local\Temp\OnboardLogs"\RTDC4032\2016-09-20 --recursive &amp; "%USERPROFILE%\Documents\GitHub\mrs-test-scripts\Headless Mode &amp; Sideloading\WalkAndUnGZ.bat" "%USERPROFILE%\AppData\Local\Temp\OnboardLogs"\RTDC4032\2016-09-20</v>
      </c>
      <c r="AF24" s="96" t="str">
        <f t="shared" si="13"/>
        <v>"C:\Program Files (x86)\AstroGrep\AstroGrep.exe" /spath="%USERPROFILE%\AppData\Local\Temp\OnboardLogs" /stypes="app*4032*20160919*"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112-19 --locoid 4032 --swversion DE.1.0.7.0 --startMP 204:232953 --initTime 2016-09-19T05:52:11 --startdatetime 2016-09-19T05:56:13 --delay 1 --endMP 204:132 --enddatetime 2016-09-19T06:35:57 --enforcementcount 0 &gt;&gt;C:\Users\stu\Documents\GitHub\eaglep3-reporting\EC\2016-09-19-refined-times.txt</v>
      </c>
      <c r="AI24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{"issue":{"subject":"","project_id":79,"tracker_id":40,"status_id":1,"priority_id":2,"assigned_to_id":23,"start_date":"2016-09-19","description":"","custom_fields":[{"id":1,"name":"Subdivision","value":"EC"},{"id":4,"name":"Milepost","value":"0.0132"},{"id":17,"name":"Train ID","value":"112-19"},{"id":16,"name":"Locomotive ID","value":"4032"},{"id":130,"name":"Impact","value":""},{"id":150,"name":"Time of Event (Mountain Time)","value":"06:35:57"},{"id":151,"name":"Denver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385</v>
      </c>
      <c r="B25" s="7">
        <v>4011</v>
      </c>
      <c r="C25" s="24" t="s">
        <v>106</v>
      </c>
      <c r="D25" s="24" t="s">
        <v>263</v>
      </c>
      <c r="E25" s="15">
        <v>42632.244571759256</v>
      </c>
      <c r="F25" s="15">
        <v>42632.208124999997</v>
      </c>
      <c r="G25" s="7">
        <v>1</v>
      </c>
      <c r="H25" s="15" t="s">
        <v>605</v>
      </c>
      <c r="I25" s="15">
        <v>42632.244560185187</v>
      </c>
      <c r="J25" s="7">
        <v>0</v>
      </c>
      <c r="K25" s="121" t="str">
        <f t="shared" ref="K25" si="19">IF(ISEVEN(B25),(B25-1)&amp;"/"&amp;B25,B25&amp;"/"&amp;(B25+1))</f>
        <v>4011/4012</v>
      </c>
      <c r="L25" s="24" t="str">
        <f>VLOOKUP(A25,'Trips&amp;Operators'!$C$1:$E$10000,3,FALSE)</f>
        <v>KILLION</v>
      </c>
      <c r="M25" s="6">
        <f t="shared" ref="M25" si="20">I25-F25</f>
        <v>3.6435185189475305E-2</v>
      </c>
      <c r="N25" s="7"/>
      <c r="O25" s="7"/>
      <c r="P25" s="7">
        <f t="shared" si="2"/>
        <v>52.46666667284444</v>
      </c>
      <c r="Q25" s="25"/>
      <c r="R25" s="25" t="s">
        <v>769</v>
      </c>
      <c r="S25" s="37">
        <f t="shared" ref="S25" si="21">SUM(U25:U25)/IF(AG25="EC",12,1)</f>
        <v>0.25</v>
      </c>
      <c r="T25" s="52" t="str">
        <f t="shared" ref="T25" si="22">IF(ISEVEN(LEFT(AD25,4)),"Southbound","NorthBound")</f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106" t="str">
        <f t="shared" ref="V25" si="23"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https://search-rtdc-monitor-bjffxe2xuh6vdkpspy63sjmuny.us-east-1.es.amazonaws.com/_plugin/kibana/#/discover/Steve-Slow-Train-Analysis-(2080s-and-2083s)?_g=(refreshInterval:(display:Off,section:0,value:0),time:(from:'2016-09-19 04:52:11-0600',mode:absolute,to:'2016-09-19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5" s="54" t="str">
        <f t="shared" ref="W25" si="24">IF(AA25&lt;IF(AG25="EC",23,5.65),"Y","N")</f>
        <v>Y</v>
      </c>
      <c r="X25" s="168">
        <f t="shared" ref="X25:X26" si="25">VALUE(LEFT(AD25,4))-VALUE(LEFT(AD24,4))</f>
        <v>1</v>
      </c>
      <c r="Y25" s="69">
        <v>6.4752000000000001</v>
      </c>
      <c r="Z25" s="69">
        <v>23.3</v>
      </c>
      <c r="AA25" s="69">
        <f t="shared" ref="AA25" si="26">ABS(Z25-Y25)</f>
        <v>16.8248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ref="AD25" si="27">IF(LEN(A25)=6,"0"&amp;A25,A25)</f>
        <v>0113-19</v>
      </c>
      <c r="AE25" s="99" t="str">
        <f t="shared" ref="AE25" si="28"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25" s="96" t="str">
        <f t="shared" ref="AF25" si="29"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/stypes="app*4011*20160919*" /stext=" 11:.+((SYSTEM_STATE.+slice.+state.+changed )|(ment ac)|(system.+state.+changed )|(\|lc)|(penalty)|(\[timeout)|(PRM\|1\|D)|(kpr)|(kdp))" /e /r /s</v>
      </c>
      <c r="AG25" s="1" t="str">
        <f t="shared" ref="AG25" si="30">IFERROR(IF(VALUE(LEFT(AD25,2))&lt;=2,"EC",IF(OR(VALUE(LEFT(AD25,2))=8,VALUE(LEFT(AD25,2))=18),"NW","Other")),"Other")</f>
        <v>EC</v>
      </c>
      <c r="AH25" s="100" t="str">
        <f t="shared" ref="AH25" si="31"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113-19 --locoid 4011 --swversion DE.1.0.7.0 --startMP 204:232953 --initTime 2016-09-19T05:52:11 --startdatetime 2016-09-19T04:59:42 --delay 1 --endMP 204:132 --enddatetime 2016-09-19T05:52:10 --enforcementcount 0 &gt;&gt;C:\Users\stu\Documents\GitHub\eaglep3-reporting\EC\2016-09-19-refined-times.txt</v>
      </c>
      <c r="AI25" s="134" t="str">
        <f t="shared" ref="AI25" si="32"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{"issue":{"subject":"Consist update issue prevented track selection","project_id":79,"tracker_id":40,"status_id":1,"priority_id":2,"assigned_to_id":23,"start_date":"2016-09-19","description":"From 05:01:02 til 05:17:22, a flurry of 1030s confused the operator and prevented track selection","custom_fields":[{"id":1,"name":"Subdivision","value":"EC"},{"id":4,"name":"Milepost","value":"23.3"},{"id":17,"name":"Train ID","value":"113-19"},{"id":16,"name":"Locomotive ID","value":"4011"},{"id":130,"name":"Impact","value":"Unexpected Cut-Out or Disengaged"},{"id":150,"name":"Time of Event (Mountain Time)","value":"05:52:10"},{"id":151,"name":"Denver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25" s="55" t="s">
        <v>770</v>
      </c>
      <c r="AK25" s="55" t="s">
        <v>144</v>
      </c>
      <c r="AL25" s="55" t="s">
        <v>147</v>
      </c>
    </row>
    <row r="26" spans="1:38" s="1" customFormat="1" x14ac:dyDescent="0.25">
      <c r="A26" s="39" t="s">
        <v>397</v>
      </c>
      <c r="B26" s="7">
        <v>4012</v>
      </c>
      <c r="C26" s="24" t="s">
        <v>106</v>
      </c>
      <c r="D26" s="24" t="s">
        <v>606</v>
      </c>
      <c r="E26" s="15">
        <v>42632.251018518517</v>
      </c>
      <c r="F26" s="15">
        <v>42632.257881944446</v>
      </c>
      <c r="G26" s="7">
        <v>1</v>
      </c>
      <c r="H26" s="15" t="s">
        <v>248</v>
      </c>
      <c r="I26" s="15">
        <v>42632.284641203703</v>
      </c>
      <c r="J26" s="7">
        <v>0</v>
      </c>
      <c r="K26" s="121" t="str">
        <f t="shared" si="0"/>
        <v>4011/4012</v>
      </c>
      <c r="L26" s="24" t="str">
        <f>VLOOKUP(A26,'Trips&amp;Operators'!$C$1:$E$10000,3,FALSE)</f>
        <v>KILLION</v>
      </c>
      <c r="M26" s="6">
        <f t="shared" si="1"/>
        <v>2.675925925723277E-2</v>
      </c>
      <c r="N26" s="7">
        <f t="shared" si="2"/>
        <v>38.533333330415189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05:01:28-0600',mode:absolute,to:'2016-09-19 07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6" s="54" t="str">
        <f t="shared" si="6"/>
        <v>N</v>
      </c>
      <c r="X26" s="168">
        <f t="shared" si="25"/>
        <v>1</v>
      </c>
      <c r="Y26" s="69">
        <f t="shared" si="8"/>
        <v>23.2879</v>
      </c>
      <c r="Z26" s="69">
        <f t="shared" si="9"/>
        <v>1.43E-2</v>
      </c>
      <c r="AA26" s="69">
        <f t="shared" si="10"/>
        <v>23.273600000000002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0114-19</v>
      </c>
      <c r="AE26" s="99" t="str">
        <f t="shared" si="12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26" s="96" t="str">
        <f t="shared" si="13"/>
        <v>"C:\Program Files (x86)\AstroGrep\AstroGrep.exe" /spath="%USERPROFILE%\AppData\Local\Temp\OnboardLogs" /stypes="app*4012*20160919*"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114-19 --locoid 4012 --swversion DE.1.0.7.0 --startMP 204:232879 --initTime 2016-09-19T06:01:28 --startdatetime 2016-09-19T06:11:21 --delay 1 --endMP 204:143 --enddatetime 2016-09-19T06:49:53 --enforcementcount 0 &gt;&gt;C:\Users\stu\Documents\GitHub\eaglep3-reporting\EC\2016-09-19-refined-times.txt</v>
      </c>
      <c r="AI2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{"issue":{"subject":"","project_id":79,"tracker_id":40,"status_id":1,"priority_id":2,"assigned_to_id":23,"start_date":"2016-09-19","description":"","custom_fields":[{"id":1,"name":"Subdivision","value":"EC"},{"id":4,"name":"Milepost","value":"0.0143"},{"id":17,"name":"Train ID","value":"114-19"},{"id":16,"name":"Locomotive ID","value":"4012"},{"id":130,"name":"Impact","value":""},{"id":150,"name":"Time of Event (Mountain Time)","value":"06:49:53"},{"id":151,"name":"Denver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390</v>
      </c>
      <c r="B27" s="7">
        <v>4007</v>
      </c>
      <c r="C27" s="24" t="s">
        <v>106</v>
      </c>
      <c r="D27" s="24" t="s">
        <v>607</v>
      </c>
      <c r="E27" s="15">
        <v>42632.226377314815</v>
      </c>
      <c r="F27" s="15">
        <v>42632.232986111114</v>
      </c>
      <c r="G27" s="7">
        <v>8</v>
      </c>
      <c r="H27" s="15" t="s">
        <v>266</v>
      </c>
      <c r="I27" s="15">
        <v>42632.261203703703</v>
      </c>
      <c r="J27" s="7">
        <v>0</v>
      </c>
      <c r="K27" s="121" t="str">
        <f t="shared" si="0"/>
        <v>4007/4008</v>
      </c>
      <c r="L27" s="24" t="str">
        <f>VLOOKUP(A27,'Trips&amp;Operators'!$C$1:$E$10000,3,FALSE)</f>
        <v>MALAVE</v>
      </c>
      <c r="M27" s="6">
        <f t="shared" si="1"/>
        <v>2.8217592589498963E-2</v>
      </c>
      <c r="N27" s="7">
        <f t="shared" si="2"/>
        <v>40.633333328878507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04:25:59-0600',mode:absolute,to:'2016-09-19 07:16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7.5200000000000003E-2</v>
      </c>
      <c r="Z27" s="69">
        <f t="shared" si="9"/>
        <v>23.327400000000001</v>
      </c>
      <c r="AA27" s="69">
        <f t="shared" si="10"/>
        <v>23.252200000000002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0115-19</v>
      </c>
      <c r="AE27" s="99" t="str">
        <f t="shared" si="12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27" s="96" t="str">
        <f t="shared" si="13"/>
        <v>"C:\Program Files (x86)\AstroGrep\AstroGrep.exe" /spath="%USERPROFILE%\AppData\Local\Temp\OnboardLogs" /stypes="app*4007*20160919*"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115-19 --locoid 4007 --swversion DE.1.0.7.0 --startMP 204:752 --initTime 2016-09-19T05:25:59 --startdatetime 2016-09-19T05:35:30 --delay 8 --endMP 204:233274 --enddatetime 2016-09-19T06:16:08 --enforcementcount 0 &gt;&gt;C:\Users\stu\Documents\GitHub\eaglep3-reporting\EC\2016-09-19-refined-times.txt</v>
      </c>
      <c r="AI27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{"issue":{"subject":"","project_id":79,"tracker_id":40,"status_id":1,"priority_id":2,"assigned_to_id":23,"start_date":"2016-09-19","description":"","custom_fields":[{"id":1,"name":"Subdivision","value":"EC"},{"id":4,"name":"Milepost","value":"23.3274"},{"id":17,"name":"Train ID","value":"115-19"},{"id":16,"name":"Locomotive ID","value":"4007"},{"id":130,"name":"Impact","value":""},{"id":150,"name":"Time of Event (Mountain Time)","value":"06:16:08"},{"id":151,"name":"Denver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403</v>
      </c>
      <c r="B28" s="7">
        <v>4008</v>
      </c>
      <c r="C28" s="24" t="s">
        <v>106</v>
      </c>
      <c r="D28" s="24" t="s">
        <v>317</v>
      </c>
      <c r="E28" s="15">
        <v>42632.265949074077</v>
      </c>
      <c r="F28" s="15">
        <v>42632.268206018518</v>
      </c>
      <c r="G28" s="7">
        <v>1</v>
      </c>
      <c r="H28" s="15" t="s">
        <v>594</v>
      </c>
      <c r="I28" s="15">
        <v>42632.296099537038</v>
      </c>
      <c r="J28" s="7">
        <v>0</v>
      </c>
      <c r="K28" s="121" t="str">
        <f t="shared" si="0"/>
        <v>4007/4008</v>
      </c>
      <c r="L28" s="24" t="str">
        <f>VLOOKUP(A28,'Trips&amp;Operators'!$C$1:$E$10000,3,FALSE)</f>
        <v>MALAVE</v>
      </c>
      <c r="M28" s="6">
        <f t="shared" si="1"/>
        <v>2.789351851970423E-2</v>
      </c>
      <c r="N28" s="7">
        <f t="shared" si="2"/>
        <v>40.166666668374091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05:22:58-0600',mode:absolute,to:'2016-09-19 08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23.296199999999999</v>
      </c>
      <c r="Z28" s="69">
        <f t="shared" si="9"/>
        <v>1.6899999999999998E-2</v>
      </c>
      <c r="AA28" s="69">
        <f t="shared" si="10"/>
        <v>23.279299999999999</v>
      </c>
      <c r="AB28" s="66" t="str">
        <f>VLOOKUP(A28,Enforcements!$C$7:$K$20,8,0)</f>
        <v>Speed (6)</v>
      </c>
      <c r="AC28" s="62" t="str">
        <f>VLOOKUP(A28,Enforcements!$C$7:$E$20,3,0)</f>
        <v>PERMANENT SPEED RESTRICTION</v>
      </c>
      <c r="AD28" s="63" t="str">
        <f t="shared" si="11"/>
        <v>0116-19</v>
      </c>
      <c r="AE28" s="99" t="str">
        <f t="shared" si="12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28" s="96" t="str">
        <f t="shared" si="13"/>
        <v>"C:\Program Files (x86)\AstroGrep\AstroGrep.exe" /spath="%USERPROFILE%\AppData\Local\Temp\OnboardLogs" /stypes="app*4008*20160919*"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116-19 --locoid 4008 --swversion DE.1.0.7.0 --startMP 204:232962 --initTime 2016-09-19T06:22:58 --startdatetime 2016-09-19T06:26:13 --delay 1 --endMP 204:169 --enddatetime 2016-09-19T07:06:23 --enforcementcount 0 &gt;&gt;C:\Users\stu\Documents\GitHub\eaglep3-reporting\EC\2016-09-19-refined-times.txt</v>
      </c>
      <c r="AI28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{"issue":{"subject":"","project_id":79,"tracker_id":40,"status_id":1,"priority_id":2,"assigned_to_id":23,"start_date":"2016-09-19","description":"","custom_fields":[{"id":1,"name":"Subdivision","value":"EC"},{"id":4,"name":"Milepost","value":"0.0169"},{"id":17,"name":"Train ID","value":"116-19"},{"id":16,"name":"Locomotive ID","value":"4008"},{"id":130,"name":"Impact","value":""},{"id":150,"name":"Time of Event (Mountain Time)","value":"07:06:23"},{"id":151,"name":"Denver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391</v>
      </c>
      <c r="B29" s="7">
        <v>4025</v>
      </c>
      <c r="C29" s="24" t="s">
        <v>106</v>
      </c>
      <c r="D29" s="24" t="s">
        <v>219</v>
      </c>
      <c r="E29" s="15">
        <v>42632.2341087963</v>
      </c>
      <c r="F29" s="15">
        <v>42632.23982638889</v>
      </c>
      <c r="G29" s="7">
        <v>2</v>
      </c>
      <c r="H29" s="15" t="s">
        <v>341</v>
      </c>
      <c r="I29" s="15">
        <v>42632.265196759261</v>
      </c>
      <c r="J29" s="7">
        <v>0</v>
      </c>
      <c r="K29" s="121" t="str">
        <f t="shared" si="0"/>
        <v>4025/4026</v>
      </c>
      <c r="L29" s="24" t="str">
        <f>VLOOKUP(A29,'Trips&amp;Operators'!$C$1:$E$10000,3,FALSE)</f>
        <v>ACKERMAN</v>
      </c>
      <c r="M29" s="6">
        <f t="shared" si="1"/>
        <v>2.5370370371092577E-2</v>
      </c>
      <c r="N29" s="7">
        <f t="shared" si="2"/>
        <v>36.53333333437331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04:37:07-0600',mode:absolute,to:'2016-09-19 07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4.53E-2</v>
      </c>
      <c r="Z29" s="69">
        <f t="shared" si="9"/>
        <v>23.3307</v>
      </c>
      <c r="AA29" s="69">
        <f t="shared" si="10"/>
        <v>23.285399999999999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0117-19</v>
      </c>
      <c r="AE29" s="99" t="str">
        <f t="shared" si="12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29" s="96" t="str">
        <f t="shared" si="13"/>
        <v>"C:\Program Files (x86)\AstroGrep\AstroGrep.exe" /spath="%USERPROFILE%\AppData\Local\Temp\OnboardLogs" /stypes="app*4025*20160919*"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117-19 --locoid 4025 --swversion DE.1.0.7.0 --startMP 204:453 --initTime 2016-09-19T05:37:07 --startdatetime 2016-09-19T05:45:21 --delay 2 --endMP 204:233307 --enddatetime 2016-09-19T06:21:53 --enforcementcount 0 &gt;&gt;C:\Users\stu\Documents\GitHub\eaglep3-reporting\EC\2016-09-19-refined-times.txt</v>
      </c>
      <c r="AI2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{"issue":{"subject":"","project_id":79,"tracker_id":40,"status_id":1,"priority_id":2,"assigned_to_id":23,"start_date":"2016-09-19","description":"","custom_fields":[{"id":1,"name":"Subdivision","value":"EC"},{"id":4,"name":"Milepost","value":"23.3307"},{"id":17,"name":"Train ID","value":"117-19"},{"id":16,"name":"Locomotive ID","value":"4025"},{"id":130,"name":"Impact","value":""},{"id":150,"name":"Time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404</v>
      </c>
      <c r="B30" s="7">
        <v>4026</v>
      </c>
      <c r="C30" s="24" t="s">
        <v>106</v>
      </c>
      <c r="D30" s="24" t="s">
        <v>294</v>
      </c>
      <c r="E30" s="15">
        <v>42632.271909722222</v>
      </c>
      <c r="F30" s="15">
        <v>42632.278692129628</v>
      </c>
      <c r="G30" s="7">
        <v>1</v>
      </c>
      <c r="H30" s="15" t="s">
        <v>304</v>
      </c>
      <c r="I30" s="15">
        <v>42632.308391203704</v>
      </c>
      <c r="J30" s="7">
        <v>0</v>
      </c>
      <c r="K30" s="121" t="str">
        <f t="shared" si="0"/>
        <v>4025/4026</v>
      </c>
      <c r="L30" s="24" t="str">
        <f>VLOOKUP(A30,'Trips&amp;Operators'!$C$1:$E$10000,3,FALSE)</f>
        <v>ACKERMAN</v>
      </c>
      <c r="M30" s="6">
        <f t="shared" si="1"/>
        <v>2.9699074075324461E-2</v>
      </c>
      <c r="N30" s="7">
        <f t="shared" si="2"/>
        <v>42.766666668467224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05:31:33-0600',mode:absolute,to:'2016-09-19 08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23.2973</v>
      </c>
      <c r="Z30" s="69">
        <f t="shared" si="9"/>
        <v>1.67E-2</v>
      </c>
      <c r="AA30" s="69">
        <f t="shared" si="10"/>
        <v>23.2806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0118-19</v>
      </c>
      <c r="AE30" s="99" t="str">
        <f t="shared" si="12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30" s="96" t="str">
        <f t="shared" si="13"/>
        <v>"C:\Program Files (x86)\AstroGrep\AstroGrep.exe" /spath="%USERPROFILE%\AppData\Local\Temp\OnboardLogs" /stypes="app*4026*20160919*"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118-19 --locoid 4026 --swversion DE.1.0.7.0 --startMP 204:232973 --initTime 2016-09-19T06:31:33 --startdatetime 2016-09-19T06:41:19 --delay 1 --endMP 204:167 --enddatetime 2016-09-19T07:24:05 --enforcementcount 0 &gt;&gt;C:\Users\stu\Documents\GitHub\eaglep3-reporting\EC\2016-09-19-refined-times.txt</v>
      </c>
      <c r="AI3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ID","value":"118-19"},{"id":16,"name":"Locomotive ID","value":"4026"},{"id":130,"name":"Impact","value":""},{"id":150,"name":"Time of Event (Mountain Time)","value":"07:24:05"},{"id":151,"name":"Denver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398</v>
      </c>
      <c r="B31" s="7">
        <v>4053</v>
      </c>
      <c r="C31" s="24" t="s">
        <v>106</v>
      </c>
      <c r="D31" s="24" t="s">
        <v>608</v>
      </c>
      <c r="E31" s="15">
        <v>42632.252534722225</v>
      </c>
      <c r="F31" s="15">
        <v>42632.254178240742</v>
      </c>
      <c r="G31" s="7">
        <v>1</v>
      </c>
      <c r="H31" s="15" t="s">
        <v>609</v>
      </c>
      <c r="I31" s="15">
        <v>42632.282881944448</v>
      </c>
      <c r="J31" s="7">
        <v>0</v>
      </c>
      <c r="K31" s="121" t="str">
        <f t="shared" si="0"/>
        <v>4053/4054</v>
      </c>
      <c r="L31" s="24" t="str">
        <f>VLOOKUP(A31,'Trips&amp;Operators'!$C$1:$E$10000,3,FALSE)</f>
        <v>BRANNON</v>
      </c>
      <c r="M31" s="6">
        <f t="shared" si="1"/>
        <v>2.8703703705104999E-2</v>
      </c>
      <c r="N31" s="7">
        <f t="shared" si="2"/>
        <v>41.333333335351199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05:03:39-0600',mode:absolute,to:'2016-09-19 07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7.6600000000000001E-2</v>
      </c>
      <c r="Z31" s="69">
        <f t="shared" si="9"/>
        <v>23.32</v>
      </c>
      <c r="AA31" s="69">
        <f t="shared" si="10"/>
        <v>23.243400000000001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0119-19</v>
      </c>
      <c r="AE31" s="99" t="str">
        <f t="shared" si="12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31" s="96" t="str">
        <f t="shared" si="13"/>
        <v>"C:\Program Files (x86)\AstroGrep\AstroGrep.exe" /spath="%USERPROFILE%\AppData\Local\Temp\OnboardLogs" /stypes="app*4053*20160919*"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119-19 --locoid 4053 --swversion DE.1.0.7.0 --startMP 204:766 --initTime 2016-09-19T06:03:39 --startdatetime 2016-09-19T06:06:01 --delay 1 --endMP 204:233200 --enddatetime 2016-09-19T06:47:21 --enforcementcount 0 &gt;&gt;C:\Users\stu\Documents\GitHub\eaglep3-reporting\EC\2016-09-19-refined-times.txt</v>
      </c>
      <c r="AI31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{"issue":{"subject":"","project_id":79,"tracker_id":40,"status_id":1,"priority_id":2,"assigned_to_id":23,"start_date":"2016-09-19","description":"","custom_fields":[{"id":1,"name":"Subdivision","value":"EC"},{"id":4,"name":"Milepost","value":"23.32"},{"id":17,"name":"Train ID","value":"119-19"},{"id":16,"name":"Locomotive ID","value":"4053"},{"id":130,"name":"Impact","value":""},{"id":150,"name":"Time of Event (Mountain Time)","value":"06:47:21"},{"id":151,"name":"Denver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408</v>
      </c>
      <c r="B32" s="7">
        <v>4054</v>
      </c>
      <c r="C32" s="24" t="s">
        <v>106</v>
      </c>
      <c r="D32" s="24" t="s">
        <v>324</v>
      </c>
      <c r="E32" s="15">
        <v>42632.284826388888</v>
      </c>
      <c r="F32" s="15">
        <v>42632.289282407408</v>
      </c>
      <c r="G32" s="7">
        <v>2</v>
      </c>
      <c r="H32" s="15" t="s">
        <v>222</v>
      </c>
      <c r="I32" s="15">
        <v>42632.317719907405</v>
      </c>
      <c r="J32" s="7">
        <v>0</v>
      </c>
      <c r="K32" s="121" t="str">
        <f t="shared" si="0"/>
        <v>4053/4054</v>
      </c>
      <c r="L32" s="24" t="str">
        <f>VLOOKUP(A32,'Trips&amp;Operators'!$C$1:$E$10000,3,FALSE)</f>
        <v>BRANNON</v>
      </c>
      <c r="M32" s="6">
        <f t="shared" si="1"/>
        <v>2.8437499997380655E-2</v>
      </c>
      <c r="N32" s="7">
        <f t="shared" si="2"/>
        <v>40.949999996228144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05:50:09-0600',mode:absolute,to:'2016-09-19 08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23.2883</v>
      </c>
      <c r="Z32" s="69">
        <f t="shared" si="9"/>
        <v>1.52E-2</v>
      </c>
      <c r="AA32" s="69">
        <f t="shared" si="10"/>
        <v>23.273099999999999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0120-19</v>
      </c>
      <c r="AE32" s="99" t="str">
        <f t="shared" si="12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32" s="96" t="str">
        <f t="shared" si="13"/>
        <v>"C:\Program Files (x86)\AstroGrep\AstroGrep.exe" /spath="%USERPROFILE%\AppData\Local\Temp\OnboardLogs" /stypes="app*4054*20160919*"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120-19 --locoid 4054 --swversion DE.1.0.7.0 --startMP 204:232883 --initTime 2016-09-19T06:50:09 --startdatetime 2016-09-19T06:56:34 --delay 2 --endMP 204:152 --enddatetime 2016-09-19T07:37:31 --enforcementcount 0 &gt;&gt;C:\Users\stu\Documents\GitHub\eaglep3-reporting\EC\2016-09-19-refined-times.txt</v>
      </c>
      <c r="AI32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{"issue":{"subject":"","project_id":79,"tracker_id":40,"status_id":1,"priority_id":2,"assigned_to_id":23,"start_date":"2016-09-19","description":"","custom_fields":[{"id":1,"name":"Subdivision","value":"EC"},{"id":4,"name":"Milepost","value":"0.0152"},{"id":17,"name":"Train ID","value":"120-19"},{"id":16,"name":"Locomotive ID","value":"4054"},{"id":130,"name":"Impact","value":""},{"id":150,"name":"Time of Event (Mountain Time)","value":"07:37:31"},{"id":151,"name":"Denver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400</v>
      </c>
      <c r="B33" s="7">
        <v>4002</v>
      </c>
      <c r="C33" s="24" t="s">
        <v>106</v>
      </c>
      <c r="D33" s="24" t="s">
        <v>224</v>
      </c>
      <c r="E33" s="15">
        <v>42632.258229166669</v>
      </c>
      <c r="F33" s="15">
        <v>42632.260740740741</v>
      </c>
      <c r="G33" s="7">
        <v>1</v>
      </c>
      <c r="H33" s="15" t="s">
        <v>350</v>
      </c>
      <c r="I33" s="15">
        <v>42632.288402777776</v>
      </c>
      <c r="J33" s="7">
        <v>0</v>
      </c>
      <c r="K33" s="121" t="str">
        <f t="shared" si="0"/>
        <v>4001/4002</v>
      </c>
      <c r="L33" s="24" t="str">
        <f>VLOOKUP(A33,'Trips&amp;Operators'!$C$1:$E$10000,3,FALSE)</f>
        <v>SPECTOR</v>
      </c>
      <c r="M33" s="6">
        <f t="shared" si="1"/>
        <v>2.7662037035042886E-2</v>
      </c>
      <c r="N33" s="7">
        <f t="shared" si="2"/>
        <v>39.833333330461755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05:11:51-0600',mode:absolute,to:'2016-09-19 07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4.4699999999999997E-2</v>
      </c>
      <c r="Z33" s="69">
        <f t="shared" si="9"/>
        <v>23.3322</v>
      </c>
      <c r="AA33" s="69">
        <f t="shared" si="10"/>
        <v>23.287500000000001</v>
      </c>
      <c r="AB33" s="66" t="e">
        <f>VLOOKUP(A33,Enforcements!$C$7:$K$20,8,0)</f>
        <v>#N/A</v>
      </c>
      <c r="AC33" s="62" t="e">
        <f>VLOOKUP(A33,Enforcements!$C$7:$E$20,3,0)</f>
        <v>#N/A</v>
      </c>
      <c r="AD33" s="63" t="str">
        <f t="shared" si="11"/>
        <v>0121-19</v>
      </c>
      <c r="AE33" s="99" t="str">
        <f t="shared" si="12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33" s="96" t="str">
        <f t="shared" si="13"/>
        <v>"C:\Program Files (x86)\AstroGrep\AstroGrep.exe" /spath="%USERPROFILE%\AppData\Local\Temp\OnboardLogs" /stypes="app*4002*20160919*"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121-19 --locoid 4002 --swversion DE.1.0.7.0 --startMP 204:447 --initTime 2016-09-19T06:11:51 --startdatetime 2016-09-19T06:15:28 --delay 1 --endMP 204:233322 --enddatetime 2016-09-19T06:55:18 --enforcementcount 0 &gt;&gt;C:\Users\stu\Documents\GitHub\eaglep3-reporting\EC\2016-09-19-refined-times.txt</v>
      </c>
      <c r="AI33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{"issue":{"subject":"","project_id":79,"tracker_id":40,"status_id":1,"priority_id":2,"assigned_to_id":23,"start_date":"2016-09-19","description":"","custom_fields":[{"id":1,"name":"Subdivision","value":"EC"},{"id":4,"name":"Milepost","value":"23.3322"},{"id":17,"name":"Train ID","value":"121-19"},{"id":16,"name":"Locomotive ID","value":"4002"},{"id":130,"name":"Impact","value":""},{"id":150,"name":"Time of Event (Mountain Time)","value":"06:55:18"},{"id":151,"name":"Denver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412</v>
      </c>
      <c r="B34" s="7">
        <v>4001</v>
      </c>
      <c r="C34" s="24" t="s">
        <v>106</v>
      </c>
      <c r="D34" s="24" t="s">
        <v>610</v>
      </c>
      <c r="E34" s="15">
        <v>42632.296435185184</v>
      </c>
      <c r="F34" s="15">
        <v>42632.299490740741</v>
      </c>
      <c r="G34" s="7">
        <v>1</v>
      </c>
      <c r="H34" s="15" t="s">
        <v>339</v>
      </c>
      <c r="I34" s="15">
        <v>42632.328252314815</v>
      </c>
      <c r="J34" s="7">
        <v>0</v>
      </c>
      <c r="K34" s="121" t="str">
        <f t="shared" si="0"/>
        <v>4001/4002</v>
      </c>
      <c r="L34" s="24" t="str">
        <f>VLOOKUP(A34,'Trips&amp;Operators'!$C$1:$E$10000,3,FALSE)</f>
        <v>SPECTOR</v>
      </c>
      <c r="M34" s="6">
        <f t="shared" si="1"/>
        <v>2.8761574074451346E-2</v>
      </c>
      <c r="N34" s="7">
        <f t="shared" si="2"/>
        <v>41.416666667209938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06:06:52-0600',mode:absolute,to:'2016-09-19 08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23.300699999999999</v>
      </c>
      <c r="Z34" s="69">
        <f t="shared" si="9"/>
        <v>1.4500000000000001E-2</v>
      </c>
      <c r="AA34" s="69">
        <f t="shared" si="10"/>
        <v>23.286199999999997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0122-19</v>
      </c>
      <c r="AE34" s="99" t="str">
        <f t="shared" si="12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34" s="96" t="str">
        <f t="shared" si="13"/>
        <v>"C:\Program Files (x86)\AstroGrep\AstroGrep.exe" /spath="%USERPROFILE%\AppData\Local\Temp\OnboardLogs" /stypes="app*4001*20160919*"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122-19 --locoid 4001 --swversion DE.1.0.7.0 --startMP 204:233007 --initTime 2016-09-19T07:06:52 --startdatetime 2016-09-19T07:11:16 --delay 1 --endMP 204:145 --enddatetime 2016-09-19T07:52:41 --enforcementcount 0 &gt;&gt;C:\Users\stu\Documents\GitHub\eaglep3-reporting\EC\2016-09-19-refined-times.txt</v>
      </c>
      <c r="AI34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{"issue":{"subject":"","project_id":79,"tracker_id":40,"status_id":1,"priority_id":2,"assigned_to_id":23,"start_date":"2016-09-19","description":"","custom_fields":[{"id":1,"name":"Subdivision","value":"EC"},{"id":4,"name":"Milepost","value":"0.0145"},{"id":17,"name":"Train ID","value":"122-19"},{"id":16,"name":"Locomotive ID","value":"4001"},{"id":130,"name":"Impact","value":""},{"id":150,"name":"Time of Event (Mountain Time)","value":"07:52:41"},{"id":151,"name":"Denver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401</v>
      </c>
      <c r="B35" s="7">
        <v>4046</v>
      </c>
      <c r="C35" s="24" t="s">
        <v>106</v>
      </c>
      <c r="D35" s="24" t="s">
        <v>224</v>
      </c>
      <c r="E35" s="15">
        <v>42632.265844907408</v>
      </c>
      <c r="F35" s="15">
        <v>42632.27140046296</v>
      </c>
      <c r="G35" s="7">
        <v>1</v>
      </c>
      <c r="H35" s="15" t="s">
        <v>604</v>
      </c>
      <c r="I35" s="15">
        <v>42632.295868055553</v>
      </c>
      <c r="J35" s="7">
        <v>0</v>
      </c>
      <c r="K35" s="121" t="str">
        <f t="shared" si="0"/>
        <v>4045/4046</v>
      </c>
      <c r="L35" s="24" t="str">
        <f>VLOOKUP(A35,'Trips&amp;Operators'!$C$1:$E$10000,3,FALSE)</f>
        <v>YORK</v>
      </c>
      <c r="M35" s="6">
        <f t="shared" si="1"/>
        <v>2.4467592593282461E-2</v>
      </c>
      <c r="N35" s="7">
        <f t="shared" si="2"/>
        <v>35.233333334326744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05:22:49-0600',mode:absolute,to:'2016-09-19 08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4.4699999999999997E-2</v>
      </c>
      <c r="Z35" s="69">
        <f t="shared" si="9"/>
        <v>23.325700000000001</v>
      </c>
      <c r="AA35" s="69">
        <f t="shared" si="10"/>
        <v>23.281000000000002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0123-19</v>
      </c>
      <c r="AE35" s="99" t="str">
        <f t="shared" si="12"/>
        <v>aws s3 cp s3://rtdc.mdm.uploadarchive/RTDC4046/2016-09-19/ "%USERPROFILE%\AppData\Local\Temp\OnboardLogs"\RTDC4046\2016-09-19 --recursive &amp; "%USERPROFILE%\Documents\GitHub\mrs-test-scripts\Headless Mode &amp; Sideloading\WalkAndUnGZ.bat" "%USERPROFILE%\AppData\Local\Temp\OnboardLogs"\RTDC4046\2016-09-19 &amp; 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</v>
      </c>
      <c r="AF35" s="96" t="str">
        <f t="shared" si="13"/>
        <v>"C:\Program Files (x86)\AstroGrep\AstroGrep.exe" /spath="%USERPROFILE%\AppData\Local\Temp\OnboardLogs" /stypes="app*4046*20160919*"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123-19 --locoid 4046 --swversion DE.1.0.7.0 --startMP 204:447 --initTime 2016-09-19T06:22:49 --startdatetime 2016-09-19T06:30:49 --delay 1 --endMP 204:233257 --enddatetime 2016-09-19T07:06:03 --enforcementcount 0 &gt;&gt;C:\Users\stu\Documents\GitHub\eaglep3-reporting\EC\2016-09-19-refined-times.txt</v>
      </c>
      <c r="AI35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{"issue":{"subject":"","project_id":79,"tracker_id":40,"status_id":1,"priority_id":2,"assigned_to_id":23,"start_date":"2016-09-19","description":"","custom_fields":[{"id":1,"name":"Subdivision","value":"EC"},{"id":4,"name":"Milepost","value":"23.3257"},{"id":17,"name":"Train ID","value":"123-19"},{"id":16,"name":"Locomotive ID","value":"4046"},{"id":130,"name":"Impact","value":""},{"id":150,"name":"Time of Event (Mountain Time)","value":"07:06:03"},{"id":151,"name":"Denver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413</v>
      </c>
      <c r="B36" s="7">
        <v>4045</v>
      </c>
      <c r="C36" s="24" t="s">
        <v>106</v>
      </c>
      <c r="D36" s="24" t="s">
        <v>611</v>
      </c>
      <c r="E36" s="15">
        <v>42632.297129629631</v>
      </c>
      <c r="F36" s="15">
        <v>42632.31050925926</v>
      </c>
      <c r="G36" s="7">
        <v>1</v>
      </c>
      <c r="H36" s="15" t="s">
        <v>268</v>
      </c>
      <c r="I36" s="15">
        <v>42632.336018518516</v>
      </c>
      <c r="J36" s="7">
        <v>0</v>
      </c>
      <c r="K36" s="121" t="str">
        <f t="shared" si="0"/>
        <v>4045/4046</v>
      </c>
      <c r="L36" s="24" t="str">
        <f>VLOOKUP(A36,'Trips&amp;Operators'!$C$1:$E$10000,3,FALSE)</f>
        <v>YORK</v>
      </c>
      <c r="M36" s="6">
        <f t="shared" si="1"/>
        <v>2.5509259256068617E-2</v>
      </c>
      <c r="N36" s="7">
        <f t="shared" si="2"/>
        <v>36.733333328738809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06:07:52-0600',mode:absolute,to:'2016-09-19 09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23.2928</v>
      </c>
      <c r="Z36" s="69">
        <f t="shared" si="9"/>
        <v>1.61E-2</v>
      </c>
      <c r="AA36" s="69">
        <f t="shared" si="10"/>
        <v>23.276699999999998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0124-19</v>
      </c>
      <c r="AE36" s="99" t="str">
        <f t="shared" si="12"/>
        <v>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 &amp; 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</v>
      </c>
      <c r="AF36" s="96" t="str">
        <f t="shared" si="13"/>
        <v>"C:\Program Files (x86)\AstroGrep\AstroGrep.exe" /spath="%USERPROFILE%\AppData\Local\Temp\OnboardLogs" /stypes="app*4045*20160919*"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124-19 --locoid 4045 --swversion DE.1.0.7.0 --startMP 204:232928 --initTime 2016-09-19T07:07:52 --startdatetime 2016-09-19T07:27:08 --delay 1 --endMP 204:161 --enddatetime 2016-09-19T08:03:52 --enforcementcount 0 &gt;&gt;C:\Users\stu\Documents\GitHub\eaglep3-reporting\EC\2016-09-19-refined-times.txt</v>
      </c>
      <c r="AI3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{"issue":{"subject":"","project_id":79,"tracker_id":40,"status_id":1,"priority_id":2,"assigned_to_id":23,"start_date":"2016-09-19","description":"","custom_fields":[{"id":1,"name":"Subdivision","value":"EC"},{"id":4,"name":"Milepost","value":"0.0161"},{"id":17,"name":"Train ID","value":"124-19"},{"id":16,"name":"Locomotive ID","value":"4045"},{"id":130,"name":"Impact","value":""},{"id":150,"name":"Time of Event (Mountain Time)","value":"08:03:52"},{"id":151,"name":"Denver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406</v>
      </c>
      <c r="B37" s="7">
        <v>4031</v>
      </c>
      <c r="C37" s="24" t="s">
        <v>106</v>
      </c>
      <c r="D37" s="24" t="s">
        <v>299</v>
      </c>
      <c r="E37" s="15">
        <v>42632.278414351851</v>
      </c>
      <c r="F37" s="15">
        <v>42632.281446759262</v>
      </c>
      <c r="G37" s="7">
        <v>3</v>
      </c>
      <c r="H37" s="15" t="s">
        <v>612</v>
      </c>
      <c r="I37" s="15">
        <v>42632.309814814813</v>
      </c>
      <c r="J37" s="7">
        <v>0</v>
      </c>
      <c r="K37" s="121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2.8368055551254656E-2</v>
      </c>
      <c r="N37" s="7">
        <f t="shared" si="2"/>
        <v>40.849999993806705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05:40:55-0600',mode:absolute,to:'2016-09-19 08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4.3999999999999997E-2</v>
      </c>
      <c r="Z37" s="69">
        <f t="shared" si="9"/>
        <v>23.310500000000001</v>
      </c>
      <c r="AA37" s="69">
        <f t="shared" si="10"/>
        <v>23.266500000000001</v>
      </c>
      <c r="AB37" s="66" t="e">
        <f>VLOOKUP(A37,Enforcements!$C$7:$K$20,8,0)</f>
        <v>#N/A</v>
      </c>
      <c r="AC37" s="62" t="e">
        <f>VLOOKUP(A37,Enforcements!$C$7:$E$20,3,0)</f>
        <v>#N/A</v>
      </c>
      <c r="AD37" s="63" t="str">
        <f t="shared" si="11"/>
        <v>0125-19</v>
      </c>
      <c r="AE37" s="99" t="str">
        <f t="shared" si="12"/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AF37" s="96" t="str">
        <f t="shared" si="13"/>
        <v>"C:\Program Files (x86)\AstroGrep\AstroGrep.exe" /spath="%USERPROFILE%\AppData\Local\Temp\OnboardLogs" /stypes="app*4031*20160919*"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125-19 --locoid 4031 --swversion DE.1.0.7.0 --startMP 204:440 --initTime 2016-09-19T06:40:55 --startdatetime 2016-09-19T06:45:17 --delay 3 --endMP 204:233105 --enddatetime 2016-09-19T07:26:08 --enforcementcount 0 &gt;&gt;C:\Users\stu\Documents\GitHub\eaglep3-reporting\EC\2016-09-19-refined-times.txt</v>
      </c>
      <c r="AI37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{"issue":{"subject":"","project_id":79,"tracker_id":40,"status_id":1,"priority_id":2,"assigned_to_id":23,"start_date":"2016-09-19","description":"","custom_fields":[{"id":1,"name":"Subdivision","value":"EC"},{"id":4,"name":"Milepost","value":"23.3105"},{"id":17,"name":"Train ID","value":"125-19"},{"id":16,"name":"Locomotive ID","value":"4031"},{"id":130,"name":"Impact","value":""},{"id":150,"name":"Time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418</v>
      </c>
      <c r="B38" s="7">
        <v>4032</v>
      </c>
      <c r="C38" s="24" t="s">
        <v>106</v>
      </c>
      <c r="D38" s="24" t="s">
        <v>613</v>
      </c>
      <c r="E38" s="15">
        <v>42632.317372685182</v>
      </c>
      <c r="F38" s="15">
        <v>42632.320694444446</v>
      </c>
      <c r="G38" s="7">
        <v>0</v>
      </c>
      <c r="H38" s="15" t="s">
        <v>614</v>
      </c>
      <c r="I38" s="15">
        <v>42632.348460648151</v>
      </c>
      <c r="J38" s="7">
        <v>0</v>
      </c>
      <c r="K38" s="121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2.7766203704231884E-2</v>
      </c>
      <c r="N38" s="7">
        <f t="shared" si="2"/>
        <v>39.983333334093913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06:37:01-0600',mode:absolute,to:'2016-09-19 09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23.279800000000002</v>
      </c>
      <c r="Z38" s="69">
        <f t="shared" si="9"/>
        <v>0.1171</v>
      </c>
      <c r="AA38" s="69">
        <f t="shared" si="10"/>
        <v>23.162700000000001</v>
      </c>
      <c r="AB38" s="66" t="e">
        <f>VLOOKUP(A38,Enforcements!$C$7:$K$20,8,0)</f>
        <v>#N/A</v>
      </c>
      <c r="AC38" s="62" t="e">
        <f>VLOOKUP(A38,Enforcements!$C$7:$E$20,3,0)</f>
        <v>#N/A</v>
      </c>
      <c r="AD38" s="63" t="str">
        <f t="shared" si="11"/>
        <v>0126-19</v>
      </c>
      <c r="AE38" s="99" t="str">
        <f t="shared" si="12"/>
        <v>aws s3 cp s3://rtdc.mdm.uploadarchive/RTDC4032/2016-09-19/ "%USERPROFILE%\AppData\Local\Temp\OnboardLogs"\RTDC4032\2016-09-19 --recursive &amp; "%USERPROFILE%\Documents\GitHub\mrs-test-scripts\Headless Mode &amp; Sideloading\WalkAndUnGZ.bat" "%USERPROFILE%\AppData\Local\Temp\OnboardLogs"\RTDC4032\2016-09-19 &amp; aws s3 cp s3://rtdc.mdm.uploadarchive/RTDC4032/2016-09-20/ "%USERPROFILE%\AppData\Local\Temp\OnboardLogs"\RTDC4032\2016-09-20 --recursive &amp; "%USERPROFILE%\Documents\GitHub\mrs-test-scripts\Headless Mode &amp; Sideloading\WalkAndUnGZ.bat" "%USERPROFILE%\AppData\Local\Temp\OnboardLogs"\RTDC4032\2016-09-20</v>
      </c>
      <c r="AF38" s="96" t="str">
        <f t="shared" si="13"/>
        <v>"C:\Program Files (x86)\AstroGrep\AstroGrep.exe" /spath="%USERPROFILE%\AppData\Local\Temp\OnboardLogs" /stypes="app*4032*20160919*"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126-19 --locoid 4032 --swversion DE.1.0.7.0 --startMP 204:232798 --initTime 2016-09-19T07:37:01 --startdatetime 2016-09-19T07:41:48 --delay 0 --endMP 204:1171 --enddatetime 2016-09-19T08:21:47 --enforcementcount 0 &gt;&gt;C:\Users\stu\Documents\GitHub\eaglep3-reporting\EC\2016-09-19-refined-times.txt</v>
      </c>
      <c r="AI38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{"issue":{"subject":"","project_id":79,"tracker_id":40,"status_id":1,"priority_id":2,"assigned_to_id":23,"start_date":"2016-09-19","description":"","custom_fields":[{"id":1,"name":"Subdivision","value":"EC"},{"id":4,"name":"Milepost","value":"0.1171"},{"id":17,"name":"Train ID","value":"126-19"},{"id":16,"name":"Locomotive ID","value":"4032"},{"id":130,"name":"Impact","value":""},{"id":150,"name":"Time of Event (Mountain Time)","value":"08:21:47"},{"id":151,"name":"Denver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31" customFormat="1" x14ac:dyDescent="0.25">
      <c r="A39" s="39" t="s">
        <v>410</v>
      </c>
      <c r="B39" s="7">
        <v>4011</v>
      </c>
      <c r="C39" s="24" t="s">
        <v>106</v>
      </c>
      <c r="D39" s="24" t="s">
        <v>234</v>
      </c>
      <c r="E39" s="15">
        <v>42632.28628472222</v>
      </c>
      <c r="F39" s="15">
        <v>42632.291863425926</v>
      </c>
      <c r="G39" s="7">
        <v>1</v>
      </c>
      <c r="H39" s="15" t="s">
        <v>604</v>
      </c>
      <c r="I39" s="15">
        <v>42632.317754629628</v>
      </c>
      <c r="J39" s="7">
        <v>0</v>
      </c>
      <c r="K39" s="121" t="str">
        <f t="shared" si="0"/>
        <v>4011/4012</v>
      </c>
      <c r="L39" s="24" t="str">
        <f>VLOOKUP(A39,'Trips&amp;Operators'!$C$1:$E$10000,3,FALSE)</f>
        <v>KILLION</v>
      </c>
      <c r="M39" s="6">
        <f t="shared" si="1"/>
        <v>2.5891203702485655E-2</v>
      </c>
      <c r="N39" s="7">
        <f t="shared" si="2"/>
        <v>37.283333331579342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05:52:15-0600',mode:absolute,to:'2016-09-19 08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4.5999999999999999E-2</v>
      </c>
      <c r="Z39" s="69">
        <f t="shared" si="9"/>
        <v>23.325700000000001</v>
      </c>
      <c r="AA39" s="69">
        <f t="shared" si="10"/>
        <v>23.279700000000002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0127-19</v>
      </c>
      <c r="AE39" s="99" t="str">
        <f t="shared" si="12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39" s="96" t="str">
        <f t="shared" si="13"/>
        <v>"C:\Program Files (x86)\AstroGrep\AstroGrep.exe" /spath="%USERPROFILE%\AppData\Local\Temp\OnboardLogs" /stypes="app*4011*20160919*"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127-19 --locoid 4011 --swversion DE.1.0.7.0 --startMP 204:460 --initTime 2016-09-19T06:52:15 --startdatetime 2016-09-19T07:00:17 --delay 1 --endMP 204:233257 --enddatetime 2016-09-19T07:37:34 --enforcementcount 0 &gt;&gt;C:\Users\stu\Documents\GitHub\eaglep3-reporting\EC\2016-09-19-refined-times.txt</v>
      </c>
      <c r="AI3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{"issue":{"subject":"","project_id":79,"tracker_id":40,"status_id":1,"priority_id":2,"assigned_to_id":23,"start_date":"2016-09-19","description":"","custom_fields":[{"id":1,"name":"Subdivision","value":"EC"},{"id":4,"name":"Milepost","value":"23.3257"},{"id":17,"name":"Train ID","value":"127-19"},{"id":16,"name":"Locomotive ID","value":"4011"},{"id":130,"name":"Impact","value":""},{"id":150,"name":"Time of Event (Mountain Time)","value":"07:37:34"},{"id":151,"name":"Denver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421</v>
      </c>
      <c r="B40" s="7">
        <v>4012</v>
      </c>
      <c r="C40" s="24" t="s">
        <v>106</v>
      </c>
      <c r="D40" s="24" t="s">
        <v>265</v>
      </c>
      <c r="E40" s="15">
        <v>42632.325173611112</v>
      </c>
      <c r="F40" s="15">
        <v>42632.330868055556</v>
      </c>
      <c r="G40" s="7">
        <v>1</v>
      </c>
      <c r="H40" s="15" t="s">
        <v>248</v>
      </c>
      <c r="I40" s="15">
        <v>42632.359537037039</v>
      </c>
      <c r="J40" s="7">
        <v>0</v>
      </c>
      <c r="K40" s="121" t="str">
        <f t="shared" si="0"/>
        <v>4011/4012</v>
      </c>
      <c r="L40" s="24" t="str">
        <f>VLOOKUP(A40,'Trips&amp;Operators'!$C$1:$E$10000,3,FALSE)</f>
        <v>KILLION</v>
      </c>
      <c r="M40" s="6">
        <f t="shared" si="1"/>
        <v>2.8668981482042E-2</v>
      </c>
      <c r="N40" s="7">
        <f t="shared" si="2"/>
        <v>41.28333333414048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06:48:15-0600',mode:absolute,to:'2016-09-19 09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23.293399999999998</v>
      </c>
      <c r="Z40" s="69">
        <f t="shared" si="9"/>
        <v>1.43E-2</v>
      </c>
      <c r="AA40" s="69">
        <f t="shared" si="10"/>
        <v>23.2791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0128-19</v>
      </c>
      <c r="AE40" s="99" t="str">
        <f t="shared" si="12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40" s="96" t="str">
        <f t="shared" si="13"/>
        <v>"C:\Program Files (x86)\AstroGrep\AstroGrep.exe" /spath="%USERPROFILE%\AppData\Local\Temp\OnboardLogs" /stypes="app*4012*20160919*"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128-19 --locoid 4012 --swversion DE.1.0.7.0 --startMP 204:232934 --initTime 2016-09-19T07:48:15 --startdatetime 2016-09-19T07:56:27 --delay 1 --endMP 204:143 --enddatetime 2016-09-19T08:37:44 --enforcementcount 0 &gt;&gt;C:\Users\stu\Documents\GitHub\eaglep3-reporting\EC\2016-09-19-refined-times.txt</v>
      </c>
      <c r="AI4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{"issue":{"subject":"","project_id":79,"tracker_id":40,"status_id":1,"priority_id":2,"assigned_to_id":23,"start_date":"2016-09-19","description":"","custom_fields":[{"id":1,"name":"Subdivision","value":"EC"},{"id":4,"name":"Milepost","value":"0.0143"},{"id":17,"name":"Train ID","value":"128-19"},{"id":16,"name":"Locomotive ID","value":"4012"},{"id":130,"name":"Impact","value":""},{"id":150,"name":"Time of Event (Mountain Time)","value":"08:37:44"},{"id":151,"name":"Denver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415</v>
      </c>
      <c r="B41" s="7">
        <v>4007</v>
      </c>
      <c r="C41" s="24" t="s">
        <v>106</v>
      </c>
      <c r="D41" s="24" t="s">
        <v>233</v>
      </c>
      <c r="E41" s="15">
        <v>42632.30097222222</v>
      </c>
      <c r="F41" s="15">
        <v>42632.302268518521</v>
      </c>
      <c r="G41" s="7">
        <v>1</v>
      </c>
      <c r="H41" s="15" t="s">
        <v>343</v>
      </c>
      <c r="I41" s="15">
        <v>42632.327199074076</v>
      </c>
      <c r="J41" s="7">
        <v>0</v>
      </c>
      <c r="K41" s="121" t="str">
        <f t="shared" si="0"/>
        <v>4007/4008</v>
      </c>
      <c r="L41" s="24" t="str">
        <f>VLOOKUP(A41,'Trips&amp;Operators'!$C$1:$E$10000,3,FALSE)</f>
        <v>MALAVE</v>
      </c>
      <c r="M41" s="6">
        <f t="shared" si="1"/>
        <v>2.4930555555329192E-2</v>
      </c>
      <c r="N41" s="7">
        <f t="shared" si="2"/>
        <v>35.899999999674037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06:13:24-0600',mode:absolute,to:'2016-09-19 08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4.6699999999999998E-2</v>
      </c>
      <c r="Z41" s="69">
        <f t="shared" si="9"/>
        <v>23.3249</v>
      </c>
      <c r="AA41" s="69">
        <f t="shared" si="10"/>
        <v>23.278199999999998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0129-19</v>
      </c>
      <c r="AE41" s="99" t="str">
        <f t="shared" si="12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41" s="96" t="str">
        <f t="shared" si="13"/>
        <v>"C:\Program Files (x86)\AstroGrep\AstroGrep.exe" /spath="%USERPROFILE%\AppData\Local\Temp\OnboardLogs" /stypes="app*4007*20160919*"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129-19 --locoid 4007 --swversion DE.1.0.7.0 --startMP 204:467 --initTime 2016-09-19T07:13:24 --startdatetime 2016-09-19T07:15:16 --delay 1 --endMP 204:233249 --enddatetime 2016-09-19T07:51:10 --enforcementcount 0 &gt;&gt;C:\Users\stu\Documents\GitHub\eaglep3-reporting\EC\2016-09-19-refined-times.txt</v>
      </c>
      <c r="AI41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{"issue":{"subject":"","project_id":79,"tracker_id":40,"status_id":1,"priority_id":2,"assigned_to_id":23,"start_date":"2016-09-19","description":"","custom_fields":[{"id":1,"name":"Subdivision","value":"EC"},{"id":4,"name":"Milepost","value":"23.3249"},{"id":17,"name":"Train ID","value":"129-19"},{"id":16,"name":"Locomotive ID","value":"4007"},{"id":130,"name":"Impact","value":""},{"id":150,"name":"Time of Event (Mountain Time)","value":"07:51:10"},{"id":151,"name":"Denver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425</v>
      </c>
      <c r="B42" s="7">
        <v>4008</v>
      </c>
      <c r="C42" s="24" t="s">
        <v>106</v>
      </c>
      <c r="D42" s="24" t="s">
        <v>615</v>
      </c>
      <c r="E42" s="15">
        <v>42632.338287037041</v>
      </c>
      <c r="F42" s="15">
        <v>42632.341168981482</v>
      </c>
      <c r="G42" s="7">
        <v>4</v>
      </c>
      <c r="H42" s="15" t="s">
        <v>297</v>
      </c>
      <c r="I42" s="15">
        <v>42632.369479166664</v>
      </c>
      <c r="J42" s="7">
        <v>0</v>
      </c>
      <c r="K42" s="121" t="str">
        <f t="shared" si="0"/>
        <v>4007/4008</v>
      </c>
      <c r="L42" s="24" t="str">
        <f>VLOOKUP(A42,'Trips&amp;Operators'!$C$1:$E$10000,3,FALSE)</f>
        <v>MALAVE</v>
      </c>
      <c r="M42" s="6">
        <f t="shared" si="1"/>
        <v>2.8310185181908309E-2</v>
      </c>
      <c r="N42" s="7">
        <f t="shared" si="2"/>
        <v>40.766666661947966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07:07:08-0600',mode:absolute,to:'2016-09-19 09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23.292100000000001</v>
      </c>
      <c r="Z42" s="69">
        <f t="shared" si="9"/>
        <v>1.5599999999999999E-2</v>
      </c>
      <c r="AA42" s="69">
        <f t="shared" si="10"/>
        <v>23.276500000000002</v>
      </c>
      <c r="AB42" s="66" t="str">
        <f>VLOOKUP(A42,Enforcements!$C$7:$K$20,8,0)</f>
        <v>Bulletin (2)</v>
      </c>
      <c r="AC42" s="62" t="str">
        <f>VLOOKUP(A42,Enforcements!$C$7:$E$20,3,0)</f>
        <v>GRADE CROSSING</v>
      </c>
      <c r="AD42" s="63" t="str">
        <f t="shared" si="11"/>
        <v>0130-19</v>
      </c>
      <c r="AE42" s="99" t="str">
        <f t="shared" si="12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42" s="96" t="str">
        <f t="shared" si="13"/>
        <v>"C:\Program Files (x86)\AstroGrep\AstroGrep.exe" /spath="%USERPROFILE%\AppData\Local\Temp\OnboardLogs" /stypes="app*4008*20160919*"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130-19 --locoid 4008 --swversion DE.1.0.7.0 --startMP 204:232921 --initTime 2016-09-19T08:07:08 --startdatetime 2016-09-19T08:11:17 --delay 4 --endMP 204:156 --enddatetime 2016-09-19T08:52:03 --enforcementcount 0 &gt;&gt;C:\Users\stu\Documents\GitHub\eaglep3-reporting\EC\2016-09-19-refined-times.txt</v>
      </c>
      <c r="AI42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{"issue":{"subject":"","project_id":79,"tracker_id":40,"status_id":1,"priority_id":2,"assigned_to_id":23,"start_date":"2016-09-19","description":"","custom_fields":[{"id":1,"name":"Subdivision","value":"EC"},{"id":4,"name":"Milepost","value":"0.0156"},{"id":17,"name":"Train ID","value":"130-19"},{"id":16,"name":"Locomotive ID","value":"4008"},{"id":130,"name":"Impact","value":""},{"id":150,"name":"Time of Event (Mountain Time)","value":"08:52:03"},{"id":151,"name":"Denver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416</v>
      </c>
      <c r="B43" s="7">
        <v>4025</v>
      </c>
      <c r="C43" s="24" t="s">
        <v>106</v>
      </c>
      <c r="D43" s="24" t="s">
        <v>616</v>
      </c>
      <c r="E43" s="15">
        <v>42632.310069444444</v>
      </c>
      <c r="F43" s="15">
        <v>42632.312789351854</v>
      </c>
      <c r="G43" s="7">
        <v>1</v>
      </c>
      <c r="H43" s="15" t="s">
        <v>301</v>
      </c>
      <c r="I43" s="15">
        <v>42632.339571759258</v>
      </c>
      <c r="J43" s="7">
        <v>0</v>
      </c>
      <c r="K43" s="121" t="str">
        <f t="shared" si="0"/>
        <v>4025/4026</v>
      </c>
      <c r="L43" s="24" t="str">
        <f>VLOOKUP(A43,'Trips&amp;Operators'!$C$1:$E$10000,3,FALSE)</f>
        <v>ACKERMAN</v>
      </c>
      <c r="M43" s="6">
        <f t="shared" si="1"/>
        <v>2.6782407403516117E-2</v>
      </c>
      <c r="N43" s="7">
        <f t="shared" si="2"/>
        <v>38.566666661063209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06:26:30-0600',mode:absolute,to:'2016-09-19 09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4.8800000000000003E-2</v>
      </c>
      <c r="Z43" s="69">
        <f t="shared" si="9"/>
        <v>23.325900000000001</v>
      </c>
      <c r="AA43" s="69">
        <f t="shared" si="10"/>
        <v>23.277100000000001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0131-19</v>
      </c>
      <c r="AE43" s="99" t="str">
        <f t="shared" si="12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43" s="96" t="str">
        <f t="shared" si="13"/>
        <v>"C:\Program Files (x86)\AstroGrep\AstroGrep.exe" /spath="%USERPROFILE%\AppData\Local\Temp\OnboardLogs" /stypes="app*4025*20160919*"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131-19 --locoid 4025 --swversion DE.1.0.7.0 --startMP 204:488 --initTime 2016-09-19T07:26:30 --startdatetime 2016-09-19T07:30:25 --delay 1 --endMP 204:233259 --enddatetime 2016-09-19T08:08:59 --enforcementcount 0 &gt;&gt;C:\Users\stu\Documents\GitHub\eaglep3-reporting\EC\2016-09-19-refined-times.txt</v>
      </c>
      <c r="AI43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{"issue":{"subject":"","project_id":79,"tracker_id":40,"status_id":1,"priority_id":2,"assigned_to_id":23,"start_date":"2016-09-19","description":"","custom_fields":[{"id":1,"name":"Subdivision","value":"EC"},{"id":4,"name":"Milepost","value":"23.3259"},{"id":17,"name":"Train ID","value":"131-19"},{"id":16,"name":"Locomotive ID","value":"4025"},{"id":130,"name":"Impact","value":""},{"id":150,"name":"Time of Event (Mountain Time)","value":"08:08:59"},{"id":151,"name":"Denver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427</v>
      </c>
      <c r="B44" s="7">
        <v>4026</v>
      </c>
      <c r="C44" s="24" t="s">
        <v>106</v>
      </c>
      <c r="D44" s="24" t="s">
        <v>249</v>
      </c>
      <c r="E44" s="15">
        <v>42632.345335648148</v>
      </c>
      <c r="F44" s="15">
        <v>42632.351770833331</v>
      </c>
      <c r="G44" s="7">
        <v>1</v>
      </c>
      <c r="H44" s="15" t="s">
        <v>356</v>
      </c>
      <c r="I44" s="15">
        <v>42632.378807870373</v>
      </c>
      <c r="J44" s="7">
        <v>0</v>
      </c>
      <c r="K44" s="121" t="str">
        <f t="shared" si="0"/>
        <v>4025/4026</v>
      </c>
      <c r="L44" s="24" t="str">
        <f>VLOOKUP(A44,'Trips&amp;Operators'!$C$1:$E$10000,3,FALSE)</f>
        <v>ACKERMAN</v>
      </c>
      <c r="M44" s="6">
        <f t="shared" si="1"/>
        <v>2.7037037041736767E-2</v>
      </c>
      <c r="N44" s="7">
        <f t="shared" si="2"/>
        <v>38.933333340100944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07:17:17-0600',mode:absolute,to:'2016-09-19 10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23.295500000000001</v>
      </c>
      <c r="Z44" s="69">
        <f t="shared" si="9"/>
        <v>1.3599999999999999E-2</v>
      </c>
      <c r="AA44" s="69">
        <f t="shared" si="10"/>
        <v>23.2819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0132-19</v>
      </c>
      <c r="AE44" s="99" t="str">
        <f t="shared" si="12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44" s="96" t="str">
        <f t="shared" si="13"/>
        <v>"C:\Program Files (x86)\AstroGrep\AstroGrep.exe" /spath="%USERPROFILE%\AppData\Local\Temp\OnboardLogs" /stypes="app*4026*20160919*"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132-19 --locoid 4026 --swversion DE.1.0.7.0 --startMP 204:232955 --initTime 2016-09-19T08:17:17 --startdatetime 2016-09-19T08:26:33 --delay 1 --endMP 204:136 --enddatetime 2016-09-19T09:05:29 --enforcementcount 0 &gt;&gt;C:\Users\stu\Documents\GitHub\eaglep3-reporting\EC\2016-09-19-refined-times.txt</v>
      </c>
      <c r="AI44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{"issue":{"subject":"","project_id":79,"tracker_id":40,"status_id":1,"priority_id":2,"assigned_to_id":23,"start_date":"2016-09-19","description":"","custom_fields":[{"id":1,"name":"Subdivision","value":"EC"},{"id":4,"name":"Milepost","value":"0.0136"},{"id":17,"name":"Train ID","value":"132-19"},{"id":16,"name":"Locomotive ID","value":"4026"},{"id":130,"name":"Impact","value":""},{"id":150,"name":"Time of Event (Mountain Time)","value":"09:05:29"},{"id":151,"name":"Denver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419</v>
      </c>
      <c r="B45" s="7">
        <v>4053</v>
      </c>
      <c r="C45" s="24" t="s">
        <v>106</v>
      </c>
      <c r="D45" s="24" t="s">
        <v>243</v>
      </c>
      <c r="E45" s="15">
        <v>42632.319143518522</v>
      </c>
      <c r="F45" s="15">
        <v>42632.323067129626</v>
      </c>
      <c r="G45" s="7">
        <v>1</v>
      </c>
      <c r="H45" s="15" t="s">
        <v>257</v>
      </c>
      <c r="I45" s="15">
        <v>42632.349594907406</v>
      </c>
      <c r="J45" s="7">
        <v>0</v>
      </c>
      <c r="K45" s="121" t="str">
        <f t="shared" si="0"/>
        <v>4053/4054</v>
      </c>
      <c r="L45" s="24" t="str">
        <f>VLOOKUP(A45,'Trips&amp;Operators'!$C$1:$E$10000,3,FALSE)</f>
        <v>BRANNON</v>
      </c>
      <c r="M45" s="6">
        <f t="shared" si="1"/>
        <v>2.6527777779847383E-2</v>
      </c>
      <c r="N45" s="7">
        <f t="shared" si="2"/>
        <v>38.200000002980232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06:39:34-0600',mode:absolute,to:'2016-09-19 09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45" s="54" t="str">
        <f t="shared" si="6"/>
        <v>N</v>
      </c>
      <c r="X45" s="168">
        <f t="shared" si="7"/>
        <v>1</v>
      </c>
      <c r="Y45" s="69">
        <f t="shared" si="8"/>
        <v>4.7500000000000001E-2</v>
      </c>
      <c r="Z45" s="69">
        <f t="shared" si="9"/>
        <v>23.327999999999999</v>
      </c>
      <c r="AA45" s="69">
        <f t="shared" si="10"/>
        <v>23.2805</v>
      </c>
      <c r="AB45" s="66" t="str">
        <f>VLOOKUP(A45,Enforcements!$C$7:$K$20,8,0)</f>
        <v>Speed (6)</v>
      </c>
      <c r="AC45" s="62" t="str">
        <f>VLOOKUP(A45,Enforcements!$C$7:$E$20,3,0)</f>
        <v>PERMANENT SPEED RESTRICTION</v>
      </c>
      <c r="AD45" s="63" t="str">
        <f t="shared" si="11"/>
        <v>0133-19</v>
      </c>
      <c r="AE45" s="99" t="str">
        <f t="shared" si="12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45" s="96" t="str">
        <f t="shared" si="13"/>
        <v>"C:\Program Files (x86)\AstroGrep\AstroGrep.exe" /spath="%USERPROFILE%\AppData\Local\Temp\OnboardLogs" /stypes="app*4053*20160919*"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133-19 --locoid 4053 --swversion DE.1.0.7.0 --startMP 204:475 --initTime 2016-09-19T07:39:34 --startdatetime 2016-09-19T07:45:13 --delay 1 --endMP 204:233280 --enddatetime 2016-09-19T08:23:25 --enforcementcount 0 &gt;&gt;C:\Users\stu\Documents\GitHub\eaglep3-reporting\EC\2016-09-19-refined-times.txt</v>
      </c>
      <c r="AI45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{"issue":{"subject":"","project_id":79,"tracker_id":40,"status_id":1,"priority_id":2,"assigned_to_id":23,"start_date":"2016-09-19","description":"","custom_fields":[{"id":1,"name":"Subdivision","value":"EC"},{"id":4,"name":"Milepost","value":"23.328"},{"id":17,"name":"Train ID","value":"133-19"},{"id":16,"name":"Locomotive ID","value":"4053"},{"id":130,"name":"Impact","value":""},{"id":150,"name":"Time of Event (Mountain Time)","value":"08:23:25"},{"id":151,"name":"Denver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429</v>
      </c>
      <c r="B46" s="7">
        <v>4054</v>
      </c>
      <c r="C46" s="24" t="s">
        <v>106</v>
      </c>
      <c r="D46" s="24" t="s">
        <v>267</v>
      </c>
      <c r="E46" s="15">
        <v>42632.356793981482</v>
      </c>
      <c r="F46" s="15">
        <v>42632.36204861111</v>
      </c>
      <c r="G46" s="7">
        <v>6</v>
      </c>
      <c r="H46" s="15" t="s">
        <v>617</v>
      </c>
      <c r="I46" s="15">
        <v>42632.3905787037</v>
      </c>
      <c r="J46" s="7">
        <v>0</v>
      </c>
      <c r="K46" s="121" t="str">
        <f t="shared" si="0"/>
        <v>4053/4054</v>
      </c>
      <c r="L46" s="24" t="str">
        <f>VLOOKUP(A46,'Trips&amp;Operators'!$C$1:$E$10000,3,FALSE)</f>
        <v>BRANNON</v>
      </c>
      <c r="M46" s="6">
        <f t="shared" si="1"/>
        <v>2.8530092589790002E-2</v>
      </c>
      <c r="N46" s="7">
        <f t="shared" si="2"/>
        <v>41.083333329297602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07:33:47-0600',mode:absolute,to:'2016-09-19 10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46" s="54" t="str">
        <f t="shared" si="6"/>
        <v>N</v>
      </c>
      <c r="X46" s="168">
        <f t="shared" si="7"/>
        <v>1</v>
      </c>
      <c r="Y46" s="69">
        <f t="shared" si="8"/>
        <v>23.296500000000002</v>
      </c>
      <c r="Z46" s="69">
        <f t="shared" si="9"/>
        <v>1.9099999999999999E-2</v>
      </c>
      <c r="AA46" s="69">
        <f t="shared" si="10"/>
        <v>23.2774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11"/>
        <v>0134-19</v>
      </c>
      <c r="AE46" s="99" t="str">
        <f t="shared" si="12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46" s="96" t="str">
        <f t="shared" si="13"/>
        <v>"C:\Program Files (x86)\AstroGrep\AstroGrep.exe" /spath="%USERPROFILE%\AppData\Local\Temp\OnboardLogs" /stypes="app*4054*20160919*"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134-19 --locoid 4054 --swversion DE.1.0.7.0 --startMP 204:232965 --initTime 2016-09-19T08:33:47 --startdatetime 2016-09-19T08:41:21 --delay 6 --endMP 204:191 --enddatetime 2016-09-19T09:22:26 --enforcementcount 0 &gt;&gt;C:\Users\stu\Documents\GitHub\eaglep3-reporting\EC\2016-09-19-refined-times.txt</v>
      </c>
      <c r="AI4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{"issue":{"subject":"","project_id":79,"tracker_id":40,"status_id":1,"priority_id":2,"assigned_to_id":23,"start_date":"2016-09-19","description":"","custom_fields":[{"id":1,"name":"Subdivision","value":"EC"},{"id":4,"name":"Milepost","value":"0.0191"},{"id":17,"name":"Train ID","value":"134-19"},{"id":16,"name":"Locomotive ID","value":"4054"},{"id":130,"name":"Impact","value":""},{"id":150,"name":"Time of Event (Mountain Time)","value":"09:22:26"},{"id":151,"name":"Denver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422</v>
      </c>
      <c r="B47" s="7">
        <v>4002</v>
      </c>
      <c r="C47" s="24" t="s">
        <v>106</v>
      </c>
      <c r="D47" s="24" t="s">
        <v>227</v>
      </c>
      <c r="E47" s="15">
        <v>42632.331041666665</v>
      </c>
      <c r="F47" s="15">
        <v>42632.333749999998</v>
      </c>
      <c r="G47" s="7">
        <v>1</v>
      </c>
      <c r="H47" s="15" t="s">
        <v>618</v>
      </c>
      <c r="I47" s="15">
        <v>42632.358680555553</v>
      </c>
      <c r="J47" s="7">
        <v>0</v>
      </c>
      <c r="K47" s="121" t="str">
        <f t="shared" si="0"/>
        <v>4001/4002</v>
      </c>
      <c r="L47" s="24" t="str">
        <f>VLOOKUP(A47,'Trips&amp;Operators'!$C$1:$E$10000,3,FALSE)</f>
        <v>SPECTOR</v>
      </c>
      <c r="M47" s="6">
        <f t="shared" si="1"/>
        <v>2.4930555555329192E-2</v>
      </c>
      <c r="N47" s="7">
        <f t="shared" si="2"/>
        <v>35.899999999674037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06:56:42-0600',mode:absolute,to:'2016-09-19 09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7" s="54" t="str">
        <f t="shared" si="6"/>
        <v>N</v>
      </c>
      <c r="X47" s="168">
        <f t="shared" si="7"/>
        <v>1</v>
      </c>
      <c r="Y47" s="69">
        <f t="shared" si="8"/>
        <v>4.5499999999999999E-2</v>
      </c>
      <c r="Z47" s="69">
        <f t="shared" si="9"/>
        <v>23.3308</v>
      </c>
      <c r="AA47" s="69">
        <f t="shared" si="10"/>
        <v>23.285299999999999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11"/>
        <v>0135-19</v>
      </c>
      <c r="AE47" s="99" t="str">
        <f t="shared" si="12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47" s="96" t="str">
        <f t="shared" si="13"/>
        <v>"C:\Program Files (x86)\AstroGrep\AstroGrep.exe" /spath="%USERPROFILE%\AppData\Local\Temp\OnboardLogs" /stypes="app*4002*20160919*"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135-19 --locoid 4002 --swversion DE.1.0.7.0 --startMP 204:455 --initTime 2016-09-19T07:56:42 --startdatetime 2016-09-19T08:00:36 --delay 1 --endMP 204:233308 --enddatetime 2016-09-19T08:36:30 --enforcementcount 0 &gt;&gt;C:\Users\stu\Documents\GitHub\eaglep3-reporting\EC\2016-09-19-refined-times.txt</v>
      </c>
      <c r="AI47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{"issue":{"subject":"","project_id":79,"tracker_id":40,"status_id":1,"priority_id":2,"assigned_to_id":23,"start_date":"2016-09-19","description":"","custom_fields":[{"id":1,"name":"Subdivision","value":"EC"},{"id":4,"name":"Milepost","value":"23.3308"},{"id":17,"name":"Train ID","value":"135-19"},{"id":16,"name":"Locomotive ID","value":"4002"},{"id":130,"name":"Impact","value":""},{"id":150,"name":"Time of Event (Mountain Time)","value":"08:36:30"},{"id":151,"name":"Denver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432</v>
      </c>
      <c r="B48" s="7">
        <v>4001</v>
      </c>
      <c r="C48" s="24" t="s">
        <v>106</v>
      </c>
      <c r="D48" s="24" t="s">
        <v>357</v>
      </c>
      <c r="E48" s="15">
        <v>42632.364918981482</v>
      </c>
      <c r="F48" s="15">
        <v>42632.372557870367</v>
      </c>
      <c r="G48" s="7">
        <v>1</v>
      </c>
      <c r="H48" s="15" t="s">
        <v>605</v>
      </c>
      <c r="I48" s="15">
        <v>42632.400590277779</v>
      </c>
      <c r="J48" s="7">
        <v>0</v>
      </c>
      <c r="K48" s="121" t="str">
        <f t="shared" si="0"/>
        <v>4001/4002</v>
      </c>
      <c r="L48" s="24" t="str">
        <f>VLOOKUP(A48,'Trips&amp;Operators'!$C$1:$E$10000,3,FALSE)</f>
        <v>SPECTOR</v>
      </c>
      <c r="M48" s="6">
        <f t="shared" si="1"/>
        <v>2.8032407411956228E-2</v>
      </c>
      <c r="N48" s="7">
        <f t="shared" si="2"/>
        <v>40.366666673216969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07:45:29-0600',mode:absolute,to:'2016-09-19 10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8" s="54" t="str">
        <f t="shared" si="6"/>
        <v>N</v>
      </c>
      <c r="X48" s="168">
        <f t="shared" si="7"/>
        <v>1</v>
      </c>
      <c r="Y48" s="69">
        <f t="shared" si="8"/>
        <v>23.2972</v>
      </c>
      <c r="Z48" s="69">
        <f t="shared" si="9"/>
        <v>1.32E-2</v>
      </c>
      <c r="AA48" s="69">
        <f t="shared" si="10"/>
        <v>23.283999999999999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1"/>
        <v>0136-19</v>
      </c>
      <c r="AE48" s="99" t="str">
        <f t="shared" si="12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48" s="96" t="str">
        <f t="shared" si="13"/>
        <v>"C:\Program Files (x86)\AstroGrep\AstroGrep.exe" /spath="%USERPROFILE%\AppData\Local\Temp\OnboardLogs" /stypes="app*4001*20160919*"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136-19 --locoid 4001 --swversion DE.1.0.7.0 --startMP 204:232972 --initTime 2016-09-19T08:45:29 --startdatetime 2016-09-19T08:56:29 --delay 1 --endMP 204:132 --enddatetime 2016-09-19T09:36:51 --enforcementcount 0 &gt;&gt;C:\Users\stu\Documents\GitHub\eaglep3-reporting\EC\2016-09-19-refined-times.txt</v>
      </c>
      <c r="AI48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{"issue":{"subject":"","project_id":79,"tracker_id":40,"status_id":1,"priority_id":2,"assigned_to_id":23,"start_date":"2016-09-19","description":"","custom_fields":[{"id":1,"name":"Subdivision","value":"EC"},{"id":4,"name":"Milepost","value":"0.0132"},{"id":17,"name":"Train ID","value":"136-19"},{"id":16,"name":"Locomotive ID","value":"4001"},{"id":130,"name":"Impact","value":""},{"id":150,"name":"Time of Event (Mountain Time)","value":"09:36:51"},{"id":151,"name":"Denver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424</v>
      </c>
      <c r="B49" s="7">
        <v>4046</v>
      </c>
      <c r="C49" s="24" t="s">
        <v>106</v>
      </c>
      <c r="D49" s="24" t="s">
        <v>232</v>
      </c>
      <c r="E49" s="15">
        <v>42632.337280092594</v>
      </c>
      <c r="F49" s="15">
        <v>42632.3440625</v>
      </c>
      <c r="G49" s="7">
        <v>1</v>
      </c>
      <c r="H49" s="15" t="s">
        <v>619</v>
      </c>
      <c r="I49" s="15">
        <v>42632.368310185186</v>
      </c>
      <c r="J49" s="7">
        <v>0</v>
      </c>
      <c r="K49" s="121" t="str">
        <f t="shared" si="0"/>
        <v>4045/4046</v>
      </c>
      <c r="L49" s="24" t="str">
        <f>VLOOKUP(A49,'Trips&amp;Operators'!$C$1:$E$10000,3,FALSE)</f>
        <v>YORK</v>
      </c>
      <c r="M49" s="6">
        <f t="shared" si="1"/>
        <v>2.4247685185400769E-2</v>
      </c>
      <c r="N49" s="7">
        <f t="shared" si="2"/>
        <v>34.916666666977108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07:05:41-0600',mode:absolute,to:'2016-09-19 09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9" s="54" t="str">
        <f t="shared" si="6"/>
        <v>N</v>
      </c>
      <c r="X49" s="168">
        <f t="shared" si="7"/>
        <v>1</v>
      </c>
      <c r="Y49" s="69">
        <f t="shared" si="8"/>
        <v>4.6399999999999997E-2</v>
      </c>
      <c r="Z49" s="69">
        <f t="shared" si="9"/>
        <v>23.330500000000001</v>
      </c>
      <c r="AA49" s="69">
        <f t="shared" si="10"/>
        <v>23.284100000000002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1"/>
        <v>0137-19</v>
      </c>
      <c r="AE49" s="99" t="str">
        <f t="shared" si="12"/>
        <v>aws s3 cp s3://rtdc.mdm.uploadarchive/RTDC4046/2016-09-19/ "%USERPROFILE%\AppData\Local\Temp\OnboardLogs"\RTDC4046\2016-09-19 --recursive &amp; "%USERPROFILE%\Documents\GitHub\mrs-test-scripts\Headless Mode &amp; Sideloading\WalkAndUnGZ.bat" "%USERPROFILE%\AppData\Local\Temp\OnboardLogs"\RTDC4046\2016-09-19 &amp; 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</v>
      </c>
      <c r="AF49" s="96" t="str">
        <f t="shared" si="13"/>
        <v>"C:\Program Files (x86)\AstroGrep\AstroGrep.exe" /spath="%USERPROFILE%\AppData\Local\Temp\OnboardLogs" /stypes="app*4046*20160919*"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137-19 --locoid 4046 --swversion DE.1.0.7.0 --startMP 204:464 --initTime 2016-09-19T08:05:41 --startdatetime 2016-09-19T08:15:27 --delay 1 --endMP 204:233305 --enddatetime 2016-09-19T08:50:22 --enforcementcount 0 &gt;&gt;C:\Users\stu\Documents\GitHub\eaglep3-reporting\EC\2016-09-19-refined-times.txt</v>
      </c>
      <c r="AI4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{"issue":{"subject":"","project_id":79,"tracker_id":40,"status_id":1,"priority_id":2,"assigned_to_id":23,"start_date":"2016-09-19","description":"","custom_fields":[{"id":1,"name":"Subdivision","value":"EC"},{"id":4,"name":"Milepost","value":"23.3305"},{"id":17,"name":"Train ID","value":"137-19"},{"id":16,"name":"Locomotive ID","value":"4046"},{"id":130,"name":"Impact","value":""},{"id":150,"name":"Time of Event (Mountain Time)","value":"08:50:22"},{"id":151,"name":"Denver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433</v>
      </c>
      <c r="B50" s="7">
        <v>4045</v>
      </c>
      <c r="C50" s="24" t="s">
        <v>106</v>
      </c>
      <c r="D50" s="24" t="s">
        <v>319</v>
      </c>
      <c r="E50" s="15">
        <v>42632.369467592594</v>
      </c>
      <c r="F50" s="15">
        <v>42632.383402777778</v>
      </c>
      <c r="G50" s="7">
        <v>1</v>
      </c>
      <c r="H50" s="15" t="s">
        <v>222</v>
      </c>
      <c r="I50" s="15">
        <v>42632.408877314818</v>
      </c>
      <c r="J50" s="7">
        <v>0</v>
      </c>
      <c r="K50" s="121" t="str">
        <f t="shared" si="0"/>
        <v>4045/4046</v>
      </c>
      <c r="L50" s="24" t="str">
        <f>VLOOKUP(A50,'Trips&amp;Operators'!$C$1:$E$10000,3,FALSE)</f>
        <v>YORK</v>
      </c>
      <c r="M50" s="6">
        <f t="shared" si="1"/>
        <v>2.5474537040281575E-2</v>
      </c>
      <c r="N50" s="7">
        <f t="shared" si="2"/>
        <v>36.683333338005468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07:52:02-0600',mode:absolute,to:'2016-09-19 10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0" s="54" t="str">
        <f t="shared" si="6"/>
        <v>N</v>
      </c>
      <c r="X50" s="168">
        <f t="shared" si="7"/>
        <v>1</v>
      </c>
      <c r="Y50" s="69">
        <f t="shared" si="8"/>
        <v>23.298999999999999</v>
      </c>
      <c r="Z50" s="69">
        <f t="shared" si="9"/>
        <v>1.52E-2</v>
      </c>
      <c r="AA50" s="69">
        <f t="shared" si="10"/>
        <v>23.283799999999999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1"/>
        <v>0138-19</v>
      </c>
      <c r="AE50" s="99" t="str">
        <f t="shared" si="12"/>
        <v>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 &amp; 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</v>
      </c>
      <c r="AF50" s="96" t="str">
        <f t="shared" si="13"/>
        <v>"C:\Program Files (x86)\AstroGrep\AstroGrep.exe" /spath="%USERPROFILE%\AppData\Local\Temp\OnboardLogs" /stypes="app*4045*20160919*"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138-19 --locoid 4045 --swversion DE.1.0.7.0 --startMP 204:232990 --initTime 2016-09-19T08:52:02 --startdatetime 2016-09-19T09:12:06 --delay 1 --endMP 204:152 --enddatetime 2016-09-19T09:48:47 --enforcementcount 0 &gt;&gt;C:\Users\stu\Documents\GitHub\eaglep3-reporting\EC\2016-09-19-refined-times.txt</v>
      </c>
      <c r="AI5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{"issue":{"subject":"","project_id":79,"tracker_id":40,"status_id":1,"priority_id":2,"assigned_to_id":23,"start_date":"2016-09-19","description":"","custom_fields":[{"id":1,"name":"Subdivision","value":"EC"},{"id":4,"name":"Milepost","value":"0.0152"},{"id":17,"name":"Train ID","value":"138-19"},{"id":16,"name":"Locomotive ID","value":"4045"},{"id":130,"name":"Impact","value":""},{"id":150,"name":"Time of Event (Mountain Time)","value":"09:48:47"},{"id":151,"name":"Denver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428</v>
      </c>
      <c r="B51" s="7">
        <v>4042</v>
      </c>
      <c r="C51" s="24" t="s">
        <v>106</v>
      </c>
      <c r="D51" s="24" t="s">
        <v>600</v>
      </c>
      <c r="E51" s="15">
        <v>42632.347893518519</v>
      </c>
      <c r="F51" s="15">
        <v>42632.354525462964</v>
      </c>
      <c r="G51" s="7">
        <v>2</v>
      </c>
      <c r="H51" s="15" t="s">
        <v>604</v>
      </c>
      <c r="I51" s="15">
        <v>42632.381435185183</v>
      </c>
      <c r="J51" s="7">
        <v>0</v>
      </c>
      <c r="K51" s="121" t="str">
        <f t="shared" si="0"/>
        <v>4041/4042</v>
      </c>
      <c r="L51" s="24" t="str">
        <f>VLOOKUP(A51,'Trips&amp;Operators'!$C$1:$E$10000,3,FALSE)</f>
        <v>STARKS</v>
      </c>
      <c r="M51" s="6">
        <f t="shared" si="1"/>
        <v>2.6909722218988463E-2</v>
      </c>
      <c r="N51" s="7">
        <f t="shared" si="2"/>
        <v>38.749999995343387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07:20:58-0600',mode:absolute,to:'2016-09-19 10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6"/>
        <v>N</v>
      </c>
      <c r="X51" s="168">
        <f t="shared" si="7"/>
        <v>1</v>
      </c>
      <c r="Y51" s="69">
        <f t="shared" si="8"/>
        <v>4.4400000000000002E-2</v>
      </c>
      <c r="Z51" s="69">
        <f t="shared" si="9"/>
        <v>23.325700000000001</v>
      </c>
      <c r="AA51" s="69">
        <f t="shared" si="10"/>
        <v>23.281300000000002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1"/>
        <v>0139-19</v>
      </c>
      <c r="AE51" s="99" t="str">
        <f t="shared" si="12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51" s="96" t="str">
        <f t="shared" si="13"/>
        <v>"C:\Program Files (x86)\AstroGrep\AstroGrep.exe" /spath="%USERPROFILE%\AppData\Local\Temp\OnboardLogs" /stypes="app*4042*20160919*"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139-19 --locoid 4042 --swversion DE.1.0.7.0 --startMP 204:444 --initTime 2016-09-19T08:20:58 --startdatetime 2016-09-19T08:30:31 --delay 2 --endMP 204:233257 --enddatetime 2016-09-19T09:09:16 --enforcementcount 0 &gt;&gt;C:\Users\stu\Documents\GitHub\eaglep3-reporting\EC\2016-09-19-refined-times.txt</v>
      </c>
      <c r="AI51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{"issue":{"subject":"","project_id":79,"tracker_id":40,"status_id":1,"priority_id":2,"assigned_to_id":23,"start_date":"2016-09-19","description":"","custom_fields":[{"id":1,"name":"Subdivision","value":"EC"},{"id":4,"name":"Milepost","value":"23.3257"},{"id":17,"name":"Train ID","value":"139-19"},{"id":16,"name":"Locomotive ID","value":"4042"},{"id":130,"name":"Impact","value":""},{"id":150,"name":"Time of Event (Mountain Time)","value":"09:09:16"},{"id":151,"name":"Denver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437</v>
      </c>
      <c r="B52" s="7">
        <v>4041</v>
      </c>
      <c r="C52" s="24" t="s">
        <v>106</v>
      </c>
      <c r="D52" s="24" t="s">
        <v>363</v>
      </c>
      <c r="E52" s="15">
        <v>42632.390729166669</v>
      </c>
      <c r="F52" s="15">
        <v>42632.39340277778</v>
      </c>
      <c r="G52" s="7">
        <v>1</v>
      </c>
      <c r="H52" s="15" t="s">
        <v>230</v>
      </c>
      <c r="I52" s="15">
        <v>42632.421620370369</v>
      </c>
      <c r="J52" s="7">
        <v>0</v>
      </c>
      <c r="K52" s="121" t="str">
        <f t="shared" si="0"/>
        <v>4041/4042</v>
      </c>
      <c r="L52" s="24" t="str">
        <f>VLOOKUP(A52,'Trips&amp;Operators'!$C$1:$E$10000,3,FALSE)</f>
        <v>STARKS</v>
      </c>
      <c r="M52" s="6">
        <f t="shared" si="1"/>
        <v>2.8217592589498963E-2</v>
      </c>
      <c r="N52" s="7">
        <f t="shared" si="2"/>
        <v>40.633333328878507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08:22:39-0600',mode:absolute,to:'2016-09-19 11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6"/>
        <v>N</v>
      </c>
      <c r="X52" s="168">
        <f t="shared" si="7"/>
        <v>1</v>
      </c>
      <c r="Y52" s="69">
        <f t="shared" si="8"/>
        <v>23.293199999999999</v>
      </c>
      <c r="Z52" s="69">
        <f t="shared" si="9"/>
        <v>1.3899999999999999E-2</v>
      </c>
      <c r="AA52" s="69">
        <f t="shared" si="10"/>
        <v>23.279299999999999</v>
      </c>
      <c r="AB52" s="66" t="str">
        <f>VLOOKUP(A52,Enforcements!$C$7:$K$20,8,0)</f>
        <v>Bulletin (2)</v>
      </c>
      <c r="AC52" s="62" t="str">
        <f>VLOOKUP(A52,Enforcements!$C$7:$E$20,3,0)</f>
        <v>GRADE CROSSING</v>
      </c>
      <c r="AD52" s="63" t="str">
        <f t="shared" si="11"/>
        <v>0140-19</v>
      </c>
      <c r="AE52" s="99" t="str">
        <f t="shared" si="12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52" s="96" t="str">
        <f t="shared" si="13"/>
        <v>"C:\Program Files (x86)\AstroGrep\AstroGrep.exe" /spath="%USERPROFILE%\AppData\Local\Temp\OnboardLogs" /stypes="app*4041*20160919*"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140-19 --locoid 4041 --swversion DE.1.0.7.0 --startMP 204:232932 --initTime 2016-09-19T09:22:39 --startdatetime 2016-09-19T09:26:30 --delay 1 --endMP 204:139 --enddatetime 2016-09-19T10:07:08 --enforcementcount 0 &gt;&gt;C:\Users\stu\Documents\GitHub\eaglep3-reporting\EC\2016-09-19-refined-times.txt</v>
      </c>
      <c r="AI52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{"issue":{"subject":"","project_id":79,"tracker_id":40,"status_id":1,"priority_id":2,"assigned_to_id":23,"start_date":"2016-09-19","description":"","custom_fields":[{"id":1,"name":"Subdivision","value":"EC"},{"id":4,"name":"Milepost","value":"0.0139"},{"id":17,"name":"Train ID","value":"140-19"},{"id":16,"name":"Locomotive ID","value":"4041"},{"id":130,"name":"Impact","value":""},{"id":150,"name":"Time of Event (Mountain Time)","value":"10:07:08"},{"id":151,"name":"Denver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431</v>
      </c>
      <c r="B53" s="7">
        <v>4011</v>
      </c>
      <c r="C53" s="24" t="s">
        <v>106</v>
      </c>
      <c r="D53" s="24" t="s">
        <v>254</v>
      </c>
      <c r="E53" s="15">
        <v>42632.361319444448</v>
      </c>
      <c r="F53" s="15">
        <v>42632.364814814813</v>
      </c>
      <c r="G53" s="7">
        <v>1</v>
      </c>
      <c r="H53" s="15" t="s">
        <v>257</v>
      </c>
      <c r="I53" s="15">
        <v>42632.390196759261</v>
      </c>
      <c r="J53" s="7">
        <v>0</v>
      </c>
      <c r="K53" s="121" t="str">
        <f t="shared" si="0"/>
        <v>4011/4012</v>
      </c>
      <c r="L53" s="24" t="str">
        <f>VLOOKUP(A53,'Trips&amp;Operators'!$C$1:$E$10000,3,FALSE)</f>
        <v>KILLION</v>
      </c>
      <c r="M53" s="6">
        <f t="shared" si="1"/>
        <v>2.5381944447872229E-2</v>
      </c>
      <c r="N53" s="7">
        <f t="shared" si="2"/>
        <v>36.55000000493601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07:40:18-0600',mode:absolute,to:'2016-09-19 10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3" s="54" t="str">
        <f t="shared" si="6"/>
        <v>N</v>
      </c>
      <c r="X53" s="168">
        <f t="shared" si="7"/>
        <v>1</v>
      </c>
      <c r="Y53" s="69">
        <f t="shared" si="8"/>
        <v>4.3700000000000003E-2</v>
      </c>
      <c r="Z53" s="69">
        <f t="shared" si="9"/>
        <v>23.327999999999999</v>
      </c>
      <c r="AA53" s="69">
        <f t="shared" si="10"/>
        <v>23.284299999999998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1"/>
        <v>0141-19</v>
      </c>
      <c r="AE53" s="99" t="str">
        <f t="shared" si="12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53" s="96" t="str">
        <f t="shared" si="13"/>
        <v>"C:\Program Files (x86)\AstroGrep\AstroGrep.exe" /spath="%USERPROFILE%\AppData\Local\Temp\OnboardLogs" /stypes="app*4011*20160919*"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141-19 --locoid 4011 --swversion DE.1.0.7.0 --startMP 204:437 --initTime 2016-09-19T08:40:18 --startdatetime 2016-09-19T08:45:20 --delay 1 --endMP 204:233280 --enddatetime 2016-09-19T09:21:53 --enforcementcount 0 &gt;&gt;C:\Users\stu\Documents\GitHub\eaglep3-reporting\EC\2016-09-19-refined-times.txt</v>
      </c>
      <c r="AI53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{"issue":{"subject":"","project_id":79,"tracker_id":40,"status_id":1,"priority_id":2,"assigned_to_id":23,"start_date":"2016-09-19","description":"","custom_fields":[{"id":1,"name":"Subdivision","value":"EC"},{"id":4,"name":"Milepost","value":"23.328"},{"id":17,"name":"Train ID","value":"141-19"},{"id":16,"name":"Locomotive ID","value":"4011"},{"id":130,"name":"Impact","value":""},{"id":150,"name":"Time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439</v>
      </c>
      <c r="B54" s="7">
        <v>4012</v>
      </c>
      <c r="C54" s="24" t="s">
        <v>106</v>
      </c>
      <c r="D54" s="24" t="s">
        <v>620</v>
      </c>
      <c r="E54" s="15">
        <v>42632.396828703706</v>
      </c>
      <c r="F54" s="15">
        <v>42632.403738425928</v>
      </c>
      <c r="G54" s="7">
        <v>1</v>
      </c>
      <c r="H54" s="15" t="s">
        <v>217</v>
      </c>
      <c r="I54" s="15">
        <v>42632.431284722225</v>
      </c>
      <c r="J54" s="7">
        <v>0</v>
      </c>
      <c r="K54" s="121" t="str">
        <f t="shared" si="0"/>
        <v>4011/4012</v>
      </c>
      <c r="L54" s="24" t="str">
        <f>VLOOKUP(A54,'Trips&amp;Operators'!$C$1:$E$10000,3,FALSE)</f>
        <v>KILLION</v>
      </c>
      <c r="M54" s="6">
        <f t="shared" si="1"/>
        <v>2.7546296296350192E-2</v>
      </c>
      <c r="N54" s="7">
        <f t="shared" si="2"/>
        <v>39.666666666744277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08:31:26-0600',mode:absolute,to:'2016-09-19 11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4" s="54" t="str">
        <f t="shared" si="6"/>
        <v>N</v>
      </c>
      <c r="X54" s="168">
        <f t="shared" si="7"/>
        <v>1</v>
      </c>
      <c r="Y54" s="69">
        <f t="shared" si="8"/>
        <v>23.296900000000001</v>
      </c>
      <c r="Z54" s="69">
        <f t="shared" si="9"/>
        <v>1.5800000000000002E-2</v>
      </c>
      <c r="AA54" s="69">
        <f t="shared" si="10"/>
        <v>23.281100000000002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1"/>
        <v>0142-19</v>
      </c>
      <c r="AE54" s="99" t="str">
        <f t="shared" si="12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54" s="96" t="str">
        <f t="shared" si="13"/>
        <v>"C:\Program Files (x86)\AstroGrep\AstroGrep.exe" /spath="%USERPROFILE%\AppData\Local\Temp\OnboardLogs" /stypes="app*4012*20160919*"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142-19 --locoid 4012 --swversion DE.1.0.7.0 --startMP 204:232969 --initTime 2016-09-19T09:31:26 --startdatetime 2016-09-19T09:41:23 --delay 1 --endMP 204:158 --enddatetime 2016-09-19T10:21:03 --enforcementcount 0 &gt;&gt;C:\Users\stu\Documents\GitHub\eaglep3-reporting\EC\2016-09-19-refined-times.txt</v>
      </c>
      <c r="AI54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{"issue":{"subject":"","project_id":79,"tracker_id":40,"status_id":1,"priority_id":2,"assigned_to_id":23,"start_date":"2016-09-19","description":"","custom_fields":[{"id":1,"name":"Subdivision","value":"EC"},{"id":4,"name":"Milepost","value":"0.0158"},{"id":17,"name":"Train ID","value":"142-19"},{"id":16,"name":"Locomotive ID","value":"4012"},{"id":130,"name":"Impact","value":""},{"id":150,"name":"Time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434</v>
      </c>
      <c r="B55" s="7">
        <v>4007</v>
      </c>
      <c r="C55" s="24" t="s">
        <v>106</v>
      </c>
      <c r="D55" s="24" t="s">
        <v>227</v>
      </c>
      <c r="E55" s="15">
        <v>42632.373796296299</v>
      </c>
      <c r="F55" s="15">
        <v>42632.375196759262</v>
      </c>
      <c r="G55" s="7">
        <v>1</v>
      </c>
      <c r="H55" s="15" t="s">
        <v>604</v>
      </c>
      <c r="I55" s="15">
        <v>42632.400914351849</v>
      </c>
      <c r="J55" s="7">
        <v>0</v>
      </c>
      <c r="K55" s="121" t="str">
        <f t="shared" si="0"/>
        <v>4007/4008</v>
      </c>
      <c r="L55" s="24" t="str">
        <f>VLOOKUP(A55,'Trips&amp;Operators'!$C$1:$E$10000,3,FALSE)</f>
        <v>MALAVE</v>
      </c>
      <c r="M55" s="6">
        <f t="shared" si="1"/>
        <v>2.5717592587170657E-2</v>
      </c>
      <c r="N55" s="7">
        <f t="shared" si="2"/>
        <v>37.033333325525746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07:58:16-0600',mode:absolute,to:'2016-09-19 10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55" s="54" t="str">
        <f t="shared" si="6"/>
        <v>N</v>
      </c>
      <c r="X55" s="168">
        <f t="shared" si="7"/>
        <v>1</v>
      </c>
      <c r="Y55" s="69">
        <f t="shared" si="8"/>
        <v>4.5499999999999999E-2</v>
      </c>
      <c r="Z55" s="69">
        <f t="shared" si="9"/>
        <v>23.325700000000001</v>
      </c>
      <c r="AA55" s="69">
        <f t="shared" si="10"/>
        <v>23.280200000000001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1"/>
        <v>0143-19</v>
      </c>
      <c r="AE55" s="99" t="str">
        <f t="shared" si="12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55" s="96" t="str">
        <f t="shared" si="13"/>
        <v>"C:\Program Files (x86)\AstroGrep\AstroGrep.exe" /spath="%USERPROFILE%\AppData\Local\Temp\OnboardLogs" /stypes="app*4007*20160919*"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143-19 --locoid 4007 --swversion DE.1.0.7.0 --startMP 204:455 --initTime 2016-09-19T08:58:16 --startdatetime 2016-09-19T09:00:17 --delay 1 --endMP 204:233257 --enddatetime 2016-09-19T09:37:19 --enforcementcount 0 &gt;&gt;C:\Users\stu\Documents\GitHub\eaglep3-reporting\EC\2016-09-19-refined-times.txt</v>
      </c>
      <c r="AI55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{"issue":{"subject":"","project_id":79,"tracker_id":40,"status_id":1,"priority_id":2,"assigned_to_id":23,"start_date":"2016-09-19","description":"","custom_fields":[{"id":1,"name":"Subdivision","value":"EC"},{"id":4,"name":"Milepost","value":"23.3257"},{"id":17,"name":"Train ID","value":"143-19"},{"id":16,"name":"Locomotive ID","value":"4007"},{"id":130,"name":"Impact","value":""},{"id":150,"name":"Time of Event (Mountain Time)","value":"09:37:19"},{"id":151,"name":"Denver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443</v>
      </c>
      <c r="B56" s="7">
        <v>4008</v>
      </c>
      <c r="C56" s="24" t="s">
        <v>106</v>
      </c>
      <c r="D56" s="24" t="s">
        <v>320</v>
      </c>
      <c r="E56" s="15">
        <v>42632.412303240744</v>
      </c>
      <c r="F56" s="15">
        <v>42632.4141087963</v>
      </c>
      <c r="G56" s="7">
        <v>0</v>
      </c>
      <c r="H56" s="15" t="s">
        <v>213</v>
      </c>
      <c r="I56" s="15">
        <v>42632.443506944444</v>
      </c>
      <c r="J56" s="7">
        <v>0</v>
      </c>
      <c r="K56" s="121" t="str">
        <f t="shared" si="0"/>
        <v>4007/4008</v>
      </c>
      <c r="L56" s="24" t="str">
        <f>VLOOKUP(A56,'Trips&amp;Operators'!$C$1:$E$10000,3,FALSE)</f>
        <v>MALAVE</v>
      </c>
      <c r="M56" s="6">
        <f t="shared" si="1"/>
        <v>2.9398148144537117E-2</v>
      </c>
      <c r="N56" s="7">
        <f t="shared" si="2"/>
        <v>42.333333328133449</v>
      </c>
      <c r="O56" s="7"/>
      <c r="P56" s="7"/>
      <c r="Q56" s="25"/>
      <c r="R56" s="25"/>
      <c r="S56" s="37">
        <f t="shared" si="3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08:53:43-0600',mode:absolute,to:'2016-09-19 11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56" s="54" t="str">
        <f t="shared" si="6"/>
        <v>N</v>
      </c>
      <c r="X56" s="168">
        <f t="shared" si="7"/>
        <v>1</v>
      </c>
      <c r="Y56" s="69">
        <f t="shared" si="8"/>
        <v>23.2942</v>
      </c>
      <c r="Z56" s="69">
        <f t="shared" si="9"/>
        <v>1.49E-2</v>
      </c>
      <c r="AA56" s="69">
        <f t="shared" si="10"/>
        <v>23.279299999999999</v>
      </c>
      <c r="AB56" s="66" t="str">
        <f>VLOOKUP(A56,Enforcements!$C$7:$K$20,8,0)</f>
        <v>Bulletin (2)</v>
      </c>
      <c r="AC56" s="62" t="str">
        <f>VLOOKUP(A56,Enforcements!$C$7:$E$20,3,0)</f>
        <v>GRADE CROSSING</v>
      </c>
      <c r="AD56" s="63" t="str">
        <f t="shared" si="11"/>
        <v>0144-19</v>
      </c>
      <c r="AE56" s="99" t="str">
        <f t="shared" si="12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56" s="96" t="str">
        <f t="shared" si="13"/>
        <v>"C:\Program Files (x86)\AstroGrep\AstroGrep.exe" /spath="%USERPROFILE%\AppData\Local\Temp\OnboardLogs" /stypes="app*4008*20160919*"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144-19 --locoid 4008 --swversion DE.1.0.7.0 --startMP 204:232942 --initTime 2016-09-19T09:53:43 --startdatetime 2016-09-19T09:56:19 --delay 0 --endMP 204:149 --enddatetime 2016-09-19T10:38:39 --enforcementcount 0 &gt;&gt;C:\Users\stu\Documents\GitHub\eaglep3-reporting\EC\2016-09-19-refined-times.txt</v>
      </c>
      <c r="AI5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{"issue":{"subject":"","project_id":79,"tracker_id":40,"status_id":1,"priority_id":2,"assigned_to_id":23,"start_date":"2016-09-19","description":"","custom_fields":[{"id":1,"name":"Subdivision","value":"EC"},{"id":4,"name":"Milepost","value":"0.0149"},{"id":17,"name":"Train ID","value":"144-19"},{"id":16,"name":"Locomotive ID","value":"4008"},{"id":130,"name":"Impact","value":""},{"id":150,"name":"Time of Event (Mountain Time)","value":"10:38:39"},{"id":151,"name":"Denver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436</v>
      </c>
      <c r="B57" s="7">
        <v>4025</v>
      </c>
      <c r="C57" s="24" t="s">
        <v>106</v>
      </c>
      <c r="D57" s="24" t="s">
        <v>224</v>
      </c>
      <c r="E57" s="15">
        <v>42632.38071759259</v>
      </c>
      <c r="F57" s="15">
        <v>42632.386030092595</v>
      </c>
      <c r="G57" s="7">
        <v>1</v>
      </c>
      <c r="H57" s="15" t="s">
        <v>221</v>
      </c>
      <c r="I57" s="15">
        <v>42632.411134259259</v>
      </c>
      <c r="J57" s="7">
        <v>0</v>
      </c>
      <c r="K57" s="121" t="str">
        <f t="shared" si="0"/>
        <v>4025/4026</v>
      </c>
      <c r="L57" s="24" t="str">
        <f>VLOOKUP(A57,'Trips&amp;Operators'!$C$1:$E$10000,3,FALSE)</f>
        <v>ACKERMAN</v>
      </c>
      <c r="M57" s="6">
        <f t="shared" si="1"/>
        <v>2.5104166663368233E-2</v>
      </c>
      <c r="N57" s="7">
        <f t="shared" si="2"/>
        <v>36.149999995250255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08:08:14-0600',mode:absolute,to:'2016-09-19 10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7" s="54" t="str">
        <f t="shared" si="6"/>
        <v>N</v>
      </c>
      <c r="X57" s="168">
        <f t="shared" si="7"/>
        <v>1</v>
      </c>
      <c r="Y57" s="69">
        <f t="shared" si="8"/>
        <v>4.4699999999999997E-2</v>
      </c>
      <c r="Z57" s="69">
        <f t="shared" si="9"/>
        <v>23.3291</v>
      </c>
      <c r="AA57" s="69">
        <f t="shared" si="10"/>
        <v>23.284400000000002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1"/>
        <v>0145-19</v>
      </c>
      <c r="AE57" s="99" t="str">
        <f t="shared" si="12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57" s="96" t="str">
        <f t="shared" si="13"/>
        <v>"C:\Program Files (x86)\AstroGrep\AstroGrep.exe" /spath="%USERPROFILE%\AppData\Local\Temp\OnboardLogs" /stypes="app*4025*20160919*"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145-19 --locoid 4025 --swversion DE.1.0.7.0 --startMP 204:447 --initTime 2016-09-19T09:08:14 --startdatetime 2016-09-19T09:15:53 --delay 1 --endMP 204:233291 --enddatetime 2016-09-19T09:52:02 --enforcementcount 0 &gt;&gt;C:\Users\stu\Documents\GitHub\eaglep3-reporting\EC\2016-09-19-refined-times.txt</v>
      </c>
      <c r="AI57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{"issue":{"subject":"","project_id":79,"tracker_id":40,"status_id":1,"priority_id":2,"assigned_to_id":23,"start_date":"2016-09-19","description":"","custom_fields":[{"id":1,"name":"Subdivision","value":"EC"},{"id":4,"name":"Milepost","value":"23.3291"},{"id":17,"name":"Train ID","value":"145-19"},{"id":16,"name":"Locomotive ID","value":"4025"},{"id":130,"name":"Impact","value":""},{"id":150,"name":"Time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445</v>
      </c>
      <c r="B58" s="7">
        <v>4026</v>
      </c>
      <c r="C58" s="24" t="s">
        <v>106</v>
      </c>
      <c r="D58" s="24" t="s">
        <v>621</v>
      </c>
      <c r="E58" s="15">
        <v>42632.419212962966</v>
      </c>
      <c r="F58" s="15">
        <v>42632.424641203703</v>
      </c>
      <c r="G58" s="7">
        <v>1</v>
      </c>
      <c r="H58" s="15" t="s">
        <v>222</v>
      </c>
      <c r="I58" s="15">
        <v>42632.45239583333</v>
      </c>
      <c r="J58" s="7">
        <v>0</v>
      </c>
      <c r="K58" s="121" t="str">
        <f t="shared" si="0"/>
        <v>4025/4026</v>
      </c>
      <c r="L58" s="24" t="str">
        <f>VLOOKUP(A58,'Trips&amp;Operators'!$C$1:$E$10000,3,FALSE)</f>
        <v>ACKERMAN</v>
      </c>
      <c r="M58" s="6">
        <f t="shared" si="1"/>
        <v>2.7754629627452232E-2</v>
      </c>
      <c r="N58" s="7">
        <f t="shared" si="2"/>
        <v>39.966666663531214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09:03:40-0600',mode:absolute,to:'2016-09-19 11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8" s="54" t="str">
        <f t="shared" si="6"/>
        <v>N</v>
      </c>
      <c r="X58" s="168">
        <f t="shared" si="7"/>
        <v>1</v>
      </c>
      <c r="Y58" s="69">
        <f t="shared" si="8"/>
        <v>23.296700000000001</v>
      </c>
      <c r="Z58" s="69">
        <f t="shared" si="9"/>
        <v>1.52E-2</v>
      </c>
      <c r="AA58" s="69">
        <f t="shared" si="10"/>
        <v>23.281500000000001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1"/>
        <v>0146-19</v>
      </c>
      <c r="AE58" s="99" t="str">
        <f t="shared" si="12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58" s="96" t="str">
        <f t="shared" si="13"/>
        <v>"C:\Program Files (x86)\AstroGrep\AstroGrep.exe" /spath="%USERPROFILE%\AppData\Local\Temp\OnboardLogs" /stypes="app*4026*20160919*"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146-19 --locoid 4026 --swversion DE.1.0.7.0 --startMP 204:232967 --initTime 2016-09-19T10:03:40 --startdatetime 2016-09-19T10:11:29 --delay 1 --endMP 204:152 --enddatetime 2016-09-19T10:51:27 --enforcementcount 0 &gt;&gt;C:\Users\stu\Documents\GitHub\eaglep3-reporting\EC\2016-09-19-refined-times.txt</v>
      </c>
      <c r="AI58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{"issue":{"subject":"","project_id":79,"tracker_id":40,"status_id":1,"priority_id":2,"assigned_to_id":23,"start_date":"2016-09-19","description":"","custom_fields":[{"id":1,"name":"Subdivision","value":"EC"},{"id":4,"name":"Milepost","value":"0.0152"},{"id":17,"name":"Train ID","value":"146-19"},{"id":16,"name":"Locomotive ID","value":"4026"},{"id":130,"name":"Impact","value":""},{"id":150,"name":"Time of Event (Mountain Time)","value":"10:51:27"},{"id":151,"name":"Denver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438</v>
      </c>
      <c r="B59" s="7">
        <v>4053</v>
      </c>
      <c r="C59" s="24" t="s">
        <v>106</v>
      </c>
      <c r="D59" s="24" t="s">
        <v>622</v>
      </c>
      <c r="E59" s="15">
        <v>42632.392511574071</v>
      </c>
      <c r="F59" s="15">
        <v>42632.39634259259</v>
      </c>
      <c r="G59" s="7">
        <v>1</v>
      </c>
      <c r="H59" s="15" t="s">
        <v>343</v>
      </c>
      <c r="I59" s="15">
        <v>42632.423275462963</v>
      </c>
      <c r="J59" s="7">
        <v>0</v>
      </c>
      <c r="K59" s="121" t="str">
        <f t="shared" si="0"/>
        <v>4053/4054</v>
      </c>
      <c r="L59" s="24" t="str">
        <f>VLOOKUP(A59,'Trips&amp;Operators'!$C$1:$E$10000,3,FALSE)</f>
        <v>BRANNON</v>
      </c>
      <c r="M59" s="6">
        <f t="shared" si="1"/>
        <v>2.6932870372547768E-2</v>
      </c>
      <c r="N59" s="7">
        <f t="shared" si="2"/>
        <v>38.783333336468786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08:25:13-0600',mode:absolute,to:'2016-09-19 11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9" s="54" t="str">
        <f t="shared" si="6"/>
        <v>N</v>
      </c>
      <c r="X59" s="168">
        <f t="shared" si="7"/>
        <v>1</v>
      </c>
      <c r="Y59" s="69">
        <f t="shared" si="8"/>
        <v>4.9700000000000001E-2</v>
      </c>
      <c r="Z59" s="69">
        <f t="shared" si="9"/>
        <v>23.3249</v>
      </c>
      <c r="AA59" s="69">
        <f t="shared" si="10"/>
        <v>23.275199999999998</v>
      </c>
      <c r="AB59" s="66" t="str">
        <f>VLOOKUP(A59,Enforcements!$C$7:$K$20,8,0)</f>
        <v>Speed (6)</v>
      </c>
      <c r="AC59" s="62" t="str">
        <f>VLOOKUP(A59,Enforcements!$C$7:$E$20,3,0)</f>
        <v>PERMANENT SPEED RESTRICTION</v>
      </c>
      <c r="AD59" s="63" t="str">
        <f t="shared" si="11"/>
        <v>0147-19</v>
      </c>
      <c r="AE59" s="99" t="str">
        <f t="shared" si="12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59" s="96" t="str">
        <f t="shared" si="13"/>
        <v>"C:\Program Files (x86)\AstroGrep\AstroGrep.exe" /spath="%USERPROFILE%\AppData\Local\Temp\OnboardLogs" /stypes="app*4053*20160919*"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147-19 --locoid 4053 --swversion DE.1.0.7.0 --startMP 204:497 --initTime 2016-09-19T09:25:13 --startdatetime 2016-09-19T09:30:44 --delay 1 --endMP 204:233249 --enddatetime 2016-09-19T10:09:31 --enforcementcount 0 &gt;&gt;C:\Users\stu\Documents\GitHub\eaglep3-reporting\EC\2016-09-19-refined-times.txt</v>
      </c>
      <c r="AI5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{"issue":{"subject":"","project_id":79,"tracker_id":40,"status_id":1,"priority_id":2,"assigned_to_id":23,"start_date":"2016-09-19","description":"","custom_fields":[{"id":1,"name":"Subdivision","value":"EC"},{"id":4,"name":"Milepost","value":"23.3249"},{"id":17,"name":"Train ID","value":"147-19"},{"id":16,"name":"Locomotive ID","value":"4053"},{"id":130,"name":"Impact","value":""},{"id":150,"name":"Time of Event (Mountain Time)","value":"10:09:31"},{"id":151,"name":"Denver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447</v>
      </c>
      <c r="B60" s="7">
        <v>4054</v>
      </c>
      <c r="C60" s="24" t="s">
        <v>106</v>
      </c>
      <c r="D60" s="24" t="s">
        <v>623</v>
      </c>
      <c r="E60" s="15">
        <v>42632.424467592595</v>
      </c>
      <c r="F60" s="15">
        <v>42632.434884259259</v>
      </c>
      <c r="G60" s="7">
        <v>2</v>
      </c>
      <c r="H60" s="15" t="s">
        <v>222</v>
      </c>
      <c r="I60" s="15">
        <v>42632.466307870367</v>
      </c>
      <c r="J60" s="7">
        <v>0</v>
      </c>
      <c r="K60" s="121" t="str">
        <f t="shared" si="0"/>
        <v>4053/4054</v>
      </c>
      <c r="L60" s="24" t="str">
        <f>VLOOKUP(A60,'Trips&amp;Operators'!$C$1:$E$10000,3,FALSE)</f>
        <v>BRANNON</v>
      </c>
      <c r="M60" s="6">
        <f t="shared" si="1"/>
        <v>3.142361110803904E-2</v>
      </c>
      <c r="N60" s="7">
        <f t="shared" si="2"/>
        <v>45.249999995576218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09:11:14-0600',mode:absolute,to:'2016-09-19 12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0" s="54" t="str">
        <f t="shared" si="6"/>
        <v>N</v>
      </c>
      <c r="X60" s="168">
        <f t="shared" si="7"/>
        <v>1</v>
      </c>
      <c r="Y60" s="69">
        <f t="shared" si="8"/>
        <v>23.2926</v>
      </c>
      <c r="Z60" s="69">
        <f t="shared" si="9"/>
        <v>1.52E-2</v>
      </c>
      <c r="AA60" s="69">
        <f t="shared" si="10"/>
        <v>23.2774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1"/>
        <v>0148-19</v>
      </c>
      <c r="AE60" s="99" t="str">
        <f t="shared" si="12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60" s="96" t="str">
        <f t="shared" si="13"/>
        <v>"C:\Program Files (x86)\AstroGrep\AstroGrep.exe" /spath="%USERPROFILE%\AppData\Local\Temp\OnboardLogs" /stypes="app*4054*20160919*"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148-19 --locoid 4054 --swversion DE.1.0.7.0 --startMP 204:232926 --initTime 2016-09-19T10:11:14 --startdatetime 2016-09-19T10:26:14 --delay 2 --endMP 204:152 --enddatetime 2016-09-19T11:11:29 --enforcementcount 0 &gt;&gt;C:\Users\stu\Documents\GitHub\eaglep3-reporting\EC\2016-09-19-refined-times.txt</v>
      </c>
      <c r="AI6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{"issue":{"subject":"","project_id":79,"tracker_id":40,"status_id":1,"priority_id":2,"assigned_to_id":23,"start_date":"2016-09-19","description":"","custom_fields":[{"id":1,"name":"Subdivision","value":"EC"},{"id":4,"name":"Milepost","value":"0.0152"},{"id":17,"name":"Train ID","value":"148-19"},{"id":16,"name":"Locomotive ID","value":"4054"},{"id":130,"name":"Impact","value":""},{"id":150,"name":"Time of Event (Mountain Time)","value":"11:11:29"},{"id":151,"name":"Denver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441</v>
      </c>
      <c r="B61" s="7">
        <v>4002</v>
      </c>
      <c r="C61" s="24" t="s">
        <v>106</v>
      </c>
      <c r="D61" s="24" t="s">
        <v>624</v>
      </c>
      <c r="E61" s="15">
        <v>42632.404027777775</v>
      </c>
      <c r="F61" s="15">
        <v>42632.406527777777</v>
      </c>
      <c r="G61" s="7">
        <v>1</v>
      </c>
      <c r="H61" s="15" t="s">
        <v>340</v>
      </c>
      <c r="I61" s="15">
        <v>42632.431157407409</v>
      </c>
      <c r="J61" s="7">
        <v>0</v>
      </c>
      <c r="K61" s="121" t="str">
        <f t="shared" si="0"/>
        <v>4001/4002</v>
      </c>
      <c r="L61" s="24" t="str">
        <f>VLOOKUP(A61,'Trips&amp;Operators'!$C$1:$E$10000,3,FALSE)</f>
        <v>SPECTOR</v>
      </c>
      <c r="M61" s="6">
        <f t="shared" si="1"/>
        <v>2.4629629631817807E-2</v>
      </c>
      <c r="N61" s="7">
        <f t="shared" si="2"/>
        <v>35.466666669817641</v>
      </c>
      <c r="O61" s="7"/>
      <c r="P61" s="7"/>
      <c r="Q61" s="25"/>
      <c r="R61" s="25"/>
      <c r="S61" s="37">
        <f t="shared" si="3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08:41:48-0600',mode:absolute,to:'2016-09-19 11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1" s="54" t="str">
        <f t="shared" si="6"/>
        <v>N</v>
      </c>
      <c r="X61" s="168">
        <f t="shared" si="7"/>
        <v>1</v>
      </c>
      <c r="Y61" s="69">
        <f t="shared" si="8"/>
        <v>4.24E-2</v>
      </c>
      <c r="Z61" s="69">
        <f t="shared" si="9"/>
        <v>23.331600000000002</v>
      </c>
      <c r="AA61" s="69">
        <f t="shared" si="10"/>
        <v>23.289200000000001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11"/>
        <v>0149-19</v>
      </c>
      <c r="AE61" s="99" t="str">
        <f t="shared" si="12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61" s="96" t="str">
        <f t="shared" si="13"/>
        <v>"C:\Program Files (x86)\AstroGrep\AstroGrep.exe" /spath="%USERPROFILE%\AppData\Local\Temp\OnboardLogs" /stypes="app*4002*20160919*"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149-19 --locoid 4002 --swversion DE.1.0.7.0 --startMP 204:424 --initTime 2016-09-19T09:41:48 --startdatetime 2016-09-19T09:45:24 --delay 1 --endMP 204:233316 --enddatetime 2016-09-19T10:20:52 --enforcementcount 0 &gt;&gt;C:\Users\stu\Documents\GitHub\eaglep3-reporting\EC\2016-09-19-refined-times.txt</v>
      </c>
      <c r="AI61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{"issue":{"subject":"","project_id":79,"tracker_id":40,"status_id":1,"priority_id":2,"assigned_to_id":23,"start_date":"2016-09-19","description":"","custom_fields":[{"id":1,"name":"Subdivision","value":"EC"},{"id":4,"name":"Milepost","value":"23.3316"},{"id":17,"name":"Train ID","value":"149-19"},{"id":16,"name":"Locomotive ID","value":"4002"},{"id":130,"name":"Impact","value":""},{"id":150,"name":"Time of Event (Mountain Time)","value":"10:20:52"},{"id":151,"name":"Denver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449</v>
      </c>
      <c r="B62" s="7">
        <v>4001</v>
      </c>
      <c r="C62" s="24" t="s">
        <v>106</v>
      </c>
      <c r="D62" s="24" t="s">
        <v>240</v>
      </c>
      <c r="E62" s="15">
        <v>42632.441319444442</v>
      </c>
      <c r="F62" s="15">
        <v>42632.445439814815</v>
      </c>
      <c r="G62" s="7">
        <v>2</v>
      </c>
      <c r="H62" s="15" t="s">
        <v>625</v>
      </c>
      <c r="I62" s="15">
        <v>42632.475057870368</v>
      </c>
      <c r="J62" s="7">
        <v>0</v>
      </c>
      <c r="K62" s="121" t="str">
        <f t="shared" si="0"/>
        <v>4001/4002</v>
      </c>
      <c r="L62" s="24" t="str">
        <f>VLOOKUP(A62,'Trips&amp;Operators'!$C$1:$E$10000,3,FALSE)</f>
        <v>SPECTOR</v>
      </c>
      <c r="M62" s="6">
        <f t="shared" si="1"/>
        <v>2.9618055552418809E-2</v>
      </c>
      <c r="N62" s="7">
        <f t="shared" si="2"/>
        <v>42.649999995483086</v>
      </c>
      <c r="O62" s="7"/>
      <c r="P62" s="7"/>
      <c r="Q62" s="25"/>
      <c r="R62" s="25"/>
      <c r="S62" s="37">
        <f t="shared" si="3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09:35:30-0600',mode:absolute,to:'2016-09-19 12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2" s="54" t="str">
        <f t="shared" si="6"/>
        <v>N</v>
      </c>
      <c r="X62" s="168">
        <f t="shared" si="7"/>
        <v>1</v>
      </c>
      <c r="Y62" s="69">
        <f t="shared" si="8"/>
        <v>23.299399999999999</v>
      </c>
      <c r="Z62" s="69">
        <f t="shared" si="9"/>
        <v>1.7600000000000001E-2</v>
      </c>
      <c r="AA62" s="69">
        <f t="shared" si="10"/>
        <v>23.281799999999997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11"/>
        <v>0150-19</v>
      </c>
      <c r="AE62" s="99" t="str">
        <f t="shared" si="12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62" s="96" t="str">
        <f t="shared" si="13"/>
        <v>"C:\Program Files (x86)\AstroGrep\AstroGrep.exe" /spath="%USERPROFILE%\AppData\Local\Temp\OnboardLogs" /stypes="app*4001*20160919*"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150-19 --locoid 4001 --swversion DE.1.0.7.0 --startMP 204:232994 --initTime 2016-09-19T10:35:30 --startdatetime 2016-09-19T10:41:26 --delay 2 --endMP 204:176 --enddatetime 2016-09-19T11:24:05 --enforcementcount 0 &gt;&gt;C:\Users\stu\Documents\GitHub\eaglep3-reporting\EC\2016-09-19-refined-times.txt</v>
      </c>
      <c r="AI62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{"issue":{"subject":"","project_id":79,"tracker_id":40,"status_id":1,"priority_id":2,"assigned_to_id":23,"start_date":"2016-09-19","description":"","custom_fields":[{"id":1,"name":"Subdivision","value":"EC"},{"id":4,"name":"Milepost","value":"0.0176"},{"id":17,"name":"Train ID","value":"150-19"},{"id":16,"name":"Locomotive ID","value":"4001"},{"id":130,"name":"Impact","value":""},{"id":150,"name":"Time of Event (Mountain Time)","value":"11:24:05"},{"id":151,"name":"Denver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442</v>
      </c>
      <c r="B63" s="7">
        <v>4046</v>
      </c>
      <c r="C63" s="24" t="s">
        <v>106</v>
      </c>
      <c r="D63" s="24" t="s">
        <v>246</v>
      </c>
      <c r="E63" s="15">
        <v>42632.409942129627</v>
      </c>
      <c r="F63" s="15">
        <v>42632.417534722219</v>
      </c>
      <c r="G63" s="7">
        <v>10</v>
      </c>
      <c r="H63" s="15" t="s">
        <v>343</v>
      </c>
      <c r="I63" s="15">
        <v>42632.441365740742</v>
      </c>
      <c r="J63" s="7">
        <v>0</v>
      </c>
      <c r="K63" s="121" t="str">
        <f t="shared" si="0"/>
        <v>4045/4046</v>
      </c>
      <c r="L63" s="24" t="str">
        <f>VLOOKUP(A63,'Trips&amp;Operators'!$C$1:$E$10000,3,FALSE)</f>
        <v>YORK</v>
      </c>
      <c r="M63" s="6">
        <f t="shared" si="1"/>
        <v>2.383101852319669E-2</v>
      </c>
      <c r="N63" s="7">
        <f t="shared" si="2"/>
        <v>34.316666673403233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08:50:19-0600',mode:absolute,to:'2016-09-19 11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3" s="54" t="str">
        <f t="shared" si="6"/>
        <v>N</v>
      </c>
      <c r="X63" s="168">
        <f t="shared" si="7"/>
        <v>1</v>
      </c>
      <c r="Y63" s="69">
        <f t="shared" si="8"/>
        <v>4.6199999999999998E-2</v>
      </c>
      <c r="Z63" s="69">
        <f t="shared" si="9"/>
        <v>23.3249</v>
      </c>
      <c r="AA63" s="69">
        <f t="shared" si="10"/>
        <v>23.278700000000001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1"/>
        <v>0151-19</v>
      </c>
      <c r="AE63" s="99" t="str">
        <f t="shared" si="12"/>
        <v>aws s3 cp s3://rtdc.mdm.uploadarchive/RTDC4046/2016-09-19/ "%USERPROFILE%\AppData\Local\Temp\OnboardLogs"\RTDC4046\2016-09-19 --recursive &amp; "%USERPROFILE%\Documents\GitHub\mrs-test-scripts\Headless Mode &amp; Sideloading\WalkAndUnGZ.bat" "%USERPROFILE%\AppData\Local\Temp\OnboardLogs"\RTDC4046\2016-09-19 &amp; 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</v>
      </c>
      <c r="AF63" s="96" t="str">
        <f t="shared" si="13"/>
        <v>"C:\Program Files (x86)\AstroGrep\AstroGrep.exe" /spath="%USERPROFILE%\AppData\Local\Temp\OnboardLogs" /stypes="app*4046*20160919*"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151-19 --locoid 4046 --swversion DE.1.0.7.0 --startMP 204:462 --initTime 2016-09-19T09:50:19 --startdatetime 2016-09-19T10:01:15 --delay 10 --endMP 204:233249 --enddatetime 2016-09-19T10:35:34 --enforcementcount 0 &gt;&gt;C:\Users\stu\Documents\GitHub\eaglep3-reporting\EC\2016-09-19-refined-times.txt</v>
      </c>
      <c r="AI63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{"issue":{"subject":"","project_id":79,"tracker_id":40,"status_id":1,"priority_id":2,"assigned_to_id":23,"start_date":"2016-09-19","description":"","custom_fields":[{"id":1,"name":"Subdivision","value":"EC"},{"id":4,"name":"Milepost","value":"23.3249"},{"id":17,"name":"Train ID","value":"151-19"},{"id":16,"name":"Locomotive ID","value":"4046"},{"id":130,"name":"Impact","value":""},{"id":150,"name":"Time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451</v>
      </c>
      <c r="B64" s="7">
        <v>4045</v>
      </c>
      <c r="C64" s="24" t="s">
        <v>106</v>
      </c>
      <c r="D64" s="24" t="s">
        <v>246</v>
      </c>
      <c r="E64" s="15">
        <v>42632.409942129627</v>
      </c>
      <c r="F64" s="15">
        <v>42632.442766203705</v>
      </c>
      <c r="G64" s="7">
        <v>10</v>
      </c>
      <c r="H64" s="15" t="s">
        <v>343</v>
      </c>
      <c r="I64" s="15">
        <v>42632.444444444445</v>
      </c>
      <c r="J64" s="7">
        <v>0</v>
      </c>
      <c r="K64" s="121" t="str">
        <f t="shared" ref="K64" si="33">IF(ISEVEN(B64),(B64-1)&amp;"/"&amp;B64,B64&amp;"/"&amp;(B64+1))</f>
        <v>4045/4046</v>
      </c>
      <c r="L64" s="24" t="str">
        <f>VLOOKUP(A64,'Trips&amp;Operators'!$C$1:$E$10000,3,FALSE)</f>
        <v>YORK</v>
      </c>
      <c r="M64" s="6">
        <f t="shared" ref="M64" si="34">I64-F64</f>
        <v>1.6782407401478849E-3</v>
      </c>
      <c r="N64" s="7"/>
      <c r="O64" s="7"/>
      <c r="P64" s="7">
        <f t="shared" si="2"/>
        <v>2.4166666658129543</v>
      </c>
      <c r="Q64" s="25"/>
      <c r="R64" s="25" t="s">
        <v>771</v>
      </c>
      <c r="S64" s="37">
        <f t="shared" ref="S64" si="35">SUM(U64:U64)/IF(AG64="EC",12,1)</f>
        <v>0</v>
      </c>
      <c r="T64" s="52" t="str">
        <f t="shared" ref="T64" si="36">IF(ISEVEN(LEFT(AD64,4)),"Southbound","NorthBound")</f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0</v>
      </c>
      <c r="V64" s="106" t="str">
        <f t="shared" ref="V64" si="37"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https://search-rtdc-monitor-bjffxe2xuh6vdkpspy63sjmuny.us-east-1.es.amazonaws.com/_plugin/kibana/#/discover/Steve-Slow-Train-Analysis-(2080s-and-2083s)?_g=(refreshInterval:(display:Off,section:0,value:0),time:(from:'2016-09-19 08:50:19-0600',mode:absolute,to:'2016-09-19 11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4" s="54" t="str">
        <f t="shared" ref="W64" si="38">IF(AA64&lt;IF(AG64="EC",23,5.65),"Y","N")</f>
        <v>N</v>
      </c>
      <c r="X64" s="168">
        <f t="shared" ref="X64:X65" si="39">VALUE(LEFT(AD64,4))-VALUE(LEFT(AD63,4))</f>
        <v>1</v>
      </c>
      <c r="Y64" s="69">
        <f t="shared" ref="Y64" si="40">RIGHT(D64,LEN(D64)-4)/10000</f>
        <v>4.6199999999999998E-2</v>
      </c>
      <c r="Z64" s="69">
        <f t="shared" ref="Z64" si="41">RIGHT(H64,LEN(H64)-4)/10000</f>
        <v>23.3249</v>
      </c>
      <c r="AA64" s="69">
        <f t="shared" ref="AA64" si="42">ABS(Z64-Y64)</f>
        <v>23.278700000000001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ref="AD64" si="43">IF(LEN(A64)=6,"0"&amp;A64,A64)</f>
        <v>0152-19</v>
      </c>
      <c r="AE64" s="99" t="str">
        <f t="shared" ref="AE64" si="44"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 &amp; 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</v>
      </c>
      <c r="AF64" s="96" t="str">
        <f t="shared" ref="AF64" si="45"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/stypes="app*4045*20160919*" /stext=" 16:.+((SYSTEM_STATE.+slice.+state.+changed )|(ment ac)|(system.+state.+changed )|(\|lc)|(penalty)|(\[timeout)|(PRM\|1\|D)|(kpr)|(kdp))" /e /r /s</v>
      </c>
      <c r="AG64" s="1" t="str">
        <f t="shared" ref="AG64" si="46">IFERROR(IF(VALUE(LEFT(AD64,2))&lt;=2,"EC",IF(OR(VALUE(LEFT(AD64,2))=8,VALUE(LEFT(AD64,2))=18),"NW","Other")),"Other")</f>
        <v>EC</v>
      </c>
      <c r="AH64" s="100" t="str">
        <f t="shared" ref="AH64" si="47"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"&amp;J64&amp;IF(outputrefinedruntimes," &gt;&gt;"&amp;RefinedRTDCRunTimesOutputFile,"")</f>
        <v>"%USERPROFILE%\Documents\GitHub\eaglep3\Utilities\RefineRTDCRunTimes.py" --tripid 152-19 --locoid 4045 --swversion DE.1.0.7.0 --startMP 204:462 --initTime 2016-09-19T09:50:19 --startdatetime 2016-09-19T10:37:35 --delay 10 --endMP 204:233249 --enddatetime 2016-09-19T10:40:00 --enforcementcount 0 &gt;&gt;C:\Users\stu\Documents\GitHub\eaglep3-reporting\EC\2016-09-19-refined-times.txt</v>
      </c>
      <c r="AI64" s="134" t="str">
        <f t="shared" ref="AI64" si="48">"echo {""issue"":{""subject"":"""&amp;R64&amp;""",""project_id"":79,""tracker_id"":40,""status_id"":"&amp;redmine_status&amp;",""priority_id"":"&amp;redmine_priority&amp;",""assigned_to_id"":"&amp;redmine_assignee&amp;",""start_date"":"""&amp;TEXT(I64,"YYYY-mm-dd")&amp;""",""description"":"""&amp;AJ64&amp;""",""custom_fields"":[{""id"":1,""name"":""Subdivision"",""value"":"""&amp;AG64&amp;"""},{""id"":4,""name"":""Milepost"",""value"":"""&amp;Z64&amp;"""},{""id"":17,""name"":""Train ID"",""value"":"""&amp;A64&amp;"""},{""id"":16,""name"":""Locomotive ID"",""value"":"""&amp;B64&amp;"""},{""id"":130,""name"":""Impact"",""value"":"""&amp;AK64&amp;"""},{""id"":150,""name"":""Time of Event (Mountain Time)"",""value"":"""&amp;TEXT(I64,"hh:mm:ss")&amp;"""},{""id"":151,""name"":""Denver Issue ID"",""value"":"""&amp;"""},{""id"":178,""name"":""Operational Impact"",""value"":"""&amp;redmine_op_impact&amp;"""},{""id"":179,""name"":""Denver Segment Assigned"",""value"":"""&amp;AL64&amp;"""}]}}"&amp;"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failure","project_id":79,"tracker_id":40,"status_id":1,"priority_id":2,"assigned_to_id":23,"start_date":"2016-09-19","description":"Multiple CPU Faults at 10:39:50","custom_fields":[{"id":1,"name":"Subdivision","value":"EC"},{"id":4,"name":"Milepost","value":"23.3249"},{"id":17,"name":"Train ID","value":"152-19"},{"id":16,"name":"Locomotive ID","value":"4045"},{"id":130,"name":"Impact","value":"Failed State"},{"id":150,"name":"Time of Event (Mountain Time)","value":"10:40:00"},{"id":151,"name":"Denver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4" s="55" t="s">
        <v>772</v>
      </c>
      <c r="AK64" s="55" t="s">
        <v>141</v>
      </c>
      <c r="AL64" s="55" t="s">
        <v>261</v>
      </c>
    </row>
    <row r="65" spans="1:38" s="1" customFormat="1" x14ac:dyDescent="0.25">
      <c r="A65" s="39" t="s">
        <v>446</v>
      </c>
      <c r="B65" s="7">
        <v>4042</v>
      </c>
      <c r="C65" s="24" t="s">
        <v>106</v>
      </c>
      <c r="D65" s="24" t="s">
        <v>223</v>
      </c>
      <c r="E65" s="15">
        <v>42632.424421296295</v>
      </c>
      <c r="F65" s="15">
        <v>42632.427407407406</v>
      </c>
      <c r="G65" s="7">
        <v>1</v>
      </c>
      <c r="H65" s="15" t="s">
        <v>626</v>
      </c>
      <c r="I65" s="15">
        <v>42632.453194444446</v>
      </c>
      <c r="J65" s="7">
        <v>0</v>
      </c>
      <c r="K65" s="121" t="str">
        <f t="shared" si="0"/>
        <v>4041/4042</v>
      </c>
      <c r="L65" s="24" t="str">
        <f>VLOOKUP(A65,'Trips&amp;Operators'!$C$1:$E$10000,3,FALSE)</f>
        <v>STARKS</v>
      </c>
      <c r="M65" s="6">
        <f t="shared" si="1"/>
        <v>2.5787037040572613E-2</v>
      </c>
      <c r="N65" s="7">
        <f t="shared" si="2"/>
        <v>37.133333338424563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09:11:10-0600',mode:absolute,to:'2016-09-19 11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6"/>
        <v>N</v>
      </c>
      <c r="X65" s="168">
        <f t="shared" si="39"/>
        <v>1</v>
      </c>
      <c r="Y65" s="69">
        <f t="shared" si="8"/>
        <v>4.5699999999999998E-2</v>
      </c>
      <c r="Z65" s="69">
        <f t="shared" si="9"/>
        <v>23.324100000000001</v>
      </c>
      <c r="AA65" s="69">
        <f t="shared" si="10"/>
        <v>23.278400000000001</v>
      </c>
      <c r="AB65" s="66" t="str">
        <f>VLOOKUP(A65,Enforcements!$C$7:$K$20,8,0)</f>
        <v>Speed (6)</v>
      </c>
      <c r="AC65" s="62" t="str">
        <f>VLOOKUP(A65,Enforcements!$C$7:$E$20,3,0)</f>
        <v>PERMANENT SPEED RESTRICTION</v>
      </c>
      <c r="AD65" s="63" t="str">
        <f t="shared" si="11"/>
        <v>0153-19</v>
      </c>
      <c r="AE65" s="99" t="str">
        <f t="shared" si="12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65" s="96" t="str">
        <f t="shared" si="13"/>
        <v>"C:\Program Files (x86)\AstroGrep\AstroGrep.exe" /spath="%USERPROFILE%\AppData\Local\Temp\OnboardLogs" /stypes="app*4042*20160919*"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153-19 --locoid 4042 --swversion DE.1.0.7.0 --startMP 204:457 --initTime 2016-09-19T10:11:10 --startdatetime 2016-09-19T10:15:28 --delay 1 --endMP 204:233241 --enddatetime 2016-09-19T10:52:36 --enforcementcount 0 &gt;&gt;C:\Users\stu\Documents\GitHub\eaglep3-reporting\EC\2016-09-19-refined-times.txt</v>
      </c>
      <c r="AI65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{"issue":{"subject":"","project_id":79,"tracker_id":40,"status_id":1,"priority_id":2,"assigned_to_id":23,"start_date":"2016-09-19","description":"","custom_fields":[{"id":1,"name":"Subdivision","value":"EC"},{"id":4,"name":"Milepost","value":"23.3241"},{"id":17,"name":"Train ID","value":"153-19"},{"id":16,"name":"Locomotive ID","value":"4042"},{"id":130,"name":"Impact","value":""},{"id":150,"name":"Time of Event (Mountain Time)","value":"10:52:36"},{"id":151,"name":"Denver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457</v>
      </c>
      <c r="B66" s="7">
        <v>4041</v>
      </c>
      <c r="C66" s="24" t="s">
        <v>106</v>
      </c>
      <c r="D66" s="24" t="s">
        <v>627</v>
      </c>
      <c r="E66" s="15">
        <v>42632.464525462965</v>
      </c>
      <c r="F66" s="15">
        <v>42632.466331018521</v>
      </c>
      <c r="G66" s="7">
        <v>1</v>
      </c>
      <c r="H66" s="15" t="s">
        <v>602</v>
      </c>
      <c r="I66" s="15">
        <v>42632.497997685183</v>
      </c>
      <c r="J66" s="7">
        <v>0</v>
      </c>
      <c r="K66" s="121" t="str">
        <f t="shared" si="0"/>
        <v>4041/4042</v>
      </c>
      <c r="L66" s="24" t="str">
        <f>VLOOKUP(A66,'Trips&amp;Operators'!$C$1:$E$10000,3,FALSE)</f>
        <v>STARKS</v>
      </c>
      <c r="M66" s="6">
        <f t="shared" si="1"/>
        <v>3.1666666662204079E-2</v>
      </c>
      <c r="N66" s="7">
        <f t="shared" si="2"/>
        <v>45.599999993573874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10:08:55-0600',mode:absolute,to:'2016-09-19 12:57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6"/>
        <v>N</v>
      </c>
      <c r="X66" s="168">
        <f t="shared" si="7"/>
        <v>1</v>
      </c>
      <c r="Y66" s="69">
        <f t="shared" si="8"/>
        <v>23.291699999999999</v>
      </c>
      <c r="Z66" s="69">
        <f t="shared" si="9"/>
        <v>1.41E-2</v>
      </c>
      <c r="AA66" s="69">
        <f t="shared" si="10"/>
        <v>23.2776</v>
      </c>
      <c r="AB66" s="66" t="str">
        <f>VLOOKUP(A66,Enforcements!$C$7:$K$20,8,0)</f>
        <v>Speed (6)</v>
      </c>
      <c r="AC66" s="62" t="str">
        <f>VLOOKUP(A66,Enforcements!$C$7:$E$20,3,0)</f>
        <v>PERMANENT SPEED RESTRICTION</v>
      </c>
      <c r="AD66" s="63" t="str">
        <f t="shared" si="11"/>
        <v>0154-19</v>
      </c>
      <c r="AE66" s="99" t="str">
        <f t="shared" si="12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66" s="96" t="str">
        <f t="shared" si="13"/>
        <v>"C:\Program Files (x86)\AstroGrep\AstroGrep.exe" /spath="%USERPROFILE%\AppData\Local\Temp\OnboardLogs" /stypes="app*4041*20160919*"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154-19 --locoid 4041 --swversion DE.1.0.7.0 --startMP 204:232917 --initTime 2016-09-19T11:08:55 --startdatetime 2016-09-19T11:11:31 --delay 1 --endMP 204:141 --enddatetime 2016-09-19T11:57:07 --enforcementcount 0 &gt;&gt;C:\Users\stu\Documents\GitHub\eaglep3-reporting\EC\2016-09-19-refined-times.txt</v>
      </c>
      <c r="AI6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{"issue":{"subject":"","project_id":79,"tracker_id":40,"status_id":1,"priority_id":2,"assigned_to_id":23,"start_date":"2016-09-19","description":"","custom_fields":[{"id":1,"name":"Subdivision","value":"EC"},{"id":4,"name":"Milepost","value":"0.0141"},{"id":17,"name":"Train ID","value":"154-19"},{"id":16,"name":"Locomotive ID","value":"4041"},{"id":130,"name":"Impact","value":""},{"id":150,"name":"Time of Event (Mountain Time)","value":"11:57:07"},{"id":151,"name":"Denver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448</v>
      </c>
      <c r="B67" s="7">
        <v>4011</v>
      </c>
      <c r="C67" s="24" t="s">
        <v>106</v>
      </c>
      <c r="D67" s="24" t="s">
        <v>272</v>
      </c>
      <c r="E67" s="15">
        <v>42632.433935185189</v>
      </c>
      <c r="F67" s="15">
        <v>42632.438391203701</v>
      </c>
      <c r="G67" s="7">
        <v>1</v>
      </c>
      <c r="H67" s="15" t="s">
        <v>604</v>
      </c>
      <c r="I67" s="15">
        <v>42632.464421296296</v>
      </c>
      <c r="J67" s="7">
        <v>0</v>
      </c>
      <c r="K67" s="121" t="str">
        <f t="shared" si="0"/>
        <v>4011/4012</v>
      </c>
      <c r="L67" s="24" t="str">
        <f>VLOOKUP(A67,'Trips&amp;Operators'!$C$1:$E$10000,3,FALSE)</f>
        <v>DAVIS</v>
      </c>
      <c r="M67" s="6">
        <f t="shared" si="1"/>
        <v>2.6030092594737653E-2</v>
      </c>
      <c r="N67" s="7">
        <f t="shared" si="2"/>
        <v>37.48333333642222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09:24:52-0600',mode:absolute,to:'2016-09-19 12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7" s="54" t="str">
        <f t="shared" si="6"/>
        <v>N</v>
      </c>
      <c r="X67" s="168">
        <f t="shared" si="7"/>
        <v>1</v>
      </c>
      <c r="Y67" s="69">
        <f t="shared" si="8"/>
        <v>4.7800000000000002E-2</v>
      </c>
      <c r="Z67" s="69">
        <f t="shared" si="9"/>
        <v>23.325700000000001</v>
      </c>
      <c r="AA67" s="69">
        <f t="shared" si="10"/>
        <v>23.277900000000002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1"/>
        <v>0155-19</v>
      </c>
      <c r="AE67" s="99" t="str">
        <f t="shared" si="12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67" s="96" t="str">
        <f t="shared" si="13"/>
        <v>"C:\Program Files (x86)\AstroGrep\AstroGrep.exe" /spath="%USERPROFILE%\AppData\Local\Temp\OnboardLogs" /stypes="app*4011*20160919*"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155-19 --locoid 4011 --swversion DE.1.0.7.0 --startMP 204:478 --initTime 2016-09-19T10:24:52 --startdatetime 2016-09-19T10:31:17 --delay 1 --endMP 204:233257 --enddatetime 2016-09-19T11:08:46 --enforcementcount 0 &gt;&gt;C:\Users\stu\Documents\GitHub\eaglep3-reporting\EC\2016-09-19-refined-times.txt</v>
      </c>
      <c r="AI67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{"issue":{"subject":"","project_id":79,"tracker_id":40,"status_id":1,"priority_id":2,"assigned_to_id":23,"start_date":"2016-09-19","description":"","custom_fields":[{"id":1,"name":"Subdivision","value":"EC"},{"id":4,"name":"Milepost","value":"23.3257"},{"id":17,"name":"Train ID","value":"155-19"},{"id":16,"name":"Locomotive ID","value":"4011"},{"id":130,"name":"Impact","value":""},{"id":150,"name":"Time of Event (Mountain Time)","value":"11:08:46"},{"id":151,"name":"Denver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459</v>
      </c>
      <c r="B68" s="7">
        <v>4012</v>
      </c>
      <c r="C68" s="24" t="s">
        <v>106</v>
      </c>
      <c r="D68" s="24" t="s">
        <v>298</v>
      </c>
      <c r="E68" s="15">
        <v>42632.472268518519</v>
      </c>
      <c r="F68" s="15">
        <v>42632.476736111108</v>
      </c>
      <c r="G68" s="7">
        <v>1</v>
      </c>
      <c r="H68" s="15" t="s">
        <v>213</v>
      </c>
      <c r="I68" s="15">
        <v>42632.507175925923</v>
      </c>
      <c r="J68" s="7">
        <v>0</v>
      </c>
      <c r="K68" s="121" t="str">
        <f t="shared" si="0"/>
        <v>4011/4012</v>
      </c>
      <c r="L68" s="24" t="str">
        <f>VLOOKUP(A68,'Trips&amp;Operators'!$C$1:$E$10000,3,FALSE)</f>
        <v>DAVIS</v>
      </c>
      <c r="M68" s="6">
        <f t="shared" si="1"/>
        <v>3.0439814814599231E-2</v>
      </c>
      <c r="N68" s="7">
        <f t="shared" si="2"/>
        <v>43.833333333022892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10:20:04-0600',mode:absolute,to:'2016-09-19 13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8" s="54" t="str">
        <f t="shared" si="6"/>
        <v>N</v>
      </c>
      <c r="X68" s="168">
        <f t="shared" si="7"/>
        <v>1</v>
      </c>
      <c r="Y68" s="69">
        <f t="shared" si="8"/>
        <v>23.2943</v>
      </c>
      <c r="Z68" s="69">
        <f t="shared" si="9"/>
        <v>1.49E-2</v>
      </c>
      <c r="AA68" s="69">
        <f t="shared" si="10"/>
        <v>23.279399999999999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1"/>
        <v>0156-19</v>
      </c>
      <c r="AE68" s="99" t="str">
        <f t="shared" si="12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68" s="96" t="str">
        <f t="shared" si="13"/>
        <v>"C:\Program Files (x86)\AstroGrep\AstroGrep.exe" /spath="%USERPROFILE%\AppData\Local\Temp\OnboardLogs" /stypes="app*4012*20160919*"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156-19 --locoid 4012 --swversion DE.1.0.7.0 --startMP 204:232943 --initTime 2016-09-19T11:20:04 --startdatetime 2016-09-19T11:26:30 --delay 1 --endMP 204:149 --enddatetime 2016-09-19T12:10:20 --enforcementcount 0 &gt;&gt;C:\Users\stu\Documents\GitHub\eaglep3-reporting\EC\2016-09-19-refined-times.txt</v>
      </c>
      <c r="AI68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{"issue":{"subject":"","project_id":79,"tracker_id":40,"status_id":1,"priority_id":2,"assigned_to_id":23,"start_date":"2016-09-19","description":"","custom_fields":[{"id":1,"name":"Subdivision","value":"EC"},{"id":4,"name":"Milepost","value":"0.0149"},{"id":17,"name":"Train ID","value":"156-19"},{"id":16,"name":"Locomotive ID","value":"4012"},{"id":130,"name":"Impact","value":""},{"id":150,"name":"Time of Event (Mountain Time)","value":"12:10:20"},{"id":151,"name":"Denver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452</v>
      </c>
      <c r="B69" s="7">
        <v>4007</v>
      </c>
      <c r="C69" s="24" t="s">
        <v>106</v>
      </c>
      <c r="D69" s="24" t="s">
        <v>321</v>
      </c>
      <c r="E69" s="15">
        <v>42632.447118055556</v>
      </c>
      <c r="F69" s="15">
        <v>42632.448136574072</v>
      </c>
      <c r="G69" s="7">
        <v>1</v>
      </c>
      <c r="H69" s="15" t="s">
        <v>628</v>
      </c>
      <c r="I69" s="15">
        <v>42632.475451388891</v>
      </c>
      <c r="J69" s="7">
        <v>0</v>
      </c>
      <c r="K69" s="121" t="str">
        <f t="shared" si="0"/>
        <v>4007/4008</v>
      </c>
      <c r="L69" s="24" t="str">
        <f>VLOOKUP(A69,'Trips&amp;Operators'!$C$1:$E$10000,3,FALSE)</f>
        <v>MALAVE</v>
      </c>
      <c r="M69" s="6">
        <f t="shared" si="1"/>
        <v>2.7314814818964805E-2</v>
      </c>
      <c r="N69" s="7">
        <f t="shared" si="2"/>
        <v>39.33333333930932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09:43:51-0600',mode:absolute,to:'2016-09-19 12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69" s="54" t="str">
        <f t="shared" si="6"/>
        <v>N</v>
      </c>
      <c r="X69" s="168">
        <f t="shared" si="7"/>
        <v>1</v>
      </c>
      <c r="Y69" s="69">
        <f t="shared" si="8"/>
        <v>4.82E-2</v>
      </c>
      <c r="Z69" s="69">
        <f t="shared" si="9"/>
        <v>23.326599999999999</v>
      </c>
      <c r="AA69" s="69">
        <f t="shared" si="10"/>
        <v>23.278399999999998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11"/>
        <v>0157-19</v>
      </c>
      <c r="AE69" s="99" t="str">
        <f t="shared" si="12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69" s="96" t="str">
        <f t="shared" si="13"/>
        <v>"C:\Program Files (x86)\AstroGrep\AstroGrep.exe" /spath="%USERPROFILE%\AppData\Local\Temp\OnboardLogs" /stypes="app*4007*20160919*"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157-19 --locoid 4007 --swversion DE.1.0.7.0 --startMP 204:482 --initTime 2016-09-19T10:43:51 --startdatetime 2016-09-19T10:45:19 --delay 1 --endMP 204:233266 --enddatetime 2016-09-19T11:24:39 --enforcementcount 0 &gt;&gt;C:\Users\stu\Documents\GitHub\eaglep3-reporting\EC\2016-09-19-refined-times.txt</v>
      </c>
      <c r="AI6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{"issue":{"subject":"","project_id":79,"tracker_id":40,"status_id":1,"priority_id":2,"assigned_to_id":23,"start_date":"2016-09-19","description":"","custom_fields":[{"id":1,"name":"Subdivision","value":"EC"},{"id":4,"name":"Milepost","value":"23.3266"},{"id":17,"name":"Train ID","value":"157-19"},{"id":16,"name":"Locomotive ID","value":"4007"},{"id":130,"name":"Impact","value":""},{"id":150,"name":"Time of Event (Mountain Time)","value":"11:24:39"},{"id":151,"name":"Denver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462</v>
      </c>
      <c r="B70" s="7">
        <v>4008</v>
      </c>
      <c r="C70" s="24" t="s">
        <v>106</v>
      </c>
      <c r="D70" s="24" t="s">
        <v>322</v>
      </c>
      <c r="E70" s="15">
        <v>42632.484918981485</v>
      </c>
      <c r="F70" s="15">
        <v>42632.487743055557</v>
      </c>
      <c r="G70" s="7">
        <v>1</v>
      </c>
      <c r="H70" s="15" t="s">
        <v>127</v>
      </c>
      <c r="I70" s="15">
        <v>42632.517581018517</v>
      </c>
      <c r="J70" s="7">
        <v>0</v>
      </c>
      <c r="K70" s="121" t="str">
        <f t="shared" si="0"/>
        <v>4007/4008</v>
      </c>
      <c r="L70" s="24" t="str">
        <f>VLOOKUP(A70,'Trips&amp;Operators'!$C$1:$E$10000,3,FALSE)</f>
        <v>MALAVE</v>
      </c>
      <c r="M70" s="6">
        <f t="shared" si="1"/>
        <v>2.9837962960300501E-2</v>
      </c>
      <c r="N70" s="7">
        <f t="shared" si="2"/>
        <v>42.966666662832722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10:38:17-0600',mode:absolute,to:'2016-09-19 13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70" s="54" t="str">
        <f t="shared" si="6"/>
        <v>N</v>
      </c>
      <c r="X70" s="168">
        <f t="shared" si="7"/>
        <v>1</v>
      </c>
      <c r="Y70" s="69">
        <f t="shared" si="8"/>
        <v>23.2944</v>
      </c>
      <c r="Z70" s="69">
        <f t="shared" si="9"/>
        <v>1.54E-2</v>
      </c>
      <c r="AA70" s="69">
        <f t="shared" si="10"/>
        <v>23.279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1"/>
        <v>0158-19</v>
      </c>
      <c r="AE70" s="99" t="str">
        <f t="shared" si="12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70" s="96" t="str">
        <f t="shared" si="13"/>
        <v>"C:\Program Files (x86)\AstroGrep\AstroGrep.exe" /spath="%USERPROFILE%\AppData\Local\Temp\OnboardLogs" /stypes="app*4008*20160919*"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158-19 --locoid 4008 --swversion DE.1.0.7.0 --startMP 204:232944 --initTime 2016-09-19T11:38:17 --startdatetime 2016-09-19T11:42:21 --delay 1 --endMP 204:154 --enddatetime 2016-09-19T12:25:19 --enforcementcount 0 &gt;&gt;C:\Users\stu\Documents\GitHub\eaglep3-reporting\EC\2016-09-19-refined-times.txt</v>
      </c>
      <c r="AI7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{"issue":{"subject":"","project_id":79,"tracker_id":40,"status_id":1,"priority_id":2,"assigned_to_id":23,"start_date":"2016-09-19","description":"","custom_fields":[{"id":1,"name":"Subdivision","value":"EC"},{"id":4,"name":"Milepost","value":"0.0154"},{"id":17,"name":"Train ID","value":"158-19"},{"id":16,"name":"Locomotive ID","value":"4008"},{"id":130,"name":"Impact","value":""},{"id":150,"name":"Time of Event (Mountain Time)","value":"12:25:19"},{"id":151,"name":"Denver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456</v>
      </c>
      <c r="B71" s="7">
        <v>4025</v>
      </c>
      <c r="C71" s="24" t="s">
        <v>106</v>
      </c>
      <c r="D71" s="24" t="s">
        <v>270</v>
      </c>
      <c r="E71" s="15">
        <v>42632.460902777777</v>
      </c>
      <c r="F71" s="15">
        <v>42632.462199074071</v>
      </c>
      <c r="G71" s="7">
        <v>1</v>
      </c>
      <c r="H71" s="15" t="s">
        <v>253</v>
      </c>
      <c r="I71" s="15">
        <v>42632.490324074075</v>
      </c>
      <c r="J71" s="7">
        <v>0</v>
      </c>
      <c r="K71" s="121" t="str">
        <f t="shared" si="0"/>
        <v>4025/4026</v>
      </c>
      <c r="L71" s="24" t="str">
        <f>VLOOKUP(A71,'Trips&amp;Operators'!$C$1:$E$10000,3,FALSE)</f>
        <v>GRASTON</v>
      </c>
      <c r="M71" s="6">
        <f t="shared" si="1"/>
        <v>2.8125000004365575E-2</v>
      </c>
      <c r="N71" s="7">
        <f t="shared" si="2"/>
        <v>40.500000006286427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10:03:42-0600',mode:absolute,to:'2016-09-19 12:46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1" s="54" t="str">
        <f t="shared" si="6"/>
        <v>N</v>
      </c>
      <c r="X71" s="168">
        <f t="shared" si="7"/>
        <v>1</v>
      </c>
      <c r="Y71" s="69">
        <f t="shared" si="8"/>
        <v>4.7699999999999999E-2</v>
      </c>
      <c r="Z71" s="69">
        <f t="shared" si="9"/>
        <v>23.3276</v>
      </c>
      <c r="AA71" s="69">
        <f t="shared" si="10"/>
        <v>23.279900000000001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1"/>
        <v>0159-19</v>
      </c>
      <c r="AE71" s="99" t="str">
        <f t="shared" si="12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71" s="96" t="str">
        <f t="shared" si="13"/>
        <v>"C:\Program Files (x86)\AstroGrep\AstroGrep.exe" /spath="%USERPROFILE%\AppData\Local\Temp\OnboardLogs" /stypes="app*4025*20160919*"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159-19 --locoid 4025 --swversion DE.1.0.7.0 --startMP 204:477 --initTime 2016-09-19T11:03:42 --startdatetime 2016-09-19T11:05:34 --delay 1 --endMP 204:233276 --enddatetime 2016-09-19T11:46:04 --enforcementcount 0 &gt;&gt;C:\Users\stu\Documents\GitHub\eaglep3-reporting\EC\2016-09-19-refined-times.txt</v>
      </c>
      <c r="AI71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{"issue":{"subject":"","project_id":79,"tracker_id":40,"status_id":1,"priority_id":2,"assigned_to_id":23,"start_date":"2016-09-19","description":"","custom_fields":[{"id":1,"name":"Subdivision","value":"EC"},{"id":4,"name":"Milepost","value":"23.3276"},{"id":17,"name":"Train ID","value":"159-19"},{"id":16,"name":"Locomotive ID","value":"4025"},{"id":130,"name":"Impact","value":""},{"id":150,"name":"Time of Event (Mountain Time)","value":"11:46:04"},{"id":151,"name":"Denver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464</v>
      </c>
      <c r="B72" s="7">
        <v>4026</v>
      </c>
      <c r="C72" s="24" t="s">
        <v>106</v>
      </c>
      <c r="D72" s="24" t="s">
        <v>263</v>
      </c>
      <c r="E72" s="15">
        <v>42632.49291666667</v>
      </c>
      <c r="F72" s="15">
        <v>42632.497453703705</v>
      </c>
      <c r="G72" s="7">
        <v>1</v>
      </c>
      <c r="H72" s="15" t="s">
        <v>247</v>
      </c>
      <c r="I72" s="15">
        <v>42632.524780092594</v>
      </c>
      <c r="J72" s="7">
        <v>0</v>
      </c>
      <c r="K72" s="121" t="str">
        <f t="shared" si="0"/>
        <v>4025/4026</v>
      </c>
      <c r="L72" s="24" t="str">
        <f>VLOOKUP(A72,'Trips&amp;Operators'!$C$1:$E$10000,3,FALSE)</f>
        <v>GRASTON</v>
      </c>
      <c r="M72" s="6">
        <f t="shared" si="1"/>
        <v>2.73263888884685E-2</v>
      </c>
      <c r="N72" s="7">
        <f t="shared" si="2"/>
        <v>39.34999999939464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10:49:48-0600',mode:absolute,to:'2016-09-19 13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2" s="54" t="str">
        <f t="shared" si="6"/>
        <v>N</v>
      </c>
      <c r="X72" s="168">
        <f t="shared" si="7"/>
        <v>1</v>
      </c>
      <c r="Y72" s="69">
        <f t="shared" si="8"/>
        <v>23.295300000000001</v>
      </c>
      <c r="Z72" s="69">
        <f t="shared" si="9"/>
        <v>1.72E-2</v>
      </c>
      <c r="AA72" s="69">
        <f t="shared" si="10"/>
        <v>23.278100000000002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1"/>
        <v>0160-19</v>
      </c>
      <c r="AE72" s="99" t="str">
        <f t="shared" si="12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72" s="96" t="str">
        <f t="shared" si="13"/>
        <v>"C:\Program Files (x86)\AstroGrep\AstroGrep.exe" /spath="%USERPROFILE%\AppData\Local\Temp\OnboardLogs" /stypes="app*4026*20160919*"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160-19 --locoid 4026 --swversion DE.1.0.7.0 --startMP 204:232953 --initTime 2016-09-19T11:49:48 --startdatetime 2016-09-19T11:56:20 --delay 1 --endMP 204:172 --enddatetime 2016-09-19T12:35:41 --enforcementcount 0 &gt;&gt;C:\Users\stu\Documents\GitHub\eaglep3-reporting\EC\2016-09-19-refined-times.txt</v>
      </c>
      <c r="AI72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{"issue":{"subject":"","project_id":79,"tracker_id":40,"status_id":1,"priority_id":2,"assigned_to_id":23,"start_date":"2016-09-19","description":"","custom_fields":[{"id":1,"name":"Subdivision","value":"EC"},{"id":4,"name":"Milepost","value":"0.0172"},{"id":17,"name":"Train ID","value":"160-19"},{"id":16,"name":"Locomotive ID","value":"4026"},{"id":130,"name":"Impact","value":""},{"id":150,"name":"Time of Event (Mountain Time)","value":"12:35:41"},{"id":151,"name":"Denver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458</v>
      </c>
      <c r="B73" s="7">
        <v>4053</v>
      </c>
      <c r="C73" s="24" t="s">
        <v>106</v>
      </c>
      <c r="D73" s="24" t="s">
        <v>223</v>
      </c>
      <c r="E73" s="15">
        <v>42632.467870370368</v>
      </c>
      <c r="F73" s="15">
        <v>42632.470138888886</v>
      </c>
      <c r="G73" s="7">
        <v>1</v>
      </c>
      <c r="H73" s="15" t="s">
        <v>340</v>
      </c>
      <c r="I73" s="15">
        <v>42632.498541666668</v>
      </c>
      <c r="J73" s="7">
        <v>0</v>
      </c>
      <c r="K73" s="121" t="str">
        <f t="shared" si="0"/>
        <v>4053/4054</v>
      </c>
      <c r="L73" s="24" t="str">
        <f>VLOOKUP(A73,'Trips&amp;Operators'!$C$1:$E$10000,3,FALSE)</f>
        <v>BARTLETT</v>
      </c>
      <c r="M73" s="6">
        <f t="shared" si="1"/>
        <v>2.8402777781593613E-2</v>
      </c>
      <c r="N73" s="7">
        <f t="shared" si="2"/>
        <v>40.900000005494803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10:13:44-0600',mode:absolute,to:'2016-09-19 12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73" s="54" t="str">
        <f t="shared" si="6"/>
        <v>N</v>
      </c>
      <c r="X73" s="168">
        <f t="shared" si="7"/>
        <v>1</v>
      </c>
      <c r="Y73" s="69">
        <f t="shared" si="8"/>
        <v>4.5699999999999998E-2</v>
      </c>
      <c r="Z73" s="69">
        <f t="shared" si="9"/>
        <v>23.331600000000002</v>
      </c>
      <c r="AA73" s="69">
        <f t="shared" si="10"/>
        <v>23.285900000000002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1"/>
        <v>0161-19</v>
      </c>
      <c r="AE73" s="99" t="str">
        <f t="shared" si="12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73" s="96" t="str">
        <f t="shared" si="13"/>
        <v>"C:\Program Files (x86)\AstroGrep\AstroGrep.exe" /spath="%USERPROFILE%\AppData\Local\Temp\OnboardLogs" /stypes="app*4053*20160919*"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161-19 --locoid 4053 --swversion DE.1.0.7.0 --startMP 204:457 --initTime 2016-09-19T11:13:44 --startdatetime 2016-09-19T11:17:00 --delay 1 --endMP 204:233316 --enddatetime 2016-09-19T11:57:54 --enforcementcount 0 &gt;&gt;C:\Users\stu\Documents\GitHub\eaglep3-reporting\EC\2016-09-19-refined-times.txt</v>
      </c>
      <c r="AI73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{"issue":{"subject":"","project_id":79,"tracker_id":40,"status_id":1,"priority_id":2,"assigned_to_id":23,"start_date":"2016-09-19","description":"","custom_fields":[{"id":1,"name":"Subdivision","value":"EC"},{"id":4,"name":"Milepost","value":"23.3316"},{"id":17,"name":"Train ID","value":"161-19"},{"id":16,"name":"Locomotive ID","value":"4053"},{"id":130,"name":"Impact","value":""},{"id":150,"name":"Time of Event (Mountain Time)","value":"11:57:54"},{"id":151,"name":"Denver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467</v>
      </c>
      <c r="B74" s="7">
        <v>4054</v>
      </c>
      <c r="C74" s="24" t="s">
        <v>106</v>
      </c>
      <c r="D74" s="24" t="s">
        <v>351</v>
      </c>
      <c r="E74" s="15">
        <v>42632.503518518519</v>
      </c>
      <c r="F74" s="15">
        <v>42632.507847222223</v>
      </c>
      <c r="G74" s="7">
        <v>1</v>
      </c>
      <c r="H74" s="15" t="s">
        <v>215</v>
      </c>
      <c r="I74" s="15">
        <v>42632.535624999997</v>
      </c>
      <c r="J74" s="7">
        <v>0</v>
      </c>
      <c r="K74" s="121" t="str">
        <f t="shared" si="0"/>
        <v>4053/4054</v>
      </c>
      <c r="L74" s="24" t="str">
        <f>VLOOKUP(A74,'Trips&amp;Operators'!$C$1:$E$10000,3,FALSE)</f>
        <v>BARTLETT</v>
      </c>
      <c r="M74" s="6">
        <f t="shared" si="1"/>
        <v>2.7777777773735579E-2</v>
      </c>
      <c r="N74" s="7">
        <f t="shared" si="2"/>
        <v>39.999999994179234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11:05:04-0600',mode:absolute,to:'2016-09-19 13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74" s="54" t="str">
        <f t="shared" si="6"/>
        <v>N</v>
      </c>
      <c r="X74" s="168">
        <f t="shared" si="7"/>
        <v>1</v>
      </c>
      <c r="Y74" s="69">
        <f t="shared" si="8"/>
        <v>23.3</v>
      </c>
      <c r="Z74" s="69">
        <f t="shared" si="9"/>
        <v>1.6299999999999999E-2</v>
      </c>
      <c r="AA74" s="69">
        <f t="shared" si="10"/>
        <v>23.2837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1"/>
        <v>0162-19</v>
      </c>
      <c r="AE74" s="99" t="str">
        <f t="shared" si="12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74" s="96" t="str">
        <f t="shared" si="13"/>
        <v>"C:\Program Files (x86)\AstroGrep\AstroGrep.exe" /spath="%USERPROFILE%\AppData\Local\Temp\OnboardLogs" /stypes="app*4054*20160919*"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162-19 --locoid 4054 --swversion DE.1.0.7.0 --startMP 204:233000 --initTime 2016-09-19T12:05:04 --startdatetime 2016-09-19T12:11:18 --delay 1 --endMP 204:163 --enddatetime 2016-09-19T12:51:18 --enforcementcount 0 &gt;&gt;C:\Users\stu\Documents\GitHub\eaglep3-reporting\EC\2016-09-19-refined-times.txt</v>
      </c>
      <c r="AI74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{"issue":{"subject":"","project_id":79,"tracker_id":40,"status_id":1,"priority_id":2,"assigned_to_id":23,"start_date":"2016-09-19","description":"","custom_fields":[{"id":1,"name":"Subdivision","value":"EC"},{"id":4,"name":"Milepost","value":"0.0163"},{"id":17,"name":"Train ID","value":"162-19"},{"id":16,"name":"Locomotive ID","value":"4054"},{"id":130,"name":"Impact","value":""},{"id":150,"name":"Time of Event (Mountain Time)","value":"12:51:18"},{"id":151,"name":"Denver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460</v>
      </c>
      <c r="B75" s="7">
        <v>4002</v>
      </c>
      <c r="C75" s="24" t="s">
        <v>106</v>
      </c>
      <c r="D75" s="24" t="s">
        <v>629</v>
      </c>
      <c r="E75" s="15">
        <v>42632.477037037039</v>
      </c>
      <c r="F75" s="15">
        <v>42632.479756944442</v>
      </c>
      <c r="G75" s="7">
        <v>1</v>
      </c>
      <c r="H75" s="15" t="s">
        <v>630</v>
      </c>
      <c r="I75" s="15">
        <v>42632.506238425929</v>
      </c>
      <c r="J75" s="7">
        <v>0</v>
      </c>
      <c r="K75" s="121" t="str">
        <f t="shared" si="0"/>
        <v>4001/4002</v>
      </c>
      <c r="L75" s="24" t="str">
        <f>VLOOKUP(A75,'Trips&amp;Operators'!$C$1:$E$10000,3,FALSE)</f>
        <v>BONDS</v>
      </c>
      <c r="M75" s="6">
        <f t="shared" si="1"/>
        <v>2.6481481487280689E-2</v>
      </c>
      <c r="N75" s="7">
        <f t="shared" si="2"/>
        <v>38.133333341684192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10:26:56-0600',mode:absolute,to:'2016-09-19 13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5" s="54" t="str">
        <f t="shared" si="6"/>
        <v>N</v>
      </c>
      <c r="X75" s="168">
        <f t="shared" si="7"/>
        <v>1</v>
      </c>
      <c r="Y75" s="69">
        <f t="shared" si="8"/>
        <v>4.9099999999999998E-2</v>
      </c>
      <c r="Z75" s="69">
        <f t="shared" si="9"/>
        <v>23.325099999999999</v>
      </c>
      <c r="AA75" s="69">
        <f t="shared" si="10"/>
        <v>23.276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1"/>
        <v>0163-19</v>
      </c>
      <c r="AE75" s="99" t="str">
        <f t="shared" si="12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75" s="96" t="str">
        <f t="shared" si="13"/>
        <v>"C:\Program Files (x86)\AstroGrep\AstroGrep.exe" /spath="%USERPROFILE%\AppData\Local\Temp\OnboardLogs" /stypes="app*4002*20160919*"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163-19 --locoid 4002 --swversion DE.1.0.7.0 --startMP 204:491 --initTime 2016-09-19T11:26:56 --startdatetime 2016-09-19T11:30:51 --delay 1 --endMP 204:233251 --enddatetime 2016-09-19T12:08:59 --enforcementcount 0 &gt;&gt;C:\Users\stu\Documents\GitHub\eaglep3-reporting\EC\2016-09-19-refined-times.txt</v>
      </c>
      <c r="AI75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{"issue":{"subject":"","project_id":79,"tracker_id":40,"status_id":1,"priority_id":2,"assigned_to_id":23,"start_date":"2016-09-19","description":"","custom_fields":[{"id":1,"name":"Subdivision","value":"EC"},{"id":4,"name":"Milepost","value":"23.3251"},{"id":17,"name":"Train ID","value":"163-19"},{"id":16,"name":"Locomotive ID","value":"4002"},{"id":130,"name":"Impact","value":""},{"id":150,"name":"Time of Event (Mountain Time)","value":"12:08:59"},{"id":151,"name":"Denver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471</v>
      </c>
      <c r="B76" s="7">
        <v>4001</v>
      </c>
      <c r="C76" s="24" t="s">
        <v>106</v>
      </c>
      <c r="D76" s="24" t="s">
        <v>320</v>
      </c>
      <c r="E76" s="15">
        <v>42632.511122685188</v>
      </c>
      <c r="F76" s="15">
        <v>42632.518333333333</v>
      </c>
      <c r="G76" s="7">
        <v>1</v>
      </c>
      <c r="H76" s="15" t="s">
        <v>248</v>
      </c>
      <c r="I76" s="15">
        <v>42632.544317129628</v>
      </c>
      <c r="J76" s="7">
        <v>0</v>
      </c>
      <c r="K76" s="121" t="str">
        <f t="shared" si="0"/>
        <v>4001/4002</v>
      </c>
      <c r="L76" s="24" t="str">
        <f>VLOOKUP(A76,'Trips&amp;Operators'!$C$1:$E$10000,3,FALSE)</f>
        <v>BONDS</v>
      </c>
      <c r="M76" s="6">
        <f t="shared" si="1"/>
        <v>2.5983796294895001E-2</v>
      </c>
      <c r="N76" s="7">
        <f t="shared" si="2"/>
        <v>37.416666664648801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11:16:01-0600',mode:absolute,to:'2016-09-19 14:03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6" s="54" t="str">
        <f t="shared" si="6"/>
        <v>N</v>
      </c>
      <c r="X76" s="168">
        <f t="shared" si="7"/>
        <v>1</v>
      </c>
      <c r="Y76" s="69">
        <f t="shared" si="8"/>
        <v>23.2942</v>
      </c>
      <c r="Z76" s="69">
        <f t="shared" si="9"/>
        <v>1.43E-2</v>
      </c>
      <c r="AA76" s="69">
        <f t="shared" si="10"/>
        <v>23.279900000000001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1"/>
        <v>0164-19</v>
      </c>
      <c r="AE76" s="99" t="str">
        <f t="shared" si="12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76" s="96" t="str">
        <f t="shared" si="13"/>
        <v>"C:\Program Files (x86)\AstroGrep\AstroGrep.exe" /spath="%USERPROFILE%\AppData\Local\Temp\OnboardLogs" /stypes="app*4001*20160919*"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164-19 --locoid 4001 --swversion DE.1.0.7.0 --startMP 204:232942 --initTime 2016-09-19T12:16:01 --startdatetime 2016-09-19T12:26:24 --delay 1 --endMP 204:143 --enddatetime 2016-09-19T13:03:49 --enforcementcount 0 &gt;&gt;C:\Users\stu\Documents\GitHub\eaglep3-reporting\EC\2016-09-19-refined-times.txt</v>
      </c>
      <c r="AI76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{"issue":{"subject":"","project_id":79,"tracker_id":40,"status_id":1,"priority_id":2,"assigned_to_id":23,"start_date":"2016-09-19","description":"","custom_fields":[{"id":1,"name":"Subdivision","value":"EC"},{"id":4,"name":"Milepost","value":"0.0143"},{"id":17,"name":"Train ID","value":"164-19"},{"id":16,"name":"Locomotive ID","value":"4001"},{"id":130,"name":"Impact","value":""},{"id":150,"name":"Time of Event (Mountain Time)","value":"13:03:49"},{"id":151,"name":"Denver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454</v>
      </c>
      <c r="B77" s="7">
        <v>4046</v>
      </c>
      <c r="C77" s="24" t="s">
        <v>106</v>
      </c>
      <c r="D77" s="24" t="s">
        <v>320</v>
      </c>
      <c r="E77" s="15">
        <v>42632.511122685188</v>
      </c>
      <c r="F77" s="15">
        <v>42632.489641203705</v>
      </c>
      <c r="G77" s="7">
        <v>1</v>
      </c>
      <c r="H77" s="15" t="s">
        <v>248</v>
      </c>
      <c r="I77" s="15">
        <v>42632.494872685187</v>
      </c>
      <c r="J77" s="7">
        <v>0</v>
      </c>
      <c r="K77" s="121" t="str">
        <f t="shared" ref="K77:K78" si="49">IF(ISEVEN(B77),(B77-1)&amp;"/"&amp;B77,B77&amp;"/"&amp;(B77+1))</f>
        <v>4045/4046</v>
      </c>
      <c r="L77" s="24" t="str">
        <f>VLOOKUP(A77,'Trips&amp;Operators'!$C$1:$E$10000,3,FALSE)</f>
        <v>CLARK</v>
      </c>
      <c r="M77" s="6">
        <f t="shared" ref="M77:M78" si="50">I77-F77</f>
        <v>5.2314814820419997E-3</v>
      </c>
      <c r="N77" s="7"/>
      <c r="O77" s="7"/>
      <c r="P77" s="7">
        <f t="shared" si="2"/>
        <v>7.5333333341404796</v>
      </c>
      <c r="Q77" s="25"/>
      <c r="R77" s="25" t="s">
        <v>773</v>
      </c>
      <c r="S77" s="37">
        <f t="shared" ref="S77:S78" si="51">SUM(U77:U77)/IF(AG77="EC",12,1)</f>
        <v>0</v>
      </c>
      <c r="T77" s="52" t="str">
        <f t="shared" ref="T77:T78" si="52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106" t="str">
        <f t="shared" ref="V77:V78" si="5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https://search-rtdc-monitor-bjffxe2xuh6vdkpspy63sjmuny.us-east-1.es.amazonaws.com/_plugin/kibana/#/discover/Steve-Slow-Train-Analysis-(2080s-and-2083s)?_g=(refreshInterval:(display:Off,section:0,value:0),time:(from:'2016-09-19 11:16:01-0600',mode:absolute,to:'2016-09-19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7" s="54" t="str">
        <f t="shared" ref="W77:W78" si="54">IF(AA77&lt;IF(AG77="EC",23,5.65),"Y","N")</f>
        <v>Y</v>
      </c>
      <c r="X77" s="168">
        <f t="shared" ref="X77:X81" si="55">VALUE(LEFT(AD77,4))-VALUE(LEFT(AD76,4))</f>
        <v>1</v>
      </c>
      <c r="Y77" s="69">
        <v>1.4E-2</v>
      </c>
      <c r="Z77" s="69">
        <f t="shared" ref="Z77" si="56">RIGHT(H77,LEN(H77)-4)/10000</f>
        <v>1.43E-2</v>
      </c>
      <c r="AA77" s="69">
        <f t="shared" ref="AA77:AA78" si="57">ABS(Z77-Y77)</f>
        <v>2.9999999999999992E-4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78" si="58">IF(LEN(A77)=6,"0"&amp;A77,A77)</f>
        <v>0165-19</v>
      </c>
      <c r="AE77" s="99" t="str">
        <f t="shared" ref="AE77:AE78" si="59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s3://rtdc.mdm.uploadarchive/RTDC4046/2016-09-19/ "%USERPROFILE%\AppData\Local\Temp\OnboardLogs"\RTDC4046\2016-09-19 --recursive &amp; "%USERPROFILE%\Documents\GitHub\mrs-test-scripts\Headless Mode &amp; Sideloading\WalkAndUnGZ.bat" "%USERPROFILE%\AppData\Local\Temp\OnboardLogs"\RTDC4046\2016-09-19 &amp; 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</v>
      </c>
      <c r="AF77" s="96" t="str">
        <f t="shared" ref="AF77:AF78" si="60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/stypes="app*4046*20160919*" /stext=" 17:.+((SYSTEM_STATE.+slice.+state.+changed )|(ment ac)|(system.+state.+changed )|(\|lc)|(penalty)|(\[timeout)|(PRM\|1\|D)|(kpr)|(kdp))" /e /r /s</v>
      </c>
      <c r="AG77" s="1" t="str">
        <f t="shared" ref="AG77:AG78" si="61">IFERROR(IF(VALUE(LEFT(AD77,2))&lt;=2,"EC",IF(OR(VALUE(LEFT(AD77,2))=8,VALUE(LEFT(AD77,2))=18),"NW","Other")),"Other")</f>
        <v>EC</v>
      </c>
      <c r="AH77" s="100" t="str">
        <f t="shared" ref="AH77:AH78" si="6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165-19 --locoid 4046 --swversion DE.1.0.7.0 --startMP 204:232942 --initTime 2016-09-19T12:16:01 --startdatetime 2016-09-19T11:45:05 --delay 1 --endMP 204:143 --enddatetime 2016-09-19T11:52:37 --enforcementcount 0 &gt;&gt;C:\Users\stu\Documents\GitHub\eaglep3-reporting\EC\2016-09-19-refined-times.txt</v>
      </c>
      <c r="AI77" s="134" t="str">
        <f t="shared" ref="AI77:AI78" si="6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{"issue":{"subject":"Departure test not performed after a TMC reboot","project_id":79,"tracker_id":40,"status_id":1,"priority_id":2,"assigned_to_id":23,"start_date":"2016-09-19","description":"Two init attempts made, in both cases failed because no departure test was performed. The TMC had recently rebooted, therefore a departure test was necessary","custom_fields":[{"id":1,"name":"Subdivision","value":"EC"},{"id":4,"name":"Milepost","value":"0.0143"},{"id":17,"name":"Train ID","value":"165-19"},{"id":16,"name":"Locomotive ID","value":"4046"},{"id":130,"name":"Impact","value":"Initialization Problem"},{"id":150,"name":"Time of Event (Mountain Time)","value":"11:52:37"},{"id":151,"name":"Denver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77" s="55" t="s">
        <v>774</v>
      </c>
      <c r="AK77" s="55" t="s">
        <v>146</v>
      </c>
      <c r="AL77" s="55" t="s">
        <v>156</v>
      </c>
    </row>
    <row r="78" spans="1:38" s="1" customFormat="1" x14ac:dyDescent="0.25">
      <c r="A78" s="39" t="s">
        <v>472</v>
      </c>
      <c r="B78" s="7">
        <v>4045</v>
      </c>
      <c r="C78" s="24" t="s">
        <v>106</v>
      </c>
      <c r="D78" s="24" t="s">
        <v>320</v>
      </c>
      <c r="E78" s="15">
        <v>42632.511122685188</v>
      </c>
      <c r="F78" s="15">
        <v>42632.524409722224</v>
      </c>
      <c r="G78" s="7">
        <v>1</v>
      </c>
      <c r="H78" s="15" t="s">
        <v>248</v>
      </c>
      <c r="I78" s="15">
        <v>42632.524664351855</v>
      </c>
      <c r="J78" s="7">
        <v>0</v>
      </c>
      <c r="K78" s="121" t="str">
        <f t="shared" si="49"/>
        <v>4045/4046</v>
      </c>
      <c r="L78" s="24" t="str">
        <f>VLOOKUP(A78,'Trips&amp;Operators'!$C$1:$E$10000,3,FALSE)</f>
        <v>CLARK</v>
      </c>
      <c r="M78" s="6">
        <f t="shared" si="50"/>
        <v>2.546296309446916E-4</v>
      </c>
      <c r="N78" s="7"/>
      <c r="O78" s="7"/>
      <c r="P78" s="7">
        <v>1</v>
      </c>
      <c r="Q78" s="25"/>
      <c r="R78" s="25" t="s">
        <v>773</v>
      </c>
      <c r="S78" s="37">
        <f t="shared" si="51"/>
        <v>0</v>
      </c>
      <c r="T78" s="52" t="str">
        <f t="shared" si="52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0</v>
      </c>
      <c r="V7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https://search-rtdc-monitor-bjffxe2xuh6vdkpspy63sjmuny.us-east-1.es.amazonaws.com/_plugin/kibana/#/discover/Steve-Slow-Train-Analysis-(2080s-and-2083s)?_g=(refreshInterval:(display:Off,section:0,value:0),time:(from:'2016-09-19 11:16:01-0600',mode:absolute,to:'2016-09-19 13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8" s="54" t="str">
        <f t="shared" si="54"/>
        <v>Y</v>
      </c>
      <c r="X78" s="168">
        <f t="shared" si="55"/>
        <v>1</v>
      </c>
      <c r="Y78" s="69">
        <f t="shared" ref="Y78" si="64">RIGHT(D78,LEN(D78)-4)/10000</f>
        <v>23.2942</v>
      </c>
      <c r="Z78" s="69">
        <v>23.2</v>
      </c>
      <c r="AA78" s="69">
        <f t="shared" si="57"/>
        <v>9.4200000000000728E-2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58"/>
        <v>0166-19</v>
      </c>
      <c r="AE78" s="99" t="str">
        <f t="shared" si="59"/>
        <v>aws s3 cp s3://rtdc.mdm.uploadarchive/RTDC4045/2016-09-19/ "%USERPROFILE%\AppData\Local\Temp\OnboardLogs"\RTDC4045\2016-09-19 --recursive &amp; "%USERPROFILE%\Documents\GitHub\mrs-test-scripts\Headless Mode &amp; Sideloading\WalkAndUnGZ.bat" "%USERPROFILE%\AppData\Local\Temp\OnboardLogs"\RTDC4045\2016-09-19 &amp; aws s3 cp s3://rtdc.mdm.uploadarchive/RTDC4045/2016-09-20/ "%USERPROFILE%\AppData\Local\Temp\OnboardLogs"\RTDC4045\2016-09-20 --recursive &amp; "%USERPROFILE%\Documents\GitHub\mrs-test-scripts\Headless Mode &amp; Sideloading\WalkAndUnGZ.bat" "%USERPROFILE%\AppData\Local\Temp\OnboardLogs"\RTDC4045\2016-09-20</v>
      </c>
      <c r="AF78" s="96" t="str">
        <f t="shared" si="60"/>
        <v>"C:\Program Files (x86)\AstroGrep\AstroGrep.exe" /spath="%USERPROFILE%\AppData\Local\Temp\OnboardLogs" /stypes="app*4045*20160919*" /stext=" 18:.+((SYSTEM_STATE.+slice.+state.+changed )|(ment ac)|(system.+state.+changed )|(\|lc)|(penalty)|(\[timeout)|(PRM\|1\|D)|(kpr)|(kdp))" /e /r /s</v>
      </c>
      <c r="AG78" s="1" t="str">
        <f t="shared" si="61"/>
        <v>EC</v>
      </c>
      <c r="AH78" s="100" t="str">
        <f t="shared" si="62"/>
        <v>"%USERPROFILE%\Documents\GitHub\eaglep3\Utilities\RefineRTDCRunTimes.py" --tripid 166-19 --locoid 4045 --swversion DE.1.0.7.0 --startMP 204:232942 --initTime 2016-09-19T12:16:01 --startdatetime 2016-09-19T12:35:09 --delay 1 --endMP 204:143 --enddatetime 2016-09-19T12:35:31 --enforcementcount 0 &gt;&gt;C:\Users\stu\Documents\GitHub\eaglep3-reporting\EC\2016-09-19-refined-times.txt</v>
      </c>
      <c r="AI78" s="134" t="str">
        <f t="shared" si="63"/>
        <v>echo {"issue":{"subject":"Departure test not performed after a TMC reboot","project_id":79,"tracker_id":40,"status_id":1,"priority_id":2,"assigned_to_id":23,"start_date":"2016-09-19","description":"Init attempt made, failed because no departure test was performed. The TMC had recently rebooted, therefore a departure test was necessary","custom_fields":[{"id":1,"name":"Subdivision","value":"EC"},{"id":4,"name":"Milepost","value":"23.2"},{"id":17,"name":"Train ID","value":"166-19"},{"id":16,"name":"Locomotive ID","value":"4045"},{"id":130,"name":"Impact","value":"Initialization Problem"},{"id":150,"name":"Time of Event (Mountain Time)","value":"12:35:31"},{"id":151,"name":"Denver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78" s="55" t="s">
        <v>775</v>
      </c>
      <c r="AK78" s="55" t="s">
        <v>146</v>
      </c>
      <c r="AL78" s="55" t="s">
        <v>156</v>
      </c>
    </row>
    <row r="79" spans="1:38" s="1" customFormat="1" x14ac:dyDescent="0.25">
      <c r="A79" s="39" t="s">
        <v>465</v>
      </c>
      <c r="B79" s="7">
        <v>4042</v>
      </c>
      <c r="C79" s="24" t="s">
        <v>106</v>
      </c>
      <c r="D79" s="24" t="s">
        <v>227</v>
      </c>
      <c r="E79" s="15">
        <v>42632.500428240739</v>
      </c>
      <c r="F79" s="15">
        <v>42632.502233796295</v>
      </c>
      <c r="G79" s="7">
        <v>1</v>
      </c>
      <c r="H79" s="15" t="s">
        <v>630</v>
      </c>
      <c r="I79" s="15">
        <v>42632.533900462964</v>
      </c>
      <c r="J79" s="7">
        <v>0</v>
      </c>
      <c r="K79" s="121" t="str">
        <f t="shared" si="0"/>
        <v>4041/4042</v>
      </c>
      <c r="L79" s="24" t="str">
        <f>VLOOKUP(A79,'Trips&amp;Operators'!$C$1:$E$10000,3,FALSE)</f>
        <v>YOUNG</v>
      </c>
      <c r="M79" s="6">
        <f t="shared" si="1"/>
        <v>3.1666666669480037E-2</v>
      </c>
      <c r="N79" s="7">
        <f t="shared" si="2"/>
        <v>45.600000004051253</v>
      </c>
      <c r="O79" s="7"/>
      <c r="P79" s="7"/>
      <c r="Q79" s="25"/>
      <c r="R79" s="25"/>
      <c r="S79" s="37">
        <f t="shared" si="3"/>
        <v>1</v>
      </c>
      <c r="T79" s="52" t="str">
        <f t="shared" si="4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https://search-rtdc-monitor-bjffxe2xuh6vdkpspy63sjmuny.us-east-1.es.amazonaws.com/_plugin/kibana/#/discover/Steve-Slow-Train-Analysis-(2080s-and-2083s)?_g=(refreshInterval:(display:Off,section:0,value:0),time:(from:'2016-09-19 11:00:37-0600',mode:absolute,to:'2016-09-19 13:48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9" s="54" t="str">
        <f t="shared" si="6"/>
        <v>N</v>
      </c>
      <c r="X79" s="168">
        <f t="shared" si="55"/>
        <v>1</v>
      </c>
      <c r="Y79" s="69">
        <f t="shared" si="8"/>
        <v>4.5499999999999999E-2</v>
      </c>
      <c r="Z79" s="69">
        <f t="shared" si="9"/>
        <v>23.325099999999999</v>
      </c>
      <c r="AA79" s="69">
        <f t="shared" si="10"/>
        <v>23.279599999999999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11"/>
        <v>0167-19</v>
      </c>
      <c r="AE79" s="99" t="str">
        <f t="shared" si="12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79" s="96" t="str">
        <f t="shared" si="13"/>
        <v>"C:\Program Files (x86)\AstroGrep\AstroGrep.exe" /spath="%USERPROFILE%\AppData\Local\Temp\OnboardLogs" /stypes="app*4042*20160919*" /stext=" 18:.+((SYSTEM_STATE.+slice.+state.+changed )|(ment ac)|(system.+state.+changed )|(\|lc)|(penalty)|(\[timeout)|(PRM\|1\|D)|(kpr)|(kdp))" /e /r /s</v>
      </c>
      <c r="AG79" s="1" t="str">
        <f t="shared" si="14"/>
        <v>EC</v>
      </c>
      <c r="AH79" s="100" t="str">
        <f t="shared" si="17"/>
        <v>"%USERPROFILE%\Documents\GitHub\eaglep3\Utilities\RefineRTDCRunTimes.py" --tripid 167-19 --locoid 4042 --swversion DE.1.0.7.0 --startMP 204:455 --initTime 2016-09-19T12:00:37 --startdatetime 2016-09-19T12:03:13 --delay 1 --endMP 204:233251 --enddatetime 2016-09-19T12:48:49 --enforcementcount 0 &gt;&gt;C:\Users\stu\Documents\GitHub\eaglep3-reporting\EC\2016-09-19-refined-times.txt</v>
      </c>
      <c r="AI79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{"issue":{"subject":"","project_id":79,"tracker_id":40,"status_id":1,"priority_id":2,"assigned_to_id":23,"start_date":"2016-09-19","description":"","custom_fields":[{"id":1,"name":"Subdivision","value":"EC"},{"id":4,"name":"Milepost","value":"23.3251"},{"id":17,"name":"Train ID","value":"167-19"},{"id":16,"name":"Locomotive ID","value":"4042"},{"id":130,"name":"Impact","value":""},{"id":150,"name":"Time of Event (Mountain Time)","value":"12:48:49"},{"id":151,"name":"Denver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477</v>
      </c>
      <c r="B80" s="7">
        <v>4041</v>
      </c>
      <c r="C80" s="24" t="s">
        <v>106</v>
      </c>
      <c r="D80" s="24" t="s">
        <v>338</v>
      </c>
      <c r="E80" s="15">
        <v>42632.535543981481</v>
      </c>
      <c r="F80" s="15">
        <v>42632.5391087963</v>
      </c>
      <c r="G80" s="7">
        <v>2</v>
      </c>
      <c r="H80" s="15" t="s">
        <v>304</v>
      </c>
      <c r="I80" s="15">
        <v>42632.567407407405</v>
      </c>
      <c r="J80" s="7">
        <v>0</v>
      </c>
      <c r="K80" s="121" t="str">
        <f t="shared" ref="K80:K143" si="65">IF(ISEVEN(B80),(B80-1)&amp;"/"&amp;B80,B80&amp;"/"&amp;(B80+1))</f>
        <v>4041/4042</v>
      </c>
      <c r="L80" s="24" t="str">
        <f>VLOOKUP(A80,'Trips&amp;Operators'!$C$1:$E$10000,3,FALSE)</f>
        <v>YOUNG</v>
      </c>
      <c r="M80" s="6">
        <f t="shared" ref="M80:M143" si="66">I80-F80</f>
        <v>2.8298611105128657E-2</v>
      </c>
      <c r="N80" s="7">
        <f t="shared" ref="N80:P143" si="67">24*60*SUM($M80:$M80)</f>
        <v>40.749999991385266</v>
      </c>
      <c r="O80" s="7"/>
      <c r="P80" s="7"/>
      <c r="Q80" s="25"/>
      <c r="R80" s="25"/>
      <c r="S80" s="37">
        <f t="shared" ref="S80:S143" si="68">SUM(U80:U80)/IF(AG80="EC",12,1)</f>
        <v>1</v>
      </c>
      <c r="T80" s="52" t="str">
        <f t="shared" ref="T80:T143" si="69">IF(ISEVEN(LEFT(AD80,4)),"Southbound","NorthBound")</f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ref="V80:V143" si="70"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https://search-rtdc-monitor-bjffxe2xuh6vdkpspy63sjmuny.us-east-1.es.amazonaws.com/_plugin/kibana/#/discover/Steve-Slow-Train-Analysis-(2080s-and-2083s)?_g=(refreshInterval:(display:Off,section:0,value:0),time:(from:'2016-09-19 11:51:11-0600',mode:absolute,to:'2016-09-19 14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0" s="54" t="str">
        <f t="shared" ref="W80:W143" si="71">IF(AA80&lt;IF(AG80="EC",23,5.65),"Y","N")</f>
        <v>N</v>
      </c>
      <c r="X80" s="168">
        <f t="shared" si="55"/>
        <v>1</v>
      </c>
      <c r="Y80" s="69">
        <f t="shared" ref="Y80:Y143" si="72">RIGHT(D80,LEN(D80)-4)/10000</f>
        <v>23.292999999999999</v>
      </c>
      <c r="Z80" s="69">
        <f t="shared" ref="Z80:Z143" si="73">RIGHT(H80,LEN(H80)-4)/10000</f>
        <v>1.67E-2</v>
      </c>
      <c r="AA80" s="69">
        <f t="shared" ref="AA80:AA143" si="74">ABS(Z80-Y80)</f>
        <v>23.276299999999999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ref="AD80:AD143" si="75">IF(LEN(A80)=6,"0"&amp;A80,A80)</f>
        <v>0168-19</v>
      </c>
      <c r="AE80" s="99" t="str">
        <f t="shared" ref="AE80:AE143" si="76"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80" s="96" t="str">
        <f t="shared" ref="AF80:AF143" si="77"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/stypes="app*4041*20160919*" /stext=" 19:.+((SYSTEM_STATE.+slice.+state.+changed )|(ment ac)|(system.+state.+changed )|(\|lc)|(penalty)|(\[timeout)|(PRM\|1\|D)|(kpr)|(kdp))" /e /r /s</v>
      </c>
      <c r="AG80" s="1" t="str">
        <f t="shared" ref="AG80:AG143" si="78">IFERROR(IF(VALUE(LEFT(AD80,2))&lt;=2,"EC",IF(OR(VALUE(LEFT(AD80,2))=8,VALUE(LEFT(AD80,2))=18),"NW","Other")),"Other")</f>
        <v>EC</v>
      </c>
      <c r="AH80" s="100" t="str">
        <f t="shared" si="17"/>
        <v>"%USERPROFILE%\Documents\GitHub\eaglep3\Utilities\RefineRTDCRunTimes.py" --tripid 168-19 --locoid 4041 --swversion DE.1.0.7.0 --startMP 204:232930 --initTime 2016-09-19T12:51:11 --startdatetime 2016-09-19T12:56:19 --delay 2 --endMP 204:167 --enddatetime 2016-09-19T13:37:04 --enforcementcount 0 &gt;&gt;C:\Users\stu\Documents\GitHub\eaglep3-reporting\EC\2016-09-19-refined-times.txt</v>
      </c>
      <c r="AI80" s="134" t="str">
        <f t="shared" si="18"/>
        <v>echo {"issue":{"subject":"","project_id":79,"tracker_id":40,"status_id":1,"priority_id":2,"assigned_to_id":23,"start_date":"2016-09-19","description":"","custom_fields":[{"id":1,"name":"Subdivision","value":"EC"},{"id":4,"name":"Milepost","value":"0.0167"},{"id":17,"name":"Train ID","value":"168-19"},{"id":16,"name":"Locomotive ID","value":"4041"},{"id":130,"name":"Impact","value":""},{"id":150,"name":"Time of Event (Mountain Time)","value":"13:37:04"},{"id":151,"name":"Denver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469</v>
      </c>
      <c r="B81" s="7">
        <v>4011</v>
      </c>
      <c r="C81" s="24" t="s">
        <v>106</v>
      </c>
      <c r="D81" s="24" t="s">
        <v>227</v>
      </c>
      <c r="E81" s="15">
        <v>42632.510138888887</v>
      </c>
      <c r="F81" s="15">
        <v>42632.512812499997</v>
      </c>
      <c r="G81" s="7">
        <v>1</v>
      </c>
      <c r="H81" s="15" t="s">
        <v>630</v>
      </c>
      <c r="I81" s="15">
        <v>42632.543842592589</v>
      </c>
      <c r="J81" s="7">
        <v>0</v>
      </c>
      <c r="K81" s="121" t="str">
        <f t="shared" si="65"/>
        <v>4011/4012</v>
      </c>
      <c r="L81" s="24" t="str">
        <f>VLOOKUP(A81,'Trips&amp;Operators'!$C$1:$E$10000,3,FALSE)</f>
        <v>DELGADO</v>
      </c>
      <c r="M81" s="6">
        <f t="shared" si="66"/>
        <v>3.1030092592118308E-2</v>
      </c>
      <c r="N81" s="7">
        <f t="shared" si="67"/>
        <v>44.683333332650363</v>
      </c>
      <c r="O81" s="7"/>
      <c r="P81" s="7"/>
      <c r="Q81" s="25"/>
      <c r="R81" s="25"/>
      <c r="S81" s="37">
        <f t="shared" si="68"/>
        <v>1</v>
      </c>
      <c r="T81" s="52" t="str">
        <f t="shared" si="69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11:14:36-0600',mode:absolute,to:'2016-09-19 14:03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1" s="54" t="str">
        <f t="shared" si="71"/>
        <v>N</v>
      </c>
      <c r="X81" s="168">
        <f t="shared" si="55"/>
        <v>1</v>
      </c>
      <c r="Y81" s="69">
        <f t="shared" si="72"/>
        <v>4.5499999999999999E-2</v>
      </c>
      <c r="Z81" s="69">
        <f t="shared" si="73"/>
        <v>23.325099999999999</v>
      </c>
      <c r="AA81" s="69">
        <f t="shared" si="74"/>
        <v>23.279599999999999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75"/>
        <v>0169-19</v>
      </c>
      <c r="AE81" s="99" t="str">
        <f t="shared" si="76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81" s="96" t="str">
        <f t="shared" si="77"/>
        <v>"C:\Program Files (x86)\AstroGrep\AstroGrep.exe" /spath="%USERPROFILE%\AppData\Local\Temp\OnboardLogs" /stypes="app*4011*20160919*" /stext=" 19:.+((SYSTEM_STATE.+slice.+state.+changed )|(ment ac)|(system.+state.+changed )|(\|lc)|(penalty)|(\[timeout)|(PRM\|1\|D)|(kpr)|(kdp))" /e /r /s</v>
      </c>
      <c r="AG81" s="1" t="str">
        <f t="shared" si="78"/>
        <v>EC</v>
      </c>
      <c r="AH81" s="100" t="str">
        <f t="shared" ref="AH81:AH144" si="79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169-19 --locoid 4011 --swversion DE.1.0.7.0 --startMP 204:455 --initTime 2016-09-19T12:14:36 --startdatetime 2016-09-19T12:18:27 --delay 1 --endMP 204:233251 --enddatetime 2016-09-19T13:03:08 --enforcementcount 0 &gt;&gt;C:\Users\stu\Documents\GitHub\eaglep3-reporting\EC\2016-09-19-refined-times.txt</v>
      </c>
      <c r="AI81" s="134" t="str">
        <f t="shared" ref="AI81:AI144" si="80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{"issue":{"subject":"","project_id":79,"tracker_id":40,"status_id":1,"priority_id":2,"assigned_to_id":23,"start_date":"2016-09-19","description":"","custom_fields":[{"id":1,"name":"Subdivision","value":"EC"},{"id":4,"name":"Milepost","value":"23.3251"},{"id":17,"name":"Train ID","value":"169-19"},{"id":16,"name":"Locomotive ID","value":"4011"},{"id":130,"name":"Impact","value":""},{"id":150,"name":"Time of Event (Mountain Time)","value":"13:03:08"},{"id":151,"name":"Denver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480</v>
      </c>
      <c r="B82" s="7">
        <v>4012</v>
      </c>
      <c r="C82" s="24" t="s">
        <v>106</v>
      </c>
      <c r="D82" s="24" t="s">
        <v>338</v>
      </c>
      <c r="E82" s="15">
        <v>42632.5468287037</v>
      </c>
      <c r="F82" s="15">
        <v>42632.549733796295</v>
      </c>
      <c r="G82" s="7">
        <v>1</v>
      </c>
      <c r="H82" s="15" t="s">
        <v>230</v>
      </c>
      <c r="I82" s="15">
        <v>42632.579363425924</v>
      </c>
      <c r="J82" s="7">
        <v>0</v>
      </c>
      <c r="K82" s="121" t="str">
        <f t="shared" si="65"/>
        <v>4011/4012</v>
      </c>
      <c r="L82" s="24" t="str">
        <f>VLOOKUP(A82,'Trips&amp;Operators'!$C$1:$E$10000,3,FALSE)</f>
        <v>DELGADO</v>
      </c>
      <c r="M82" s="6">
        <f t="shared" si="66"/>
        <v>2.9629629629198462E-2</v>
      </c>
      <c r="N82" s="7">
        <f t="shared" si="67"/>
        <v>42.666666666045785</v>
      </c>
      <c r="O82" s="7"/>
      <c r="P82" s="7"/>
      <c r="Q82" s="25"/>
      <c r="R82" s="25"/>
      <c r="S82" s="37">
        <f t="shared" si="68"/>
        <v>1</v>
      </c>
      <c r="T82" s="52" t="str">
        <f t="shared" si="69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12:07:26-0600',mode:absolute,to:'2016-09-19 14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2" s="54" t="str">
        <f t="shared" si="71"/>
        <v>N</v>
      </c>
      <c r="X82" s="168">
        <f t="shared" ref="X82:X143" si="81">VALUE(LEFT(AD82,4))-VALUE(LEFT(AD81,4))</f>
        <v>1</v>
      </c>
      <c r="Y82" s="69">
        <f t="shared" si="72"/>
        <v>23.292999999999999</v>
      </c>
      <c r="Z82" s="69">
        <f t="shared" si="73"/>
        <v>1.3899999999999999E-2</v>
      </c>
      <c r="AA82" s="69">
        <f t="shared" si="74"/>
        <v>23.2791</v>
      </c>
      <c r="AB82" s="66" t="str">
        <f>VLOOKUP(A82,Enforcements!$C$7:$K$20,8,0)</f>
        <v>Speed (6)</v>
      </c>
      <c r="AC82" s="62" t="str">
        <f>VLOOKUP(A82,Enforcements!$C$7:$E$20,3,0)</f>
        <v>PERMANENT SPEED RESTRICTION</v>
      </c>
      <c r="AD82" s="63" t="str">
        <f t="shared" si="75"/>
        <v>0170-19</v>
      </c>
      <c r="AE82" s="99" t="str">
        <f t="shared" si="76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82" s="96" t="str">
        <f t="shared" si="77"/>
        <v>"C:\Program Files (x86)\AstroGrep\AstroGrep.exe" /spath="%USERPROFILE%\AppData\Local\Temp\OnboardLogs" /stypes="app*4012*20160919*" /stext=" 19:.+((SYSTEM_STATE.+slice.+state.+changed )|(ment ac)|(system.+state.+changed )|(\|lc)|(penalty)|(\[timeout)|(PRM\|1\|D)|(kpr)|(kdp))" /e /r /s</v>
      </c>
      <c r="AG82" s="1" t="str">
        <f t="shared" si="78"/>
        <v>EC</v>
      </c>
      <c r="AH82" s="100" t="str">
        <f t="shared" si="79"/>
        <v>"%USERPROFILE%\Documents\GitHub\eaglep3\Utilities\RefineRTDCRunTimes.py" --tripid 170-19 --locoid 4012 --swversion DE.1.0.7.0 --startMP 204:232930 --initTime 2016-09-19T13:07:26 --startdatetime 2016-09-19T13:11:37 --delay 1 --endMP 204:139 --enddatetime 2016-09-19T13:54:17 --enforcementcount 0 &gt;&gt;C:\Users\stu\Documents\GitHub\eaglep3-reporting\EC\2016-09-19-refined-times.txt</v>
      </c>
      <c r="AI8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{"issue":{"subject":"","project_id":79,"tracker_id":40,"status_id":1,"priority_id":2,"assigned_to_id":23,"start_date":"2016-09-19","description":"","custom_fields":[{"id":1,"name":"Subdivision","value":"EC"},{"id":4,"name":"Milepost","value":"0.0139"},{"id":17,"name":"Train ID","value":"170-19"},{"id":16,"name":"Locomotive ID","value":"4012"},{"id":130,"name":"Impact","value":""},{"id":150,"name":"Time of Event (Mountain Time)","value":"13:54:17"},{"id":151,"name":"Denver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473</v>
      </c>
      <c r="B83" s="7">
        <v>4007</v>
      </c>
      <c r="C83" s="24" t="s">
        <v>106</v>
      </c>
      <c r="D83" s="24" t="s">
        <v>631</v>
      </c>
      <c r="E83" s="15">
        <v>42632.526331018518</v>
      </c>
      <c r="F83" s="15">
        <v>42632.527418981481</v>
      </c>
      <c r="G83" s="7">
        <v>1</v>
      </c>
      <c r="H83" s="15" t="s">
        <v>266</v>
      </c>
      <c r="I83" s="15">
        <v>42632.553993055553</v>
      </c>
      <c r="J83" s="7">
        <v>0</v>
      </c>
      <c r="K83" s="121" t="str">
        <f t="shared" si="65"/>
        <v>4007/4008</v>
      </c>
      <c r="L83" s="24" t="str">
        <f>VLOOKUP(A83,'Trips&amp;Operators'!$C$1:$E$10000,3,FALSE)</f>
        <v>ISHMAEL</v>
      </c>
      <c r="M83" s="6">
        <f t="shared" si="66"/>
        <v>2.6574074072414078E-2</v>
      </c>
      <c r="N83" s="7"/>
      <c r="O83" s="7"/>
      <c r="P83" s="7">
        <f t="shared" si="67"/>
        <v>38.266666664276272</v>
      </c>
      <c r="Q83" s="25"/>
      <c r="R83" s="25" t="s">
        <v>755</v>
      </c>
      <c r="S83" s="37">
        <f t="shared" si="68"/>
        <v>1</v>
      </c>
      <c r="T83" s="52" t="str">
        <f t="shared" si="69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11:37:55-0600',mode:absolute,to:'2016-09-19 14:17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83" s="54" t="str">
        <f t="shared" si="71"/>
        <v>Y</v>
      </c>
      <c r="X83" s="168">
        <f t="shared" si="81"/>
        <v>1</v>
      </c>
      <c r="Y83" s="69">
        <f t="shared" si="72"/>
        <v>1.9139999999999999</v>
      </c>
      <c r="Z83" s="69">
        <f t="shared" si="73"/>
        <v>23.327400000000001</v>
      </c>
      <c r="AA83" s="69">
        <f t="shared" si="74"/>
        <v>21.413399999999999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75"/>
        <v>0171-19</v>
      </c>
      <c r="AE83" s="99" t="str">
        <f t="shared" si="76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83" s="96" t="str">
        <f t="shared" si="77"/>
        <v>"C:\Program Files (x86)\AstroGrep\AstroGrep.exe" /spath="%USERPROFILE%\AppData\Local\Temp\OnboardLogs" /stypes="app*4007*20160919*" /stext=" 19:.+((SYSTEM_STATE.+slice.+state.+changed )|(ment ac)|(system.+state.+changed )|(\|lc)|(penalty)|(\[timeout)|(PRM\|1\|D)|(kpr)|(kdp))" /e /r /s</v>
      </c>
      <c r="AG83" s="1" t="str">
        <f t="shared" si="78"/>
        <v>EC</v>
      </c>
      <c r="AH83" s="100" t="str">
        <f t="shared" si="79"/>
        <v>"%USERPROFILE%\Documents\GitHub\eaglep3\Utilities\RefineRTDCRunTimes.py" --tripid 171-19 --locoid 4007 --swversion DE.1.0.7.0 --startMP 204:19140 --initTime 2016-09-19T12:37:55 --startdatetime 2016-09-19T12:39:29 --delay 1 --endMP 204:233274 --enddatetime 2016-09-19T13:17:45 --enforcementcount 0 &gt;&gt;C:\Users\stu\Documents\GitHub\eaglep3-reporting\EC\2016-09-19-refined-times.txt</v>
      </c>
      <c r="AI83" s="134" t="str">
        <f t="shared" si="80"/>
        <v>echo {"issue":{"subject":"Dispatcher error prevented init at DUS, init'd at 38th","project_id":79,"tracker_id":40,"status_id":1,"priority_id":2,"assigned_to_id":23,"start_date":"2016-09-19","description":"First few 1001s received were blank. After several attempts, the trip ID was available. This only happens in the event of dispatcher error (linking up wrong equipment/crew)","custom_fields":[{"id":1,"name":"Subdivision","value":"EC"},{"id":4,"name":"Milepost","value":"23.3274"},{"id":17,"name":"Train ID","value":"171-19"},{"id":16,"name":"Locomotive ID","value":"4007"},{"id":130,"name":"Impact","value":"Initialization Problem"},{"id":150,"name":"Time of Event (Mountain Time)","value":"13:17:45"},{"id":151,"name":"Denver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83" s="55" t="s">
        <v>756</v>
      </c>
      <c r="AK83" s="55" t="s">
        <v>146</v>
      </c>
      <c r="AL83" s="55" t="s">
        <v>156</v>
      </c>
    </row>
    <row r="84" spans="1:38" s="1" customFormat="1" x14ac:dyDescent="0.25">
      <c r="A84" s="39" t="s">
        <v>482</v>
      </c>
      <c r="B84" s="7">
        <v>4008</v>
      </c>
      <c r="C84" s="24" t="s">
        <v>106</v>
      </c>
      <c r="D84" s="24" t="s">
        <v>632</v>
      </c>
      <c r="E84" s="15">
        <v>42632.555208333331</v>
      </c>
      <c r="F84" s="15">
        <v>42632.559907407405</v>
      </c>
      <c r="G84" s="7">
        <v>1</v>
      </c>
      <c r="H84" s="15" t="s">
        <v>222</v>
      </c>
      <c r="I84" s="15">
        <v>42632.586875000001</v>
      </c>
      <c r="J84" s="7">
        <v>0</v>
      </c>
      <c r="K84" s="121" t="str">
        <f t="shared" si="65"/>
        <v>4007/4008</v>
      </c>
      <c r="L84" s="24" t="str">
        <f>VLOOKUP(A84,'Trips&amp;Operators'!$C$1:$E$10000,3,FALSE)</f>
        <v>ISHMAEL</v>
      </c>
      <c r="M84" s="6">
        <f t="shared" si="66"/>
        <v>2.6967592595610768E-2</v>
      </c>
      <c r="N84" s="7">
        <f t="shared" si="67"/>
        <v>38.833333337679505</v>
      </c>
      <c r="O84" s="7"/>
      <c r="P84" s="7"/>
      <c r="Q84" s="25"/>
      <c r="R84" s="25"/>
      <c r="S84" s="37">
        <f t="shared" si="68"/>
        <v>1</v>
      </c>
      <c r="T84" s="52" t="str">
        <f t="shared" si="69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12:19:30-0600',mode:absolute,to:'2016-09-19 15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84" s="54" t="str">
        <f t="shared" si="71"/>
        <v>N</v>
      </c>
      <c r="X84" s="168">
        <f t="shared" si="81"/>
        <v>1</v>
      </c>
      <c r="Y84" s="69">
        <f t="shared" si="72"/>
        <v>23.295999999999999</v>
      </c>
      <c r="Z84" s="69">
        <f t="shared" si="73"/>
        <v>1.52E-2</v>
      </c>
      <c r="AA84" s="69">
        <f t="shared" si="74"/>
        <v>23.280799999999999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75"/>
        <v>0172-19</v>
      </c>
      <c r="AE84" s="99" t="str">
        <f t="shared" si="76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84" s="96" t="str">
        <f t="shared" si="77"/>
        <v>"C:\Program Files (x86)\AstroGrep\AstroGrep.exe" /spath="%USERPROFILE%\AppData\Local\Temp\OnboardLogs" /stypes="app*4008*20160919*" /stext=" 20:.+((SYSTEM_STATE.+slice.+state.+changed )|(ment ac)|(system.+state.+changed )|(\|lc)|(penalty)|(\[timeout)|(PRM\|1\|D)|(kpr)|(kdp))" /e /r /s</v>
      </c>
      <c r="AG84" s="1" t="str">
        <f t="shared" si="78"/>
        <v>EC</v>
      </c>
      <c r="AH84" s="100" t="str">
        <f t="shared" si="79"/>
        <v>"%USERPROFILE%\Documents\GitHub\eaglep3\Utilities\RefineRTDCRunTimes.py" --tripid 172-19 --locoid 4008 --swversion DE.1.0.7.0 --startMP 204:232960 --initTime 2016-09-19T13:19:30 --startdatetime 2016-09-19T13:26:16 --delay 1 --endMP 204:152 --enddatetime 2016-09-19T14:05:06 --enforcementcount 0 &gt;&gt;C:\Users\stu\Documents\GitHub\eaglep3-reporting\EC\2016-09-19-refined-times.txt</v>
      </c>
      <c r="AI8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{"issue":{"subject":"","project_id":79,"tracker_id":40,"status_id":1,"priority_id":2,"assigned_to_id":23,"start_date":"2016-09-19","description":"","custom_fields":[{"id":1,"name":"Subdivision","value":"EC"},{"id":4,"name":"Milepost","value":"0.0152"},{"id":17,"name":"Train ID","value":"172-19"},{"id":16,"name":"Locomotive ID","value":"4008"},{"id":130,"name":"Impact","value":""},{"id":150,"name":"Time of Event (Mountain Time)","value":"14:05:06"},{"id":151,"name":"Denver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476</v>
      </c>
      <c r="B85" s="7">
        <v>4025</v>
      </c>
      <c r="C85" s="24" t="s">
        <v>106</v>
      </c>
      <c r="D85" s="24" t="s">
        <v>233</v>
      </c>
      <c r="E85" s="15">
        <v>42632.526736111111</v>
      </c>
      <c r="F85" s="15">
        <v>42632.531527777777</v>
      </c>
      <c r="G85" s="7">
        <v>2</v>
      </c>
      <c r="H85" s="15" t="s">
        <v>328</v>
      </c>
      <c r="I85" s="15">
        <v>42632.558159722219</v>
      </c>
      <c r="J85" s="7">
        <v>0</v>
      </c>
      <c r="K85" s="121" t="str">
        <f t="shared" si="65"/>
        <v>4025/4026</v>
      </c>
      <c r="L85" s="24" t="str">
        <f>VLOOKUP(A85,'Trips&amp;Operators'!$C$1:$E$10000,3,FALSE)</f>
        <v>STEWART</v>
      </c>
      <c r="M85" s="6">
        <f t="shared" si="66"/>
        <v>2.6631944441760425E-2</v>
      </c>
      <c r="N85" s="7">
        <f t="shared" si="67"/>
        <v>38.349999996135011</v>
      </c>
      <c r="O85" s="7"/>
      <c r="P85" s="7"/>
      <c r="Q85" s="25"/>
      <c r="R85" s="25"/>
      <c r="S85" s="37">
        <f t="shared" si="68"/>
        <v>1</v>
      </c>
      <c r="T85" s="52" t="str">
        <f t="shared" si="69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11:38:30-0600',mode:absolute,to:'2016-09-19 14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5" s="54" t="str">
        <f t="shared" si="71"/>
        <v>N</v>
      </c>
      <c r="X85" s="168">
        <f t="shared" si="81"/>
        <v>1</v>
      </c>
      <c r="Y85" s="69">
        <f t="shared" si="72"/>
        <v>4.6699999999999998E-2</v>
      </c>
      <c r="Z85" s="69">
        <f t="shared" si="73"/>
        <v>23.331399999999999</v>
      </c>
      <c r="AA85" s="69">
        <f t="shared" si="74"/>
        <v>23.284699999999997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75"/>
        <v>0173-19</v>
      </c>
      <c r="AE85" s="99" t="str">
        <f t="shared" si="76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85" s="96" t="str">
        <f t="shared" si="77"/>
        <v>"C:\Program Files (x86)\AstroGrep\AstroGrep.exe" /spath="%USERPROFILE%\AppData\Local\Temp\OnboardLogs" /stypes="app*4025*20160919*" /stext=" 19:.+((SYSTEM_STATE.+slice.+state.+changed )|(ment ac)|(system.+state.+changed )|(\|lc)|(penalty)|(\[timeout)|(PRM\|1\|D)|(kpr)|(kdp))" /e /r /s</v>
      </c>
      <c r="AG85" s="1" t="str">
        <f t="shared" si="78"/>
        <v>EC</v>
      </c>
      <c r="AH85" s="100" t="str">
        <f t="shared" si="79"/>
        <v>"%USERPROFILE%\Documents\GitHub\eaglep3\Utilities\RefineRTDCRunTimes.py" --tripid 173-19 --locoid 4025 --swversion DE.1.0.7.0 --startMP 204:467 --initTime 2016-09-19T12:38:30 --startdatetime 2016-09-19T12:45:24 --delay 2 --endMP 204:233314 --enddatetime 2016-09-19T13:23:45 --enforcementcount 0 &gt;&gt;C:\Users\stu\Documents\GitHub\eaglep3-reporting\EC\2016-09-19-refined-times.txt</v>
      </c>
      <c r="AI85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{"issue":{"subject":"","project_id":79,"tracker_id":40,"status_id":1,"priority_id":2,"assigned_to_id":23,"start_date":"2016-09-19","description":"","custom_fields":[{"id":1,"name":"Subdivision","value":"EC"},{"id":4,"name":"Milepost","value":"23.3314"},{"id":17,"name":"Train ID","value":"173-19"},{"id":16,"name":"Locomotive ID","value":"4025"},{"id":130,"name":"Impact","value":""},{"id":150,"name":"Time of Event (Mountain Time)","value":"13:23:45"},{"id":151,"name":"Denver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486</v>
      </c>
      <c r="B86" s="7">
        <v>4026</v>
      </c>
      <c r="C86" s="24" t="s">
        <v>106</v>
      </c>
      <c r="D86" s="24" t="s">
        <v>633</v>
      </c>
      <c r="E86" s="15">
        <v>42632.566990740743</v>
      </c>
      <c r="F86" s="15">
        <v>42632.570381944446</v>
      </c>
      <c r="G86" s="7">
        <v>2</v>
      </c>
      <c r="H86" s="15" t="s">
        <v>303</v>
      </c>
      <c r="I86" s="15">
        <v>42632.598749999997</v>
      </c>
      <c r="J86" s="7">
        <v>0</v>
      </c>
      <c r="K86" s="121" t="str">
        <f t="shared" si="65"/>
        <v>4025/4026</v>
      </c>
      <c r="L86" s="24" t="str">
        <f>VLOOKUP(A86,'Trips&amp;Operators'!$C$1:$E$10000,3,FALSE)</f>
        <v>STEWART</v>
      </c>
      <c r="M86" s="6">
        <f t="shared" si="66"/>
        <v>2.8368055551254656E-2</v>
      </c>
      <c r="N86" s="7">
        <f t="shared" si="67"/>
        <v>40.849999993806705</v>
      </c>
      <c r="O86" s="7"/>
      <c r="P86" s="7"/>
      <c r="Q86" s="25"/>
      <c r="R86" s="25"/>
      <c r="S86" s="37">
        <f t="shared" si="68"/>
        <v>1</v>
      </c>
      <c r="T86" s="52" t="str">
        <f t="shared" si="69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12:36:28-0600',mode:absolute,to:'2016-09-19 15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6" s="54" t="str">
        <f t="shared" si="71"/>
        <v>N</v>
      </c>
      <c r="X86" s="168">
        <f t="shared" si="81"/>
        <v>1</v>
      </c>
      <c r="Y86" s="69">
        <f t="shared" si="72"/>
        <v>23.2986</v>
      </c>
      <c r="Z86" s="69">
        <f t="shared" si="73"/>
        <v>1.6500000000000001E-2</v>
      </c>
      <c r="AA86" s="69">
        <f t="shared" si="74"/>
        <v>23.2821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75"/>
        <v>0174-19</v>
      </c>
      <c r="AE86" s="99" t="str">
        <f t="shared" si="76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86" s="96" t="str">
        <f t="shared" si="77"/>
        <v>"C:\Program Files (x86)\AstroGrep\AstroGrep.exe" /spath="%USERPROFILE%\AppData\Local\Temp\OnboardLogs" /stypes="app*4026*20160919*" /stext=" 20:.+((SYSTEM_STATE.+slice.+state.+changed )|(ment ac)|(system.+state.+changed )|(\|lc)|(penalty)|(\[timeout)|(PRM\|1\|D)|(kpr)|(kdp))" /e /r /s</v>
      </c>
      <c r="AG86" s="1" t="str">
        <f t="shared" si="78"/>
        <v>EC</v>
      </c>
      <c r="AH86" s="100" t="str">
        <f t="shared" si="79"/>
        <v>"%USERPROFILE%\Documents\GitHub\eaglep3\Utilities\RefineRTDCRunTimes.py" --tripid 174-19 --locoid 4026 --swversion DE.1.0.7.0 --startMP 204:232986 --initTime 2016-09-19T13:36:28 --startdatetime 2016-09-19T13:41:21 --delay 2 --endMP 204:165 --enddatetime 2016-09-19T14:22:12 --enforcementcount 0 &gt;&gt;C:\Users\stu\Documents\GitHub\eaglep3-reporting\EC\2016-09-19-refined-times.txt</v>
      </c>
      <c r="AI86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{"issue":{"subject":"","project_id":79,"tracker_id":40,"status_id":1,"priority_id":2,"assigned_to_id":23,"start_date":"2016-09-19","description":"","custom_fields":[{"id":1,"name":"Subdivision","value":"EC"},{"id":4,"name":"Milepost","value":"0.0165"},{"id":17,"name":"Train ID","value":"174-19"},{"id":16,"name":"Locomotive ID","value":"4026"},{"id":130,"name":"Impact","value":""},{"id":150,"name":"Time of Event (Mountain Time)","value":"14:22:12"},{"id":151,"name":"Denver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478</v>
      </c>
      <c r="B87" s="7">
        <v>4053</v>
      </c>
      <c r="C87" s="24" t="s">
        <v>106</v>
      </c>
      <c r="D87" s="24" t="s">
        <v>225</v>
      </c>
      <c r="E87" s="15">
        <v>42632.537604166668</v>
      </c>
      <c r="F87" s="15">
        <v>42632.542060185187</v>
      </c>
      <c r="G87" s="7">
        <v>1</v>
      </c>
      <c r="H87" s="15" t="s">
        <v>630</v>
      </c>
      <c r="I87" s="15">
        <v>42632.567557870374</v>
      </c>
      <c r="J87" s="7">
        <v>0</v>
      </c>
      <c r="K87" s="121" t="str">
        <f t="shared" si="65"/>
        <v>4053/4054</v>
      </c>
      <c r="L87" s="24" t="str">
        <f>VLOOKUP(A87,'Trips&amp;Operators'!$C$1:$E$10000,3,FALSE)</f>
        <v>BARTLETT</v>
      </c>
      <c r="M87" s="6">
        <f t="shared" si="66"/>
        <v>2.5497685186564922E-2</v>
      </c>
      <c r="N87" s="7">
        <f t="shared" si="67"/>
        <v>36.716666668653488</v>
      </c>
      <c r="O87" s="7"/>
      <c r="P87" s="7"/>
      <c r="Q87" s="25"/>
      <c r="R87" s="25"/>
      <c r="S87" s="37">
        <f t="shared" si="68"/>
        <v>1</v>
      </c>
      <c r="T87" s="52" t="str">
        <f t="shared" si="69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11:54:09-0600',mode:absolute,to:'2016-09-19 14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7" s="54" t="str">
        <f t="shared" si="71"/>
        <v>N</v>
      </c>
      <c r="X87" s="168">
        <f t="shared" si="81"/>
        <v>1</v>
      </c>
      <c r="Y87" s="69">
        <f t="shared" si="72"/>
        <v>4.6600000000000003E-2</v>
      </c>
      <c r="Z87" s="69">
        <f t="shared" si="73"/>
        <v>23.325099999999999</v>
      </c>
      <c r="AA87" s="69">
        <f t="shared" si="74"/>
        <v>23.278499999999998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75"/>
        <v>0175-19</v>
      </c>
      <c r="AE87" s="99" t="str">
        <f t="shared" si="76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87" s="96" t="str">
        <f t="shared" si="77"/>
        <v>"C:\Program Files (x86)\AstroGrep\AstroGrep.exe" /spath="%USERPROFILE%\AppData\Local\Temp\OnboardLogs" /stypes="app*4053*20160919*" /stext=" 19:.+((SYSTEM_STATE.+slice.+state.+changed )|(ment ac)|(system.+state.+changed )|(\|lc)|(penalty)|(\[timeout)|(PRM\|1\|D)|(kpr)|(kdp))" /e /r /s</v>
      </c>
      <c r="AG87" s="1" t="str">
        <f t="shared" si="78"/>
        <v>EC</v>
      </c>
      <c r="AH87" s="100" t="str">
        <f t="shared" si="79"/>
        <v>"%USERPROFILE%\Documents\GitHub\eaglep3\Utilities\RefineRTDCRunTimes.py" --tripid 175-19 --locoid 4053 --swversion DE.1.0.7.0 --startMP 204:466 --initTime 2016-09-19T12:54:09 --startdatetime 2016-09-19T13:00:34 --delay 1 --endMP 204:233251 --enddatetime 2016-09-19T13:37:17 --enforcementcount 0 &gt;&gt;C:\Users\stu\Documents\GitHub\eaglep3-reporting\EC\2016-09-19-refined-times.txt</v>
      </c>
      <c r="AI87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{"issue":{"subject":"","project_id":79,"tracker_id":40,"status_id":1,"priority_id":2,"assigned_to_id":23,"start_date":"2016-09-19","description":"","custom_fields":[{"id":1,"name":"Subdivision","value":"EC"},{"id":4,"name":"Milepost","value":"23.3251"},{"id":17,"name":"Train ID","value":"175-19"},{"id":16,"name":"Locomotive ID","value":"4053"},{"id":130,"name":"Impact","value":""},{"id":150,"name":"Time of Event (Mountain Time)","value":"13:37:17"},{"id":151,"name":"Denver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488</v>
      </c>
      <c r="B88" s="7">
        <v>4054</v>
      </c>
      <c r="C88" s="24" t="s">
        <v>106</v>
      </c>
      <c r="D88" s="24" t="s">
        <v>298</v>
      </c>
      <c r="E88" s="15">
        <v>42632.57</v>
      </c>
      <c r="F88" s="15">
        <v>42632.58090277778</v>
      </c>
      <c r="G88" s="7">
        <v>1</v>
      </c>
      <c r="H88" s="15" t="s">
        <v>248</v>
      </c>
      <c r="I88" s="15">
        <v>42632.608888888892</v>
      </c>
      <c r="J88" s="7">
        <v>0</v>
      </c>
      <c r="K88" s="121" t="str">
        <f t="shared" si="65"/>
        <v>4053/4054</v>
      </c>
      <c r="L88" s="24" t="str">
        <f>VLOOKUP(A88,'Trips&amp;Operators'!$C$1:$E$10000,3,FALSE)</f>
        <v>BARTLETT</v>
      </c>
      <c r="M88" s="6">
        <f t="shared" si="66"/>
        <v>2.7986111112113576E-2</v>
      </c>
      <c r="N88" s="7">
        <f t="shared" si="67"/>
        <v>40.30000000144355</v>
      </c>
      <c r="O88" s="7"/>
      <c r="P88" s="7"/>
      <c r="Q88" s="25"/>
      <c r="R88" s="25"/>
      <c r="S88" s="37">
        <f t="shared" si="68"/>
        <v>1</v>
      </c>
      <c r="T88" s="52" t="str">
        <f t="shared" si="69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12:40:48-0600',mode:absolute,to:'2016-09-19 15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8" s="54" t="str">
        <f t="shared" si="71"/>
        <v>N</v>
      </c>
      <c r="X88" s="168">
        <f t="shared" si="81"/>
        <v>1</v>
      </c>
      <c r="Y88" s="69">
        <f t="shared" si="72"/>
        <v>23.2943</v>
      </c>
      <c r="Z88" s="69">
        <f t="shared" si="73"/>
        <v>1.43E-2</v>
      </c>
      <c r="AA88" s="69">
        <f t="shared" si="74"/>
        <v>23.28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75"/>
        <v>0176-19</v>
      </c>
      <c r="AE88" s="99" t="str">
        <f t="shared" si="76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88" s="96" t="str">
        <f t="shared" si="77"/>
        <v>"C:\Program Files (x86)\AstroGrep\AstroGrep.exe" /spath="%USERPROFILE%\AppData\Local\Temp\OnboardLogs" /stypes="app*4054*20160919*" /stext=" 20:.+((SYSTEM_STATE.+slice.+state.+changed )|(ment ac)|(system.+state.+changed )|(\|lc)|(penalty)|(\[timeout)|(PRM\|1\|D)|(kpr)|(kdp))" /e /r /s</v>
      </c>
      <c r="AG88" s="1" t="str">
        <f t="shared" si="78"/>
        <v>EC</v>
      </c>
      <c r="AH88" s="100" t="str">
        <f t="shared" si="79"/>
        <v>"%USERPROFILE%\Documents\GitHub\eaglep3\Utilities\RefineRTDCRunTimes.py" --tripid 176-19 --locoid 4054 --swversion DE.1.0.7.0 --startMP 204:232943 --initTime 2016-09-19T13:40:48 --startdatetime 2016-09-19T13:56:30 --delay 1 --endMP 204:143 --enddatetime 2016-09-19T14:36:48 --enforcementcount 0 &gt;&gt;C:\Users\stu\Documents\GitHub\eaglep3-reporting\EC\2016-09-19-refined-times.txt</v>
      </c>
      <c r="AI88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{"issue":{"subject":"","project_id":79,"tracker_id":40,"status_id":1,"priority_id":2,"assigned_to_id":23,"start_date":"2016-09-19","description":"","custom_fields":[{"id":1,"name":"Subdivision","value":"EC"},{"id":4,"name":"Milepost","value":"0.0143"},{"id":17,"name":"Train ID","value":"176-19"},{"id":16,"name":"Locomotive ID","value":"4054"},{"id":130,"name":"Impact","value":""},{"id":150,"name":"Time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479</v>
      </c>
      <c r="B89" s="7">
        <v>4002</v>
      </c>
      <c r="C89" s="24" t="s">
        <v>106</v>
      </c>
      <c r="D89" s="24" t="s">
        <v>358</v>
      </c>
      <c r="E89" s="15">
        <v>42632.545868055553</v>
      </c>
      <c r="F89" s="15">
        <v>42632.552488425928</v>
      </c>
      <c r="G89" s="7">
        <v>1</v>
      </c>
      <c r="H89" s="15" t="s">
        <v>619</v>
      </c>
      <c r="I89" s="15">
        <v>42632.578333333331</v>
      </c>
      <c r="J89" s="7">
        <v>0</v>
      </c>
      <c r="K89" s="121" t="str">
        <f t="shared" si="65"/>
        <v>4001/4002</v>
      </c>
      <c r="L89" s="24" t="str">
        <f>VLOOKUP(A89,'Trips&amp;Operators'!$C$1:$E$10000,3,FALSE)</f>
        <v>BONDS</v>
      </c>
      <c r="M89" s="6">
        <f t="shared" si="66"/>
        <v>2.5844907402643003E-2</v>
      </c>
      <c r="N89" s="7">
        <f t="shared" si="67"/>
        <v>37.216666659805924</v>
      </c>
      <c r="O89" s="7"/>
      <c r="P89" s="7"/>
      <c r="Q89" s="25"/>
      <c r="R89" s="25"/>
      <c r="S89" s="37">
        <f t="shared" si="68"/>
        <v>1</v>
      </c>
      <c r="T89" s="52" t="str">
        <f t="shared" si="69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12:06:03-0600',mode:absolute,to:'2016-09-19 14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9" s="54" t="str">
        <f t="shared" si="71"/>
        <v>N</v>
      </c>
      <c r="X89" s="168">
        <f t="shared" si="81"/>
        <v>1</v>
      </c>
      <c r="Y89" s="69">
        <f t="shared" si="72"/>
        <v>4.3299999999999998E-2</v>
      </c>
      <c r="Z89" s="69">
        <f t="shared" si="73"/>
        <v>23.330500000000001</v>
      </c>
      <c r="AA89" s="69">
        <f t="shared" si="74"/>
        <v>23.287200000000002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75"/>
        <v>0177-19</v>
      </c>
      <c r="AE89" s="99" t="str">
        <f t="shared" si="76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89" s="96" t="str">
        <f t="shared" si="77"/>
        <v>"C:\Program Files (x86)\AstroGrep\AstroGrep.exe" /spath="%USERPROFILE%\AppData\Local\Temp\OnboardLogs" /stypes="app*4002*20160919*" /stext=" 19:.+((SYSTEM_STATE.+slice.+state.+changed )|(ment ac)|(system.+state.+changed )|(\|lc)|(penalty)|(\[timeout)|(PRM\|1\|D)|(kpr)|(kdp))" /e /r /s</v>
      </c>
      <c r="AG89" s="1" t="str">
        <f t="shared" si="78"/>
        <v>EC</v>
      </c>
      <c r="AH89" s="100" t="str">
        <f t="shared" si="79"/>
        <v>"%USERPROFILE%\Documents\GitHub\eaglep3\Utilities\RefineRTDCRunTimes.py" --tripid 177-19 --locoid 4002 --swversion DE.1.0.7.0 --startMP 204:433 --initTime 2016-09-19T13:06:03 --startdatetime 2016-09-19T13:15:35 --delay 1 --endMP 204:233305 --enddatetime 2016-09-19T13:52:48 --enforcementcount 0 &gt;&gt;C:\Users\stu\Documents\GitHub\eaglep3-reporting\EC\2016-09-19-refined-times.txt</v>
      </c>
      <c r="AI89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{"issue":{"subject":"","project_id":79,"tracker_id":40,"status_id":1,"priority_id":2,"assigned_to_id":23,"start_date":"2016-09-19","description":"","custom_fields":[{"id":1,"name":"Subdivision","value":"EC"},{"id":4,"name":"Milepost","value":"23.3305"},{"id":17,"name":"Train ID","value":"177-19"},{"id":16,"name":"Locomotive ID","value":"4002"},{"id":130,"name":"Impact","value":""},{"id":150,"name":"Time of Event (Mountain Time)","value":"13:52:48"},{"id":151,"name":"Denver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491</v>
      </c>
      <c r="B90" s="7">
        <v>4001</v>
      </c>
      <c r="C90" s="24" t="s">
        <v>106</v>
      </c>
      <c r="D90" s="24" t="s">
        <v>239</v>
      </c>
      <c r="E90" s="15">
        <v>42632.582789351851</v>
      </c>
      <c r="F90" s="15">
        <v>42632.591192129628</v>
      </c>
      <c r="G90" s="7">
        <v>1</v>
      </c>
      <c r="H90" s="15" t="s">
        <v>238</v>
      </c>
      <c r="I90" s="15">
        <v>42632.618668981479</v>
      </c>
      <c r="J90" s="7">
        <v>0</v>
      </c>
      <c r="K90" s="121" t="str">
        <f t="shared" si="65"/>
        <v>4001/4002</v>
      </c>
      <c r="L90" s="24" t="str">
        <f>VLOOKUP(A90,'Trips&amp;Operators'!$C$1:$E$10000,3,FALSE)</f>
        <v>BONDS</v>
      </c>
      <c r="M90" s="6">
        <f t="shared" si="66"/>
        <v>2.7476851850224193E-2</v>
      </c>
      <c r="N90" s="7">
        <f t="shared" si="67"/>
        <v>39.566666664322838</v>
      </c>
      <c r="O90" s="7"/>
      <c r="P90" s="7"/>
      <c r="Q90" s="25"/>
      <c r="R90" s="25"/>
      <c r="S90" s="37">
        <f t="shared" si="68"/>
        <v>1</v>
      </c>
      <c r="T90" s="52" t="str">
        <f t="shared" si="69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12:59:13-0600',mode:absolute,to:'2016-09-19 15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0" s="54" t="str">
        <f t="shared" si="71"/>
        <v>N</v>
      </c>
      <c r="X90" s="168">
        <f t="shared" si="81"/>
        <v>1</v>
      </c>
      <c r="Y90" s="69">
        <f t="shared" si="72"/>
        <v>23.297999999999998</v>
      </c>
      <c r="Z90" s="69">
        <f t="shared" si="73"/>
        <v>1.38E-2</v>
      </c>
      <c r="AA90" s="69">
        <f t="shared" si="74"/>
        <v>23.284199999999998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75"/>
        <v>0178-19</v>
      </c>
      <c r="AE90" s="99" t="str">
        <f t="shared" si="76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90" s="96" t="str">
        <f t="shared" si="77"/>
        <v>"C:\Program Files (x86)\AstroGrep\AstroGrep.exe" /spath="%USERPROFILE%\AppData\Local\Temp\OnboardLogs" /stypes="app*4001*20160919*" /stext=" 20:.+((SYSTEM_STATE.+slice.+state.+changed )|(ment ac)|(system.+state.+changed )|(\|lc)|(penalty)|(\[timeout)|(PRM\|1\|D)|(kpr)|(kdp))" /e /r /s</v>
      </c>
      <c r="AG90" s="1" t="str">
        <f t="shared" si="78"/>
        <v>EC</v>
      </c>
      <c r="AH90" s="100" t="str">
        <f t="shared" si="79"/>
        <v>"%USERPROFILE%\Documents\GitHub\eaglep3\Utilities\RefineRTDCRunTimes.py" --tripid 178-19 --locoid 4001 --swversion DE.1.0.7.0 --startMP 204:232980 --initTime 2016-09-19T13:59:13 --startdatetime 2016-09-19T14:11:19 --delay 1 --endMP 204:138 --enddatetime 2016-09-19T14:50:53 --enforcementcount 0 &gt;&gt;C:\Users\stu\Documents\GitHub\eaglep3-reporting\EC\2016-09-19-refined-times.txt</v>
      </c>
      <c r="AI90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{"issue":{"subject":"","project_id":79,"tracker_id":40,"status_id":1,"priority_id":2,"assigned_to_id":23,"start_date":"2016-09-19","description":"","custom_fields":[{"id":1,"name":"Subdivision","value":"EC"},{"id":4,"name":"Milepost","value":"0.0138"},{"id":17,"name":"Train ID","value":"178-19"},{"id":16,"name":"Locomotive ID","value":"4001"},{"id":130,"name":"Impact","value":""},{"id":150,"name":"Time of Event (Mountain Time)","value":"14:50:53"},{"id":151,"name":"Denver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483</v>
      </c>
      <c r="B91" s="7">
        <v>4031</v>
      </c>
      <c r="C91" s="24" t="s">
        <v>106</v>
      </c>
      <c r="D91" s="24" t="s">
        <v>242</v>
      </c>
      <c r="E91" s="15">
        <v>42632.562638888892</v>
      </c>
      <c r="F91" s="15">
        <v>42632.56453703704</v>
      </c>
      <c r="G91" s="7">
        <v>1</v>
      </c>
      <c r="H91" s="15" t="s">
        <v>323</v>
      </c>
      <c r="I91" s="15">
        <v>42632.590081018519</v>
      </c>
      <c r="J91" s="7">
        <v>0</v>
      </c>
      <c r="K91" s="121" t="str">
        <f t="shared" si="65"/>
        <v>4031/4032</v>
      </c>
      <c r="L91" s="24" t="str">
        <f>VLOOKUP(A91,'Trips&amp;Operators'!$C$1:$E$10000,3,FALSE)</f>
        <v>CLARK</v>
      </c>
      <c r="M91" s="6">
        <f t="shared" si="66"/>
        <v>2.5543981479131617E-2</v>
      </c>
      <c r="N91" s="7">
        <f t="shared" si="67"/>
        <v>36.783333329949528</v>
      </c>
      <c r="O91" s="7"/>
      <c r="P91" s="7"/>
      <c r="Q91" s="25"/>
      <c r="R91" s="25"/>
      <c r="S91" s="37">
        <f t="shared" si="68"/>
        <v>1</v>
      </c>
      <c r="T91" s="52" t="str">
        <f t="shared" si="69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12:30:12-0600',mode:absolute,to:'2016-09-19 15:09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1" s="54" t="str">
        <f t="shared" si="71"/>
        <v>N</v>
      </c>
      <c r="X91" s="168">
        <f t="shared" si="81"/>
        <v>1</v>
      </c>
      <c r="Y91" s="69">
        <f t="shared" si="72"/>
        <v>4.4900000000000002E-2</v>
      </c>
      <c r="Z91" s="69">
        <f t="shared" si="73"/>
        <v>23.324000000000002</v>
      </c>
      <c r="AA91" s="69">
        <f t="shared" si="74"/>
        <v>23.279100000000003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75"/>
        <v>0179-19</v>
      </c>
      <c r="AE91" s="99" t="str">
        <f t="shared" si="76"/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AF91" s="96" t="str">
        <f t="shared" si="77"/>
        <v>"C:\Program Files (x86)\AstroGrep\AstroGrep.exe" /spath="%USERPROFILE%\AppData\Local\Temp\OnboardLogs" /stypes="app*4031*20160919*" /stext=" 20:.+((SYSTEM_STATE.+slice.+state.+changed )|(ment ac)|(system.+state.+changed )|(\|lc)|(penalty)|(\[timeout)|(PRM\|1\|D)|(kpr)|(kdp))" /e /r /s</v>
      </c>
      <c r="AG91" s="1" t="str">
        <f t="shared" si="78"/>
        <v>EC</v>
      </c>
      <c r="AH91" s="100" t="str">
        <f t="shared" si="79"/>
        <v>"%USERPROFILE%\Documents\GitHub\eaglep3\Utilities\RefineRTDCRunTimes.py" --tripid 179-19 --locoid 4031 --swversion DE.1.0.7.0 --startMP 204:449 --initTime 2016-09-19T13:30:12 --startdatetime 2016-09-19T13:32:56 --delay 1 --endMP 204:233240 --enddatetime 2016-09-19T14:09:43 --enforcementcount 0 &gt;&gt;C:\Users\stu\Documents\GitHub\eaglep3-reporting\EC\2016-09-19-refined-times.txt</v>
      </c>
      <c r="AI91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{"issue":{"subject":"","project_id":79,"tracker_id":40,"status_id":1,"priority_id":2,"assigned_to_id":23,"start_date":"2016-09-19","description":"","custom_fields":[{"id":1,"name":"Subdivision","value":"EC"},{"id":4,"name":"Milepost","value":"23.324"},{"id":17,"name":"Train ID","value":"179-19"},{"id":16,"name":"Locomotive ID","value":"4031"},{"id":130,"name":"Impact","value":""},{"id":150,"name":"Time of Event (Mountain Time)","value":"14:09:43"},{"id":151,"name":"Denver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496</v>
      </c>
      <c r="B92" s="7">
        <v>4032</v>
      </c>
      <c r="C92" s="24" t="s">
        <v>106</v>
      </c>
      <c r="D92" s="24" t="s">
        <v>634</v>
      </c>
      <c r="E92" s="15">
        <v>42632.596828703703</v>
      </c>
      <c r="F92" s="15">
        <v>42632.601574074077</v>
      </c>
      <c r="G92" s="7">
        <v>1</v>
      </c>
      <c r="H92" s="15" t="s">
        <v>268</v>
      </c>
      <c r="I92" s="15">
        <v>42632.632337962961</v>
      </c>
      <c r="J92" s="7">
        <v>0</v>
      </c>
      <c r="K92" s="121" t="str">
        <f t="shared" si="65"/>
        <v>4031/4032</v>
      </c>
      <c r="L92" s="24" t="str">
        <f>VLOOKUP(A92,'Trips&amp;Operators'!$C$1:$E$10000,3,FALSE)</f>
        <v>CLARK</v>
      </c>
      <c r="M92" s="6">
        <f t="shared" si="66"/>
        <v>3.0763888884393964E-2</v>
      </c>
      <c r="N92" s="7">
        <f t="shared" si="67"/>
        <v>44.299999993527308</v>
      </c>
      <c r="O92" s="7"/>
      <c r="P92" s="7"/>
      <c r="Q92" s="25"/>
      <c r="R92" s="25"/>
      <c r="S92" s="37">
        <f t="shared" si="68"/>
        <v>1</v>
      </c>
      <c r="T92" s="52" t="str">
        <f t="shared" si="69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13:19:26-0600',mode:absolute,to:'2016-09-19 16:10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92" s="54" t="str">
        <f t="shared" si="71"/>
        <v>N</v>
      </c>
      <c r="X92" s="168">
        <f t="shared" si="81"/>
        <v>1</v>
      </c>
      <c r="Y92" s="69">
        <f t="shared" si="72"/>
        <v>23.292300000000001</v>
      </c>
      <c r="Z92" s="69">
        <f t="shared" si="73"/>
        <v>1.61E-2</v>
      </c>
      <c r="AA92" s="69">
        <f t="shared" si="74"/>
        <v>23.276199999999999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75"/>
        <v>0180-19</v>
      </c>
      <c r="AE92" s="99" t="str">
        <f t="shared" si="76"/>
        <v>aws s3 cp s3://rtdc.mdm.uploadarchive/RTDC4032/2016-09-19/ "%USERPROFILE%\AppData\Local\Temp\OnboardLogs"\RTDC4032\2016-09-19 --recursive &amp; "%USERPROFILE%\Documents\GitHub\mrs-test-scripts\Headless Mode &amp; Sideloading\WalkAndUnGZ.bat" "%USERPROFILE%\AppData\Local\Temp\OnboardLogs"\RTDC4032\2016-09-19 &amp; aws s3 cp s3://rtdc.mdm.uploadarchive/RTDC4032/2016-09-20/ "%USERPROFILE%\AppData\Local\Temp\OnboardLogs"\RTDC4032\2016-09-20 --recursive &amp; "%USERPROFILE%\Documents\GitHub\mrs-test-scripts\Headless Mode &amp; Sideloading\WalkAndUnGZ.bat" "%USERPROFILE%\AppData\Local\Temp\OnboardLogs"\RTDC4032\2016-09-20</v>
      </c>
      <c r="AF92" s="96" t="str">
        <f t="shared" si="77"/>
        <v>"C:\Program Files (x86)\AstroGrep\AstroGrep.exe" /spath="%USERPROFILE%\AppData\Local\Temp\OnboardLogs" /stypes="app*4032*20160919*" /stext=" 21:.+((SYSTEM_STATE.+slice.+state.+changed )|(ment ac)|(system.+state.+changed )|(\|lc)|(penalty)|(\[timeout)|(PRM\|1\|D)|(kpr)|(kdp))" /e /r /s</v>
      </c>
      <c r="AG92" s="1" t="str">
        <f t="shared" si="78"/>
        <v>EC</v>
      </c>
      <c r="AH92" s="100" t="str">
        <f t="shared" si="79"/>
        <v>"%USERPROFILE%\Documents\GitHub\eaglep3\Utilities\RefineRTDCRunTimes.py" --tripid 180-19 --locoid 4032 --swversion DE.1.0.7.0 --startMP 204:232923 --initTime 2016-09-19T14:19:26 --startdatetime 2016-09-19T14:26:16 --delay 1 --endMP 204:161 --enddatetime 2016-09-19T15:10:34 --enforcementcount 0 &gt;&gt;C:\Users\stu\Documents\GitHub\eaglep3-reporting\EC\2016-09-19-refined-times.txt</v>
      </c>
      <c r="AI9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{"issue":{"subject":"","project_id":79,"tracker_id":40,"status_id":1,"priority_id":2,"assigned_to_id":23,"start_date":"2016-09-19","description":"","custom_fields":[{"id":1,"name":"Subdivision","value":"EC"},{"id":4,"name":"Milepost","value":"0.0161"},{"id":17,"name":"Train ID","value":"180-19"},{"id":16,"name":"Locomotive ID","value":"4032"},{"id":130,"name":"Impact","value":""},{"id":150,"name":"Time of Event (Mountain Time)","value":"15:10:34"},{"id":151,"name":"Denver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487</v>
      </c>
      <c r="B93" s="7">
        <v>4042</v>
      </c>
      <c r="C93" s="24" t="s">
        <v>106</v>
      </c>
      <c r="D93" s="24" t="s">
        <v>270</v>
      </c>
      <c r="E93" s="15">
        <v>42632.569166666668</v>
      </c>
      <c r="F93" s="15">
        <v>42632.57309027778</v>
      </c>
      <c r="G93" s="7">
        <v>1</v>
      </c>
      <c r="H93" s="15" t="s">
        <v>318</v>
      </c>
      <c r="I93" s="15">
        <v>42632.599768518521</v>
      </c>
      <c r="J93" s="7">
        <v>0</v>
      </c>
      <c r="K93" s="121" t="str">
        <f t="shared" si="65"/>
        <v>4041/4042</v>
      </c>
      <c r="L93" s="24" t="str">
        <f>VLOOKUP(A93,'Trips&amp;Operators'!$C$1:$E$10000,3,FALSE)</f>
        <v>YOUNG</v>
      </c>
      <c r="M93" s="6">
        <f t="shared" si="66"/>
        <v>2.6678240741603076E-2</v>
      </c>
      <c r="N93" s="7">
        <f t="shared" si="67"/>
        <v>38.41666666790843</v>
      </c>
      <c r="O93" s="7"/>
      <c r="P93" s="7"/>
      <c r="Q93" s="25"/>
      <c r="R93" s="25"/>
      <c r="S93" s="37">
        <f t="shared" si="68"/>
        <v>1</v>
      </c>
      <c r="T93" s="52" t="str">
        <f t="shared" si="69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12:39:36-0600',mode:absolute,to:'2016-09-19 15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3" s="54" t="str">
        <f t="shared" si="71"/>
        <v>N</v>
      </c>
      <c r="X93" s="168">
        <f t="shared" si="81"/>
        <v>1</v>
      </c>
      <c r="Y93" s="69">
        <f t="shared" si="72"/>
        <v>4.7699999999999999E-2</v>
      </c>
      <c r="Z93" s="69">
        <f t="shared" si="73"/>
        <v>23.3309</v>
      </c>
      <c r="AA93" s="69">
        <f t="shared" si="74"/>
        <v>23.283200000000001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75"/>
        <v>0181-19</v>
      </c>
      <c r="AE93" s="99" t="str">
        <f t="shared" si="76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93" s="96" t="str">
        <f t="shared" si="77"/>
        <v>"C:\Program Files (x86)\AstroGrep\AstroGrep.exe" /spath="%USERPROFILE%\AppData\Local\Temp\OnboardLogs" /stypes="app*4042*20160919*" /stext=" 20:.+((SYSTEM_STATE.+slice.+state.+changed )|(ment ac)|(system.+state.+changed )|(\|lc)|(penalty)|(\[timeout)|(PRM\|1\|D)|(kpr)|(kdp))" /e /r /s</v>
      </c>
      <c r="AG93" s="1" t="str">
        <f t="shared" si="78"/>
        <v>EC</v>
      </c>
      <c r="AH93" s="100" t="str">
        <f t="shared" si="79"/>
        <v>"%USERPROFILE%\Documents\GitHub\eaglep3\Utilities\RefineRTDCRunTimes.py" --tripid 181-19 --locoid 4042 --swversion DE.1.0.7.0 --startMP 204:477 --initTime 2016-09-19T13:39:36 --startdatetime 2016-09-19T13:45:15 --delay 1 --endMP 204:233309 --enddatetime 2016-09-19T14:23:40 --enforcementcount 0 &gt;&gt;C:\Users\stu\Documents\GitHub\eaglep3-reporting\EC\2016-09-19-refined-times.txt</v>
      </c>
      <c r="AI93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{"issue":{"subject":"","project_id":79,"tracker_id":40,"status_id":1,"priority_id":2,"assigned_to_id":23,"start_date":"2016-09-19","description":"","custom_fields":[{"id":1,"name":"Subdivision","value":"EC"},{"id":4,"name":"Milepost","value":"23.3309"},{"id":17,"name":"Train ID","value":"181-19"},{"id":16,"name":"Locomotive ID","value":"4042"},{"id":130,"name":"Impact","value":""},{"id":150,"name":"Time of Event (Mountain Time)","value":"14:23:40"},{"id":151,"name":"Denver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498</v>
      </c>
      <c r="B94" s="7">
        <v>4041</v>
      </c>
      <c r="C94" s="24" t="s">
        <v>106</v>
      </c>
      <c r="D94" s="24" t="s">
        <v>345</v>
      </c>
      <c r="E94" s="15">
        <v>42632.605868055558</v>
      </c>
      <c r="F94" s="15">
        <v>42632.612245370372</v>
      </c>
      <c r="G94" s="7">
        <v>1</v>
      </c>
      <c r="H94" s="15" t="s">
        <v>268</v>
      </c>
      <c r="I94" s="15">
        <v>42632.641504629632</v>
      </c>
      <c r="J94" s="7">
        <v>0</v>
      </c>
      <c r="K94" s="121" t="str">
        <f t="shared" si="65"/>
        <v>4041/4042</v>
      </c>
      <c r="L94" s="24" t="str">
        <f>VLOOKUP(A94,'Trips&amp;Operators'!$C$1:$E$10000,3,FALSE)</f>
        <v>YOUNG</v>
      </c>
      <c r="M94" s="6">
        <f t="shared" si="66"/>
        <v>2.9259259259561077E-2</v>
      </c>
      <c r="N94" s="7">
        <f t="shared" si="67"/>
        <v>42.133333333767951</v>
      </c>
      <c r="O94" s="7"/>
      <c r="P94" s="7"/>
      <c r="Q94" s="25"/>
      <c r="R94" s="25"/>
      <c r="S94" s="37">
        <f t="shared" si="68"/>
        <v>1</v>
      </c>
      <c r="T94" s="52" t="str">
        <f t="shared" si="69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13:32:27-0600',mode:absolute,to:'2016-09-19 16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4" s="54" t="str">
        <f t="shared" si="71"/>
        <v>N</v>
      </c>
      <c r="X94" s="168">
        <f t="shared" si="81"/>
        <v>1</v>
      </c>
      <c r="Y94" s="69">
        <f t="shared" si="72"/>
        <v>23.2988</v>
      </c>
      <c r="Z94" s="69">
        <f t="shared" si="73"/>
        <v>1.61E-2</v>
      </c>
      <c r="AA94" s="69">
        <f t="shared" si="74"/>
        <v>23.282699999999998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75"/>
        <v>0182-19</v>
      </c>
      <c r="AE94" s="99" t="str">
        <f t="shared" si="76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94" s="96" t="str">
        <f t="shared" si="77"/>
        <v>"C:\Program Files (x86)\AstroGrep\AstroGrep.exe" /spath="%USERPROFILE%\AppData\Local\Temp\OnboardLogs" /stypes="app*4041*20160919*" /stext=" 21:.+((SYSTEM_STATE.+slice.+state.+changed )|(ment ac)|(system.+state.+changed )|(\|lc)|(penalty)|(\[timeout)|(PRM\|1\|D)|(kpr)|(kdp))" /e /r /s</v>
      </c>
      <c r="AG94" s="1" t="str">
        <f t="shared" si="78"/>
        <v>EC</v>
      </c>
      <c r="AH94" s="100" t="str">
        <f t="shared" si="79"/>
        <v>"%USERPROFILE%\Documents\GitHub\eaglep3\Utilities\RefineRTDCRunTimes.py" --tripid 182-19 --locoid 4041 --swversion DE.1.0.7.0 --startMP 204:232988 --initTime 2016-09-19T14:32:27 --startdatetime 2016-09-19T14:41:38 --delay 1 --endMP 204:161 --enddatetime 2016-09-19T15:23:46 --enforcementcount 0 &gt;&gt;C:\Users\stu\Documents\GitHub\eaglep3-reporting\EC\2016-09-19-refined-times.txt</v>
      </c>
      <c r="AI9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{"issue":{"subject":"","project_id":79,"tracker_id":40,"status_id":1,"priority_id":2,"assigned_to_id":23,"start_date":"2016-09-19","description":"","custom_fields":[{"id":1,"name":"Subdivision","value":"EC"},{"id":4,"name":"Milepost","value":"0.0161"},{"id":17,"name":"Train ID","value":"182-19"},{"id":16,"name":"Locomotive ID","value":"4041"},{"id":130,"name":"Impact","value":""},{"id":150,"name":"Time of Event (Mountain Time)","value":"15:23:46"},{"id":151,"name":"Denver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490</v>
      </c>
      <c r="B95" s="7">
        <v>4011</v>
      </c>
      <c r="C95" s="24" t="s">
        <v>106</v>
      </c>
      <c r="D95" s="24" t="s">
        <v>362</v>
      </c>
      <c r="E95" s="15">
        <v>42632.580925925926</v>
      </c>
      <c r="F95" s="15">
        <v>42632.583645833336</v>
      </c>
      <c r="G95" s="7">
        <v>1</v>
      </c>
      <c r="H95" s="15" t="s">
        <v>635</v>
      </c>
      <c r="I95" s="15">
        <v>42632.609247685185</v>
      </c>
      <c r="J95" s="7">
        <v>0</v>
      </c>
      <c r="K95" s="121" t="str">
        <f t="shared" si="65"/>
        <v>4011/4012</v>
      </c>
      <c r="L95" s="24" t="str">
        <f>VLOOKUP(A95,'Trips&amp;Operators'!$C$1:$E$10000,3,FALSE)</f>
        <v>DELGADO</v>
      </c>
      <c r="M95" s="6">
        <f t="shared" si="66"/>
        <v>2.5601851848477963E-2</v>
      </c>
      <c r="N95" s="7">
        <f t="shared" si="67"/>
        <v>36.866666661808267</v>
      </c>
      <c r="O95" s="7"/>
      <c r="P95" s="7"/>
      <c r="Q95" s="25"/>
      <c r="R95" s="25"/>
      <c r="S95" s="37">
        <f t="shared" si="68"/>
        <v>1</v>
      </c>
      <c r="T95" s="52" t="str">
        <f t="shared" si="69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12:56:32-0600',mode:absolute,to:'2016-09-19 15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5" s="54" t="str">
        <f t="shared" si="71"/>
        <v>N</v>
      </c>
      <c r="X95" s="168">
        <f t="shared" si="81"/>
        <v>1</v>
      </c>
      <c r="Y95" s="69">
        <f t="shared" si="72"/>
        <v>4.3499999999999997E-2</v>
      </c>
      <c r="Z95" s="69">
        <f t="shared" si="73"/>
        <v>23.3217</v>
      </c>
      <c r="AA95" s="69">
        <f t="shared" si="74"/>
        <v>23.278199999999998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75"/>
        <v>0183-19</v>
      </c>
      <c r="AE95" s="99" t="str">
        <f t="shared" si="76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95" s="96" t="str">
        <f t="shared" si="77"/>
        <v>"C:\Program Files (x86)\AstroGrep\AstroGrep.exe" /spath="%USERPROFILE%\AppData\Local\Temp\OnboardLogs" /stypes="app*4011*20160919*" /stext=" 20:.+((SYSTEM_STATE.+slice.+state.+changed )|(ment ac)|(system.+state.+changed )|(\|lc)|(penalty)|(\[timeout)|(PRM\|1\|D)|(kpr)|(kdp))" /e /r /s</v>
      </c>
      <c r="AG95" s="1" t="str">
        <f t="shared" si="78"/>
        <v>EC</v>
      </c>
      <c r="AH95" s="100" t="str">
        <f t="shared" si="79"/>
        <v>"%USERPROFILE%\Documents\GitHub\eaglep3\Utilities\RefineRTDCRunTimes.py" --tripid 183-19 --locoid 4011 --swversion DE.1.0.7.0 --startMP 204:435 --initTime 2016-09-19T13:56:32 --startdatetime 2016-09-19T14:00:27 --delay 1 --endMP 204:233217 --enddatetime 2016-09-19T14:37:19 --enforcementcount 0 &gt;&gt;C:\Users\stu\Documents\GitHub\eaglep3-reporting\EC\2016-09-19-refined-times.txt</v>
      </c>
      <c r="AI95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{"issue":{"subject":"","project_id":79,"tracker_id":40,"status_id":1,"priority_id":2,"assigned_to_id":23,"start_date":"2016-09-19","description":"","custom_fields":[{"id":1,"name":"Subdivision","value":"EC"},{"id":4,"name":"Milepost","value":"23.3217"},{"id":17,"name":"Train ID","value":"183-19"},{"id":16,"name":"Locomotive ID","value":"4011"},{"id":130,"name":"Impact","value":""},{"id":150,"name":"Time of Event (Mountain Time)","value":"14:37:19"},{"id":151,"name":"Denver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501</v>
      </c>
      <c r="B96" s="7">
        <v>4012</v>
      </c>
      <c r="C96" s="24" t="s">
        <v>106</v>
      </c>
      <c r="D96" s="24" t="s">
        <v>636</v>
      </c>
      <c r="E96" s="15">
        <v>42632.617337962962</v>
      </c>
      <c r="F96" s="15">
        <v>42632.622499999998</v>
      </c>
      <c r="G96" s="7">
        <v>1</v>
      </c>
      <c r="H96" s="15" t="s">
        <v>602</v>
      </c>
      <c r="I96" s="15">
        <v>42632.648831018516</v>
      </c>
      <c r="J96" s="7">
        <v>0</v>
      </c>
      <c r="K96" s="121" t="str">
        <f t="shared" si="65"/>
        <v>4011/4012</v>
      </c>
      <c r="L96" s="24" t="str">
        <f>VLOOKUP(A96,'Trips&amp;Operators'!$C$1:$E$10000,3,FALSE)</f>
        <v>DELGADO</v>
      </c>
      <c r="M96" s="6">
        <f t="shared" si="66"/>
        <v>2.6331018518249039E-2</v>
      </c>
      <c r="N96" s="7">
        <f t="shared" si="67"/>
        <v>37.916666666278616</v>
      </c>
      <c r="O96" s="7"/>
      <c r="P96" s="7"/>
      <c r="Q96" s="25"/>
      <c r="R96" s="25"/>
      <c r="S96" s="37">
        <f t="shared" si="68"/>
        <v>1</v>
      </c>
      <c r="T96" s="52" t="str">
        <f t="shared" si="69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13:48:58-0600',mode:absolute,to:'2016-09-19 16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6" s="54" t="str">
        <f t="shared" si="71"/>
        <v>N</v>
      </c>
      <c r="X96" s="168">
        <f t="shared" si="81"/>
        <v>1</v>
      </c>
      <c r="Y96" s="69">
        <f t="shared" si="72"/>
        <v>23.289100000000001</v>
      </c>
      <c r="Z96" s="69">
        <f t="shared" si="73"/>
        <v>1.41E-2</v>
      </c>
      <c r="AA96" s="69">
        <f t="shared" si="74"/>
        <v>23.275000000000002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75"/>
        <v>0184-19</v>
      </c>
      <c r="AE96" s="99" t="str">
        <f t="shared" si="76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96" s="96" t="str">
        <f t="shared" si="77"/>
        <v>"C:\Program Files (x86)\AstroGrep\AstroGrep.exe" /spath="%USERPROFILE%\AppData\Local\Temp\OnboardLogs" /stypes="app*4012*20160919*" /stext=" 21:.+((SYSTEM_STATE.+slice.+state.+changed )|(ment ac)|(system.+state.+changed )|(\|lc)|(penalty)|(\[timeout)|(PRM\|1\|D)|(kpr)|(kdp))" /e /r /s</v>
      </c>
      <c r="AG96" s="1" t="str">
        <f t="shared" si="78"/>
        <v>EC</v>
      </c>
      <c r="AH96" s="100" t="str">
        <f t="shared" si="79"/>
        <v>"%USERPROFILE%\Documents\GitHub\eaglep3\Utilities\RefineRTDCRunTimes.py" --tripid 184-19 --locoid 4012 --swversion DE.1.0.7.0 --startMP 204:232891 --initTime 2016-09-19T14:48:58 --startdatetime 2016-09-19T14:56:24 --delay 1 --endMP 204:141 --enddatetime 2016-09-19T15:34:19 --enforcementcount 0 &gt;&gt;C:\Users\stu\Documents\GitHub\eaglep3-reporting\EC\2016-09-19-refined-times.txt</v>
      </c>
      <c r="AI96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{"issue":{"subject":"","project_id":79,"tracker_id":40,"status_id":1,"priority_id":2,"assigned_to_id":23,"start_date":"2016-09-19","description":"","custom_fields":[{"id":1,"name":"Subdivision","value":"EC"},{"id":4,"name":"Milepost","value":"0.0141"},{"id":17,"name":"Train ID","value":"184-19"},{"id":16,"name":"Locomotive ID","value":"4012"},{"id":130,"name":"Impact","value":""},{"id":150,"name":"Time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494</v>
      </c>
      <c r="B97" s="7">
        <v>4007</v>
      </c>
      <c r="C97" s="24" t="s">
        <v>106</v>
      </c>
      <c r="D97" s="24" t="s">
        <v>226</v>
      </c>
      <c r="E97" s="15">
        <v>42632.58798611111</v>
      </c>
      <c r="F97" s="15">
        <v>42632.594108796293</v>
      </c>
      <c r="G97" s="7">
        <v>1</v>
      </c>
      <c r="H97" s="15" t="s">
        <v>264</v>
      </c>
      <c r="I97" s="15">
        <v>42632.619421296295</v>
      </c>
      <c r="J97" s="7">
        <v>0</v>
      </c>
      <c r="K97" s="121" t="str">
        <f t="shared" si="65"/>
        <v>4007/4008</v>
      </c>
      <c r="L97" s="24" t="str">
        <f>VLOOKUP(A97,'Trips&amp;Operators'!$C$1:$E$10000,3,FALSE)</f>
        <v>ISHMAEL</v>
      </c>
      <c r="M97" s="6">
        <f t="shared" si="66"/>
        <v>2.531250000174623E-2</v>
      </c>
      <c r="N97" s="7">
        <f t="shared" si="67"/>
        <v>36.450000002514571</v>
      </c>
      <c r="O97" s="7"/>
      <c r="P97" s="7"/>
      <c r="Q97" s="25"/>
      <c r="R97" s="25"/>
      <c r="S97" s="37">
        <f t="shared" si="68"/>
        <v>1</v>
      </c>
      <c r="T97" s="52" t="str">
        <f t="shared" si="69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13:06:42-0600',mode:absolute,to:'2016-09-19 15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97" s="54" t="str">
        <f t="shared" si="71"/>
        <v>N</v>
      </c>
      <c r="X97" s="168">
        <f t="shared" si="81"/>
        <v>1</v>
      </c>
      <c r="Y97" s="69">
        <f t="shared" si="72"/>
        <v>4.5100000000000001E-2</v>
      </c>
      <c r="Z97" s="69">
        <f t="shared" si="73"/>
        <v>23.329699999999999</v>
      </c>
      <c r="AA97" s="69">
        <f t="shared" si="74"/>
        <v>23.284599999999998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75"/>
        <v>0185-19</v>
      </c>
      <c r="AE97" s="99" t="str">
        <f t="shared" si="76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97" s="96" t="str">
        <f t="shared" si="77"/>
        <v>"C:\Program Files (x86)\AstroGrep\AstroGrep.exe" /spath="%USERPROFILE%\AppData\Local\Temp\OnboardLogs" /stypes="app*4007*20160919*" /stext=" 20:.+((SYSTEM_STATE.+slice.+state.+changed )|(ment ac)|(system.+state.+changed )|(\|lc)|(penalty)|(\[timeout)|(PRM\|1\|D)|(kpr)|(kdp))" /e /r /s</v>
      </c>
      <c r="AG97" s="1" t="str">
        <f t="shared" si="78"/>
        <v>EC</v>
      </c>
      <c r="AH97" s="100" t="str">
        <f t="shared" si="79"/>
        <v>"%USERPROFILE%\Documents\GitHub\eaglep3\Utilities\RefineRTDCRunTimes.py" --tripid 185-19 --locoid 4007 --swversion DE.1.0.7.0 --startMP 204:451 --initTime 2016-09-19T14:06:42 --startdatetime 2016-09-19T14:15:31 --delay 1 --endMP 204:233297 --enddatetime 2016-09-19T14:51:58 --enforcementcount 0 &gt;&gt;C:\Users\stu\Documents\GitHub\eaglep3-reporting\EC\2016-09-19-refined-times.txt</v>
      </c>
      <c r="AI97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{"issue":{"subject":"","project_id":79,"tracker_id":40,"status_id":1,"priority_id":2,"assigned_to_id":23,"start_date":"2016-09-19","description":"","custom_fields":[{"id":1,"name":"Subdivision","value":"EC"},{"id":4,"name":"Milepost","value":"23.3297"},{"id":17,"name":"Train ID","value":"185-19"},{"id":16,"name":"Locomotive ID","value":"4007"},{"id":130,"name":"Impact","value":""},{"id":150,"name":"Time of Event (Mountain Time)","value":"14:51:58"},{"id":151,"name":"Denver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504</v>
      </c>
      <c r="B98" s="7">
        <v>4008</v>
      </c>
      <c r="C98" s="24" t="s">
        <v>106</v>
      </c>
      <c r="D98" s="24" t="s">
        <v>255</v>
      </c>
      <c r="E98" s="15">
        <v>42632.626620370371</v>
      </c>
      <c r="F98" s="15">
        <v>42632.6328125</v>
      </c>
      <c r="G98" s="7">
        <v>1</v>
      </c>
      <c r="H98" s="15" t="s">
        <v>215</v>
      </c>
      <c r="I98" s="15">
        <v>42632.660763888889</v>
      </c>
      <c r="J98" s="7">
        <v>0</v>
      </c>
      <c r="K98" s="121" t="str">
        <f t="shared" si="65"/>
        <v>4007/4008</v>
      </c>
      <c r="L98" s="24" t="str">
        <f>VLOOKUP(A98,'Trips&amp;Operators'!$C$1:$E$10000,3,FALSE)</f>
        <v>ISHMAEL</v>
      </c>
      <c r="M98" s="6">
        <f t="shared" si="66"/>
        <v>2.7951388889050577E-2</v>
      </c>
      <c r="N98" s="7">
        <f t="shared" si="67"/>
        <v>40.250000000232831</v>
      </c>
      <c r="O98" s="7"/>
      <c r="P98" s="7"/>
      <c r="Q98" s="25"/>
      <c r="R98" s="25"/>
      <c r="S98" s="37">
        <f t="shared" si="68"/>
        <v>1</v>
      </c>
      <c r="T98" s="52" t="str">
        <f t="shared" si="69"/>
        <v>Southbound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14:02:20-0600',mode:absolute,to:'2016-09-19 16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98" s="54" t="str">
        <f t="shared" si="71"/>
        <v>N</v>
      </c>
      <c r="X98" s="168">
        <f t="shared" si="81"/>
        <v>1</v>
      </c>
      <c r="Y98" s="69">
        <f t="shared" si="72"/>
        <v>23.2971</v>
      </c>
      <c r="Z98" s="69">
        <f t="shared" si="73"/>
        <v>1.6299999999999999E-2</v>
      </c>
      <c r="AA98" s="69">
        <f t="shared" si="74"/>
        <v>23.280799999999999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75"/>
        <v>0186-19</v>
      </c>
      <c r="AE98" s="99" t="str">
        <f t="shared" si="76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98" s="96" t="str">
        <f t="shared" si="77"/>
        <v>"C:\Program Files (x86)\AstroGrep\AstroGrep.exe" /spath="%USERPROFILE%\AppData\Local\Temp\OnboardLogs" /stypes="app*4008*20160919*" /stext=" 21:.+((SYSTEM_STATE.+slice.+state.+changed )|(ment ac)|(system.+state.+changed )|(\|lc)|(penalty)|(\[timeout)|(PRM\|1\|D)|(kpr)|(kdp))" /e /r /s</v>
      </c>
      <c r="AG98" s="1" t="str">
        <f t="shared" si="78"/>
        <v>EC</v>
      </c>
      <c r="AH98" s="100" t="str">
        <f t="shared" si="79"/>
        <v>"%USERPROFILE%\Documents\GitHub\eaglep3\Utilities\RefineRTDCRunTimes.py" --tripid 186-19 --locoid 4008 --swversion DE.1.0.7.0 --startMP 204:232971 --initTime 2016-09-19T15:02:20 --startdatetime 2016-09-19T15:11:15 --delay 1 --endMP 204:163 --enddatetime 2016-09-19T15:51:30 --enforcementcount 0 &gt;&gt;C:\Users\stu\Documents\GitHub\eaglep3-reporting\EC\2016-09-19-refined-times.txt</v>
      </c>
      <c r="AI98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{"issue":{"subject":"","project_id":79,"tracker_id":40,"status_id":1,"priority_id":2,"assigned_to_id":23,"start_date":"2016-09-19","description":"","custom_fields":[{"id":1,"name":"Subdivision","value":"EC"},{"id":4,"name":"Milepost","value":"0.0163"},{"id":17,"name":"Train ID","value":"186-19"},{"id":16,"name":"Locomotive ID","value":"4008"},{"id":130,"name":"Impact","value":""},{"id":150,"name":"Time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497</v>
      </c>
      <c r="B99" s="7">
        <v>4025</v>
      </c>
      <c r="C99" s="24" t="s">
        <v>106</v>
      </c>
      <c r="D99" s="24" t="s">
        <v>600</v>
      </c>
      <c r="E99" s="15">
        <v>42632.600740740738</v>
      </c>
      <c r="F99" s="15">
        <v>42632.604513888888</v>
      </c>
      <c r="G99" s="7">
        <v>2</v>
      </c>
      <c r="H99" s="15" t="s">
        <v>344</v>
      </c>
      <c r="I99" s="15">
        <v>42632.629421296297</v>
      </c>
      <c r="J99" s="7">
        <v>0</v>
      </c>
      <c r="K99" s="121" t="str">
        <f t="shared" si="65"/>
        <v>4025/4026</v>
      </c>
      <c r="L99" s="24" t="str">
        <f>VLOOKUP(A99,'Trips&amp;Operators'!$C$1:$E$10000,3,FALSE)</f>
        <v>STEWART</v>
      </c>
      <c r="M99" s="6">
        <f t="shared" si="66"/>
        <v>2.4907407409045845E-2</v>
      </c>
      <c r="N99" s="7">
        <f t="shared" si="67"/>
        <v>35.866666669026017</v>
      </c>
      <c r="O99" s="7"/>
      <c r="P99" s="7"/>
      <c r="Q99" s="25"/>
      <c r="R99" s="25"/>
      <c r="S99" s="37">
        <f t="shared" si="68"/>
        <v>1</v>
      </c>
      <c r="T99" s="52" t="str">
        <f t="shared" si="69"/>
        <v>NorthBound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13:25:04-0600',mode:absolute,to:'2016-09-19 16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9" s="54" t="str">
        <f t="shared" si="71"/>
        <v>N</v>
      </c>
      <c r="X99" s="168">
        <f t="shared" si="81"/>
        <v>1</v>
      </c>
      <c r="Y99" s="69">
        <f t="shared" si="72"/>
        <v>4.4400000000000002E-2</v>
      </c>
      <c r="Z99" s="69">
        <f t="shared" si="73"/>
        <v>23.3246</v>
      </c>
      <c r="AA99" s="69">
        <f t="shared" si="74"/>
        <v>23.280200000000001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75"/>
        <v>0187-19</v>
      </c>
      <c r="AE99" s="99" t="str">
        <f t="shared" si="76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99" s="96" t="str">
        <f t="shared" si="77"/>
        <v>"C:\Program Files (x86)\AstroGrep\AstroGrep.exe" /spath="%USERPROFILE%\AppData\Local\Temp\OnboardLogs" /stypes="app*4025*20160919*" /stext=" 21:.+((SYSTEM_STATE.+slice.+state.+changed )|(ment ac)|(system.+state.+changed )|(\|lc)|(penalty)|(\[timeout)|(PRM\|1\|D)|(kpr)|(kdp))" /e /r /s</v>
      </c>
      <c r="AG99" s="1" t="str">
        <f t="shared" si="78"/>
        <v>EC</v>
      </c>
      <c r="AH99" s="100" t="str">
        <f t="shared" si="79"/>
        <v>"%USERPROFILE%\Documents\GitHub\eaglep3\Utilities\RefineRTDCRunTimes.py" --tripid 187-19 --locoid 4025 --swversion DE.1.0.7.0 --startMP 204:444 --initTime 2016-09-19T14:25:04 --startdatetime 2016-09-19T14:30:30 --delay 2 --endMP 204:233246 --enddatetime 2016-09-19T15:06:22 --enforcementcount 0 &gt;&gt;C:\Users\stu\Documents\GitHub\eaglep3-reporting\EC\2016-09-19-refined-times.txt</v>
      </c>
      <c r="AI99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{"issue":{"subject":"","project_id":79,"tracker_id":40,"status_id":1,"priority_id":2,"assigned_to_id":23,"start_date":"2016-09-19","description":"","custom_fields":[{"id":1,"name":"Subdivision","value":"EC"},{"id":4,"name":"Milepost","value":"23.3246"},{"id":17,"name":"Train ID","value":"187-19"},{"id":16,"name":"Locomotive ID","value":"4025"},{"id":130,"name":"Impact","value":""},{"id":150,"name":"Time of Event (Mountain Time)","value":"15:06:22"},{"id":151,"name":"Denver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508</v>
      </c>
      <c r="B100" s="7">
        <v>4026</v>
      </c>
      <c r="C100" s="24" t="s">
        <v>106</v>
      </c>
      <c r="D100" s="24" t="s">
        <v>611</v>
      </c>
      <c r="E100" s="15">
        <v>42632.638692129629</v>
      </c>
      <c r="F100" s="15">
        <v>42632.643449074072</v>
      </c>
      <c r="G100" s="7">
        <v>2</v>
      </c>
      <c r="H100" s="15" t="s">
        <v>356</v>
      </c>
      <c r="I100" s="15">
        <v>42632.670439814814</v>
      </c>
      <c r="J100" s="7">
        <v>0</v>
      </c>
      <c r="K100" s="121" t="str">
        <f t="shared" si="65"/>
        <v>4025/4026</v>
      </c>
      <c r="L100" s="24" t="str">
        <f>VLOOKUP(A100,'Trips&amp;Operators'!$C$1:$E$10000,3,FALSE)</f>
        <v>STEWART</v>
      </c>
      <c r="M100" s="6">
        <f t="shared" si="66"/>
        <v>2.6990740741894115E-2</v>
      </c>
      <c r="N100" s="7">
        <f t="shared" si="67"/>
        <v>38.866666668327525</v>
      </c>
      <c r="O100" s="7"/>
      <c r="P100" s="7"/>
      <c r="Q100" s="25"/>
      <c r="R100" s="25"/>
      <c r="S100" s="37">
        <f t="shared" si="68"/>
        <v>1</v>
      </c>
      <c r="T100" s="52" t="str">
        <f t="shared" si="69"/>
        <v>Southbound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14:19:43-0600',mode:absolute,to:'2016-09-19 17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0" s="54" t="str">
        <f t="shared" si="71"/>
        <v>N</v>
      </c>
      <c r="X100" s="168">
        <f t="shared" si="81"/>
        <v>1</v>
      </c>
      <c r="Y100" s="69">
        <f t="shared" si="72"/>
        <v>23.2928</v>
      </c>
      <c r="Z100" s="69">
        <f t="shared" si="73"/>
        <v>1.3599999999999999E-2</v>
      </c>
      <c r="AA100" s="69">
        <f t="shared" si="74"/>
        <v>23.279199999999999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75"/>
        <v>0188-19</v>
      </c>
      <c r="AE100" s="99" t="str">
        <f t="shared" si="76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100" s="96" t="str">
        <f t="shared" si="77"/>
        <v>"C:\Program Files (x86)\AstroGrep\AstroGrep.exe" /spath="%USERPROFILE%\AppData\Local\Temp\OnboardLogs" /stypes="app*4026*20160919*" /stext=" 22:.+((SYSTEM_STATE.+slice.+state.+changed )|(ment ac)|(system.+state.+changed )|(\|lc)|(penalty)|(\[timeout)|(PRM\|1\|D)|(kpr)|(kdp))" /e /r /s</v>
      </c>
      <c r="AG100" s="1" t="str">
        <f t="shared" si="78"/>
        <v>EC</v>
      </c>
      <c r="AH100" s="100" t="str">
        <f t="shared" si="79"/>
        <v>"%USERPROFILE%\Documents\GitHub\eaglep3\Utilities\RefineRTDCRunTimes.py" --tripid 188-19 --locoid 4026 --swversion DE.1.0.7.0 --startMP 204:232928 --initTime 2016-09-19T15:19:43 --startdatetime 2016-09-19T15:26:34 --delay 2 --endMP 204:136 --enddatetime 2016-09-19T16:05:26 --enforcementcount 0 &gt;&gt;C:\Users\stu\Documents\GitHub\eaglep3-reporting\EC\2016-09-19-refined-times.txt</v>
      </c>
      <c r="AI100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{"issue":{"subject":"","project_id":79,"tracker_id":40,"status_id":1,"priority_id":2,"assigned_to_id":23,"start_date":"2016-09-19","description":"","custom_fields":[{"id":1,"name":"Subdivision","value":"EC"},{"id":4,"name":"Milepost","value":"0.0136"},{"id":17,"name":"Train ID","value":"188-19"},{"id":16,"name":"Locomotive ID","value":"4026"},{"id":130,"name":"Impact","value":""},{"id":150,"name":"Time of Event (Mountain Time)","value":"16:05:26"},{"id":151,"name":"Denver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500</v>
      </c>
      <c r="B101" s="7">
        <v>4053</v>
      </c>
      <c r="C101" s="24" t="s">
        <v>106</v>
      </c>
      <c r="D101" s="24" t="s">
        <v>225</v>
      </c>
      <c r="E101" s="15">
        <v>42632.610891203702</v>
      </c>
      <c r="F101" s="15">
        <v>42632.614872685182</v>
      </c>
      <c r="G101" s="7">
        <v>1</v>
      </c>
      <c r="H101" s="15" t="s">
        <v>340</v>
      </c>
      <c r="I101" s="15">
        <v>42632.640081018515</v>
      </c>
      <c r="J101" s="7">
        <v>0</v>
      </c>
      <c r="K101" s="121" t="str">
        <f t="shared" si="65"/>
        <v>4053/4054</v>
      </c>
      <c r="L101" s="24" t="str">
        <f>VLOOKUP(A101,'Trips&amp;Operators'!$C$1:$E$10000,3,FALSE)</f>
        <v>BARTLETT</v>
      </c>
      <c r="M101" s="6">
        <f t="shared" si="66"/>
        <v>2.5208333332557231E-2</v>
      </c>
      <c r="N101" s="7">
        <f t="shared" si="67"/>
        <v>36.299999998882413</v>
      </c>
      <c r="O101" s="7"/>
      <c r="P101" s="7"/>
      <c r="Q101" s="25"/>
      <c r="R101" s="25"/>
      <c r="S101" s="37">
        <f t="shared" si="68"/>
        <v>1</v>
      </c>
      <c r="T101" s="52" t="str">
        <f t="shared" si="69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13:39:41-0600',mode:absolute,to:'2016-09-19 16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1" s="54" t="str">
        <f t="shared" si="71"/>
        <v>N</v>
      </c>
      <c r="X101" s="168">
        <f t="shared" si="81"/>
        <v>1</v>
      </c>
      <c r="Y101" s="69">
        <f t="shared" si="72"/>
        <v>4.6600000000000003E-2</v>
      </c>
      <c r="Z101" s="69">
        <f t="shared" si="73"/>
        <v>23.331600000000002</v>
      </c>
      <c r="AA101" s="69">
        <f t="shared" si="74"/>
        <v>23.285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75"/>
        <v>0189-19</v>
      </c>
      <c r="AE101" s="99" t="str">
        <f t="shared" si="76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101" s="96" t="str">
        <f t="shared" si="77"/>
        <v>"C:\Program Files (x86)\AstroGrep\AstroGrep.exe" /spath="%USERPROFILE%\AppData\Local\Temp\OnboardLogs" /stypes="app*4053*20160919*" /stext=" 21:.+((SYSTEM_STATE.+slice.+state.+changed )|(ment ac)|(system.+state.+changed )|(\|lc)|(penalty)|(\[timeout)|(PRM\|1\|D)|(kpr)|(kdp))" /e /r /s</v>
      </c>
      <c r="AG101" s="1" t="str">
        <f t="shared" si="78"/>
        <v>EC</v>
      </c>
      <c r="AH101" s="100" t="str">
        <f t="shared" si="79"/>
        <v>"%USERPROFILE%\Documents\GitHub\eaglep3\Utilities\RefineRTDCRunTimes.py" --tripid 189-19 --locoid 4053 --swversion DE.1.0.7.0 --startMP 204:466 --initTime 2016-09-19T14:39:41 --startdatetime 2016-09-19T14:45:25 --delay 1 --endMP 204:233316 --enddatetime 2016-09-19T15:21:43 --enforcementcount 0 &gt;&gt;C:\Users\stu\Documents\GitHub\eaglep3-reporting\EC\2016-09-19-refined-times.txt</v>
      </c>
      <c r="AI101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{"issue":{"subject":"","project_id":79,"tracker_id":40,"status_id":1,"priority_id":2,"assigned_to_id":23,"start_date":"2016-09-19","description":"","custom_fields":[{"id":1,"name":"Subdivision","value":"EC"},{"id":4,"name":"Milepost","value":"23.3316"},{"id":17,"name":"Train ID","value":"189-19"},{"id":16,"name":"Locomotive ID","value":"4053"},{"id":130,"name":"Impact","value":""},{"id":150,"name":"Time of Event (Mountain Time)","value":"15:21:43"},{"id":151,"name":"Denver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509</v>
      </c>
      <c r="B102" s="7">
        <v>4054</v>
      </c>
      <c r="C102" s="24" t="s">
        <v>106</v>
      </c>
      <c r="D102" s="24" t="s">
        <v>610</v>
      </c>
      <c r="E102" s="15">
        <v>42632.641817129632</v>
      </c>
      <c r="F102" s="15">
        <v>42632.653877314813</v>
      </c>
      <c r="G102" s="7">
        <v>1</v>
      </c>
      <c r="H102" s="15" t="s">
        <v>220</v>
      </c>
      <c r="I102" s="15">
        <v>42632.680914351855</v>
      </c>
      <c r="J102" s="7">
        <v>0</v>
      </c>
      <c r="K102" s="121" t="str">
        <f t="shared" si="65"/>
        <v>4053/4054</v>
      </c>
      <c r="L102" s="24" t="str">
        <f>VLOOKUP(A102,'Trips&amp;Operators'!$C$1:$E$10000,3,FALSE)</f>
        <v>BARTLETT</v>
      </c>
      <c r="M102" s="6">
        <f t="shared" si="66"/>
        <v>2.7037037041736767E-2</v>
      </c>
      <c r="N102" s="7">
        <f t="shared" si="67"/>
        <v>38.933333340100944</v>
      </c>
      <c r="O102" s="7"/>
      <c r="P102" s="7"/>
      <c r="Q102" s="25"/>
      <c r="R102" s="25"/>
      <c r="S102" s="37">
        <f t="shared" si="68"/>
        <v>1</v>
      </c>
      <c r="T102" s="52" t="str">
        <f t="shared" si="69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14:24:13-0600',mode:absolute,to:'2016-09-19 17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2" s="54" t="str">
        <f t="shared" si="71"/>
        <v>N</v>
      </c>
      <c r="X102" s="168">
        <f t="shared" si="81"/>
        <v>1</v>
      </c>
      <c r="Y102" s="69">
        <f t="shared" si="72"/>
        <v>23.300699999999999</v>
      </c>
      <c r="Z102" s="69">
        <f t="shared" si="73"/>
        <v>1.4999999999999999E-2</v>
      </c>
      <c r="AA102" s="69">
        <f t="shared" si="74"/>
        <v>23.285699999999999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75"/>
        <v>0190-19</v>
      </c>
      <c r="AE102" s="99" t="str">
        <f t="shared" si="76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102" s="96" t="str">
        <f t="shared" si="77"/>
        <v>"C:\Program Files (x86)\AstroGrep\AstroGrep.exe" /spath="%USERPROFILE%\AppData\Local\Temp\OnboardLogs" /stypes="app*4054*20160919*" /stext=" 22:.+((SYSTEM_STATE.+slice.+state.+changed )|(ment ac)|(system.+state.+changed )|(\|lc)|(penalty)|(\[timeout)|(PRM\|1\|D)|(kpr)|(kdp))" /e /r /s</v>
      </c>
      <c r="AG102" s="1" t="str">
        <f t="shared" si="78"/>
        <v>EC</v>
      </c>
      <c r="AH102" s="100" t="str">
        <f t="shared" si="79"/>
        <v>"%USERPROFILE%\Documents\GitHub\eaglep3\Utilities\RefineRTDCRunTimes.py" --tripid 190-19 --locoid 4054 --swversion DE.1.0.7.0 --startMP 204:233007 --initTime 2016-09-19T15:24:13 --startdatetime 2016-09-19T15:41:35 --delay 1 --endMP 204:150 --enddatetime 2016-09-19T16:20:31 --enforcementcount 0 &gt;&gt;C:\Users\stu\Documents\GitHub\eaglep3-reporting\EC\2016-09-19-refined-times.txt</v>
      </c>
      <c r="AI10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{"issue":{"subject":"","project_id":79,"tracker_id":40,"status_id":1,"priority_id":2,"assigned_to_id":23,"start_date":"2016-09-19","description":"","custom_fields":[{"id":1,"name":"Subdivision","value":"EC"},{"id":4,"name":"Milepost","value":"0.015"},{"id":17,"name":"Train ID","value":"190-19"},{"id":16,"name":"Locomotive ID","value":"4054"},{"id":130,"name":"Impact","value":""},{"id":150,"name":"Time of Event (Mountain Time)","value":"16:20:31"},{"id":151,"name":"Denver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502</v>
      </c>
      <c r="B103" s="7">
        <v>4002</v>
      </c>
      <c r="C103" s="24" t="s">
        <v>106</v>
      </c>
      <c r="D103" s="24" t="s">
        <v>233</v>
      </c>
      <c r="E103" s="15">
        <v>42632.620208333334</v>
      </c>
      <c r="F103" s="15">
        <v>42632.6253125</v>
      </c>
      <c r="G103" s="7">
        <v>1</v>
      </c>
      <c r="H103" s="15" t="s">
        <v>343</v>
      </c>
      <c r="I103" s="15">
        <v>42632.651562500003</v>
      </c>
      <c r="J103" s="7">
        <v>0</v>
      </c>
      <c r="K103" s="121" t="str">
        <f t="shared" si="65"/>
        <v>4001/4002</v>
      </c>
      <c r="L103" s="24" t="str">
        <f>VLOOKUP(A103,'Trips&amp;Operators'!$C$1:$E$10000,3,FALSE)</f>
        <v>BONDS</v>
      </c>
      <c r="M103" s="6">
        <f t="shared" si="66"/>
        <v>2.6250000002619345E-2</v>
      </c>
      <c r="N103" s="7">
        <f t="shared" si="67"/>
        <v>37.800000003771856</v>
      </c>
      <c r="O103" s="7"/>
      <c r="P103" s="7"/>
      <c r="Q103" s="25"/>
      <c r="R103" s="25"/>
      <c r="S103" s="37">
        <f t="shared" si="68"/>
        <v>1</v>
      </c>
      <c r="T103" s="52" t="str">
        <f t="shared" si="69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13:53:06-0600',mode:absolute,to:'2016-09-19 16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3" s="54" t="str">
        <f t="shared" si="71"/>
        <v>N</v>
      </c>
      <c r="X103" s="168">
        <f t="shared" si="81"/>
        <v>1</v>
      </c>
      <c r="Y103" s="69">
        <f t="shared" si="72"/>
        <v>4.6699999999999998E-2</v>
      </c>
      <c r="Z103" s="69">
        <f t="shared" si="73"/>
        <v>23.3249</v>
      </c>
      <c r="AA103" s="69">
        <f t="shared" si="74"/>
        <v>23.278199999999998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75"/>
        <v>0191-19</v>
      </c>
      <c r="AE103" s="99" t="str">
        <f t="shared" si="76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103" s="96" t="str">
        <f t="shared" si="77"/>
        <v>"C:\Program Files (x86)\AstroGrep\AstroGrep.exe" /spath="%USERPROFILE%\AppData\Local\Temp\OnboardLogs" /stypes="app*4002*20160919*" /stext=" 21:.+((SYSTEM_STATE.+slice.+state.+changed )|(ment ac)|(system.+state.+changed )|(\|lc)|(penalty)|(\[timeout)|(PRM\|1\|D)|(kpr)|(kdp))" /e /r /s</v>
      </c>
      <c r="AG103" s="1" t="str">
        <f t="shared" si="78"/>
        <v>EC</v>
      </c>
      <c r="AH103" s="100" t="str">
        <f t="shared" si="79"/>
        <v>"%USERPROFILE%\Documents\GitHub\eaglep3\Utilities\RefineRTDCRunTimes.py" --tripid 191-19 --locoid 4002 --swversion DE.1.0.7.0 --startMP 204:467 --initTime 2016-09-19T14:53:06 --startdatetime 2016-09-19T15:00:27 --delay 1 --endMP 204:233249 --enddatetime 2016-09-19T15:38:15 --enforcementcount 0 &gt;&gt;C:\Users\stu\Documents\GitHub\eaglep3-reporting\EC\2016-09-19-refined-times.txt</v>
      </c>
      <c r="AI103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{"issue":{"subject":"","project_id":79,"tracker_id":40,"status_id":1,"priority_id":2,"assigned_to_id":23,"start_date":"2016-09-19","description":"","custom_fields":[{"id":1,"name":"Subdivision","value":"EC"},{"id":4,"name":"Milepost","value":"23.3249"},{"id":17,"name":"Train ID","value":"191-19"},{"id":16,"name":"Locomotive ID","value":"4002"},{"id":130,"name":"Impact","value":""},{"id":150,"name":"Time of Event (Mountain Time)","value":"15:38:15"},{"id":151,"name":"Denver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513</v>
      </c>
      <c r="B104" s="7">
        <v>4001</v>
      </c>
      <c r="C104" s="24" t="s">
        <v>106</v>
      </c>
      <c r="D104" s="24" t="s">
        <v>637</v>
      </c>
      <c r="E104" s="15">
        <v>42632.656134259261</v>
      </c>
      <c r="F104" s="15">
        <v>42632.664409722223</v>
      </c>
      <c r="G104" s="7">
        <v>1</v>
      </c>
      <c r="H104" s="15" t="s">
        <v>346</v>
      </c>
      <c r="I104" s="15">
        <v>42632.691921296297</v>
      </c>
      <c r="J104" s="7">
        <v>0</v>
      </c>
      <c r="K104" s="121" t="str">
        <f t="shared" si="65"/>
        <v>4001/4002</v>
      </c>
      <c r="L104" s="24" t="str">
        <f>VLOOKUP(A104,'Trips&amp;Operators'!$C$1:$E$10000,3,FALSE)</f>
        <v>BONDS</v>
      </c>
      <c r="M104" s="6">
        <f t="shared" si="66"/>
        <v>2.7511574073287193E-2</v>
      </c>
      <c r="N104" s="7">
        <f t="shared" si="67"/>
        <v>39.616666665533558</v>
      </c>
      <c r="O104" s="7"/>
      <c r="P104" s="7"/>
      <c r="Q104" s="25"/>
      <c r="R104" s="25"/>
      <c r="S104" s="37">
        <f t="shared" si="68"/>
        <v>1</v>
      </c>
      <c r="T104" s="52" t="str">
        <f t="shared" si="69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14:44:50-0600',mode:absolute,to:'2016-09-19 17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4" s="54" t="str">
        <f t="shared" si="71"/>
        <v>N</v>
      </c>
      <c r="X104" s="168">
        <f t="shared" si="81"/>
        <v>1</v>
      </c>
      <c r="Y104" s="69">
        <f t="shared" si="72"/>
        <v>23.2959</v>
      </c>
      <c r="Z104" s="69">
        <f t="shared" si="73"/>
        <v>1.34E-2</v>
      </c>
      <c r="AA104" s="69">
        <f t="shared" si="74"/>
        <v>23.282499999999999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75"/>
        <v>0192-19</v>
      </c>
      <c r="AE104" s="99" t="str">
        <f t="shared" si="76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104" s="96" t="str">
        <f t="shared" si="77"/>
        <v>"C:\Program Files (x86)\AstroGrep\AstroGrep.exe" /spath="%USERPROFILE%\AppData\Local\Temp\OnboardLogs" /stypes="app*4001*20160919*" /stext=" 22:.+((SYSTEM_STATE.+slice.+state.+changed )|(ment ac)|(system.+state.+changed )|(\|lc)|(penalty)|(\[timeout)|(PRM\|1\|D)|(kpr)|(kdp))" /e /r /s</v>
      </c>
      <c r="AG104" s="1" t="str">
        <f t="shared" si="78"/>
        <v>EC</v>
      </c>
      <c r="AH104" s="100" t="str">
        <f t="shared" si="79"/>
        <v>"%USERPROFILE%\Documents\GitHub\eaglep3\Utilities\RefineRTDCRunTimes.py" --tripid 192-19 --locoid 4001 --swversion DE.1.0.7.0 --startMP 204:232959 --initTime 2016-09-19T15:44:50 --startdatetime 2016-09-19T15:56:45 --delay 1 --endMP 204:134 --enddatetime 2016-09-19T16:36:22 --enforcementcount 0 &gt;&gt;C:\Users\stu\Documents\GitHub\eaglep3-reporting\EC\2016-09-19-refined-times.txt</v>
      </c>
      <c r="AI10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{"issue":{"subject":"","project_id":79,"tracker_id":40,"status_id":1,"priority_id":2,"assigned_to_id":23,"start_date":"2016-09-19","description":"","custom_fields":[{"id":1,"name":"Subdivision","value":"EC"},{"id":4,"name":"Milepost","value":"0.0134"},{"id":17,"name":"Train ID","value":"192-19"},{"id":16,"name":"Locomotive ID","value":"4001"},{"id":130,"name":"Impact","value":""},{"id":150,"name":"Time of Event (Mountain Time)","value":"16:36:22"},{"id":151,"name":"Denver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505</v>
      </c>
      <c r="B105" s="7">
        <v>4031</v>
      </c>
      <c r="C105" s="24" t="s">
        <v>106</v>
      </c>
      <c r="D105" s="24" t="s">
        <v>233</v>
      </c>
      <c r="E105" s="15">
        <v>42632.633611111109</v>
      </c>
      <c r="F105" s="15">
        <v>42632.635578703703</v>
      </c>
      <c r="G105" s="7">
        <v>1</v>
      </c>
      <c r="H105" s="15" t="s">
        <v>341</v>
      </c>
      <c r="I105" s="15">
        <v>42632.661030092589</v>
      </c>
      <c r="J105" s="7">
        <v>0</v>
      </c>
      <c r="K105" s="121" t="str">
        <f t="shared" si="65"/>
        <v>4031/4032</v>
      </c>
      <c r="L105" s="24" t="str">
        <f>VLOOKUP(A105,'Trips&amp;Operators'!$C$1:$E$10000,3,FALSE)</f>
        <v>CLARK</v>
      </c>
      <c r="M105" s="6">
        <f t="shared" si="66"/>
        <v>2.545138888672227E-2</v>
      </c>
      <c r="N105" s="7">
        <f t="shared" si="67"/>
        <v>36.649999996880069</v>
      </c>
      <c r="O105" s="7"/>
      <c r="P105" s="7"/>
      <c r="Q105" s="25"/>
      <c r="R105" s="25"/>
      <c r="S105" s="37">
        <f t="shared" si="68"/>
        <v>1</v>
      </c>
      <c r="T105" s="52" t="str">
        <f t="shared" si="69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14:12:24-0600',mode:absolute,to:'2016-09-19 16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5" s="54" t="str">
        <f t="shared" si="71"/>
        <v>N</v>
      </c>
      <c r="X105" s="168">
        <f t="shared" si="81"/>
        <v>1</v>
      </c>
      <c r="Y105" s="69">
        <f t="shared" si="72"/>
        <v>4.6699999999999998E-2</v>
      </c>
      <c r="Z105" s="69">
        <f t="shared" si="73"/>
        <v>23.3307</v>
      </c>
      <c r="AA105" s="69">
        <f t="shared" si="74"/>
        <v>23.283999999999999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75"/>
        <v>0193-19</v>
      </c>
      <c r="AE105" s="99" t="str">
        <f t="shared" si="76"/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AF105" s="96" t="str">
        <f t="shared" si="77"/>
        <v>"C:\Program Files (x86)\AstroGrep\AstroGrep.exe" /spath="%USERPROFILE%\AppData\Local\Temp\OnboardLogs" /stypes="app*4031*20160919*" /stext=" 21:.+((SYSTEM_STATE.+slice.+state.+changed )|(ment ac)|(system.+state.+changed )|(\|lc)|(penalty)|(\[timeout)|(PRM\|1\|D)|(kpr)|(kdp))" /e /r /s</v>
      </c>
      <c r="AG105" s="1" t="str">
        <f t="shared" si="78"/>
        <v>EC</v>
      </c>
      <c r="AH105" s="100" t="str">
        <f t="shared" si="79"/>
        <v>"%USERPROFILE%\Documents\GitHub\eaglep3\Utilities\RefineRTDCRunTimes.py" --tripid 193-19 --locoid 4031 --swversion DE.1.0.7.0 --startMP 204:467 --initTime 2016-09-19T15:12:24 --startdatetime 2016-09-19T15:15:14 --delay 1 --endMP 204:233307 --enddatetime 2016-09-19T15:51:53 --enforcementcount 0 &gt;&gt;C:\Users\stu\Documents\GitHub\eaglep3-reporting\EC\2016-09-19-refined-times.txt</v>
      </c>
      <c r="AI105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{"issue":{"subject":"","project_id":79,"tracker_id":40,"status_id":1,"priority_id":2,"assigned_to_id":23,"start_date":"2016-09-19","description":"","custom_fields":[{"id":1,"name":"Subdivision","value":"EC"},{"id":4,"name":"Milepost","value":"23.3307"},{"id":17,"name":"Train ID","value":"193-19"},{"id":16,"name":"Locomotive ID","value":"4031"},{"id":130,"name":"Impact","value":""},{"id":150,"name":"Time of Event (Mountain Time)","value":"15:51:53"},{"id":151,"name":"Denver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516</v>
      </c>
      <c r="B106" s="7">
        <v>4032</v>
      </c>
      <c r="C106" s="24" t="s">
        <v>106</v>
      </c>
      <c r="D106" s="24" t="s">
        <v>633</v>
      </c>
      <c r="E106" s="15">
        <v>42632.668009259258</v>
      </c>
      <c r="F106" s="15">
        <v>42632.674537037034</v>
      </c>
      <c r="G106" s="7">
        <v>1</v>
      </c>
      <c r="H106" s="15" t="s">
        <v>638</v>
      </c>
      <c r="I106" s="15">
        <v>42632.703611111108</v>
      </c>
      <c r="J106" s="7">
        <v>0</v>
      </c>
      <c r="K106" s="121" t="str">
        <f t="shared" si="65"/>
        <v>4031/4032</v>
      </c>
      <c r="L106" s="24" t="str">
        <f>VLOOKUP(A106,'Trips&amp;Operators'!$C$1:$E$10000,3,FALSE)</f>
        <v>CLARK</v>
      </c>
      <c r="M106" s="6">
        <f t="shared" si="66"/>
        <v>2.9074074074742384E-2</v>
      </c>
      <c r="N106" s="7">
        <f t="shared" si="67"/>
        <v>41.866666667629033</v>
      </c>
      <c r="O106" s="7"/>
      <c r="P106" s="7"/>
      <c r="Q106" s="25"/>
      <c r="R106" s="25"/>
      <c r="S106" s="37">
        <f t="shared" si="68"/>
        <v>1</v>
      </c>
      <c r="T106" s="52" t="str">
        <f t="shared" si="69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15:01:56-0600',mode:absolute,to:'2016-09-19 17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6" s="54" t="str">
        <f t="shared" si="71"/>
        <v>N</v>
      </c>
      <c r="X106" s="168">
        <f t="shared" si="81"/>
        <v>1</v>
      </c>
      <c r="Y106" s="69">
        <f t="shared" si="72"/>
        <v>23.2986</v>
      </c>
      <c r="Z106" s="69">
        <f t="shared" si="73"/>
        <v>1.83E-2</v>
      </c>
      <c r="AA106" s="69">
        <f t="shared" si="74"/>
        <v>23.2803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75"/>
        <v>0194-19</v>
      </c>
      <c r="AE106" s="99" t="str">
        <f t="shared" si="76"/>
        <v>aws s3 cp s3://rtdc.mdm.uploadarchive/RTDC4032/2016-09-19/ "%USERPROFILE%\AppData\Local\Temp\OnboardLogs"\RTDC4032\2016-09-19 --recursive &amp; "%USERPROFILE%\Documents\GitHub\mrs-test-scripts\Headless Mode &amp; Sideloading\WalkAndUnGZ.bat" "%USERPROFILE%\AppData\Local\Temp\OnboardLogs"\RTDC4032\2016-09-19 &amp; aws s3 cp s3://rtdc.mdm.uploadarchive/RTDC4032/2016-09-20/ "%USERPROFILE%\AppData\Local\Temp\OnboardLogs"\RTDC4032\2016-09-20 --recursive &amp; "%USERPROFILE%\Documents\GitHub\mrs-test-scripts\Headless Mode &amp; Sideloading\WalkAndUnGZ.bat" "%USERPROFILE%\AppData\Local\Temp\OnboardLogs"\RTDC4032\2016-09-20</v>
      </c>
      <c r="AF106" s="96" t="str">
        <f t="shared" si="77"/>
        <v>"C:\Program Files (x86)\AstroGrep\AstroGrep.exe" /spath="%USERPROFILE%\AppData\Local\Temp\OnboardLogs" /stypes="app*4032*20160919*" /stext=" 22:.+((SYSTEM_STATE.+slice.+state.+changed )|(ment ac)|(system.+state.+changed )|(\|lc)|(penalty)|(\[timeout)|(PRM\|1\|D)|(kpr)|(kdp))" /e /r /s</v>
      </c>
      <c r="AG106" s="1" t="str">
        <f t="shared" si="78"/>
        <v>EC</v>
      </c>
      <c r="AH106" s="100" t="str">
        <f t="shared" si="79"/>
        <v>"%USERPROFILE%\Documents\GitHub\eaglep3\Utilities\RefineRTDCRunTimes.py" --tripid 194-19 --locoid 4032 --swversion DE.1.0.7.0 --startMP 204:232986 --initTime 2016-09-19T16:01:56 --startdatetime 2016-09-19T16:11:20 --delay 1 --endMP 204:183 --enddatetime 2016-09-19T16:53:12 --enforcementcount 0 &gt;&gt;C:\Users\stu\Documents\GitHub\eaglep3-reporting\EC\2016-09-19-refined-times.txt</v>
      </c>
      <c r="AI106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{"issue":{"subject":"","project_id":79,"tracker_id":40,"status_id":1,"priority_id":2,"assigned_to_id":23,"start_date":"2016-09-19","description":"","custom_fields":[{"id":1,"name":"Subdivision","value":"EC"},{"id":4,"name":"Milepost","value":"0.0183"},{"id":17,"name":"Train ID","value":"194-19"},{"id":16,"name":"Locomotive ID","value":"4032"},{"id":130,"name":"Impact","value":""},{"id":150,"name":"Time of Event (Mountain Time)","value":"16:53:12"},{"id":151,"name":"Denver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510</v>
      </c>
      <c r="B107" s="7">
        <v>4042</v>
      </c>
      <c r="C107" s="24" t="s">
        <v>106</v>
      </c>
      <c r="D107" s="24" t="s">
        <v>243</v>
      </c>
      <c r="E107" s="15">
        <v>42632.643275462964</v>
      </c>
      <c r="F107" s="15">
        <v>42632.646145833336</v>
      </c>
      <c r="G107" s="7">
        <v>1</v>
      </c>
      <c r="H107" s="15" t="s">
        <v>271</v>
      </c>
      <c r="I107" s="15">
        <v>42632.672685185185</v>
      </c>
      <c r="J107" s="7">
        <v>0</v>
      </c>
      <c r="K107" s="121" t="str">
        <f t="shared" si="65"/>
        <v>4041/4042</v>
      </c>
      <c r="L107" s="24" t="str">
        <f>VLOOKUP(A107,'Trips&amp;Operators'!$C$1:$E$10000,3,FALSE)</f>
        <v>YOUNG</v>
      </c>
      <c r="M107" s="6">
        <f t="shared" si="66"/>
        <v>2.6539351849351078E-2</v>
      </c>
      <c r="N107" s="7">
        <f t="shared" si="67"/>
        <v>38.216666663065553</v>
      </c>
      <c r="O107" s="7"/>
      <c r="P107" s="7"/>
      <c r="Q107" s="25"/>
      <c r="R107" s="25"/>
      <c r="S107" s="37">
        <f t="shared" si="68"/>
        <v>1</v>
      </c>
      <c r="T107" s="52" t="str">
        <f t="shared" si="69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14:26:19-0600',mode:absolute,to:'2016-09-19 17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7" s="54" t="str">
        <f t="shared" si="71"/>
        <v>N</v>
      </c>
      <c r="X107" s="168">
        <f t="shared" si="81"/>
        <v>1</v>
      </c>
      <c r="Y107" s="69">
        <f t="shared" si="72"/>
        <v>4.7500000000000001E-2</v>
      </c>
      <c r="Z107" s="69">
        <f t="shared" si="73"/>
        <v>23.3263</v>
      </c>
      <c r="AA107" s="69">
        <f t="shared" si="74"/>
        <v>23.2788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75"/>
        <v>0195-19</v>
      </c>
      <c r="AE107" s="99" t="str">
        <f t="shared" si="76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107" s="96" t="str">
        <f t="shared" si="77"/>
        <v>"C:\Program Files (x86)\AstroGrep\AstroGrep.exe" /spath="%USERPROFILE%\AppData\Local\Temp\OnboardLogs" /stypes="app*4042*20160919*" /stext=" 22:.+((SYSTEM_STATE.+slice.+state.+changed )|(ment ac)|(system.+state.+changed )|(\|lc)|(penalty)|(\[timeout)|(PRM\|1\|D)|(kpr)|(kdp))" /e /r /s</v>
      </c>
      <c r="AG107" s="1" t="str">
        <f t="shared" si="78"/>
        <v>EC</v>
      </c>
      <c r="AH107" s="100" t="str">
        <f t="shared" si="79"/>
        <v>"%USERPROFILE%\Documents\GitHub\eaglep3\Utilities\RefineRTDCRunTimes.py" --tripid 195-19 --locoid 4042 --swversion DE.1.0.7.0 --startMP 204:475 --initTime 2016-09-19T15:26:19 --startdatetime 2016-09-19T15:30:27 --delay 1 --endMP 204:233263 --enddatetime 2016-09-19T16:08:40 --enforcementcount 0 &gt;&gt;C:\Users\stu\Documents\GitHub\eaglep3-reporting\EC\2016-09-19-refined-times.txt</v>
      </c>
      <c r="AI107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{"issue":{"subject":"","project_id":79,"tracker_id":40,"status_id":1,"priority_id":2,"assigned_to_id":23,"start_date":"2016-09-19","description":"","custom_fields":[{"id":1,"name":"Subdivision","value":"EC"},{"id":4,"name":"Milepost","value":"23.3263"},{"id":17,"name":"Train ID","value":"195-19"},{"id":16,"name":"Locomotive ID","value":"4042"},{"id":130,"name":"Impact","value":""},{"id":150,"name":"Time of Event (Mountain Time)","value":"16:08:40"},{"id":151,"name":"Denver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519</v>
      </c>
      <c r="B108" s="7">
        <v>4041</v>
      </c>
      <c r="C108" s="24" t="s">
        <v>106</v>
      </c>
      <c r="D108" s="24" t="s">
        <v>302</v>
      </c>
      <c r="E108" s="15">
        <v>42632.676180555558</v>
      </c>
      <c r="F108" s="15">
        <v>42632.685173611113</v>
      </c>
      <c r="G108" s="7">
        <v>1</v>
      </c>
      <c r="H108" s="15" t="s">
        <v>639</v>
      </c>
      <c r="I108" s="15">
        <v>42632.713159722225</v>
      </c>
      <c r="J108" s="7">
        <v>0</v>
      </c>
      <c r="K108" s="121" t="str">
        <f t="shared" si="65"/>
        <v>4041/4042</v>
      </c>
      <c r="L108" s="24" t="str">
        <f>VLOOKUP(A108,'Trips&amp;Operators'!$C$1:$E$10000,3,FALSE)</f>
        <v>YOUNG</v>
      </c>
      <c r="M108" s="6">
        <f t="shared" si="66"/>
        <v>2.7986111112113576E-2</v>
      </c>
      <c r="N108" s="7">
        <f t="shared" si="67"/>
        <v>40.30000000144355</v>
      </c>
      <c r="O108" s="7"/>
      <c r="P108" s="7"/>
      <c r="Q108" s="25"/>
      <c r="R108" s="25"/>
      <c r="S108" s="37">
        <f t="shared" si="68"/>
        <v>1</v>
      </c>
      <c r="T108" s="52" t="str">
        <f t="shared" si="69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15:13:42-0600',mode:absolute,to:'2016-09-19 18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8" s="54" t="str">
        <f t="shared" si="71"/>
        <v>N</v>
      </c>
      <c r="X108" s="168">
        <f t="shared" si="81"/>
        <v>1</v>
      </c>
      <c r="Y108" s="69">
        <f t="shared" si="72"/>
        <v>23.294</v>
      </c>
      <c r="Z108" s="69">
        <f t="shared" si="73"/>
        <v>1.8700000000000001E-2</v>
      </c>
      <c r="AA108" s="69">
        <f t="shared" si="74"/>
        <v>23.275300000000001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75"/>
        <v>0196-19</v>
      </c>
      <c r="AE108" s="99" t="str">
        <f t="shared" si="76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108" s="96" t="str">
        <f t="shared" si="77"/>
        <v>"C:\Program Files (x86)\AstroGrep\AstroGrep.exe" /spath="%USERPROFILE%\AppData\Local\Temp\OnboardLogs" /stypes="app*4041*20160919*" /stext=" 23:.+((SYSTEM_STATE.+slice.+state.+changed )|(ment ac)|(system.+state.+changed )|(\|lc)|(penalty)|(\[timeout)|(PRM\|1\|D)|(kpr)|(kdp))" /e /r /s</v>
      </c>
      <c r="AG108" s="1" t="str">
        <f t="shared" si="78"/>
        <v>EC</v>
      </c>
      <c r="AH108" s="100" t="str">
        <f t="shared" si="79"/>
        <v>"%USERPROFILE%\Documents\GitHub\eaglep3\Utilities\RefineRTDCRunTimes.py" --tripid 196-19 --locoid 4041 --swversion DE.1.0.7.0 --startMP 204:232940 --initTime 2016-09-19T16:13:42 --startdatetime 2016-09-19T16:26:39 --delay 1 --endMP 204:187 --enddatetime 2016-09-19T17:06:57 --enforcementcount 0 &gt;&gt;C:\Users\stu\Documents\GitHub\eaglep3-reporting\EC\2016-09-19-refined-times.txt</v>
      </c>
      <c r="AI108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{"issue":{"subject":"","project_id":79,"tracker_id":40,"status_id":1,"priority_id":2,"assigned_to_id":23,"start_date":"2016-09-19","description":"","custom_fields":[{"id":1,"name":"Subdivision","value":"EC"},{"id":4,"name":"Milepost","value":"0.0187"},{"id":17,"name":"Train ID","value":"196-19"},{"id":16,"name":"Locomotive ID","value":"4041"},{"id":130,"name":"Impact","value":""},{"id":150,"name":"Time of Event (Mountain Time)","value":"17:06:57"},{"id":151,"name":"Denver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511</v>
      </c>
      <c r="B109" s="7">
        <v>4011</v>
      </c>
      <c r="C109" s="24" t="s">
        <v>106</v>
      </c>
      <c r="D109" s="24" t="s">
        <v>227</v>
      </c>
      <c r="E109" s="15">
        <v>42632.650590277779</v>
      </c>
      <c r="F109" s="15">
        <v>42632.656469907408</v>
      </c>
      <c r="G109" s="7">
        <v>1</v>
      </c>
      <c r="H109" s="15" t="s">
        <v>325</v>
      </c>
      <c r="I109" s="15">
        <v>42632.682916666665</v>
      </c>
      <c r="J109" s="7">
        <v>0</v>
      </c>
      <c r="K109" s="121" t="str">
        <f t="shared" si="65"/>
        <v>4011/4012</v>
      </c>
      <c r="L109" s="24" t="str">
        <f>VLOOKUP(A109,'Trips&amp;Operators'!$C$1:$E$10000,3,FALSE)</f>
        <v>DELGADO</v>
      </c>
      <c r="M109" s="6">
        <f t="shared" si="66"/>
        <v>2.6446759256941732E-2</v>
      </c>
      <c r="N109" s="7">
        <f t="shared" si="67"/>
        <v>38.083333329996094</v>
      </c>
      <c r="O109" s="7"/>
      <c r="P109" s="7"/>
      <c r="Q109" s="25"/>
      <c r="R109" s="25"/>
      <c r="S109" s="37">
        <f t="shared" si="68"/>
        <v>1</v>
      </c>
      <c r="T109" s="52" t="str">
        <f t="shared" si="69"/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14:36:51-0600',mode:absolute,to:'2016-09-19 17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9" s="54" t="str">
        <f t="shared" si="71"/>
        <v>N</v>
      </c>
      <c r="X109" s="168">
        <f t="shared" si="81"/>
        <v>1</v>
      </c>
      <c r="Y109" s="69">
        <f t="shared" si="72"/>
        <v>4.5499999999999999E-2</v>
      </c>
      <c r="Z109" s="69">
        <f t="shared" si="73"/>
        <v>23.3293</v>
      </c>
      <c r="AA109" s="69">
        <f t="shared" si="74"/>
        <v>23.283799999999999</v>
      </c>
      <c r="AB109" s="66" t="str">
        <f>VLOOKUP(A109,Enforcements!$C$7:$K$20,8,0)</f>
        <v>Speed (6)</v>
      </c>
      <c r="AC109" s="62" t="str">
        <f>VLOOKUP(A109,Enforcements!$C$7:$E$20,3,0)</f>
        <v>PERMANENT SPEED RESTRICTION</v>
      </c>
      <c r="AD109" s="63" t="str">
        <f t="shared" si="75"/>
        <v>0197-19</v>
      </c>
      <c r="AE109" s="99" t="str">
        <f t="shared" si="76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109" s="96" t="str">
        <f t="shared" si="77"/>
        <v>"C:\Program Files (x86)\AstroGrep\AstroGrep.exe" /spath="%USERPROFILE%\AppData\Local\Temp\OnboardLogs" /stypes="app*4011*20160919*" /stext=" 22:.+((SYSTEM_STATE.+slice.+state.+changed )|(ment ac)|(system.+state.+changed )|(\|lc)|(penalty)|(\[timeout)|(PRM\|1\|D)|(kpr)|(kdp))" /e /r /s</v>
      </c>
      <c r="AG109" s="1" t="str">
        <f t="shared" si="78"/>
        <v>EC</v>
      </c>
      <c r="AH109" s="100" t="str">
        <f t="shared" si="79"/>
        <v>"%USERPROFILE%\Documents\GitHub\eaglep3\Utilities\RefineRTDCRunTimes.py" --tripid 197-19 --locoid 4011 --swversion DE.1.0.7.0 --startMP 204:455 --initTime 2016-09-19T15:36:51 --startdatetime 2016-09-19T15:45:19 --delay 1 --endMP 204:233293 --enddatetime 2016-09-19T16:23:24 --enforcementcount 0 &gt;&gt;C:\Users\stu\Documents\GitHub\eaglep3-reporting\EC\2016-09-19-refined-times.txt</v>
      </c>
      <c r="AI109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{"issue":{"subject":"","project_id":79,"tracker_id":40,"status_id":1,"priority_id":2,"assigned_to_id":23,"start_date":"2016-09-19","description":"","custom_fields":[{"id":1,"name":"Subdivision","value":"EC"},{"id":4,"name":"Milepost","value":"23.3293"},{"id":17,"name":"Train ID","value":"197-19"},{"id":16,"name":"Locomotive ID","value":"4011"},{"id":130,"name":"Impact","value":""},{"id":150,"name":"Time of Event (Mountain Time)","value":"16:23:24"},{"id":151,"name":"Denver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522</v>
      </c>
      <c r="B110" s="7">
        <v>4012</v>
      </c>
      <c r="C110" s="24" t="s">
        <v>106</v>
      </c>
      <c r="D110" s="24" t="s">
        <v>255</v>
      </c>
      <c r="E110" s="15">
        <v>42632.685115740744</v>
      </c>
      <c r="F110" s="15">
        <v>42632.695474537039</v>
      </c>
      <c r="G110" s="7">
        <v>1</v>
      </c>
      <c r="H110" s="15" t="s">
        <v>127</v>
      </c>
      <c r="I110" s="15">
        <v>42632.722928240742</v>
      </c>
      <c r="J110" s="7">
        <v>0</v>
      </c>
      <c r="K110" s="121" t="str">
        <f t="shared" si="65"/>
        <v>4011/4012</v>
      </c>
      <c r="L110" s="24" t="str">
        <f>VLOOKUP(A110,'Trips&amp;Operators'!$C$1:$E$10000,3,FALSE)</f>
        <v>DELGADO</v>
      </c>
      <c r="M110" s="6">
        <f t="shared" si="66"/>
        <v>2.7453703703940846E-2</v>
      </c>
      <c r="N110" s="7">
        <f t="shared" si="67"/>
        <v>39.533333333674818</v>
      </c>
      <c r="O110" s="7"/>
      <c r="P110" s="7"/>
      <c r="Q110" s="25"/>
      <c r="R110" s="25"/>
      <c r="S110" s="37">
        <f t="shared" si="68"/>
        <v>1</v>
      </c>
      <c r="T110" s="52" t="str">
        <f t="shared" si="69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15:26:34-0600',mode:absolute,to:'2016-09-19 18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0" s="54" t="str">
        <f t="shared" si="71"/>
        <v>N</v>
      </c>
      <c r="X110" s="168">
        <f t="shared" si="81"/>
        <v>1</v>
      </c>
      <c r="Y110" s="69">
        <f t="shared" si="72"/>
        <v>23.2971</v>
      </c>
      <c r="Z110" s="69">
        <f t="shared" si="73"/>
        <v>1.54E-2</v>
      </c>
      <c r="AA110" s="69">
        <f t="shared" si="74"/>
        <v>23.281700000000001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75"/>
        <v>0198-19</v>
      </c>
      <c r="AE110" s="99" t="str">
        <f t="shared" si="76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110" s="96" t="str">
        <f t="shared" si="77"/>
        <v>"C:\Program Files (x86)\AstroGrep\AstroGrep.exe" /spath="%USERPROFILE%\AppData\Local\Temp\OnboardLogs" /stypes="app*4012*20160919*" /stext=" 23:.+((SYSTEM_STATE.+slice.+state.+changed )|(ment ac)|(system.+state.+changed )|(\|lc)|(penalty)|(\[timeout)|(PRM\|1\|D)|(kpr)|(kdp))" /e /r /s</v>
      </c>
      <c r="AG110" s="1" t="str">
        <f t="shared" si="78"/>
        <v>EC</v>
      </c>
      <c r="AH110" s="100" t="str">
        <f t="shared" si="79"/>
        <v>"%USERPROFILE%\Documents\GitHub\eaglep3\Utilities\RefineRTDCRunTimes.py" --tripid 198-19 --locoid 4012 --swversion DE.1.0.7.0 --startMP 204:232971 --initTime 2016-09-19T16:26:34 --startdatetime 2016-09-19T16:41:29 --delay 1 --endMP 204:154 --enddatetime 2016-09-19T17:21:01 --enforcementcount 0 &gt;&gt;C:\Users\stu\Documents\GitHub\eaglep3-reporting\EC\2016-09-19-refined-times.txt</v>
      </c>
      <c r="AI110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{"issue":{"subject":"","project_id":79,"tracker_id":40,"status_id":1,"priority_id":2,"assigned_to_id":23,"start_date":"2016-09-19","description":"","custom_fields":[{"id":1,"name":"Subdivision","value":"EC"},{"id":4,"name":"Milepost","value":"0.0154"},{"id":17,"name":"Train ID","value":"198-19"},{"id":16,"name":"Locomotive ID","value":"4012"},{"id":130,"name":"Impact","value":""},{"id":150,"name":"Time of Event (Mountain Time)","value":"17:21:01"},{"id":151,"name":"Denver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515</v>
      </c>
      <c r="B111" s="7">
        <v>4007</v>
      </c>
      <c r="C111" s="24" t="s">
        <v>106</v>
      </c>
      <c r="D111" s="24" t="s">
        <v>219</v>
      </c>
      <c r="E111" s="15">
        <v>42632.662685185183</v>
      </c>
      <c r="F111" s="15">
        <v>42632.66684027778</v>
      </c>
      <c r="G111" s="7">
        <v>1</v>
      </c>
      <c r="H111" s="15" t="s">
        <v>271</v>
      </c>
      <c r="I111" s="15">
        <v>42632.693599537037</v>
      </c>
      <c r="J111" s="7">
        <v>0</v>
      </c>
      <c r="K111" s="121" t="str">
        <f t="shared" si="65"/>
        <v>4007/4008</v>
      </c>
      <c r="L111" s="24" t="str">
        <f>VLOOKUP(A111,'Trips&amp;Operators'!$C$1:$E$10000,3,FALSE)</f>
        <v>ISHMAEL</v>
      </c>
      <c r="M111" s="6">
        <f t="shared" si="66"/>
        <v>2.675925925723277E-2</v>
      </c>
      <c r="N111" s="7">
        <f t="shared" si="67"/>
        <v>38.533333330415189</v>
      </c>
      <c r="O111" s="7"/>
      <c r="P111" s="7"/>
      <c r="Q111" s="25"/>
      <c r="R111" s="25"/>
      <c r="S111" s="37">
        <f t="shared" si="68"/>
        <v>1</v>
      </c>
      <c r="T111" s="52" t="str">
        <f t="shared" si="69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14:54:16-0600',mode:absolute,to:'2016-09-19 17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11" s="54" t="str">
        <f t="shared" si="71"/>
        <v>N</v>
      </c>
      <c r="X111" s="168">
        <f t="shared" si="81"/>
        <v>1</v>
      </c>
      <c r="Y111" s="69">
        <f t="shared" si="72"/>
        <v>4.53E-2</v>
      </c>
      <c r="Z111" s="69">
        <f t="shared" si="73"/>
        <v>23.3263</v>
      </c>
      <c r="AA111" s="69">
        <f t="shared" si="74"/>
        <v>23.280999999999999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75"/>
        <v>0199-19</v>
      </c>
      <c r="AE111" s="99" t="str">
        <f t="shared" si="76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111" s="96" t="str">
        <f t="shared" si="77"/>
        <v>"C:\Program Files (x86)\AstroGrep\AstroGrep.exe" /spath="%USERPROFILE%\AppData\Local\Temp\OnboardLogs" /stypes="app*4007*20160919*" /stext=" 22:.+((SYSTEM_STATE.+slice.+state.+changed )|(ment ac)|(system.+state.+changed )|(\|lc)|(penalty)|(\[timeout)|(PRM\|1\|D)|(kpr)|(kdp))" /e /r /s</v>
      </c>
      <c r="AG111" s="1" t="str">
        <f t="shared" si="78"/>
        <v>EC</v>
      </c>
      <c r="AH111" s="100" t="str">
        <f t="shared" si="79"/>
        <v>"%USERPROFILE%\Documents\GitHub\eaglep3\Utilities\RefineRTDCRunTimes.py" --tripid 199-19 --locoid 4007 --swversion DE.1.0.7.0 --startMP 204:453 --initTime 2016-09-19T15:54:16 --startdatetime 2016-09-19T16:00:15 --delay 1 --endMP 204:233263 --enddatetime 2016-09-19T16:38:47 --enforcementcount 0 &gt;&gt;C:\Users\stu\Documents\GitHub\eaglep3-reporting\EC\2016-09-19-refined-times.txt</v>
      </c>
      <c r="AI111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{"issue":{"subject":"","project_id":79,"tracker_id":40,"status_id":1,"priority_id":2,"assigned_to_id":23,"start_date":"2016-09-19","description":"","custom_fields":[{"id":1,"name":"Subdivision","value":"EC"},{"id":4,"name":"Milepost","value":"23.3263"},{"id":17,"name":"Train ID","value":"199-19"},{"id":16,"name":"Locomotive ID","value":"4007"},{"id":130,"name":"Impact","value":""},{"id":150,"name":"Time of Event (Mountain Time)","value":"16:38:47"},{"id":151,"name":"Denver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526</v>
      </c>
      <c r="B112" s="7">
        <v>4008</v>
      </c>
      <c r="C112" s="24" t="s">
        <v>106</v>
      </c>
      <c r="D112" s="24" t="s">
        <v>637</v>
      </c>
      <c r="E112" s="15">
        <v>42632.702476851853</v>
      </c>
      <c r="F112" s="15">
        <v>42632.705868055556</v>
      </c>
      <c r="G112" s="7">
        <v>1</v>
      </c>
      <c r="H112" s="15" t="s">
        <v>602</v>
      </c>
      <c r="I112" s="15">
        <v>42632.732175925928</v>
      </c>
      <c r="J112" s="7">
        <v>0</v>
      </c>
      <c r="K112" s="121" t="str">
        <f t="shared" si="65"/>
        <v>4007/4008</v>
      </c>
      <c r="L112" s="24" t="str">
        <f>VLOOKUP(A112,'Trips&amp;Operators'!$C$1:$E$10000,3,FALSE)</f>
        <v>ISHMAEL</v>
      </c>
      <c r="M112" s="6">
        <f t="shared" si="66"/>
        <v>2.6307870371965691E-2</v>
      </c>
      <c r="N112" s="7">
        <f t="shared" si="67"/>
        <v>37.883333335630596</v>
      </c>
      <c r="O112" s="7"/>
      <c r="P112" s="7"/>
      <c r="Q112" s="25"/>
      <c r="R112" s="25"/>
      <c r="S112" s="37">
        <f t="shared" si="68"/>
        <v>1</v>
      </c>
      <c r="T112" s="52" t="str">
        <f t="shared" si="69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15:51:34-0600',mode:absolute,to:'2016-09-19 18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12" s="54" t="str">
        <f t="shared" si="71"/>
        <v>N</v>
      </c>
      <c r="X112" s="168">
        <f t="shared" si="81"/>
        <v>1</v>
      </c>
      <c r="Y112" s="69">
        <f t="shared" si="72"/>
        <v>23.2959</v>
      </c>
      <c r="Z112" s="69">
        <f t="shared" si="73"/>
        <v>1.41E-2</v>
      </c>
      <c r="AA112" s="69">
        <f t="shared" si="74"/>
        <v>23.2818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75"/>
        <v>0200-19</v>
      </c>
      <c r="AE112" s="99" t="str">
        <f t="shared" si="76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112" s="96" t="str">
        <f t="shared" si="77"/>
        <v>"C:\Program Files (x86)\AstroGrep\AstroGrep.exe" /spath="%USERPROFILE%\AppData\Local\Temp\OnboardLogs" /stypes="app*4008*20160919*" /stext=" 23:.+((SYSTEM_STATE.+slice.+state.+changed )|(ment ac)|(system.+state.+changed )|(\|lc)|(penalty)|(\[timeout)|(PRM\|1\|D)|(kpr)|(kdp))" /e /r /s</v>
      </c>
      <c r="AG112" s="1" t="str">
        <f t="shared" si="78"/>
        <v>EC</v>
      </c>
      <c r="AH112" s="100" t="str">
        <f t="shared" si="79"/>
        <v>"%USERPROFILE%\Documents\GitHub\eaglep3\Utilities\RefineRTDCRunTimes.py" --tripid 200-19 --locoid 4008 --swversion DE.1.0.7.0 --startMP 204:232959 --initTime 2016-09-19T16:51:34 --startdatetime 2016-09-19T16:56:27 --delay 1 --endMP 204:141 --enddatetime 2016-09-19T17:34:20 --enforcementcount 0 &gt;&gt;C:\Users\stu\Documents\GitHub\eaglep3-reporting\EC\2016-09-19-refined-times.txt</v>
      </c>
      <c r="AI11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{"issue":{"subject":"","project_id":79,"tracker_id":40,"status_id":1,"priority_id":2,"assigned_to_id":23,"start_date":"2016-09-19","description":"","custom_fields":[{"id":1,"name":"Subdivision","value":"EC"},{"id":4,"name":"Milepost","value":"0.0141"},{"id":17,"name":"Train ID","value":"200-19"},{"id":16,"name":"Locomotive ID","value":"4008"},{"id":130,"name":"Impact","value":""},{"id":150,"name":"Time of Event (Mountain Time)","value":"17:34:20"},{"id":151,"name":"Denver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518</v>
      </c>
      <c r="B113" s="7">
        <v>4025</v>
      </c>
      <c r="C113" s="24" t="s">
        <v>106</v>
      </c>
      <c r="D113" s="24" t="s">
        <v>246</v>
      </c>
      <c r="E113" s="15">
        <v>42632.673333333332</v>
      </c>
      <c r="F113" s="15">
        <v>42632.677430555559</v>
      </c>
      <c r="G113" s="7">
        <v>1</v>
      </c>
      <c r="H113" s="15" t="s">
        <v>328</v>
      </c>
      <c r="I113" s="15">
        <v>42632.702685185184</v>
      </c>
      <c r="J113" s="7">
        <v>0</v>
      </c>
      <c r="K113" s="121" t="str">
        <f t="shared" si="65"/>
        <v>4025/4026</v>
      </c>
      <c r="L113" s="24" t="str">
        <f>VLOOKUP(A113,'Trips&amp;Operators'!$C$1:$E$10000,3,FALSE)</f>
        <v>STEWART</v>
      </c>
      <c r="M113" s="6">
        <f t="shared" si="66"/>
        <v>2.5254629625123926E-2</v>
      </c>
      <c r="N113" s="7">
        <f t="shared" si="67"/>
        <v>36.366666660178453</v>
      </c>
      <c r="O113" s="7"/>
      <c r="P113" s="7"/>
      <c r="Q113" s="25"/>
      <c r="R113" s="25"/>
      <c r="S113" s="37">
        <f t="shared" si="68"/>
        <v>1</v>
      </c>
      <c r="T113" s="52" t="str">
        <f t="shared" si="69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15:09:36-0600',mode:absolute,to:'2016-09-19 17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3" s="54" t="str">
        <f t="shared" si="71"/>
        <v>N</v>
      </c>
      <c r="X113" s="168">
        <f t="shared" si="81"/>
        <v>1</v>
      </c>
      <c r="Y113" s="69">
        <f t="shared" si="72"/>
        <v>4.6199999999999998E-2</v>
      </c>
      <c r="Z113" s="69">
        <f t="shared" si="73"/>
        <v>23.331399999999999</v>
      </c>
      <c r="AA113" s="69">
        <f t="shared" si="74"/>
        <v>23.2852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75"/>
        <v>0201-19</v>
      </c>
      <c r="AE113" s="99" t="str">
        <f t="shared" si="76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113" s="96" t="str">
        <f t="shared" si="77"/>
        <v>"C:\Program Files (x86)\AstroGrep\AstroGrep.exe" /spath="%USERPROFILE%\AppData\Local\Temp\OnboardLogs" /stypes="app*4025*20160919*" /stext=" 22:.+((SYSTEM_STATE.+slice.+state.+changed )|(ment ac)|(system.+state.+changed )|(\|lc)|(penalty)|(\[timeout)|(PRM\|1\|D)|(kpr)|(kdp))" /e /r /s</v>
      </c>
      <c r="AG113" s="1" t="str">
        <f t="shared" si="78"/>
        <v>EC</v>
      </c>
      <c r="AH113" s="100" t="str">
        <f t="shared" si="79"/>
        <v>"%USERPROFILE%\Documents\GitHub\eaglep3\Utilities\RefineRTDCRunTimes.py" --tripid 201-19 --locoid 4025 --swversion DE.1.0.7.0 --startMP 204:462 --initTime 2016-09-19T16:09:36 --startdatetime 2016-09-19T16:15:30 --delay 1 --endMP 204:233314 --enddatetime 2016-09-19T16:51:52 --enforcementcount 0 &gt;&gt;C:\Users\stu\Documents\GitHub\eaglep3-reporting\EC\2016-09-19-refined-times.txt</v>
      </c>
      <c r="AI113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{"issue":{"subject":"","project_id":79,"tracker_id":40,"status_id":1,"priority_id":2,"assigned_to_id":23,"start_date":"2016-09-19","description":"","custom_fields":[{"id":1,"name":"Subdivision","value":"EC"},{"id":4,"name":"Milepost","value":"23.3314"},{"id":17,"name":"Train ID","value":"201-19"},{"id":16,"name":"Locomotive ID","value":"4025"},{"id":130,"name":"Impact","value":""},{"id":150,"name":"Time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528</v>
      </c>
      <c r="B114" s="7">
        <v>4026</v>
      </c>
      <c r="C114" s="24" t="s">
        <v>106</v>
      </c>
      <c r="D114" s="24" t="s">
        <v>239</v>
      </c>
      <c r="E114" s="15">
        <v>42632.713391203702</v>
      </c>
      <c r="F114" s="15">
        <v>42632.716365740744</v>
      </c>
      <c r="G114" s="7">
        <v>1</v>
      </c>
      <c r="H114" s="15" t="s">
        <v>617</v>
      </c>
      <c r="I114" s="15">
        <v>42632.743321759262</v>
      </c>
      <c r="J114" s="7">
        <v>0</v>
      </c>
      <c r="K114" s="121" t="str">
        <f t="shared" si="65"/>
        <v>4025/4026</v>
      </c>
      <c r="L114" s="24" t="str">
        <f>VLOOKUP(A114,'Trips&amp;Operators'!$C$1:$E$10000,3,FALSE)</f>
        <v>STEWART</v>
      </c>
      <c r="M114" s="6">
        <f t="shared" si="66"/>
        <v>2.6956018518831115E-2</v>
      </c>
      <c r="N114" s="7">
        <f t="shared" si="67"/>
        <v>38.816666667116806</v>
      </c>
      <c r="O114" s="7"/>
      <c r="P114" s="7"/>
      <c r="Q114" s="25"/>
      <c r="R114" s="25"/>
      <c r="S114" s="37">
        <f t="shared" si="68"/>
        <v>1</v>
      </c>
      <c r="T114" s="52" t="str">
        <f t="shared" si="69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16:07:17-0600',mode:absolute,to:'2016-09-19 18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4" s="54" t="str">
        <f t="shared" si="71"/>
        <v>N</v>
      </c>
      <c r="X114" s="168">
        <f t="shared" si="81"/>
        <v>1</v>
      </c>
      <c r="Y114" s="69">
        <f t="shared" si="72"/>
        <v>23.297999999999998</v>
      </c>
      <c r="Z114" s="69">
        <f t="shared" si="73"/>
        <v>1.9099999999999999E-2</v>
      </c>
      <c r="AA114" s="69">
        <f t="shared" si="74"/>
        <v>23.278899999999997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75"/>
        <v>0202-19</v>
      </c>
      <c r="AE114" s="99" t="str">
        <f t="shared" si="76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114" s="96" t="str">
        <f t="shared" si="77"/>
        <v>"C:\Program Files (x86)\AstroGrep\AstroGrep.exe" /spath="%USERPROFILE%\AppData\Local\Temp\OnboardLogs" /stypes="app*4026*20160919*" /stext=" 23:.+((SYSTEM_STATE.+slice.+state.+changed )|(ment ac)|(system.+state.+changed )|(\|lc)|(penalty)|(\[timeout)|(PRM\|1\|D)|(kpr)|(kdp))" /e /r /s</v>
      </c>
      <c r="AG114" s="1" t="str">
        <f t="shared" si="78"/>
        <v>EC</v>
      </c>
      <c r="AH114" s="100" t="str">
        <f t="shared" si="79"/>
        <v>"%USERPROFILE%\Documents\GitHub\eaglep3\Utilities\RefineRTDCRunTimes.py" --tripid 202-19 --locoid 4026 --swversion DE.1.0.7.0 --startMP 204:232980 --initTime 2016-09-19T17:07:17 --startdatetime 2016-09-19T17:11:34 --delay 1 --endMP 204:191 --enddatetime 2016-09-19T17:50:23 --enforcementcount 0 &gt;&gt;C:\Users\stu\Documents\GitHub\eaglep3-reporting\EC\2016-09-19-refined-times.txt</v>
      </c>
      <c r="AI11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{"issue":{"subject":"","project_id":79,"tracker_id":40,"status_id":1,"priority_id":2,"assigned_to_id":23,"start_date":"2016-09-19","description":"","custom_fields":[{"id":1,"name":"Subdivision","value":"EC"},{"id":4,"name":"Milepost","value":"0.0191"},{"id":17,"name":"Train ID","value":"202-19"},{"id":16,"name":"Locomotive ID","value":"4026"},{"id":130,"name":"Impact","value":""},{"id":150,"name":"Time of Event (Mountain Time)","value":"17:50:23"},{"id":151,"name":"Denver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521</v>
      </c>
      <c r="B115" s="7">
        <v>4053</v>
      </c>
      <c r="C115" s="24" t="s">
        <v>106</v>
      </c>
      <c r="D115" s="24" t="s">
        <v>246</v>
      </c>
      <c r="E115" s="15">
        <v>42632.682326388887</v>
      </c>
      <c r="F115" s="15">
        <v>42632.687928240739</v>
      </c>
      <c r="G115" s="7">
        <v>1</v>
      </c>
      <c r="H115" s="15" t="s">
        <v>355</v>
      </c>
      <c r="I115" s="15">
        <v>42632.713275462964</v>
      </c>
      <c r="J115" s="7">
        <v>0</v>
      </c>
      <c r="K115" s="121" t="str">
        <f t="shared" si="65"/>
        <v>4053/4054</v>
      </c>
      <c r="L115" s="24" t="str">
        <f>VLOOKUP(A115,'Trips&amp;Operators'!$C$1:$E$10000,3,FALSE)</f>
        <v>BARTLETT</v>
      </c>
      <c r="M115" s="6">
        <f t="shared" si="66"/>
        <v>2.5347222224809229E-2</v>
      </c>
      <c r="N115" s="7">
        <f t="shared" si="67"/>
        <v>36.50000000372529</v>
      </c>
      <c r="O115" s="7"/>
      <c r="P115" s="7"/>
      <c r="Q115" s="25"/>
      <c r="R115" s="25"/>
      <c r="S115" s="37">
        <f t="shared" si="68"/>
        <v>1</v>
      </c>
      <c r="T115" s="52" t="str">
        <f t="shared" si="69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15:22:33-0600',mode:absolute,to:'2016-09-19 18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15" s="54" t="str">
        <f t="shared" si="71"/>
        <v>N</v>
      </c>
      <c r="X115" s="168">
        <f t="shared" si="81"/>
        <v>1</v>
      </c>
      <c r="Y115" s="69">
        <f t="shared" si="72"/>
        <v>4.6199999999999998E-2</v>
      </c>
      <c r="Z115" s="69">
        <f t="shared" si="73"/>
        <v>23.323</v>
      </c>
      <c r="AA115" s="69">
        <f t="shared" si="74"/>
        <v>23.276800000000001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75"/>
        <v>0203-19</v>
      </c>
      <c r="AE115" s="99" t="str">
        <f t="shared" si="76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115" s="96" t="str">
        <f t="shared" si="77"/>
        <v>"C:\Program Files (x86)\AstroGrep\AstroGrep.exe" /spath="%USERPROFILE%\AppData\Local\Temp\OnboardLogs" /stypes="app*4053*20160919*" /stext=" 23:.+((SYSTEM_STATE.+slice.+state.+changed )|(ment ac)|(system.+state.+changed )|(\|lc)|(penalty)|(\[timeout)|(PRM\|1\|D)|(kpr)|(kdp))" /e /r /s</v>
      </c>
      <c r="AG115" s="1" t="str">
        <f t="shared" si="78"/>
        <v>EC</v>
      </c>
      <c r="AH115" s="100" t="str">
        <f t="shared" si="79"/>
        <v>"%USERPROFILE%\Documents\GitHub\eaglep3\Utilities\RefineRTDCRunTimes.py" --tripid 203-19 --locoid 4053 --swversion DE.1.0.7.0 --startMP 204:462 --initTime 2016-09-19T16:22:33 --startdatetime 2016-09-19T16:30:37 --delay 1 --endMP 204:233230 --enddatetime 2016-09-19T17:07:07 --enforcementcount 0 &gt;&gt;C:\Users\stu\Documents\GitHub\eaglep3-reporting\EC\2016-09-19-refined-times.txt</v>
      </c>
      <c r="AI115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{"issue":{"subject":"","project_id":79,"tracker_id":40,"status_id":1,"priority_id":2,"assigned_to_id":23,"start_date":"2016-09-19","description":"","custom_fields":[{"id":1,"name":"Subdivision","value":"EC"},{"id":4,"name":"Milepost","value":"23.323"},{"id":17,"name":"Train ID","value":"203-19"},{"id":16,"name":"Locomotive ID","value":"4053"},{"id":130,"name":"Impact","value":""},{"id":150,"name":"Time of Event (Mountain Time)","value":"17:07:07"},{"id":151,"name":"Denver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529</v>
      </c>
      <c r="B116" s="7">
        <v>4054</v>
      </c>
      <c r="C116" s="24" t="s">
        <v>106</v>
      </c>
      <c r="D116" s="24" t="s">
        <v>363</v>
      </c>
      <c r="E116" s="15">
        <v>42632.715543981481</v>
      </c>
      <c r="F116" s="15">
        <v>42632.7265625</v>
      </c>
      <c r="G116" s="7">
        <v>1</v>
      </c>
      <c r="H116" s="15" t="s">
        <v>268</v>
      </c>
      <c r="I116" s="15">
        <v>42632.753553240742</v>
      </c>
      <c r="J116" s="7">
        <v>0</v>
      </c>
      <c r="K116" s="121" t="str">
        <f t="shared" si="65"/>
        <v>4053/4054</v>
      </c>
      <c r="L116" s="24" t="str">
        <f>VLOOKUP(A116,'Trips&amp;Operators'!$C$1:$E$10000,3,FALSE)</f>
        <v>BARTLETT</v>
      </c>
      <c r="M116" s="6">
        <f t="shared" si="66"/>
        <v>2.6990740741894115E-2</v>
      </c>
      <c r="N116" s="7">
        <f t="shared" si="67"/>
        <v>38.866666668327525</v>
      </c>
      <c r="O116" s="7"/>
      <c r="P116" s="7"/>
      <c r="Q116" s="25"/>
      <c r="R116" s="25"/>
      <c r="S116" s="37">
        <f t="shared" si="68"/>
        <v>1</v>
      </c>
      <c r="T116" s="52" t="str">
        <f t="shared" si="69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16:10:23-0600',mode:absolute,to:'2016-09-19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16" s="54" t="str">
        <f t="shared" si="71"/>
        <v>N</v>
      </c>
      <c r="X116" s="168">
        <f t="shared" si="81"/>
        <v>1</v>
      </c>
      <c r="Y116" s="69">
        <f t="shared" si="72"/>
        <v>23.293199999999999</v>
      </c>
      <c r="Z116" s="69">
        <f t="shared" si="73"/>
        <v>1.61E-2</v>
      </c>
      <c r="AA116" s="69">
        <f t="shared" si="74"/>
        <v>23.277099999999997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75"/>
        <v>0204-19</v>
      </c>
      <c r="AE116" s="99" t="str">
        <f t="shared" si="76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116" s="96" t="str">
        <f t="shared" si="77"/>
        <v>"C:\Program Files (x86)\AstroGrep\AstroGrep.exe" /spath="%USERPROFILE%\AppData\Local\Temp\OnboardLogs" /stypes="app*4054*20160920*" /stext=" 00:.+((SYSTEM_STATE.+slice.+state.+changed )|(ment ac)|(system.+state.+changed )|(\|lc)|(penalty)|(\[timeout)|(PRM\|1\|D)|(kpr)|(kdp))" /e /r /s</v>
      </c>
      <c r="AG116" s="1" t="str">
        <f t="shared" si="78"/>
        <v>EC</v>
      </c>
      <c r="AH116" s="100" t="str">
        <f t="shared" si="79"/>
        <v>"%USERPROFILE%\Documents\GitHub\eaglep3\Utilities\RefineRTDCRunTimes.py" --tripid 204-19 --locoid 4054 --swversion DE.1.0.7.0 --startMP 204:232932 --initTime 2016-09-19T17:10:23 --startdatetime 2016-09-19T17:26:15 --delay 1 --endMP 204:161 --enddatetime 2016-09-19T18:05:07 --enforcementcount 0 &gt;&gt;C:\Users\stu\Documents\GitHub\eaglep3-reporting\EC\2016-09-19-refined-times.txt</v>
      </c>
      <c r="AI116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{"issue":{"subject":"","project_id":79,"tracker_id":40,"status_id":1,"priority_id":2,"assigned_to_id":23,"start_date":"2016-09-19","description":"","custom_fields":[{"id":1,"name":"Subdivision","value":"EC"},{"id":4,"name":"Milepost","value":"0.0161"},{"id":17,"name":"Train ID","value":"204-19"},{"id":16,"name":"Locomotive ID","value":"4054"},{"id":130,"name":"Impact","value":""},{"id":150,"name":"Time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524</v>
      </c>
      <c r="B117" s="7">
        <v>4002</v>
      </c>
      <c r="C117" s="24" t="s">
        <v>106</v>
      </c>
      <c r="D117" s="24" t="s">
        <v>226</v>
      </c>
      <c r="E117" s="15">
        <v>42632.693449074075</v>
      </c>
      <c r="F117" s="15">
        <v>42632.698449074072</v>
      </c>
      <c r="G117" s="7">
        <v>1</v>
      </c>
      <c r="H117" s="15" t="s">
        <v>245</v>
      </c>
      <c r="I117" s="15">
        <v>42632.723564814813</v>
      </c>
      <c r="J117" s="7">
        <v>0</v>
      </c>
      <c r="K117" s="121" t="str">
        <f t="shared" si="65"/>
        <v>4001/4002</v>
      </c>
      <c r="L117" s="24" t="str">
        <f>VLOOKUP(A117,'Trips&amp;Operators'!$C$1:$E$10000,3,FALSE)</f>
        <v>BONDS</v>
      </c>
      <c r="M117" s="6">
        <f t="shared" si="66"/>
        <v>2.5115740740147885E-2</v>
      </c>
      <c r="N117" s="7">
        <f t="shared" si="67"/>
        <v>36.166666665812954</v>
      </c>
      <c r="O117" s="7"/>
      <c r="P117" s="7"/>
      <c r="Q117" s="25"/>
      <c r="R117" s="25"/>
      <c r="S117" s="37">
        <f t="shared" si="68"/>
        <v>1</v>
      </c>
      <c r="T117" s="52" t="str">
        <f t="shared" si="69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15:38:34-0600',mode:absolute,to:'2016-09-19 18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7" s="54" t="str">
        <f t="shared" si="71"/>
        <v>N</v>
      </c>
      <c r="X117" s="168">
        <f t="shared" si="81"/>
        <v>1</v>
      </c>
      <c r="Y117" s="69">
        <f t="shared" si="72"/>
        <v>4.5100000000000001E-2</v>
      </c>
      <c r="Z117" s="69">
        <f t="shared" si="73"/>
        <v>23.329899999999999</v>
      </c>
      <c r="AA117" s="69">
        <f t="shared" si="74"/>
        <v>23.284799999999997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si="75"/>
        <v>0205-19</v>
      </c>
      <c r="AE117" s="99" t="str">
        <f t="shared" si="76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117" s="96" t="str">
        <f t="shared" si="77"/>
        <v>"C:\Program Files (x86)\AstroGrep\AstroGrep.exe" /spath="%USERPROFILE%\AppData\Local\Temp\OnboardLogs" /stypes="app*4002*20160919*" /stext=" 23:.+((SYSTEM_STATE.+slice.+state.+changed )|(ment ac)|(system.+state.+changed )|(\|lc)|(penalty)|(\[timeout)|(PRM\|1\|D)|(kpr)|(kdp))" /e /r /s</v>
      </c>
      <c r="AG117" s="1" t="str">
        <f t="shared" si="78"/>
        <v>EC</v>
      </c>
      <c r="AH117" s="100" t="str">
        <f t="shared" si="79"/>
        <v>"%USERPROFILE%\Documents\GitHub\eaglep3\Utilities\RefineRTDCRunTimes.py" --tripid 205-19 --locoid 4002 --swversion DE.1.0.7.0 --startMP 204:451 --initTime 2016-09-19T16:38:34 --startdatetime 2016-09-19T16:45:46 --delay 1 --endMP 204:233299 --enddatetime 2016-09-19T17:21:56 --enforcementcount 0 &gt;&gt;C:\Users\stu\Documents\GitHub\eaglep3-reporting\EC\2016-09-19-refined-times.txt</v>
      </c>
      <c r="AI117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{"issue":{"subject":"","project_id":79,"tracker_id":40,"status_id":1,"priority_id":2,"assigned_to_id":23,"start_date":"2016-09-19","description":"","custom_fields":[{"id":1,"name":"Subdivision","value":"EC"},{"id":4,"name":"Milepost","value":"23.3299"},{"id":17,"name":"Train ID","value":"205-19"},{"id":16,"name":"Locomotive ID","value":"4002"},{"id":130,"name":"Impact","value":""},{"id":150,"name":"Time of Event (Mountain Time)","value":"17:21:56"},{"id":151,"name":"Denver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534</v>
      </c>
      <c r="B118" s="7">
        <v>4001</v>
      </c>
      <c r="C118" s="24" t="s">
        <v>106</v>
      </c>
      <c r="D118" s="24" t="s">
        <v>319</v>
      </c>
      <c r="E118" s="15">
        <v>42632.727870370371</v>
      </c>
      <c r="F118" s="15">
        <v>42632.736967592595</v>
      </c>
      <c r="G118" s="7">
        <v>1</v>
      </c>
      <c r="H118" s="15" t="s">
        <v>346</v>
      </c>
      <c r="I118" s="15">
        <v>42632.764386574076</v>
      </c>
      <c r="J118" s="7">
        <v>0</v>
      </c>
      <c r="K118" s="121" t="str">
        <f t="shared" si="65"/>
        <v>4001/4002</v>
      </c>
      <c r="L118" s="24" t="str">
        <f>VLOOKUP(A118,'Trips&amp;Operators'!$C$1:$E$10000,3,FALSE)</f>
        <v>BONDS</v>
      </c>
      <c r="M118" s="6">
        <f t="shared" si="66"/>
        <v>2.7418981480877846E-2</v>
      </c>
      <c r="N118" s="7">
        <f t="shared" si="67"/>
        <v>39.483333332464099</v>
      </c>
      <c r="O118" s="7"/>
      <c r="P118" s="7"/>
      <c r="Q118" s="25"/>
      <c r="R118" s="25"/>
      <c r="S118" s="37">
        <f t="shared" si="68"/>
        <v>1</v>
      </c>
      <c r="T118" s="52" t="str">
        <f t="shared" si="69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16:28:08-0600',mode:absolute,to:'2016-09-19 19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8" s="54" t="str">
        <f t="shared" si="71"/>
        <v>N</v>
      </c>
      <c r="X118" s="168">
        <f t="shared" si="81"/>
        <v>1</v>
      </c>
      <c r="Y118" s="69">
        <f t="shared" si="72"/>
        <v>23.298999999999999</v>
      </c>
      <c r="Z118" s="69">
        <f t="shared" si="73"/>
        <v>1.34E-2</v>
      </c>
      <c r="AA118" s="69">
        <f t="shared" si="74"/>
        <v>23.285599999999999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75"/>
        <v>0206-19</v>
      </c>
      <c r="AE118" s="99" t="str">
        <f t="shared" si="76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118" s="96" t="str">
        <f t="shared" si="77"/>
        <v>"C:\Program Files (x86)\AstroGrep\AstroGrep.exe" /spath="%USERPROFILE%\AppData\Local\Temp\OnboardLogs" /stypes="app*4001*20160920*" /stext=" 00:.+((SYSTEM_STATE.+slice.+state.+changed )|(ment ac)|(system.+state.+changed )|(\|lc)|(penalty)|(\[timeout)|(PRM\|1\|D)|(kpr)|(kdp))" /e /r /s</v>
      </c>
      <c r="AG118" s="1" t="str">
        <f t="shared" si="78"/>
        <v>EC</v>
      </c>
      <c r="AH118" s="100" t="str">
        <f t="shared" si="79"/>
        <v>"%USERPROFILE%\Documents\GitHub\eaglep3\Utilities\RefineRTDCRunTimes.py" --tripid 206-19 --locoid 4001 --swversion DE.1.0.7.0 --startMP 204:232990 --initTime 2016-09-19T17:28:08 --startdatetime 2016-09-19T17:41:14 --delay 1 --endMP 204:134 --enddatetime 2016-09-19T18:20:43 --enforcementcount 0 &gt;&gt;C:\Users\stu\Documents\GitHub\eaglep3-reporting\EC\2016-09-19-refined-times.txt</v>
      </c>
      <c r="AI118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{"issue":{"subject":"","project_id":79,"tracker_id":40,"status_id":1,"priority_id":2,"assigned_to_id":23,"start_date":"2016-09-19","description":"","custom_fields":[{"id":1,"name":"Subdivision","value":"EC"},{"id":4,"name":"Milepost","value":"0.0134"},{"id":17,"name":"Train ID","value":"206-19"},{"id":16,"name":"Locomotive ID","value":"4001"},{"id":130,"name":"Impact","value":""},{"id":150,"name":"Time of Event (Mountain Time)","value":"18:20:43"},{"id":151,"name":"Denver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527</v>
      </c>
      <c r="B119" s="7">
        <v>4031</v>
      </c>
      <c r="C119" s="24" t="s">
        <v>106</v>
      </c>
      <c r="D119" s="24" t="s">
        <v>216</v>
      </c>
      <c r="E119" s="15">
        <v>42632.704895833333</v>
      </c>
      <c r="F119" s="15">
        <v>42632.708495370367</v>
      </c>
      <c r="G119" s="7">
        <v>1</v>
      </c>
      <c r="H119" s="15" t="s">
        <v>344</v>
      </c>
      <c r="I119" s="15">
        <v>42632.734652777777</v>
      </c>
      <c r="J119" s="7">
        <v>0</v>
      </c>
      <c r="K119" s="121" t="str">
        <f t="shared" si="65"/>
        <v>4031/4032</v>
      </c>
      <c r="L119" s="24" t="str">
        <f>VLOOKUP(A119,'Trips&amp;Operators'!$C$1:$E$10000,3,FALSE)</f>
        <v>CLARK</v>
      </c>
      <c r="M119" s="6">
        <f t="shared" si="66"/>
        <v>2.6157407410209998E-2</v>
      </c>
      <c r="N119" s="7">
        <f t="shared" si="67"/>
        <v>37.666666670702398</v>
      </c>
      <c r="O119" s="7"/>
      <c r="P119" s="7"/>
      <c r="Q119" s="25"/>
      <c r="R119" s="25"/>
      <c r="S119" s="37">
        <f t="shared" si="68"/>
        <v>1</v>
      </c>
      <c r="T119" s="52" t="str">
        <f t="shared" si="69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15:55:03-0600',mode:absolute,to:'2016-09-19 18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9" s="54" t="str">
        <f t="shared" si="71"/>
        <v>N</v>
      </c>
      <c r="X119" s="168">
        <f t="shared" si="81"/>
        <v>1</v>
      </c>
      <c r="Y119" s="69">
        <f t="shared" si="72"/>
        <v>4.7100000000000003E-2</v>
      </c>
      <c r="Z119" s="69">
        <f t="shared" si="73"/>
        <v>23.3246</v>
      </c>
      <c r="AA119" s="69">
        <f t="shared" si="74"/>
        <v>23.2775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75"/>
        <v>0207-19</v>
      </c>
      <c r="AE119" s="99" t="str">
        <f t="shared" si="76"/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AF119" s="96" t="str">
        <f t="shared" si="77"/>
        <v>"C:\Program Files (x86)\AstroGrep\AstroGrep.exe" /spath="%USERPROFILE%\AppData\Local\Temp\OnboardLogs" /stypes="app*4031*20160919*" /stext=" 23:.+((SYSTEM_STATE.+slice.+state.+changed )|(ment ac)|(system.+state.+changed )|(\|lc)|(penalty)|(\[timeout)|(PRM\|1\|D)|(kpr)|(kdp))" /e /r /s</v>
      </c>
      <c r="AG119" s="1" t="str">
        <f t="shared" si="78"/>
        <v>EC</v>
      </c>
      <c r="AH119" s="100" t="str">
        <f t="shared" si="79"/>
        <v>"%USERPROFILE%\Documents\GitHub\eaglep3\Utilities\RefineRTDCRunTimes.py" --tripid 207-19 --locoid 4031 --swversion DE.1.0.7.0 --startMP 204:471 --initTime 2016-09-19T16:55:03 --startdatetime 2016-09-19T17:00:14 --delay 1 --endMP 204:233246 --enddatetime 2016-09-19T17:37:54 --enforcementcount 0 &gt;&gt;C:\Users\stu\Documents\GitHub\eaglep3-reporting\EC\2016-09-19-refined-times.txt</v>
      </c>
      <c r="AI119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{"issue":{"subject":"","project_id":79,"tracker_id":40,"status_id":1,"priority_id":2,"assigned_to_id":23,"start_date":"2016-09-19","description":"","custom_fields":[{"id":1,"name":"Subdivision","value":"EC"},{"id":4,"name":"Milepost","value":"23.3246"},{"id":17,"name":"Train ID","value":"207-19"},{"id":16,"name":"Locomotive ID","value":"4031"},{"id":130,"name":"Impact","value":""},{"id":150,"name":"Time of Event (Mountain Time)","value":"17:37:54"},{"id":151,"name":"Denver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538</v>
      </c>
      <c r="B120" s="7">
        <v>4032</v>
      </c>
      <c r="C120" s="24" t="s">
        <v>106</v>
      </c>
      <c r="D120" s="24" t="s">
        <v>611</v>
      </c>
      <c r="E120" s="15">
        <v>42632.7421412037</v>
      </c>
      <c r="F120" s="15">
        <v>42632.747407407405</v>
      </c>
      <c r="G120" s="7">
        <v>1</v>
      </c>
      <c r="H120" s="15" t="s">
        <v>640</v>
      </c>
      <c r="I120" s="15">
        <v>42632.777569444443</v>
      </c>
      <c r="J120" s="7">
        <v>0</v>
      </c>
      <c r="K120" s="121" t="str">
        <f t="shared" si="65"/>
        <v>4031/4032</v>
      </c>
      <c r="L120" s="24" t="str">
        <f>VLOOKUP(A120,'Trips&amp;Operators'!$C$1:$E$10000,3,FALSE)</f>
        <v>CLARK</v>
      </c>
      <c r="M120" s="6">
        <f t="shared" si="66"/>
        <v>3.0162037037371192E-2</v>
      </c>
      <c r="N120" s="7">
        <f t="shared" si="67"/>
        <v>43.433333333814517</v>
      </c>
      <c r="O120" s="7"/>
      <c r="P120" s="7"/>
      <c r="Q120" s="25"/>
      <c r="R120" s="25"/>
      <c r="S120" s="37">
        <f t="shared" si="68"/>
        <v>1</v>
      </c>
      <c r="T120" s="52" t="str">
        <f t="shared" si="69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16:48:41-0600',mode:absolute,to:'2016-09-19 19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0" s="54" t="str">
        <f t="shared" si="71"/>
        <v>N</v>
      </c>
      <c r="X120" s="168">
        <f t="shared" si="81"/>
        <v>1</v>
      </c>
      <c r="Y120" s="69">
        <f t="shared" si="72"/>
        <v>23.2928</v>
      </c>
      <c r="Z120" s="69">
        <f t="shared" si="73"/>
        <v>0.03</v>
      </c>
      <c r="AA120" s="69">
        <f t="shared" si="74"/>
        <v>23.262799999999999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75"/>
        <v>0208-19</v>
      </c>
      <c r="AE120" s="99" t="str">
        <f t="shared" si="76"/>
        <v>aws s3 cp s3://rtdc.mdm.uploadarchive/RTDC4032/2016-09-19/ "%USERPROFILE%\AppData\Local\Temp\OnboardLogs"\RTDC4032\2016-09-19 --recursive &amp; "%USERPROFILE%\Documents\GitHub\mrs-test-scripts\Headless Mode &amp; Sideloading\WalkAndUnGZ.bat" "%USERPROFILE%\AppData\Local\Temp\OnboardLogs"\RTDC4032\2016-09-19 &amp; aws s3 cp s3://rtdc.mdm.uploadarchive/RTDC4032/2016-09-20/ "%USERPROFILE%\AppData\Local\Temp\OnboardLogs"\RTDC4032\2016-09-20 --recursive &amp; "%USERPROFILE%\Documents\GitHub\mrs-test-scripts\Headless Mode &amp; Sideloading\WalkAndUnGZ.bat" "%USERPROFILE%\AppData\Local\Temp\OnboardLogs"\RTDC4032\2016-09-20</v>
      </c>
      <c r="AF120" s="96" t="str">
        <f t="shared" si="77"/>
        <v>"C:\Program Files (x86)\AstroGrep\AstroGrep.exe" /spath="%USERPROFILE%\AppData\Local\Temp\OnboardLogs" /stypes="app*4032*20160920*" /stext=" 00:.+((SYSTEM_STATE.+slice.+state.+changed )|(ment ac)|(system.+state.+changed )|(\|lc)|(penalty)|(\[timeout)|(PRM\|1\|D)|(kpr)|(kdp))" /e /r /s</v>
      </c>
      <c r="AG120" s="1" t="str">
        <f t="shared" si="78"/>
        <v>EC</v>
      </c>
      <c r="AH120" s="100" t="str">
        <f t="shared" si="79"/>
        <v>"%USERPROFILE%\Documents\GitHub\eaglep3\Utilities\RefineRTDCRunTimes.py" --tripid 208-19 --locoid 4032 --swversion DE.1.0.7.0 --startMP 204:232928 --initTime 2016-09-19T17:48:41 --startdatetime 2016-09-19T17:56:16 --delay 1 --endMP 204:300 --enddatetime 2016-09-19T18:39:42 --enforcementcount 0 &gt;&gt;C:\Users\stu\Documents\GitHub\eaglep3-reporting\EC\2016-09-19-refined-times.txt</v>
      </c>
      <c r="AI120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{"issue":{"subject":"","project_id":79,"tracker_id":40,"status_id":1,"priority_id":2,"assigned_to_id":23,"start_date":"2016-09-19","description":"","custom_fields":[{"id":1,"name":"Subdivision","value":"EC"},{"id":4,"name":"Milepost","value":"0.03"},{"id":17,"name":"Train ID","value":"208-19"},{"id":16,"name":"Locomotive ID","value":"4032"},{"id":130,"name":"Impact","value":""},{"id":150,"name":"Time of Event (Mountain Time)","value":"18:39:42"},{"id":151,"name":"Denver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530</v>
      </c>
      <c r="B121" s="7">
        <v>4042</v>
      </c>
      <c r="C121" s="24" t="s">
        <v>106</v>
      </c>
      <c r="D121" s="24" t="s">
        <v>629</v>
      </c>
      <c r="E121" s="15">
        <v>42632.715960648151</v>
      </c>
      <c r="F121" s="15">
        <v>42632.719027777777</v>
      </c>
      <c r="G121" s="7">
        <v>2</v>
      </c>
      <c r="H121" s="15" t="s">
        <v>295</v>
      </c>
      <c r="I121" s="15">
        <v>42632.743877314817</v>
      </c>
      <c r="J121" s="7">
        <v>0</v>
      </c>
      <c r="K121" s="121" t="str">
        <f t="shared" si="65"/>
        <v>4041/4042</v>
      </c>
      <c r="L121" s="24" t="str">
        <f>VLOOKUP(A121,'Trips&amp;Operators'!$C$1:$E$10000,3,FALSE)</f>
        <v>LEVERE</v>
      </c>
      <c r="M121" s="6">
        <f t="shared" si="66"/>
        <v>2.4849537039699499E-2</v>
      </c>
      <c r="N121" s="7">
        <f t="shared" si="67"/>
        <v>35.783333337167278</v>
      </c>
      <c r="O121" s="7"/>
      <c r="P121" s="7"/>
      <c r="Q121" s="25"/>
      <c r="R121" s="25"/>
      <c r="S121" s="37">
        <f t="shared" si="68"/>
        <v>1</v>
      </c>
      <c r="T121" s="52" t="str">
        <f t="shared" si="69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16:10:59-0600',mode:absolute,to:'2016-09-19 18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1" s="54" t="str">
        <f t="shared" si="71"/>
        <v>N</v>
      </c>
      <c r="X121" s="168">
        <f t="shared" si="81"/>
        <v>1</v>
      </c>
      <c r="Y121" s="69">
        <f t="shared" si="72"/>
        <v>4.9099999999999998E-2</v>
      </c>
      <c r="Z121" s="69">
        <f t="shared" si="73"/>
        <v>23.326799999999999</v>
      </c>
      <c r="AA121" s="69">
        <f t="shared" si="74"/>
        <v>23.277699999999999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75"/>
        <v>0209-19</v>
      </c>
      <c r="AE121" s="99" t="str">
        <f t="shared" si="76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121" s="96" t="str">
        <f t="shared" si="77"/>
        <v>"C:\Program Files (x86)\AstroGrep\AstroGrep.exe" /spath="%USERPROFILE%\AppData\Local\Temp\OnboardLogs" /stypes="app*4042*20160919*" /stext=" 23:.+((SYSTEM_STATE.+slice.+state.+changed )|(ment ac)|(system.+state.+changed )|(\|lc)|(penalty)|(\[timeout)|(PRM\|1\|D)|(kpr)|(kdp))" /e /r /s</v>
      </c>
      <c r="AG121" s="1" t="str">
        <f t="shared" si="78"/>
        <v>EC</v>
      </c>
      <c r="AH121" s="100" t="str">
        <f t="shared" si="79"/>
        <v>"%USERPROFILE%\Documents\GitHub\eaglep3\Utilities\RefineRTDCRunTimes.py" --tripid 209-19 --locoid 4042 --swversion DE.1.0.7.0 --startMP 204:491 --initTime 2016-09-19T17:10:59 --startdatetime 2016-09-19T17:15:24 --delay 2 --endMP 204:233268 --enddatetime 2016-09-19T17:51:11 --enforcementcount 0 &gt;&gt;C:\Users\stu\Documents\GitHub\eaglep3-reporting\EC\2016-09-19-refined-times.txt</v>
      </c>
      <c r="AI121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{"issue":{"subject":"","project_id":79,"tracker_id":40,"status_id":1,"priority_id":2,"assigned_to_id":23,"start_date":"2016-09-19","description":"","custom_fields":[{"id":1,"name":"Subdivision","value":"EC"},{"id":4,"name":"Milepost","value":"23.3268"},{"id":17,"name":"Train ID","value":"209-19"},{"id":16,"name":"Locomotive ID","value":"4042"},{"id":130,"name":"Impact","value":""},{"id":150,"name":"Time of Event (Mountain Time)","value":"17:51:11"},{"id":151,"name":"Denver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540</v>
      </c>
      <c r="B122" s="7">
        <v>4041</v>
      </c>
      <c r="C122" s="24" t="s">
        <v>106</v>
      </c>
      <c r="D122" s="24" t="s">
        <v>263</v>
      </c>
      <c r="E122" s="15">
        <v>42632.750127314815</v>
      </c>
      <c r="F122" s="15">
        <v>42632.76357638889</v>
      </c>
      <c r="G122" s="7">
        <v>1</v>
      </c>
      <c r="H122" s="15" t="s">
        <v>339</v>
      </c>
      <c r="I122" s="15">
        <v>42632.790092592593</v>
      </c>
      <c r="J122" s="7">
        <v>0</v>
      </c>
      <c r="K122" s="121" t="str">
        <f t="shared" si="65"/>
        <v>4041/4042</v>
      </c>
      <c r="L122" s="24" t="str">
        <f>VLOOKUP(A122,'Trips&amp;Operators'!$C$1:$E$10000,3,FALSE)</f>
        <v>LEVERE</v>
      </c>
      <c r="M122" s="6">
        <f t="shared" si="66"/>
        <v>2.6516203703067731E-2</v>
      </c>
      <c r="N122" s="7">
        <f t="shared" si="67"/>
        <v>38.183333332417533</v>
      </c>
      <c r="O122" s="7"/>
      <c r="P122" s="7"/>
      <c r="Q122" s="25"/>
      <c r="R122" s="25"/>
      <c r="S122" s="37">
        <f t="shared" si="68"/>
        <v>1</v>
      </c>
      <c r="T122" s="52" t="str">
        <f t="shared" si="69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17:00:11-0600',mode:absolute,to:'2016-09-19 19:57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2" s="54" t="str">
        <f t="shared" si="71"/>
        <v>N</v>
      </c>
      <c r="X122" s="168">
        <f t="shared" si="81"/>
        <v>1</v>
      </c>
      <c r="Y122" s="69">
        <f t="shared" si="72"/>
        <v>23.295300000000001</v>
      </c>
      <c r="Z122" s="69">
        <f t="shared" si="73"/>
        <v>1.4500000000000001E-2</v>
      </c>
      <c r="AA122" s="69">
        <f t="shared" si="74"/>
        <v>23.280799999999999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75"/>
        <v>0210-19</v>
      </c>
      <c r="AE122" s="99" t="str">
        <f t="shared" si="76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122" s="96" t="str">
        <f t="shared" si="77"/>
        <v>"C:\Program Files (x86)\AstroGrep\AstroGrep.exe" /spath="%USERPROFILE%\AppData\Local\Temp\OnboardLogs" /stypes="app*4041*20160920*" /stext=" 00:.+((SYSTEM_STATE.+slice.+state.+changed )|(ment ac)|(system.+state.+changed )|(\|lc)|(penalty)|(\[timeout)|(PRM\|1\|D)|(kpr)|(kdp))" /e /r /s</v>
      </c>
      <c r="AG122" s="1" t="str">
        <f t="shared" si="78"/>
        <v>EC</v>
      </c>
      <c r="AH122" s="100" t="str">
        <f t="shared" si="79"/>
        <v>"%USERPROFILE%\Documents\GitHub\eaglep3\Utilities\RefineRTDCRunTimes.py" --tripid 210-19 --locoid 4041 --swversion DE.1.0.7.0 --startMP 204:232953 --initTime 2016-09-19T18:00:11 --startdatetime 2016-09-19T18:19:33 --delay 1 --endMP 204:145 --enddatetime 2016-09-19T18:57:44 --enforcementcount 0 &gt;&gt;C:\Users\stu\Documents\GitHub\eaglep3-reporting\EC\2016-09-19-refined-times.txt</v>
      </c>
      <c r="AI12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{"issue":{"subject":"","project_id":79,"tracker_id":40,"status_id":1,"priority_id":2,"assigned_to_id":23,"start_date":"2016-09-19","description":"","custom_fields":[{"id":1,"name":"Subdivision","value":"EC"},{"id":4,"name":"Milepost","value":"0.0145"},{"id":17,"name":"Train ID","value":"210-19"},{"id":16,"name":"Locomotive ID","value":"4041"},{"id":130,"name":"Impact","value":""},{"id":150,"name":"Time of Event (Mountain Time)","value":"18:57:44"},{"id":151,"name":"Denver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533</v>
      </c>
      <c r="B123" s="7">
        <v>4011</v>
      </c>
      <c r="C123" s="24" t="s">
        <v>106</v>
      </c>
      <c r="D123" s="24" t="s">
        <v>641</v>
      </c>
      <c r="E123" s="15">
        <v>42632.725289351853</v>
      </c>
      <c r="F123" s="15">
        <v>42632.729699074072</v>
      </c>
      <c r="G123" s="7">
        <v>1</v>
      </c>
      <c r="H123" s="15" t="s">
        <v>642</v>
      </c>
      <c r="I123" s="15">
        <v>42632.761018518519</v>
      </c>
      <c r="J123" s="7">
        <v>0</v>
      </c>
      <c r="K123" s="121" t="str">
        <f t="shared" si="65"/>
        <v>4011/4012</v>
      </c>
      <c r="L123" s="24" t="str">
        <f>VLOOKUP(A123,'Trips&amp;Operators'!$C$1:$E$10000,3,FALSE)</f>
        <v>YOUNG</v>
      </c>
      <c r="M123" s="6">
        <f t="shared" si="66"/>
        <v>3.1319444446125999E-2</v>
      </c>
      <c r="N123" s="7">
        <f t="shared" si="67"/>
        <v>45.100000002421439</v>
      </c>
      <c r="O123" s="7"/>
      <c r="P123" s="7"/>
      <c r="Q123" s="25"/>
      <c r="R123" s="25"/>
      <c r="S123" s="37">
        <f t="shared" si="68"/>
        <v>1</v>
      </c>
      <c r="T123" s="52" t="str">
        <f t="shared" si="69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16:24:25-0600',mode:absolute,to:'2016-09-19 19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3" s="54" t="str">
        <f t="shared" si="71"/>
        <v>N</v>
      </c>
      <c r="X123" s="168">
        <f t="shared" si="81"/>
        <v>1</v>
      </c>
      <c r="Y123" s="69">
        <f t="shared" si="72"/>
        <v>4.4200000000000003E-2</v>
      </c>
      <c r="Z123" s="69">
        <f t="shared" si="73"/>
        <v>23.1858</v>
      </c>
      <c r="AA123" s="69">
        <f t="shared" si="74"/>
        <v>23.1416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75"/>
        <v>0211-19</v>
      </c>
      <c r="AE123" s="99" t="str">
        <f t="shared" si="76"/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AF123" s="96" t="str">
        <f t="shared" si="77"/>
        <v>"C:\Program Files (x86)\AstroGrep\AstroGrep.exe" /spath="%USERPROFILE%\AppData\Local\Temp\OnboardLogs" /stypes="app*4011*20160920*" /stext=" 00:.+((SYSTEM_STATE.+slice.+state.+changed )|(ment ac)|(system.+state.+changed )|(\|lc)|(penalty)|(\[timeout)|(PRM\|1\|D)|(kpr)|(kdp))" /e /r /s</v>
      </c>
      <c r="AG123" s="1" t="str">
        <f t="shared" si="78"/>
        <v>EC</v>
      </c>
      <c r="AH123" s="100" t="str">
        <f t="shared" si="79"/>
        <v>"%USERPROFILE%\Documents\GitHub\eaglep3\Utilities\RefineRTDCRunTimes.py" --tripid 211-19 --locoid 4011 --swversion DE.1.0.7.0 --startMP 204:442 --initTime 2016-09-19T17:24:25 --startdatetime 2016-09-19T17:30:46 --delay 1 --endMP 204:231858 --enddatetime 2016-09-19T18:15:52 --enforcementcount 0 &gt;&gt;C:\Users\stu\Documents\GitHub\eaglep3-reporting\EC\2016-09-19-refined-times.txt</v>
      </c>
      <c r="AI123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{"issue":{"subject":"","project_id":79,"tracker_id":40,"status_id":1,"priority_id":2,"assigned_to_id":23,"start_date":"2016-09-19","description":"","custom_fields":[{"id":1,"name":"Subdivision","value":"EC"},{"id":4,"name":"Milepost","value":"23.1858"},{"id":17,"name":"Train ID","value":"211-19"},{"id":16,"name":"Locomotive ID","value":"4011"},{"id":130,"name":"Impact","value":""},{"id":150,"name":"Time of Event (Mountain Time)","value":"18:15:52"},{"id":151,"name":"Denver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545</v>
      </c>
      <c r="B124" s="7">
        <v>4012</v>
      </c>
      <c r="C124" s="24" t="s">
        <v>106</v>
      </c>
      <c r="D124" s="24" t="s">
        <v>634</v>
      </c>
      <c r="E124" s="15">
        <v>42632.768078703702</v>
      </c>
      <c r="F124" s="15">
        <v>42632.77175925926</v>
      </c>
      <c r="G124" s="7">
        <v>5</v>
      </c>
      <c r="H124" s="15" t="s">
        <v>643</v>
      </c>
      <c r="I124" s="15">
        <v>42632.798819444448</v>
      </c>
      <c r="J124" s="7">
        <v>0</v>
      </c>
      <c r="K124" s="121" t="str">
        <f t="shared" si="65"/>
        <v>4011/4012</v>
      </c>
      <c r="L124" s="24" t="str">
        <f>VLOOKUP(A124,'Trips&amp;Operators'!$C$1:$E$10000,3,FALSE)</f>
        <v>YOUNG</v>
      </c>
      <c r="M124" s="6">
        <f t="shared" si="66"/>
        <v>2.7060185188020114E-2</v>
      </c>
      <c r="N124" s="7">
        <f t="shared" si="67"/>
        <v>38.966666670748964</v>
      </c>
      <c r="O124" s="7"/>
      <c r="P124" s="7"/>
      <c r="Q124" s="25"/>
      <c r="R124" s="25"/>
      <c r="S124" s="37">
        <f t="shared" si="68"/>
        <v>1</v>
      </c>
      <c r="T124" s="52" t="str">
        <f t="shared" si="69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17:26:02-0600',mode:absolute,to:'2016-09-19 20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4" s="54" t="str">
        <f t="shared" si="71"/>
        <v>N</v>
      </c>
      <c r="X124" s="168">
        <f t="shared" si="81"/>
        <v>1</v>
      </c>
      <c r="Y124" s="69">
        <f t="shared" si="72"/>
        <v>23.292300000000001</v>
      </c>
      <c r="Z124" s="69">
        <f t="shared" si="73"/>
        <v>1.23E-2</v>
      </c>
      <c r="AA124" s="69">
        <f t="shared" si="74"/>
        <v>23.28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75"/>
        <v>0212-19</v>
      </c>
      <c r="AE124" s="99" t="str">
        <f t="shared" si="76"/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AF124" s="96" t="str">
        <f t="shared" si="77"/>
        <v>"C:\Program Files (x86)\AstroGrep\AstroGrep.exe" /spath="%USERPROFILE%\AppData\Local\Temp\OnboardLogs" /stypes="app*4012*20160920*" /stext=" 01:.+((SYSTEM_STATE.+slice.+state.+changed )|(ment ac)|(system.+state.+changed )|(\|lc)|(penalty)|(\[timeout)|(PRM\|1\|D)|(kpr)|(kdp))" /e /r /s</v>
      </c>
      <c r="AG124" s="1" t="str">
        <f t="shared" si="78"/>
        <v>EC</v>
      </c>
      <c r="AH124" s="100" t="str">
        <f t="shared" si="79"/>
        <v>"%USERPROFILE%\Documents\GitHub\eaglep3\Utilities\RefineRTDCRunTimes.py" --tripid 212-19 --locoid 4012 --swversion DE.1.0.7.0 --startMP 204:232923 --initTime 2016-09-19T18:26:02 --startdatetime 2016-09-19T18:31:20 --delay 5 --endMP 204:123 --enddatetime 2016-09-19T19:10:18 --enforcementcount 0 &gt;&gt;C:\Users\stu\Documents\GitHub\eaglep3-reporting\EC\2016-09-19-refined-times.txt</v>
      </c>
      <c r="AI12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{"issue":{"subject":"","project_id":79,"tracker_id":40,"status_id":1,"priority_id":2,"assigned_to_id":23,"start_date":"2016-09-19","description":"","custom_fields":[{"id":1,"name":"Subdivision","value":"EC"},{"id":4,"name":"Milepost","value":"0.0123"},{"id":17,"name":"Train ID","value":"212-19"},{"id":16,"name":"Locomotive ID","value":"4012"},{"id":130,"name":"Impact","value":""},{"id":150,"name":"Time of Event (Mountain Time)","value":"19:10:18"},{"id":151,"name":"Denver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536</v>
      </c>
      <c r="B125" s="7">
        <v>4007</v>
      </c>
      <c r="C125" s="24" t="s">
        <v>106</v>
      </c>
      <c r="D125" s="24" t="s">
        <v>246</v>
      </c>
      <c r="E125" s="15">
        <v>42632.734872685185</v>
      </c>
      <c r="F125" s="15">
        <v>42632.739745370367</v>
      </c>
      <c r="G125" s="7">
        <v>1</v>
      </c>
      <c r="H125" s="15" t="s">
        <v>337</v>
      </c>
      <c r="I125" s="15">
        <v>42632.76666666667</v>
      </c>
      <c r="J125" s="7">
        <v>0</v>
      </c>
      <c r="K125" s="121" t="str">
        <f t="shared" si="65"/>
        <v>4007/4008</v>
      </c>
      <c r="L125" s="24" t="str">
        <f>VLOOKUP(A125,'Trips&amp;Operators'!$C$1:$E$10000,3,FALSE)</f>
        <v>NEWELL</v>
      </c>
      <c r="M125" s="6">
        <f t="shared" si="66"/>
        <v>2.6921296303044073E-2</v>
      </c>
      <c r="N125" s="7">
        <f t="shared" si="67"/>
        <v>38.766666676383466</v>
      </c>
      <c r="O125" s="7"/>
      <c r="P125" s="7"/>
      <c r="Q125" s="25"/>
      <c r="R125" s="25"/>
      <c r="S125" s="37">
        <f t="shared" si="68"/>
        <v>1</v>
      </c>
      <c r="T125" s="52" t="str">
        <f t="shared" si="69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16:38:13-0600',mode:absolute,to:'2016-09-19 19:24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25" s="54" t="str">
        <f t="shared" si="71"/>
        <v>N</v>
      </c>
      <c r="X125" s="168">
        <f t="shared" si="81"/>
        <v>1</v>
      </c>
      <c r="Y125" s="69">
        <f t="shared" si="72"/>
        <v>4.6199999999999998E-2</v>
      </c>
      <c r="Z125" s="69">
        <f t="shared" si="73"/>
        <v>23.329499999999999</v>
      </c>
      <c r="AA125" s="69">
        <f t="shared" si="74"/>
        <v>23.283300000000001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75"/>
        <v>0213-19</v>
      </c>
      <c r="AE125" s="99" t="str">
        <f t="shared" si="76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125" s="96" t="str">
        <f t="shared" si="77"/>
        <v>"C:\Program Files (x86)\AstroGrep\AstroGrep.exe" /spath="%USERPROFILE%\AppData\Local\Temp\OnboardLogs" /stypes="app*4007*20160920*" /stext=" 00:.+((SYSTEM_STATE.+slice.+state.+changed )|(ment ac)|(system.+state.+changed )|(\|lc)|(penalty)|(\[timeout)|(PRM\|1\|D)|(kpr)|(kdp))" /e /r /s</v>
      </c>
      <c r="AG125" s="1" t="str">
        <f t="shared" si="78"/>
        <v>EC</v>
      </c>
      <c r="AH125" s="100" t="str">
        <f t="shared" si="79"/>
        <v>"%USERPROFILE%\Documents\GitHub\eaglep3\Utilities\RefineRTDCRunTimes.py" --tripid 213-19 --locoid 4007 --swversion DE.1.0.7.0 --startMP 204:462 --initTime 2016-09-19T17:38:13 --startdatetime 2016-09-19T17:45:14 --delay 1 --endMP 204:233295 --enddatetime 2016-09-19T18:24:00 --enforcementcount 0 &gt;&gt;C:\Users\stu\Documents\GitHub\eaglep3-reporting\EC\2016-09-19-refined-times.txt</v>
      </c>
      <c r="AI125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{"issue":{"subject":"","project_id":79,"tracker_id":40,"status_id":1,"priority_id":2,"assigned_to_id":23,"start_date":"2016-09-19","description":"","custom_fields":[{"id":1,"name":"Subdivision","value":"EC"},{"id":4,"name":"Milepost","value":"23.3295"},{"id":17,"name":"Train ID","value":"213-19"},{"id":16,"name":"Locomotive ID","value":"4007"},{"id":130,"name":"Impact","value":""},{"id":150,"name":"Time of Event (Mountain Time)","value":"18:24:00"},{"id":151,"name":"Denver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546</v>
      </c>
      <c r="B126" s="7">
        <v>4008</v>
      </c>
      <c r="C126" s="24" t="s">
        <v>106</v>
      </c>
      <c r="D126" s="24" t="s">
        <v>644</v>
      </c>
      <c r="E126" s="15">
        <v>42632.770127314812</v>
      </c>
      <c r="F126" s="15">
        <v>42632.77884259259</v>
      </c>
      <c r="G126" s="7">
        <v>1</v>
      </c>
      <c r="H126" s="15" t="s">
        <v>346</v>
      </c>
      <c r="I126" s="15">
        <v>42632.805752314816</v>
      </c>
      <c r="J126" s="7">
        <v>0</v>
      </c>
      <c r="K126" s="121" t="str">
        <f t="shared" si="65"/>
        <v>4007/4008</v>
      </c>
      <c r="L126" s="24" t="str">
        <f>VLOOKUP(A126,'Trips&amp;Operators'!$C$1:$E$10000,3,FALSE)</f>
        <v>NEWELL</v>
      </c>
      <c r="M126" s="6">
        <f t="shared" si="66"/>
        <v>2.6909722226264421E-2</v>
      </c>
      <c r="N126" s="7">
        <f t="shared" si="67"/>
        <v>38.750000005820766</v>
      </c>
      <c r="O126" s="7"/>
      <c r="P126" s="7"/>
      <c r="Q126" s="25"/>
      <c r="R126" s="25"/>
      <c r="S126" s="37">
        <f t="shared" si="68"/>
        <v>1</v>
      </c>
      <c r="T126" s="52" t="str">
        <f t="shared" si="69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17:28:59-0600',mode:absolute,to:'2016-09-19 20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26" s="54" t="str">
        <f t="shared" si="71"/>
        <v>N</v>
      </c>
      <c r="X126" s="168">
        <f t="shared" si="81"/>
        <v>1</v>
      </c>
      <c r="Y126" s="69">
        <f t="shared" si="72"/>
        <v>23.296299999999999</v>
      </c>
      <c r="Z126" s="69">
        <f t="shared" si="73"/>
        <v>1.34E-2</v>
      </c>
      <c r="AA126" s="69">
        <f t="shared" si="74"/>
        <v>23.282899999999998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75"/>
        <v>0214-19</v>
      </c>
      <c r="AE126" s="99" t="str">
        <f t="shared" si="76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126" s="96" t="str">
        <f t="shared" si="77"/>
        <v>"C:\Program Files (x86)\AstroGrep\AstroGrep.exe" /spath="%USERPROFILE%\AppData\Local\Temp\OnboardLogs" /stypes="app*4008*20160920*" /stext=" 01:.+((SYSTEM_STATE.+slice.+state.+changed )|(ment ac)|(system.+state.+changed )|(\|lc)|(penalty)|(\[timeout)|(PRM\|1\|D)|(kpr)|(kdp))" /e /r /s</v>
      </c>
      <c r="AG126" s="1" t="str">
        <f t="shared" si="78"/>
        <v>EC</v>
      </c>
      <c r="AH126" s="100" t="str">
        <f t="shared" si="79"/>
        <v>"%USERPROFILE%\Documents\GitHub\eaglep3\Utilities\RefineRTDCRunTimes.py" --tripid 214-19 --locoid 4008 --swversion DE.1.0.7.0 --startMP 204:232963 --initTime 2016-09-19T18:28:59 --startdatetime 2016-09-19T18:41:32 --delay 1 --endMP 204:134 --enddatetime 2016-09-19T19:20:17 --enforcementcount 0 &gt;&gt;C:\Users\stu\Documents\GitHub\eaglep3-reporting\EC\2016-09-19-refined-times.txt</v>
      </c>
      <c r="AI126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{"issue":{"subject":"","project_id":79,"tracker_id":40,"status_id":1,"priority_id":2,"assigned_to_id":23,"start_date":"2016-09-19","description":"","custom_fields":[{"id":1,"name":"Subdivision","value":"EC"},{"id":4,"name":"Milepost","value":"0.0134"},{"id":17,"name":"Train ID","value":"214-19"},{"id":16,"name":"Locomotive ID","value":"4008"},{"id":130,"name":"Impact","value":""},{"id":150,"name":"Time of Event (Mountain Time)","value":"19:20:17"},{"id":151,"name":"Denver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539</v>
      </c>
      <c r="B127" s="7">
        <v>4025</v>
      </c>
      <c r="C127" s="24" t="s">
        <v>106</v>
      </c>
      <c r="D127" s="24" t="s">
        <v>645</v>
      </c>
      <c r="E127" s="15">
        <v>42632.744895833333</v>
      </c>
      <c r="F127" s="15">
        <v>42632.750231481485</v>
      </c>
      <c r="G127" s="7">
        <v>1</v>
      </c>
      <c r="H127" s="15" t="s">
        <v>646</v>
      </c>
      <c r="I127" s="15">
        <v>42632.777662037035</v>
      </c>
      <c r="J127" s="7">
        <v>0</v>
      </c>
      <c r="K127" s="121" t="str">
        <f t="shared" si="65"/>
        <v>4025/4026</v>
      </c>
      <c r="L127" s="24" t="str">
        <f>VLOOKUP(A127,'Trips&amp;Operators'!$C$1:$E$10000,3,FALSE)</f>
        <v>ISHMAEL</v>
      </c>
      <c r="M127" s="6">
        <f t="shared" si="66"/>
        <v>2.7430555550381541E-2</v>
      </c>
      <c r="N127" s="7">
        <f t="shared" si="67"/>
        <v>39.499999992549419</v>
      </c>
      <c r="O127" s="7"/>
      <c r="P127" s="7"/>
      <c r="Q127" s="25"/>
      <c r="R127" s="25"/>
      <c r="S127" s="37">
        <f t="shared" si="68"/>
        <v>1</v>
      </c>
      <c r="T127" s="52" t="str">
        <f t="shared" si="69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16:52:39-0600',mode:absolute,to:'2016-09-19 19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7" s="54" t="str">
        <f t="shared" si="71"/>
        <v>N</v>
      </c>
      <c r="X127" s="168">
        <f t="shared" si="81"/>
        <v>1</v>
      </c>
      <c r="Y127" s="69">
        <f t="shared" si="72"/>
        <v>4.8399999999999999E-2</v>
      </c>
      <c r="Z127" s="69">
        <f t="shared" si="73"/>
        <v>23.322099999999999</v>
      </c>
      <c r="AA127" s="69">
        <f t="shared" si="74"/>
        <v>23.273699999999998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75"/>
        <v>0215-19</v>
      </c>
      <c r="AE127" s="99" t="str">
        <f t="shared" si="76"/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AF127" s="96" t="str">
        <f t="shared" si="77"/>
        <v>"C:\Program Files (x86)\AstroGrep\AstroGrep.exe" /spath="%USERPROFILE%\AppData\Local\Temp\OnboardLogs" /stypes="app*4025*20160920*" /stext=" 00:.+((SYSTEM_STATE.+slice.+state.+changed )|(ment ac)|(system.+state.+changed )|(\|lc)|(penalty)|(\[timeout)|(PRM\|1\|D)|(kpr)|(kdp))" /e /r /s</v>
      </c>
      <c r="AG127" s="1" t="str">
        <f t="shared" si="78"/>
        <v>EC</v>
      </c>
      <c r="AH127" s="100" t="str">
        <f t="shared" si="79"/>
        <v>"%USERPROFILE%\Documents\GitHub\eaglep3\Utilities\RefineRTDCRunTimes.py" --tripid 215-19 --locoid 4025 --swversion DE.1.0.7.0 --startMP 204:484 --initTime 2016-09-19T17:52:39 --startdatetime 2016-09-19T18:00:20 --delay 1 --endMP 204:233221 --enddatetime 2016-09-19T18:39:50 --enforcementcount 0 &gt;&gt;C:\Users\stu\Documents\GitHub\eaglep3-reporting\EC\2016-09-19-refined-times.txt</v>
      </c>
      <c r="AI127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{"issue":{"subject":"","project_id":79,"tracker_id":40,"status_id":1,"priority_id":2,"assigned_to_id":23,"start_date":"2016-09-19","description":"","custom_fields":[{"id":1,"name":"Subdivision","value":"EC"},{"id":4,"name":"Milepost","value":"23.3221"},{"id":17,"name":"Train ID","value":"215-19"},{"id":16,"name":"Locomotive ID","value":"4025"},{"id":130,"name":"Impact","value":""},{"id":150,"name":"Time of Event (Mountain Time)","value":"18:39:50"},{"id":151,"name":"Denver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550</v>
      </c>
      <c r="B128" s="7">
        <v>4026</v>
      </c>
      <c r="C128" s="24" t="s">
        <v>106</v>
      </c>
      <c r="D128" s="24" t="s">
        <v>647</v>
      </c>
      <c r="E128" s="15">
        <v>42632.783761574072</v>
      </c>
      <c r="F128" s="15">
        <v>42632.789085648146</v>
      </c>
      <c r="G128" s="7">
        <v>6</v>
      </c>
      <c r="H128" s="15" t="s">
        <v>218</v>
      </c>
      <c r="I128" s="15">
        <v>42632.815567129626</v>
      </c>
      <c r="J128" s="7">
        <v>0</v>
      </c>
      <c r="K128" s="121" t="str">
        <f t="shared" si="65"/>
        <v>4025/4026</v>
      </c>
      <c r="L128" s="24" t="str">
        <f>VLOOKUP(A128,'Trips&amp;Operators'!$C$1:$E$10000,3,FALSE)</f>
        <v>ISHMAEL</v>
      </c>
      <c r="M128" s="6">
        <f t="shared" si="66"/>
        <v>2.6481481480004732E-2</v>
      </c>
      <c r="N128" s="7">
        <f t="shared" si="67"/>
        <v>38.133333331206813</v>
      </c>
      <c r="O128" s="7"/>
      <c r="P128" s="7"/>
      <c r="Q128" s="25"/>
      <c r="R128" s="25"/>
      <c r="S128" s="37">
        <f t="shared" si="68"/>
        <v>1</v>
      </c>
      <c r="T128" s="52" t="str">
        <f t="shared" si="69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17:48:37-0600',mode:absolute,to:'2016-09-19 20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8" s="54" t="str">
        <f t="shared" si="71"/>
        <v>N</v>
      </c>
      <c r="X128" s="168">
        <f t="shared" si="81"/>
        <v>1</v>
      </c>
      <c r="Y128" s="69">
        <f t="shared" si="72"/>
        <v>23.289400000000001</v>
      </c>
      <c r="Z128" s="69">
        <f t="shared" si="73"/>
        <v>1.47E-2</v>
      </c>
      <c r="AA128" s="69">
        <f t="shared" si="74"/>
        <v>23.274699999999999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75"/>
        <v>0216-19</v>
      </c>
      <c r="AE128" s="99" t="str">
        <f t="shared" si="76"/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AF128" s="96" t="str">
        <f t="shared" si="77"/>
        <v>"C:\Program Files (x86)\AstroGrep\AstroGrep.exe" /spath="%USERPROFILE%\AppData\Local\Temp\OnboardLogs" /stypes="app*4026*20160920*" /stext=" 01:.+((SYSTEM_STATE.+slice.+state.+changed )|(ment ac)|(system.+state.+changed )|(\|lc)|(penalty)|(\[timeout)|(PRM\|1\|D)|(kpr)|(kdp))" /e /r /s</v>
      </c>
      <c r="AG128" s="1" t="str">
        <f t="shared" si="78"/>
        <v>EC</v>
      </c>
      <c r="AH128" s="100" t="str">
        <f t="shared" si="79"/>
        <v>"%USERPROFILE%\Documents\GitHub\eaglep3\Utilities\RefineRTDCRunTimes.py" --tripid 216-19 --locoid 4026 --swversion DE.1.0.7.0 --startMP 204:232894 --initTime 2016-09-19T18:48:37 --startdatetime 2016-09-19T18:56:17 --delay 6 --endMP 204:147 --enddatetime 2016-09-19T19:34:25 --enforcementcount 0 &gt;&gt;C:\Users\stu\Documents\GitHub\eaglep3-reporting\EC\2016-09-19-refined-times.txt</v>
      </c>
      <c r="AI128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{"issue":{"subject":"","project_id":79,"tracker_id":40,"status_id":1,"priority_id":2,"assigned_to_id":23,"start_date":"2016-09-19","description":"","custom_fields":[{"id":1,"name":"Subdivision","value":"EC"},{"id":4,"name":"Milepost","value":"0.0147"},{"id":17,"name":"Train ID","value":"216-19"},{"id":16,"name":"Locomotive ID","value":"4026"},{"id":130,"name":"Impact","value":""},{"id":150,"name":"Time of Event (Mountain Time)","value":"19:34:25"},{"id":151,"name":"Denver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542</v>
      </c>
      <c r="B129" s="7">
        <v>4053</v>
      </c>
      <c r="C129" s="24" t="s">
        <v>106</v>
      </c>
      <c r="D129" s="24" t="s">
        <v>234</v>
      </c>
      <c r="E129" s="15">
        <v>42632.758958333332</v>
      </c>
      <c r="F129" s="15">
        <v>42632.760682870372</v>
      </c>
      <c r="G129" s="7">
        <v>1</v>
      </c>
      <c r="H129" s="15" t="s">
        <v>318</v>
      </c>
      <c r="I129" s="15">
        <v>42632.787951388891</v>
      </c>
      <c r="J129" s="7">
        <v>0</v>
      </c>
      <c r="K129" s="121" t="str">
        <f t="shared" si="65"/>
        <v>4053/4054</v>
      </c>
      <c r="L129" s="24" t="str">
        <f>VLOOKUP(A129,'Trips&amp;Operators'!$C$1:$E$10000,3,FALSE)</f>
        <v>CHANDLER</v>
      </c>
      <c r="M129" s="6">
        <f t="shared" si="66"/>
        <v>2.7268518519122154E-2</v>
      </c>
      <c r="N129" s="7">
        <f t="shared" si="67"/>
        <v>39.266666667535901</v>
      </c>
      <c r="O129" s="7"/>
      <c r="P129" s="7"/>
      <c r="Q129" s="25"/>
      <c r="R129" s="25"/>
      <c r="S129" s="37">
        <f t="shared" si="68"/>
        <v>1</v>
      </c>
      <c r="T129" s="52" t="str">
        <f t="shared" si="69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17:12:54-0600',mode:absolute,to:'2016-09-19 19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9" s="54" t="str">
        <f t="shared" si="71"/>
        <v>N</v>
      </c>
      <c r="X129" s="168">
        <f t="shared" si="81"/>
        <v>1</v>
      </c>
      <c r="Y129" s="69">
        <f t="shared" si="72"/>
        <v>4.5999999999999999E-2</v>
      </c>
      <c r="Z129" s="69">
        <f t="shared" si="73"/>
        <v>23.3309</v>
      </c>
      <c r="AA129" s="69">
        <f t="shared" si="74"/>
        <v>23.2849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75"/>
        <v>0217-19</v>
      </c>
      <c r="AE129" s="99" t="str">
        <f t="shared" si="76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129" s="96" t="str">
        <f t="shared" si="77"/>
        <v>"C:\Program Files (x86)\AstroGrep\AstroGrep.exe" /spath="%USERPROFILE%\AppData\Local\Temp\OnboardLogs" /stypes="app*4053*20160920*" /stext=" 00:.+((SYSTEM_STATE.+slice.+state.+changed )|(ment ac)|(system.+state.+changed )|(\|lc)|(penalty)|(\[timeout)|(PRM\|1\|D)|(kpr)|(kdp))" /e /r /s</v>
      </c>
      <c r="AG129" s="1" t="str">
        <f t="shared" si="78"/>
        <v>EC</v>
      </c>
      <c r="AH129" s="100" t="str">
        <f t="shared" si="79"/>
        <v>"%USERPROFILE%\Documents\GitHub\eaglep3\Utilities\RefineRTDCRunTimes.py" --tripid 217-19 --locoid 4053 --swversion DE.1.0.7.0 --startMP 204:460 --initTime 2016-09-19T18:12:54 --startdatetime 2016-09-19T18:15:23 --delay 1 --endMP 204:233309 --enddatetime 2016-09-19T18:54:39 --enforcementcount 0 &gt;&gt;C:\Users\stu\Documents\GitHub\eaglep3-reporting\EC\2016-09-19-refined-times.txt</v>
      </c>
      <c r="AI129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{"issue":{"subject":"","project_id":79,"tracker_id":40,"status_id":1,"priority_id":2,"assigned_to_id":23,"start_date":"2016-09-19","description":"","custom_fields":[{"id":1,"name":"Subdivision","value":"EC"},{"id":4,"name":"Milepost","value":"23.3309"},{"id":17,"name":"Train ID","value":"217-19"},{"id":16,"name":"Locomotive ID","value":"4053"},{"id":130,"name":"Impact","value":""},{"id":150,"name":"Time of Event (Mountain Time)","value":"18:54:39"},{"id":151,"name":"Denver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553</v>
      </c>
      <c r="B130" s="7">
        <v>4054</v>
      </c>
      <c r="C130" s="24" t="s">
        <v>106</v>
      </c>
      <c r="D130" s="24" t="s">
        <v>237</v>
      </c>
      <c r="E130" s="15">
        <v>42632.798530092594</v>
      </c>
      <c r="F130" s="15">
        <v>42632.799837962964</v>
      </c>
      <c r="G130" s="7">
        <v>1</v>
      </c>
      <c r="H130" s="15" t="s">
        <v>127</v>
      </c>
      <c r="I130" s="15">
        <v>42632.82708333333</v>
      </c>
      <c r="J130" s="7">
        <v>0</v>
      </c>
      <c r="K130" s="121" t="str">
        <f t="shared" si="65"/>
        <v>4053/4054</v>
      </c>
      <c r="L130" s="24" t="str">
        <f>VLOOKUP(A130,'Trips&amp;Operators'!$C$1:$E$10000,3,FALSE)</f>
        <v>CHANDLER</v>
      </c>
      <c r="M130" s="6">
        <f t="shared" si="66"/>
        <v>2.7245370365562849E-2</v>
      </c>
      <c r="N130" s="7">
        <f t="shared" si="67"/>
        <v>39.233333326410502</v>
      </c>
      <c r="O130" s="7"/>
      <c r="P130" s="7"/>
      <c r="Q130" s="25"/>
      <c r="R130" s="25"/>
      <c r="S130" s="37">
        <f t="shared" si="68"/>
        <v>1</v>
      </c>
      <c r="T130" s="52" t="str">
        <f t="shared" si="69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18:09:53-0600',mode:absolute,to:'2016-09-19 20:51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0" s="54" t="str">
        <f t="shared" si="71"/>
        <v>N</v>
      </c>
      <c r="X130" s="168">
        <f t="shared" si="81"/>
        <v>1</v>
      </c>
      <c r="Y130" s="69">
        <f t="shared" si="72"/>
        <v>23.297799999999999</v>
      </c>
      <c r="Z130" s="69">
        <f t="shared" si="73"/>
        <v>1.54E-2</v>
      </c>
      <c r="AA130" s="69">
        <f t="shared" si="74"/>
        <v>23.282399999999999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75"/>
        <v>0218-19</v>
      </c>
      <c r="AE130" s="99" t="str">
        <f t="shared" si="76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130" s="96" t="str">
        <f t="shared" si="77"/>
        <v>"C:\Program Files (x86)\AstroGrep\AstroGrep.exe" /spath="%USERPROFILE%\AppData\Local\Temp\OnboardLogs" /stypes="app*4054*20160920*" /stext=" 01:.+((SYSTEM_STATE.+slice.+state.+changed )|(ment ac)|(system.+state.+changed )|(\|lc)|(penalty)|(\[timeout)|(PRM\|1\|D)|(kpr)|(kdp))" /e /r /s</v>
      </c>
      <c r="AG130" s="1" t="str">
        <f t="shared" si="78"/>
        <v>EC</v>
      </c>
      <c r="AH130" s="100" t="str">
        <f t="shared" si="79"/>
        <v>"%USERPROFILE%\Documents\GitHub\eaglep3\Utilities\RefineRTDCRunTimes.py" --tripid 218-19 --locoid 4054 --swversion DE.1.0.7.0 --startMP 204:232978 --initTime 2016-09-19T19:09:53 --startdatetime 2016-09-19T19:11:46 --delay 1 --endMP 204:154 --enddatetime 2016-09-19T19:51:00 --enforcementcount 0 &gt;&gt;C:\Users\stu\Documents\GitHub\eaglep3-reporting\EC\2016-09-19-refined-times.txt</v>
      </c>
      <c r="AI130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{"issue":{"subject":"","project_id":79,"tracker_id":40,"status_id":1,"priority_id":2,"assigned_to_id":23,"start_date":"2016-09-19","description":"","custom_fields":[{"id":1,"name":"Subdivision","value":"EC"},{"id":4,"name":"Milepost","value":"0.0154"},{"id":17,"name":"Train ID","value":"218-19"},{"id":16,"name":"Locomotive ID","value":"4054"},{"id":130,"name":"Impact","value":""},{"id":150,"name":"Time of Event (Mountain Time)","value":"19:51:00"},{"id":151,"name":"Denver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544</v>
      </c>
      <c r="B131" s="7">
        <v>4002</v>
      </c>
      <c r="C131" s="24" t="s">
        <v>106</v>
      </c>
      <c r="D131" s="24" t="s">
        <v>299</v>
      </c>
      <c r="E131" s="15">
        <v>42632.76734953704</v>
      </c>
      <c r="F131" s="15">
        <v>42632.771041666667</v>
      </c>
      <c r="G131" s="7">
        <v>1</v>
      </c>
      <c r="H131" s="15" t="s">
        <v>648</v>
      </c>
      <c r="I131" s="15">
        <v>42632.795671296299</v>
      </c>
      <c r="J131" s="7">
        <v>0</v>
      </c>
      <c r="K131" s="121" t="str">
        <f t="shared" si="65"/>
        <v>4001/4002</v>
      </c>
      <c r="L131" s="24" t="str">
        <f>VLOOKUP(A131,'Trips&amp;Operators'!$C$1:$E$10000,3,FALSE)</f>
        <v>YANAI</v>
      </c>
      <c r="M131" s="6">
        <f t="shared" si="66"/>
        <v>2.4629629631817807E-2</v>
      </c>
      <c r="N131" s="7">
        <f t="shared" si="67"/>
        <v>35.466666669817641</v>
      </c>
      <c r="O131" s="7"/>
      <c r="P131" s="7"/>
      <c r="Q131" s="25"/>
      <c r="R131" s="25"/>
      <c r="S131" s="37">
        <f t="shared" si="68"/>
        <v>1</v>
      </c>
      <c r="T131" s="52" t="str">
        <f t="shared" si="69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17:24:59-0600',mode:absolute,to:'2016-09-19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31" s="54" t="str">
        <f t="shared" si="71"/>
        <v>N</v>
      </c>
      <c r="X131" s="168">
        <f t="shared" si="81"/>
        <v>1</v>
      </c>
      <c r="Y131" s="69">
        <f t="shared" si="72"/>
        <v>4.3999999999999997E-2</v>
      </c>
      <c r="Z131" s="69">
        <f t="shared" si="73"/>
        <v>23.328700000000001</v>
      </c>
      <c r="AA131" s="69">
        <f t="shared" si="74"/>
        <v>23.284700000000001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75"/>
        <v>0219-19</v>
      </c>
      <c r="AE131" s="99" t="str">
        <f t="shared" si="76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131" s="96" t="str">
        <f t="shared" si="77"/>
        <v>"C:\Program Files (x86)\AstroGrep\AstroGrep.exe" /spath="%USERPROFILE%\AppData\Local\Temp\OnboardLogs" /stypes="app*4002*20160920*" /stext=" 01:.+((SYSTEM_STATE.+slice.+state.+changed )|(ment ac)|(system.+state.+changed )|(\|lc)|(penalty)|(\[timeout)|(PRM\|1\|D)|(kpr)|(kdp))" /e /r /s</v>
      </c>
      <c r="AG131" s="1" t="str">
        <f t="shared" si="78"/>
        <v>EC</v>
      </c>
      <c r="AH131" s="100" t="str">
        <f t="shared" si="79"/>
        <v>"%USERPROFILE%\Documents\GitHub\eaglep3\Utilities\RefineRTDCRunTimes.py" --tripid 219-19 --locoid 4002 --swversion DE.1.0.7.0 --startMP 204:440 --initTime 2016-09-19T18:24:59 --startdatetime 2016-09-19T18:30:18 --delay 1 --endMP 204:233287 --enddatetime 2016-09-19T19:05:46 --enforcementcount 0 &gt;&gt;C:\Users\stu\Documents\GitHub\eaglep3-reporting\EC\2016-09-19-refined-times.txt</v>
      </c>
      <c r="AI131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{"issue":{"subject":"","project_id":79,"tracker_id":40,"status_id":1,"priority_id":2,"assigned_to_id":23,"start_date":"2016-09-19","description":"","custom_fields":[{"id":1,"name":"Subdivision","value":"EC"},{"id":4,"name":"Milepost","value":"23.3287"},{"id":17,"name":"Train ID","value":"219-19"},{"id":16,"name":"Locomotive ID","value":"4002"},{"id":130,"name":"Impact","value":""},{"id":150,"name":"Time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555</v>
      </c>
      <c r="B132" s="7">
        <v>4001</v>
      </c>
      <c r="C132" s="24" t="s">
        <v>106</v>
      </c>
      <c r="D132" s="24" t="s">
        <v>632</v>
      </c>
      <c r="E132" s="15">
        <v>42632.807222222225</v>
      </c>
      <c r="F132" s="15">
        <v>42632.809930555559</v>
      </c>
      <c r="G132" s="7">
        <v>1</v>
      </c>
      <c r="H132" s="15" t="s">
        <v>346</v>
      </c>
      <c r="I132" s="15">
        <v>42632.83666666667</v>
      </c>
      <c r="J132" s="7">
        <v>0</v>
      </c>
      <c r="K132" s="121" t="str">
        <f t="shared" si="65"/>
        <v>4001/4002</v>
      </c>
      <c r="L132" s="24" t="str">
        <f>VLOOKUP(A132,'Trips&amp;Operators'!$C$1:$E$10000,3,FALSE)</f>
        <v>YANAI</v>
      </c>
      <c r="M132" s="6">
        <f t="shared" si="66"/>
        <v>2.6736111110949423E-2</v>
      </c>
      <c r="N132" s="7">
        <f t="shared" si="67"/>
        <v>38.499999999767169</v>
      </c>
      <c r="O132" s="7"/>
      <c r="P132" s="7"/>
      <c r="Q132" s="25"/>
      <c r="R132" s="25"/>
      <c r="S132" s="37">
        <f t="shared" si="68"/>
        <v>1</v>
      </c>
      <c r="T132" s="52" t="str">
        <f t="shared" si="69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18:22:24-0600',mode:absolute,to:'2016-09-19 21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32" s="54" t="str">
        <f t="shared" si="71"/>
        <v>N</v>
      </c>
      <c r="X132" s="168">
        <f t="shared" si="81"/>
        <v>1</v>
      </c>
      <c r="Y132" s="69">
        <f t="shared" si="72"/>
        <v>23.295999999999999</v>
      </c>
      <c r="Z132" s="69">
        <f t="shared" si="73"/>
        <v>1.34E-2</v>
      </c>
      <c r="AA132" s="69">
        <f t="shared" si="74"/>
        <v>23.282599999999999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75"/>
        <v>0220-19</v>
      </c>
      <c r="AE132" s="99" t="str">
        <f t="shared" si="76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132" s="96" t="str">
        <f t="shared" si="77"/>
        <v>"C:\Program Files (x86)\AstroGrep\AstroGrep.exe" /spath="%USERPROFILE%\AppData\Local\Temp\OnboardLogs" /stypes="app*4001*20160920*" /stext=" 02:.+((SYSTEM_STATE.+slice.+state.+changed )|(ment ac)|(system.+state.+changed )|(\|lc)|(penalty)|(\[timeout)|(PRM\|1\|D)|(kpr)|(kdp))" /e /r /s</v>
      </c>
      <c r="AG132" s="1" t="str">
        <f t="shared" si="78"/>
        <v>EC</v>
      </c>
      <c r="AH132" s="100" t="str">
        <f t="shared" si="79"/>
        <v>"%USERPROFILE%\Documents\GitHub\eaglep3\Utilities\RefineRTDCRunTimes.py" --tripid 220-19 --locoid 4001 --swversion DE.1.0.7.0 --startMP 204:232960 --initTime 2016-09-19T19:22:24 --startdatetime 2016-09-19T19:26:18 --delay 1 --endMP 204:134 --enddatetime 2016-09-19T20:04:48 --enforcementcount 0 &gt;&gt;C:\Users\stu\Documents\GitHub\eaglep3-reporting\EC\2016-09-19-refined-times.txt</v>
      </c>
      <c r="AI13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{"issue":{"subject":"","project_id":79,"tracker_id":40,"status_id":1,"priority_id":2,"assigned_to_id":23,"start_date":"2016-09-19","description":"","custom_fields":[{"id":1,"name":"Subdivision","value":"EC"},{"id":4,"name":"Milepost","value":"0.0134"},{"id":17,"name":"Train ID","value":"220-19"},{"id":16,"name":"Locomotive ID","value":"4001"},{"id":130,"name":"Impact","value":""},{"id":150,"name":"Time of Event (Mountain Time)","value":"20:04:48"},{"id":151,"name":"Denver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551</v>
      </c>
      <c r="B133" s="7">
        <v>4042</v>
      </c>
      <c r="C133" s="24" t="s">
        <v>106</v>
      </c>
      <c r="D133" s="24" t="s">
        <v>216</v>
      </c>
      <c r="E133" s="15">
        <v>42632.791527777779</v>
      </c>
      <c r="F133" s="15">
        <v>42632.79310185185</v>
      </c>
      <c r="G133" s="7">
        <v>1</v>
      </c>
      <c r="H133" s="15" t="s">
        <v>245</v>
      </c>
      <c r="I133" s="15">
        <v>42632.818310185183</v>
      </c>
      <c r="J133" s="7">
        <v>0</v>
      </c>
      <c r="K133" s="121" t="str">
        <f t="shared" si="65"/>
        <v>4041/4042</v>
      </c>
      <c r="L133" s="24" t="str">
        <f>VLOOKUP(A133,'Trips&amp;Operators'!$C$1:$E$10000,3,FALSE)</f>
        <v>LEVERE</v>
      </c>
      <c r="M133" s="6">
        <f t="shared" si="66"/>
        <v>2.5208333332557231E-2</v>
      </c>
      <c r="N133" s="7">
        <f t="shared" si="67"/>
        <v>36.299999998882413</v>
      </c>
      <c r="O133" s="7"/>
      <c r="P133" s="7"/>
      <c r="Q133" s="25"/>
      <c r="R133" s="25"/>
      <c r="S133" s="37">
        <f t="shared" si="68"/>
        <v>1</v>
      </c>
      <c r="T133" s="52" t="str">
        <f t="shared" si="69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17:59:48-0600',mode:absolute,to:'2016-09-19 20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3" s="54" t="str">
        <f t="shared" si="71"/>
        <v>N</v>
      </c>
      <c r="X133" s="168">
        <f t="shared" si="81"/>
        <v>1</v>
      </c>
      <c r="Y133" s="69">
        <f t="shared" si="72"/>
        <v>4.7100000000000003E-2</v>
      </c>
      <c r="Z133" s="69">
        <f t="shared" si="73"/>
        <v>23.329899999999999</v>
      </c>
      <c r="AA133" s="69">
        <f t="shared" si="74"/>
        <v>23.282799999999998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75"/>
        <v>0221-19</v>
      </c>
      <c r="AE133" s="99" t="str">
        <f t="shared" si="76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133" s="96" t="str">
        <f t="shared" si="77"/>
        <v>"C:\Program Files (x86)\AstroGrep\AstroGrep.exe" /spath="%USERPROFILE%\AppData\Local\Temp\OnboardLogs" /stypes="app*4042*20160920*" /stext=" 01:.+((SYSTEM_STATE.+slice.+state.+changed )|(ment ac)|(system.+state.+changed )|(\|lc)|(penalty)|(\[timeout)|(PRM\|1\|D)|(kpr)|(kdp))" /e /r /s</v>
      </c>
      <c r="AG133" s="1" t="str">
        <f t="shared" si="78"/>
        <v>EC</v>
      </c>
      <c r="AH133" s="100" t="str">
        <f t="shared" si="79"/>
        <v>"%USERPROFILE%\Documents\GitHub\eaglep3\Utilities\RefineRTDCRunTimes.py" --tripid 221-19 --locoid 4042 --swversion DE.1.0.7.0 --startMP 204:471 --initTime 2016-09-19T18:59:48 --startdatetime 2016-09-19T19:02:04 --delay 1 --endMP 204:233299 --enddatetime 2016-09-19T19:38:22 --enforcementcount 0 &gt;&gt;C:\Users\stu\Documents\GitHub\eaglep3-reporting\EC\2016-09-19-refined-times.txt</v>
      </c>
      <c r="AI133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{"issue":{"subject":"","project_id":79,"tracker_id":40,"status_id":1,"priority_id":2,"assigned_to_id":23,"start_date":"2016-09-19","description":"","custom_fields":[{"id":1,"name":"Subdivision","value":"EC"},{"id":4,"name":"Milepost","value":"23.3299"},{"id":17,"name":"Train ID","value":"221-19"},{"id":16,"name":"Locomotive ID","value":"4042"},{"id":130,"name":"Impact","value":""},{"id":150,"name":"Time of Event (Mountain Time)","value":"19:38:22"},{"id":151,"name":"Denver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559</v>
      </c>
      <c r="B134" s="7">
        <v>4041</v>
      </c>
      <c r="C134" s="24" t="s">
        <v>106</v>
      </c>
      <c r="D134" s="24" t="s">
        <v>228</v>
      </c>
      <c r="E134" s="15">
        <v>42632.825891203705</v>
      </c>
      <c r="F134" s="15">
        <v>42632.83085648148</v>
      </c>
      <c r="G134" s="7">
        <v>2</v>
      </c>
      <c r="H134" s="15" t="s">
        <v>217</v>
      </c>
      <c r="I134" s="15">
        <v>42632.858634259261</v>
      </c>
      <c r="J134" s="7">
        <v>0</v>
      </c>
      <c r="K134" s="121" t="str">
        <f t="shared" si="65"/>
        <v>4041/4042</v>
      </c>
      <c r="L134" s="24" t="str">
        <f>VLOOKUP(A134,'Trips&amp;Operators'!$C$1:$E$10000,3,FALSE)</f>
        <v>LEVERE</v>
      </c>
      <c r="M134" s="6">
        <f t="shared" si="66"/>
        <v>2.7777777781011537E-2</v>
      </c>
      <c r="N134" s="7">
        <f t="shared" si="67"/>
        <v>40.000000004656613</v>
      </c>
      <c r="O134" s="7"/>
      <c r="P134" s="7"/>
      <c r="Q134" s="25"/>
      <c r="R134" s="25"/>
      <c r="S134" s="37">
        <f t="shared" si="68"/>
        <v>1</v>
      </c>
      <c r="T134" s="52" t="str">
        <f t="shared" si="69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18:49:17-0600',mode:absolute,to:'2016-09-19 21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4" s="54" t="str">
        <f t="shared" si="71"/>
        <v>N</v>
      </c>
      <c r="X134" s="168">
        <f t="shared" si="81"/>
        <v>1</v>
      </c>
      <c r="Y134" s="69">
        <f t="shared" si="72"/>
        <v>23.297699999999999</v>
      </c>
      <c r="Z134" s="69">
        <f t="shared" si="73"/>
        <v>1.5800000000000002E-2</v>
      </c>
      <c r="AA134" s="69">
        <f t="shared" si="74"/>
        <v>23.2819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75"/>
        <v>0222-19</v>
      </c>
      <c r="AE134" s="99" t="str">
        <f t="shared" si="76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134" s="96" t="str">
        <f t="shared" si="77"/>
        <v>"C:\Program Files (x86)\AstroGrep\AstroGrep.exe" /spath="%USERPROFILE%\AppData\Local\Temp\OnboardLogs" /stypes="app*4041*20160920*" /stext=" 02:.+((SYSTEM_STATE.+slice.+state.+changed )|(ment ac)|(system.+state.+changed )|(\|lc)|(penalty)|(\[timeout)|(PRM\|1\|D)|(kpr)|(kdp))" /e /r /s</v>
      </c>
      <c r="AG134" s="1" t="str">
        <f t="shared" si="78"/>
        <v>EC</v>
      </c>
      <c r="AH134" s="100" t="str">
        <f t="shared" si="79"/>
        <v>"%USERPROFILE%\Documents\GitHub\eaglep3\Utilities\RefineRTDCRunTimes.py" --tripid 222-19 --locoid 4041 --swversion DE.1.0.7.0 --startMP 204:232977 --initTime 2016-09-19T19:49:17 --startdatetime 2016-09-19T19:56:26 --delay 2 --endMP 204:158 --enddatetime 2016-09-19T20:36:26 --enforcementcount 0 &gt;&gt;C:\Users\stu\Documents\GitHub\eaglep3-reporting\EC\2016-09-19-refined-times.txt</v>
      </c>
      <c r="AI13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{"issue":{"subject":"","project_id":79,"tracker_id":40,"status_id":1,"priority_id":2,"assigned_to_id":23,"start_date":"2016-09-19","description":"","custom_fields":[{"id":1,"name":"Subdivision","value":"EC"},{"id":4,"name":"Milepost","value":"0.0158"},{"id":17,"name":"Train ID","value":"222-19"},{"id":16,"name":"Locomotive ID","value":"4041"},{"id":130,"name":"Impact","value":""},{"id":150,"name":"Time of Event (Mountain Time)","value":"20:36:26"},{"id":151,"name":"Denver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556</v>
      </c>
      <c r="B135" s="7">
        <v>4007</v>
      </c>
      <c r="C135" s="24" t="s">
        <v>106</v>
      </c>
      <c r="D135" s="24" t="s">
        <v>649</v>
      </c>
      <c r="E135" s="15">
        <v>42632.807627314818</v>
      </c>
      <c r="F135" s="15">
        <v>42632.812650462962</v>
      </c>
      <c r="G135" s="7">
        <v>1</v>
      </c>
      <c r="H135" s="15" t="s">
        <v>650</v>
      </c>
      <c r="I135" s="15">
        <v>42632.836875000001</v>
      </c>
      <c r="J135" s="7">
        <v>0</v>
      </c>
      <c r="K135" s="121" t="str">
        <f t="shared" si="65"/>
        <v>4007/4008</v>
      </c>
      <c r="L135" s="24" t="str">
        <f>VLOOKUP(A135,'Trips&amp;Operators'!$C$1:$E$10000,3,FALSE)</f>
        <v>NEWELL</v>
      </c>
      <c r="M135" s="6">
        <f t="shared" si="66"/>
        <v>2.4224537039117422E-2</v>
      </c>
      <c r="N135" s="7">
        <f t="shared" si="67"/>
        <v>34.883333336329088</v>
      </c>
      <c r="O135" s="7"/>
      <c r="P135" s="7"/>
      <c r="Q135" s="25"/>
      <c r="R135" s="25"/>
      <c r="S135" s="37">
        <f t="shared" si="68"/>
        <v>1</v>
      </c>
      <c r="T135" s="52" t="str">
        <f t="shared" si="69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18:22:59-0600',mode:absolute,to:'2016-09-19 21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35" s="54" t="str">
        <f t="shared" si="71"/>
        <v>N</v>
      </c>
      <c r="X135" s="168">
        <f t="shared" si="81"/>
        <v>1</v>
      </c>
      <c r="Y135" s="69">
        <f t="shared" si="72"/>
        <v>4.3099999999999999E-2</v>
      </c>
      <c r="Z135" s="69">
        <f t="shared" si="73"/>
        <v>23.330100000000002</v>
      </c>
      <c r="AA135" s="69">
        <f t="shared" si="74"/>
        <v>23.287000000000003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75"/>
        <v>0223-19</v>
      </c>
      <c r="AE135" s="99" t="str">
        <f t="shared" si="76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135" s="96" t="str">
        <f t="shared" si="77"/>
        <v>"C:\Program Files (x86)\AstroGrep\AstroGrep.exe" /spath="%USERPROFILE%\AppData\Local\Temp\OnboardLogs" /stypes="app*4007*20160920*" /stext=" 02:.+((SYSTEM_STATE.+slice.+state.+changed )|(ment ac)|(system.+state.+changed )|(\|lc)|(penalty)|(\[timeout)|(PRM\|1\|D)|(kpr)|(kdp))" /e /r /s</v>
      </c>
      <c r="AG135" s="1" t="str">
        <f t="shared" si="78"/>
        <v>EC</v>
      </c>
      <c r="AH135" s="100" t="str">
        <f t="shared" si="79"/>
        <v>"%USERPROFILE%\Documents\GitHub\eaglep3\Utilities\RefineRTDCRunTimes.py" --tripid 223-19 --locoid 4007 --swversion DE.1.0.7.0 --startMP 204:431 --initTime 2016-09-19T19:22:59 --startdatetime 2016-09-19T19:30:13 --delay 1 --endMP 204:233301 --enddatetime 2016-09-19T20:05:06 --enforcementcount 0 &gt;&gt;C:\Users\stu\Documents\GitHub\eaglep3-reporting\EC\2016-09-19-refined-times.txt</v>
      </c>
      <c r="AI135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{"issue":{"subject":"","project_id":79,"tracker_id":40,"status_id":1,"priority_id":2,"assigned_to_id":23,"start_date":"2016-09-19","description":"","custom_fields":[{"id":1,"name":"Subdivision","value":"EC"},{"id":4,"name":"Milepost","value":"23.3301"},{"id":17,"name":"Train ID","value":"223-19"},{"id":16,"name":"Locomotive ID","value":"4007"},{"id":130,"name":"Impact","value":""},{"id":150,"name":"Time of Event (Mountain Time)","value":"20:05:06"},{"id":151,"name":"Denver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561</v>
      </c>
      <c r="B136" s="7">
        <v>4008</v>
      </c>
      <c r="C136" s="24" t="s">
        <v>106</v>
      </c>
      <c r="D136" s="24" t="s">
        <v>651</v>
      </c>
      <c r="E136" s="15">
        <v>42632.871006944442</v>
      </c>
      <c r="F136" s="15">
        <v>42632.872256944444</v>
      </c>
      <c r="G136" s="7">
        <v>1</v>
      </c>
      <c r="H136" s="15" t="s">
        <v>230</v>
      </c>
      <c r="I136" s="15">
        <v>42632.888784722221</v>
      </c>
      <c r="J136" s="7">
        <v>0</v>
      </c>
      <c r="K136" s="121" t="str">
        <f t="shared" si="65"/>
        <v>4007/4008</v>
      </c>
      <c r="L136" s="24" t="str">
        <f>VLOOKUP(A136,'Trips&amp;Operators'!$C$1:$E$10000,3,FALSE)</f>
        <v>NEWELL</v>
      </c>
      <c r="M136" s="6">
        <f t="shared" si="66"/>
        <v>1.6527777777810115E-2</v>
      </c>
      <c r="N136" s="7"/>
      <c r="O136" s="7"/>
      <c r="P136" s="7">
        <f>24*60*SUM($M136:$M137)</f>
        <v>38.48333332920447</v>
      </c>
      <c r="Q136" s="25"/>
      <c r="R136" s="25" t="s">
        <v>758</v>
      </c>
      <c r="S136" s="37">
        <f>SUM(U136:U137)/IF(AG136="EC",12,1)</f>
        <v>1</v>
      </c>
      <c r="T136" s="52" t="str">
        <f t="shared" si="69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19:54:15-0600',mode:absolute,to:'2016-09-19 22:19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36" s="54" t="str">
        <f t="shared" si="71"/>
        <v>Y</v>
      </c>
      <c r="X136" s="168">
        <f t="shared" si="81"/>
        <v>1</v>
      </c>
      <c r="Y136" s="69">
        <f t="shared" si="72"/>
        <v>12.787800000000001</v>
      </c>
      <c r="Z136" s="69">
        <f t="shared" si="73"/>
        <v>1.3899999999999999E-2</v>
      </c>
      <c r="AA136" s="69">
        <f t="shared" si="74"/>
        <v>12.773900000000001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75"/>
        <v>0224-19</v>
      </c>
      <c r="AE136" s="99" t="str">
        <f t="shared" si="76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136" s="96" t="str">
        <f t="shared" si="77"/>
        <v>"C:\Program Files (x86)\AstroGrep\AstroGrep.exe" /spath="%USERPROFILE%\AppData\Local\Temp\OnboardLogs" /stypes="app*4008*20160920*" /stext=" 03:.+((SYSTEM_STATE.+slice.+state.+changed )|(ment ac)|(system.+state.+changed )|(\|lc)|(penalty)|(\[timeout)|(PRM\|1\|D)|(kpr)|(kdp))" /e /r /s</v>
      </c>
      <c r="AG136" s="1" t="str">
        <f t="shared" si="78"/>
        <v>EC</v>
      </c>
      <c r="AH136" s="100" t="str">
        <f t="shared" si="79"/>
        <v>"%USERPROFILE%\Documents\GitHub\eaglep3\Utilities\RefineRTDCRunTimes.py" --tripid 224-19 --locoid 4008 --swversion DE.1.0.7.0 --startMP 204:127878 --initTime 2016-09-19T20:54:15 --startdatetime 2016-09-19T20:56:03 --delay 1 --endMP 204:139 --enddatetime 2016-09-19T21:19:51 --enforcementcount 0 &gt;&gt;C:\Users\stu\Documents\GitHub\eaglep3-reporting\EC\2016-09-19-refined-times.txt</v>
      </c>
      <c r="AI136" s="134" t="str">
        <f t="shared" si="80"/>
        <v>echo {"issue":{"subject":"EC1752RH 175-1T 1S stuck at STOP &amp; PROCEED","project_id":79,"tracker_id":40,"status_id":1,"priority_id":2,"assigned_to_id":23,"start_date":"2016-09-19","description":"At 20:32:28, EC1752RH 175-1T 1S downgraded from 270 to STOP &amp; PROCEED. It seems that a train had to be talked past this location… anything wrong happen here?","custom_fields":[{"id":1,"name":"Subdivision","value":"EC"},{"id":4,"name":"Milepost","value":"0.0139"},{"id":17,"name":"Train ID","value":"224-19"},{"id":16,"name":"Locomotive ID","value":"4008"},{"id":130,"name":"Impact","value":"Unexpected Cut-Out or Disengaged"},{"id":150,"name":"Time of Event (Mountain Time)","value":"21:19:51"},{"id":151,"name":"Denver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6" s="55" t="s">
        <v>757</v>
      </c>
      <c r="AK136" s="55" t="s">
        <v>144</v>
      </c>
      <c r="AL136" s="55" t="s">
        <v>143</v>
      </c>
    </row>
    <row r="137" spans="1:38" s="23" customFormat="1" x14ac:dyDescent="0.25">
      <c r="A137" s="39" t="s">
        <v>561</v>
      </c>
      <c r="B137" s="7">
        <v>4008</v>
      </c>
      <c r="C137" s="24" t="s">
        <v>106</v>
      </c>
      <c r="D137" s="24" t="s">
        <v>633</v>
      </c>
      <c r="E137" s="15">
        <v>42632.838807870372</v>
      </c>
      <c r="F137" s="15">
        <v>42632.8515625</v>
      </c>
      <c r="G137" s="7">
        <v>1</v>
      </c>
      <c r="H137" s="15" t="s">
        <v>652</v>
      </c>
      <c r="I137" s="15">
        <v>42632.861759259256</v>
      </c>
      <c r="J137" s="7">
        <v>0</v>
      </c>
      <c r="K137" s="121" t="str">
        <f t="shared" si="65"/>
        <v>4007/4008</v>
      </c>
      <c r="L137" s="24" t="str">
        <f>VLOOKUP(A137,'Trips&amp;Operators'!$C$1:$E$10000,3,FALSE)</f>
        <v>NEWELL</v>
      </c>
      <c r="M137" s="6">
        <f t="shared" si="66"/>
        <v>1.0196759256359655E-2</v>
      </c>
      <c r="N137" s="7"/>
      <c r="O137" s="7"/>
      <c r="P137" s="7"/>
      <c r="Q137" s="25"/>
      <c r="R137" s="25"/>
      <c r="S137" s="37"/>
      <c r="T137" s="52" t="str">
        <f t="shared" si="69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19:07:53-0600',mode:absolute,to:'2016-09-19 21:40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37" s="54" t="str">
        <f t="shared" si="71"/>
        <v>Y</v>
      </c>
      <c r="X137" s="168">
        <f t="shared" si="81"/>
        <v>0</v>
      </c>
      <c r="Y137" s="69">
        <f t="shared" si="72"/>
        <v>23.2986</v>
      </c>
      <c r="Z137" s="69">
        <f t="shared" si="73"/>
        <v>17.552800000000001</v>
      </c>
      <c r="AA137" s="69">
        <f t="shared" si="74"/>
        <v>5.7457999999999991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75"/>
        <v>0224-19</v>
      </c>
      <c r="AE137" s="99" t="str">
        <f t="shared" si="76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137" s="96" t="str">
        <f t="shared" si="77"/>
        <v>"C:\Program Files (x86)\AstroGrep\AstroGrep.exe" /spath="%USERPROFILE%\AppData\Local\Temp\OnboardLogs" /stypes="app*4008*20160920*" /stext=" 02:.+((SYSTEM_STATE.+slice.+state.+changed )|(ment ac)|(system.+state.+changed )|(\|lc)|(penalty)|(\[timeout)|(PRM\|1\|D)|(kpr)|(kdp))" /e /r /s</v>
      </c>
      <c r="AG137" s="1" t="str">
        <f t="shared" si="78"/>
        <v>EC</v>
      </c>
      <c r="AH137" s="100" t="str">
        <f t="shared" si="79"/>
        <v>"%USERPROFILE%\Documents\GitHub\eaglep3\Utilities\RefineRTDCRunTimes.py" --tripid 224-19 --locoid 4008 --swversion DE.1.0.7.0 --startMP 204:232986 --initTime 2016-09-19T20:07:53 --startdatetime 2016-09-19T20:26:15 --delay 1 --endMP 204:175528 --enddatetime 2016-09-19T20:40:56 --enforcementcount 0 &gt;&gt;C:\Users\stu\Documents\GitHub\eaglep3-reporting\EC\2016-09-19-refined-times.txt</v>
      </c>
      <c r="AI137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{"issue":{"subject":"","project_id":79,"tracker_id":40,"status_id":1,"priority_id":2,"assigned_to_id":23,"start_date":"2016-09-19","description":"","custom_fields":[{"id":1,"name":"Subdivision","value":"EC"},{"id":4,"name":"Milepost","value":"17.5528"},{"id":17,"name":"Train ID","value":"224-19"},{"id":16,"name":"Locomotive ID","value":"4008"},{"id":130,"name":"Impact","value":""},{"id":150,"name":"Time of Event (Mountain Time)","value":"20:40:56"},{"id":151,"name":"Denver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560</v>
      </c>
      <c r="B138" s="7">
        <v>4053</v>
      </c>
      <c r="C138" s="24" t="s">
        <v>106</v>
      </c>
      <c r="D138" s="24" t="s">
        <v>653</v>
      </c>
      <c r="E138" s="15">
        <v>42632.833310185182</v>
      </c>
      <c r="F138" s="15">
        <v>42632.834456018521</v>
      </c>
      <c r="G138" s="7">
        <v>1</v>
      </c>
      <c r="H138" s="15" t="s">
        <v>266</v>
      </c>
      <c r="I138" s="15">
        <v>42632.859143518515</v>
      </c>
      <c r="J138" s="7">
        <v>0</v>
      </c>
      <c r="K138" s="121" t="str">
        <f t="shared" si="65"/>
        <v>4053/4054</v>
      </c>
      <c r="L138" s="24" t="str">
        <f>VLOOKUP(A138,'Trips&amp;Operators'!$C$1:$E$10000,3,FALSE)</f>
        <v>CHANDLER</v>
      </c>
      <c r="M138" s="6">
        <f t="shared" si="66"/>
        <v>2.4687499993888196E-2</v>
      </c>
      <c r="N138" s="7">
        <f t="shared" si="67"/>
        <v>35.549999991199002</v>
      </c>
      <c r="O138" s="7"/>
      <c r="P138" s="7"/>
      <c r="Q138" s="25"/>
      <c r="R138" s="25"/>
      <c r="S138" s="37">
        <f t="shared" si="68"/>
        <v>1</v>
      </c>
      <c r="T138" s="52" t="str">
        <f t="shared" si="69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18:59:58-0600',mode:absolute,to:'2016-09-19 21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8" s="54" t="str">
        <f t="shared" si="71"/>
        <v>N</v>
      </c>
      <c r="X138" s="168">
        <f t="shared" si="81"/>
        <v>1</v>
      </c>
      <c r="Y138" s="69">
        <f t="shared" si="72"/>
        <v>5.2200000000000003E-2</v>
      </c>
      <c r="Z138" s="69">
        <f t="shared" si="73"/>
        <v>23.327400000000001</v>
      </c>
      <c r="AA138" s="69">
        <f t="shared" si="74"/>
        <v>23.275200000000002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75"/>
        <v>0225-19</v>
      </c>
      <c r="AE138" s="99" t="str">
        <f t="shared" si="76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138" s="96" t="str">
        <f t="shared" si="77"/>
        <v>"C:\Program Files (x86)\AstroGrep\AstroGrep.exe" /spath="%USERPROFILE%\AppData\Local\Temp\OnboardLogs" /stypes="app*4053*20160920*" /stext=" 02:.+((SYSTEM_STATE.+slice.+state.+changed )|(ment ac)|(system.+state.+changed )|(\|lc)|(penalty)|(\[timeout)|(PRM\|1\|D)|(kpr)|(kdp))" /e /r /s</v>
      </c>
      <c r="AG138" s="1" t="str">
        <f t="shared" si="78"/>
        <v>EC</v>
      </c>
      <c r="AH138" s="100" t="str">
        <f t="shared" si="79"/>
        <v>"%USERPROFILE%\Documents\GitHub\eaglep3\Utilities\RefineRTDCRunTimes.py" --tripid 225-19 --locoid 4053 --swversion DE.1.0.7.0 --startMP 204:522 --initTime 2016-09-19T19:59:58 --startdatetime 2016-09-19T20:01:37 --delay 1 --endMP 204:233274 --enddatetime 2016-09-19T20:37:10 --enforcementcount 0 &gt;&gt;C:\Users\stu\Documents\GitHub\eaglep3-reporting\EC\2016-09-19-refined-times.txt</v>
      </c>
      <c r="AI138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{"issue":{"subject":"","project_id":79,"tracker_id":40,"status_id":1,"priority_id":2,"assigned_to_id":23,"start_date":"2016-09-19","description":"","custom_fields":[{"id":1,"name":"Subdivision","value":"EC"},{"id":4,"name":"Milepost","value":"23.3274"},{"id":17,"name":"Train ID","value":"225-19"},{"id":16,"name":"Locomotive ID","value":"4053"},{"id":130,"name":"Impact","value":""},{"id":150,"name":"Time of Event (Mountain Time)","value":"20:37:10"},{"id":151,"name":"Denver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566</v>
      </c>
      <c r="B139" s="7">
        <v>4054</v>
      </c>
      <c r="C139" s="24" t="s">
        <v>106</v>
      </c>
      <c r="D139" s="24" t="s">
        <v>644</v>
      </c>
      <c r="E139" s="15">
        <v>42632.871087962965</v>
      </c>
      <c r="F139" s="15">
        <v>42632.872870370367</v>
      </c>
      <c r="G139" s="7">
        <v>1</v>
      </c>
      <c r="H139" s="15" t="s">
        <v>214</v>
      </c>
      <c r="I139" s="15">
        <v>42632.900405092594</v>
      </c>
      <c r="J139" s="7">
        <v>0</v>
      </c>
      <c r="K139" s="121" t="str">
        <f t="shared" si="65"/>
        <v>4053/4054</v>
      </c>
      <c r="L139" s="24" t="str">
        <f>VLOOKUP(A139,'Trips&amp;Operators'!$C$1:$E$10000,3,FALSE)</f>
        <v>CHANDLER</v>
      </c>
      <c r="M139" s="6">
        <f t="shared" si="66"/>
        <v>2.7534722226846498E-2</v>
      </c>
      <c r="N139" s="7">
        <f t="shared" si="67"/>
        <v>39.650000006658956</v>
      </c>
      <c r="O139" s="7"/>
      <c r="P139" s="7"/>
      <c r="Q139" s="25"/>
      <c r="R139" s="25"/>
      <c r="S139" s="37">
        <f t="shared" si="68"/>
        <v>1</v>
      </c>
      <c r="T139" s="52" t="str">
        <f t="shared" si="69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19:54:22-0600',mode:absolute,to:'2016-09-19 22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9" s="54" t="str">
        <f t="shared" si="71"/>
        <v>N</v>
      </c>
      <c r="X139" s="168">
        <f t="shared" si="81"/>
        <v>1</v>
      </c>
      <c r="Y139" s="69">
        <f t="shared" si="72"/>
        <v>23.296299999999999</v>
      </c>
      <c r="Z139" s="69">
        <f t="shared" si="73"/>
        <v>1.6E-2</v>
      </c>
      <c r="AA139" s="69">
        <f t="shared" si="74"/>
        <v>23.2803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75"/>
        <v>0226-19</v>
      </c>
      <c r="AE139" s="99" t="str">
        <f t="shared" si="76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139" s="96" t="str">
        <f t="shared" si="77"/>
        <v>"C:\Program Files (x86)\AstroGrep\AstroGrep.exe" /spath="%USERPROFILE%\AppData\Local\Temp\OnboardLogs" /stypes="app*4054*20160920*" /stext=" 03:.+((SYSTEM_STATE.+slice.+state.+changed )|(ment ac)|(system.+state.+changed )|(\|lc)|(penalty)|(\[timeout)|(PRM\|1\|D)|(kpr)|(kdp))" /e /r /s</v>
      </c>
      <c r="AG139" s="1" t="str">
        <f t="shared" si="78"/>
        <v>EC</v>
      </c>
      <c r="AH139" s="100" t="str">
        <f t="shared" si="79"/>
        <v>"%USERPROFILE%\Documents\GitHub\eaglep3\Utilities\RefineRTDCRunTimes.py" --tripid 226-19 --locoid 4054 --swversion DE.1.0.7.0 --startMP 204:232963 --initTime 2016-09-19T20:54:22 --startdatetime 2016-09-19T20:56:56 --delay 1 --endMP 204:160 --enddatetime 2016-09-19T21:36:35 --enforcementcount 0 &gt;&gt;C:\Users\stu\Documents\GitHub\eaglep3-reporting\EC\2016-09-19-refined-times.txt</v>
      </c>
      <c r="AI139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{"issue":{"subject":"","project_id":79,"tracker_id":40,"status_id":1,"priority_id":2,"assigned_to_id":23,"start_date":"2016-09-19","description":"","custom_fields":[{"id":1,"name":"Subdivision","value":"EC"},{"id":4,"name":"Milepost","value":"0.016"},{"id":17,"name":"Train ID","value":"226-19"},{"id":16,"name":"Locomotive ID","value":"4054"},{"id":130,"name":"Impact","value":""},{"id":150,"name":"Time of Event (Mountain Time)","value":"21:36:35"},{"id":151,"name":"Denver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562</v>
      </c>
      <c r="B140" s="7">
        <v>4002</v>
      </c>
      <c r="C140" s="24" t="s">
        <v>106</v>
      </c>
      <c r="D140" s="24" t="s">
        <v>223</v>
      </c>
      <c r="E140" s="15">
        <v>42632.840312499997</v>
      </c>
      <c r="F140" s="15">
        <v>42632.854398148149</v>
      </c>
      <c r="G140" s="7">
        <v>1</v>
      </c>
      <c r="H140" s="15" t="s">
        <v>654</v>
      </c>
      <c r="I140" s="15">
        <v>42632.872141203705</v>
      </c>
      <c r="J140" s="7">
        <v>0</v>
      </c>
      <c r="K140" s="121" t="str">
        <f t="shared" si="65"/>
        <v>4001/4002</v>
      </c>
      <c r="L140" s="24" t="str">
        <f>VLOOKUP(A140,'Trips&amp;Operators'!$C$1:$E$10000,3,FALSE)</f>
        <v>YANAI</v>
      </c>
      <c r="M140" s="6">
        <f t="shared" si="66"/>
        <v>1.7743055555911269E-2</v>
      </c>
      <c r="N140" s="7"/>
      <c r="O140" s="7"/>
      <c r="P140" s="7">
        <f t="shared" si="67"/>
        <v>25.550000000512227</v>
      </c>
      <c r="Q140" s="25"/>
      <c r="R140" s="25" t="s">
        <v>759</v>
      </c>
      <c r="S140" s="37">
        <f t="shared" si="68"/>
        <v>1</v>
      </c>
      <c r="T140" s="52" t="str">
        <f t="shared" si="69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19:10:03-0600',mode:absolute,to:'2016-09-19 21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0" s="54" t="str">
        <f t="shared" si="71"/>
        <v>Y</v>
      </c>
      <c r="X140" s="168">
        <f t="shared" si="81"/>
        <v>1</v>
      </c>
      <c r="Y140" s="69">
        <f t="shared" si="72"/>
        <v>4.5699999999999998E-2</v>
      </c>
      <c r="Z140" s="69">
        <f t="shared" si="73"/>
        <v>15.478899999999999</v>
      </c>
      <c r="AA140" s="69">
        <f t="shared" si="74"/>
        <v>15.433199999999999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75"/>
        <v>0227-19</v>
      </c>
      <c r="AE140" s="99" t="str">
        <f t="shared" si="76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140" s="96" t="str">
        <f t="shared" si="77"/>
        <v>"C:\Program Files (x86)\AstroGrep\AstroGrep.exe" /spath="%USERPROFILE%\AppData\Local\Temp\OnboardLogs" /stypes="app*4002*20160920*" /stext=" 02:.+((SYSTEM_STATE.+slice.+state.+changed )|(ment ac)|(system.+state.+changed )|(\|lc)|(penalty)|(\[timeout)|(PRM\|1\|D)|(kpr)|(kdp))" /e /r /s</v>
      </c>
      <c r="AG140" s="1" t="str">
        <f t="shared" si="78"/>
        <v>EC</v>
      </c>
      <c r="AH140" s="100" t="str">
        <f t="shared" si="79"/>
        <v>"%USERPROFILE%\Documents\GitHub\eaglep3\Utilities\RefineRTDCRunTimes.py" --tripid 227-19 --locoid 4002 --swversion DE.1.0.7.0 --startMP 204:457 --initTime 2016-09-19T20:10:03 --startdatetime 2016-09-19T20:30:20 --delay 1 --endMP 204:154789 --enddatetime 2016-09-19T20:55:53 --enforcementcount 0 &gt;&gt;C:\Users\stu\Documents\GitHub\eaglep3-reporting\EC\2016-09-19-refined-times.txt</v>
      </c>
      <c r="AI140" s="134" t="str">
        <f t="shared" si="80"/>
        <v>echo {"issue":{"subject":"61st offline from 20:28:11 - 21:00:56","project_id":79,"tracker_id":40,"status_id":1,"priority_id":2,"assigned_to_id":23,"start_date":"2016-09-19","description":"61st was offline from 20:28:11 - 21:00:56. Any idea what may have caused this?","custom_fields":[{"id":1,"name":"Subdivision","value":"EC"},{"id":4,"name":"Milepost","value":"15.4789"},{"id":17,"name":"Train ID","value":"227-19"},{"id":16,"name":"Locomotive ID","value":"4002"},{"id":130,"name":"Impact","value":"Enforcement"},{"id":150,"name":"Time of Event (Mountain Time)","value":"20:55:53"},{"id":151,"name":"Denver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0" s="55" t="s">
        <v>760</v>
      </c>
      <c r="AK140" s="55" t="s">
        <v>138</v>
      </c>
      <c r="AL140" s="55" t="s">
        <v>143</v>
      </c>
    </row>
    <row r="141" spans="1:38" x14ac:dyDescent="0.25">
      <c r="A141" s="39" t="s">
        <v>568</v>
      </c>
      <c r="B141" s="7">
        <v>4001</v>
      </c>
      <c r="C141" s="24" t="s">
        <v>106</v>
      </c>
      <c r="D141" s="24" t="s">
        <v>267</v>
      </c>
      <c r="E141" s="15">
        <v>42632.89025462963</v>
      </c>
      <c r="F141" s="15">
        <v>42632.893333333333</v>
      </c>
      <c r="G141" s="7">
        <v>1</v>
      </c>
      <c r="H141" s="15" t="s">
        <v>213</v>
      </c>
      <c r="I141" s="15">
        <v>42632.921215277776</v>
      </c>
      <c r="J141" s="7">
        <v>0</v>
      </c>
      <c r="K141" s="121" t="str">
        <f t="shared" si="65"/>
        <v>4001/4002</v>
      </c>
      <c r="L141" s="24" t="str">
        <f>VLOOKUP(A141,'Trips&amp;Operators'!$C$1:$E$10000,3,FALSE)</f>
        <v>YANAI</v>
      </c>
      <c r="M141" s="6">
        <f t="shared" si="66"/>
        <v>2.7881944442924578E-2</v>
      </c>
      <c r="N141" s="7">
        <f t="shared" si="67"/>
        <v>40.149999997811392</v>
      </c>
      <c r="O141" s="7"/>
      <c r="P141" s="7"/>
      <c r="Q141" s="25"/>
      <c r="R141" s="25"/>
      <c r="S141" s="37">
        <f t="shared" si="68"/>
        <v>1</v>
      </c>
      <c r="T141" s="52" t="str">
        <f t="shared" si="69"/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20:21:58-0600',mode:absolute,to:'2016-09-19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1" s="54" t="str">
        <f t="shared" si="71"/>
        <v>N</v>
      </c>
      <c r="X141" s="168">
        <f t="shared" si="81"/>
        <v>1</v>
      </c>
      <c r="Y141" s="69">
        <f t="shared" si="72"/>
        <v>23.296500000000002</v>
      </c>
      <c r="Z141" s="69">
        <f t="shared" si="73"/>
        <v>1.49E-2</v>
      </c>
      <c r="AA141" s="69">
        <f t="shared" si="74"/>
        <v>23.281600000000001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si="75"/>
        <v>0228-19</v>
      </c>
      <c r="AE141" s="99" t="str">
        <f t="shared" si="76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141" s="96" t="str">
        <f t="shared" si="77"/>
        <v>"C:\Program Files (x86)\AstroGrep\AstroGrep.exe" /spath="%USERPROFILE%\AppData\Local\Temp\OnboardLogs" /stypes="app*4001*20160920*" /stext=" 04:.+((SYSTEM_STATE.+slice.+state.+changed )|(ment ac)|(system.+state.+changed )|(\|lc)|(penalty)|(\[timeout)|(PRM\|1\|D)|(kpr)|(kdp))" /e /r /s</v>
      </c>
      <c r="AG141" s="1" t="str">
        <f t="shared" si="78"/>
        <v>EC</v>
      </c>
      <c r="AH141" s="100" t="str">
        <f t="shared" si="79"/>
        <v>"%USERPROFILE%\Documents\GitHub\eaglep3\Utilities\RefineRTDCRunTimes.py" --tripid 228-19 --locoid 4001 --swversion DE.1.0.7.0 --startMP 204:232965 --initTime 2016-09-19T21:21:58 --startdatetime 2016-09-19T21:26:24 --delay 1 --endMP 204:149 --enddatetime 2016-09-19T22:06:33 --enforcementcount 0 &gt;&gt;C:\Users\stu\Documents\GitHub\eaglep3-reporting\EC\2016-09-19-refined-times.txt</v>
      </c>
      <c r="AI141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{"issue":{"subject":"","project_id":79,"tracker_id":40,"status_id":1,"priority_id":2,"assigned_to_id":23,"start_date":"2016-09-19","description":"","custom_fields":[{"id":1,"name":"Subdivision","value":"EC"},{"id":4,"name":"Milepost","value":"0.0149"},{"id":17,"name":"Train ID","value":"228-19"},{"id":16,"name":"Locomotive ID","value":"4001"},{"id":130,"name":"Impact","value":""},{"id":150,"name":"Time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565</v>
      </c>
      <c r="B142" s="7">
        <v>4042</v>
      </c>
      <c r="C142" s="24" t="s">
        <v>106</v>
      </c>
      <c r="D142" s="24" t="s">
        <v>305</v>
      </c>
      <c r="E142" s="15">
        <v>42632.869201388887</v>
      </c>
      <c r="F142" s="15">
        <v>42632.875254629631</v>
      </c>
      <c r="G142" s="7">
        <v>1</v>
      </c>
      <c r="H142" s="15" t="s">
        <v>655</v>
      </c>
      <c r="I142" s="15">
        <v>42632.901932870373</v>
      </c>
      <c r="J142" s="7">
        <v>0</v>
      </c>
      <c r="K142" s="121" t="str">
        <f t="shared" si="65"/>
        <v>4041/4042</v>
      </c>
      <c r="L142" s="24" t="str">
        <f>VLOOKUP(A142,'Trips&amp;Operators'!$C$1:$E$10000,3,FALSE)</f>
        <v>LEVERE</v>
      </c>
      <c r="M142" s="6">
        <f t="shared" si="66"/>
        <v>2.6678240741603076E-2</v>
      </c>
      <c r="N142" s="7">
        <f t="shared" si="67"/>
        <v>38.41666666790843</v>
      </c>
      <c r="O142" s="7"/>
      <c r="P142" s="7"/>
      <c r="Q142" s="25"/>
      <c r="R142" s="25"/>
      <c r="S142" s="37">
        <f t="shared" si="68"/>
        <v>1</v>
      </c>
      <c r="T142" s="52" t="str">
        <f t="shared" si="69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19:51:39-0600',mode:absolute,to:'2016-09-19 22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2" s="54" t="str">
        <f t="shared" si="71"/>
        <v>N</v>
      </c>
      <c r="X142" s="168">
        <f t="shared" si="81"/>
        <v>1</v>
      </c>
      <c r="Y142" s="69">
        <f t="shared" si="72"/>
        <v>4.8000000000000001E-2</v>
      </c>
      <c r="Z142" s="69">
        <f t="shared" si="73"/>
        <v>23.331199999999999</v>
      </c>
      <c r="AA142" s="69">
        <f t="shared" si="74"/>
        <v>23.283200000000001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75"/>
        <v>0229-19</v>
      </c>
      <c r="AE142" s="99" t="str">
        <f t="shared" si="76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142" s="96" t="str">
        <f t="shared" si="77"/>
        <v>"C:\Program Files (x86)\AstroGrep\AstroGrep.exe" /spath="%USERPROFILE%\AppData\Local\Temp\OnboardLogs" /stypes="app*4042*20160920*" /stext=" 03:.+((SYSTEM_STATE.+slice.+state.+changed )|(ment ac)|(system.+state.+changed )|(\|lc)|(penalty)|(\[timeout)|(PRM\|1\|D)|(kpr)|(kdp))" /e /r /s</v>
      </c>
      <c r="AG142" s="1" t="str">
        <f t="shared" si="78"/>
        <v>EC</v>
      </c>
      <c r="AH142" s="100" t="str">
        <f t="shared" si="79"/>
        <v>"%USERPROFILE%\Documents\GitHub\eaglep3\Utilities\RefineRTDCRunTimes.py" --tripid 229-19 --locoid 4042 --swversion DE.1.0.7.0 --startMP 204:480 --initTime 2016-09-19T20:51:39 --startdatetime 2016-09-19T21:00:22 --delay 1 --endMP 204:233312 --enddatetime 2016-09-19T21:38:47 --enforcementcount 0 &gt;&gt;C:\Users\stu\Documents\GitHub\eaglep3-reporting\EC\2016-09-19-refined-times.txt</v>
      </c>
      <c r="AI142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{"issue":{"subject":"","project_id":79,"tracker_id":40,"status_id":1,"priority_id":2,"assigned_to_id":23,"start_date":"2016-09-19","description":"","custom_fields":[{"id":1,"name":"Subdivision","value":"EC"},{"id":4,"name":"Milepost","value":"23.3312"},{"id":17,"name":"Train ID","value":"229-19"},{"id":16,"name":"Locomotive ID","value":"4042"},{"id":130,"name":"Impact","value":""},{"id":150,"name":"Time of Event (Mountain Time)","value":"21:38:47"},{"id":151,"name":"Denver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571</v>
      </c>
      <c r="B143" s="7">
        <v>4041</v>
      </c>
      <c r="C143" s="24" t="s">
        <v>106</v>
      </c>
      <c r="D143" s="24" t="s">
        <v>656</v>
      </c>
      <c r="E143" s="15">
        <v>42632.91</v>
      </c>
      <c r="F143" s="15">
        <v>42632.914317129631</v>
      </c>
      <c r="G143" s="7">
        <v>1</v>
      </c>
      <c r="H143" s="15" t="s">
        <v>222</v>
      </c>
      <c r="I143" s="15">
        <v>42632.942870370367</v>
      </c>
      <c r="J143" s="7">
        <v>0</v>
      </c>
      <c r="K143" s="121" t="str">
        <f t="shared" si="65"/>
        <v>4041/4042</v>
      </c>
      <c r="L143" s="24" t="str">
        <f>VLOOKUP(A143,'Trips&amp;Operators'!$C$1:$E$10000,3,FALSE)</f>
        <v>LEVERE</v>
      </c>
      <c r="M143" s="6">
        <f t="shared" si="66"/>
        <v>2.8553240736073349E-2</v>
      </c>
      <c r="N143" s="7">
        <f t="shared" si="67"/>
        <v>41.116666659945622</v>
      </c>
      <c r="O143" s="7"/>
      <c r="P143" s="7"/>
      <c r="Q143" s="25"/>
      <c r="R143" s="25"/>
      <c r="S143" s="37">
        <f t="shared" si="68"/>
        <v>1</v>
      </c>
      <c r="T143" s="52" t="str">
        <f t="shared" si="69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https://search-rtdc-monitor-bjffxe2xuh6vdkpspy63sjmuny.us-east-1.es.amazonaws.com/_plugin/kibana/#/discover/Steve-Slow-Train-Analysis-(2080s-and-2083s)?_g=(refreshInterval:(display:Off,section:0,value:0),time:(from:'2016-09-19 20:50:24-0600',mode:absolute,to:'2016-09-19 23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3" s="54" t="str">
        <f t="shared" si="71"/>
        <v>N</v>
      </c>
      <c r="X143" s="168">
        <f t="shared" si="81"/>
        <v>1</v>
      </c>
      <c r="Y143" s="69">
        <f t="shared" si="72"/>
        <v>23.299199999999999</v>
      </c>
      <c r="Z143" s="69">
        <f t="shared" si="73"/>
        <v>1.52E-2</v>
      </c>
      <c r="AA143" s="69">
        <f t="shared" si="74"/>
        <v>23.283999999999999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75"/>
        <v>0230-19</v>
      </c>
      <c r="AE143" s="99" t="str">
        <f t="shared" si="76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143" s="96" t="str">
        <f t="shared" si="77"/>
        <v>"C:\Program Files (x86)\AstroGrep\AstroGrep.exe" /spath="%USERPROFILE%\AppData\Local\Temp\OnboardLogs" /stypes="app*4041*20160920*" /stext=" 04:.+((SYSTEM_STATE.+slice.+state.+changed )|(ment ac)|(system.+state.+changed )|(\|lc)|(penalty)|(\[timeout)|(PRM\|1\|D)|(kpr)|(kdp))" /e /r /s</v>
      </c>
      <c r="AG143" s="1" t="str">
        <f t="shared" si="78"/>
        <v>EC</v>
      </c>
      <c r="AH143" s="100" t="str">
        <f t="shared" si="79"/>
        <v>"%USERPROFILE%\Documents\GitHub\eaglep3\Utilities\RefineRTDCRunTimes.py" --tripid 230-19 --locoid 4041 --swversion DE.1.0.7.0 --startMP 204:232992 --initTime 2016-09-19T21:50:24 --startdatetime 2016-09-19T21:56:37 --delay 1 --endMP 204:152 --enddatetime 2016-09-19T22:37:44 --enforcementcount 0 &gt;&gt;C:\Users\stu\Documents\GitHub\eaglep3-reporting\EC\2016-09-19-refined-times.txt</v>
      </c>
      <c r="AI143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{"issue":{"subject":"","project_id":79,"tracker_id":40,"status_id":1,"priority_id":2,"assigned_to_id":23,"start_date":"2016-09-19","description":"","custom_fields":[{"id":1,"name":"Subdivision","value":"EC"},{"id":4,"name":"Milepost","value":"0.0152"},{"id":17,"name":"Train ID","value":"230-19"},{"id":16,"name":"Locomotive ID","value":"4041"},{"id":130,"name":"Impact","value":""},{"id":150,"name":"Time of Event (Mountain Time)","value":"22:37:44"},{"id":151,"name":"Denver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569</v>
      </c>
      <c r="B144" s="7">
        <v>4007</v>
      </c>
      <c r="C144" s="24" t="s">
        <v>106</v>
      </c>
      <c r="D144" s="24" t="s">
        <v>231</v>
      </c>
      <c r="E144" s="15">
        <v>42632.890277777777</v>
      </c>
      <c r="F144" s="15">
        <v>42632.896006944444</v>
      </c>
      <c r="G144" s="7">
        <v>1</v>
      </c>
      <c r="H144" s="15" t="s">
        <v>269</v>
      </c>
      <c r="I144" s="15">
        <v>42632.920162037037</v>
      </c>
      <c r="J144" s="7">
        <v>0</v>
      </c>
      <c r="K144" s="121" t="str">
        <f t="shared" ref="K144:K206" si="82">IF(ISEVEN(B144),(B144-1)&amp;"/"&amp;B144,B144&amp;"/"&amp;(B144+1))</f>
        <v>4007/4008</v>
      </c>
      <c r="L144" s="24" t="str">
        <f>VLOOKUP(A144,'Trips&amp;Operators'!$C$1:$E$10000,3,FALSE)</f>
        <v>NEWELL</v>
      </c>
      <c r="M144" s="6">
        <f t="shared" ref="M144:M206" si="83">I144-F144</f>
        <v>2.4155092592991423E-2</v>
      </c>
      <c r="N144" s="7">
        <f t="shared" ref="N144:N206" si="84">24*60*SUM($M144:$M144)</f>
        <v>34.783333333907649</v>
      </c>
      <c r="O144" s="7"/>
      <c r="P144" s="7"/>
      <c r="Q144" s="25"/>
      <c r="R144" s="25"/>
      <c r="S144" s="37">
        <f t="shared" ref="S144:S206" si="85">SUM(U144:U144)/IF(AG144="EC",12,1)</f>
        <v>1</v>
      </c>
      <c r="T144" s="52" t="str">
        <f t="shared" ref="T144:T206" si="86">IF(ISEVEN(LEFT(AD144,4)),"Southbound","NorthBound")</f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ref="V144:V206" si="87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https://search-rtdc-monitor-bjffxe2xuh6vdkpspy63sjmuny.us-east-1.es.amazonaws.com/_plugin/kibana/#/discover/Steve-Slow-Train-Analysis-(2080s-and-2083s)?_g=(refreshInterval:(display:Off,section:0,value:0),time:(from:'2016-09-19 20:22:00-0600',mode:absolute,to:'2016-09-19 23:05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44" s="54" t="str">
        <f t="shared" ref="W144:W206" si="88">IF(AA144&lt;IF(AG144="EC",23,5.65),"Y","N")</f>
        <v>N</v>
      </c>
      <c r="X144" s="168">
        <f t="shared" ref="X144:X206" si="89">VALUE(LEFT(AD144,4))-VALUE(LEFT(AD143,4))</f>
        <v>1</v>
      </c>
      <c r="Y144" s="69">
        <f t="shared" ref="Y144:Y206" si="90">RIGHT(D144,LEN(D144)-4)/10000</f>
        <v>4.58E-2</v>
      </c>
      <c r="Z144" s="69">
        <f t="shared" ref="Z144:Z206" si="91">RIGHT(H144,LEN(H144)-4)/10000</f>
        <v>23.330300000000001</v>
      </c>
      <c r="AA144" s="69">
        <f t="shared" ref="AA144:AA206" si="92">ABS(Z144-Y144)</f>
        <v>23.284500000000001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ref="AD144:AD206" si="93">IF(LEN(A144)=6,"0"&amp;A144,A144)</f>
        <v>0231-19</v>
      </c>
      <c r="AE144" s="99" t="str">
        <f t="shared" ref="AE144:AE206" si="94"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144" s="96" t="str">
        <f t="shared" ref="AF144:AF206" si="95"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/stypes="app*4007*20160920*" /stext=" 04:.+((SYSTEM_STATE.+slice.+state.+changed )|(ment ac)|(system.+state.+changed )|(\|lc)|(penalty)|(\[timeout)|(PRM\|1\|D)|(kpr)|(kdp))" /e /r /s</v>
      </c>
      <c r="AG144" s="1" t="str">
        <f t="shared" ref="AG144:AG206" si="96">IFERROR(IF(VALUE(LEFT(AD144,2))&lt;=2,"EC",IF(OR(VALUE(LEFT(AD144,2))=8,VALUE(LEFT(AD144,2))=18),"NW","Other")),"Other")</f>
        <v>EC</v>
      </c>
      <c r="AH144" s="100" t="str">
        <f t="shared" si="79"/>
        <v>"%USERPROFILE%\Documents\GitHub\eaglep3\Utilities\RefineRTDCRunTimes.py" --tripid 231-19 --locoid 4007 --swversion DE.1.0.7.0 --startMP 204:458 --initTime 2016-09-19T21:22:00 --startdatetime 2016-09-19T21:30:15 --delay 1 --endMP 204:233303 --enddatetime 2016-09-19T22:05:02 --enforcementcount 0 &gt;&gt;C:\Users\stu\Documents\GitHub\eaglep3-reporting\EC\2016-09-19-refined-times.txt</v>
      </c>
      <c r="AI144" s="134" t="str">
        <f t="shared" si="80"/>
        <v>echo {"issue":{"subject":"","project_id":79,"tracker_id":40,"status_id":1,"priority_id":2,"assigned_to_id":23,"start_date":"2016-09-19","description":"","custom_fields":[{"id":1,"name":"Subdivision","value":"EC"},{"id":4,"name":"Milepost","value":"23.3303"},{"id":17,"name":"Train ID","value":"231-19"},{"id":16,"name":"Locomotive ID","value":"4007"},{"id":130,"name":"Impact","value":""},{"id":150,"name":"Time of Event (Mountain Time)","value":"22:05:02"},{"id":151,"name":"Denver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573</v>
      </c>
      <c r="B145" s="7">
        <v>4008</v>
      </c>
      <c r="C145" s="24" t="s">
        <v>106</v>
      </c>
      <c r="D145" s="24" t="s">
        <v>256</v>
      </c>
      <c r="E145" s="15">
        <v>42632.922025462962</v>
      </c>
      <c r="F145" s="15">
        <v>42632.934872685182</v>
      </c>
      <c r="G145" s="7">
        <v>1</v>
      </c>
      <c r="H145" s="15" t="s">
        <v>602</v>
      </c>
      <c r="I145" s="15">
        <v>42632.961064814815</v>
      </c>
      <c r="J145" s="7">
        <v>0</v>
      </c>
      <c r="K145" s="121" t="str">
        <f t="shared" si="82"/>
        <v>4007/4008</v>
      </c>
      <c r="L145" s="24" t="str">
        <f>VLOOKUP(A145,'Trips&amp;Operators'!$C$1:$E$10000,3,FALSE)</f>
        <v>NEWELL</v>
      </c>
      <c r="M145" s="6">
        <f t="shared" si="83"/>
        <v>2.6192129633272998E-2</v>
      </c>
      <c r="N145" s="7">
        <f t="shared" si="84"/>
        <v>37.716666671913117</v>
      </c>
      <c r="O145" s="7"/>
      <c r="P145" s="7"/>
      <c r="Q145" s="25"/>
      <c r="R145" s="25"/>
      <c r="S145" s="37">
        <f t="shared" si="85"/>
        <v>1</v>
      </c>
      <c r="T145" s="52" t="str">
        <f t="shared" si="86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21:07:43-0600',mode:absolute,to:'2016-09-20 00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45" s="54" t="str">
        <f t="shared" si="88"/>
        <v>N</v>
      </c>
      <c r="X145" s="168">
        <f t="shared" si="89"/>
        <v>1</v>
      </c>
      <c r="Y145" s="69">
        <f t="shared" si="90"/>
        <v>23.297499999999999</v>
      </c>
      <c r="Z145" s="69">
        <f t="shared" si="91"/>
        <v>1.41E-2</v>
      </c>
      <c r="AA145" s="69">
        <f t="shared" si="92"/>
        <v>23.2834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93"/>
        <v>0232-19</v>
      </c>
      <c r="AE145" s="99" t="str">
        <f t="shared" si="94"/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AF145" s="96" t="str">
        <f t="shared" si="95"/>
        <v>"C:\Program Files (x86)\AstroGrep\AstroGrep.exe" /spath="%USERPROFILE%\AppData\Local\Temp\OnboardLogs" /stypes="app*4008*20160920*" /stext=" 05:.+((SYSTEM_STATE.+slice.+state.+changed )|(ment ac)|(system.+state.+changed )|(\|lc)|(penalty)|(\[timeout)|(PRM\|1\|D)|(kpr)|(kdp))" /e /r /s</v>
      </c>
      <c r="AG145" s="1" t="str">
        <f t="shared" si="96"/>
        <v>EC</v>
      </c>
      <c r="AH145" s="100" t="str">
        <f t="shared" ref="AH145:AH207" si="97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232-19 --locoid 4008 --swversion DE.1.0.7.0 --startMP 204:232975 --initTime 2016-09-19T22:07:43 --startdatetime 2016-09-19T22:26:13 --delay 1 --endMP 204:141 --enddatetime 2016-09-19T23:03:56 --enforcementcount 0 &gt;&gt;C:\Users\stu\Documents\GitHub\eaglep3-reporting\EC\2016-09-19-refined-times.txt</v>
      </c>
      <c r="AI145" s="134" t="str">
        <f t="shared" ref="AI145:AI207" si="98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{"issue":{"subject":"","project_id":79,"tracker_id":40,"status_id":1,"priority_id":2,"assigned_to_id":23,"start_date":"2016-09-19","description":"","custom_fields":[{"id":1,"name":"Subdivision","value":"EC"},{"id":4,"name":"Milepost","value":"0.0141"},{"id":17,"name":"Train ID","value":"232-19"},{"id":16,"name":"Locomotive ID","value":"4008"},{"id":130,"name":"Impact","value":""},{"id":150,"name":"Time of Event (Mountain Time)","value":"23:03:56"},{"id":151,"name":"Denver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572</v>
      </c>
      <c r="B146" s="7">
        <v>4053</v>
      </c>
      <c r="C146" s="24" t="s">
        <v>106</v>
      </c>
      <c r="D146" s="24" t="s">
        <v>231</v>
      </c>
      <c r="E146" s="15">
        <v>42632.912280092591</v>
      </c>
      <c r="F146" s="15">
        <v>42632.916990740741</v>
      </c>
      <c r="G146" s="7">
        <v>1</v>
      </c>
      <c r="H146" s="15" t="s">
        <v>359</v>
      </c>
      <c r="I146" s="15">
        <v>42632.942465277774</v>
      </c>
      <c r="J146" s="7">
        <v>0</v>
      </c>
      <c r="K146" s="121" t="str">
        <f t="shared" si="82"/>
        <v>4053/4054</v>
      </c>
      <c r="L146" s="24" t="str">
        <f>VLOOKUP(A146,'Trips&amp;Operators'!$C$1:$E$10000,3,FALSE)</f>
        <v>CHANDLER</v>
      </c>
      <c r="M146" s="6">
        <f t="shared" si="83"/>
        <v>2.5474537033005618E-2</v>
      </c>
      <c r="N146" s="7">
        <f t="shared" si="84"/>
        <v>36.683333327528089</v>
      </c>
      <c r="O146" s="7"/>
      <c r="P146" s="7"/>
      <c r="Q146" s="25"/>
      <c r="R146" s="25"/>
      <c r="S146" s="37">
        <f t="shared" si="85"/>
        <v>1</v>
      </c>
      <c r="T146" s="52" t="str">
        <f t="shared" si="86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20:53:41-0600',mode:absolute,to:'2016-09-19 23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6" s="54" t="str">
        <f t="shared" si="88"/>
        <v>N</v>
      </c>
      <c r="X146" s="168">
        <f t="shared" si="89"/>
        <v>1</v>
      </c>
      <c r="Y146" s="69">
        <f t="shared" si="90"/>
        <v>4.58E-2</v>
      </c>
      <c r="Z146" s="69">
        <f t="shared" si="91"/>
        <v>23.328399999999998</v>
      </c>
      <c r="AA146" s="69">
        <f t="shared" si="92"/>
        <v>23.282599999999999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93"/>
        <v>0233-19</v>
      </c>
      <c r="AE146" s="99" t="str">
        <f t="shared" si="94"/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AF146" s="96" t="str">
        <f t="shared" si="95"/>
        <v>"C:\Program Files (x86)\AstroGrep\AstroGrep.exe" /spath="%USERPROFILE%\AppData\Local\Temp\OnboardLogs" /stypes="app*4053*20160920*" /stext=" 04:.+((SYSTEM_STATE.+slice.+state.+changed )|(ment ac)|(system.+state.+changed )|(\|lc)|(penalty)|(\[timeout)|(PRM\|1\|D)|(kpr)|(kdp))" /e /r /s</v>
      </c>
      <c r="AG146" s="1" t="str">
        <f t="shared" si="96"/>
        <v>EC</v>
      </c>
      <c r="AH146" s="100" t="str">
        <f t="shared" si="97"/>
        <v>"%USERPROFILE%\Documents\GitHub\eaglep3\Utilities\RefineRTDCRunTimes.py" --tripid 233-19 --locoid 4053 --swversion DE.1.0.7.0 --startMP 204:458 --initTime 2016-09-19T21:53:41 --startdatetime 2016-09-19T22:00:28 --delay 1 --endMP 204:233284 --enddatetime 2016-09-19T22:37:09 --enforcementcount 0 &gt;&gt;C:\Users\stu\Documents\GitHub\eaglep3-reporting\EC\2016-09-19-refined-times.txt</v>
      </c>
      <c r="AI146" s="134" t="str">
        <f t="shared" si="98"/>
        <v>echo {"issue":{"subject":"","project_id":79,"tracker_id":40,"status_id":1,"priority_id":2,"assigned_to_id":23,"start_date":"2016-09-19","description":"","custom_fields":[{"id":1,"name":"Subdivision","value":"EC"},{"id":4,"name":"Milepost","value":"23.3284"},{"id":17,"name":"Train ID","value":"233-19"},{"id":16,"name":"Locomotive ID","value":"4053"},{"id":130,"name":"Impact","value":""},{"id":150,"name":"Time of Event (Mountain Time)","value":"22:37:09"},{"id":151,"name":"Denver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578</v>
      </c>
      <c r="B147" s="7">
        <v>4054</v>
      </c>
      <c r="C147" s="24" t="s">
        <v>106</v>
      </c>
      <c r="D147" s="24" t="s">
        <v>255</v>
      </c>
      <c r="E147" s="15">
        <v>42632.954606481479</v>
      </c>
      <c r="F147" s="15">
        <v>42632.956076388888</v>
      </c>
      <c r="G147" s="7">
        <v>1</v>
      </c>
      <c r="H147" s="15" t="s">
        <v>297</v>
      </c>
      <c r="I147" s="15">
        <v>42632.983912037038</v>
      </c>
      <c r="J147" s="7">
        <v>0</v>
      </c>
      <c r="K147" s="121" t="str">
        <f t="shared" si="82"/>
        <v>4053/4054</v>
      </c>
      <c r="L147" s="24" t="str">
        <f>VLOOKUP(A147,'Trips&amp;Operators'!$C$1:$E$10000,3,FALSE)</f>
        <v>CHANDLER</v>
      </c>
      <c r="M147" s="6">
        <f t="shared" si="83"/>
        <v>2.7835648150357883E-2</v>
      </c>
      <c r="N147" s="7">
        <f t="shared" si="84"/>
        <v>40.083333336515352</v>
      </c>
      <c r="O147" s="7"/>
      <c r="P147" s="7"/>
      <c r="Q147" s="25"/>
      <c r="R147" s="25"/>
      <c r="S147" s="37">
        <f t="shared" si="85"/>
        <v>1</v>
      </c>
      <c r="T147" s="52" t="str">
        <f t="shared" si="86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21:54:38-0600',mode:absolute,to:'2016-09-20 00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7" s="54" t="str">
        <f t="shared" si="88"/>
        <v>N</v>
      </c>
      <c r="X147" s="168">
        <f t="shared" si="89"/>
        <v>1</v>
      </c>
      <c r="Y147" s="69">
        <f t="shared" si="90"/>
        <v>23.2971</v>
      </c>
      <c r="Z147" s="69">
        <f t="shared" si="91"/>
        <v>1.5599999999999999E-2</v>
      </c>
      <c r="AA147" s="69">
        <f t="shared" si="92"/>
        <v>23.281500000000001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93"/>
        <v>0234-19</v>
      </c>
      <c r="AE147" s="99" t="str">
        <f t="shared" si="94"/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AF147" s="96" t="str">
        <f t="shared" si="95"/>
        <v>"C:\Program Files (x86)\AstroGrep\AstroGrep.exe" /spath="%USERPROFILE%\AppData\Local\Temp\OnboardLogs" /stypes="app*4054*20160920*" /stext=" 05:.+((SYSTEM_STATE.+slice.+state.+changed )|(ment ac)|(system.+state.+changed )|(\|lc)|(penalty)|(\[timeout)|(PRM\|1\|D)|(kpr)|(kdp))" /e /r /s</v>
      </c>
      <c r="AG147" s="1" t="str">
        <f t="shared" si="96"/>
        <v>EC</v>
      </c>
      <c r="AH147" s="100" t="str">
        <f t="shared" si="97"/>
        <v>"%USERPROFILE%\Documents\GitHub\eaglep3\Utilities\RefineRTDCRunTimes.py" --tripid 234-19 --locoid 4054 --swversion DE.1.0.7.0 --startMP 204:232971 --initTime 2016-09-19T22:54:38 --startdatetime 2016-09-19T22:56:45 --delay 1 --endMP 204:156 --enddatetime 2016-09-19T23:36:50 --enforcementcount 0 &gt;&gt;C:\Users\stu\Documents\GitHub\eaglep3-reporting\EC\2016-09-19-refined-times.txt</v>
      </c>
      <c r="AI147" s="134" t="str">
        <f t="shared" si="98"/>
        <v>echo {"issue":{"subject":"","project_id":79,"tracker_id":40,"status_id":1,"priority_id":2,"assigned_to_id":23,"start_date":"2016-09-19","description":"","custom_fields":[{"id":1,"name":"Subdivision","value":"EC"},{"id":4,"name":"Milepost","value":"0.0156"},{"id":17,"name":"Train ID","value":"234-19"},{"id":16,"name":"Locomotive ID","value":"4054"},{"id":130,"name":"Impact","value":""},{"id":150,"name":"Time of Event (Mountain Time)","value":"23:36:50"},{"id":151,"name":"Denver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574</v>
      </c>
      <c r="B148" s="7">
        <v>4002</v>
      </c>
      <c r="C148" s="24" t="s">
        <v>106</v>
      </c>
      <c r="D148" s="24" t="s">
        <v>226</v>
      </c>
      <c r="E148" s="15">
        <v>42632.923263888886</v>
      </c>
      <c r="F148" s="15">
        <v>42632.937673611108</v>
      </c>
      <c r="G148" s="7">
        <v>1</v>
      </c>
      <c r="H148" s="15" t="s">
        <v>327</v>
      </c>
      <c r="I148" s="15">
        <v>42632.961898148147</v>
      </c>
      <c r="J148" s="7">
        <v>0</v>
      </c>
      <c r="K148" s="121" t="str">
        <f t="shared" si="82"/>
        <v>4001/4002</v>
      </c>
      <c r="L148" s="24" t="str">
        <f>VLOOKUP(A148,'Trips&amp;Operators'!$C$1:$E$10000,3,FALSE)</f>
        <v>YANAI</v>
      </c>
      <c r="M148" s="6">
        <f t="shared" si="83"/>
        <v>2.4224537039117422E-2</v>
      </c>
      <c r="N148" s="7">
        <f t="shared" si="84"/>
        <v>34.883333336329088</v>
      </c>
      <c r="O148" s="7"/>
      <c r="P148" s="7"/>
      <c r="Q148" s="25"/>
      <c r="R148" s="25"/>
      <c r="S148" s="37">
        <f t="shared" si="85"/>
        <v>1</v>
      </c>
      <c r="T148" s="52" t="str">
        <f t="shared" si="86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21:09:30-0600',mode:absolute,to:'2016-09-20 00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8" s="54" t="str">
        <f t="shared" si="88"/>
        <v>N</v>
      </c>
      <c r="X148" s="168">
        <f t="shared" si="89"/>
        <v>1</v>
      </c>
      <c r="Y148" s="69">
        <f t="shared" si="90"/>
        <v>4.5100000000000001E-2</v>
      </c>
      <c r="Z148" s="69">
        <f t="shared" si="91"/>
        <v>23.331099999999999</v>
      </c>
      <c r="AA148" s="69">
        <f t="shared" si="92"/>
        <v>23.285999999999998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93"/>
        <v>0235-19</v>
      </c>
      <c r="AE148" s="99" t="str">
        <f t="shared" si="94"/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AF148" s="96" t="str">
        <f t="shared" si="95"/>
        <v>"C:\Program Files (x86)\AstroGrep\AstroGrep.exe" /spath="%USERPROFILE%\AppData\Local\Temp\OnboardLogs" /stypes="app*4002*20160920*" /stext=" 05:.+((SYSTEM_STATE.+slice.+state.+changed )|(ment ac)|(system.+state.+changed )|(\|lc)|(penalty)|(\[timeout)|(PRM\|1\|D)|(kpr)|(kdp))" /e /r /s</v>
      </c>
      <c r="AG148" s="1" t="str">
        <f t="shared" si="96"/>
        <v>EC</v>
      </c>
      <c r="AH148" s="100" t="str">
        <f t="shared" si="97"/>
        <v>"%USERPROFILE%\Documents\GitHub\eaglep3\Utilities\RefineRTDCRunTimes.py" --tripid 235-19 --locoid 4002 --swversion DE.1.0.7.0 --startMP 204:451 --initTime 2016-09-19T22:09:30 --startdatetime 2016-09-19T22:30:15 --delay 1 --endMP 204:233311 --enddatetime 2016-09-19T23:05:08 --enforcementcount 0 &gt;&gt;C:\Users\stu\Documents\GitHub\eaglep3-reporting\EC\2016-09-19-refined-times.txt</v>
      </c>
      <c r="AI148" s="134" t="str">
        <f t="shared" si="98"/>
        <v>echo {"issue":{"subject":"","project_id":79,"tracker_id":40,"status_id":1,"priority_id":2,"assigned_to_id":23,"start_date":"2016-09-19","description":"","custom_fields":[{"id":1,"name":"Subdivision","value":"EC"},{"id":4,"name":"Milepost","value":"23.3311"},{"id":17,"name":"Train ID","value":"235-19"},{"id":16,"name":"Locomotive ID","value":"4002"},{"id":130,"name":"Impact","value":""},{"id":150,"name":"Time of Event (Mountain Time)","value":"23:05:08"},{"id":151,"name":"Denver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580</v>
      </c>
      <c r="B149" s="7">
        <v>4001</v>
      </c>
      <c r="C149" s="24" t="s">
        <v>106</v>
      </c>
      <c r="D149" s="24" t="s">
        <v>342</v>
      </c>
      <c r="E149" s="15">
        <v>42632.973854166667</v>
      </c>
      <c r="F149" s="15">
        <v>42632.976539351854</v>
      </c>
      <c r="G149" s="7">
        <v>1</v>
      </c>
      <c r="H149" s="15" t="s">
        <v>303</v>
      </c>
      <c r="I149" s="15">
        <v>42633.003645833334</v>
      </c>
      <c r="J149" s="7">
        <v>0</v>
      </c>
      <c r="K149" s="121" t="str">
        <f t="shared" si="82"/>
        <v>4001/4002</v>
      </c>
      <c r="L149" s="24" t="str">
        <f>VLOOKUP(A149,'Trips&amp;Operators'!$C$1:$E$10000,3,FALSE)</f>
        <v>YANAI</v>
      </c>
      <c r="M149" s="6">
        <f t="shared" si="83"/>
        <v>2.7106481480586808E-2</v>
      </c>
      <c r="N149" s="7">
        <f t="shared" si="84"/>
        <v>39.033333332045004</v>
      </c>
      <c r="O149" s="7"/>
      <c r="P149" s="7"/>
      <c r="Q149" s="25"/>
      <c r="R149" s="25"/>
      <c r="S149" s="37">
        <f t="shared" si="85"/>
        <v>1</v>
      </c>
      <c r="T149" s="52" t="str">
        <f t="shared" si="86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22:22:21-0600',mode:absolute,to:'2016-09-20 01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9" s="54" t="str">
        <f t="shared" si="88"/>
        <v>N</v>
      </c>
      <c r="X149" s="168">
        <f t="shared" si="89"/>
        <v>1</v>
      </c>
      <c r="Y149" s="69">
        <f t="shared" si="90"/>
        <v>23.298200000000001</v>
      </c>
      <c r="Z149" s="69">
        <f t="shared" si="91"/>
        <v>1.6500000000000001E-2</v>
      </c>
      <c r="AA149" s="69">
        <f t="shared" si="92"/>
        <v>23.281700000000001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93"/>
        <v>0236-19</v>
      </c>
      <c r="AE149" s="99" t="str">
        <f t="shared" si="94"/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AF149" s="96" t="str">
        <f t="shared" si="95"/>
        <v>"C:\Program Files (x86)\AstroGrep\AstroGrep.exe" /spath="%USERPROFILE%\AppData\Local\Temp\OnboardLogs" /stypes="app*4001*20160920*" /stext=" 06:.+((SYSTEM_STATE.+slice.+state.+changed )|(ment ac)|(system.+state.+changed )|(\|lc)|(penalty)|(\[timeout)|(PRM\|1\|D)|(kpr)|(kdp))" /e /r /s</v>
      </c>
      <c r="AG149" s="1" t="str">
        <f t="shared" si="96"/>
        <v>EC</v>
      </c>
      <c r="AH149" s="100" t="str">
        <f t="shared" si="97"/>
        <v>"%USERPROFILE%\Documents\GitHub\eaglep3\Utilities\RefineRTDCRunTimes.py" --tripid 236-19 --locoid 4001 --swversion DE.1.0.7.0 --startMP 204:232982 --initTime 2016-09-19T23:22:21 --startdatetime 2016-09-19T23:26:13 --delay 1 --endMP 204:165 --enddatetime 2016-09-20T00:05:15 --enforcementcount 0 &gt;&gt;C:\Users\stu\Documents\GitHub\eaglep3-reporting\EC\2016-09-19-refined-times.txt</v>
      </c>
      <c r="AI149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{"issue":{"subject":"","project_id":79,"tracker_id":40,"status_id":1,"priority_id":2,"assigned_to_id":23,"start_date":"2016-09-20","description":"","custom_fields":[{"id":1,"name":"Subdivision","value":"EC"},{"id":4,"name":"Milepost","value":"0.0165"},{"id":17,"name":"Train ID","value":"236-19"},{"id":16,"name":"Locomotive ID","value":"4001"},{"id":130,"name":"Impact","value":""},{"id":150,"name":"Time of Event (Mountain Time)","value":"00:05:15"},{"id":151,"name":"Denver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577</v>
      </c>
      <c r="B150" s="7">
        <v>4042</v>
      </c>
      <c r="C150" s="24" t="s">
        <v>106</v>
      </c>
      <c r="D150" s="24" t="s">
        <v>299</v>
      </c>
      <c r="E150" s="15">
        <v>42632.952256944445</v>
      </c>
      <c r="F150" s="15">
        <v>42632.958703703705</v>
      </c>
      <c r="G150" s="7">
        <v>1</v>
      </c>
      <c r="H150" s="15" t="s">
        <v>657</v>
      </c>
      <c r="I150" s="15">
        <v>42632.985046296293</v>
      </c>
      <c r="J150" s="7">
        <v>0</v>
      </c>
      <c r="K150" s="121" t="str">
        <f t="shared" si="82"/>
        <v>4041/4042</v>
      </c>
      <c r="L150" s="24" t="str">
        <f>VLOOKUP(A150,'Trips&amp;Operators'!$C$1:$E$10000,3,FALSE)</f>
        <v>LEVERE</v>
      </c>
      <c r="M150" s="6">
        <f t="shared" si="83"/>
        <v>2.6342592587752733E-2</v>
      </c>
      <c r="N150" s="7">
        <f t="shared" si="84"/>
        <v>37.933333326363936</v>
      </c>
      <c r="O150" s="7"/>
      <c r="P150" s="7"/>
      <c r="Q150" s="25"/>
      <c r="R150" s="25"/>
      <c r="S150" s="37">
        <f t="shared" si="85"/>
        <v>1</v>
      </c>
      <c r="T150" s="52" t="str">
        <f t="shared" si="86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21:51:15-0600',mode:absolute,to:'2016-09-20 00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0" s="54" t="str">
        <f t="shared" si="88"/>
        <v>N</v>
      </c>
      <c r="X150" s="168">
        <f t="shared" si="89"/>
        <v>1</v>
      </c>
      <c r="Y150" s="69">
        <f t="shared" si="90"/>
        <v>4.3999999999999997E-2</v>
      </c>
      <c r="Z150" s="69">
        <f t="shared" si="91"/>
        <v>23.306899999999999</v>
      </c>
      <c r="AA150" s="69">
        <f t="shared" si="92"/>
        <v>23.262899999999998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93"/>
        <v>0237-19</v>
      </c>
      <c r="AE150" s="99" t="str">
        <f t="shared" si="94"/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AF150" s="96" t="str">
        <f t="shared" si="95"/>
        <v>"C:\Program Files (x86)\AstroGrep\AstroGrep.exe" /spath="%USERPROFILE%\AppData\Local\Temp\OnboardLogs" /stypes="app*4042*20160920*" /stext=" 05:.+((SYSTEM_STATE.+slice.+state.+changed )|(ment ac)|(system.+state.+changed )|(\|lc)|(penalty)|(\[timeout)|(PRM\|1\|D)|(kpr)|(kdp))" /e /r /s</v>
      </c>
      <c r="AG150" s="1" t="str">
        <f t="shared" si="96"/>
        <v>EC</v>
      </c>
      <c r="AH150" s="100" t="str">
        <f t="shared" si="97"/>
        <v>"%USERPROFILE%\Documents\GitHub\eaglep3\Utilities\RefineRTDCRunTimes.py" --tripid 237-19 --locoid 4042 --swversion DE.1.0.7.0 --startMP 204:440 --initTime 2016-09-19T22:51:15 --startdatetime 2016-09-19T23:00:32 --delay 1 --endMP 204:233069 --enddatetime 2016-09-19T23:38:28 --enforcementcount 0 &gt;&gt;C:\Users\stu\Documents\GitHub\eaglep3-reporting\EC\2016-09-19-refined-times.txt</v>
      </c>
      <c r="AI150" s="134" t="str">
        <f t="shared" si="98"/>
        <v>echo {"issue":{"subject":"","project_id":79,"tracker_id":40,"status_id":1,"priority_id":2,"assigned_to_id":23,"start_date":"2016-09-19","description":"","custom_fields":[{"id":1,"name":"Subdivision","value":"EC"},{"id":4,"name":"Milepost","value":"23.3069"},{"id":17,"name":"Train ID","value":"237-19"},{"id":16,"name":"Locomotive ID","value":"4042"},{"id":130,"name":"Impact","value":""},{"id":150,"name":"Time of Event (Mountain Time)","value":"23:38:28"},{"id":151,"name":"Denver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581</v>
      </c>
      <c r="B151" s="7">
        <v>4041</v>
      </c>
      <c r="C151" s="24" t="s">
        <v>106</v>
      </c>
      <c r="D151" s="24" t="s">
        <v>658</v>
      </c>
      <c r="E151" s="15">
        <v>42632.993622685186</v>
      </c>
      <c r="F151" s="15">
        <v>42632.997534722221</v>
      </c>
      <c r="G151" s="7">
        <v>1</v>
      </c>
      <c r="H151" s="15" t="s">
        <v>297</v>
      </c>
      <c r="I151" s="15">
        <v>42633.02547453704</v>
      </c>
      <c r="J151" s="7">
        <v>0</v>
      </c>
      <c r="K151" s="121" t="str">
        <f t="shared" si="82"/>
        <v>4041/4042</v>
      </c>
      <c r="L151" s="24" t="str">
        <f>VLOOKUP(A151,'Trips&amp;Operators'!$C$1:$E$10000,3,FALSE)</f>
        <v>LEVERE</v>
      </c>
      <c r="M151" s="6">
        <f t="shared" si="83"/>
        <v>2.7939814819546882E-2</v>
      </c>
      <c r="N151" s="7">
        <f t="shared" si="84"/>
        <v>40.23333334014751</v>
      </c>
      <c r="O151" s="7"/>
      <c r="P151" s="7"/>
      <c r="Q151" s="25"/>
      <c r="R151" s="25"/>
      <c r="S151" s="37">
        <f t="shared" si="85"/>
        <v>1</v>
      </c>
      <c r="T151" s="52" t="str">
        <f t="shared" si="86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22:50:49-0600',mode:absolute,to:'2016-09-20 01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1" s="54" t="str">
        <f t="shared" si="88"/>
        <v>N</v>
      </c>
      <c r="X151" s="168">
        <f t="shared" si="89"/>
        <v>1</v>
      </c>
      <c r="Y151" s="69">
        <f t="shared" si="90"/>
        <v>23.2742</v>
      </c>
      <c r="Z151" s="69">
        <f t="shared" si="91"/>
        <v>1.5599999999999999E-2</v>
      </c>
      <c r="AA151" s="69">
        <f t="shared" si="92"/>
        <v>23.258600000000001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93"/>
        <v>0238-19</v>
      </c>
      <c r="AE151" s="99" t="str">
        <f t="shared" si="94"/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AF151" s="96" t="str">
        <f t="shared" si="95"/>
        <v>"C:\Program Files (x86)\AstroGrep\AstroGrep.exe" /spath="%USERPROFILE%\AppData\Local\Temp\OnboardLogs" /stypes="app*4041*20160920*" /stext=" 06:.+((SYSTEM_STATE.+slice.+state.+changed )|(ment ac)|(system.+state.+changed )|(\|lc)|(penalty)|(\[timeout)|(PRM\|1\|D)|(kpr)|(kdp))" /e /r /s</v>
      </c>
      <c r="AG151" s="1" t="str">
        <f t="shared" si="96"/>
        <v>EC</v>
      </c>
      <c r="AH151" s="100" t="str">
        <f t="shared" si="97"/>
        <v>"%USERPROFILE%\Documents\GitHub\eaglep3\Utilities\RefineRTDCRunTimes.py" --tripid 238-19 --locoid 4041 --swversion DE.1.0.7.0 --startMP 204:232742 --initTime 2016-09-19T23:50:49 --startdatetime 2016-09-19T23:56:27 --delay 1 --endMP 204:156 --enddatetime 2016-09-20T00:36:41 --enforcementcount 0 &gt;&gt;C:\Users\stu\Documents\GitHub\eaglep3-reporting\EC\2016-09-19-refined-times.txt</v>
      </c>
      <c r="AI151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{"issue":{"subject":"","project_id":79,"tracker_id":40,"status_id":1,"priority_id":2,"assigned_to_id":23,"start_date":"2016-09-20","description":"","custom_fields":[{"id":1,"name":"Subdivision","value":"EC"},{"id":4,"name":"Milepost","value":"0.0156"},{"id":17,"name":"Train ID","value":"238-19"},{"id":16,"name":"Locomotive ID","value":"4041"},{"id":130,"name":"Impact","value":""},{"id":150,"name":"Time of Event (Mountain Time)","value":"00:36:41"},{"id":151,"name":"Denver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579</v>
      </c>
      <c r="B152" s="7">
        <v>4007</v>
      </c>
      <c r="C152" s="24" t="s">
        <v>106</v>
      </c>
      <c r="D152" s="24" t="s">
        <v>219</v>
      </c>
      <c r="E152" s="15">
        <v>42632.968310185184</v>
      </c>
      <c r="F152" s="15">
        <v>42632.979317129626</v>
      </c>
      <c r="G152" s="7">
        <v>1</v>
      </c>
      <c r="H152" s="15" t="s">
        <v>650</v>
      </c>
      <c r="I152" s="15">
        <v>42633.003437500003</v>
      </c>
      <c r="J152" s="7">
        <v>0</v>
      </c>
      <c r="K152" s="121" t="str">
        <f t="shared" si="82"/>
        <v>4007/4008</v>
      </c>
      <c r="L152" s="24" t="str">
        <f>VLOOKUP(A152,'Trips&amp;Operators'!$C$1:$E$10000,3,FALSE)</f>
        <v>NEWELL</v>
      </c>
      <c r="M152" s="6">
        <f t="shared" si="83"/>
        <v>2.4120370377204381E-2</v>
      </c>
      <c r="N152" s="7">
        <f t="shared" si="84"/>
        <v>34.733333343174309</v>
      </c>
      <c r="O152" s="7"/>
      <c r="P152" s="7"/>
      <c r="Q152" s="25"/>
      <c r="R152" s="25"/>
      <c r="S152" s="37">
        <f t="shared" si="85"/>
        <v>1</v>
      </c>
      <c r="T152" s="52" t="str">
        <f t="shared" si="86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22:14:22-0600',mode:absolute,to:'2016-09-20 01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152" s="54" t="str">
        <f t="shared" si="88"/>
        <v>N</v>
      </c>
      <c r="X152" s="168">
        <f t="shared" si="89"/>
        <v>1</v>
      </c>
      <c r="Y152" s="69">
        <f t="shared" si="90"/>
        <v>4.53E-2</v>
      </c>
      <c r="Z152" s="69">
        <f t="shared" si="91"/>
        <v>23.330100000000002</v>
      </c>
      <c r="AA152" s="69">
        <f t="shared" si="92"/>
        <v>23.284800000000001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93"/>
        <v>0239-19</v>
      </c>
      <c r="AE152" s="99" t="str">
        <f t="shared" si="94"/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AF152" s="96" t="str">
        <f t="shared" si="95"/>
        <v>"C:\Program Files (x86)\AstroGrep\AstroGrep.exe" /spath="%USERPROFILE%\AppData\Local\Temp\OnboardLogs" /stypes="app*4007*20160920*" /stext=" 06:.+((SYSTEM_STATE.+slice.+state.+changed )|(ment ac)|(system.+state.+changed )|(\|lc)|(penalty)|(\[timeout)|(PRM\|1\|D)|(kpr)|(kdp))" /e /r /s</v>
      </c>
      <c r="AG152" s="1" t="str">
        <f t="shared" si="96"/>
        <v>EC</v>
      </c>
      <c r="AH152" s="100" t="str">
        <f t="shared" si="97"/>
        <v>"%USERPROFILE%\Documents\GitHub\eaglep3\Utilities\RefineRTDCRunTimes.py" --tripid 239-19 --locoid 4007 --swversion DE.1.0.7.0 --startMP 204:453 --initTime 2016-09-19T23:14:22 --startdatetime 2016-09-19T23:30:13 --delay 1 --endMP 204:233301 --enddatetime 2016-09-20T00:04:57 --enforcementcount 0 &gt;&gt;C:\Users\stu\Documents\GitHub\eaglep3-reporting\EC\2016-09-19-refined-times.txt</v>
      </c>
      <c r="AI152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{"issue":{"subject":"","project_id":79,"tracker_id":40,"status_id":1,"priority_id":2,"assigned_to_id":23,"start_date":"2016-09-20","description":"","custom_fields":[{"id":1,"name":"Subdivision","value":"EC"},{"id":4,"name":"Milepost","value":"23.3301"},{"id":17,"name":"Train ID","value":"239-19"},{"id":16,"name":"Locomotive ID","value":"4007"},{"id":130,"name":"Impact","value":""},{"id":150,"name":"Time of Event (Mountain Time)","value":"00:04:57"},{"id":151,"name":"Denver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584</v>
      </c>
      <c r="B153" s="7">
        <v>4008</v>
      </c>
      <c r="C153" s="24" t="s">
        <v>106</v>
      </c>
      <c r="D153" s="24" t="s">
        <v>239</v>
      </c>
      <c r="E153" s="15">
        <v>42633.014826388891</v>
      </c>
      <c r="F153" s="15">
        <v>42633.018206018518</v>
      </c>
      <c r="G153" s="7">
        <v>1</v>
      </c>
      <c r="H153" s="15" t="s">
        <v>248</v>
      </c>
      <c r="I153" s="15">
        <v>42633.044189814813</v>
      </c>
      <c r="J153" s="7">
        <v>0</v>
      </c>
      <c r="K153" s="121" t="str">
        <f t="shared" si="82"/>
        <v>4007/4008</v>
      </c>
      <c r="L153" s="24" t="str">
        <f>VLOOKUP(A153,'Trips&amp;Operators'!$C$1:$E$10000,3,FALSE)</f>
        <v>NEWELL</v>
      </c>
      <c r="M153" s="6">
        <f t="shared" si="83"/>
        <v>2.5983796294895001E-2</v>
      </c>
      <c r="N153" s="7">
        <f t="shared" si="84"/>
        <v>37.416666664648801</v>
      </c>
      <c r="O153" s="7"/>
      <c r="P153" s="7"/>
      <c r="Q153" s="25"/>
      <c r="R153" s="25"/>
      <c r="S153" s="37">
        <f t="shared" si="85"/>
        <v>1</v>
      </c>
      <c r="T153" s="52" t="str">
        <f t="shared" si="86"/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23:21:21-0600',mode:absolute,to:'2016-09-20 02:03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53" s="54" t="str">
        <f t="shared" si="88"/>
        <v>N</v>
      </c>
      <c r="X153" s="168">
        <f t="shared" si="89"/>
        <v>1</v>
      </c>
      <c r="Y153" s="69">
        <f t="shared" si="90"/>
        <v>23.297999999999998</v>
      </c>
      <c r="Z153" s="69">
        <f t="shared" si="91"/>
        <v>1.43E-2</v>
      </c>
      <c r="AA153" s="69">
        <f t="shared" si="92"/>
        <v>23.2837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93"/>
        <v>0240-19</v>
      </c>
      <c r="AE153" s="99" t="str">
        <f t="shared" si="94"/>
        <v>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 &amp; aws s3 cp s3://rtdc.mdm.uploadarchive/RTDC4008/2016-09-21/ "%USERPROFILE%\AppData\Local\Temp\OnboardLogs"\RTDC4008\2016-09-21 --recursive &amp; "%USERPROFILE%\Documents\GitHub\mrs-test-scripts\Headless Mode &amp; Sideloading\WalkAndUnGZ.bat" "%USERPROFILE%\AppData\Local\Temp\OnboardLogs"\RTDC4008\2016-09-21</v>
      </c>
      <c r="AF153" s="96" t="str">
        <f t="shared" si="95"/>
        <v>"C:\Program Files (x86)\AstroGrep\AstroGrep.exe" /spath="%USERPROFILE%\AppData\Local\Temp\OnboardLogs" /stypes="app*4008*20160920*" /stext=" 07:.+((SYSTEM_STATE.+slice.+state.+changed )|(ment ac)|(system.+state.+changed )|(\|lc)|(penalty)|(\[timeout)|(PRM\|1\|D)|(kpr)|(kdp))" /e /r /s</v>
      </c>
      <c r="AG153" s="1" t="str">
        <f t="shared" si="96"/>
        <v>EC</v>
      </c>
      <c r="AH153" s="100" t="str">
        <f t="shared" si="97"/>
        <v>"%USERPROFILE%\Documents\GitHub\eaglep3\Utilities\RefineRTDCRunTimes.py" --tripid 240-19 --locoid 4008 --swversion DE.1.0.7.0 --startMP 204:232980 --initTime 2016-09-20T00:21:21 --startdatetime 2016-09-20T00:26:13 --delay 1 --endMP 204:143 --enddatetime 2016-09-20T01:03:38 --enforcementcount 0 &gt;&gt;C:\Users\stu\Documents\GitHub\eaglep3-reporting\EC\2016-09-19-refined-times.txt</v>
      </c>
      <c r="AI153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{"issue":{"subject":"","project_id":79,"tracker_id":40,"status_id":1,"priority_id":2,"assigned_to_id":23,"start_date":"2016-09-20","description":"","custom_fields":[{"id":1,"name":"Subdivision","value":"EC"},{"id":4,"name":"Milepost","value":"0.0143"},{"id":17,"name":"Train ID","value":"240-19"},{"id":16,"name":"Locomotive ID","value":"4008"},{"id":130,"name":"Impact","value":""},{"id":150,"name":"Time of Event (Mountain Time)","value":"01:03:38"},{"id":151,"name":"Denver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582</v>
      </c>
      <c r="B154" s="7">
        <v>4053</v>
      </c>
      <c r="C154" s="24" t="s">
        <v>106</v>
      </c>
      <c r="D154" s="24" t="s">
        <v>616</v>
      </c>
      <c r="E154" s="15">
        <v>42632.999988425923</v>
      </c>
      <c r="F154" s="15">
        <v>42633.000879629632</v>
      </c>
      <c r="G154" s="7">
        <v>1</v>
      </c>
      <c r="H154" s="15" t="s">
        <v>300</v>
      </c>
      <c r="I154" s="15">
        <v>42633.025659722225</v>
      </c>
      <c r="J154" s="7">
        <v>0</v>
      </c>
      <c r="K154" s="121" t="str">
        <f t="shared" si="82"/>
        <v>4053/4054</v>
      </c>
      <c r="L154" s="24" t="str">
        <f>VLOOKUP(A154,'Trips&amp;Operators'!$C$1:$E$10000,3,FALSE)</f>
        <v>CHANDLER</v>
      </c>
      <c r="M154" s="6">
        <f t="shared" si="83"/>
        <v>2.4780092593573499E-2</v>
      </c>
      <c r="N154" s="7">
        <f t="shared" si="84"/>
        <v>35.683333334745839</v>
      </c>
      <c r="O154" s="7"/>
      <c r="P154" s="7"/>
      <c r="Q154" s="25"/>
      <c r="R154" s="25"/>
      <c r="S154" s="37">
        <f t="shared" si="85"/>
        <v>1</v>
      </c>
      <c r="T154" s="52" t="str">
        <f t="shared" si="86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22:59:59-0600',mode:absolute,to:'2016-09-20 01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4" s="54" t="str">
        <f t="shared" si="88"/>
        <v>N</v>
      </c>
      <c r="X154" s="168">
        <f t="shared" si="89"/>
        <v>1</v>
      </c>
      <c r="Y154" s="69">
        <f t="shared" si="90"/>
        <v>4.8800000000000003E-2</v>
      </c>
      <c r="Z154" s="69">
        <f t="shared" si="91"/>
        <v>23.328600000000002</v>
      </c>
      <c r="AA154" s="69">
        <f t="shared" si="92"/>
        <v>23.279800000000002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93"/>
        <v>0241-19</v>
      </c>
      <c r="AE154" s="99" t="str">
        <f t="shared" si="94"/>
        <v>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 &amp; aws s3 cp s3://rtdc.mdm.uploadarchive/RTDC4053/2016-09-21/ "%USERPROFILE%\AppData\Local\Temp\OnboardLogs"\RTDC4053\2016-09-21 --recursive &amp; "%USERPROFILE%\Documents\GitHub\mrs-test-scripts\Headless Mode &amp; Sideloading\WalkAndUnGZ.bat" "%USERPROFILE%\AppData\Local\Temp\OnboardLogs"\RTDC4053\2016-09-21</v>
      </c>
      <c r="AF154" s="96" t="str">
        <f t="shared" si="95"/>
        <v>"C:\Program Files (x86)\AstroGrep\AstroGrep.exe" /spath="%USERPROFILE%\AppData\Local\Temp\OnboardLogs" /stypes="app*4053*20160920*" /stext=" 06:.+((SYSTEM_STATE.+slice.+state.+changed )|(ment ac)|(system.+state.+changed )|(\|lc)|(penalty)|(\[timeout)|(PRM\|1\|D)|(kpr)|(kdp))" /e /r /s</v>
      </c>
      <c r="AG154" s="1" t="str">
        <f t="shared" si="96"/>
        <v>EC</v>
      </c>
      <c r="AH154" s="100" t="str">
        <f t="shared" si="97"/>
        <v>"%USERPROFILE%\Documents\GitHub\eaglep3\Utilities\RefineRTDCRunTimes.py" --tripid 241-19 --locoid 4053 --swversion DE.1.0.7.0 --startMP 204:488 --initTime 2016-09-19T23:59:59 --startdatetime 2016-09-20T00:01:16 --delay 1 --endMP 204:233286 --enddatetime 2016-09-20T00:36:57 --enforcementcount 0 &gt;&gt;C:\Users\stu\Documents\GitHub\eaglep3-reporting\EC\2016-09-19-refined-times.txt</v>
      </c>
      <c r="AI154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{"issue":{"subject":"","project_id":79,"tracker_id":40,"status_id":1,"priority_id":2,"assigned_to_id":23,"start_date":"2016-09-20","description":"","custom_fields":[{"id":1,"name":"Subdivision","value":"EC"},{"id":4,"name":"Milepost","value":"23.3286"},{"id":17,"name":"Train ID","value":"241-19"},{"id":16,"name":"Locomotive ID","value":"4053"},{"id":130,"name":"Impact","value":""},{"id":150,"name":"Time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586</v>
      </c>
      <c r="B155" s="7">
        <v>4054</v>
      </c>
      <c r="C155" s="24" t="s">
        <v>106</v>
      </c>
      <c r="D155" s="24" t="s">
        <v>267</v>
      </c>
      <c r="E155" s="15">
        <v>42633.037662037037</v>
      </c>
      <c r="F155" s="15">
        <v>42633.039131944446</v>
      </c>
      <c r="G155" s="7">
        <v>1</v>
      </c>
      <c r="H155" s="15" t="s">
        <v>127</v>
      </c>
      <c r="I155" s="15">
        <v>42633.067048611112</v>
      </c>
      <c r="J155" s="7">
        <v>0</v>
      </c>
      <c r="K155" s="121" t="str">
        <f t="shared" si="82"/>
        <v>4053/4054</v>
      </c>
      <c r="L155" s="24" t="str">
        <f>VLOOKUP(A155,'Trips&amp;Operators'!$C$1:$E$10000,3,FALSE)</f>
        <v>CHANDLER</v>
      </c>
      <c r="M155" s="6">
        <f t="shared" si="83"/>
        <v>2.7916666665987577E-2</v>
      </c>
      <c r="N155" s="7">
        <f t="shared" si="84"/>
        <v>40.199999999022111</v>
      </c>
      <c r="O155" s="7"/>
      <c r="P155" s="7"/>
      <c r="Q155" s="25"/>
      <c r="R155" s="25"/>
      <c r="S155" s="37">
        <f t="shared" si="85"/>
        <v>1</v>
      </c>
      <c r="T155" s="52" t="str">
        <f t="shared" si="86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23:54:14-0600',mode:absolute,to:'2016-09-20 02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5" s="54" t="str">
        <f t="shared" si="88"/>
        <v>N</v>
      </c>
      <c r="X155" s="168">
        <f t="shared" si="89"/>
        <v>1</v>
      </c>
      <c r="Y155" s="69">
        <f t="shared" si="90"/>
        <v>23.296500000000002</v>
      </c>
      <c r="Z155" s="69">
        <f t="shared" si="91"/>
        <v>1.54E-2</v>
      </c>
      <c r="AA155" s="69">
        <f t="shared" si="92"/>
        <v>23.281100000000002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93"/>
        <v>0242-19</v>
      </c>
      <c r="AE155" s="99" t="str">
        <f t="shared" si="94"/>
        <v>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 &amp; aws s3 cp s3://rtdc.mdm.uploadarchive/RTDC4054/2016-09-21/ "%USERPROFILE%\AppData\Local\Temp\OnboardLogs"\RTDC4054\2016-09-21 --recursive &amp; "%USERPROFILE%\Documents\GitHub\mrs-test-scripts\Headless Mode &amp; Sideloading\WalkAndUnGZ.bat" "%USERPROFILE%\AppData\Local\Temp\OnboardLogs"\RTDC4054\2016-09-21</v>
      </c>
      <c r="AF155" s="96" t="str">
        <f t="shared" si="95"/>
        <v>"C:\Program Files (x86)\AstroGrep\AstroGrep.exe" /spath="%USERPROFILE%\AppData\Local\Temp\OnboardLogs" /stypes="app*4054*20160920*" /stext=" 07:.+((SYSTEM_STATE.+slice.+state.+changed )|(ment ac)|(system.+state.+changed )|(\|lc)|(penalty)|(\[timeout)|(PRM\|1\|D)|(kpr)|(kdp))" /e /r /s</v>
      </c>
      <c r="AG155" s="1" t="str">
        <f t="shared" si="96"/>
        <v>EC</v>
      </c>
      <c r="AH155" s="100" t="str">
        <f t="shared" si="97"/>
        <v>"%USERPROFILE%\Documents\GitHub\eaglep3\Utilities\RefineRTDCRunTimes.py" --tripid 242-19 --locoid 4054 --swversion DE.1.0.7.0 --startMP 204:232965 --initTime 2016-09-20T00:54:14 --startdatetime 2016-09-20T00:56:21 --delay 1 --endMP 204:154 --enddatetime 2016-09-20T01:36:33 --enforcementcount 0 &gt;&gt;C:\Users\stu\Documents\GitHub\eaglep3-reporting\EC\2016-09-19-refined-times.txt</v>
      </c>
      <c r="AI155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{"issue":{"subject":"","project_id":79,"tracker_id":40,"status_id":1,"priority_id":2,"assigned_to_id":23,"start_date":"2016-09-20","description":"","custom_fields":[{"id":1,"name":"Subdivision","value":"EC"},{"id":4,"name":"Milepost","value":"0.0154"},{"id":17,"name":"Train ID","value":"242-19"},{"id":16,"name":"Locomotive ID","value":"4054"},{"id":130,"name":"Impact","value":""},{"id":150,"name":"Time of Event (Mountain Time)","value":"01:36:33"},{"id":151,"name":"Denver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583</v>
      </c>
      <c r="B156" s="7">
        <v>4002</v>
      </c>
      <c r="C156" s="24" t="s">
        <v>106</v>
      </c>
      <c r="D156" s="24" t="s">
        <v>223</v>
      </c>
      <c r="E156" s="15">
        <v>42633.005219907405</v>
      </c>
      <c r="F156" s="15">
        <v>42633.02103009259</v>
      </c>
      <c r="G156" s="7">
        <v>1</v>
      </c>
      <c r="H156" s="15" t="s">
        <v>245</v>
      </c>
      <c r="I156" s="15">
        <v>42633.045439814814</v>
      </c>
      <c r="J156" s="7">
        <v>0</v>
      </c>
      <c r="K156" s="121" t="str">
        <f t="shared" si="82"/>
        <v>4001/4002</v>
      </c>
      <c r="L156" s="24" t="str">
        <f>VLOOKUP(A156,'Trips&amp;Operators'!$C$1:$E$10000,3,FALSE)</f>
        <v>YANAI</v>
      </c>
      <c r="M156" s="6">
        <f t="shared" si="83"/>
        <v>2.4409722223936114E-2</v>
      </c>
      <c r="N156" s="7">
        <f t="shared" si="84"/>
        <v>35.150000002468005</v>
      </c>
      <c r="O156" s="7"/>
      <c r="P156" s="7"/>
      <c r="Q156" s="25"/>
      <c r="R156" s="25"/>
      <c r="S156" s="37">
        <f t="shared" si="85"/>
        <v>1</v>
      </c>
      <c r="T156" s="52" t="str">
        <f t="shared" si="86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23:07:31-0600',mode:absolute,to:'2016-09-20 02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6" s="54" t="str">
        <f t="shared" si="88"/>
        <v>N</v>
      </c>
      <c r="X156" s="168">
        <f t="shared" si="89"/>
        <v>1</v>
      </c>
      <c r="Y156" s="69">
        <f t="shared" si="90"/>
        <v>4.5699999999999998E-2</v>
      </c>
      <c r="Z156" s="69">
        <f t="shared" si="91"/>
        <v>23.329899999999999</v>
      </c>
      <c r="AA156" s="69">
        <f t="shared" si="92"/>
        <v>23.284199999999998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93"/>
        <v>0243-19</v>
      </c>
      <c r="AE156" s="99" t="str">
        <f t="shared" si="94"/>
        <v>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 &amp; aws s3 cp s3://rtdc.mdm.uploadarchive/RTDC4002/2016-09-21/ "%USERPROFILE%\AppData\Local\Temp\OnboardLogs"\RTDC4002\2016-09-21 --recursive &amp; "%USERPROFILE%\Documents\GitHub\mrs-test-scripts\Headless Mode &amp; Sideloading\WalkAndUnGZ.bat" "%USERPROFILE%\AppData\Local\Temp\OnboardLogs"\RTDC4002\2016-09-21</v>
      </c>
      <c r="AF156" s="96" t="str">
        <f t="shared" si="95"/>
        <v>"C:\Program Files (x86)\AstroGrep\AstroGrep.exe" /spath="%USERPROFILE%\AppData\Local\Temp\OnboardLogs" /stypes="app*4002*20160920*" /stext=" 07:.+((SYSTEM_STATE.+slice.+state.+changed )|(ment ac)|(system.+state.+changed )|(\|lc)|(penalty)|(\[timeout)|(PRM\|1\|D)|(kpr)|(kdp))" /e /r /s</v>
      </c>
      <c r="AG156" s="1" t="str">
        <f t="shared" si="96"/>
        <v>EC</v>
      </c>
      <c r="AH156" s="100" t="str">
        <f t="shared" si="97"/>
        <v>"%USERPROFILE%\Documents\GitHub\eaglep3\Utilities\RefineRTDCRunTimes.py" --tripid 243-19 --locoid 4002 --swversion DE.1.0.7.0 --startMP 204:457 --initTime 2016-09-20T00:07:31 --startdatetime 2016-09-20T00:30:17 --delay 1 --endMP 204:233299 --enddatetime 2016-09-20T01:05:26 --enforcementcount 0 &gt;&gt;C:\Users\stu\Documents\GitHub\eaglep3-reporting\EC\2016-09-19-refined-times.txt</v>
      </c>
      <c r="AI156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{"issue":{"subject":"","project_id":79,"tracker_id":40,"status_id":1,"priority_id":2,"assigned_to_id":23,"start_date":"2016-09-20","description":"","custom_fields":[{"id":1,"name":"Subdivision","value":"EC"},{"id":4,"name":"Milepost","value":"23.3299"},{"id":17,"name":"Train ID","value":"243-19"},{"id":16,"name":"Locomotive ID","value":"4002"},{"id":130,"name":"Impact","value":""},{"id":150,"name":"Time of Event (Mountain Time)","value":"01:05:26"},{"id":151,"name":"Denver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588</v>
      </c>
      <c r="B157" s="7">
        <v>4001</v>
      </c>
      <c r="C157" s="24" t="s">
        <v>106</v>
      </c>
      <c r="D157" s="24" t="s">
        <v>621</v>
      </c>
      <c r="E157" s="15">
        <v>42633.057604166665</v>
      </c>
      <c r="F157" s="15">
        <v>42633.059907407405</v>
      </c>
      <c r="G157" s="7">
        <v>1</v>
      </c>
      <c r="H157" s="15" t="s">
        <v>218</v>
      </c>
      <c r="I157" s="15">
        <v>42633.085972222223</v>
      </c>
      <c r="J157" s="7">
        <v>0</v>
      </c>
      <c r="K157" s="121" t="str">
        <f t="shared" si="82"/>
        <v>4001/4002</v>
      </c>
      <c r="L157" s="24" t="str">
        <f>VLOOKUP(A157,'Trips&amp;Operators'!$C$1:$E$10000,3,FALSE)</f>
        <v>YANAI</v>
      </c>
      <c r="M157" s="6">
        <f t="shared" si="83"/>
        <v>2.6064814817800652E-2</v>
      </c>
      <c r="N157" s="7">
        <f t="shared" si="84"/>
        <v>37.533333337632939</v>
      </c>
      <c r="O157" s="7"/>
      <c r="P157" s="7"/>
      <c r="Q157" s="25"/>
      <c r="R157" s="25"/>
      <c r="S157" s="37">
        <f t="shared" si="85"/>
        <v>1</v>
      </c>
      <c r="T157" s="52" t="str">
        <f t="shared" si="86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https://search-rtdc-monitor-bjffxe2xuh6vdkpspy63sjmuny.us-east-1.es.amazonaws.com/_plugin/kibana/#/discover/Steve-Slow-Train-Analysis-(2080s-and-2083s)?_g=(refreshInterval:(display:Off,section:0,value:0),time:(from:'2016-09-20 00:22:57-0600',mode:absolute,to:'2016-09-20 03:03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7" s="54" t="str">
        <f t="shared" si="88"/>
        <v>N</v>
      </c>
      <c r="X157" s="168">
        <f t="shared" si="89"/>
        <v>1</v>
      </c>
      <c r="Y157" s="69">
        <f t="shared" si="90"/>
        <v>23.296700000000001</v>
      </c>
      <c r="Z157" s="69">
        <f t="shared" si="91"/>
        <v>1.47E-2</v>
      </c>
      <c r="AA157" s="69">
        <f t="shared" si="92"/>
        <v>23.282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93"/>
        <v>0244-19</v>
      </c>
      <c r="AE157" s="99" t="str">
        <f t="shared" si="94"/>
        <v>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 &amp; aws s3 cp s3://rtdc.mdm.uploadarchive/RTDC4001/2016-09-21/ "%USERPROFILE%\AppData\Local\Temp\OnboardLogs"\RTDC4001\2016-09-21 --recursive &amp; "%USERPROFILE%\Documents\GitHub\mrs-test-scripts\Headless Mode &amp; Sideloading\WalkAndUnGZ.bat" "%USERPROFILE%\AppData\Local\Temp\OnboardLogs"\RTDC4001\2016-09-21</v>
      </c>
      <c r="AF157" s="96" t="str">
        <f t="shared" si="95"/>
        <v>"C:\Program Files (x86)\AstroGrep\AstroGrep.exe" /spath="%USERPROFILE%\AppData\Local\Temp\OnboardLogs" /stypes="app*4001*20160920*" /stext=" 08:.+((SYSTEM_STATE.+slice.+state.+changed )|(ment ac)|(system.+state.+changed )|(\|lc)|(penalty)|(\[timeout)|(PRM\|1\|D)|(kpr)|(kdp))" /e /r /s</v>
      </c>
      <c r="AG157" s="1" t="str">
        <f t="shared" si="96"/>
        <v>EC</v>
      </c>
      <c r="AH157" s="100" t="str">
        <f t="shared" si="97"/>
        <v>"%USERPROFILE%\Documents\GitHub\eaglep3\Utilities\RefineRTDCRunTimes.py" --tripid 244-19 --locoid 4001 --swversion DE.1.0.7.0 --startMP 204:232967 --initTime 2016-09-20T01:22:57 --startdatetime 2016-09-20T01:26:16 --delay 1 --endMP 204:147 --enddatetime 2016-09-20T02:03:48 --enforcementcount 0 &gt;&gt;C:\Users\stu\Documents\GitHub\eaglep3-reporting\EC\2016-09-19-refined-times.txt</v>
      </c>
      <c r="AI157" s="134" t="str">
        <f t="shared" si="98"/>
        <v>echo {"issue":{"subject":"","project_id":79,"tracker_id":40,"status_id":1,"priority_id":2,"assigned_to_id":23,"start_date":"2016-09-20","description":"","custom_fields":[{"id":1,"name":"Subdivision","value":"EC"},{"id":4,"name":"Milepost","value":"0.0147"},{"id":17,"name":"Train ID","value":"244-19"},{"id":16,"name":"Locomotive ID","value":"4001"},{"id":130,"name":"Impact","value":""},{"id":150,"name":"Time of Event (Mountain Time)","value":"02:03:48"},{"id":151,"name":"Denver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386</v>
      </c>
      <c r="B158" s="7">
        <v>4004</v>
      </c>
      <c r="C158" s="24" t="s">
        <v>106</v>
      </c>
      <c r="D158" s="24" t="s">
        <v>674</v>
      </c>
      <c r="E158" s="15">
        <v>42632.21266203704</v>
      </c>
      <c r="F158" s="15">
        <v>42632.215416666666</v>
      </c>
      <c r="G158" s="7">
        <v>1</v>
      </c>
      <c r="H158" s="15" t="s">
        <v>675</v>
      </c>
      <c r="I158" s="15">
        <v>42632.22724537037</v>
      </c>
      <c r="J158" s="7">
        <v>0</v>
      </c>
      <c r="K158" s="121" t="str">
        <f t="shared" si="82"/>
        <v>4003/4004</v>
      </c>
      <c r="L158" s="24" t="str">
        <f>VLOOKUP(A158,'Trips&amp;Operators'!$C$1:$E$10000,3,FALSE)</f>
        <v>DAVIS</v>
      </c>
      <c r="M158" s="6">
        <f t="shared" si="83"/>
        <v>1.1828703703940846E-2</v>
      </c>
      <c r="N158" s="7">
        <f t="shared" si="84"/>
        <v>17.033333333674818</v>
      </c>
      <c r="O158" s="7"/>
      <c r="P158" s="7"/>
      <c r="Q158" s="25"/>
      <c r="R158" s="25"/>
      <c r="S158" s="37">
        <f t="shared" si="85"/>
        <v>1</v>
      </c>
      <c r="T158" s="52" t="str">
        <f t="shared" si="86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04:06:14-0600',mode:absolute,to:'2016-09-19 06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58" s="54" t="str">
        <f t="shared" si="88"/>
        <v>N</v>
      </c>
      <c r="X158" s="168">
        <f t="shared" si="89"/>
        <v>556</v>
      </c>
      <c r="Y158" s="69">
        <f t="shared" si="90"/>
        <v>5.8704000000000001</v>
      </c>
      <c r="Z158" s="69">
        <f t="shared" si="91"/>
        <v>6.2100000000000002E-2</v>
      </c>
      <c r="AA158" s="69">
        <f t="shared" si="92"/>
        <v>5.8083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93"/>
        <v>0800-19</v>
      </c>
      <c r="AE158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58" s="96" t="str">
        <f t="shared" si="95"/>
        <v>"C:\Program Files (x86)\AstroGrep\AstroGrep.exe" /spath="%USERPROFILE%\AppData\Local\Temp\OnboardLogs" /stypes="app*4004*20160919*" /stext=" 11:.+((SYSTEM_STATE.+slice.+state.+changed )|(ment ac)|(system.+state.+changed )|(\|lc)|(penalty)|(\[timeout)|(PRM\|1\|D)|(kpr)|(kdp))" /e /r /s</v>
      </c>
      <c r="AG158" s="1" t="str">
        <f t="shared" si="96"/>
        <v>NW</v>
      </c>
      <c r="AH158" s="100" t="str">
        <f t="shared" si="97"/>
        <v>"%USERPROFILE%\Documents\GitHub\eaglep3\Utilities\RefineRTDCRunTimes.py" --tripid 800-19 --locoid 4004 --swversion DE.1.0.7.0 --startMP 300:58704 --initTime 2016-09-19T05:06:14 --startdatetime 2016-09-19T05:10:12 --delay 1 --endMP 204:621 --enddatetime 2016-09-19T05:27:14 --enforcementcount 0 &gt;&gt;C:\Users\stu\Documents\GitHub\eaglep3-reporting\EC\2016-09-19-refined-times.txt</v>
      </c>
      <c r="AI158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{"issue":{"subject":"","project_id":79,"tracker_id":40,"status_id":1,"priority_id":2,"assigned_to_id":23,"start_date":"2016-09-19","description":"","custom_fields":[{"id":1,"name":"Subdivision","value":"NW"},{"id":4,"name":"Milepost","value":"0.0621"},{"id":17,"name":"Train ID","value":"800-19"},{"id":16,"name":"Locomotive ID","value":"4004"},{"id":130,"name":"Impact","value":""},{"id":150,"name":"Time of Event (Mountain Time)","value":"05:27:14"},{"id":151,"name":"Denver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392</v>
      </c>
      <c r="B159" s="7">
        <v>4003</v>
      </c>
      <c r="C159" s="24" t="s">
        <v>106</v>
      </c>
      <c r="D159" s="24" t="s">
        <v>676</v>
      </c>
      <c r="E159" s="15">
        <v>42632.238113425927</v>
      </c>
      <c r="F159" s="15">
        <v>42632.243946759256</v>
      </c>
      <c r="G159" s="7">
        <v>1</v>
      </c>
      <c r="H159" s="15" t="s">
        <v>677</v>
      </c>
      <c r="I159" s="15">
        <v>42632.255150462966</v>
      </c>
      <c r="J159" s="7">
        <v>0</v>
      </c>
      <c r="K159" s="121" t="str">
        <f t="shared" si="82"/>
        <v>4003/4004</v>
      </c>
      <c r="L159" s="24" t="str">
        <f>VLOOKUP(A159,'Trips&amp;Operators'!$C$1:$E$10000,3,FALSE)</f>
        <v>DAVIS</v>
      </c>
      <c r="M159" s="6">
        <f t="shared" si="83"/>
        <v>1.1203703710634727E-2</v>
      </c>
      <c r="N159" s="7">
        <f t="shared" si="84"/>
        <v>16.133333343314007</v>
      </c>
      <c r="O159" s="7"/>
      <c r="P159" s="7"/>
      <c r="Q159" s="25"/>
      <c r="R159" s="25"/>
      <c r="S159" s="37">
        <f t="shared" si="85"/>
        <v>1</v>
      </c>
      <c r="T159" s="52" t="str">
        <f t="shared" si="86"/>
        <v>NorthBound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04:42:53-0600',mode:absolute,to:'2016-09-19 07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59" s="54" t="str">
        <f t="shared" si="88"/>
        <v>N</v>
      </c>
      <c r="X159" s="168">
        <f t="shared" si="89"/>
        <v>1</v>
      </c>
      <c r="Y159" s="69">
        <f t="shared" si="90"/>
        <v>9.0399999999999994E-2</v>
      </c>
      <c r="Z159" s="69">
        <f t="shared" si="91"/>
        <v>5.8072999999999997</v>
      </c>
      <c r="AA159" s="69">
        <f t="shared" si="92"/>
        <v>5.7168999999999999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93"/>
        <v>0801-19</v>
      </c>
      <c r="AE159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59" s="96" t="str">
        <f t="shared" si="95"/>
        <v>"C:\Program Files (x86)\AstroGrep\AstroGrep.exe" /spath="%USERPROFILE%\AppData\Local\Temp\OnboardLogs" /stypes="app*4003*20160919*" /stext=" 12:.+((SYSTEM_STATE.+slice.+state.+changed )|(ment ac)|(system.+state.+changed )|(\|lc)|(penalty)|(\[timeout)|(PRM\|1\|D)|(kpr)|(kdp))" /e /r /s</v>
      </c>
      <c r="AG159" s="1" t="str">
        <f t="shared" si="96"/>
        <v>NW</v>
      </c>
      <c r="AH159" s="100" t="str">
        <f t="shared" si="97"/>
        <v>"%USERPROFILE%\Documents\GitHub\eaglep3\Utilities\RefineRTDCRunTimes.py" --tripid 801-19 --locoid 4003 --swversion DE.1.0.7.0 --startMP 204:904 --initTime 2016-09-19T05:42:53 --startdatetime 2016-09-19T05:51:17 --delay 1 --endMP 300:58073 --enddatetime 2016-09-19T06:07:25 --enforcementcount 0 &gt;&gt;C:\Users\stu\Documents\GitHub\eaglep3-reporting\EC\2016-09-19-refined-times.txt</v>
      </c>
      <c r="AI159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{"issue":{"subject":"","project_id":79,"tracker_id":40,"status_id":1,"priority_id":2,"assigned_to_id":23,"start_date":"2016-09-19","description":"","custom_fields":[{"id":1,"name":"Subdivision","value":"NW"},{"id":4,"name":"Milepost","value":"5.8073"},{"id":17,"name":"Train ID","value":"801-19"},{"id":16,"name":"Locomotive ID","value":"4003"},{"id":130,"name":"Impact","value":""},{"id":150,"name":"Time of Event (Mountain Time)","value":"06:07:25"},{"id":151,"name":"Denver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399</v>
      </c>
      <c r="B160" s="7">
        <v>4004</v>
      </c>
      <c r="C160" s="24" t="s">
        <v>106</v>
      </c>
      <c r="D160" s="24" t="s">
        <v>678</v>
      </c>
      <c r="E160" s="15">
        <v>42632.256238425929</v>
      </c>
      <c r="F160" s="15">
        <v>42632.257430555554</v>
      </c>
      <c r="G160" s="7">
        <v>1</v>
      </c>
      <c r="H160" s="15" t="s">
        <v>679</v>
      </c>
      <c r="I160" s="15">
        <v>42632.268587962964</v>
      </c>
      <c r="J160" s="7">
        <v>0</v>
      </c>
      <c r="K160" s="121" t="str">
        <f t="shared" si="82"/>
        <v>4003/4004</v>
      </c>
      <c r="L160" s="24" t="str">
        <f>VLOOKUP(A160,'Trips&amp;Operators'!$C$1:$E$10000,3,FALSE)</f>
        <v>DAVIS</v>
      </c>
      <c r="M160" s="6">
        <f t="shared" si="83"/>
        <v>1.1157407410792075E-2</v>
      </c>
      <c r="N160" s="7">
        <f t="shared" si="84"/>
        <v>16.066666671540588</v>
      </c>
      <c r="O160" s="7"/>
      <c r="P160" s="7"/>
      <c r="Q160" s="25"/>
      <c r="R160" s="25"/>
      <c r="S160" s="37">
        <f t="shared" si="85"/>
        <v>1</v>
      </c>
      <c r="T160" s="52" t="str">
        <f t="shared" si="86"/>
        <v>Southbound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05:08:59-0600',mode:absolute,to:'2016-09-19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0" s="54" t="str">
        <f t="shared" si="88"/>
        <v>N</v>
      </c>
      <c r="X160" s="168">
        <f t="shared" si="89"/>
        <v>1</v>
      </c>
      <c r="Y160" s="69">
        <f t="shared" si="90"/>
        <v>5.8704999999999998</v>
      </c>
      <c r="Z160" s="69">
        <f t="shared" si="91"/>
        <v>6.9099999999999995E-2</v>
      </c>
      <c r="AA160" s="69">
        <f t="shared" si="92"/>
        <v>5.8014000000000001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93"/>
        <v>0802-19</v>
      </c>
      <c r="AE160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60" s="96" t="str">
        <f t="shared" si="95"/>
        <v>"C:\Program Files (x86)\AstroGrep\AstroGrep.exe" /spath="%USERPROFILE%\AppData\Local\Temp\OnboardLogs" /stypes="app*4004*20160919*" /stext=" 12:.+((SYSTEM_STATE.+slice.+state.+changed )|(ment ac)|(system.+state.+changed )|(\|lc)|(penalty)|(\[timeout)|(PRM\|1\|D)|(kpr)|(kdp))" /e /r /s</v>
      </c>
      <c r="AG160" s="1" t="str">
        <f t="shared" si="96"/>
        <v>NW</v>
      </c>
      <c r="AH160" s="100" t="str">
        <f t="shared" si="97"/>
        <v>"%USERPROFILE%\Documents\GitHub\eaglep3\Utilities\RefineRTDCRunTimes.py" --tripid 802-19 --locoid 4004 --swversion DE.1.0.7.0 --startMP 300:58705 --initTime 2016-09-19T06:08:59 --startdatetime 2016-09-19T06:10:42 --delay 1 --endMP 204:691 --enddatetime 2016-09-19T06:26:46 --enforcementcount 0 &gt;&gt;C:\Users\stu\Documents\GitHub\eaglep3-reporting\EC\2016-09-19-refined-times.txt</v>
      </c>
      <c r="AI160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{"issue":{"subject":"","project_id":79,"tracker_id":40,"status_id":1,"priority_id":2,"assigned_to_id":23,"start_date":"2016-09-19","description":"","custom_fields":[{"id":1,"name":"Subdivision","value":"NW"},{"id":4,"name":"Milepost","value":"0.0691"},{"id":17,"name":"Train ID","value":"802-19"},{"id":16,"name":"Locomotive ID","value":"4004"},{"id":130,"name":"Impact","value":""},{"id":150,"name":"Time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395</v>
      </c>
      <c r="B161" s="7">
        <v>4040</v>
      </c>
      <c r="C161" s="24" t="s">
        <v>106</v>
      </c>
      <c r="D161" s="24" t="s">
        <v>680</v>
      </c>
      <c r="E161" s="15">
        <v>42632.249108796299</v>
      </c>
      <c r="F161" s="15">
        <v>42632.26489583333</v>
      </c>
      <c r="G161" s="7">
        <v>1</v>
      </c>
      <c r="H161" s="15" t="s">
        <v>306</v>
      </c>
      <c r="I161" s="15">
        <v>42632.27484953704</v>
      </c>
      <c r="J161" s="7">
        <v>0</v>
      </c>
      <c r="K161" s="121" t="str">
        <f t="shared" si="82"/>
        <v>4039/4040</v>
      </c>
      <c r="L161" s="24" t="str">
        <f>VLOOKUP(A161,'Trips&amp;Operators'!$C$1:$E$10000,3,FALSE)</f>
        <v>ROBINSON</v>
      </c>
      <c r="M161" s="6">
        <f t="shared" si="83"/>
        <v>9.9537037094705738E-3</v>
      </c>
      <c r="N161" s="7">
        <f t="shared" si="84"/>
        <v>14.333333341637626</v>
      </c>
      <c r="O161" s="7"/>
      <c r="P161" s="7"/>
      <c r="Q161" s="25"/>
      <c r="R161" s="25"/>
      <c r="S161" s="37">
        <f t="shared" si="85"/>
        <v>1</v>
      </c>
      <c r="T161" s="52" t="str">
        <f t="shared" si="86"/>
        <v>NorthBound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04:58:43-0600',mode:absolute,to:'2016-09-19 07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61" s="54" t="str">
        <f t="shared" si="88"/>
        <v>N</v>
      </c>
      <c r="X161" s="168">
        <f t="shared" si="89"/>
        <v>1</v>
      </c>
      <c r="Y161" s="69">
        <f t="shared" si="90"/>
        <v>9.8100000000000007E-2</v>
      </c>
      <c r="Z161" s="69">
        <f t="shared" si="91"/>
        <v>5.8936999999999999</v>
      </c>
      <c r="AA161" s="69">
        <f t="shared" si="92"/>
        <v>5.7956000000000003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93"/>
        <v>0803-19</v>
      </c>
      <c r="AE161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61" s="96" t="str">
        <f t="shared" si="95"/>
        <v>"C:\Program Files (x86)\AstroGrep\AstroGrep.exe" /spath="%USERPROFILE%\AppData\Local\Temp\OnboardLogs" /stypes="app*4040*20160919*" /stext=" 12:.+((SYSTEM_STATE.+slice.+state.+changed )|(ment ac)|(system.+state.+changed )|(\|lc)|(penalty)|(\[timeout)|(PRM\|1\|D)|(kpr)|(kdp))" /e /r /s</v>
      </c>
      <c r="AG161" s="1" t="str">
        <f t="shared" si="96"/>
        <v>NW</v>
      </c>
      <c r="AH161" s="100" t="str">
        <f t="shared" si="97"/>
        <v>"%USERPROFILE%\Documents\GitHub\eaglep3\Utilities\RefineRTDCRunTimes.py" --tripid 803-19 --locoid 4040 --swversion DE.1.0.7.0 --startMP 204:981 --initTime 2016-09-19T05:58:43 --startdatetime 2016-09-19T06:21:27 --delay 1 --endMP 300:58937 --enddatetime 2016-09-19T06:35:47 --enforcementcount 0 &gt;&gt;C:\Users\stu\Documents\GitHub\eaglep3-reporting\EC\2016-09-19-refined-times.txt</v>
      </c>
      <c r="AI161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{"issue":{"subject":"","project_id":79,"tracker_id":40,"status_id":1,"priority_id":2,"assigned_to_id":23,"start_date":"2016-09-19","description":"","custom_fields":[{"id":1,"name":"Subdivision","value":"NW"},{"id":4,"name":"Milepost","value":"5.8937"},{"id":17,"name":"Train ID","value":"803-19"},{"id":16,"name":"Locomotive ID","value":"4040"},{"id":130,"name":"Impact","value":""},{"id":150,"name":"Time of Event (Mountain Time)","value":"06:35:47"},{"id":151,"name":"Denver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405</v>
      </c>
      <c r="B162" s="7">
        <v>4039</v>
      </c>
      <c r="C162" s="24" t="s">
        <v>106</v>
      </c>
      <c r="D162" s="24" t="s">
        <v>326</v>
      </c>
      <c r="E162" s="15">
        <v>42632.276018518518</v>
      </c>
      <c r="F162" s="15">
        <v>42632.27784722222</v>
      </c>
      <c r="G162" s="7">
        <v>1</v>
      </c>
      <c r="H162" s="15" t="s">
        <v>679</v>
      </c>
      <c r="I162" s="15">
        <v>42632.289699074077</v>
      </c>
      <c r="J162" s="7">
        <v>0</v>
      </c>
      <c r="K162" s="121" t="str">
        <f t="shared" si="82"/>
        <v>4039/4040</v>
      </c>
      <c r="L162" s="24" t="str">
        <f>VLOOKUP(A162,'Trips&amp;Operators'!$C$1:$E$10000,3,FALSE)</f>
        <v>ROBINSON</v>
      </c>
      <c r="M162" s="6">
        <f t="shared" si="83"/>
        <v>1.1851851857500151E-2</v>
      </c>
      <c r="N162" s="7">
        <f t="shared" si="84"/>
        <v>17.066666674800217</v>
      </c>
      <c r="O162" s="7"/>
      <c r="P162" s="7"/>
      <c r="Q162" s="25"/>
      <c r="R162" s="25"/>
      <c r="S162" s="37">
        <f t="shared" si="85"/>
        <v>1</v>
      </c>
      <c r="T162" s="52" t="str">
        <f t="shared" si="86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05:37:28-0600',mode:absolute,to:'2016-09-19 07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62" s="54" t="str">
        <f t="shared" si="88"/>
        <v>N</v>
      </c>
      <c r="X162" s="168">
        <f t="shared" si="89"/>
        <v>1</v>
      </c>
      <c r="Y162" s="69">
        <f t="shared" si="90"/>
        <v>5.8619000000000003</v>
      </c>
      <c r="Z162" s="69">
        <f t="shared" si="91"/>
        <v>6.9099999999999995E-2</v>
      </c>
      <c r="AA162" s="69">
        <f t="shared" si="92"/>
        <v>5.7928000000000006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93"/>
        <v>0804-19</v>
      </c>
      <c r="AE162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62" s="96" t="str">
        <f t="shared" si="95"/>
        <v>"C:\Program Files (x86)\AstroGrep\AstroGrep.exe" /spath="%USERPROFILE%\AppData\Local\Temp\OnboardLogs" /stypes="app*4039*20160919*" /stext=" 12:.+((SYSTEM_STATE.+slice.+state.+changed )|(ment ac)|(system.+state.+changed )|(\|lc)|(penalty)|(\[timeout)|(PRM\|1\|D)|(kpr)|(kdp))" /e /r /s</v>
      </c>
      <c r="AG162" s="1" t="str">
        <f t="shared" si="96"/>
        <v>NW</v>
      </c>
      <c r="AH162" s="100" t="str">
        <f t="shared" si="97"/>
        <v>"%USERPROFILE%\Documents\GitHub\eaglep3\Utilities\RefineRTDCRunTimes.py" --tripid 804-19 --locoid 4039 --swversion DE.1.0.7.0 --startMP 300:58619 --initTime 2016-09-19T06:37:28 --startdatetime 2016-09-19T06:40:06 --delay 1 --endMP 204:691 --enddatetime 2016-09-19T06:57:10 --enforcementcount 0 &gt;&gt;C:\Users\stu\Documents\GitHub\eaglep3-reporting\EC\2016-09-19-refined-times.txt</v>
      </c>
      <c r="AI162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{"issue":{"subject":"","project_id":79,"tracker_id":40,"status_id":1,"priority_id":2,"assigned_to_id":23,"start_date":"2016-09-19","description":"","custom_fields":[{"id":1,"name":"Subdivision","value":"NW"},{"id":4,"name":"Milepost","value":"0.0691"},{"id":17,"name":"Train ID","value":"804-19"},{"id":16,"name":"Locomotive ID","value":"4039"},{"id":130,"name":"Impact","value":""},{"id":150,"name":"Time of Event (Mountain Time)","value":"06:57:10"},{"id":151,"name":"Denver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409</v>
      </c>
      <c r="B163" s="7">
        <v>4003</v>
      </c>
      <c r="C163" s="24" t="s">
        <v>106</v>
      </c>
      <c r="D163" s="24" t="s">
        <v>681</v>
      </c>
      <c r="E163" s="15">
        <v>42632.285497685189</v>
      </c>
      <c r="F163" s="15">
        <v>42632.286550925928</v>
      </c>
      <c r="G163" s="7">
        <v>1</v>
      </c>
      <c r="H163" s="15" t="s">
        <v>352</v>
      </c>
      <c r="I163" s="15">
        <v>42632.296249999999</v>
      </c>
      <c r="J163" s="7">
        <v>0</v>
      </c>
      <c r="K163" s="121" t="str">
        <f t="shared" si="82"/>
        <v>4003/4004</v>
      </c>
      <c r="L163" s="24" t="str">
        <f>VLOOKUP(A163,'Trips&amp;Operators'!$C$1:$E$10000,3,FALSE)</f>
        <v>DAVIS</v>
      </c>
      <c r="M163" s="6">
        <f t="shared" si="83"/>
        <v>9.6990740712499246E-3</v>
      </c>
      <c r="N163" s="7">
        <f t="shared" si="84"/>
        <v>13.966666662599891</v>
      </c>
      <c r="O163" s="7"/>
      <c r="P163" s="7"/>
      <c r="Q163" s="25"/>
      <c r="R163" s="25"/>
      <c r="S163" s="37">
        <f t="shared" si="85"/>
        <v>1</v>
      </c>
      <c r="T163" s="52" t="str">
        <f t="shared" si="86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05:51:07-0600',mode:absolute,to:'2016-09-19 08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3" s="54" t="str">
        <f t="shared" si="88"/>
        <v>N</v>
      </c>
      <c r="X163" s="168">
        <f t="shared" si="89"/>
        <v>1</v>
      </c>
      <c r="Y163" s="69">
        <f t="shared" si="90"/>
        <v>9.8500000000000004E-2</v>
      </c>
      <c r="Z163" s="69">
        <f t="shared" si="91"/>
        <v>5.8945999999999996</v>
      </c>
      <c r="AA163" s="69">
        <f t="shared" si="92"/>
        <v>5.7961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93"/>
        <v>0805-19</v>
      </c>
      <c r="AE163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63" s="96" t="str">
        <f t="shared" si="95"/>
        <v>"C:\Program Files (x86)\AstroGrep\AstroGrep.exe" /spath="%USERPROFILE%\AppData\Local\Temp\OnboardLogs" /stypes="app*4003*20160919*" /stext=" 13:.+((SYSTEM_STATE.+slice.+state.+changed )|(ment ac)|(system.+state.+changed )|(\|lc)|(penalty)|(\[timeout)|(PRM\|1\|D)|(kpr)|(kdp))" /e /r /s</v>
      </c>
      <c r="AG163" s="1" t="str">
        <f t="shared" si="96"/>
        <v>NW</v>
      </c>
      <c r="AH163" s="100" t="str">
        <f t="shared" si="97"/>
        <v>"%USERPROFILE%\Documents\GitHub\eaglep3\Utilities\RefineRTDCRunTimes.py" --tripid 805-19 --locoid 4003 --swversion DE.1.0.7.0 --startMP 204:985 --initTime 2016-09-19T06:51:07 --startdatetime 2016-09-19T06:52:38 --delay 1 --endMP 300:58946 --enddatetime 2016-09-19T07:06:36 --enforcementcount 0 &gt;&gt;C:\Users\stu\Documents\GitHub\eaglep3-reporting\EC\2016-09-19-refined-times.txt</v>
      </c>
      <c r="AI163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{"issue":{"subject":"","project_id":79,"tracker_id":40,"status_id":1,"priority_id":2,"assigned_to_id":23,"start_date":"2016-09-19","description":"","custom_fields":[{"id":1,"name":"Subdivision","value":"NW"},{"id":4,"name":"Milepost","value":"5.8946"},{"id":17,"name":"Train ID","value":"805-19"},{"id":16,"name":"Locomotive ID","value":"4003"},{"id":130,"name":"Impact","value":""},{"id":150,"name":"Time of Event (Mountain Time)","value":"07:06:36"},{"id":151,"name":"Denver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414</v>
      </c>
      <c r="B164" s="7">
        <v>4004</v>
      </c>
      <c r="C164" s="24" t="s">
        <v>106</v>
      </c>
      <c r="D164" s="24" t="s">
        <v>682</v>
      </c>
      <c r="E164" s="15">
        <v>42632.29792824074</v>
      </c>
      <c r="F164" s="15">
        <v>42632.299120370371</v>
      </c>
      <c r="G164" s="7">
        <v>1</v>
      </c>
      <c r="H164" s="15" t="s">
        <v>683</v>
      </c>
      <c r="I164" s="15">
        <v>42632.309907407405</v>
      </c>
      <c r="J164" s="7">
        <v>0</v>
      </c>
      <c r="K164" s="121" t="str">
        <f t="shared" si="82"/>
        <v>4003/4004</v>
      </c>
      <c r="L164" s="24" t="str">
        <f>VLOOKUP(A164,'Trips&amp;Operators'!$C$1:$E$10000,3,FALSE)</f>
        <v>DAVIS</v>
      </c>
      <c r="M164" s="6">
        <f t="shared" si="83"/>
        <v>1.0787037033878732E-2</v>
      </c>
      <c r="N164" s="7">
        <f t="shared" si="84"/>
        <v>15.533333328785375</v>
      </c>
      <c r="O164" s="7"/>
      <c r="P164" s="7"/>
      <c r="Q164" s="25"/>
      <c r="R164" s="25"/>
      <c r="S164" s="37">
        <f t="shared" si="85"/>
        <v>1</v>
      </c>
      <c r="T164" s="52" t="str">
        <f t="shared" si="86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06:09:01-0600',mode:absolute,to:'2016-09-19 08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4" s="54" t="str">
        <f t="shared" si="88"/>
        <v>N</v>
      </c>
      <c r="X164" s="168">
        <f t="shared" si="89"/>
        <v>1</v>
      </c>
      <c r="Y164" s="69">
        <f t="shared" si="90"/>
        <v>5.8644999999999996</v>
      </c>
      <c r="Z164" s="69">
        <f t="shared" si="91"/>
        <v>6.5000000000000002E-2</v>
      </c>
      <c r="AA164" s="69">
        <f t="shared" si="92"/>
        <v>5.7994999999999992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93"/>
        <v>0806-19</v>
      </c>
      <c r="AE164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64" s="96" t="str">
        <f t="shared" si="95"/>
        <v>"C:\Program Files (x86)\AstroGrep\AstroGrep.exe" /spath="%USERPROFILE%\AppData\Local\Temp\OnboardLogs" /stypes="app*4004*20160919*" /stext=" 13:.+((SYSTEM_STATE.+slice.+state.+changed )|(ment ac)|(system.+state.+changed )|(\|lc)|(penalty)|(\[timeout)|(PRM\|1\|D)|(kpr)|(kdp))" /e /r /s</v>
      </c>
      <c r="AG164" s="1" t="str">
        <f t="shared" si="96"/>
        <v>NW</v>
      </c>
      <c r="AH164" s="100" t="str">
        <f t="shared" si="97"/>
        <v>"%USERPROFILE%\Documents\GitHub\eaglep3\Utilities\RefineRTDCRunTimes.py" --tripid 806-19 --locoid 4004 --swversion DE.1.0.7.0 --startMP 300:58645 --initTime 2016-09-19T07:09:01 --startdatetime 2016-09-19T07:10:44 --delay 1 --endMP 204:650 --enddatetime 2016-09-19T07:26:16 --enforcementcount 0 &gt;&gt;C:\Users\stu\Documents\GitHub\eaglep3-reporting\EC\2016-09-19-refined-times.txt</v>
      </c>
      <c r="AI164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{"issue":{"subject":"","project_id":79,"tracker_id":40,"status_id":1,"priority_id":2,"assigned_to_id":23,"start_date":"2016-09-19","description":"","custom_fields":[{"id":1,"name":"Subdivision","value":"NW"},{"id":4,"name":"Milepost","value":"0.065"},{"id":17,"name":"Train ID","value":"806-19"},{"id":16,"name":"Locomotive ID","value":"4004"},{"id":130,"name":"Impact","value":""},{"id":150,"name":"Time of Event (Mountain Time)","value":"07:26:16"},{"id":151,"name":"Denver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411</v>
      </c>
      <c r="B165" s="7">
        <v>4040</v>
      </c>
      <c r="C165" s="24" t="s">
        <v>106</v>
      </c>
      <c r="D165" s="24" t="s">
        <v>684</v>
      </c>
      <c r="E165" s="15">
        <v>42632.29215277778</v>
      </c>
      <c r="F165" s="15">
        <v>42632.30641203704</v>
      </c>
      <c r="G165" s="7">
        <v>1</v>
      </c>
      <c r="H165" s="15" t="s">
        <v>685</v>
      </c>
      <c r="I165" s="15">
        <v>42632.316423611112</v>
      </c>
      <c r="J165" s="7">
        <v>0</v>
      </c>
      <c r="K165" s="121" t="str">
        <f t="shared" si="82"/>
        <v>4039/4040</v>
      </c>
      <c r="L165" s="24" t="str">
        <f>VLOOKUP(A165,'Trips&amp;Operators'!$C$1:$E$10000,3,FALSE)</f>
        <v>ROBINSON</v>
      </c>
      <c r="M165" s="6">
        <f t="shared" si="83"/>
        <v>1.0011574071540963E-2</v>
      </c>
      <c r="N165" s="7">
        <f t="shared" si="84"/>
        <v>14.416666663018987</v>
      </c>
      <c r="O165" s="7"/>
      <c r="P165" s="7"/>
      <c r="Q165" s="25"/>
      <c r="R165" s="25"/>
      <c r="S165" s="37">
        <f t="shared" si="85"/>
        <v>1</v>
      </c>
      <c r="T165" s="52" t="str">
        <f t="shared" si="86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06:00:42-0600',mode:absolute,to:'2016-09-19 08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65" s="54" t="str">
        <f t="shared" si="88"/>
        <v>N</v>
      </c>
      <c r="X165" s="168">
        <f t="shared" si="89"/>
        <v>1</v>
      </c>
      <c r="Y165" s="69">
        <f t="shared" si="90"/>
        <v>9.7600000000000006E-2</v>
      </c>
      <c r="Z165" s="69">
        <f t="shared" si="91"/>
        <v>5.9002999999999997</v>
      </c>
      <c r="AA165" s="69">
        <f t="shared" si="92"/>
        <v>5.8026999999999997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93"/>
        <v>0807-19</v>
      </c>
      <c r="AE165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65" s="96" t="str">
        <f t="shared" si="95"/>
        <v>"C:\Program Files (x86)\AstroGrep\AstroGrep.exe" /spath="%USERPROFILE%\AppData\Local\Temp\OnboardLogs" /stypes="app*4040*20160919*" /stext=" 13:.+((SYSTEM_STATE.+slice.+state.+changed )|(ment ac)|(system.+state.+changed )|(\|lc)|(penalty)|(\[timeout)|(PRM\|1\|D)|(kpr)|(kdp))" /e /r /s</v>
      </c>
      <c r="AG165" s="1" t="str">
        <f t="shared" si="96"/>
        <v>NW</v>
      </c>
      <c r="AH165" s="100" t="str">
        <f t="shared" si="97"/>
        <v>"%USERPROFILE%\Documents\GitHub\eaglep3\Utilities\RefineRTDCRunTimes.py" --tripid 807-19 --locoid 4040 --swversion DE.1.0.7.0 --startMP 204:976 --initTime 2016-09-19T07:00:42 --startdatetime 2016-09-19T07:21:14 --delay 1 --endMP 300:59003 --enddatetime 2016-09-19T07:35:39 --enforcementcount 0 &gt;&gt;C:\Users\stu\Documents\GitHub\eaglep3-reporting\EC\2016-09-19-refined-times.txt</v>
      </c>
      <c r="AI165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{"issue":{"subject":"","project_id":79,"tracker_id":40,"status_id":1,"priority_id":2,"assigned_to_id":23,"start_date":"2016-09-19","description":"","custom_fields":[{"id":1,"name":"Subdivision","value":"NW"},{"id":4,"name":"Milepost","value":"5.9003"},{"id":17,"name":"Train ID","value":"807-19"},{"id":16,"name":"Locomotive ID","value":"4040"},{"id":130,"name":"Impact","value":""},{"id":150,"name":"Time of Event (Mountain Time)","value":"07:35:39"},{"id":151,"name":"Denver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417</v>
      </c>
      <c r="B166" s="7">
        <v>4039</v>
      </c>
      <c r="C166" s="24" t="s">
        <v>106</v>
      </c>
      <c r="D166" s="24" t="s">
        <v>686</v>
      </c>
      <c r="E166" s="15">
        <v>42632.317326388889</v>
      </c>
      <c r="F166" s="15">
        <v>42632.318854166668</v>
      </c>
      <c r="G166" s="7">
        <v>1</v>
      </c>
      <c r="H166" s="15" t="s">
        <v>687</v>
      </c>
      <c r="I166" s="15">
        <v>42632.33090277778</v>
      </c>
      <c r="J166" s="7">
        <v>0</v>
      </c>
      <c r="K166" s="121" t="str">
        <f t="shared" si="82"/>
        <v>4039/4040</v>
      </c>
      <c r="L166" s="24" t="str">
        <f>VLOOKUP(A166,'Trips&amp;Operators'!$C$1:$E$10000,3,FALSE)</f>
        <v>ROBINSON</v>
      </c>
      <c r="M166" s="6">
        <f t="shared" si="83"/>
        <v>1.2048611111822538E-2</v>
      </c>
      <c r="N166" s="7">
        <f t="shared" si="84"/>
        <v>17.350000001024455</v>
      </c>
      <c r="O166" s="7"/>
      <c r="P166" s="7"/>
      <c r="Q166" s="25"/>
      <c r="R166" s="25"/>
      <c r="S166" s="37">
        <f t="shared" si="85"/>
        <v>1</v>
      </c>
      <c r="T166" s="52" t="str">
        <f t="shared" si="86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06:36:57-0600',mode:absolute,to:'2016-09-19 08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66" s="54" t="str">
        <f t="shared" si="88"/>
        <v>N</v>
      </c>
      <c r="X166" s="168">
        <f t="shared" si="89"/>
        <v>1</v>
      </c>
      <c r="Y166" s="69">
        <f t="shared" si="90"/>
        <v>5.8689999999999998</v>
      </c>
      <c r="Z166" s="69">
        <f t="shared" si="91"/>
        <v>7.0999999999999994E-2</v>
      </c>
      <c r="AA166" s="69">
        <f t="shared" si="92"/>
        <v>5.798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93"/>
        <v>0808-19</v>
      </c>
      <c r="AE166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66" s="96" t="str">
        <f t="shared" si="95"/>
        <v>"C:\Program Files (x86)\AstroGrep\AstroGrep.exe" /spath="%USERPROFILE%\AppData\Local\Temp\OnboardLogs" /stypes="app*4039*20160919*" /stext=" 13:.+((SYSTEM_STATE.+slice.+state.+changed )|(ment ac)|(system.+state.+changed )|(\|lc)|(penalty)|(\[timeout)|(PRM\|1\|D)|(kpr)|(kdp))" /e /r /s</v>
      </c>
      <c r="AG166" s="1" t="str">
        <f t="shared" si="96"/>
        <v>NW</v>
      </c>
      <c r="AH166" s="100" t="str">
        <f t="shared" si="97"/>
        <v>"%USERPROFILE%\Documents\GitHub\eaglep3\Utilities\RefineRTDCRunTimes.py" --tripid 808-19 --locoid 4039 --swversion DE.1.0.7.0 --startMP 300:58690 --initTime 2016-09-19T07:36:57 --startdatetime 2016-09-19T07:39:09 --delay 1 --endMP 204:710 --enddatetime 2016-09-19T07:56:30 --enforcementcount 0 &gt;&gt;C:\Users\stu\Documents\GitHub\eaglep3-reporting\EC\2016-09-19-refined-times.txt</v>
      </c>
      <c r="AI166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{"issue":{"subject":"","project_id":79,"tracker_id":40,"status_id":1,"priority_id":2,"assigned_to_id":23,"start_date":"2016-09-19","description":"","custom_fields":[{"id":1,"name":"Subdivision","value":"NW"},{"id":4,"name":"Milepost","value":"0.071"},{"id":17,"name":"Train ID","value":"808-19"},{"id":16,"name":"Locomotive ID","value":"4039"},{"id":130,"name":"Impact","value":""},{"id":150,"name":"Time of Event (Mountain Time)","value":"07:56:30"},{"id":151,"name":"Denver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420</v>
      </c>
      <c r="B167" s="7">
        <v>4003</v>
      </c>
      <c r="C167" s="24" t="s">
        <v>106</v>
      </c>
      <c r="D167" s="24" t="s">
        <v>688</v>
      </c>
      <c r="E167" s="15">
        <v>42632.32435185185</v>
      </c>
      <c r="F167" s="15">
        <v>42632.327222222222</v>
      </c>
      <c r="G167" s="7">
        <v>1</v>
      </c>
      <c r="H167" s="15" t="s">
        <v>689</v>
      </c>
      <c r="I167" s="15">
        <v>42632.337361111109</v>
      </c>
      <c r="J167" s="7">
        <v>0</v>
      </c>
      <c r="K167" s="121" t="str">
        <f t="shared" si="82"/>
        <v>4003/4004</v>
      </c>
      <c r="L167" s="24" t="str">
        <f>VLOOKUP(A167,'Trips&amp;Operators'!$C$1:$E$10000,3,FALSE)</f>
        <v>DAVIS</v>
      </c>
      <c r="M167" s="6">
        <f t="shared" si="83"/>
        <v>1.0138888887013309E-2</v>
      </c>
      <c r="N167" s="7">
        <f t="shared" si="84"/>
        <v>14.599999997299165</v>
      </c>
      <c r="O167" s="7"/>
      <c r="P167" s="7"/>
      <c r="Q167" s="25"/>
      <c r="R167" s="25"/>
      <c r="S167" s="37">
        <f t="shared" si="85"/>
        <v>1</v>
      </c>
      <c r="T167" s="52" t="str">
        <f t="shared" si="86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06:47:04-0600',mode:absolute,to:'2016-09-19 09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67" s="54" t="str">
        <f t="shared" si="88"/>
        <v>N</v>
      </c>
      <c r="X167" s="168">
        <f t="shared" si="89"/>
        <v>1</v>
      </c>
      <c r="Y167" s="69">
        <f t="shared" si="90"/>
        <v>9.3700000000000006E-2</v>
      </c>
      <c r="Z167" s="69">
        <f t="shared" si="91"/>
        <v>5.8982000000000001</v>
      </c>
      <c r="AA167" s="69">
        <f t="shared" si="92"/>
        <v>5.8045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93"/>
        <v>0809-19</v>
      </c>
      <c r="AE167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67" s="96" t="str">
        <f t="shared" si="95"/>
        <v>"C:\Program Files (x86)\AstroGrep\AstroGrep.exe" /spath="%USERPROFILE%\AppData\Local\Temp\OnboardLogs" /stypes="app*4003*20160919*" /stext=" 14:.+((SYSTEM_STATE.+slice.+state.+changed )|(ment ac)|(system.+state.+changed )|(\|lc)|(penalty)|(\[timeout)|(PRM\|1\|D)|(kpr)|(kdp))" /e /r /s</v>
      </c>
      <c r="AG167" s="1" t="str">
        <f t="shared" si="96"/>
        <v>NW</v>
      </c>
      <c r="AH167" s="100" t="str">
        <f t="shared" si="97"/>
        <v>"%USERPROFILE%\Documents\GitHub\eaglep3\Utilities\RefineRTDCRunTimes.py" --tripid 809-19 --locoid 4003 --swversion DE.1.0.7.0 --startMP 204:937 --initTime 2016-09-19T07:47:04 --startdatetime 2016-09-19T07:51:12 --delay 1 --endMP 300:58982 --enddatetime 2016-09-19T08:05:48 --enforcementcount 0 &gt;&gt;C:\Users\stu\Documents\GitHub\eaglep3-reporting\EC\2016-09-19-refined-times.txt</v>
      </c>
      <c r="AI167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{"issue":{"subject":"","project_id":79,"tracker_id":40,"status_id":1,"priority_id":2,"assigned_to_id":23,"start_date":"2016-09-19","description":"","custom_fields":[{"id":1,"name":"Subdivision","value":"NW"},{"id":4,"name":"Milepost","value":"5.8982"},{"id":17,"name":"Train ID","value":"809-19"},{"id":16,"name":"Locomotive ID","value":"4003"},{"id":130,"name":"Impact","value":""},{"id":150,"name":"Time of Event (Mountain Time)","value":"08:05:48"},{"id":151,"name":"Denver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426</v>
      </c>
      <c r="B168" s="7">
        <v>4004</v>
      </c>
      <c r="C168" s="24" t="s">
        <v>106</v>
      </c>
      <c r="D168" s="24" t="s">
        <v>690</v>
      </c>
      <c r="E168" s="15">
        <v>42632.338391203702</v>
      </c>
      <c r="F168" s="15">
        <v>42632.339629629627</v>
      </c>
      <c r="G168" s="7">
        <v>1</v>
      </c>
      <c r="H168" s="15" t="s">
        <v>691</v>
      </c>
      <c r="I168" s="15">
        <v>42632.351712962962</v>
      </c>
      <c r="J168" s="7">
        <v>0</v>
      </c>
      <c r="K168" s="121" t="str">
        <f t="shared" si="82"/>
        <v>4003/4004</v>
      </c>
      <c r="L168" s="24" t="str">
        <f>VLOOKUP(A168,'Trips&amp;Operators'!$C$1:$E$10000,3,FALSE)</f>
        <v>DAVIS</v>
      </c>
      <c r="M168" s="6">
        <f t="shared" si="83"/>
        <v>1.2083333334885538E-2</v>
      </c>
      <c r="N168" s="7">
        <f t="shared" si="84"/>
        <v>17.400000002235174</v>
      </c>
      <c r="O168" s="7"/>
      <c r="P168" s="7"/>
      <c r="Q168" s="25"/>
      <c r="R168" s="25"/>
      <c r="S168" s="37">
        <f t="shared" si="85"/>
        <v>1</v>
      </c>
      <c r="T168" s="52" t="str">
        <f t="shared" si="86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07:07:17-0600',mode:absolute,to:'2016-09-19 09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68" s="54" t="str">
        <f t="shared" si="88"/>
        <v>N</v>
      </c>
      <c r="X168" s="168">
        <f t="shared" si="89"/>
        <v>1</v>
      </c>
      <c r="Y168" s="69">
        <f t="shared" si="90"/>
        <v>5.867</v>
      </c>
      <c r="Z168" s="69">
        <f t="shared" si="91"/>
        <v>6.0499999999999998E-2</v>
      </c>
      <c r="AA168" s="69">
        <f t="shared" si="92"/>
        <v>5.8064999999999998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93"/>
        <v>0810-19</v>
      </c>
      <c r="AE168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68" s="96" t="str">
        <f t="shared" si="95"/>
        <v>"C:\Program Files (x86)\AstroGrep\AstroGrep.exe" /spath="%USERPROFILE%\AppData\Local\Temp\OnboardLogs" /stypes="app*4004*20160919*" /stext=" 14:.+((SYSTEM_STATE.+slice.+state.+changed )|(ment ac)|(system.+state.+changed )|(\|lc)|(penalty)|(\[timeout)|(PRM\|1\|D)|(kpr)|(kdp))" /e /r /s</v>
      </c>
      <c r="AG168" s="1" t="str">
        <f t="shared" si="96"/>
        <v>NW</v>
      </c>
      <c r="AH168" s="100" t="str">
        <f t="shared" si="97"/>
        <v>"%USERPROFILE%\Documents\GitHub\eaglep3\Utilities\RefineRTDCRunTimes.py" --tripid 810-19 --locoid 4004 --swversion DE.1.0.7.0 --startMP 300:58670 --initTime 2016-09-19T08:07:17 --startdatetime 2016-09-19T08:09:04 --delay 1 --endMP 204:605 --enddatetime 2016-09-19T08:26:28 --enforcementcount 0 &gt;&gt;C:\Users\stu\Documents\GitHub\eaglep3-reporting\EC\2016-09-19-refined-times.txt</v>
      </c>
      <c r="AI168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{"issue":{"subject":"","project_id":79,"tracker_id":40,"status_id":1,"priority_id":2,"assigned_to_id":23,"start_date":"2016-09-19","description":"","custom_fields":[{"id":1,"name":"Subdivision","value":"NW"},{"id":4,"name":"Milepost","value":"0.0605"},{"id":17,"name":"Train ID","value":"810-19"},{"id":16,"name":"Locomotive ID","value":"4004"},{"id":130,"name":"Impact","value":""},{"id":150,"name":"Time of Event (Mountain Time)","value":"08:26:28"},{"id":151,"name":"Denver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423</v>
      </c>
      <c r="B169" s="7">
        <v>4040</v>
      </c>
      <c r="C169" s="24" t="s">
        <v>106</v>
      </c>
      <c r="D169" s="24" t="s">
        <v>353</v>
      </c>
      <c r="E169" s="15">
        <v>42632.332962962966</v>
      </c>
      <c r="F169" s="15">
        <v>42632.348194444443</v>
      </c>
      <c r="G169" s="7">
        <v>1</v>
      </c>
      <c r="H169" s="15" t="s">
        <v>692</v>
      </c>
      <c r="I169" s="15">
        <v>42632.359166666669</v>
      </c>
      <c r="J169" s="7">
        <v>0</v>
      </c>
      <c r="K169" s="121" t="str">
        <f t="shared" si="82"/>
        <v>4039/4040</v>
      </c>
      <c r="L169" s="24" t="str">
        <f>VLOOKUP(A169,'Trips&amp;Operators'!$C$1:$E$10000,3,FALSE)</f>
        <v>ROBINSON</v>
      </c>
      <c r="M169" s="6">
        <f t="shared" si="83"/>
        <v>1.0972222225973383E-2</v>
      </c>
      <c r="N169" s="7">
        <f t="shared" si="84"/>
        <v>15.800000005401671</v>
      </c>
      <c r="O169" s="7"/>
      <c r="P169" s="7"/>
      <c r="Q169" s="25"/>
      <c r="R169" s="25"/>
      <c r="S169" s="37">
        <f t="shared" si="85"/>
        <v>1</v>
      </c>
      <c r="T169" s="52" t="str">
        <f t="shared" si="86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06:59:28-0600',mode:absolute,to:'2016-09-19 09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69" s="54" t="str">
        <f t="shared" si="88"/>
        <v>N</v>
      </c>
      <c r="X169" s="168">
        <f t="shared" si="89"/>
        <v>1</v>
      </c>
      <c r="Y169" s="69">
        <f t="shared" si="90"/>
        <v>0.10059999999999999</v>
      </c>
      <c r="Z169" s="69">
        <f t="shared" si="91"/>
        <v>5.9012000000000002</v>
      </c>
      <c r="AA169" s="69">
        <f t="shared" si="92"/>
        <v>5.8006000000000002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93"/>
        <v>0811-19</v>
      </c>
      <c r="AE169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69" s="96" t="str">
        <f t="shared" si="95"/>
        <v>"C:\Program Files (x86)\AstroGrep\AstroGrep.exe" /spath="%USERPROFILE%\AppData\Local\Temp\OnboardLogs" /stypes="app*4040*20160919*" /stext=" 14:.+((SYSTEM_STATE.+slice.+state.+changed )|(ment ac)|(system.+state.+changed )|(\|lc)|(penalty)|(\[timeout)|(PRM\|1\|D)|(kpr)|(kdp))" /e /r /s</v>
      </c>
      <c r="AG169" s="1" t="str">
        <f t="shared" si="96"/>
        <v>NW</v>
      </c>
      <c r="AH169" s="100" t="str">
        <f t="shared" si="97"/>
        <v>"%USERPROFILE%\Documents\GitHub\eaglep3\Utilities\RefineRTDCRunTimes.py" --tripid 811-19 --locoid 4040 --swversion DE.1.0.7.0 --startMP 204:1006 --initTime 2016-09-19T07:59:28 --startdatetime 2016-09-19T08:21:24 --delay 1 --endMP 300:59012 --enddatetime 2016-09-19T08:37:12 --enforcementcount 0 &gt;&gt;C:\Users\stu\Documents\GitHub\eaglep3-reporting\EC\2016-09-19-refined-times.txt</v>
      </c>
      <c r="AI169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{"issue":{"subject":"","project_id":79,"tracker_id":40,"status_id":1,"priority_id":2,"assigned_to_id":23,"start_date":"2016-09-19","description":"","custom_fields":[{"id":1,"name":"Subdivision","value":"NW"},{"id":4,"name":"Milepost","value":"5.9012"},{"id":17,"name":"Train ID","value":"811-19"},{"id":16,"name":"Locomotive ID","value":"4040"},{"id":130,"name":"Impact","value":""},{"id":150,"name":"Time of Event (Mountain Time)","value":"08:37:12"},{"id":151,"name":"Denver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430</v>
      </c>
      <c r="B170" s="7">
        <v>4039</v>
      </c>
      <c r="C170" s="24" t="s">
        <v>106</v>
      </c>
      <c r="D170" s="24" t="s">
        <v>693</v>
      </c>
      <c r="E170" s="15">
        <v>42632.360717592594</v>
      </c>
      <c r="F170" s="15">
        <v>42632.363807870373</v>
      </c>
      <c r="G170" s="7">
        <v>1</v>
      </c>
      <c r="H170" s="15" t="s">
        <v>349</v>
      </c>
      <c r="I170" s="15">
        <v>42632.374131944445</v>
      </c>
      <c r="J170" s="7">
        <v>0</v>
      </c>
      <c r="K170" s="121" t="str">
        <f t="shared" si="82"/>
        <v>4039/4040</v>
      </c>
      <c r="L170" s="24" t="str">
        <f>VLOOKUP(A170,'Trips&amp;Operators'!$C$1:$E$10000,3,FALSE)</f>
        <v>ROBINSON</v>
      </c>
      <c r="M170" s="6">
        <f t="shared" si="83"/>
        <v>1.0324074071832001E-2</v>
      </c>
      <c r="N170" s="7">
        <f t="shared" si="84"/>
        <v>14.866666663438082</v>
      </c>
      <c r="O170" s="7"/>
      <c r="P170" s="7"/>
      <c r="Q170" s="25"/>
      <c r="R170" s="25"/>
      <c r="S170" s="37">
        <f t="shared" si="85"/>
        <v>1</v>
      </c>
      <c r="T170" s="52" t="str">
        <f t="shared" si="86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07:39:26-0600',mode:absolute,to:'2016-09-19 09:58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70" s="54" t="str">
        <f t="shared" si="88"/>
        <v>N</v>
      </c>
      <c r="X170" s="168">
        <f t="shared" si="89"/>
        <v>1</v>
      </c>
      <c r="Y170" s="69">
        <f t="shared" si="90"/>
        <v>5.8697999999999997</v>
      </c>
      <c r="Z170" s="69">
        <f t="shared" si="91"/>
        <v>6.6400000000000001E-2</v>
      </c>
      <c r="AA170" s="69">
        <f t="shared" si="92"/>
        <v>5.8033999999999999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93"/>
        <v>0812-19</v>
      </c>
      <c r="AE170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70" s="96" t="str">
        <f t="shared" si="95"/>
        <v>"C:\Program Files (x86)\AstroGrep\AstroGrep.exe" /spath="%USERPROFILE%\AppData\Local\Temp\OnboardLogs" /stypes="app*4039*20160919*" /stext=" 14:.+((SYSTEM_STATE.+slice.+state.+changed )|(ment ac)|(system.+state.+changed )|(\|lc)|(penalty)|(\[timeout)|(PRM\|1\|D)|(kpr)|(kdp))" /e /r /s</v>
      </c>
      <c r="AG170" s="1" t="str">
        <f t="shared" si="96"/>
        <v>NW</v>
      </c>
      <c r="AH170" s="100" t="str">
        <f t="shared" si="97"/>
        <v>"%USERPROFILE%\Documents\GitHub\eaglep3\Utilities\RefineRTDCRunTimes.py" --tripid 812-19 --locoid 4039 --swversion DE.1.0.7.0 --startMP 300:58698 --initTime 2016-09-19T08:39:26 --startdatetime 2016-09-19T08:43:53 --delay 1 --endMP 204:664 --enddatetime 2016-09-19T08:58:45 --enforcementcount 0 &gt;&gt;C:\Users\stu\Documents\GitHub\eaglep3-reporting\EC\2016-09-19-refined-times.txt</v>
      </c>
      <c r="AI170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{"issue":{"subject":"","project_id":79,"tracker_id":40,"status_id":1,"priority_id":2,"assigned_to_id":23,"start_date":"2016-09-19","description":"","custom_fields":[{"id":1,"name":"Subdivision","value":"NW"},{"id":4,"name":"Milepost","value":"0.0664"},{"id":17,"name":"Train ID","value":"812-19"},{"id":16,"name":"Locomotive ID","value":"4039"},{"id":130,"name":"Impact","value":""},{"id":150,"name":"Time of Event (Mountain Time)","value":"08:58:45"},{"id":151,"name":"Denver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435</v>
      </c>
      <c r="B171" s="7">
        <v>4040</v>
      </c>
      <c r="C171" s="24" t="s">
        <v>106</v>
      </c>
      <c r="D171" s="24" t="s">
        <v>694</v>
      </c>
      <c r="E171" s="15">
        <v>42632.376550925925</v>
      </c>
      <c r="F171" s="15">
        <v>42632.389791666668</v>
      </c>
      <c r="G171" s="7">
        <v>1</v>
      </c>
      <c r="H171" s="15" t="s">
        <v>695</v>
      </c>
      <c r="I171" s="15">
        <v>42632.39980324074</v>
      </c>
      <c r="J171" s="7">
        <v>0</v>
      </c>
      <c r="K171" s="121" t="str">
        <f t="shared" si="82"/>
        <v>4039/4040</v>
      </c>
      <c r="L171" s="24" t="str">
        <f>VLOOKUP(A171,'Trips&amp;Operators'!$C$1:$E$10000,3,FALSE)</f>
        <v>ROBINSON</v>
      </c>
      <c r="M171" s="6">
        <f t="shared" si="83"/>
        <v>1.0011574071540963E-2</v>
      </c>
      <c r="N171" s="7">
        <f t="shared" si="84"/>
        <v>14.416666663018987</v>
      </c>
      <c r="O171" s="7"/>
      <c r="P171" s="7"/>
      <c r="Q171" s="25"/>
      <c r="R171" s="25"/>
      <c r="S171" s="37">
        <f t="shared" si="85"/>
        <v>1</v>
      </c>
      <c r="T171" s="52" t="str">
        <f t="shared" si="86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08:02:14-0600',mode:absolute,to:'2016-09-19 10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71" s="54" t="str">
        <f t="shared" si="88"/>
        <v>N</v>
      </c>
      <c r="X171" s="168">
        <f t="shared" si="89"/>
        <v>1</v>
      </c>
      <c r="Y171" s="69">
        <f t="shared" si="90"/>
        <v>9.5100000000000004E-2</v>
      </c>
      <c r="Z171" s="69">
        <f t="shared" si="91"/>
        <v>5.8987999999999996</v>
      </c>
      <c r="AA171" s="69">
        <f t="shared" si="92"/>
        <v>5.8036999999999992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93"/>
        <v>0813-19</v>
      </c>
      <c r="AE171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71" s="96" t="str">
        <f t="shared" si="95"/>
        <v>"C:\Program Files (x86)\AstroGrep\AstroGrep.exe" /spath="%USERPROFILE%\AppData\Local\Temp\OnboardLogs" /stypes="app*4040*20160919*" /stext=" 15:.+((SYSTEM_STATE.+slice.+state.+changed )|(ment ac)|(system.+state.+changed )|(\|lc)|(penalty)|(\[timeout)|(PRM\|1\|D)|(kpr)|(kdp))" /e /r /s</v>
      </c>
      <c r="AG171" s="1" t="str">
        <f t="shared" si="96"/>
        <v>NW</v>
      </c>
      <c r="AH171" s="100" t="str">
        <f t="shared" si="97"/>
        <v>"%USERPROFILE%\Documents\GitHub\eaglep3\Utilities\RefineRTDCRunTimes.py" --tripid 813-19 --locoid 4040 --swversion DE.1.0.7.0 --startMP 204:951 --initTime 2016-09-19T09:02:14 --startdatetime 2016-09-19T09:21:18 --delay 1 --endMP 300:58988 --enddatetime 2016-09-19T09:35:43 --enforcementcount 0 &gt;&gt;C:\Users\stu\Documents\GitHub\eaglep3-reporting\EC\2016-09-19-refined-times.txt</v>
      </c>
      <c r="AI171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{"issue":{"subject":"","project_id":79,"tracker_id":40,"status_id":1,"priority_id":2,"assigned_to_id":23,"start_date":"2016-09-19","description":"","custom_fields":[{"id":1,"name":"Subdivision","value":"NW"},{"id":4,"name":"Milepost","value":"5.8988"},{"id":17,"name":"Train ID","value":"813-19"},{"id":16,"name":"Locomotive ID","value":"4040"},{"id":130,"name":"Impact","value":""},{"id":150,"name":"Time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440</v>
      </c>
      <c r="B172" s="7">
        <v>4039</v>
      </c>
      <c r="C172" s="24" t="s">
        <v>106</v>
      </c>
      <c r="D172" s="24" t="s">
        <v>696</v>
      </c>
      <c r="E172" s="15">
        <v>42632.401238425926</v>
      </c>
      <c r="F172" s="15">
        <v>42632.402685185189</v>
      </c>
      <c r="G172" s="7">
        <v>1</v>
      </c>
      <c r="H172" s="15" t="s">
        <v>349</v>
      </c>
      <c r="I172" s="15">
        <v>42632.415347222224</v>
      </c>
      <c r="J172" s="7">
        <v>0</v>
      </c>
      <c r="K172" s="121" t="str">
        <f t="shared" si="82"/>
        <v>4039/4040</v>
      </c>
      <c r="L172" s="24" t="str">
        <f>VLOOKUP(A172,'Trips&amp;Operators'!$C$1:$E$10000,3,FALSE)</f>
        <v>ROBINSON</v>
      </c>
      <c r="M172" s="6">
        <f t="shared" si="83"/>
        <v>1.2662037035624962E-2</v>
      </c>
      <c r="N172" s="7">
        <f t="shared" si="84"/>
        <v>18.233333331299946</v>
      </c>
      <c r="O172" s="7"/>
      <c r="P172" s="7"/>
      <c r="Q172" s="25"/>
      <c r="R172" s="25"/>
      <c r="S172" s="37">
        <f t="shared" si="85"/>
        <v>1</v>
      </c>
      <c r="T172" s="52" t="str">
        <f t="shared" si="86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08:37:47-0600',mode:absolute,to:'2016-09-19 10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72" s="54" t="str">
        <f t="shared" si="88"/>
        <v>N</v>
      </c>
      <c r="X172" s="168">
        <f t="shared" si="89"/>
        <v>1</v>
      </c>
      <c r="Y172" s="69">
        <f t="shared" si="90"/>
        <v>5.8663999999999996</v>
      </c>
      <c r="Z172" s="69">
        <f t="shared" si="91"/>
        <v>6.6400000000000001E-2</v>
      </c>
      <c r="AA172" s="69">
        <f t="shared" si="92"/>
        <v>5.8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93"/>
        <v>0814-19</v>
      </c>
      <c r="AE172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72" s="96" t="str">
        <f t="shared" si="95"/>
        <v>"C:\Program Files (x86)\AstroGrep\AstroGrep.exe" /spath="%USERPROFILE%\AppData\Local\Temp\OnboardLogs" /stypes="app*4039*20160919*" /stext=" 15:.+((SYSTEM_STATE.+slice.+state.+changed )|(ment ac)|(system.+state.+changed )|(\|lc)|(penalty)|(\[timeout)|(PRM\|1\|D)|(kpr)|(kdp))" /e /r /s</v>
      </c>
      <c r="AG172" s="1" t="str">
        <f t="shared" si="96"/>
        <v>NW</v>
      </c>
      <c r="AH172" s="100" t="str">
        <f t="shared" si="97"/>
        <v>"%USERPROFILE%\Documents\GitHub\eaglep3\Utilities\RefineRTDCRunTimes.py" --tripid 814-19 --locoid 4039 --swversion DE.1.0.7.0 --startMP 300:58664 --initTime 2016-09-19T09:37:47 --startdatetime 2016-09-19T09:39:52 --delay 1 --endMP 204:664 --enddatetime 2016-09-19T09:58:06 --enforcementcount 0 &gt;&gt;C:\Users\stu\Documents\GitHub\eaglep3-reporting\EC\2016-09-19-refined-times.txt</v>
      </c>
      <c r="AI172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{"issue":{"subject":"","project_id":79,"tracker_id":40,"status_id":1,"priority_id":2,"assigned_to_id":23,"start_date":"2016-09-19","description":"","custom_fields":[{"id":1,"name":"Subdivision","value":"NW"},{"id":4,"name":"Milepost","value":"0.0664"},{"id":17,"name":"Train ID","value":"814-19"},{"id":16,"name":"Locomotive ID","value":"4039"},{"id":130,"name":"Impact","value":""},{"id":150,"name":"Time of Event (Mountain Time)","value":"09:58:06"},{"id":151,"name":"Denver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444</v>
      </c>
      <c r="B173" s="7">
        <v>4040</v>
      </c>
      <c r="C173" s="24" t="s">
        <v>106</v>
      </c>
      <c r="D173" s="24" t="s">
        <v>697</v>
      </c>
      <c r="E173" s="15">
        <v>42632.417199074072</v>
      </c>
      <c r="F173" s="15">
        <v>42632.431400462963</v>
      </c>
      <c r="G173" s="7">
        <v>1</v>
      </c>
      <c r="H173" s="15" t="s">
        <v>698</v>
      </c>
      <c r="I173" s="15">
        <v>42632.440520833334</v>
      </c>
      <c r="J173" s="7">
        <v>0</v>
      </c>
      <c r="K173" s="121" t="str">
        <f t="shared" si="82"/>
        <v>4039/4040</v>
      </c>
      <c r="L173" s="24" t="str">
        <f>VLOOKUP(A173,'Trips&amp;Operators'!$C$1:$E$10000,3,FALSE)</f>
        <v>ROBINSON</v>
      </c>
      <c r="M173" s="6">
        <f t="shared" si="83"/>
        <v>9.1203703705104999E-3</v>
      </c>
      <c r="N173" s="7">
        <f t="shared" si="84"/>
        <v>13.13333333353512</v>
      </c>
      <c r="O173" s="7"/>
      <c r="P173" s="7"/>
      <c r="Q173" s="25"/>
      <c r="R173" s="25"/>
      <c r="S173" s="37">
        <f t="shared" si="85"/>
        <v>1</v>
      </c>
      <c r="T173" s="52" t="str">
        <f t="shared" si="86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09:00:46-0600',mode:absolute,to:'2016-09-19 11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73" s="54" t="str">
        <f t="shared" si="88"/>
        <v>N</v>
      </c>
      <c r="X173" s="168">
        <f t="shared" si="89"/>
        <v>1</v>
      </c>
      <c r="Y173" s="69">
        <f t="shared" si="90"/>
        <v>9.74E-2</v>
      </c>
      <c r="Z173" s="69">
        <f t="shared" si="91"/>
        <v>5.8091999999999997</v>
      </c>
      <c r="AA173" s="69">
        <f t="shared" si="92"/>
        <v>5.7117999999999993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93"/>
        <v>0815-19</v>
      </c>
      <c r="AE173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73" s="96" t="str">
        <f t="shared" si="95"/>
        <v>"C:\Program Files (x86)\AstroGrep\AstroGrep.exe" /spath="%USERPROFILE%\AppData\Local\Temp\OnboardLogs" /stypes="app*4040*20160919*" /stext=" 16:.+((SYSTEM_STATE.+slice.+state.+changed )|(ment ac)|(system.+state.+changed )|(\|lc)|(penalty)|(\[timeout)|(PRM\|1\|D)|(kpr)|(kdp))" /e /r /s</v>
      </c>
      <c r="AG173" s="1" t="str">
        <f t="shared" si="96"/>
        <v>NW</v>
      </c>
      <c r="AH173" s="100" t="str">
        <f t="shared" si="97"/>
        <v>"%USERPROFILE%\Documents\GitHub\eaglep3\Utilities\RefineRTDCRunTimes.py" --tripid 815-19 --locoid 4040 --swversion DE.1.0.7.0 --startMP 204:974 --initTime 2016-09-19T10:00:46 --startdatetime 2016-09-19T10:21:13 --delay 1 --endMP 300:58092 --enddatetime 2016-09-19T10:34:21 --enforcementcount 0 &gt;&gt;C:\Users\stu\Documents\GitHub\eaglep3-reporting\EC\2016-09-19-refined-times.txt</v>
      </c>
      <c r="AI173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{"issue":{"subject":"","project_id":79,"tracker_id":40,"status_id":1,"priority_id":2,"assigned_to_id":23,"start_date":"2016-09-19","description":"","custom_fields":[{"id":1,"name":"Subdivision","value":"NW"},{"id":4,"name":"Milepost","value":"5.8092"},{"id":17,"name":"Train ID","value":"815-19"},{"id":16,"name":"Locomotive ID","value":"4040"},{"id":130,"name":"Impact","value":""},{"id":150,"name":"Time of Event (Mountain Time)","value":"10:34:21"},{"id":151,"name":"Denver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450</v>
      </c>
      <c r="B174" s="7">
        <v>4039</v>
      </c>
      <c r="C174" s="24" t="s">
        <v>106</v>
      </c>
      <c r="D174" s="24" t="s">
        <v>699</v>
      </c>
      <c r="E174" s="15">
        <v>42632.442094907405</v>
      </c>
      <c r="F174" s="15">
        <v>42632.443993055553</v>
      </c>
      <c r="G174" s="7">
        <v>1</v>
      </c>
      <c r="H174" s="15" t="s">
        <v>700</v>
      </c>
      <c r="I174" s="15">
        <v>42632.455277777779</v>
      </c>
      <c r="J174" s="7">
        <v>0</v>
      </c>
      <c r="K174" s="121" t="str">
        <f t="shared" si="82"/>
        <v>4039/4040</v>
      </c>
      <c r="L174" s="24" t="str">
        <f>VLOOKUP(A174,'Trips&amp;Operators'!$C$1:$E$10000,3,FALSE)</f>
        <v>ROBINSON</v>
      </c>
      <c r="M174" s="6">
        <f t="shared" si="83"/>
        <v>1.1284722226264421E-2</v>
      </c>
      <c r="N174" s="7">
        <f t="shared" si="84"/>
        <v>16.250000005820766</v>
      </c>
      <c r="O174" s="7"/>
      <c r="P174" s="7"/>
      <c r="Q174" s="25"/>
      <c r="R174" s="25"/>
      <c r="S174" s="37">
        <f t="shared" si="85"/>
        <v>1</v>
      </c>
      <c r="T174" s="52" t="str">
        <f t="shared" si="86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09:36:37-0600',mode:absolute,to:'2016-09-19 11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74" s="54" t="str">
        <f t="shared" si="88"/>
        <v>N</v>
      </c>
      <c r="X174" s="168">
        <f t="shared" si="89"/>
        <v>1</v>
      </c>
      <c r="Y174" s="69">
        <f t="shared" si="90"/>
        <v>5.8662000000000001</v>
      </c>
      <c r="Z174" s="69">
        <f t="shared" si="91"/>
        <v>6.7299999999999999E-2</v>
      </c>
      <c r="AA174" s="69">
        <f t="shared" si="92"/>
        <v>5.7988999999999997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93"/>
        <v>0816-19</v>
      </c>
      <c r="AE174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74" s="96" t="str">
        <f t="shared" si="95"/>
        <v>"C:\Program Files (x86)\AstroGrep\AstroGrep.exe" /spath="%USERPROFILE%\AppData\Local\Temp\OnboardLogs" /stypes="app*4039*20160919*" /stext=" 16:.+((SYSTEM_STATE.+slice.+state.+changed )|(ment ac)|(system.+state.+changed )|(\|lc)|(penalty)|(\[timeout)|(PRM\|1\|D)|(kpr)|(kdp))" /e /r /s</v>
      </c>
      <c r="AG174" s="1" t="str">
        <f t="shared" si="96"/>
        <v>NW</v>
      </c>
      <c r="AH174" s="100" t="str">
        <f t="shared" si="97"/>
        <v>"%USERPROFILE%\Documents\GitHub\eaglep3\Utilities\RefineRTDCRunTimes.py" --tripid 816-19 --locoid 4039 --swversion DE.1.0.7.0 --startMP 300:58662 --initTime 2016-09-19T10:36:37 --startdatetime 2016-09-19T10:39:21 --delay 1 --endMP 204:673 --enddatetime 2016-09-19T10:55:36 --enforcementcount 0 &gt;&gt;C:\Users\stu\Documents\GitHub\eaglep3-reporting\EC\2016-09-19-refined-times.txt</v>
      </c>
      <c r="AI174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{"issue":{"subject":"","project_id":79,"tracker_id":40,"status_id":1,"priority_id":2,"assigned_to_id":23,"start_date":"2016-09-19","description":"","custom_fields":[{"id":1,"name":"Subdivision","value":"NW"},{"id":4,"name":"Milepost","value":"0.0673"},{"id":17,"name":"Train ID","value":"816-19"},{"id":16,"name":"Locomotive ID","value":"4039"},{"id":130,"name":"Impact","value":""},{"id":150,"name":"Time of Event (Mountain Time)","value":"10:55:36"},{"id":151,"name":"Denver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455</v>
      </c>
      <c r="B175" s="7">
        <v>4040</v>
      </c>
      <c r="C175" s="24" t="s">
        <v>106</v>
      </c>
      <c r="D175" s="24" t="s">
        <v>697</v>
      </c>
      <c r="E175" s="15">
        <v>42632.456562500003</v>
      </c>
      <c r="F175" s="15">
        <v>42632.473182870373</v>
      </c>
      <c r="G175" s="7">
        <v>1</v>
      </c>
      <c r="H175" s="15" t="s">
        <v>701</v>
      </c>
      <c r="I175" s="15">
        <v>42632.484722222223</v>
      </c>
      <c r="J175" s="7">
        <v>0</v>
      </c>
      <c r="K175" s="121" t="str">
        <f t="shared" si="82"/>
        <v>4039/4040</v>
      </c>
      <c r="L175" s="24" t="str">
        <f>VLOOKUP(A175,'Trips&amp;Operators'!$C$1:$E$10000,3,FALSE)</f>
        <v>ROBINSON</v>
      </c>
      <c r="M175" s="6">
        <f t="shared" si="83"/>
        <v>1.1539351849933155E-2</v>
      </c>
      <c r="N175" s="7">
        <f t="shared" si="84"/>
        <v>16.616666663903743</v>
      </c>
      <c r="O175" s="7"/>
      <c r="P175" s="7"/>
      <c r="Q175" s="25"/>
      <c r="R175" s="25"/>
      <c r="S175" s="37">
        <f t="shared" si="85"/>
        <v>1</v>
      </c>
      <c r="T175" s="52" t="str">
        <f t="shared" si="86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09:57:27-0600',mode:absolute,to:'2016-09-19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75" s="54" t="str">
        <f t="shared" si="88"/>
        <v>N</v>
      </c>
      <c r="X175" s="168">
        <f t="shared" si="89"/>
        <v>1</v>
      </c>
      <c r="Y175" s="69">
        <f t="shared" si="90"/>
        <v>9.74E-2</v>
      </c>
      <c r="Z175" s="69">
        <f t="shared" si="91"/>
        <v>5.8949999999999996</v>
      </c>
      <c r="AA175" s="69">
        <f t="shared" si="92"/>
        <v>5.7975999999999992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93"/>
        <v>0817-19</v>
      </c>
      <c r="AE175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75" s="96" t="str">
        <f t="shared" si="95"/>
        <v>"C:\Program Files (x86)\AstroGrep\AstroGrep.exe" /spath="%USERPROFILE%\AppData\Local\Temp\OnboardLogs" /stypes="app*4040*20160919*" /stext=" 17:.+((SYSTEM_STATE.+slice.+state.+changed )|(ment ac)|(system.+state.+changed )|(\|lc)|(penalty)|(\[timeout)|(PRM\|1\|D)|(kpr)|(kdp))" /e /r /s</v>
      </c>
      <c r="AG175" s="1" t="str">
        <f t="shared" si="96"/>
        <v>NW</v>
      </c>
      <c r="AH175" s="100" t="str">
        <f t="shared" si="97"/>
        <v>"%USERPROFILE%\Documents\GitHub\eaglep3\Utilities\RefineRTDCRunTimes.py" --tripid 817-19 --locoid 4040 --swversion DE.1.0.7.0 --startMP 204:974 --initTime 2016-09-19T10:57:27 --startdatetime 2016-09-19T11:21:23 --delay 1 --endMP 300:58950 --enddatetime 2016-09-19T11:38:00 --enforcementcount 0 &gt;&gt;C:\Users\stu\Documents\GitHub\eaglep3-reporting\EC\2016-09-19-refined-times.txt</v>
      </c>
      <c r="AI175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{"issue":{"subject":"","project_id":79,"tracker_id":40,"status_id":1,"priority_id":2,"assigned_to_id":23,"start_date":"2016-09-19","description":"","custom_fields":[{"id":1,"name":"Subdivision","value":"NW"},{"id":4,"name":"Milepost","value":"5.895"},{"id":17,"name":"Train ID","value":"817-19"},{"id":16,"name":"Locomotive ID","value":"4040"},{"id":130,"name":"Impact","value":""},{"id":150,"name":"Time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463</v>
      </c>
      <c r="B176" s="7">
        <v>4039</v>
      </c>
      <c r="C176" s="24" t="s">
        <v>106</v>
      </c>
      <c r="D176" s="24" t="s">
        <v>702</v>
      </c>
      <c r="E176" s="15">
        <v>42632.486203703702</v>
      </c>
      <c r="F176" s="15">
        <v>42632.487870370373</v>
      </c>
      <c r="G176" s="7">
        <v>1</v>
      </c>
      <c r="H176" s="15" t="s">
        <v>703</v>
      </c>
      <c r="I176" s="15">
        <v>42632.498206018521</v>
      </c>
      <c r="J176" s="7">
        <v>0</v>
      </c>
      <c r="K176" s="121" t="str">
        <f t="shared" si="82"/>
        <v>4039/4040</v>
      </c>
      <c r="L176" s="24" t="str">
        <f>VLOOKUP(A176,'Trips&amp;Operators'!$C$1:$E$10000,3,FALSE)</f>
        <v>ROBINSON</v>
      </c>
      <c r="M176" s="6">
        <f t="shared" si="83"/>
        <v>1.0335648148611654E-2</v>
      </c>
      <c r="N176" s="7">
        <f t="shared" si="84"/>
        <v>14.883333334000781</v>
      </c>
      <c r="O176" s="7"/>
      <c r="P176" s="7"/>
      <c r="Q176" s="25"/>
      <c r="R176" s="25"/>
      <c r="S176" s="37">
        <f t="shared" si="85"/>
        <v>1</v>
      </c>
      <c r="T176" s="52" t="str">
        <f t="shared" si="86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10:40:08-0600',mode:absolute,to:'2016-09-19 12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76" s="54" t="str">
        <f t="shared" si="88"/>
        <v>N</v>
      </c>
      <c r="X176" s="168">
        <f t="shared" si="89"/>
        <v>1</v>
      </c>
      <c r="Y176" s="69">
        <f t="shared" si="90"/>
        <v>5.8632</v>
      </c>
      <c r="Z176" s="69">
        <f t="shared" si="91"/>
        <v>7.7100000000000002E-2</v>
      </c>
      <c r="AA176" s="69">
        <f t="shared" si="92"/>
        <v>5.7861000000000002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93"/>
        <v>0818-19</v>
      </c>
      <c r="AE176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76" s="96" t="str">
        <f t="shared" si="95"/>
        <v>"C:\Program Files (x86)\AstroGrep\AstroGrep.exe" /spath="%USERPROFILE%\AppData\Local\Temp\OnboardLogs" /stypes="app*4039*20160919*" /stext=" 17:.+((SYSTEM_STATE.+slice.+state.+changed )|(ment ac)|(system.+state.+changed )|(\|lc)|(penalty)|(\[timeout)|(PRM\|1\|D)|(kpr)|(kdp))" /e /r /s</v>
      </c>
      <c r="AG176" s="1" t="str">
        <f t="shared" si="96"/>
        <v>NW</v>
      </c>
      <c r="AH176" s="100" t="str">
        <f t="shared" si="97"/>
        <v>"%USERPROFILE%\Documents\GitHub\eaglep3\Utilities\RefineRTDCRunTimes.py" --tripid 818-19 --locoid 4039 --swversion DE.1.0.7.0 --startMP 300:58632 --initTime 2016-09-19T11:40:08 --startdatetime 2016-09-19T11:42:32 --delay 1 --endMP 204:771 --enddatetime 2016-09-19T11:57:25 --enforcementcount 0 &gt;&gt;C:\Users\stu\Documents\GitHub\eaglep3-reporting\EC\2016-09-19-refined-times.txt</v>
      </c>
      <c r="AI176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{"issue":{"subject":"","project_id":79,"tracker_id":40,"status_id":1,"priority_id":2,"assigned_to_id":23,"start_date":"2016-09-19","description":"","custom_fields":[{"id":1,"name":"Subdivision","value":"NW"},{"id":4,"name":"Milepost","value":"0.0771"},{"id":17,"name":"Train ID","value":"818-19"},{"id":16,"name":"Locomotive ID","value":"4039"},{"id":130,"name":"Impact","value":""},{"id":150,"name":"Time of Event (Mountain Time)","value":"11:57:25"},{"id":151,"name":"Denver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468</v>
      </c>
      <c r="B177" s="7">
        <v>4040</v>
      </c>
      <c r="C177" s="24" t="s">
        <v>106</v>
      </c>
      <c r="D177" s="24" t="s">
        <v>704</v>
      </c>
      <c r="E177" s="15">
        <v>42632.507650462961</v>
      </c>
      <c r="F177" s="15">
        <v>42632.514930555553</v>
      </c>
      <c r="G177" s="7">
        <v>1</v>
      </c>
      <c r="H177" s="15" t="s">
        <v>705</v>
      </c>
      <c r="I177" s="15">
        <v>42632.52547453704</v>
      </c>
      <c r="J177" s="7">
        <v>0</v>
      </c>
      <c r="K177" s="121" t="str">
        <f t="shared" si="82"/>
        <v>4039/4040</v>
      </c>
      <c r="L177" s="24" t="str">
        <f>VLOOKUP(A177,'Trips&amp;Operators'!$C$1:$E$10000,3,FALSE)</f>
        <v>ROBINSON</v>
      </c>
      <c r="M177" s="6">
        <f t="shared" si="83"/>
        <v>1.0543981486989651E-2</v>
      </c>
      <c r="N177" s="7">
        <f t="shared" si="84"/>
        <v>15.183333341265097</v>
      </c>
      <c r="O177" s="7"/>
      <c r="P177" s="7"/>
      <c r="Q177" s="25"/>
      <c r="R177" s="25"/>
      <c r="S177" s="37">
        <f t="shared" si="85"/>
        <v>1</v>
      </c>
      <c r="T177" s="52" t="str">
        <f t="shared" si="86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11:11:01-0600',mode:absolute,to:'2016-09-19 13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77" s="54" t="str">
        <f t="shared" si="88"/>
        <v>N</v>
      </c>
      <c r="X177" s="168">
        <f t="shared" si="89"/>
        <v>1</v>
      </c>
      <c r="Y177" s="69">
        <f t="shared" si="90"/>
        <v>0.10580000000000001</v>
      </c>
      <c r="Z177" s="69">
        <f t="shared" si="91"/>
        <v>5.8997000000000002</v>
      </c>
      <c r="AA177" s="69">
        <f t="shared" si="92"/>
        <v>5.7938999999999998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93"/>
        <v>0819-19</v>
      </c>
      <c r="AE177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77" s="96" t="str">
        <f t="shared" si="95"/>
        <v>"C:\Program Files (x86)\AstroGrep\AstroGrep.exe" /spath="%USERPROFILE%\AppData\Local\Temp\OnboardLogs" /stypes="app*4040*20160919*" /stext=" 18:.+((SYSTEM_STATE.+slice.+state.+changed )|(ment ac)|(system.+state.+changed )|(\|lc)|(penalty)|(\[timeout)|(PRM\|1\|D)|(kpr)|(kdp))" /e /r /s</v>
      </c>
      <c r="AG177" s="1" t="str">
        <f t="shared" si="96"/>
        <v>NW</v>
      </c>
      <c r="AH177" s="100" t="str">
        <f t="shared" si="97"/>
        <v>"%USERPROFILE%\Documents\GitHub\eaglep3\Utilities\RefineRTDCRunTimes.py" --tripid 819-19 --locoid 4040 --swversion DE.1.0.7.0 --startMP 204:1058 --initTime 2016-09-19T12:11:01 --startdatetime 2016-09-19T12:21:30 --delay 1 --endMP 300:58997 --enddatetime 2016-09-19T12:36:41 --enforcementcount 0 &gt;&gt;C:\Users\stu\Documents\GitHub\eaglep3-reporting\EC\2016-09-19-refined-times.txt</v>
      </c>
      <c r="AI177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{"issue":{"subject":"","project_id":79,"tracker_id":40,"status_id":1,"priority_id":2,"assigned_to_id":23,"start_date":"2016-09-19","description":"","custom_fields":[{"id":1,"name":"Subdivision","value":"NW"},{"id":4,"name":"Milepost","value":"5.8997"},{"id":17,"name":"Train ID","value":"819-19"},{"id":16,"name":"Locomotive ID","value":"4040"},{"id":130,"name":"Impact","value":""},{"id":150,"name":"Time of Event (Mountain Time)","value":"12:36:41"},{"id":151,"name":"Denver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475</v>
      </c>
      <c r="B178" s="7">
        <v>4039</v>
      </c>
      <c r="C178" s="24" t="s">
        <v>106</v>
      </c>
      <c r="D178" s="24" t="s">
        <v>706</v>
      </c>
      <c r="E178" s="15">
        <v>42632.526828703703</v>
      </c>
      <c r="F178" s="15">
        <v>42632.528738425928</v>
      </c>
      <c r="G178" s="7">
        <v>1</v>
      </c>
      <c r="H178" s="15" t="s">
        <v>707</v>
      </c>
      <c r="I178" s="15">
        <v>42632.539409722223</v>
      </c>
      <c r="J178" s="7">
        <v>0</v>
      </c>
      <c r="K178" s="121" t="str">
        <f t="shared" si="82"/>
        <v>4039/4040</v>
      </c>
      <c r="L178" s="24" t="str">
        <f>VLOOKUP(A178,'Trips&amp;Operators'!$C$1:$E$10000,3,FALSE)</f>
        <v>ROBINSON</v>
      </c>
      <c r="M178" s="6">
        <f t="shared" si="83"/>
        <v>1.0671296295186039E-2</v>
      </c>
      <c r="N178" s="7">
        <f t="shared" si="84"/>
        <v>15.366666665067896</v>
      </c>
      <c r="O178" s="7"/>
      <c r="P178" s="7"/>
      <c r="Q178" s="25"/>
      <c r="R178" s="25"/>
      <c r="S178" s="37">
        <f t="shared" si="85"/>
        <v>1</v>
      </c>
      <c r="T178" s="52" t="str">
        <f t="shared" si="86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11:38:38-0600',mode:absolute,to:'2016-09-19 13:56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78" s="54" t="str">
        <f t="shared" si="88"/>
        <v>N</v>
      </c>
      <c r="X178" s="168">
        <f t="shared" si="89"/>
        <v>1</v>
      </c>
      <c r="Y178" s="69">
        <f t="shared" si="90"/>
        <v>5.8677000000000001</v>
      </c>
      <c r="Z178" s="69">
        <f t="shared" si="91"/>
        <v>6.8699999999999997E-2</v>
      </c>
      <c r="AA178" s="69">
        <f t="shared" si="92"/>
        <v>5.7990000000000004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93"/>
        <v>0820-19</v>
      </c>
      <c r="AE178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78" s="96" t="str">
        <f t="shared" si="95"/>
        <v>"C:\Program Files (x86)\AstroGrep\AstroGrep.exe" /spath="%USERPROFILE%\AppData\Local\Temp\OnboardLogs" /stypes="app*4039*20160919*" /stext=" 18:.+((SYSTEM_STATE.+slice.+state.+changed )|(ment ac)|(system.+state.+changed )|(\|lc)|(penalty)|(\[timeout)|(PRM\|1\|D)|(kpr)|(kdp))" /e /r /s</v>
      </c>
      <c r="AG178" s="1" t="str">
        <f t="shared" si="96"/>
        <v>NW</v>
      </c>
      <c r="AH178" s="100" t="str">
        <f t="shared" si="97"/>
        <v>"%USERPROFILE%\Documents\GitHub\eaglep3\Utilities\RefineRTDCRunTimes.py" --tripid 820-19 --locoid 4039 --swversion DE.1.0.7.0 --startMP 300:58677 --initTime 2016-09-19T12:38:38 --startdatetime 2016-09-19T12:41:23 --delay 1 --endMP 204:687 --enddatetime 2016-09-19T12:56:45 --enforcementcount 0 &gt;&gt;C:\Users\stu\Documents\GitHub\eaglep3-reporting\EC\2016-09-19-refined-times.txt</v>
      </c>
      <c r="AI178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{"issue":{"subject":"","project_id":79,"tracker_id":40,"status_id":1,"priority_id":2,"assigned_to_id":23,"start_date":"2016-09-19","description":"","custom_fields":[{"id":1,"name":"Subdivision","value":"NW"},{"id":4,"name":"Milepost","value":"0.0687"},{"id":17,"name":"Train ID","value":"820-19"},{"id":16,"name":"Locomotive ID","value":"4039"},{"id":130,"name":"Impact","value":""},{"id":150,"name":"Time of Event (Mountain Time)","value":"12:56:45"},{"id":151,"name":"Denver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481</v>
      </c>
      <c r="B179" s="7">
        <v>4040</v>
      </c>
      <c r="C179" s="24" t="s">
        <v>106</v>
      </c>
      <c r="D179" s="24" t="s">
        <v>708</v>
      </c>
      <c r="E179" s="15">
        <v>42632.547488425924</v>
      </c>
      <c r="F179" s="15">
        <v>42632.556446759256</v>
      </c>
      <c r="G179" s="7">
        <v>2</v>
      </c>
      <c r="H179" s="15" t="s">
        <v>709</v>
      </c>
      <c r="I179" s="15">
        <v>42632.565787037034</v>
      </c>
      <c r="J179" s="7">
        <v>0</v>
      </c>
      <c r="K179" s="121" t="str">
        <f t="shared" si="82"/>
        <v>4039/4040</v>
      </c>
      <c r="L179" s="24" t="str">
        <f>VLOOKUP(A179,'Trips&amp;Operators'!$C$1:$E$10000,3,FALSE)</f>
        <v>BRUDER</v>
      </c>
      <c r="M179" s="6">
        <f t="shared" si="83"/>
        <v>9.340277778392192E-3</v>
      </c>
      <c r="N179" s="7">
        <f t="shared" si="84"/>
        <v>13.450000000884756</v>
      </c>
      <c r="O179" s="7"/>
      <c r="P179" s="7"/>
      <c r="Q179" s="25"/>
      <c r="R179" s="25"/>
      <c r="S179" s="37">
        <f t="shared" si="85"/>
        <v>1</v>
      </c>
      <c r="T179" s="52" t="str">
        <f t="shared" si="86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12:08:23-0600',mode:absolute,to:'2016-09-19 14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79" s="54" t="str">
        <f t="shared" si="88"/>
        <v>N</v>
      </c>
      <c r="X179" s="168">
        <f t="shared" si="89"/>
        <v>1</v>
      </c>
      <c r="Y179" s="69">
        <f t="shared" si="90"/>
        <v>9.7799999999999998E-2</v>
      </c>
      <c r="Z179" s="69">
        <f t="shared" si="91"/>
        <v>5.8975</v>
      </c>
      <c r="AA179" s="69">
        <f t="shared" si="92"/>
        <v>5.7996999999999996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93"/>
        <v>0821-19</v>
      </c>
      <c r="AE179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79" s="96" t="str">
        <f t="shared" si="95"/>
        <v>"C:\Program Files (x86)\AstroGrep\AstroGrep.exe" /spath="%USERPROFILE%\AppData\Local\Temp\OnboardLogs" /stypes="app*4040*20160919*" /stext=" 19:.+((SYSTEM_STATE.+slice.+state.+changed )|(ment ac)|(system.+state.+changed )|(\|lc)|(penalty)|(\[timeout)|(PRM\|1\|D)|(kpr)|(kdp))" /e /r /s</v>
      </c>
      <c r="AG179" s="1" t="str">
        <f t="shared" si="96"/>
        <v>NW</v>
      </c>
      <c r="AH179" s="100" t="str">
        <f t="shared" si="97"/>
        <v>"%USERPROFILE%\Documents\GitHub\eaglep3\Utilities\RefineRTDCRunTimes.py" --tripid 821-19 --locoid 4040 --swversion DE.1.0.7.0 --startMP 204:978 --initTime 2016-09-19T13:08:23 --startdatetime 2016-09-19T13:21:17 --delay 2 --endMP 300:58975 --enddatetime 2016-09-19T13:34:44 --enforcementcount 0 &gt;&gt;C:\Users\stu\Documents\GitHub\eaglep3-reporting\EC\2016-09-19-refined-times.txt</v>
      </c>
      <c r="AI179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{"issue":{"subject":"","project_id":79,"tracker_id":40,"status_id":1,"priority_id":2,"assigned_to_id":23,"start_date":"2016-09-19","description":"","custom_fields":[{"id":1,"name":"Subdivision","value":"NW"},{"id":4,"name":"Milepost","value":"5.8975"},{"id":17,"name":"Train ID","value":"821-19"},{"id":16,"name":"Locomotive ID","value":"4040"},{"id":130,"name":"Impact","value":""},{"id":150,"name":"Time of Event (Mountain Time)","value":"13:34:44"},{"id":151,"name":"Denver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485</v>
      </c>
      <c r="B180" s="7">
        <v>4039</v>
      </c>
      <c r="C180" s="24" t="s">
        <v>106</v>
      </c>
      <c r="D180" s="24" t="s">
        <v>710</v>
      </c>
      <c r="E180" s="15">
        <v>42632.567303240743</v>
      </c>
      <c r="F180" s="15">
        <v>42632.569097222222</v>
      </c>
      <c r="G180" s="7">
        <v>1</v>
      </c>
      <c r="H180" s="15" t="s">
        <v>348</v>
      </c>
      <c r="I180" s="15">
        <v>42632.580995370372</v>
      </c>
      <c r="J180" s="7">
        <v>0</v>
      </c>
      <c r="K180" s="121" t="str">
        <f t="shared" si="82"/>
        <v>4039/4040</v>
      </c>
      <c r="L180" s="24" t="str">
        <f>VLOOKUP(A180,'Trips&amp;Operators'!$C$1:$E$10000,3,FALSE)</f>
        <v>BRUDER</v>
      </c>
      <c r="M180" s="6">
        <f t="shared" si="83"/>
        <v>1.1898148150066845E-2</v>
      </c>
      <c r="N180" s="7">
        <f t="shared" si="84"/>
        <v>17.133333336096257</v>
      </c>
      <c r="O180" s="7"/>
      <c r="P180" s="7"/>
      <c r="Q180" s="25"/>
      <c r="R180" s="25"/>
      <c r="S180" s="37">
        <f t="shared" si="85"/>
        <v>1</v>
      </c>
      <c r="T180" s="52" t="str">
        <f t="shared" si="86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12:36:55-0600',mode:absolute,to:'2016-09-19 14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0" s="54" t="str">
        <f t="shared" si="88"/>
        <v>N</v>
      </c>
      <c r="X180" s="168">
        <f t="shared" si="89"/>
        <v>1</v>
      </c>
      <c r="Y180" s="69">
        <f t="shared" si="90"/>
        <v>5.8655999999999997</v>
      </c>
      <c r="Z180" s="69">
        <f t="shared" si="91"/>
        <v>1.29E-2</v>
      </c>
      <c r="AA180" s="69">
        <f t="shared" si="92"/>
        <v>5.8526999999999996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93"/>
        <v>0822-19</v>
      </c>
      <c r="AE180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80" s="96" t="str">
        <f t="shared" si="95"/>
        <v>"C:\Program Files (x86)\AstroGrep\AstroGrep.exe" /spath="%USERPROFILE%\AppData\Local\Temp\OnboardLogs" /stypes="app*4039*20160919*" /stext=" 19:.+((SYSTEM_STATE.+slice.+state.+changed )|(ment ac)|(system.+state.+changed )|(\|lc)|(penalty)|(\[timeout)|(PRM\|1\|D)|(kpr)|(kdp))" /e /r /s</v>
      </c>
      <c r="AG180" s="1" t="str">
        <f t="shared" si="96"/>
        <v>NW</v>
      </c>
      <c r="AH180" s="100" t="str">
        <f t="shared" si="97"/>
        <v>"%USERPROFILE%\Documents\GitHub\eaglep3\Utilities\RefineRTDCRunTimes.py" --tripid 822-19 --locoid 4039 --swversion DE.1.0.7.0 --startMP 300:58656 --initTime 2016-09-19T13:36:55 --startdatetime 2016-09-19T13:39:30 --delay 1 --endMP 204:129 --enddatetime 2016-09-19T13:56:38 --enforcementcount 0 &gt;&gt;C:\Users\stu\Documents\GitHub\eaglep3-reporting\EC\2016-09-19-refined-times.txt</v>
      </c>
      <c r="AI180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{"issue":{"subject":"","project_id":79,"tracker_id":40,"status_id":1,"priority_id":2,"assigned_to_id":23,"start_date":"2016-09-19","description":"","custom_fields":[{"id":1,"name":"Subdivision","value":"NW"},{"id":4,"name":"Milepost","value":"0.0129"},{"id":17,"name":"Train ID","value":"822-19"},{"id":16,"name":"Locomotive ID","value":"4039"},{"id":130,"name":"Impact","value":""},{"id":150,"name":"Time of Event (Mountain Time)","value":"13:56:38"},{"id":151,"name":"Denver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495</v>
      </c>
      <c r="B181" s="7">
        <v>4040</v>
      </c>
      <c r="C181" s="24" t="s">
        <v>106</v>
      </c>
      <c r="D181" s="24" t="s">
        <v>711</v>
      </c>
      <c r="E181" s="15">
        <v>42632.592928240738</v>
      </c>
      <c r="F181" s="15">
        <v>42632.598333333335</v>
      </c>
      <c r="G181" s="7">
        <v>1</v>
      </c>
      <c r="H181" s="15" t="s">
        <v>712</v>
      </c>
      <c r="I181" s="15">
        <v>42632.608124999999</v>
      </c>
      <c r="J181" s="7">
        <v>0</v>
      </c>
      <c r="K181" s="121" t="str">
        <f t="shared" si="82"/>
        <v>4039/4040</v>
      </c>
      <c r="L181" s="24" t="str">
        <f>VLOOKUP(A181,'Trips&amp;Operators'!$C$1:$E$10000,3,FALSE)</f>
        <v>BRUDER</v>
      </c>
      <c r="M181" s="6">
        <f t="shared" si="83"/>
        <v>9.7916666636592709E-3</v>
      </c>
      <c r="N181" s="7">
        <f t="shared" si="84"/>
        <v>14.09999999566935</v>
      </c>
      <c r="O181" s="7"/>
      <c r="P181" s="7"/>
      <c r="Q181" s="25"/>
      <c r="R181" s="25"/>
      <c r="S181" s="37">
        <f t="shared" si="85"/>
        <v>1</v>
      </c>
      <c r="T181" s="52" t="str">
        <f t="shared" si="86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13:13:49-0600',mode:absolute,to:'2016-09-19 15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81" s="54" t="str">
        <f t="shared" si="88"/>
        <v>N</v>
      </c>
      <c r="X181" s="168">
        <f t="shared" si="89"/>
        <v>1</v>
      </c>
      <c r="Y181" s="69">
        <f t="shared" si="90"/>
        <v>4.2799999999999998E-2</v>
      </c>
      <c r="Z181" s="69">
        <f t="shared" si="91"/>
        <v>5.8971</v>
      </c>
      <c r="AA181" s="69">
        <f t="shared" si="92"/>
        <v>5.8543000000000003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93"/>
        <v>0823-19</v>
      </c>
      <c r="AE181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81" s="96" t="str">
        <f t="shared" si="95"/>
        <v>"C:\Program Files (x86)\AstroGrep\AstroGrep.exe" /spath="%USERPROFILE%\AppData\Local\Temp\OnboardLogs" /stypes="app*4040*20160919*" /stext=" 20:.+((SYSTEM_STATE.+slice.+state.+changed )|(ment ac)|(system.+state.+changed )|(\|lc)|(penalty)|(\[timeout)|(PRM\|1\|D)|(kpr)|(kdp))" /e /r /s</v>
      </c>
      <c r="AG181" s="1" t="str">
        <f t="shared" si="96"/>
        <v>NW</v>
      </c>
      <c r="AH181" s="100" t="str">
        <f t="shared" si="97"/>
        <v>"%USERPROFILE%\Documents\GitHub\eaglep3\Utilities\RefineRTDCRunTimes.py" --tripid 823-19 --locoid 4040 --swversion DE.1.0.7.0 --startMP 204:428 --initTime 2016-09-19T14:13:49 --startdatetime 2016-09-19T14:21:36 --delay 1 --endMP 300:58971 --enddatetime 2016-09-19T14:35:42 --enforcementcount 0 &gt;&gt;C:\Users\stu\Documents\GitHub\eaglep3-reporting\EC\2016-09-19-refined-times.txt</v>
      </c>
      <c r="AI181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{"issue":{"subject":"","project_id":79,"tracker_id":40,"status_id":1,"priority_id":2,"assigned_to_id":23,"start_date":"2016-09-19","description":"","custom_fields":[{"id":1,"name":"Subdivision","value":"NW"},{"id":4,"name":"Milepost","value":"5.8971"},{"id":17,"name":"Train ID","value":"823-19"},{"id":16,"name":"Locomotive ID","value":"4040"},{"id":130,"name":"Impact","value":""},{"id":150,"name":"Time of Event (Mountain Time)","value":"14:35:42"},{"id":151,"name":"Denver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499</v>
      </c>
      <c r="B182" s="7">
        <v>4039</v>
      </c>
      <c r="C182" s="24" t="s">
        <v>106</v>
      </c>
      <c r="D182" s="24" t="s">
        <v>713</v>
      </c>
      <c r="E182" s="15">
        <v>42632.609386574077</v>
      </c>
      <c r="F182" s="15">
        <v>42632.611828703702</v>
      </c>
      <c r="G182" s="7">
        <v>1</v>
      </c>
      <c r="H182" s="15" t="s">
        <v>348</v>
      </c>
      <c r="I182" s="15">
        <v>42632.622141203705</v>
      </c>
      <c r="J182" s="7">
        <v>0</v>
      </c>
      <c r="K182" s="121" t="str">
        <f t="shared" si="82"/>
        <v>4039/4040</v>
      </c>
      <c r="L182" s="24" t="str">
        <f>VLOOKUP(A182,'Trips&amp;Operators'!$C$1:$E$10000,3,FALSE)</f>
        <v>BRUDER</v>
      </c>
      <c r="M182" s="6">
        <f t="shared" si="83"/>
        <v>1.0312500002328306E-2</v>
      </c>
      <c r="N182" s="7">
        <f t="shared" si="84"/>
        <v>14.850000003352761</v>
      </c>
      <c r="O182" s="7"/>
      <c r="P182" s="7"/>
      <c r="Q182" s="25"/>
      <c r="R182" s="25"/>
      <c r="S182" s="37">
        <f t="shared" si="85"/>
        <v>1</v>
      </c>
      <c r="T182" s="52" t="str">
        <f t="shared" si="86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13:37:31-0600',mode:absolute,to:'2016-09-19 15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2" s="54" t="str">
        <f t="shared" si="88"/>
        <v>N</v>
      </c>
      <c r="X182" s="168">
        <f t="shared" si="89"/>
        <v>1</v>
      </c>
      <c r="Y182" s="69">
        <f t="shared" si="90"/>
        <v>5.8647</v>
      </c>
      <c r="Z182" s="69">
        <f t="shared" si="91"/>
        <v>1.29E-2</v>
      </c>
      <c r="AA182" s="69">
        <f t="shared" si="92"/>
        <v>5.8517999999999999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93"/>
        <v>0824-19</v>
      </c>
      <c r="AE182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82" s="96" t="str">
        <f t="shared" si="95"/>
        <v>"C:\Program Files (x86)\AstroGrep\AstroGrep.exe" /spath="%USERPROFILE%\AppData\Local\Temp\OnboardLogs" /stypes="app*4039*20160919*" /stext=" 20:.+((SYSTEM_STATE.+slice.+state.+changed )|(ment ac)|(system.+state.+changed )|(\|lc)|(penalty)|(\[timeout)|(PRM\|1\|D)|(kpr)|(kdp))" /e /r /s</v>
      </c>
      <c r="AG182" s="1" t="str">
        <f t="shared" si="96"/>
        <v>NW</v>
      </c>
      <c r="AH182" s="100" t="str">
        <f t="shared" si="97"/>
        <v>"%USERPROFILE%\Documents\GitHub\eaglep3\Utilities\RefineRTDCRunTimes.py" --tripid 824-19 --locoid 4039 --swversion DE.1.0.7.0 --startMP 300:58647 --initTime 2016-09-19T14:37:31 --startdatetime 2016-09-19T14:41:02 --delay 1 --endMP 204:129 --enddatetime 2016-09-19T14:55:53 --enforcementcount 0 &gt;&gt;C:\Users\stu\Documents\GitHub\eaglep3-reporting\EC\2016-09-19-refined-times.txt</v>
      </c>
      <c r="AI182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{"issue":{"subject":"","project_id":79,"tracker_id":40,"status_id":1,"priority_id":2,"assigned_to_id":23,"start_date":"2016-09-19","description":"","custom_fields":[{"id":1,"name":"Subdivision","value":"NW"},{"id":4,"name":"Milepost","value":"0.0129"},{"id":17,"name":"Train ID","value":"824-19"},{"id":16,"name":"Locomotive ID","value":"4039"},{"id":130,"name":"Impact","value":""},{"id":150,"name":"Time of Event (Mountain Time)","value":"14:55:53"},{"id":151,"name":"Denver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506</v>
      </c>
      <c r="B183" s="7">
        <v>4040</v>
      </c>
      <c r="C183" s="24" t="s">
        <v>106</v>
      </c>
      <c r="D183" s="24" t="s">
        <v>362</v>
      </c>
      <c r="E183" s="15">
        <v>42632.635509259257</v>
      </c>
      <c r="F183" s="15">
        <v>42632.640034722222</v>
      </c>
      <c r="G183" s="7">
        <v>2</v>
      </c>
      <c r="H183" s="15" t="s">
        <v>714</v>
      </c>
      <c r="I183" s="15">
        <v>42632.649895833332</v>
      </c>
      <c r="J183" s="7">
        <v>0</v>
      </c>
      <c r="K183" s="121" t="str">
        <f t="shared" si="82"/>
        <v>4039/4040</v>
      </c>
      <c r="L183" s="24" t="str">
        <f>VLOOKUP(A183,'Trips&amp;Operators'!$C$1:$E$10000,3,FALSE)</f>
        <v>BRUDER</v>
      </c>
      <c r="M183" s="6">
        <f t="shared" si="83"/>
        <v>9.8611111097852699E-3</v>
      </c>
      <c r="N183" s="7">
        <f t="shared" si="84"/>
        <v>14.199999998090789</v>
      </c>
      <c r="O183" s="7"/>
      <c r="P183" s="7"/>
      <c r="Q183" s="25"/>
      <c r="R183" s="25"/>
      <c r="S183" s="37">
        <f t="shared" si="85"/>
        <v>1</v>
      </c>
      <c r="T183" s="52" t="str">
        <f t="shared" si="86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14:15:08-0600',mode:absolute,to:'2016-09-19 16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83" s="54" t="str">
        <f t="shared" si="88"/>
        <v>N</v>
      </c>
      <c r="X183" s="168">
        <f t="shared" si="89"/>
        <v>1</v>
      </c>
      <c r="Y183" s="69">
        <f t="shared" si="90"/>
        <v>4.3499999999999997E-2</v>
      </c>
      <c r="Z183" s="69">
        <f t="shared" si="91"/>
        <v>5.8954000000000004</v>
      </c>
      <c r="AA183" s="69">
        <f t="shared" si="92"/>
        <v>5.8519000000000005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93"/>
        <v>0825-19</v>
      </c>
      <c r="AE183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83" s="96" t="str">
        <f t="shared" si="95"/>
        <v>"C:\Program Files (x86)\AstroGrep\AstroGrep.exe" /spath="%USERPROFILE%\AppData\Local\Temp\OnboardLogs" /stypes="app*4040*20160919*" /stext=" 21:.+((SYSTEM_STATE.+slice.+state.+changed )|(ment ac)|(system.+state.+changed )|(\|lc)|(penalty)|(\[timeout)|(PRM\|1\|D)|(kpr)|(kdp))" /e /r /s</v>
      </c>
      <c r="AG183" s="1" t="str">
        <f t="shared" si="96"/>
        <v>NW</v>
      </c>
      <c r="AH183" s="100" t="str">
        <f t="shared" si="97"/>
        <v>"%USERPROFILE%\Documents\GitHub\eaglep3\Utilities\RefineRTDCRunTimes.py" --tripid 825-19 --locoid 4040 --swversion DE.1.0.7.0 --startMP 204:435 --initTime 2016-09-19T15:15:08 --startdatetime 2016-09-19T15:21:39 --delay 2 --endMP 300:58954 --enddatetime 2016-09-19T15:35:51 --enforcementcount 0 &gt;&gt;C:\Users\stu\Documents\GitHub\eaglep3-reporting\EC\2016-09-19-refined-times.txt</v>
      </c>
      <c r="AI183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{"issue":{"subject":"","project_id":79,"tracker_id":40,"status_id":1,"priority_id":2,"assigned_to_id":23,"start_date":"2016-09-19","description":"","custom_fields":[{"id":1,"name":"Subdivision","value":"NW"},{"id":4,"name":"Milepost","value":"5.8954"},{"id":17,"name":"Train ID","value":"825-19"},{"id":16,"name":"Locomotive ID","value":"4040"},{"id":130,"name":"Impact","value":""},{"id":150,"name":"Time of Event (Mountain Time)","value":"15:35:51"},{"id":151,"name":"Denver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512</v>
      </c>
      <c r="B184" s="7">
        <v>4039</v>
      </c>
      <c r="C184" s="24" t="s">
        <v>106</v>
      </c>
      <c r="D184" s="24" t="s">
        <v>715</v>
      </c>
      <c r="E184" s="15">
        <v>42632.651053240741</v>
      </c>
      <c r="F184" s="15">
        <v>42632.652731481481</v>
      </c>
      <c r="G184" s="7">
        <v>1</v>
      </c>
      <c r="H184" s="15" t="s">
        <v>679</v>
      </c>
      <c r="I184" s="15">
        <v>42632.663773148146</v>
      </c>
      <c r="J184" s="7">
        <v>0</v>
      </c>
      <c r="K184" s="121" t="str">
        <f t="shared" si="82"/>
        <v>4039/4040</v>
      </c>
      <c r="L184" s="24" t="str">
        <f>VLOOKUP(A184,'Trips&amp;Operators'!$C$1:$E$10000,3,FALSE)</f>
        <v>BRUDER</v>
      </c>
      <c r="M184" s="6">
        <f t="shared" si="83"/>
        <v>1.1041666664823424E-2</v>
      </c>
      <c r="N184" s="7">
        <f t="shared" si="84"/>
        <v>15.899999997345731</v>
      </c>
      <c r="O184" s="7"/>
      <c r="P184" s="7"/>
      <c r="Q184" s="25"/>
      <c r="R184" s="25"/>
      <c r="S184" s="37">
        <f t="shared" si="85"/>
        <v>1</v>
      </c>
      <c r="T184" s="52" t="str">
        <f t="shared" si="86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14:37:31-0600',mode:absolute,to:'2016-09-19 16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4" s="54" t="str">
        <f t="shared" si="88"/>
        <v>N</v>
      </c>
      <c r="X184" s="168">
        <f t="shared" si="89"/>
        <v>1</v>
      </c>
      <c r="Y184" s="69">
        <f t="shared" si="90"/>
        <v>5.8639999999999999</v>
      </c>
      <c r="Z184" s="69">
        <f t="shared" si="91"/>
        <v>6.9099999999999995E-2</v>
      </c>
      <c r="AA184" s="69">
        <f t="shared" si="92"/>
        <v>5.7949000000000002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93"/>
        <v>0826-19</v>
      </c>
      <c r="AE184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84" s="96" t="str">
        <f t="shared" si="95"/>
        <v>"C:\Program Files (x86)\AstroGrep\AstroGrep.exe" /spath="%USERPROFILE%\AppData\Local\Temp\OnboardLogs" /stypes="app*4039*20160919*" /stext=" 21:.+((SYSTEM_STATE.+slice.+state.+changed )|(ment ac)|(system.+state.+changed )|(\|lc)|(penalty)|(\[timeout)|(PRM\|1\|D)|(kpr)|(kdp))" /e /r /s</v>
      </c>
      <c r="AG184" s="1" t="str">
        <f t="shared" si="96"/>
        <v>NW</v>
      </c>
      <c r="AH184" s="100" t="str">
        <f t="shared" si="97"/>
        <v>"%USERPROFILE%\Documents\GitHub\eaglep3\Utilities\RefineRTDCRunTimes.py" --tripid 826-19 --locoid 4039 --swversion DE.1.0.7.0 --startMP 300:58640 --initTime 2016-09-19T15:37:31 --startdatetime 2016-09-19T15:39:56 --delay 1 --endMP 204:691 --enddatetime 2016-09-19T15:55:50 --enforcementcount 0 &gt;&gt;C:\Users\stu\Documents\GitHub\eaglep3-reporting\EC\2016-09-19-refined-times.txt</v>
      </c>
      <c r="AI184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{"issue":{"subject":"","project_id":79,"tracker_id":40,"status_id":1,"priority_id":2,"assigned_to_id":23,"start_date":"2016-09-19","description":"","custom_fields":[{"id":1,"name":"Subdivision","value":"NW"},{"id":4,"name":"Milepost","value":"0.0691"},{"id":17,"name":"Train ID","value":"826-19"},{"id":16,"name":"Locomotive ID","value":"4039"},{"id":130,"name":"Impact","value":""},{"id":150,"name":"Time of Event (Mountain Time)","value":"15:55:50"},{"id":151,"name":"Denver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514</v>
      </c>
      <c r="B185" s="7">
        <v>4003</v>
      </c>
      <c r="C185" s="24" t="s">
        <v>106</v>
      </c>
      <c r="D185" s="24" t="s">
        <v>716</v>
      </c>
      <c r="E185" s="15">
        <v>42632.658136574071</v>
      </c>
      <c r="F185" s="15">
        <v>42632.660636574074</v>
      </c>
      <c r="G185" s="7">
        <v>1</v>
      </c>
      <c r="H185" s="15" t="s">
        <v>717</v>
      </c>
      <c r="I185" s="15">
        <v>42632.670960648145</v>
      </c>
      <c r="J185" s="7">
        <v>0</v>
      </c>
      <c r="K185" s="121" t="str">
        <f t="shared" si="82"/>
        <v>4003/4004</v>
      </c>
      <c r="L185" s="24" t="str">
        <f>VLOOKUP(A185,'Trips&amp;Operators'!$C$1:$E$10000,3,FALSE)</f>
        <v>COOLAHAN</v>
      </c>
      <c r="M185" s="6">
        <f t="shared" si="83"/>
        <v>1.0324074071832001E-2</v>
      </c>
      <c r="N185" s="7">
        <f t="shared" si="84"/>
        <v>14.866666663438082</v>
      </c>
      <c r="O185" s="7"/>
      <c r="P185" s="7"/>
      <c r="Q185" s="25"/>
      <c r="R185" s="25"/>
      <c r="S185" s="37">
        <f t="shared" si="85"/>
        <v>1</v>
      </c>
      <c r="T185" s="52" t="str">
        <f t="shared" si="86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14:47:43-0600',mode:absolute,to:'2016-09-19 17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5" s="54" t="str">
        <f t="shared" si="88"/>
        <v>N</v>
      </c>
      <c r="X185" s="168">
        <f t="shared" si="89"/>
        <v>1</v>
      </c>
      <c r="Y185" s="69">
        <f t="shared" si="90"/>
        <v>9.1999999999999998E-2</v>
      </c>
      <c r="Z185" s="69">
        <f t="shared" si="91"/>
        <v>5.8958000000000004</v>
      </c>
      <c r="AA185" s="69">
        <f t="shared" si="92"/>
        <v>5.8038000000000007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93"/>
        <v>0827-19</v>
      </c>
      <c r="AE185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85" s="96" t="str">
        <f t="shared" si="95"/>
        <v>"C:\Program Files (x86)\AstroGrep\AstroGrep.exe" /spath="%USERPROFILE%\AppData\Local\Temp\OnboardLogs" /stypes="app*4003*20160919*" /stext=" 22:.+((SYSTEM_STATE.+slice.+state.+changed )|(ment ac)|(system.+state.+changed )|(\|lc)|(penalty)|(\[timeout)|(PRM\|1\|D)|(kpr)|(kdp))" /e /r /s</v>
      </c>
      <c r="AG185" s="1" t="str">
        <f t="shared" si="96"/>
        <v>NW</v>
      </c>
      <c r="AH185" s="100" t="str">
        <f t="shared" si="97"/>
        <v>"%USERPROFILE%\Documents\GitHub\eaglep3\Utilities\RefineRTDCRunTimes.py" --tripid 827-19 --locoid 4003 --swversion DE.1.0.7.0 --startMP 204:920 --initTime 2016-09-19T15:47:43 --startdatetime 2016-09-19T15:51:19 --delay 1 --endMP 300:58958 --enddatetime 2016-09-19T16:06:11 --enforcementcount 0 &gt;&gt;C:\Users\stu\Documents\GitHub\eaglep3-reporting\EC\2016-09-19-refined-times.txt</v>
      </c>
      <c r="AI185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{"issue":{"subject":"","project_id":79,"tracker_id":40,"status_id":1,"priority_id":2,"assigned_to_id":23,"start_date":"2016-09-19","description":"","custom_fields":[{"id":1,"name":"Subdivision","value":"NW"},{"id":4,"name":"Milepost","value":"5.8958"},{"id":17,"name":"Train ID","value":"827-19"},{"id":16,"name":"Locomotive ID","value":"4003"},{"id":130,"name":"Impact","value":""},{"id":150,"name":"Time of Event (Mountain Time)","value":"16:06:11"},{"id":151,"name":"Denver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517</v>
      </c>
      <c r="B186" s="7">
        <v>4004</v>
      </c>
      <c r="C186" s="24" t="s">
        <v>106</v>
      </c>
      <c r="D186" s="24" t="s">
        <v>718</v>
      </c>
      <c r="E186" s="15">
        <v>42632.671967592592</v>
      </c>
      <c r="F186" s="15">
        <v>42632.673518518517</v>
      </c>
      <c r="G186" s="7">
        <v>1</v>
      </c>
      <c r="H186" s="15" t="s">
        <v>719</v>
      </c>
      <c r="I186" s="15">
        <v>42632.684814814813</v>
      </c>
      <c r="J186" s="7">
        <v>0</v>
      </c>
      <c r="K186" s="121" t="str">
        <f t="shared" si="82"/>
        <v>4003/4004</v>
      </c>
      <c r="L186" s="24" t="str">
        <f>VLOOKUP(A186,'Trips&amp;Operators'!$C$1:$E$10000,3,FALSE)</f>
        <v>COOLAHAN</v>
      </c>
      <c r="M186" s="6">
        <f t="shared" si="83"/>
        <v>1.1296296295768116E-2</v>
      </c>
      <c r="N186" s="7">
        <f t="shared" si="84"/>
        <v>16.266666665906087</v>
      </c>
      <c r="O186" s="7"/>
      <c r="P186" s="7"/>
      <c r="Q186" s="25"/>
      <c r="R186" s="25"/>
      <c r="S186" s="37">
        <f t="shared" si="85"/>
        <v>1</v>
      </c>
      <c r="T186" s="52" t="str">
        <f t="shared" si="86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15:07:38-0600',mode:absolute,to:'2016-09-19 17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86" s="54" t="str">
        <f t="shared" si="88"/>
        <v>N</v>
      </c>
      <c r="X186" s="168">
        <f t="shared" si="89"/>
        <v>1</v>
      </c>
      <c r="Y186" s="69">
        <f t="shared" si="90"/>
        <v>5.8653000000000004</v>
      </c>
      <c r="Z186" s="69">
        <f t="shared" si="91"/>
        <v>6.4299999999999996E-2</v>
      </c>
      <c r="AA186" s="69">
        <f t="shared" si="92"/>
        <v>5.8010000000000002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93"/>
        <v>0828-19</v>
      </c>
      <c r="AE186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86" s="96" t="str">
        <f t="shared" si="95"/>
        <v>"C:\Program Files (x86)\AstroGrep\AstroGrep.exe" /spath="%USERPROFILE%\AppData\Local\Temp\OnboardLogs" /stypes="app*4004*20160919*" /stext=" 22:.+((SYSTEM_STATE.+slice.+state.+changed )|(ment ac)|(system.+state.+changed )|(\|lc)|(penalty)|(\[timeout)|(PRM\|1\|D)|(kpr)|(kdp))" /e /r /s</v>
      </c>
      <c r="AG186" s="1" t="str">
        <f t="shared" si="96"/>
        <v>NW</v>
      </c>
      <c r="AH186" s="100" t="str">
        <f t="shared" si="97"/>
        <v>"%USERPROFILE%\Documents\GitHub\eaglep3\Utilities\RefineRTDCRunTimes.py" --tripid 828-19 --locoid 4004 --swversion DE.1.0.7.0 --startMP 300:58653 --initTime 2016-09-19T16:07:38 --startdatetime 2016-09-19T16:09:52 --delay 1 --endMP 204:643 --enddatetime 2016-09-19T16:26:08 --enforcementcount 0 &gt;&gt;C:\Users\stu\Documents\GitHub\eaglep3-reporting\EC\2016-09-19-refined-times.txt</v>
      </c>
      <c r="AI186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{"issue":{"subject":"","project_id":79,"tracker_id":40,"status_id":1,"priority_id":2,"assigned_to_id":23,"start_date":"2016-09-19","description":"","custom_fields":[{"id":1,"name":"Subdivision","value":"NW"},{"id":4,"name":"Milepost","value":"0.0643"},{"id":17,"name":"Train ID","value":"828-19"},{"id":16,"name":"Locomotive ID","value":"4004"},{"id":130,"name":"Impact","value":""},{"id":150,"name":"Time of Event (Mountain Time)","value":"16:26:08"},{"id":151,"name":"Denver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520</v>
      </c>
      <c r="B187" s="7">
        <v>4040</v>
      </c>
      <c r="C187" s="24" t="s">
        <v>106</v>
      </c>
      <c r="D187" s="24" t="s">
        <v>720</v>
      </c>
      <c r="E187" s="15">
        <v>42632.677916666667</v>
      </c>
      <c r="F187" s="15">
        <v>42632.681458333333</v>
      </c>
      <c r="G187" s="7">
        <v>1</v>
      </c>
      <c r="H187" s="15" t="s">
        <v>714</v>
      </c>
      <c r="I187" s="15">
        <v>42632.69121527778</v>
      </c>
      <c r="J187" s="7">
        <v>0</v>
      </c>
      <c r="K187" s="121" t="str">
        <f t="shared" si="82"/>
        <v>4039/4040</v>
      </c>
      <c r="L187" s="24" t="str">
        <f>VLOOKUP(A187,'Trips&amp;Operators'!$C$1:$E$10000,3,FALSE)</f>
        <v>BRUDER</v>
      </c>
      <c r="M187" s="6">
        <f t="shared" si="83"/>
        <v>9.7569444478722289E-3</v>
      </c>
      <c r="N187" s="7">
        <f t="shared" si="84"/>
        <v>14.05000000493601</v>
      </c>
      <c r="O187" s="7"/>
      <c r="P187" s="7"/>
      <c r="Q187" s="25"/>
      <c r="R187" s="25"/>
      <c r="S187" s="37">
        <f t="shared" si="85"/>
        <v>1</v>
      </c>
      <c r="T187" s="52" t="str">
        <f t="shared" si="86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15:16:12-0600',mode:absolute,to:'2016-09-19 17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87" s="54" t="str">
        <f t="shared" si="88"/>
        <v>N</v>
      </c>
      <c r="X187" s="168">
        <f t="shared" si="89"/>
        <v>1</v>
      </c>
      <c r="Y187" s="69">
        <f t="shared" si="90"/>
        <v>9.69E-2</v>
      </c>
      <c r="Z187" s="69">
        <f t="shared" si="91"/>
        <v>5.8954000000000004</v>
      </c>
      <c r="AA187" s="69">
        <f t="shared" si="92"/>
        <v>5.7985000000000007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93"/>
        <v>0829-19</v>
      </c>
      <c r="AE187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87" s="96" t="str">
        <f t="shared" si="95"/>
        <v>"C:\Program Files (x86)\AstroGrep\AstroGrep.exe" /spath="%USERPROFILE%\AppData\Local\Temp\OnboardLogs" /stypes="app*4040*20160919*" /stext=" 22:.+((SYSTEM_STATE.+slice.+state.+changed )|(ment ac)|(system.+state.+changed )|(\|lc)|(penalty)|(\[timeout)|(PRM\|1\|D)|(kpr)|(kdp))" /e /r /s</v>
      </c>
      <c r="AG187" s="1" t="str">
        <f t="shared" si="96"/>
        <v>NW</v>
      </c>
      <c r="AH187" s="100" t="str">
        <f t="shared" si="97"/>
        <v>"%USERPROFILE%\Documents\GitHub\eaglep3\Utilities\RefineRTDCRunTimes.py" --tripid 829-19 --locoid 4040 --swversion DE.1.0.7.0 --startMP 204:969 --initTime 2016-09-19T16:16:12 --startdatetime 2016-09-19T16:21:18 --delay 1 --endMP 300:58954 --enddatetime 2016-09-19T16:35:21 --enforcementcount 0 &gt;&gt;C:\Users\stu\Documents\GitHub\eaglep3-reporting\EC\2016-09-19-refined-times.txt</v>
      </c>
      <c r="AI187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{"issue":{"subject":"","project_id":79,"tracker_id":40,"status_id":1,"priority_id":2,"assigned_to_id":23,"start_date":"2016-09-19","description":"","custom_fields":[{"id":1,"name":"Subdivision","value":"NW"},{"id":4,"name":"Milepost","value":"5.8954"},{"id":17,"name":"Train ID","value":"829-19"},{"id":16,"name":"Locomotive ID","value":"4040"},{"id":130,"name":"Impact","value":""},{"id":150,"name":"Time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523</v>
      </c>
      <c r="B188" s="7">
        <v>4039</v>
      </c>
      <c r="C188" s="24" t="s">
        <v>106</v>
      </c>
      <c r="D188" s="24" t="s">
        <v>721</v>
      </c>
      <c r="E188" s="15">
        <v>42632.692430555559</v>
      </c>
      <c r="F188" s="15">
        <v>42632.694027777776</v>
      </c>
      <c r="G188" s="7">
        <v>1</v>
      </c>
      <c r="H188" s="15" t="s">
        <v>722</v>
      </c>
      <c r="I188" s="15">
        <v>42632.705289351848</v>
      </c>
      <c r="J188" s="7">
        <v>0</v>
      </c>
      <c r="K188" s="121" t="str">
        <f t="shared" si="82"/>
        <v>4039/4040</v>
      </c>
      <c r="L188" s="24" t="str">
        <f>VLOOKUP(A188,'Trips&amp;Operators'!$C$1:$E$10000,3,FALSE)</f>
        <v>BRUDER</v>
      </c>
      <c r="M188" s="6">
        <f t="shared" si="83"/>
        <v>1.1261574072705116E-2</v>
      </c>
      <c r="N188" s="7">
        <f t="shared" si="84"/>
        <v>16.216666664695367</v>
      </c>
      <c r="O188" s="7"/>
      <c r="P188" s="7"/>
      <c r="Q188" s="25"/>
      <c r="R188" s="25"/>
      <c r="S188" s="37">
        <f t="shared" si="85"/>
        <v>1</v>
      </c>
      <c r="T188" s="52" t="str">
        <f t="shared" si="86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15:37:06-0600',mode:absolute,to:'2016-09-19 17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8" s="54" t="str">
        <f t="shared" si="88"/>
        <v>N</v>
      </c>
      <c r="X188" s="168">
        <f t="shared" si="89"/>
        <v>1</v>
      </c>
      <c r="Y188" s="69">
        <f t="shared" si="90"/>
        <v>5.8640999999999996</v>
      </c>
      <c r="Z188" s="69">
        <f t="shared" si="91"/>
        <v>6.8000000000000005E-2</v>
      </c>
      <c r="AA188" s="69">
        <f t="shared" si="92"/>
        <v>5.7961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93"/>
        <v>0830-19</v>
      </c>
      <c r="AE188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88" s="96" t="str">
        <f t="shared" si="95"/>
        <v>"C:\Program Files (x86)\AstroGrep\AstroGrep.exe" /spath="%USERPROFILE%\AppData\Local\Temp\OnboardLogs" /stypes="app*4039*20160919*" /stext=" 22:.+((SYSTEM_STATE.+slice.+state.+changed )|(ment ac)|(system.+state.+changed )|(\|lc)|(penalty)|(\[timeout)|(PRM\|1\|D)|(kpr)|(kdp))" /e /r /s</v>
      </c>
      <c r="AG188" s="1" t="str">
        <f t="shared" si="96"/>
        <v>NW</v>
      </c>
      <c r="AH188" s="100" t="str">
        <f t="shared" si="97"/>
        <v>"%USERPROFILE%\Documents\GitHub\eaglep3\Utilities\RefineRTDCRunTimes.py" --tripid 830-19 --locoid 4039 --swversion DE.1.0.7.0 --startMP 300:58641 --initTime 2016-09-19T16:37:06 --startdatetime 2016-09-19T16:39:24 --delay 1 --endMP 204:680 --enddatetime 2016-09-19T16:55:37 --enforcementcount 0 &gt;&gt;C:\Users\stu\Documents\GitHub\eaglep3-reporting\EC\2016-09-19-refined-times.txt</v>
      </c>
      <c r="AI188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{"issue":{"subject":"","project_id":79,"tracker_id":40,"status_id":1,"priority_id":2,"assigned_to_id":23,"start_date":"2016-09-19","description":"","custom_fields":[{"id":1,"name":"Subdivision","value":"NW"},{"id":4,"name":"Milepost","value":"0.068"},{"id":17,"name":"Train ID","value":"830-19"},{"id":16,"name":"Locomotive ID","value":"4039"},{"id":130,"name":"Impact","value":""},{"id":150,"name":"Time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525</v>
      </c>
      <c r="B189" s="7">
        <v>4003</v>
      </c>
      <c r="C189" s="24" t="s">
        <v>106</v>
      </c>
      <c r="D189" s="24" t="s">
        <v>723</v>
      </c>
      <c r="E189" s="15">
        <v>42632.696759259263</v>
      </c>
      <c r="F189" s="15">
        <v>42632.702337962961</v>
      </c>
      <c r="G189" s="7">
        <v>2</v>
      </c>
      <c r="H189" s="15" t="s">
        <v>258</v>
      </c>
      <c r="I189" s="15">
        <v>42632.717777777776</v>
      </c>
      <c r="J189" s="7">
        <v>0</v>
      </c>
      <c r="K189" s="121" t="str">
        <f t="shared" si="82"/>
        <v>4003/4004</v>
      </c>
      <c r="L189" s="24" t="str">
        <f>VLOOKUP(A189,'Trips&amp;Operators'!$C$1:$E$10000,3,FALSE)</f>
        <v>COOLAHAN</v>
      </c>
      <c r="M189" s="6">
        <f t="shared" si="83"/>
        <v>1.5439814815181307E-2</v>
      </c>
      <c r="N189" s="7">
        <f t="shared" si="84"/>
        <v>22.233333333861083</v>
      </c>
      <c r="O189" s="7"/>
      <c r="P189" s="7"/>
      <c r="Q189" s="25"/>
      <c r="R189" s="25"/>
      <c r="S189" s="37">
        <f t="shared" si="85"/>
        <v>1</v>
      </c>
      <c r="T189" s="52" t="str">
        <f t="shared" si="86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15:43:20-0600',mode:absolute,to:'2016-09-19 18:13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89" s="54" t="str">
        <f t="shared" si="88"/>
        <v>N</v>
      </c>
      <c r="X189" s="168">
        <f t="shared" si="89"/>
        <v>1</v>
      </c>
      <c r="Y189" s="69">
        <f t="shared" si="90"/>
        <v>9.4100000000000003E-2</v>
      </c>
      <c r="Z189" s="69">
        <f t="shared" si="91"/>
        <v>5.8943000000000003</v>
      </c>
      <c r="AA189" s="69">
        <f t="shared" si="92"/>
        <v>5.8002000000000002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93"/>
        <v>0831-19</v>
      </c>
      <c r="AE189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89" s="96" t="str">
        <f t="shared" si="95"/>
        <v>"C:\Program Files (x86)\AstroGrep\AstroGrep.exe" /spath="%USERPROFILE%\AppData\Local\Temp\OnboardLogs" /stypes="app*4003*20160919*" /stext=" 23:.+((SYSTEM_STATE.+slice.+state.+changed )|(ment ac)|(system.+state.+changed )|(\|lc)|(penalty)|(\[timeout)|(PRM\|1\|D)|(kpr)|(kdp))" /e /r /s</v>
      </c>
      <c r="AG189" s="1" t="str">
        <f t="shared" si="96"/>
        <v>NW</v>
      </c>
      <c r="AH189" s="100" t="str">
        <f t="shared" si="97"/>
        <v>"%USERPROFILE%\Documents\GitHub\eaglep3\Utilities\RefineRTDCRunTimes.py" --tripid 831-19 --locoid 4003 --swversion DE.1.0.7.0 --startMP 204:941 --initTime 2016-09-19T16:43:20 --startdatetime 2016-09-19T16:51:22 --delay 2 --endMP 300:58943 --enddatetime 2016-09-19T17:13:36 --enforcementcount 0 &gt;&gt;C:\Users\stu\Documents\GitHub\eaglep3-reporting\EC\2016-09-19-refined-times.txt</v>
      </c>
      <c r="AI189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{"issue":{"subject":"","project_id":79,"tracker_id":40,"status_id":1,"priority_id":2,"assigned_to_id":23,"start_date":"2016-09-19","description":"","custom_fields":[{"id":1,"name":"Subdivision","value":"NW"},{"id":4,"name":"Milepost","value":"5.8943"},{"id":17,"name":"Train ID","value":"831-19"},{"id":16,"name":"Locomotive ID","value":"4003"},{"id":130,"name":"Impact","value":""},{"id":150,"name":"Time of Event (Mountain Time)","value":"17:13:36"},{"id":151,"name":"Denver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532</v>
      </c>
      <c r="B190" s="7">
        <v>4004</v>
      </c>
      <c r="C190" s="24" t="s">
        <v>106</v>
      </c>
      <c r="D190" s="24" t="s">
        <v>354</v>
      </c>
      <c r="E190" s="15">
        <v>42632.718993055554</v>
      </c>
      <c r="F190" s="15">
        <v>42632.721168981479</v>
      </c>
      <c r="G190" s="7">
        <v>2</v>
      </c>
      <c r="H190" s="15" t="s">
        <v>724</v>
      </c>
      <c r="I190" s="15">
        <v>42632.730150462965</v>
      </c>
      <c r="J190" s="7">
        <v>0</v>
      </c>
      <c r="K190" s="121" t="str">
        <f t="shared" si="82"/>
        <v>4003/4004</v>
      </c>
      <c r="L190" s="24" t="str">
        <f>VLOOKUP(A190,'Trips&amp;Operators'!$C$1:$E$10000,3,FALSE)</f>
        <v>COOLAHAN</v>
      </c>
      <c r="M190" s="6">
        <f t="shared" si="83"/>
        <v>8.9814814855344594E-3</v>
      </c>
      <c r="N190" s="7">
        <f t="shared" si="84"/>
        <v>12.933333339169621</v>
      </c>
      <c r="O190" s="7"/>
      <c r="P190" s="7"/>
      <c r="Q190" s="25"/>
      <c r="R190" s="25"/>
      <c r="S190" s="37">
        <f t="shared" si="85"/>
        <v>1</v>
      </c>
      <c r="T190" s="52" t="str">
        <f t="shared" si="86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16:15:21-0600',mode:absolute,to:'2016-09-19 18:31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90" s="54" t="str">
        <f t="shared" si="88"/>
        <v>N</v>
      </c>
      <c r="X190" s="168">
        <f t="shared" si="89"/>
        <v>1</v>
      </c>
      <c r="Y190" s="69">
        <f t="shared" si="90"/>
        <v>5.8624000000000001</v>
      </c>
      <c r="Z190" s="69">
        <f t="shared" si="91"/>
        <v>1.78E-2</v>
      </c>
      <c r="AA190" s="69">
        <f t="shared" si="92"/>
        <v>5.8445999999999998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93"/>
        <v>0832-19</v>
      </c>
      <c r="AE190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90" s="96" t="str">
        <f t="shared" si="95"/>
        <v>"C:\Program Files (x86)\AstroGrep\AstroGrep.exe" /spath="%USERPROFILE%\AppData\Local\Temp\OnboardLogs" /stypes="app*4004*20160919*" /stext=" 23:.+((SYSTEM_STATE.+slice.+state.+changed )|(ment ac)|(system.+state.+changed )|(\|lc)|(penalty)|(\[timeout)|(PRM\|1\|D)|(kpr)|(kdp))" /e /r /s</v>
      </c>
      <c r="AG190" s="1" t="str">
        <f t="shared" si="96"/>
        <v>NW</v>
      </c>
      <c r="AH190" s="100" t="str">
        <f t="shared" si="97"/>
        <v>"%USERPROFILE%\Documents\GitHub\eaglep3\Utilities\RefineRTDCRunTimes.py" --tripid 832-19 --locoid 4004 --swversion DE.1.0.7.0 --startMP 300:58624 --initTime 2016-09-19T17:15:21 --startdatetime 2016-09-19T17:18:29 --delay 2 --endMP 204:178 --enddatetime 2016-09-19T17:31:25 --enforcementcount 0 &gt;&gt;C:\Users\stu\Documents\GitHub\eaglep3-reporting\EC\2016-09-19-refined-times.txt</v>
      </c>
      <c r="AI190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{"issue":{"subject":"","project_id":79,"tracker_id":40,"status_id":1,"priority_id":2,"assigned_to_id":23,"start_date":"2016-09-19","description":"","custom_fields":[{"id":1,"name":"Subdivision","value":"NW"},{"id":4,"name":"Milepost","value":"0.0178"},{"id":17,"name":"Train ID","value":"832-19"},{"id":16,"name":"Locomotive ID","value":"4004"},{"id":130,"name":"Impact","value":""},{"id":150,"name":"Time of Event (Mountain Time)","value":"17:31:25"},{"id":151,"name":"Denver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531</v>
      </c>
      <c r="B191" s="7">
        <v>4040</v>
      </c>
      <c r="C191" s="24" t="s">
        <v>106</v>
      </c>
      <c r="D191" s="24" t="s">
        <v>725</v>
      </c>
      <c r="E191" s="15">
        <v>42632.718344907407</v>
      </c>
      <c r="F191" s="15">
        <v>42632.723136574074</v>
      </c>
      <c r="G191" s="7">
        <v>2</v>
      </c>
      <c r="H191" s="15" t="s">
        <v>717</v>
      </c>
      <c r="I191" s="15">
        <v>42632.732465277775</v>
      </c>
      <c r="J191" s="7">
        <v>0</v>
      </c>
      <c r="K191" s="121" t="str">
        <f t="shared" si="82"/>
        <v>4039/4040</v>
      </c>
      <c r="L191" s="24" t="str">
        <f>VLOOKUP(A191,'Trips&amp;Operators'!$C$1:$E$10000,3,FALSE)</f>
        <v>BRUDER</v>
      </c>
      <c r="M191" s="6">
        <f t="shared" si="83"/>
        <v>9.3287037016125396E-3</v>
      </c>
      <c r="N191" s="7">
        <f t="shared" si="84"/>
        <v>13.433333330322057</v>
      </c>
      <c r="O191" s="7"/>
      <c r="P191" s="7"/>
      <c r="Q191" s="25"/>
      <c r="R191" s="25"/>
      <c r="S191" s="37">
        <f t="shared" si="85"/>
        <v>1</v>
      </c>
      <c r="T191" s="52" t="str">
        <f t="shared" si="86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16:14:25-0600',mode:absolute,to:'2016-09-19 18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1" s="54" t="str">
        <f t="shared" si="88"/>
        <v>N</v>
      </c>
      <c r="X191" s="168">
        <f t="shared" si="89"/>
        <v>1</v>
      </c>
      <c r="Y191" s="69">
        <f t="shared" si="90"/>
        <v>9.7199999999999995E-2</v>
      </c>
      <c r="Z191" s="69">
        <f t="shared" si="91"/>
        <v>5.8958000000000004</v>
      </c>
      <c r="AA191" s="69">
        <f t="shared" si="92"/>
        <v>5.7986000000000004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93"/>
        <v>0833-19</v>
      </c>
      <c r="AE191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91" s="96" t="str">
        <f t="shared" si="95"/>
        <v>"C:\Program Files (x86)\AstroGrep\AstroGrep.exe" /spath="%USERPROFILE%\AppData\Local\Temp\OnboardLogs" /stypes="app*4040*20160919*" /stext=" 23:.+((SYSTEM_STATE.+slice.+state.+changed )|(ment ac)|(system.+state.+changed )|(\|lc)|(penalty)|(\[timeout)|(PRM\|1\|D)|(kpr)|(kdp))" /e /r /s</v>
      </c>
      <c r="AG191" s="1" t="str">
        <f t="shared" si="96"/>
        <v>NW</v>
      </c>
      <c r="AH191" s="100" t="str">
        <f t="shared" si="97"/>
        <v>"%USERPROFILE%\Documents\GitHub\eaglep3\Utilities\RefineRTDCRunTimes.py" --tripid 833-19 --locoid 4040 --swversion DE.1.0.7.0 --startMP 204:972 --initTime 2016-09-19T17:14:25 --startdatetime 2016-09-19T17:21:19 --delay 2 --endMP 300:58958 --enddatetime 2016-09-19T17:34:45 --enforcementcount 0 &gt;&gt;C:\Users\stu\Documents\GitHub\eaglep3-reporting\EC\2016-09-19-refined-times.txt</v>
      </c>
      <c r="AI191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{"issue":{"subject":"","project_id":79,"tracker_id":40,"status_id":1,"priority_id":2,"assigned_to_id":23,"start_date":"2016-09-19","description":"","custom_fields":[{"id":1,"name":"Subdivision","value":"NW"},{"id":4,"name":"Milepost","value":"5.8958"},{"id":17,"name":"Train ID","value":"833-19"},{"id":16,"name":"Locomotive ID","value":"4040"},{"id":130,"name":"Impact","value":""},{"id":150,"name":"Time of Event (Mountain Time)","value":"17:34:45"},{"id":151,"name":"Denver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535</v>
      </c>
      <c r="B192" s="7">
        <v>4039</v>
      </c>
      <c r="C192" s="24" t="s">
        <v>106</v>
      </c>
      <c r="D192" s="24" t="s">
        <v>726</v>
      </c>
      <c r="E192" s="15">
        <v>42632.734583333331</v>
      </c>
      <c r="F192" s="15">
        <v>42632.736134259256</v>
      </c>
      <c r="G192" s="7">
        <v>1</v>
      </c>
      <c r="H192" s="15" t="s">
        <v>727</v>
      </c>
      <c r="I192" s="15">
        <v>42632.756203703706</v>
      </c>
      <c r="J192" s="7">
        <v>0</v>
      </c>
      <c r="K192" s="121" t="str">
        <f t="shared" si="82"/>
        <v>4039/4040</v>
      </c>
      <c r="L192" s="24" t="str">
        <f>VLOOKUP(A192,'Trips&amp;Operators'!$C$1:$E$10000,3,FALSE)</f>
        <v>BRUDER</v>
      </c>
      <c r="M192" s="6">
        <f t="shared" si="83"/>
        <v>2.0069444450200535E-2</v>
      </c>
      <c r="N192" s="7">
        <f t="shared" si="84"/>
        <v>28.900000008288771</v>
      </c>
      <c r="O192" s="7"/>
      <c r="P192" s="7"/>
      <c r="Q192" s="25"/>
      <c r="R192" s="25"/>
      <c r="S192" s="37">
        <f t="shared" si="85"/>
        <v>1</v>
      </c>
      <c r="T192" s="52" t="str">
        <f t="shared" si="86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16:37:48-0600',mode:absolute,to:'2016-09-19 19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92" s="54" t="str">
        <f t="shared" si="88"/>
        <v>N</v>
      </c>
      <c r="X192" s="168">
        <f t="shared" si="89"/>
        <v>1</v>
      </c>
      <c r="Y192" s="69">
        <f t="shared" si="90"/>
        <v>5.8643000000000001</v>
      </c>
      <c r="Z192" s="69">
        <f t="shared" si="91"/>
        <v>1.17E-2</v>
      </c>
      <c r="AA192" s="69">
        <f t="shared" si="92"/>
        <v>5.8525999999999998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93"/>
        <v>0834-19</v>
      </c>
      <c r="AE192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92" s="96" t="str">
        <f t="shared" si="95"/>
        <v>"C:\Program Files (x86)\AstroGrep\AstroGrep.exe" /spath="%USERPROFILE%\AppData\Local\Temp\OnboardLogs" /stypes="app*4039*20160920*" /stext=" 00:.+((SYSTEM_STATE.+slice.+state.+changed )|(ment ac)|(system.+state.+changed )|(\|lc)|(penalty)|(\[timeout)|(PRM\|1\|D)|(kpr)|(kdp))" /e /r /s</v>
      </c>
      <c r="AG192" s="1" t="str">
        <f t="shared" si="96"/>
        <v>NW</v>
      </c>
      <c r="AH192" s="100" t="str">
        <f t="shared" si="97"/>
        <v>"%USERPROFILE%\Documents\GitHub\eaglep3\Utilities\RefineRTDCRunTimes.py" --tripid 834-19 --locoid 4039 --swversion DE.1.0.7.0 --startMP 300:58643 --initTime 2016-09-19T17:37:48 --startdatetime 2016-09-19T17:40:02 --delay 1 --endMP 204:117 --enddatetime 2016-09-19T18:08:56 --enforcementcount 0 &gt;&gt;C:\Users\stu\Documents\GitHub\eaglep3-reporting\EC\2016-09-19-refined-times.txt</v>
      </c>
      <c r="AI192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{"issue":{"subject":"","project_id":79,"tracker_id":40,"status_id":1,"priority_id":2,"assigned_to_id":23,"start_date":"2016-09-19","description":"","custom_fields":[{"id":1,"name":"Subdivision","value":"NW"},{"id":4,"name":"Milepost","value":"0.0117"},{"id":17,"name":"Train ID","value":"834-19"},{"id":16,"name":"Locomotive ID","value":"4039"},{"id":130,"name":"Impact","value":""},{"id":150,"name":"Time of Event (Mountain Time)","value":"18:08:56"},{"id":151,"name":"Denver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537</v>
      </c>
      <c r="B193" s="7">
        <v>4003</v>
      </c>
      <c r="C193" s="24" t="s">
        <v>106</v>
      </c>
      <c r="D193" s="24" t="s">
        <v>305</v>
      </c>
      <c r="E193" s="15">
        <v>42632.740011574075</v>
      </c>
      <c r="F193" s="15">
        <v>42632.743981481479</v>
      </c>
      <c r="G193" s="7">
        <v>1</v>
      </c>
      <c r="H193" s="15" t="s">
        <v>728</v>
      </c>
      <c r="I193" s="15">
        <v>42632.754490740743</v>
      </c>
      <c r="J193" s="7">
        <v>0</v>
      </c>
      <c r="K193" s="121" t="str">
        <f t="shared" si="82"/>
        <v>4003/4004</v>
      </c>
      <c r="L193" s="24" t="str">
        <f>VLOOKUP(A193,'Trips&amp;Operators'!$C$1:$E$10000,3,FALSE)</f>
        <v>COOLAHAN</v>
      </c>
      <c r="M193" s="6">
        <f t="shared" si="83"/>
        <v>1.0509259263926651E-2</v>
      </c>
      <c r="N193" s="7">
        <f t="shared" si="84"/>
        <v>15.133333340054378</v>
      </c>
      <c r="O193" s="7"/>
      <c r="P193" s="7"/>
      <c r="Q193" s="25"/>
      <c r="R193" s="25"/>
      <c r="S193" s="37">
        <f t="shared" si="85"/>
        <v>1</v>
      </c>
      <c r="T193" s="52" t="str">
        <f t="shared" si="86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16:45:37-0600',mode:absolute,to:'2016-09-19 19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93" s="54" t="str">
        <f t="shared" si="88"/>
        <v>N</v>
      </c>
      <c r="X193" s="168">
        <f t="shared" si="89"/>
        <v>1</v>
      </c>
      <c r="Y193" s="69">
        <f t="shared" si="90"/>
        <v>4.8000000000000001E-2</v>
      </c>
      <c r="Z193" s="69">
        <f t="shared" si="91"/>
        <v>5.8975999999999997</v>
      </c>
      <c r="AA193" s="69">
        <f t="shared" si="92"/>
        <v>5.8495999999999997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93"/>
        <v>0835-19</v>
      </c>
      <c r="AE193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93" s="96" t="str">
        <f t="shared" si="95"/>
        <v>"C:\Program Files (x86)\AstroGrep\AstroGrep.exe" /spath="%USERPROFILE%\AppData\Local\Temp\OnboardLogs" /stypes="app*4003*20160920*" /stext=" 00:.+((SYSTEM_STATE.+slice.+state.+changed )|(ment ac)|(system.+state.+changed )|(\|lc)|(penalty)|(\[timeout)|(PRM\|1\|D)|(kpr)|(kdp))" /e /r /s</v>
      </c>
      <c r="AG193" s="1" t="str">
        <f t="shared" si="96"/>
        <v>NW</v>
      </c>
      <c r="AH193" s="100" t="str">
        <f t="shared" si="97"/>
        <v>"%USERPROFILE%\Documents\GitHub\eaglep3\Utilities\RefineRTDCRunTimes.py" --tripid 835-19 --locoid 4003 --swversion DE.1.0.7.0 --startMP 204:480 --initTime 2016-09-19T17:45:37 --startdatetime 2016-09-19T17:51:20 --delay 1 --endMP 300:58976 --enddatetime 2016-09-19T18:06:28 --enforcementcount 0 &gt;&gt;C:\Users\stu\Documents\GitHub\eaglep3-reporting\EC\2016-09-19-refined-times.txt</v>
      </c>
      <c r="AI193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{"issue":{"subject":"","project_id":79,"tracker_id":40,"status_id":1,"priority_id":2,"assigned_to_id":23,"start_date":"2016-09-19","description":"","custom_fields":[{"id":1,"name":"Subdivision","value":"NW"},{"id":4,"name":"Milepost","value":"5.8976"},{"id":17,"name":"Train ID","value":"835-19"},{"id":16,"name":"Locomotive ID","value":"4003"},{"id":130,"name":"Impact","value":""},{"id":150,"name":"Time of Event (Mountain Time)","value":"18:06:28"},{"id":151,"name":"Denver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541</v>
      </c>
      <c r="B194" s="7">
        <v>4004</v>
      </c>
      <c r="C194" s="24" t="s">
        <v>106</v>
      </c>
      <c r="D194" s="24" t="s">
        <v>729</v>
      </c>
      <c r="E194" s="15">
        <v>42632.755891203706</v>
      </c>
      <c r="F194" s="15">
        <v>42632.757418981484</v>
      </c>
      <c r="G194" s="7">
        <v>1</v>
      </c>
      <c r="H194" s="15" t="s">
        <v>730</v>
      </c>
      <c r="I194" s="15">
        <v>42632.768900462965</v>
      </c>
      <c r="J194" s="7">
        <v>0</v>
      </c>
      <c r="K194" s="121" t="str">
        <f t="shared" si="82"/>
        <v>4003/4004</v>
      </c>
      <c r="L194" s="24" t="str">
        <f>VLOOKUP(A194,'Trips&amp;Operators'!$C$1:$E$10000,3,FALSE)</f>
        <v>COOLAHAN</v>
      </c>
      <c r="M194" s="6">
        <f t="shared" si="83"/>
        <v>1.1481481480586808E-2</v>
      </c>
      <c r="N194" s="7">
        <f t="shared" si="84"/>
        <v>16.533333332045004</v>
      </c>
      <c r="O194" s="7"/>
      <c r="P194" s="7"/>
      <c r="Q194" s="25"/>
      <c r="R194" s="25"/>
      <c r="S194" s="37">
        <f t="shared" si="85"/>
        <v>1</v>
      </c>
      <c r="T194" s="52" t="str">
        <f t="shared" si="86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17:08:29-0600',mode:absolute,to:'2016-09-19 19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94" s="54" t="str">
        <f t="shared" si="88"/>
        <v>N</v>
      </c>
      <c r="X194" s="168">
        <f t="shared" si="89"/>
        <v>1</v>
      </c>
      <c r="Y194" s="69">
        <f t="shared" si="90"/>
        <v>5.8667999999999996</v>
      </c>
      <c r="Z194" s="69">
        <f t="shared" si="91"/>
        <v>7.6200000000000004E-2</v>
      </c>
      <c r="AA194" s="69">
        <f t="shared" si="92"/>
        <v>5.7905999999999995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93"/>
        <v>0836-19</v>
      </c>
      <c r="AE194" s="99" t="str">
        <f t="shared" si="94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194" s="96" t="str">
        <f t="shared" si="95"/>
        <v>"C:\Program Files (x86)\AstroGrep\AstroGrep.exe" /spath="%USERPROFILE%\AppData\Local\Temp\OnboardLogs" /stypes="app*4004*20160920*" /stext=" 00:.+((SYSTEM_STATE.+slice.+state.+changed )|(ment ac)|(system.+state.+changed )|(\|lc)|(penalty)|(\[timeout)|(PRM\|1\|D)|(kpr)|(kdp))" /e /r /s</v>
      </c>
      <c r="AG194" s="1" t="str">
        <f t="shared" si="96"/>
        <v>NW</v>
      </c>
      <c r="AH194" s="100" t="str">
        <f t="shared" si="97"/>
        <v>"%USERPROFILE%\Documents\GitHub\eaglep3\Utilities\RefineRTDCRunTimes.py" --tripid 836-19 --locoid 4004 --swversion DE.1.0.7.0 --startMP 300:58668 --initTime 2016-09-19T18:08:29 --startdatetime 2016-09-19T18:10:41 --delay 1 --endMP 204:762 --enddatetime 2016-09-19T18:27:13 --enforcementcount 0 &gt;&gt;C:\Users\stu\Documents\GitHub\eaglep3-reporting\EC\2016-09-19-refined-times.txt</v>
      </c>
      <c r="AI194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{"issue":{"subject":"","project_id":79,"tracker_id":40,"status_id":1,"priority_id":2,"assigned_to_id":23,"start_date":"2016-09-19","description":"","custom_fields":[{"id":1,"name":"Subdivision","value":"NW"},{"id":4,"name":"Milepost","value":"0.0762"},{"id":17,"name":"Train ID","value":"836-19"},{"id":16,"name":"Locomotive ID","value":"4004"},{"id":130,"name":"Impact","value":""},{"id":150,"name":"Time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543</v>
      </c>
      <c r="B195" s="7">
        <v>4040</v>
      </c>
      <c r="C195" s="24" t="s">
        <v>106</v>
      </c>
      <c r="D195" s="24" t="s">
        <v>624</v>
      </c>
      <c r="E195" s="15">
        <v>42632.76059027778</v>
      </c>
      <c r="F195" s="15">
        <v>42632.764768518522</v>
      </c>
      <c r="G195" s="7">
        <v>1</v>
      </c>
      <c r="H195" s="15" t="s">
        <v>709</v>
      </c>
      <c r="I195" s="15">
        <v>42632.774594907409</v>
      </c>
      <c r="J195" s="7">
        <v>0</v>
      </c>
      <c r="K195" s="121" t="str">
        <f t="shared" si="82"/>
        <v>4039/4040</v>
      </c>
      <c r="L195" s="24" t="str">
        <f>VLOOKUP(A195,'Trips&amp;Operators'!$C$1:$E$10000,3,FALSE)</f>
        <v>BRUDER</v>
      </c>
      <c r="M195" s="6">
        <f t="shared" si="83"/>
        <v>9.8263888867222704E-3</v>
      </c>
      <c r="N195" s="7">
        <f t="shared" si="84"/>
        <v>14.149999996880069</v>
      </c>
      <c r="O195" s="7"/>
      <c r="P195" s="7"/>
      <c r="Q195" s="25"/>
      <c r="R195" s="25"/>
      <c r="S195" s="37">
        <f t="shared" si="85"/>
        <v>1</v>
      </c>
      <c r="T195" s="52" t="str">
        <f t="shared" si="86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17:15:15-0600',mode:absolute,to:'2016-09-19 19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5" s="54" t="str">
        <f t="shared" si="88"/>
        <v>N</v>
      </c>
      <c r="X195" s="168">
        <f t="shared" si="89"/>
        <v>1</v>
      </c>
      <c r="Y195" s="69">
        <f t="shared" si="90"/>
        <v>4.24E-2</v>
      </c>
      <c r="Z195" s="69">
        <f t="shared" si="91"/>
        <v>5.8975</v>
      </c>
      <c r="AA195" s="69">
        <f t="shared" si="92"/>
        <v>5.8551000000000002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93"/>
        <v>0837-19</v>
      </c>
      <c r="AE195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95" s="96" t="str">
        <f t="shared" si="95"/>
        <v>"C:\Program Files (x86)\AstroGrep\AstroGrep.exe" /spath="%USERPROFILE%\AppData\Local\Temp\OnboardLogs" /stypes="app*4040*20160920*" /stext=" 00:.+((SYSTEM_STATE.+slice.+state.+changed )|(ment ac)|(system.+state.+changed )|(\|lc)|(penalty)|(\[timeout)|(PRM\|1\|D)|(kpr)|(kdp))" /e /r /s</v>
      </c>
      <c r="AG195" s="1" t="str">
        <f t="shared" si="96"/>
        <v>NW</v>
      </c>
      <c r="AH195" s="100" t="str">
        <f t="shared" si="97"/>
        <v>"%USERPROFILE%\Documents\GitHub\eaglep3\Utilities\RefineRTDCRunTimes.py" --tripid 837-19 --locoid 4040 --swversion DE.1.0.7.0 --startMP 204:424 --initTime 2016-09-19T18:15:15 --startdatetime 2016-09-19T18:21:16 --delay 1 --endMP 300:58975 --enddatetime 2016-09-19T18:35:25 --enforcementcount 0 &gt;&gt;C:\Users\stu\Documents\GitHub\eaglep3-reporting\EC\2016-09-19-refined-times.txt</v>
      </c>
      <c r="AI195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{"issue":{"subject":"","project_id":79,"tracker_id":40,"status_id":1,"priority_id":2,"assigned_to_id":23,"start_date":"2016-09-19","description":"","custom_fields":[{"id":1,"name":"Subdivision","value":"NW"},{"id":4,"name":"Milepost","value":"5.8975"},{"id":17,"name":"Train ID","value":"837-19"},{"id":16,"name":"Locomotive ID","value":"4040"},{"id":130,"name":"Impact","value":""},{"id":150,"name":"Time of Event (Mountain Time)","value":"18:35:25"},{"id":151,"name":"Denver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547</v>
      </c>
      <c r="B196" s="7">
        <v>4039</v>
      </c>
      <c r="C196" s="24" t="s">
        <v>106</v>
      </c>
      <c r="D196" s="24" t="s">
        <v>710</v>
      </c>
      <c r="E196" s="15">
        <v>42632.775949074072</v>
      </c>
      <c r="F196" s="15">
        <v>42632.777708333335</v>
      </c>
      <c r="G196" s="7">
        <v>1</v>
      </c>
      <c r="H196" s="15" t="s">
        <v>731</v>
      </c>
      <c r="I196" s="15">
        <v>42632.788622685184</v>
      </c>
      <c r="J196" s="7">
        <v>0</v>
      </c>
      <c r="K196" s="121" t="str">
        <f t="shared" si="82"/>
        <v>4039/4040</v>
      </c>
      <c r="L196" s="24" t="str">
        <f>VLOOKUP(A196,'Trips&amp;Operators'!$C$1:$E$10000,3,FALSE)</f>
        <v>BRUDER</v>
      </c>
      <c r="M196" s="6">
        <f t="shared" si="83"/>
        <v>1.0914351849351078E-2</v>
      </c>
      <c r="N196" s="7">
        <f t="shared" si="84"/>
        <v>15.716666663065553</v>
      </c>
      <c r="O196" s="7"/>
      <c r="P196" s="7"/>
      <c r="Q196" s="25"/>
      <c r="R196" s="25"/>
      <c r="S196" s="37">
        <f t="shared" si="85"/>
        <v>1</v>
      </c>
      <c r="T196" s="52" t="str">
        <f t="shared" si="86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17:37:22-0600',mode:absolute,to:'2016-09-19 19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96" s="54" t="str">
        <f t="shared" si="88"/>
        <v>N</v>
      </c>
      <c r="X196" s="168">
        <f t="shared" si="89"/>
        <v>1</v>
      </c>
      <c r="Y196" s="69">
        <f t="shared" si="90"/>
        <v>5.8655999999999997</v>
      </c>
      <c r="Z196" s="69">
        <f t="shared" si="91"/>
        <v>7.0300000000000001E-2</v>
      </c>
      <c r="AA196" s="69">
        <f t="shared" si="92"/>
        <v>5.7953000000000001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93"/>
        <v>0838-19</v>
      </c>
      <c r="AE196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96" s="96" t="str">
        <f t="shared" si="95"/>
        <v>"C:\Program Files (x86)\AstroGrep\AstroGrep.exe" /spath="%USERPROFILE%\AppData\Local\Temp\OnboardLogs" /stypes="app*4039*20160920*" /stext=" 00:.+((SYSTEM_STATE.+slice.+state.+changed )|(ment ac)|(system.+state.+changed )|(\|lc)|(penalty)|(\[timeout)|(PRM\|1\|D)|(kpr)|(kdp))" /e /r /s</v>
      </c>
      <c r="AG196" s="1" t="str">
        <f t="shared" si="96"/>
        <v>NW</v>
      </c>
      <c r="AH196" s="100" t="str">
        <f t="shared" si="97"/>
        <v>"%USERPROFILE%\Documents\GitHub\eaglep3\Utilities\RefineRTDCRunTimes.py" --tripid 838-19 --locoid 4039 --swversion DE.1.0.7.0 --startMP 300:58656 --initTime 2016-09-19T18:37:22 --startdatetime 2016-09-19T18:39:54 --delay 1 --endMP 204:703 --enddatetime 2016-09-19T18:55:37 --enforcementcount 0 &gt;&gt;C:\Users\stu\Documents\GitHub\eaglep3-reporting\EC\2016-09-19-refined-times.txt</v>
      </c>
      <c r="AI196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{"issue":{"subject":"","project_id":79,"tracker_id":40,"status_id":1,"priority_id":2,"assigned_to_id":23,"start_date":"2016-09-19","description":"","custom_fields":[{"id":1,"name":"Subdivision","value":"NW"},{"id":4,"name":"Milepost","value":"0.0703"},{"id":17,"name":"Train ID","value":"838-19"},{"id":16,"name":"Locomotive ID","value":"4039"},{"id":130,"name":"Impact","value":""},{"id":150,"name":"Time of Event (Mountain Time)","value":"18:55:37"},{"id":151,"name":"Denver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549</v>
      </c>
      <c r="B197" s="7">
        <v>4003</v>
      </c>
      <c r="C197" s="24" t="s">
        <v>106</v>
      </c>
      <c r="D197" s="24" t="s">
        <v>732</v>
      </c>
      <c r="E197" s="15">
        <v>42632.781631944446</v>
      </c>
      <c r="F197" s="15">
        <v>42632.78564814815</v>
      </c>
      <c r="G197" s="7">
        <v>1</v>
      </c>
      <c r="H197" s="15" t="s">
        <v>689</v>
      </c>
      <c r="I197" s="15">
        <v>42632.796435185184</v>
      </c>
      <c r="J197" s="7">
        <v>0</v>
      </c>
      <c r="K197" s="121" t="str">
        <f t="shared" si="82"/>
        <v>4003/4004</v>
      </c>
      <c r="L197" s="24" t="str">
        <f>VLOOKUP(A197,'Trips&amp;Operators'!$C$1:$E$10000,3,FALSE)</f>
        <v>COOLAHAN</v>
      </c>
      <c r="M197" s="6">
        <f t="shared" si="83"/>
        <v>1.0787037033878732E-2</v>
      </c>
      <c r="N197" s="7">
        <f t="shared" si="84"/>
        <v>15.533333328785375</v>
      </c>
      <c r="O197" s="7"/>
      <c r="P197" s="7"/>
      <c r="Q197" s="25"/>
      <c r="R197" s="25"/>
      <c r="S197" s="37">
        <f t="shared" si="85"/>
        <v>1</v>
      </c>
      <c r="T197" s="52" t="str">
        <f t="shared" si="86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17:45:33-0600',mode:absolute,to:'2016-09-19 20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97" s="54" t="str">
        <f t="shared" si="88"/>
        <v>N</v>
      </c>
      <c r="X197" s="168">
        <f t="shared" si="89"/>
        <v>1</v>
      </c>
      <c r="Y197" s="69">
        <f t="shared" si="90"/>
        <v>0.1056</v>
      </c>
      <c r="Z197" s="69">
        <f t="shared" si="91"/>
        <v>5.8982000000000001</v>
      </c>
      <c r="AA197" s="69">
        <f t="shared" si="92"/>
        <v>5.7926000000000002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93"/>
        <v>0839-19</v>
      </c>
      <c r="AE197" s="99" t="str">
        <f t="shared" si="94"/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AF197" s="96" t="str">
        <f t="shared" si="95"/>
        <v>"C:\Program Files (x86)\AstroGrep\AstroGrep.exe" /spath="%USERPROFILE%\AppData\Local\Temp\OnboardLogs" /stypes="app*4003*20160920*" /stext=" 01:.+((SYSTEM_STATE.+slice.+state.+changed )|(ment ac)|(system.+state.+changed )|(\|lc)|(penalty)|(\[timeout)|(PRM\|1\|D)|(kpr)|(kdp))" /e /r /s</v>
      </c>
      <c r="AG197" s="1" t="str">
        <f t="shared" si="96"/>
        <v>NW</v>
      </c>
      <c r="AH197" s="100" t="str">
        <f t="shared" si="97"/>
        <v>"%USERPROFILE%\Documents\GitHub\eaglep3\Utilities\RefineRTDCRunTimes.py" --tripid 839-19 --locoid 4003 --swversion DE.1.0.7.0 --startMP 204:1056 --initTime 2016-09-19T18:45:33 --startdatetime 2016-09-19T18:51:20 --delay 1 --endMP 300:58982 --enddatetime 2016-09-19T19:06:52 --enforcementcount 0 &gt;&gt;C:\Users\stu\Documents\GitHub\eaglep3-reporting\EC\2016-09-19-refined-times.txt</v>
      </c>
      <c r="AI197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{"issue":{"subject":"","project_id":79,"tracker_id":40,"status_id":1,"priority_id":2,"assigned_to_id":23,"start_date":"2016-09-19","description":"","custom_fields":[{"id":1,"name":"Subdivision","value":"NW"},{"id":4,"name":"Milepost","value":"5.8982"},{"id":17,"name":"Train ID","value":"839-19"},{"id":16,"name":"Locomotive ID","value":"4003"},{"id":130,"name":"Impact","value":""},{"id":150,"name":"Time of Event (Mountain Time)","value":"19:06:52"},{"id":151,"name":"Denver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557</v>
      </c>
      <c r="B198" s="7">
        <v>4039</v>
      </c>
      <c r="C198" s="24" t="s">
        <v>106</v>
      </c>
      <c r="D198" s="24" t="s">
        <v>733</v>
      </c>
      <c r="E198" s="15">
        <v>42632.816655092596</v>
      </c>
      <c r="F198" s="15">
        <v>42632.818229166667</v>
      </c>
      <c r="G198" s="7">
        <v>1</v>
      </c>
      <c r="H198" s="15" t="s">
        <v>679</v>
      </c>
      <c r="I198" s="15">
        <v>42632.82949074074</v>
      </c>
      <c r="J198" s="7">
        <v>0</v>
      </c>
      <c r="K198" s="121" t="str">
        <f t="shared" si="82"/>
        <v>4039/4040</v>
      </c>
      <c r="L198" s="24" t="str">
        <f>VLOOKUP(A198,'Trips&amp;Operators'!$C$1:$E$10000,3,FALSE)</f>
        <v>BRUDER</v>
      </c>
      <c r="M198" s="6">
        <f t="shared" si="83"/>
        <v>1.1261574072705116E-2</v>
      </c>
      <c r="N198" s="7">
        <f t="shared" si="84"/>
        <v>16.216666664695367</v>
      </c>
      <c r="O198" s="7"/>
      <c r="P198" s="7"/>
      <c r="Q198" s="25"/>
      <c r="R198" s="25"/>
      <c r="S198" s="37">
        <f t="shared" si="85"/>
        <v>1</v>
      </c>
      <c r="T198" s="52" t="str">
        <f t="shared" si="86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18:35:59-0600',mode:absolute,to:'2016-09-19 20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98" s="54" t="str">
        <f t="shared" si="88"/>
        <v>N</v>
      </c>
      <c r="X198" s="168">
        <f t="shared" si="89"/>
        <v>1</v>
      </c>
      <c r="Y198" s="69">
        <f t="shared" si="90"/>
        <v>5.8630000000000004</v>
      </c>
      <c r="Z198" s="69">
        <f t="shared" si="91"/>
        <v>6.9099999999999995E-2</v>
      </c>
      <c r="AA198" s="69">
        <f t="shared" si="92"/>
        <v>5.7939000000000007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93"/>
        <v>0840-19</v>
      </c>
      <c r="AE198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198" s="96" t="str">
        <f t="shared" si="95"/>
        <v>"C:\Program Files (x86)\AstroGrep\AstroGrep.exe" /spath="%USERPROFILE%\AppData\Local\Temp\OnboardLogs" /stypes="app*4039*20160920*" /stext=" 01:.+((SYSTEM_STATE.+slice.+state.+changed )|(ment ac)|(system.+state.+changed )|(\|lc)|(penalty)|(\[timeout)|(PRM\|1\|D)|(kpr)|(kdp))" /e /r /s</v>
      </c>
      <c r="AG198" s="1" t="str">
        <f t="shared" si="96"/>
        <v>NW</v>
      </c>
      <c r="AH198" s="100" t="str">
        <f t="shared" si="97"/>
        <v>"%USERPROFILE%\Documents\GitHub\eaglep3\Utilities\RefineRTDCRunTimes.py" --tripid 840-19 --locoid 4039 --swversion DE.1.0.7.0 --startMP 300:58630 --initTime 2016-09-19T19:35:59 --startdatetime 2016-09-19T19:38:15 --delay 1 --endMP 204:691 --enddatetime 2016-09-19T19:54:28 --enforcementcount 0 &gt;&gt;C:\Users\stu\Documents\GitHub\eaglep3-reporting\EC\2016-09-19-refined-times.txt</v>
      </c>
      <c r="AI198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{"issue":{"subject":"","project_id":79,"tracker_id":40,"status_id":1,"priority_id":2,"assigned_to_id":23,"start_date":"2016-09-19","description":"","custom_fields":[{"id":1,"name":"Subdivision","value":"NW"},{"id":4,"name":"Milepost","value":"0.0691"},{"id":17,"name":"Train ID","value":"840-19"},{"id":16,"name":"Locomotive ID","value":"4039"},{"id":130,"name":"Impact","value":""},{"id":150,"name":"Time of Event (Mountain Time)","value":"19:54:28"},{"id":151,"name":"Denver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554</v>
      </c>
      <c r="B199" s="7">
        <v>4040</v>
      </c>
      <c r="C199" s="24" t="s">
        <v>106</v>
      </c>
      <c r="D199" s="24" t="s">
        <v>734</v>
      </c>
      <c r="E199" s="15">
        <v>42632.801157407404</v>
      </c>
      <c r="F199" s="15">
        <v>42632.806446759256</v>
      </c>
      <c r="G199" s="7">
        <v>1</v>
      </c>
      <c r="H199" s="15" t="s">
        <v>735</v>
      </c>
      <c r="I199" s="15">
        <v>42632.815370370372</v>
      </c>
      <c r="J199" s="7">
        <v>0</v>
      </c>
      <c r="K199" s="121" t="str">
        <f t="shared" si="82"/>
        <v>4039/4040</v>
      </c>
      <c r="L199" s="24" t="str">
        <f>VLOOKUP(A199,'Trips&amp;Operators'!$C$1:$E$10000,3,FALSE)</f>
        <v>BRUDER</v>
      </c>
      <c r="M199" s="6">
        <f t="shared" si="83"/>
        <v>8.9236111161881126E-3</v>
      </c>
      <c r="N199" s="7">
        <f t="shared" si="84"/>
        <v>12.850000007310882</v>
      </c>
      <c r="O199" s="7"/>
      <c r="P199" s="7"/>
      <c r="Q199" s="25"/>
      <c r="R199" s="25"/>
      <c r="S199" s="37">
        <f t="shared" si="85"/>
        <v>1</v>
      </c>
      <c r="T199" s="52" t="str">
        <f t="shared" si="86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18:13:40-0600',mode:absolute,to:'2016-09-19 20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9" s="54" t="str">
        <f t="shared" si="88"/>
        <v>N</v>
      </c>
      <c r="X199" s="168">
        <f t="shared" si="89"/>
        <v>1</v>
      </c>
      <c r="Y199" s="69">
        <f t="shared" si="90"/>
        <v>9.9900000000000003E-2</v>
      </c>
      <c r="Z199" s="69">
        <f t="shared" si="91"/>
        <v>5.8952</v>
      </c>
      <c r="AA199" s="69">
        <f t="shared" si="92"/>
        <v>5.7953000000000001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93"/>
        <v>0841-19</v>
      </c>
      <c r="AE199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199" s="96" t="str">
        <f t="shared" si="95"/>
        <v>"C:\Program Files (x86)\AstroGrep\AstroGrep.exe" /spath="%USERPROFILE%\AppData\Local\Temp\OnboardLogs" /stypes="app*4040*20160920*" /stext=" 01:.+((SYSTEM_STATE.+slice.+state.+changed )|(ment ac)|(system.+state.+changed )|(\|lc)|(penalty)|(\[timeout)|(PRM\|1\|D)|(kpr)|(kdp))" /e /r /s</v>
      </c>
      <c r="AG199" s="1" t="str">
        <f t="shared" si="96"/>
        <v>NW</v>
      </c>
      <c r="AH199" s="100" t="str">
        <f t="shared" si="97"/>
        <v>"%USERPROFILE%\Documents\GitHub\eaglep3\Utilities\RefineRTDCRunTimes.py" --tripid 841-19 --locoid 4040 --swversion DE.1.0.7.0 --startMP 204:999 --initTime 2016-09-19T19:13:40 --startdatetime 2016-09-19T19:21:17 --delay 1 --endMP 300:58952 --enddatetime 2016-09-19T19:34:08 --enforcementcount 0 &gt;&gt;C:\Users\stu\Documents\GitHub\eaglep3-reporting\EC\2016-09-19-refined-times.txt</v>
      </c>
      <c r="AI199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{"issue":{"subject":"","project_id":79,"tracker_id":40,"status_id":1,"priority_id":2,"assigned_to_id":23,"start_date":"2016-09-19","description":"","custom_fields":[{"id":1,"name":"Subdivision","value":"NW"},{"id":4,"name":"Milepost","value":"5.8952"},{"id":17,"name":"Train ID","value":"841-19"},{"id":16,"name":"Locomotive ID","value":"4040"},{"id":130,"name":"Impact","value":""},{"id":150,"name":"Time of Event (Mountain Time)","value":"19:34:08"},{"id":151,"name":"Denver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564</v>
      </c>
      <c r="B200" s="7">
        <v>4039</v>
      </c>
      <c r="C200" s="24" t="s">
        <v>106</v>
      </c>
      <c r="D200" s="24" t="s">
        <v>736</v>
      </c>
      <c r="E200" s="15">
        <v>42632.85833333333</v>
      </c>
      <c r="F200" s="15">
        <v>42632.859722222223</v>
      </c>
      <c r="G200" s="7">
        <v>1</v>
      </c>
      <c r="H200" s="15" t="s">
        <v>737</v>
      </c>
      <c r="I200" s="15">
        <v>42632.871111111112</v>
      </c>
      <c r="J200" s="7">
        <v>0</v>
      </c>
      <c r="K200" s="121" t="str">
        <f t="shared" si="82"/>
        <v>4039/4040</v>
      </c>
      <c r="L200" s="24" t="str">
        <f>VLOOKUP(A200,'Trips&amp;Operators'!$C$1:$E$10000,3,FALSE)</f>
        <v>BRUDER</v>
      </c>
      <c r="M200" s="6">
        <f t="shared" si="83"/>
        <v>1.1388888888177462E-2</v>
      </c>
      <c r="N200" s="7">
        <f t="shared" si="84"/>
        <v>16.399999998975545</v>
      </c>
      <c r="O200" s="7"/>
      <c r="P200" s="7"/>
      <c r="Q200" s="25"/>
      <c r="R200" s="25"/>
      <c r="S200" s="37">
        <f t="shared" si="85"/>
        <v>1</v>
      </c>
      <c r="T200" s="52" t="str">
        <f t="shared" si="86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19:36:00-0600',mode:absolute,to:'2016-09-19 21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0" s="54" t="str">
        <f t="shared" si="88"/>
        <v>N</v>
      </c>
      <c r="X200" s="168">
        <f t="shared" si="89"/>
        <v>1</v>
      </c>
      <c r="Y200" s="69">
        <f t="shared" si="90"/>
        <v>5.8666</v>
      </c>
      <c r="Z200" s="69">
        <f t="shared" si="91"/>
        <v>6.9400000000000003E-2</v>
      </c>
      <c r="AA200" s="69">
        <f t="shared" si="92"/>
        <v>5.7972000000000001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93"/>
        <v>0842-19</v>
      </c>
      <c r="AE200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200" s="96" t="str">
        <f t="shared" si="95"/>
        <v>"C:\Program Files (x86)\AstroGrep\AstroGrep.exe" /spath="%USERPROFILE%\AppData\Local\Temp\OnboardLogs" /stypes="app*4039*20160920*" /stext=" 02:.+((SYSTEM_STATE.+slice.+state.+changed )|(ment ac)|(system.+state.+changed )|(\|lc)|(penalty)|(\[timeout)|(PRM\|1\|D)|(kpr)|(kdp))" /e /r /s</v>
      </c>
      <c r="AG200" s="1" t="str">
        <f t="shared" si="96"/>
        <v>NW</v>
      </c>
      <c r="AH200" s="100" t="str">
        <f t="shared" si="97"/>
        <v>"%USERPROFILE%\Documents\GitHub\eaglep3\Utilities\RefineRTDCRunTimes.py" --tripid 842-19 --locoid 4039 --swversion DE.1.0.7.0 --startMP 300:58666 --initTime 2016-09-19T20:36:00 --startdatetime 2016-09-19T20:38:00 --delay 1 --endMP 204:694 --enddatetime 2016-09-19T20:54:24 --enforcementcount 0 &gt;&gt;C:\Users\stu\Documents\GitHub\eaglep3-reporting\EC\2016-09-19-refined-times.txt</v>
      </c>
      <c r="AI200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{"issue":{"subject":"","project_id":79,"tracker_id":40,"status_id":1,"priority_id":2,"assigned_to_id":23,"start_date":"2016-09-19","description":"","custom_fields":[{"id":1,"name":"Subdivision","value":"NW"},{"id":4,"name":"Milepost","value":"0.0694"},{"id":17,"name":"Train ID","value":"842-19"},{"id":16,"name":"Locomotive ID","value":"4039"},{"id":130,"name":"Impact","value":""},{"id":150,"name":"Time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563</v>
      </c>
      <c r="B201" s="7">
        <v>4040</v>
      </c>
      <c r="C201" s="24" t="s">
        <v>106</v>
      </c>
      <c r="D201" s="24" t="s">
        <v>738</v>
      </c>
      <c r="E201" s="15">
        <v>42632.841053240743</v>
      </c>
      <c r="F201" s="15">
        <v>42632.848229166666</v>
      </c>
      <c r="G201" s="7">
        <v>1</v>
      </c>
      <c r="H201" s="15" t="s">
        <v>739</v>
      </c>
      <c r="I201" s="15">
        <v>42632.857152777775</v>
      </c>
      <c r="J201" s="7">
        <v>0</v>
      </c>
      <c r="K201" s="121" t="str">
        <f t="shared" si="82"/>
        <v>4039/4040</v>
      </c>
      <c r="L201" s="24" t="str">
        <f>VLOOKUP(A201,'Trips&amp;Operators'!$C$1:$E$10000,3,FALSE)</f>
        <v>BRUDER</v>
      </c>
      <c r="M201" s="6">
        <f t="shared" si="83"/>
        <v>8.923611108912155E-3</v>
      </c>
      <c r="N201" s="7">
        <f t="shared" si="84"/>
        <v>12.849999996833503</v>
      </c>
      <c r="O201" s="7"/>
      <c r="P201" s="7"/>
      <c r="Q201" s="25"/>
      <c r="R201" s="25"/>
      <c r="S201" s="37">
        <f t="shared" si="85"/>
        <v>1</v>
      </c>
      <c r="T201" s="52" t="str">
        <f t="shared" si="86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19:11:07-0600',mode:absolute,to:'2016-09-19 21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1" s="54" t="str">
        <f t="shared" si="88"/>
        <v>N</v>
      </c>
      <c r="X201" s="168">
        <f t="shared" si="89"/>
        <v>1</v>
      </c>
      <c r="Y201" s="69">
        <f t="shared" si="90"/>
        <v>9.8299999999999998E-2</v>
      </c>
      <c r="Z201" s="69">
        <f t="shared" si="91"/>
        <v>5.8983999999999996</v>
      </c>
      <c r="AA201" s="69">
        <f t="shared" si="92"/>
        <v>5.8000999999999996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93"/>
        <v>0843-19</v>
      </c>
      <c r="AE201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201" s="96" t="str">
        <f t="shared" si="95"/>
        <v>"C:\Program Files (x86)\AstroGrep\AstroGrep.exe" /spath="%USERPROFILE%\AppData\Local\Temp\OnboardLogs" /stypes="app*4040*20160920*" /stext=" 02:.+((SYSTEM_STATE.+slice.+state.+changed )|(ment ac)|(system.+state.+changed )|(\|lc)|(penalty)|(\[timeout)|(PRM\|1\|D)|(kpr)|(kdp))" /e /r /s</v>
      </c>
      <c r="AG201" s="1" t="str">
        <f t="shared" si="96"/>
        <v>NW</v>
      </c>
      <c r="AH201" s="100" t="str">
        <f t="shared" si="97"/>
        <v>"%USERPROFILE%\Documents\GitHub\eaglep3\Utilities\RefineRTDCRunTimes.py" --tripid 843-19 --locoid 4040 --swversion DE.1.0.7.0 --startMP 204:983 --initTime 2016-09-19T20:11:07 --startdatetime 2016-09-19T20:21:27 --delay 1 --endMP 300:58984 --enddatetime 2016-09-19T20:34:18 --enforcementcount 0 &gt;&gt;C:\Users\stu\Documents\GitHub\eaglep3-reporting\EC\2016-09-19-refined-times.txt</v>
      </c>
      <c r="AI201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{"issue":{"subject":"","project_id":79,"tracker_id":40,"status_id":1,"priority_id":2,"assigned_to_id":23,"start_date":"2016-09-19","description":"","custom_fields":[{"id":1,"name":"Subdivision","value":"NW"},{"id":4,"name":"Milepost","value":"5.8984"},{"id":17,"name":"Train ID","value":"843-19"},{"id":16,"name":"Locomotive ID","value":"4040"},{"id":130,"name":"Impact","value":""},{"id":150,"name":"Time of Event (Mountain Time)","value":"20:34:18"},{"id":151,"name":"Denver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570</v>
      </c>
      <c r="B202" s="7">
        <v>4039</v>
      </c>
      <c r="C202" s="24" t="s">
        <v>106</v>
      </c>
      <c r="D202" s="24" t="s">
        <v>726</v>
      </c>
      <c r="E202" s="15">
        <v>42632.900833333333</v>
      </c>
      <c r="F202" s="15">
        <v>42632.902916666666</v>
      </c>
      <c r="G202" s="7">
        <v>2</v>
      </c>
      <c r="H202" s="15" t="s">
        <v>740</v>
      </c>
      <c r="I202" s="15">
        <v>42632.912974537037</v>
      </c>
      <c r="J202" s="7">
        <v>0</v>
      </c>
      <c r="K202" s="121" t="str">
        <f t="shared" si="82"/>
        <v>4039/4040</v>
      </c>
      <c r="L202" s="24" t="str">
        <f>VLOOKUP(A202,'Trips&amp;Operators'!$C$1:$E$10000,3,FALSE)</f>
        <v>COOLAHAN</v>
      </c>
      <c r="M202" s="6">
        <f t="shared" si="83"/>
        <v>1.0057870371383615E-2</v>
      </c>
      <c r="N202" s="7">
        <f t="shared" si="84"/>
        <v>14.483333334792405</v>
      </c>
      <c r="O202" s="7"/>
      <c r="P202" s="7"/>
      <c r="Q202" s="25"/>
      <c r="R202" s="25"/>
      <c r="S202" s="37">
        <f t="shared" si="85"/>
        <v>1</v>
      </c>
      <c r="T202" s="52" t="str">
        <f t="shared" si="86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20:37:12-0600',mode:absolute,to:'2016-09-19 22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2" s="54" t="str">
        <f t="shared" si="88"/>
        <v>N</v>
      </c>
      <c r="X202" s="168">
        <f t="shared" si="89"/>
        <v>1</v>
      </c>
      <c r="Y202" s="69">
        <f t="shared" si="90"/>
        <v>5.8643000000000001</v>
      </c>
      <c r="Z202" s="69">
        <f t="shared" si="91"/>
        <v>8.5199999999999998E-2</v>
      </c>
      <c r="AA202" s="69">
        <f t="shared" si="92"/>
        <v>5.7790999999999997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93"/>
        <v>0844-19</v>
      </c>
      <c r="AE202" s="99" t="str">
        <f t="shared" si="94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202" s="96" t="str">
        <f t="shared" si="95"/>
        <v>"C:\Program Files (x86)\AstroGrep\AstroGrep.exe" /spath="%USERPROFILE%\AppData\Local\Temp\OnboardLogs" /stypes="app*4039*20160920*" /stext=" 03:.+((SYSTEM_STATE.+slice.+state.+changed )|(ment ac)|(system.+state.+changed )|(\|lc)|(penalty)|(\[timeout)|(PRM\|1\|D)|(kpr)|(kdp))" /e /r /s</v>
      </c>
      <c r="AG202" s="1" t="str">
        <f t="shared" si="96"/>
        <v>NW</v>
      </c>
      <c r="AH202" s="100" t="str">
        <f t="shared" si="97"/>
        <v>"%USERPROFILE%\Documents\GitHub\eaglep3\Utilities\RefineRTDCRunTimes.py" --tripid 844-19 --locoid 4039 --swversion DE.1.0.7.0 --startMP 300:58643 --initTime 2016-09-19T21:37:12 --startdatetime 2016-09-19T21:40:12 --delay 2 --endMP 204:852 --enddatetime 2016-09-19T21:54:41 --enforcementcount 0 &gt;&gt;C:\Users\stu\Documents\GitHub\eaglep3-reporting\EC\2016-09-19-refined-times.txt</v>
      </c>
      <c r="AI202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{"issue":{"subject":"","project_id":79,"tracker_id":40,"status_id":1,"priority_id":2,"assigned_to_id":23,"start_date":"2016-09-19","description":"","custom_fields":[{"id":1,"name":"Subdivision","value":"NW"},{"id":4,"name":"Milepost","value":"0.0852"},{"id":17,"name":"Train ID","value":"844-19"},{"id":16,"name":"Locomotive ID","value":"4039"},{"id":130,"name":"Impact","value":""},{"id":150,"name":"Time of Event (Mountain Time)","value":"21:54:41"},{"id":151,"name":"Denver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567</v>
      </c>
      <c r="B203" s="7">
        <v>4040</v>
      </c>
      <c r="C203" s="24" t="s">
        <v>106</v>
      </c>
      <c r="D203" s="24" t="s">
        <v>697</v>
      </c>
      <c r="E203" s="15">
        <v>42632.882673611108</v>
      </c>
      <c r="F203" s="15">
        <v>42632.889780092592</v>
      </c>
      <c r="G203" s="7">
        <v>2</v>
      </c>
      <c r="H203" s="15" t="s">
        <v>741</v>
      </c>
      <c r="I203" s="15">
        <v>42632.899722222224</v>
      </c>
      <c r="J203" s="7">
        <v>0</v>
      </c>
      <c r="K203" s="121" t="str">
        <f t="shared" si="82"/>
        <v>4039/4040</v>
      </c>
      <c r="L203" s="24" t="str">
        <f>VLOOKUP(A203,'Trips&amp;Operators'!$C$1:$E$10000,3,FALSE)</f>
        <v>COOLAHAN</v>
      </c>
      <c r="M203" s="6">
        <f t="shared" si="83"/>
        <v>9.9421296326909214E-3</v>
      </c>
      <c r="N203" s="7">
        <f t="shared" si="84"/>
        <v>14.316666671074927</v>
      </c>
      <c r="O203" s="7"/>
      <c r="P203" s="7"/>
      <c r="Q203" s="25"/>
      <c r="R203" s="25"/>
      <c r="S203" s="37">
        <f t="shared" si="85"/>
        <v>1</v>
      </c>
      <c r="T203" s="52" t="str">
        <f t="shared" si="86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20:11:03-0600',mode:absolute,to:'2016-09-19 22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3" s="54" t="str">
        <f t="shared" si="88"/>
        <v>N</v>
      </c>
      <c r="X203" s="168">
        <f t="shared" si="89"/>
        <v>1</v>
      </c>
      <c r="Y203" s="69">
        <f t="shared" si="90"/>
        <v>9.74E-2</v>
      </c>
      <c r="Z203" s="69">
        <f t="shared" si="91"/>
        <v>5.8963000000000001</v>
      </c>
      <c r="AA203" s="69">
        <f t="shared" si="92"/>
        <v>5.7988999999999997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93"/>
        <v>0845-19</v>
      </c>
      <c r="AE203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203" s="96" t="str">
        <f t="shared" si="95"/>
        <v>"C:\Program Files (x86)\AstroGrep\AstroGrep.exe" /spath="%USERPROFILE%\AppData\Local\Temp\OnboardLogs" /stypes="app*4040*20160920*" /stext=" 03:.+((SYSTEM_STATE.+slice.+state.+changed )|(ment ac)|(system.+state.+changed )|(\|lc)|(penalty)|(\[timeout)|(PRM\|1\|D)|(kpr)|(kdp))" /e /r /s</v>
      </c>
      <c r="AG203" s="1" t="str">
        <f t="shared" si="96"/>
        <v>NW</v>
      </c>
      <c r="AH203" s="100" t="str">
        <f t="shared" si="97"/>
        <v>"%USERPROFILE%\Documents\GitHub\eaglep3\Utilities\RefineRTDCRunTimes.py" --tripid 845-19 --locoid 4040 --swversion DE.1.0.7.0 --startMP 204:974 --initTime 2016-09-19T21:11:03 --startdatetime 2016-09-19T21:21:17 --delay 2 --endMP 300:58963 --enddatetime 2016-09-19T21:35:36 --enforcementcount 0 &gt;&gt;C:\Users\stu\Documents\GitHub\eaglep3-reporting\EC\2016-09-19-refined-times.txt</v>
      </c>
      <c r="AI203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{"issue":{"subject":"","project_id":79,"tracker_id":40,"status_id":1,"priority_id":2,"assigned_to_id":23,"start_date":"2016-09-19","description":"","custom_fields":[{"id":1,"name":"Subdivision","value":"NW"},{"id":4,"name":"Milepost","value":"5.8963"},{"id":17,"name":"Train ID","value":"845-19"},{"id":16,"name":"Locomotive ID","value":"4040"},{"id":130,"name":"Impact","value":""},{"id":150,"name":"Time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575</v>
      </c>
      <c r="B204" s="7">
        <v>4040</v>
      </c>
      <c r="C204" s="24" t="s">
        <v>106</v>
      </c>
      <c r="D204" s="24" t="s">
        <v>742</v>
      </c>
      <c r="E204" s="15">
        <v>42632.928263888891</v>
      </c>
      <c r="F204" s="15">
        <v>42632.931562500002</v>
      </c>
      <c r="G204" s="7">
        <v>1</v>
      </c>
      <c r="H204" s="15" t="s">
        <v>743</v>
      </c>
      <c r="I204" s="15">
        <v>42632.941400462965</v>
      </c>
      <c r="J204" s="7">
        <v>0</v>
      </c>
      <c r="K204" s="121" t="str">
        <f t="shared" si="82"/>
        <v>4039/4040</v>
      </c>
      <c r="L204" s="24" t="str">
        <f>VLOOKUP(A204,'Trips&amp;Operators'!$C$1:$E$10000,3,FALSE)</f>
        <v>COOLAHAN</v>
      </c>
      <c r="M204" s="6">
        <f t="shared" si="83"/>
        <v>9.8379629635019228E-3</v>
      </c>
      <c r="N204" s="7">
        <f t="shared" si="84"/>
        <v>14.166666667442769</v>
      </c>
      <c r="O204" s="7"/>
      <c r="P204" s="7"/>
      <c r="Q204" s="25"/>
      <c r="R204" s="25"/>
      <c r="S204" s="37">
        <f t="shared" si="85"/>
        <v>1</v>
      </c>
      <c r="T204" s="52" t="str">
        <f t="shared" si="86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21:16:42-0600',mode:absolute,to:'2016-09-19 23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4" s="54" t="str">
        <f t="shared" si="88"/>
        <v>N</v>
      </c>
      <c r="X204" s="168">
        <f t="shared" si="89"/>
        <v>2</v>
      </c>
      <c r="Y204" s="69">
        <f t="shared" si="90"/>
        <v>0.113</v>
      </c>
      <c r="Z204" s="69">
        <f t="shared" si="91"/>
        <v>5.8978000000000002</v>
      </c>
      <c r="AA204" s="69">
        <f t="shared" si="92"/>
        <v>5.7847999999999997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93"/>
        <v>0847-19</v>
      </c>
      <c r="AE204" s="99" t="str">
        <f t="shared" si="94"/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AF204" s="96" t="str">
        <f t="shared" si="95"/>
        <v>"C:\Program Files (x86)\AstroGrep\AstroGrep.exe" /spath="%USERPROFILE%\AppData\Local\Temp\OnboardLogs" /stypes="app*4040*20160920*" /stext=" 04:.+((SYSTEM_STATE.+slice.+state.+changed )|(ment ac)|(system.+state.+changed )|(\|lc)|(penalty)|(\[timeout)|(PRM\|1\|D)|(kpr)|(kdp))" /e /r /s</v>
      </c>
      <c r="AG204" s="1" t="str">
        <f t="shared" si="96"/>
        <v>NW</v>
      </c>
      <c r="AH204" s="100" t="str">
        <f t="shared" si="97"/>
        <v>"%USERPROFILE%\Documents\GitHub\eaglep3\Utilities\RefineRTDCRunTimes.py" --tripid 847-19 --locoid 4040 --swversion DE.1.0.7.0 --startMP 204:1130 --initTime 2016-09-19T22:16:42 --startdatetime 2016-09-19T22:21:27 --delay 1 --endMP 300:58978 --enddatetime 2016-09-19T22:35:37 --enforcementcount 0 &gt;&gt;C:\Users\stu\Documents\GitHub\eaglep3-reporting\EC\2016-09-19-refined-times.txt</v>
      </c>
      <c r="AI204" s="134" t="str">
        <f t="shared" si="98"/>
        <v>echo {"issue":{"subject":"","project_id":79,"tracker_id":40,"status_id":1,"priority_id":2,"assigned_to_id":23,"start_date":"2016-09-19","description":"","custom_fields":[{"id":1,"name":"Subdivision","value":"NW"},{"id":4,"name":"Milepost","value":"5.8978"},{"id":17,"name":"Train ID","value":"847-19"},{"id":16,"name":"Locomotive ID","value":"4040"},{"id":130,"name":"Impact","value":""},{"id":150,"name":"Time of Event (Mountain Time)","value":"22:35:37"},{"id":151,"name":"Denver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s="23" customFormat="1" x14ac:dyDescent="0.25">
      <c r="A205" s="39" t="s">
        <v>548</v>
      </c>
      <c r="B205" s="7">
        <v>4031</v>
      </c>
      <c r="C205" s="24" t="s">
        <v>106</v>
      </c>
      <c r="D205" s="24" t="s">
        <v>659</v>
      </c>
      <c r="E205" s="15">
        <v>42632.779907407406</v>
      </c>
      <c r="F205" s="15">
        <v>25568.708333333332</v>
      </c>
      <c r="G205" s="7">
        <v>1</v>
      </c>
      <c r="H205" s="15" t="s">
        <v>360</v>
      </c>
      <c r="I205" s="15">
        <v>25568.708333333332</v>
      </c>
      <c r="J205" s="7">
        <v>0</v>
      </c>
      <c r="K205" s="121" t="str">
        <f t="shared" si="82"/>
        <v>4031/4032</v>
      </c>
      <c r="L205" s="24" t="str">
        <f>VLOOKUP(A205,'Trips&amp;Operators'!$C$1:$E$10000,3,FALSE)</f>
        <v>CLARK</v>
      </c>
      <c r="M205" s="6">
        <f t="shared" si="83"/>
        <v>0</v>
      </c>
      <c r="N205" s="7">
        <f t="shared" si="84"/>
        <v>0</v>
      </c>
      <c r="O205" s="7"/>
      <c r="P205" s="7"/>
      <c r="Q205" s="25"/>
      <c r="R205" s="25"/>
      <c r="S205" s="37">
        <f t="shared" si="85"/>
        <v>1</v>
      </c>
      <c r="T205" s="52" t="str">
        <f t="shared" si="86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17:43:04-0600',mode:absolute,to:'1969-12-31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5" s="54" t="str">
        <f t="shared" si="88"/>
        <v>Y</v>
      </c>
      <c r="X205" s="168">
        <f t="shared" si="89"/>
        <v>-544</v>
      </c>
      <c r="Y205" s="69">
        <f t="shared" si="90"/>
        <v>6.0999999999999999E-2</v>
      </c>
      <c r="Z205" s="69">
        <f t="shared" si="91"/>
        <v>2.3306</v>
      </c>
      <c r="AA205" s="69">
        <f t="shared" si="92"/>
        <v>2.2696000000000001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si="93"/>
        <v>0303-19</v>
      </c>
      <c r="AE205" s="99" t="str">
        <f t="shared" si="94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5" s="96" t="str">
        <f t="shared" si="95"/>
        <v>"C:\Program Files (x86)\AstroGrep\AstroGrep.exe" /spath="%USERPROFILE%\AppData\Local\Temp\OnboardLogs" /stypes="app*4031*19691231*" /stext=" 23:.+((SYSTEM_STATE.+slice.+state.+changed )|(ment ac)|(system.+state.+changed )|(\|lc)|(penalty)|(\[timeout)|(PRM\|1\|D)|(kpr)|(kdp))" /e /r /s</v>
      </c>
      <c r="AG205" s="1" t="str">
        <f t="shared" si="96"/>
        <v>Other</v>
      </c>
      <c r="AH205" s="100" t="str">
        <f t="shared" si="97"/>
        <v>"%USERPROFILE%\Documents\GitHub\eaglep3\Utilities\RefineRTDCRunTimes.py" --tripid 303-19 --locoid 4031 --swversion DE.1.0.7.0 --startMP 204:610 --initTime 2016-09-19T18:43:04 --startdatetime 1969-12-31T17:00:00 --delay 1 --endMP 300:23306 --enddatetime 1969-12-31T17:00:00 --enforcementcount 0 &gt;&gt;C:\Users\stu\Documents\GitHub\eaglep3-reporting\EC\2016-09-19-refined-times.txt</v>
      </c>
      <c r="AI205" s="134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ID","value":"303-19"},{"id":16,"name":"Locomotive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558</v>
      </c>
      <c r="B206" s="7">
        <v>4025</v>
      </c>
      <c r="C206" s="24" t="s">
        <v>106</v>
      </c>
      <c r="D206" s="24" t="s">
        <v>241</v>
      </c>
      <c r="E206" s="15">
        <v>42632.817569444444</v>
      </c>
      <c r="F206" s="15">
        <v>25568.708333333332</v>
      </c>
      <c r="G206" s="7">
        <v>1</v>
      </c>
      <c r="H206" s="15" t="s">
        <v>660</v>
      </c>
      <c r="I206" s="15">
        <v>25568.708333333332</v>
      </c>
      <c r="J206" s="7">
        <v>0</v>
      </c>
      <c r="K206" s="121" t="str">
        <f t="shared" si="82"/>
        <v>4025/4026</v>
      </c>
      <c r="L206" s="24" t="str">
        <f>VLOOKUP(A206,'Trips&amp;Operators'!$C$1:$E$10000,3,FALSE)</f>
        <v>ISHMAEL</v>
      </c>
      <c r="M206" s="6">
        <f t="shared" si="83"/>
        <v>0</v>
      </c>
      <c r="N206" s="7">
        <f t="shared" si="84"/>
        <v>0</v>
      </c>
      <c r="O206" s="7"/>
      <c r="P206" s="7"/>
      <c r="Q206" s="25"/>
      <c r="R206" s="25"/>
      <c r="S206" s="37">
        <f t="shared" si="85"/>
        <v>1</v>
      </c>
      <c r="T206" s="52" t="str">
        <f t="shared" si="86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87"/>
        <v>https://search-rtdc-monitor-bjffxe2xuh6vdkpspy63sjmuny.us-east-1.es.amazonaws.com/_plugin/kibana/#/discover/Steve-Slow-Train-Analysis-(2080s-and-2083s)?_g=(refreshInterval:(display:Off,section:0,value:0),time:(from:'2016-09-19 18:37:18-0600',mode:absolute,to:'1969-12-31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6" s="54" t="str">
        <f t="shared" si="88"/>
        <v>Y</v>
      </c>
      <c r="X206" s="168">
        <f t="shared" si="89"/>
        <v>4</v>
      </c>
      <c r="Y206" s="69">
        <f t="shared" si="90"/>
        <v>4.6899999999999997E-2</v>
      </c>
      <c r="Z206" s="69">
        <f t="shared" si="91"/>
        <v>2.3296999999999999</v>
      </c>
      <c r="AA206" s="69">
        <f t="shared" si="92"/>
        <v>2.2827999999999999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93"/>
        <v>0307-19</v>
      </c>
      <c r="AE206" s="99" t="str">
        <f t="shared" si="94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206" s="96" t="str">
        <f t="shared" si="95"/>
        <v>"C:\Program Files (x86)\AstroGrep\AstroGrep.exe" /spath="%USERPROFILE%\AppData\Local\Temp\OnboardLogs" /stypes="app*4025*19691231*" /stext=" 23:.+((SYSTEM_STATE.+slice.+state.+changed )|(ment ac)|(system.+state.+changed )|(\|lc)|(penalty)|(\[timeout)|(PRM\|1\|D)|(kpr)|(kdp))" /e /r /s</v>
      </c>
      <c r="AG206" s="1" t="str">
        <f t="shared" si="96"/>
        <v>Other</v>
      </c>
      <c r="AH206" s="100" t="str">
        <f t="shared" si="97"/>
        <v>"%USERPROFILE%\Documents\GitHub\eaglep3\Utilities\RefineRTDCRunTimes.py" --tripid 307-19 --locoid 4025 --swversion DE.1.0.7.0 --startMP 204:469 --initTime 2016-09-19T19:37:18 --startdatetime 1969-12-31T17:00:00 --delay 1 --endMP 300:23297 --enddatetime 1969-12-31T17:00:00 --enforcementcount 0 &gt;&gt;C:\Users\stu\Documents\GitHub\eaglep3-reporting\EC\2016-09-19-refined-times.txt</v>
      </c>
      <c r="AI206" s="134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ID","value":"307-19"},{"id":16,"name":"Locomotive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585</v>
      </c>
      <c r="B207" s="7">
        <v>4042</v>
      </c>
      <c r="C207" s="24" t="s">
        <v>106</v>
      </c>
      <c r="D207" s="24" t="s">
        <v>242</v>
      </c>
      <c r="E207" s="15">
        <v>42633.027581018519</v>
      </c>
      <c r="F207" s="15">
        <v>42633.029467592591</v>
      </c>
      <c r="G207" s="7">
        <v>1</v>
      </c>
      <c r="H207" s="15" t="s">
        <v>661</v>
      </c>
      <c r="I207" s="15">
        <v>42633.035624999997</v>
      </c>
      <c r="J207" s="7">
        <v>0</v>
      </c>
      <c r="K207" s="121" t="str">
        <f t="shared" ref="K207:K219" si="99">IF(ISEVEN(B207),(B207-1)&amp;"/"&amp;B207,B207&amp;"/"&amp;(B207+1))</f>
        <v>4041/4042</v>
      </c>
      <c r="L207" s="24" t="str">
        <f>VLOOKUP(A207,'Trips&amp;Operators'!$C$1:$E$10000,3,FALSE)</f>
        <v>LEVERE</v>
      </c>
      <c r="M207" s="6">
        <f t="shared" ref="M207:M219" si="100">I207-F207</f>
        <v>6.1574074061354622E-3</v>
      </c>
      <c r="N207" s="7">
        <f t="shared" ref="N207:N219" si="101">24*60*SUM($M207:$M207)</f>
        <v>8.8666666648350656</v>
      </c>
      <c r="O207" s="7"/>
      <c r="P207" s="7"/>
      <c r="Q207" s="25"/>
      <c r="R207" s="25"/>
      <c r="S207" s="37">
        <f t="shared" ref="S207:S219" si="102">SUM(U207:U207)/IF(AG207="EC",12,1)</f>
        <v>1</v>
      </c>
      <c r="T207" s="52" t="str">
        <f t="shared" ref="T207:T219" si="103">IF(ISEVEN(LEFT(AD207,4)),"Southbound","NorthBound")</f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ref="V207:V219" si="104"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https://search-rtdc-monitor-bjffxe2xuh6vdkpspy63sjmuny.us-east-1.es.amazonaws.com/_plugin/kibana/#/discover/Steve-Slow-Train-Analysis-(2080s-and-2083s)?_g=(refreshInterval:(display:Off,section:0,value:0),time:(from:'2016-09-19 23:39:43-0600',mode:absolute,to:'2016-09-20 01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7" s="54" t="str">
        <f t="shared" ref="W207:W219" si="105">IF(AA207&lt;IF(AG207="EC",23,5.65),"Y","N")</f>
        <v>Y</v>
      </c>
      <c r="X207" s="168">
        <f t="shared" ref="X207:X219" si="106">VALUE(LEFT(AD207,4))-VALUE(LEFT(AD206,4))</f>
        <v>2</v>
      </c>
      <c r="Y207" s="69">
        <f t="shared" ref="Y207:Y219" si="107">RIGHT(D207,LEN(D207)-4)/10000</f>
        <v>4.4900000000000002E-2</v>
      </c>
      <c r="Z207" s="69">
        <f t="shared" ref="Z207:Z219" si="108">RIGHT(H207,LEN(H207)-4)/10000</f>
        <v>2.2829000000000002</v>
      </c>
      <c r="AA207" s="69">
        <f t="shared" ref="AA207:AA219" si="109">ABS(Z207-Y207)</f>
        <v>2.238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ref="AD207:AD219" si="110">IF(LEN(A207)=6,"0"&amp;A207,A207)</f>
        <v>0309-19</v>
      </c>
      <c r="AE207" s="99" t="str">
        <f t="shared" ref="AE207:AE219" si="111"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 &amp; aws s3 cp s3://rtdc.mdm.uploadarchive/RTDC4042/2016-09-21/ "%USERPROFILE%\AppData\Local\Temp\OnboardLogs"\RTDC4042\2016-09-21 --recursive &amp; "%USERPROFILE%\Documents\GitHub\mrs-test-scripts\Headless Mode &amp; Sideloading\WalkAndUnGZ.bat" "%USERPROFILE%\AppData\Local\Temp\OnboardLogs"\RTDC4042\2016-09-21</v>
      </c>
      <c r="AF207" s="96" t="str">
        <f t="shared" ref="AF207:AF219" si="112"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/stypes="app*4042*20160920*" /stext=" 06:.+((SYSTEM_STATE.+slice.+state.+changed )|(ment ac)|(system.+state.+changed )|(\|lc)|(penalty)|(\[timeout)|(PRM\|1\|D)|(kpr)|(kdp))" /e /r /s</v>
      </c>
      <c r="AG207" s="1" t="str">
        <f t="shared" ref="AG207:AG219" si="113">IFERROR(IF(VALUE(LEFT(AD207,2))&lt;=2,"EC",IF(OR(VALUE(LEFT(AD207,2))=8,VALUE(LEFT(AD207,2))=18),"NW","Other")),"Other")</f>
        <v>Other</v>
      </c>
      <c r="AH207" s="100" t="str">
        <f t="shared" si="97"/>
        <v>"%USERPROFILE%\Documents\GitHub\eaglep3\Utilities\RefineRTDCRunTimes.py" --tripid 309-19 --locoid 4042 --swversion DE.1.0.7.0 --startMP 204:449 --initTime 2016-09-20T00:39:43 --startdatetime 2016-09-20T00:42:26 --delay 1 --endMP 300:22829 --enddatetime 2016-09-20T00:51:18 --enforcementcount 0 &gt;&gt;C:\Users\stu\Documents\GitHub\eaglep3-reporting\EC\2016-09-19-refined-times.txt</v>
      </c>
      <c r="AI207" s="134" t="str">
        <f t="shared" si="98"/>
        <v>echo {"issue":{"subject":"","project_id":79,"tracker_id":40,"status_id":1,"priority_id":2,"assigned_to_id":23,"start_date":"2016-09-20","description":"","custom_fields":[{"id":1,"name":"Subdivision","value":"Other"},{"id":4,"name":"Milepost","value":"2.2829"},{"id":17,"name":"Train ID","value":"309-19"},{"id":16,"name":"Locomotive ID","value":"4042"},{"id":130,"name":"Impact","value":""},{"id":150,"name":"Time of Event (Mountain Time)","value":"00:51:18"},{"id":151,"name":"Denver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s="23" customFormat="1" x14ac:dyDescent="0.25">
      <c r="A208" s="39" t="s">
        <v>587</v>
      </c>
      <c r="B208" s="7">
        <v>4007</v>
      </c>
      <c r="C208" s="24" t="s">
        <v>106</v>
      </c>
      <c r="D208" s="24" t="s">
        <v>224</v>
      </c>
      <c r="E208" s="15">
        <v>42633.046585648146</v>
      </c>
      <c r="F208" s="15">
        <v>25568.708333333332</v>
      </c>
      <c r="G208" s="7">
        <v>1</v>
      </c>
      <c r="H208" s="15" t="s">
        <v>662</v>
      </c>
      <c r="I208" s="15">
        <v>25568.708333333332</v>
      </c>
      <c r="J208" s="7">
        <v>0</v>
      </c>
      <c r="K208" s="121" t="str">
        <f t="shared" si="99"/>
        <v>4007/4008</v>
      </c>
      <c r="L208" s="24" t="str">
        <f>VLOOKUP(A208,'Trips&amp;Operators'!$C$1:$E$10000,3,FALSE)</f>
        <v>NEWELL</v>
      </c>
      <c r="M208" s="6">
        <f t="shared" si="100"/>
        <v>0</v>
      </c>
      <c r="N208" s="7">
        <f t="shared" si="101"/>
        <v>0</v>
      </c>
      <c r="O208" s="7"/>
      <c r="P208" s="7"/>
      <c r="Q208" s="25"/>
      <c r="R208" s="25"/>
      <c r="S208" s="37">
        <f t="shared" si="102"/>
        <v>1</v>
      </c>
      <c r="T208" s="52" t="str">
        <f t="shared" si="103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https://search-rtdc-monitor-bjffxe2xuh6vdkpspy63sjmuny.us-east-1.es.amazonaws.com/_plugin/kibana/#/discover/Steve-Slow-Train-Analysis-(2080s-and-2083s)?_g=(refreshInterval:(display:Off,section:0,value:0),time:(from:'2016-09-20 00:07:05-0600',mode:absolute,to:'1969-12-31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W208" s="54" t="str">
        <f t="shared" si="105"/>
        <v>Y</v>
      </c>
      <c r="X208" s="168">
        <f t="shared" si="106"/>
        <v>2</v>
      </c>
      <c r="Y208" s="69">
        <f t="shared" si="107"/>
        <v>4.4699999999999997E-2</v>
      </c>
      <c r="Z208" s="69">
        <f t="shared" si="108"/>
        <v>2.3313999999999999</v>
      </c>
      <c r="AA208" s="69">
        <f t="shared" si="109"/>
        <v>2.2866999999999997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110"/>
        <v>0311-19</v>
      </c>
      <c r="AE208" s="99" t="str">
        <f t="shared" si="111"/>
        <v>aws s3 cp s3://rtdc.mdm.uploadarchive/RTDC4007/1969-12-31/ "%USERPROFILE%\AppData\Local\Temp\OnboardLogs"\RTDC4007\1969-12-31 --recursive &amp; "%USERPROFILE%\Documents\GitHub\mrs-test-scripts\Headless Mode &amp; Sideloading\WalkAndUnGZ.bat" "%USERPROFILE%\AppData\Local\Temp\OnboardLogs"\RTDC4007\1969-12-31 &amp; aws s3 cp s3://rtdc.mdm.uploadarchive/RTDC4007/1970-01-01/ "%USERPROFILE%\AppData\Local\Temp\OnboardLogs"\RTDC4007\1970-01-01 --recursive &amp; "%USERPROFILE%\Documents\GitHub\mrs-test-scripts\Headless Mode &amp; Sideloading\WalkAndUnGZ.bat" "%USERPROFILE%\AppData\Local\Temp\OnboardLogs"\RTDC4007\1970-01-01</v>
      </c>
      <c r="AF208" s="96" t="str">
        <f t="shared" si="112"/>
        <v>"C:\Program Files (x86)\AstroGrep\AstroGrep.exe" /spath="%USERPROFILE%\AppData\Local\Temp\OnboardLogs" /stypes="app*4007*19691231*" /stext=" 23:.+((SYSTEM_STATE.+slice.+state.+changed )|(ment ac)|(system.+state.+changed )|(\|lc)|(penalty)|(\[timeout)|(PRM\|1\|D)|(kpr)|(kdp))" /e /r /s</v>
      </c>
      <c r="AG208" s="1" t="str">
        <f t="shared" si="113"/>
        <v>Other</v>
      </c>
      <c r="AH208" s="100" t="str">
        <f t="shared" ref="AH208:AH219" si="114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311-19 --locoid 4007 --swversion DE.1.0.7.0 --startMP 204:447 --initTime 2016-09-20T01:07:05 --startdatetime 1969-12-31T17:00:00 --delay 1 --endMP 300:23314 --enddatetime 1969-12-31T17:00:00 --enforcementcount 0 &gt;&gt;C:\Users\stu\Documents\GitHub\eaglep3-reporting\EC\2016-09-19-refined-times.txt</v>
      </c>
      <c r="AI208" s="134" t="str">
        <f t="shared" ref="AI208:AI219" si="115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ID","value":"311-19"},{"id":16,"name":"Locomotive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x14ac:dyDescent="0.25">
      <c r="A209" s="39" t="s">
        <v>589</v>
      </c>
      <c r="B209" s="7">
        <v>4053</v>
      </c>
      <c r="C209" s="24" t="s">
        <v>106</v>
      </c>
      <c r="D209" s="24" t="s">
        <v>347</v>
      </c>
      <c r="E209" s="15">
        <v>42633.06958333333</v>
      </c>
      <c r="F209" s="15">
        <v>42633.071250000001</v>
      </c>
      <c r="G209" s="7">
        <v>0</v>
      </c>
      <c r="H209" s="15" t="s">
        <v>663</v>
      </c>
      <c r="I209" s="15">
        <v>42633.076689814814</v>
      </c>
      <c r="J209" s="7">
        <v>0</v>
      </c>
      <c r="K209" s="121" t="str">
        <f t="shared" si="99"/>
        <v>4053/4054</v>
      </c>
      <c r="L209" s="24" t="str">
        <f>VLOOKUP(A209,'Trips&amp;Operators'!$C$1:$E$10000,3,FALSE)</f>
        <v>CHANDLER</v>
      </c>
      <c r="M209" s="6">
        <f t="shared" si="100"/>
        <v>5.4398148131440394E-3</v>
      </c>
      <c r="N209" s="7">
        <f t="shared" si="101"/>
        <v>7.8333333309274167</v>
      </c>
      <c r="O209" s="7"/>
      <c r="P209" s="7"/>
      <c r="Q209" s="25"/>
      <c r="R209" s="25"/>
      <c r="S209" s="37">
        <f t="shared" si="102"/>
        <v>1</v>
      </c>
      <c r="T209" s="52" t="str">
        <f t="shared" si="103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https://search-rtdc-monitor-bjffxe2xuh6vdkpspy63sjmuny.us-east-1.es.amazonaws.com/_plugin/kibana/#/discover/Steve-Slow-Train-Analysis-(2080s-and-2083s)?_g=(refreshInterval:(display:Off,section:0,value:0),time:(from:'2016-09-20 00:40:12-0600',mode:absolute,to:'2016-09-20 02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09" s="54" t="str">
        <f t="shared" si="105"/>
        <v>Y</v>
      </c>
      <c r="X209" s="168">
        <f t="shared" si="106"/>
        <v>2</v>
      </c>
      <c r="Y209" s="69">
        <f t="shared" si="107"/>
        <v>4.7300000000000002E-2</v>
      </c>
      <c r="Z209" s="69">
        <f t="shared" si="108"/>
        <v>2.2363</v>
      </c>
      <c r="AA209" s="69">
        <f t="shared" si="109"/>
        <v>2.1890000000000001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110"/>
        <v>0313-19</v>
      </c>
      <c r="AE209" s="99" t="str">
        <f t="shared" si="111"/>
        <v>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 &amp; aws s3 cp s3://rtdc.mdm.uploadarchive/RTDC4053/2016-09-21/ "%USERPROFILE%\AppData\Local\Temp\OnboardLogs"\RTDC4053\2016-09-21 --recursive &amp; "%USERPROFILE%\Documents\GitHub\mrs-test-scripts\Headless Mode &amp; Sideloading\WalkAndUnGZ.bat" "%USERPROFILE%\AppData\Local\Temp\OnboardLogs"\RTDC4053\2016-09-21</v>
      </c>
      <c r="AF209" s="96" t="str">
        <f t="shared" si="112"/>
        <v>"C:\Program Files (x86)\AstroGrep\AstroGrep.exe" /spath="%USERPROFILE%\AppData\Local\Temp\OnboardLogs" /stypes="app*4053*20160920*" /stext=" 07:.+((SYSTEM_STATE.+slice.+state.+changed )|(ment ac)|(system.+state.+changed )|(\|lc)|(penalty)|(\[timeout)|(PRM\|1\|D)|(kpr)|(kdp))" /e /r /s</v>
      </c>
      <c r="AG209" s="1" t="str">
        <f t="shared" si="113"/>
        <v>Other</v>
      </c>
      <c r="AH209" s="100" t="str">
        <f t="shared" si="114"/>
        <v>"%USERPROFILE%\Documents\GitHub\eaglep3\Utilities\RefineRTDCRunTimes.py" --tripid 313-19 --locoid 4053 --swversion DE.1.0.7.0 --startMP 204:473 --initTime 2016-09-20T01:40:12 --startdatetime 2016-09-20T01:42:36 --delay 0 --endMP 300:22363 --enddatetime 2016-09-20T01:50:26 --enforcementcount 0 &gt;&gt;C:\Users\stu\Documents\GitHub\eaglep3-reporting\EC\2016-09-19-refined-times.txt</v>
      </c>
      <c r="AI209" s="134" t="str">
        <f t="shared" si="115"/>
        <v>echo {"issue":{"subject":"","project_id":79,"tracker_id":40,"status_id":1,"priority_id":2,"assigned_to_id":23,"start_date":"2016-09-20","description":"","custom_fields":[{"id":1,"name":"Subdivision","value":"Other"},{"id":4,"name":"Milepost","value":"2.2363"},{"id":17,"name":"Train ID","value":"313-19"},{"id":16,"name":"Locomotive ID","value":"4053"},{"id":130,"name":"Impact","value":""},{"id":150,"name":"Time of Event (Mountain Time)","value":"01:50:26"},{"id":151,"name":"Denver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336</v>
      </c>
      <c r="B210" s="7">
        <v>4009</v>
      </c>
      <c r="C210" s="24" t="s">
        <v>106</v>
      </c>
      <c r="D210" s="24" t="s">
        <v>305</v>
      </c>
      <c r="E210" s="15">
        <v>42632.090428240743</v>
      </c>
      <c r="F210" s="15">
        <v>42632.091550925928</v>
      </c>
      <c r="G210" s="7">
        <v>1</v>
      </c>
      <c r="H210" s="15" t="s">
        <v>361</v>
      </c>
      <c r="I210" s="15">
        <v>42632.097777777781</v>
      </c>
      <c r="J210" s="7">
        <v>0</v>
      </c>
      <c r="K210" s="121" t="str">
        <f t="shared" si="99"/>
        <v>4009/4010</v>
      </c>
      <c r="L210" s="24" t="str">
        <f>VLOOKUP(A210,'Trips&amp;Operators'!$C$1:$E$10000,3,FALSE)</f>
        <v>CHANDLER</v>
      </c>
      <c r="M210" s="6">
        <f t="shared" si="100"/>
        <v>6.2268518522614613E-3</v>
      </c>
      <c r="N210" s="7">
        <f t="shared" si="101"/>
        <v>8.9666666672565043</v>
      </c>
      <c r="O210" s="7"/>
      <c r="P210" s="7"/>
      <c r="Q210" s="25"/>
      <c r="R210" s="25"/>
      <c r="S210" s="37">
        <f t="shared" si="102"/>
        <v>1</v>
      </c>
      <c r="T210" s="52" t="str">
        <f t="shared" si="103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01:10:13-0600',mode:absolute,to:'2016-09-19 03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0" s="54" t="str">
        <f t="shared" si="105"/>
        <v>Y</v>
      </c>
      <c r="X210" s="168">
        <f t="shared" si="106"/>
        <v>2</v>
      </c>
      <c r="Y210" s="69">
        <f t="shared" si="107"/>
        <v>4.8000000000000001E-2</v>
      </c>
      <c r="Z210" s="69">
        <f t="shared" si="108"/>
        <v>2.2839</v>
      </c>
      <c r="AA210" s="69">
        <f t="shared" si="109"/>
        <v>2.2359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110"/>
        <v>0315-18</v>
      </c>
      <c r="AE210" s="99" t="str">
        <f t="shared" si="111"/>
        <v>aws s3 cp s3://rtdc.mdm.uploadarchive/RTDC4009/2016-09-19/ "%USERPROFILE%\AppData\Local\Temp\OnboardLogs"\RTDC4009\2016-09-19 --recursive &amp; "%USERPROFILE%\Documents\GitHub\mrs-test-scripts\Headless Mode &amp; Sideloading\WalkAndUnGZ.bat" "%USERPROFILE%\AppData\Local\Temp\OnboardLogs"\RTDC4009\2016-09-19 &amp; aws s3 cp s3://rtdc.mdm.uploadarchive/RTDC4009/2016-09-20/ "%USERPROFILE%\AppData\Local\Temp\OnboardLogs"\RTDC4009\2016-09-20 --recursive &amp; "%USERPROFILE%\Documents\GitHub\mrs-test-scripts\Headless Mode &amp; Sideloading\WalkAndUnGZ.bat" "%USERPROFILE%\AppData\Local\Temp\OnboardLogs"\RTDC4009\2016-09-20</v>
      </c>
      <c r="AF210" s="96" t="str">
        <f t="shared" si="112"/>
        <v>"C:\Program Files (x86)\AstroGrep\AstroGrep.exe" /spath="%USERPROFILE%\AppData\Local\Temp\OnboardLogs" /stypes="app*4009*20160919*" /stext=" 08:.+((SYSTEM_STATE.+slice.+state.+changed )|(ment ac)|(system.+state.+changed )|(\|lc)|(penalty)|(\[timeout)|(PRM\|1\|D)|(kpr)|(kdp))" /e /r /s</v>
      </c>
      <c r="AG210" s="1" t="str">
        <f t="shared" si="113"/>
        <v>Other</v>
      </c>
      <c r="AH210" s="100" t="str">
        <f t="shared" si="114"/>
        <v>"%USERPROFILE%\Documents\GitHub\eaglep3\Utilities\RefineRTDCRunTimes.py" --tripid 315-18 --locoid 4009 --swversion DE.1.0.7.0 --startMP 204:480 --initTime 2016-09-19T02:10:13 --startdatetime 2016-09-19T02:11:50 --delay 1 --endMP 300:22839 --enddatetime 2016-09-19T02:20:48 --enforcementcount 0 &gt;&gt;C:\Users\stu\Documents\GitHub\eaglep3-reporting\EC\2016-09-19-refined-times.txt</v>
      </c>
      <c r="AI210" s="134" t="str">
        <f t="shared" si="115"/>
        <v>echo {"issue":{"subject":"","project_id":79,"tracker_id":40,"status_id":1,"priority_id":2,"assigned_to_id":23,"start_date":"2016-09-19","description":"","custom_fields":[{"id":1,"name":"Subdivision","value":"Other"},{"id":4,"name":"Milepost","value":"2.2839"},{"id":17,"name":"Train ID","value":"315-18"},{"id":16,"name":"Locomotive ID","value":"4009"},{"id":130,"name":"Impact","value":""},{"id":150,"name":"Time of Event (Mountain Time)","value":"02:20:48"},{"id":151,"name":"Denver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590</v>
      </c>
      <c r="B211" s="7">
        <v>4002</v>
      </c>
      <c r="C211" s="24" t="s">
        <v>106</v>
      </c>
      <c r="D211" s="24" t="s">
        <v>243</v>
      </c>
      <c r="E211" s="15">
        <v>42633.087407407409</v>
      </c>
      <c r="F211" s="15">
        <v>25568.708333333332</v>
      </c>
      <c r="G211" s="7">
        <v>1</v>
      </c>
      <c r="H211" s="15" t="s">
        <v>664</v>
      </c>
      <c r="I211" s="15">
        <v>25568.708333333332</v>
      </c>
      <c r="J211" s="7">
        <v>0</v>
      </c>
      <c r="K211" s="121" t="str">
        <f t="shared" si="99"/>
        <v>4001/4002</v>
      </c>
      <c r="L211" s="24" t="str">
        <f>VLOOKUP(A211,'Trips&amp;Operators'!$C$1:$E$10000,3,FALSE)</f>
        <v>YANAI</v>
      </c>
      <c r="M211" s="6">
        <f t="shared" si="100"/>
        <v>0</v>
      </c>
      <c r="N211" s="7">
        <f t="shared" si="101"/>
        <v>0</v>
      </c>
      <c r="O211" s="7"/>
      <c r="P211" s="7"/>
      <c r="Q211" s="25"/>
      <c r="R211" s="25"/>
      <c r="S211" s="37">
        <f t="shared" si="102"/>
        <v>1</v>
      </c>
      <c r="T211" s="52" t="str">
        <f t="shared" si="103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https://search-rtdc-monitor-bjffxe2xuh6vdkpspy63sjmuny.us-east-1.es.amazonaws.com/_plugin/kibana/#/discover/Steve-Slow-Train-Analysis-(2080s-and-2083s)?_g=(refreshInterval:(display:Off,section:0,value:0),time:(from:'2016-09-20 01:05:52-0600',mode:absolute,to:'1969-12-31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1" s="54" t="str">
        <f t="shared" si="105"/>
        <v>Y</v>
      </c>
      <c r="X211" s="168">
        <f t="shared" si="106"/>
        <v>0</v>
      </c>
      <c r="Y211" s="69">
        <f t="shared" si="107"/>
        <v>4.7500000000000001E-2</v>
      </c>
      <c r="Z211" s="69">
        <f t="shared" si="108"/>
        <v>2.3007</v>
      </c>
      <c r="AA211" s="69">
        <f t="shared" si="109"/>
        <v>2.2532000000000001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110"/>
        <v>0315-19</v>
      </c>
      <c r="AE211" s="99" t="str">
        <f t="shared" si="111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11" s="96" t="str">
        <f t="shared" si="112"/>
        <v>"C:\Program Files (x86)\AstroGrep\AstroGrep.exe" /spath="%USERPROFILE%\AppData\Local\Temp\OnboardLogs" /stypes="app*4002*19691231*" /stext=" 23:.+((SYSTEM_STATE.+slice.+state.+changed )|(ment ac)|(system.+state.+changed )|(\|lc)|(penalty)|(\[timeout)|(PRM\|1\|D)|(kpr)|(kdp))" /e /r /s</v>
      </c>
      <c r="AG211" s="1" t="str">
        <f t="shared" si="113"/>
        <v>Other</v>
      </c>
      <c r="AH211" s="100" t="str">
        <f t="shared" si="114"/>
        <v>"%USERPROFILE%\Documents\GitHub\eaglep3\Utilities\RefineRTDCRunTimes.py" --tripid 315-19 --locoid 4002 --swversion DE.1.0.7.0 --startMP 204:475 --initTime 2016-09-20T02:05:52 --startdatetime 1969-12-31T17:00:00 --delay 1 --endMP 300:23007 --enddatetime 1969-12-31T17:00:00 --enforcementcount 0 &gt;&gt;C:\Users\stu\Documents\GitHub\eaglep3-reporting\EC\2016-09-19-refined-times.txt</v>
      </c>
      <c r="AI211" s="134" t="str">
        <f t="shared" si="115"/>
        <v>echo {"issue":{"subject":"","project_id":79,"tracker_id":40,"status_id":1,"priority_id":2,"assigned_to_id":23,"start_date":"1969-12-31","description":"","custom_fields":[{"id":1,"name":"Subdivision","value":"Other"},{"id":4,"name":"Milepost","value":"2.3007"},{"id":17,"name":"Train ID","value":"315-19"},{"id":16,"name":"Locomotive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507</v>
      </c>
      <c r="B212" s="7">
        <v>4004</v>
      </c>
      <c r="C212" s="24" t="s">
        <v>106</v>
      </c>
      <c r="D212" s="24" t="s">
        <v>744</v>
      </c>
      <c r="E212" s="15">
        <v>42632.636087962965</v>
      </c>
      <c r="F212" s="15">
        <v>42632.6406712963</v>
      </c>
      <c r="G212" s="7">
        <v>6</v>
      </c>
      <c r="H212" s="15" t="s">
        <v>745</v>
      </c>
      <c r="I212" s="15">
        <v>42632.649039351854</v>
      </c>
      <c r="J212" s="7">
        <v>0</v>
      </c>
      <c r="K212" s="121" t="str">
        <f t="shared" si="99"/>
        <v>4003/4004</v>
      </c>
      <c r="L212" s="24" t="str">
        <f>VLOOKUP(A212,'Trips&amp;Operators'!$C$1:$E$10000,3,FALSE)</f>
        <v>COOLAHAN</v>
      </c>
      <c r="M212" s="6">
        <f t="shared" si="100"/>
        <v>8.3680555544560775E-3</v>
      </c>
      <c r="N212" s="7">
        <f t="shared" si="101"/>
        <v>12.049999998416752</v>
      </c>
      <c r="O212" s="7"/>
      <c r="P212" s="7"/>
      <c r="Q212" s="25"/>
      <c r="R212" s="25"/>
      <c r="S212" s="37">
        <f t="shared" si="102"/>
        <v>1</v>
      </c>
      <c r="T212" s="52" t="str">
        <f t="shared" si="103"/>
        <v>Southbound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14:15:58-0600',mode:absolute,to:'2016-09-19 16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12" s="54" t="str">
        <f t="shared" si="105"/>
        <v>Y</v>
      </c>
      <c r="X212" s="168">
        <f t="shared" si="106"/>
        <v>589</v>
      </c>
      <c r="Y212" s="69">
        <f t="shared" si="107"/>
        <v>2.3496999999999999</v>
      </c>
      <c r="Z212" s="69">
        <f t="shared" si="108"/>
        <v>6.3100000000000003E-2</v>
      </c>
      <c r="AA212" s="69">
        <f t="shared" si="109"/>
        <v>2.2866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110"/>
        <v>0904-19</v>
      </c>
      <c r="AE212" s="99" t="str">
        <f t="shared" si="111"/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AF212" s="96" t="str">
        <f t="shared" si="112"/>
        <v>"C:\Program Files (x86)\AstroGrep\AstroGrep.exe" /spath="%USERPROFILE%\AppData\Local\Temp\OnboardLogs" /stypes="app*4004*20160919*" /stext=" 21:.+((SYSTEM_STATE.+slice.+state.+changed )|(ment ac)|(system.+state.+changed )|(\|lc)|(penalty)|(\[timeout)|(PRM\|1\|D)|(kpr)|(kdp))" /e /r /s</v>
      </c>
      <c r="AG212" s="1" t="str">
        <f t="shared" si="113"/>
        <v>Other</v>
      </c>
      <c r="AH212" s="100" t="str">
        <f t="shared" si="114"/>
        <v>"%USERPROFILE%\Documents\GitHub\eaglep3\Utilities\RefineRTDCRunTimes.py" --tripid 904-19 --locoid 4004 --swversion DE.1.0.7.0 --startMP 300:23497 --initTime 2016-09-19T15:15:58 --startdatetime 2016-09-19T15:22:34 --delay 6 --endMP 204:631 --enddatetime 2016-09-19T15:34:37 --enforcementcount 0 &gt;&gt;C:\Users\stu\Documents\GitHub\eaglep3-reporting\EC\2016-09-19-refined-times.txt</v>
      </c>
      <c r="AI212" s="134" t="str">
        <f t="shared" si="115"/>
        <v>echo {"issue":{"subject":"","project_id":79,"tracker_id":40,"status_id":1,"priority_id":2,"assigned_to_id":23,"start_date":"2016-09-19","description":"","custom_fields":[{"id":1,"name":"Subdivision","value":"Other"},{"id":4,"name":"Milepost","value":"0.0631"},{"id":17,"name":"Train ID","value":"904-19"},{"id":16,"name":"Locomotive ID","value":"4004"},{"id":130,"name":"Impact","value":""},{"id":150,"name":"Time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s="23" customFormat="1" x14ac:dyDescent="0.25">
      <c r="A213" s="39" t="s">
        <v>552</v>
      </c>
      <c r="B213" s="7">
        <v>4004</v>
      </c>
      <c r="C213" s="24" t="s">
        <v>106</v>
      </c>
      <c r="D213" s="24" t="s">
        <v>699</v>
      </c>
      <c r="E213" s="15">
        <v>42632.797847222224</v>
      </c>
      <c r="F213" s="15">
        <v>25568.708333333332</v>
      </c>
      <c r="G213" s="7">
        <v>1</v>
      </c>
      <c r="H213" s="15" t="s">
        <v>746</v>
      </c>
      <c r="I213" s="15">
        <v>25568.708333333332</v>
      </c>
      <c r="J213" s="7">
        <v>0</v>
      </c>
      <c r="K213" s="121" t="str">
        <f t="shared" si="99"/>
        <v>4003/4004</v>
      </c>
      <c r="L213" s="24" t="str">
        <f>VLOOKUP(A213,'Trips&amp;Operators'!$C$1:$E$10000,3,FALSE)</f>
        <v>COOLAHAN</v>
      </c>
      <c r="M213" s="6">
        <f t="shared" si="100"/>
        <v>0</v>
      </c>
      <c r="N213" s="7">
        <f t="shared" si="101"/>
        <v>0</v>
      </c>
      <c r="O213" s="7"/>
      <c r="P213" s="7"/>
      <c r="Q213" s="25"/>
      <c r="R213" s="25"/>
      <c r="S213" s="37">
        <f t="shared" si="102"/>
        <v>0</v>
      </c>
      <c r="T213" s="52" t="str">
        <f t="shared" si="103"/>
        <v>Southbound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18:08:54-0600',mode:absolute,to:'1969-12-31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13" s="54" t="str">
        <f t="shared" si="105"/>
        <v>Y</v>
      </c>
      <c r="X213" s="168">
        <f t="shared" si="106"/>
        <v>2</v>
      </c>
      <c r="Y213" s="69">
        <f t="shared" si="107"/>
        <v>5.8662000000000001</v>
      </c>
      <c r="Z213" s="69">
        <f t="shared" si="108"/>
        <v>2.8784000000000001</v>
      </c>
      <c r="AA213" s="69">
        <f t="shared" si="109"/>
        <v>2.9878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110"/>
        <v>0906-19</v>
      </c>
      <c r="AE213" s="99" t="str">
        <f t="shared" si="111"/>
        <v>aws s3 cp s3://rtdc.mdm.uploadarchive/RTDC4004/1969-12-31/ "%USERPROFILE%\AppData\Local\Temp\OnboardLogs"\RTDC4004\1969-12-31 --recursive &amp; "%USERPROFILE%\Documents\GitHub\mrs-test-scripts\Headless Mode &amp; Sideloading\WalkAndUnGZ.bat" "%USERPROFILE%\AppData\Local\Temp\OnboardLogs"\RTDC4004\1969-12-31 &amp; aws s3 cp s3://rtdc.mdm.uploadarchive/RTDC4004/1970-01-01/ "%USERPROFILE%\AppData\Local\Temp\OnboardLogs"\RTDC4004\1970-01-01 --recursive &amp; "%USERPROFILE%\Documents\GitHub\mrs-test-scripts\Headless Mode &amp; Sideloading\WalkAndUnGZ.bat" "%USERPROFILE%\AppData\Local\Temp\OnboardLogs"\RTDC4004\1970-01-01</v>
      </c>
      <c r="AF213" s="96" t="str">
        <f t="shared" si="112"/>
        <v>"C:\Program Files (x86)\AstroGrep\AstroGrep.exe" /spath="%USERPROFILE%\AppData\Local\Temp\OnboardLogs" /stypes="app*4004*19691231*" /stext=" 23:.+((SYSTEM_STATE.+slice.+state.+changed )|(ment ac)|(system.+state.+changed )|(\|lc)|(penalty)|(\[timeout)|(PRM\|1\|D)|(kpr)|(kdp))" /e /r /s</v>
      </c>
      <c r="AG213" s="1" t="str">
        <f t="shared" si="113"/>
        <v>Other</v>
      </c>
      <c r="AH213" s="100" t="str">
        <f t="shared" si="114"/>
        <v>"%USERPROFILE%\Documents\GitHub\eaglep3\Utilities\RefineRTDCRunTimes.py" --tripid 906-19 --locoid 4004 --swversion DE.1.0.7.0 --startMP 300:58662 --initTime 2016-09-19T19:08:54 --startdatetime 1969-12-31T17:00:00 --delay 1 --endMP 300:28784 --enddatetime 1969-12-31T17:00:00 --enforcementcount 0 &gt;&gt;C:\Users\stu\Documents\GitHub\eaglep3-reporting\EC\2016-09-19-refined-times.txt</v>
      </c>
      <c r="AI213" s="134" t="str">
        <f t="shared" si="115"/>
        <v>echo {"issue":{"subject":"","project_id":79,"tracker_id":40,"status_id":1,"priority_id":2,"assigned_to_id":23,"start_date":"1969-12-31","description":"","custom_fields":[{"id":1,"name":"Subdivision","value":"Other"},{"id":4,"name":"Milepost","value":"2.8784"},{"id":17,"name":"Train ID","value":"906-19"},{"id":16,"name":"Locomotive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576</v>
      </c>
      <c r="B214" s="7">
        <v>4039</v>
      </c>
      <c r="C214" s="24" t="s">
        <v>106</v>
      </c>
      <c r="D214" s="24" t="s">
        <v>736</v>
      </c>
      <c r="E214" s="15">
        <v>42632.942893518521</v>
      </c>
      <c r="F214" s="15">
        <v>42632.944814814815</v>
      </c>
      <c r="G214" s="7">
        <v>2</v>
      </c>
      <c r="H214" s="15" t="s">
        <v>747</v>
      </c>
      <c r="I214" s="15">
        <v>42632.949421296296</v>
      </c>
      <c r="J214" s="7">
        <v>0</v>
      </c>
      <c r="K214" s="121" t="str">
        <f t="shared" si="99"/>
        <v>4039/4040</v>
      </c>
      <c r="L214" s="24" t="str">
        <f>VLOOKUP(A214,'Trips&amp;Operators'!$C$1:$E$10000,3,FALSE)</f>
        <v>COOLAHAN</v>
      </c>
      <c r="M214" s="6">
        <f t="shared" si="100"/>
        <v>4.6064814814599231E-3</v>
      </c>
      <c r="N214" s="7">
        <f t="shared" si="101"/>
        <v>6.6333333333022892</v>
      </c>
      <c r="O214" s="7"/>
      <c r="P214" s="7"/>
      <c r="Q214" s="25"/>
      <c r="R214" s="25"/>
      <c r="S214" s="37">
        <f t="shared" si="102"/>
        <v>0</v>
      </c>
      <c r="T214" s="52" t="str">
        <f t="shared" si="103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21:37:46-0600',mode:absolute,to:'2016-09-19 23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14" s="54" t="str">
        <f t="shared" si="105"/>
        <v>Y</v>
      </c>
      <c r="X214" s="168">
        <f t="shared" si="106"/>
        <v>2</v>
      </c>
      <c r="Y214" s="69">
        <f t="shared" si="107"/>
        <v>5.8666</v>
      </c>
      <c r="Z214" s="69">
        <f t="shared" si="108"/>
        <v>2.1594000000000002</v>
      </c>
      <c r="AA214" s="69">
        <f t="shared" si="109"/>
        <v>3.7071999999999998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110"/>
        <v>0908-19</v>
      </c>
      <c r="AE214" s="99" t="str">
        <f t="shared" si="111"/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AF214" s="96" t="str">
        <f t="shared" si="112"/>
        <v>"C:\Program Files (x86)\AstroGrep\AstroGrep.exe" /spath="%USERPROFILE%\AppData\Local\Temp\OnboardLogs" /stypes="app*4039*20160920*" /stext=" 04:.+((SYSTEM_STATE.+slice.+state.+changed )|(ment ac)|(system.+state.+changed )|(\|lc)|(penalty)|(\[timeout)|(PRM\|1\|D)|(kpr)|(kdp))" /e /r /s</v>
      </c>
      <c r="AG214" s="1" t="str">
        <f t="shared" si="113"/>
        <v>Other</v>
      </c>
      <c r="AH214" s="100" t="str">
        <f t="shared" si="114"/>
        <v>"%USERPROFILE%\Documents\GitHub\eaglep3\Utilities\RefineRTDCRunTimes.py" --tripid 908-19 --locoid 4039 --swversion DE.1.0.7.0 --startMP 300:58666 --initTime 2016-09-19T22:37:46 --startdatetime 2016-09-19T22:40:32 --delay 2 --endMP 300:21594 --enddatetime 2016-09-19T22:47:10 --enforcementcount 0 &gt;&gt;C:\Users\stu\Documents\GitHub\eaglep3-reporting\EC\2016-09-19-refined-times.txt</v>
      </c>
      <c r="AI214" s="134" t="str">
        <f t="shared" si="115"/>
        <v>echo {"issue":{"subject":"","project_id":79,"tracker_id":40,"status_id":1,"priority_id":2,"assigned_to_id":23,"start_date":"2016-09-19","description":"","custom_fields":[{"id":1,"name":"Subdivision","value":"Other"},{"id":4,"name":"Milepost","value":"2.1594"},{"id":17,"name":"Train ID","value":"908-19"},{"id":16,"name":"Locomotive ID","value":"4039"},{"id":130,"name":"Impact","value":""},{"id":150,"name":"Time of Event (Mountain Time)","value":"22:47:10"},{"id":151,"name":"Denver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492</v>
      </c>
      <c r="B215" s="7">
        <v>4028</v>
      </c>
      <c r="C215" s="24" t="s">
        <v>106</v>
      </c>
      <c r="D215" s="24" t="s">
        <v>665</v>
      </c>
      <c r="E215" s="15">
        <v>42632.591782407406</v>
      </c>
      <c r="F215" s="15">
        <v>42632.592523148145</v>
      </c>
      <c r="G215" s="7">
        <v>0</v>
      </c>
      <c r="H215" s="15" t="s">
        <v>666</v>
      </c>
      <c r="I215" s="15">
        <v>42632.598460648151</v>
      </c>
      <c r="J215" s="7">
        <v>0</v>
      </c>
      <c r="K215" s="121" t="str">
        <f t="shared" si="99"/>
        <v>4027/4028</v>
      </c>
      <c r="L215" s="24" t="str">
        <f>VLOOKUP(A215,'Trips&amp;Operators'!$C$1:$E$10000,3,FALSE)</f>
        <v>ARNOLD</v>
      </c>
      <c r="M215" s="6">
        <f t="shared" si="100"/>
        <v>5.9375000055297278E-3</v>
      </c>
      <c r="N215" s="7">
        <f t="shared" si="101"/>
        <v>8.550000007962808</v>
      </c>
      <c r="O215" s="7"/>
      <c r="P215" s="7"/>
      <c r="Q215" s="25"/>
      <c r="R215" s="25"/>
      <c r="S215" s="37">
        <f t="shared" si="102"/>
        <v>0</v>
      </c>
      <c r="T215" s="52" t="e">
        <f t="shared" si="103"/>
        <v>#VALUE!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13:12:10-0600',mode:absolute,to:'2016-09-19 15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15" s="54" t="str">
        <f t="shared" si="105"/>
        <v>Y</v>
      </c>
      <c r="X215" s="168" t="e">
        <f t="shared" si="106"/>
        <v>#VALUE!</v>
      </c>
      <c r="Y215" s="69">
        <f t="shared" si="107"/>
        <v>2.0743999999999998</v>
      </c>
      <c r="Z215" s="69">
        <f t="shared" si="108"/>
        <v>9.8799999999999999E-2</v>
      </c>
      <c r="AA215" s="69">
        <f t="shared" si="109"/>
        <v>1.9755999999999998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110"/>
        <v>52-19</v>
      </c>
      <c r="AE215" s="99" t="str">
        <f t="shared" si="111"/>
        <v>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 &amp; aws s3 cp s3://rtdc.mdm.uploadarchive/RTDC4028/2016-09-20/ "%USERPROFILE%\AppData\Local\Temp\OnboardLogs"\RTDC4028\2016-09-20 --recursive &amp; "%USERPROFILE%\Documents\GitHub\mrs-test-scripts\Headless Mode &amp; Sideloading\WalkAndUnGZ.bat" "%USERPROFILE%\AppData\Local\Temp\OnboardLogs"\RTDC4028\2016-09-20</v>
      </c>
      <c r="AF215" s="96" t="str">
        <f t="shared" si="112"/>
        <v>"C:\Program Files (x86)\AstroGrep\AstroGrep.exe" /spath="%USERPROFILE%\AppData\Local\Temp\OnboardLogs" /stypes="app*4028*20160919*" /stext=" 20:.+((SYSTEM_STATE.+slice.+state.+changed )|(ment ac)|(system.+state.+changed )|(\|lc)|(penalty)|(\[timeout)|(PRM\|1\|D)|(kpr)|(kdp))" /e /r /s</v>
      </c>
      <c r="AG215" s="1" t="str">
        <f t="shared" si="113"/>
        <v>Other</v>
      </c>
      <c r="AH215" s="100" t="str">
        <f t="shared" si="114"/>
        <v>"%USERPROFILE%\Documents\GitHub\eaglep3\Utilities\RefineRTDCRunTimes.py" --tripid 52-19 --locoid 4028 --swversion DE.1.0.7.0 --startMP 300:20744 --initTime 2016-09-19T14:12:10 --startdatetime 2016-09-19T14:13:14 --delay 0 --endMP 204:988 --enddatetime 2016-09-19T14:21:47 --enforcementcount 0 &gt;&gt;C:\Users\stu\Documents\GitHub\eaglep3-reporting\EC\2016-09-19-refined-times.txt</v>
      </c>
      <c r="AI215" s="134" t="str">
        <f t="shared" si="115"/>
        <v>echo {"issue":{"subject":"","project_id":79,"tracker_id":40,"status_id":1,"priority_id":2,"assigned_to_id":23,"start_date":"2016-09-19","description":"","custom_fields":[{"id":1,"name":"Subdivision","value":"Other"},{"id":4,"name":"Milepost","value":"0.0988"},{"id":17,"name":"Train ID","value":"52-19"},{"id":16,"name":"Locomotive ID","value":"4028"},{"id":130,"name":"Impact","value":""},{"id":150,"name":"Time of Event (Mountain Time)","value":"14:21:47"},{"id":151,"name":"Denver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492</v>
      </c>
      <c r="B216" s="7">
        <v>4028</v>
      </c>
      <c r="C216" s="24" t="s">
        <v>106</v>
      </c>
      <c r="D216" s="24" t="s">
        <v>667</v>
      </c>
      <c r="E216" s="15">
        <v>42632.583692129629</v>
      </c>
      <c r="F216" s="15">
        <v>42632.592523148145</v>
      </c>
      <c r="G216" s="7">
        <v>4</v>
      </c>
      <c r="H216" s="15" t="s">
        <v>668</v>
      </c>
      <c r="I216" s="15">
        <v>42632.598460648151</v>
      </c>
      <c r="J216" s="7">
        <v>0</v>
      </c>
      <c r="K216" s="121" t="str">
        <f t="shared" si="99"/>
        <v>4027/4028</v>
      </c>
      <c r="L216" s="24" t="str">
        <f>VLOOKUP(A216,'Trips&amp;Operators'!$C$1:$E$10000,3,FALSE)</f>
        <v>ARNOLD</v>
      </c>
      <c r="M216" s="6">
        <f t="shared" si="100"/>
        <v>5.9375000055297278E-3</v>
      </c>
      <c r="N216" s="7">
        <f t="shared" si="101"/>
        <v>8.550000007962808</v>
      </c>
      <c r="O216" s="7"/>
      <c r="P216" s="7"/>
      <c r="Q216" s="25"/>
      <c r="R216" s="25"/>
      <c r="S216" s="37">
        <f t="shared" si="102"/>
        <v>0</v>
      </c>
      <c r="T216" s="52" t="e">
        <f t="shared" si="103"/>
        <v>#VALUE!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13:00:31-0600',mode:absolute,to:'2016-09-19 15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16" s="54" t="str">
        <f t="shared" si="105"/>
        <v>Y</v>
      </c>
      <c r="X216" s="168" t="e">
        <f t="shared" si="106"/>
        <v>#VALUE!</v>
      </c>
      <c r="Y216" s="69">
        <f t="shared" si="107"/>
        <v>2.5550000000000002</v>
      </c>
      <c r="Z216" s="69">
        <f t="shared" si="108"/>
        <v>2.4441999999999999</v>
      </c>
      <c r="AA216" s="69">
        <f t="shared" si="109"/>
        <v>0.11080000000000023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110"/>
        <v>52-19</v>
      </c>
      <c r="AE216" s="99" t="str">
        <f t="shared" si="111"/>
        <v>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 &amp; aws s3 cp s3://rtdc.mdm.uploadarchive/RTDC4028/2016-09-20/ "%USERPROFILE%\AppData\Local\Temp\OnboardLogs"\RTDC4028\2016-09-20 --recursive &amp; "%USERPROFILE%\Documents\GitHub\mrs-test-scripts\Headless Mode &amp; Sideloading\WalkAndUnGZ.bat" "%USERPROFILE%\AppData\Local\Temp\OnboardLogs"\RTDC4028\2016-09-20</v>
      </c>
      <c r="AF216" s="96" t="str">
        <f t="shared" si="112"/>
        <v>"C:\Program Files (x86)\AstroGrep\AstroGrep.exe" /spath="%USERPROFILE%\AppData\Local\Temp\OnboardLogs" /stypes="app*4028*20160919*" /stext=" 20:.+((SYSTEM_STATE.+slice.+state.+changed )|(ment ac)|(system.+state.+changed )|(\|lc)|(penalty)|(\[timeout)|(PRM\|1\|D)|(kpr)|(kdp))" /e /r /s</v>
      </c>
      <c r="AG216" s="1" t="str">
        <f t="shared" si="113"/>
        <v>Other</v>
      </c>
      <c r="AH216" s="100" t="str">
        <f t="shared" si="114"/>
        <v>"%USERPROFILE%\Documents\GitHub\eaglep3\Utilities\RefineRTDCRunTimes.py" --tripid 52-19 --locoid 4028 --swversion DE.1.0.7.0 --startMP 300:25550 --initTime 2016-09-19T14:00:31 --startdatetime 2016-09-19T14:13:14 --delay 4 --endMP 300:24442 --enddatetime 2016-09-19T14:21:47 --enforcementcount 0 &gt;&gt;C:\Users\stu\Documents\GitHub\eaglep3-reporting\EC\2016-09-19-refined-times.txt</v>
      </c>
      <c r="AI216" s="134" t="str">
        <f t="shared" si="115"/>
        <v>echo {"issue":{"subject":"","project_id":79,"tracker_id":40,"status_id":1,"priority_id":2,"assigned_to_id":23,"start_date":"2016-09-19","description":"","custom_fields":[{"id":1,"name":"Subdivision","value":"Other"},{"id":4,"name":"Milepost","value":"2.4442"},{"id":17,"name":"Train ID","value":"52-19"},{"id":16,"name":"Locomotive ID","value":"4028"},{"id":130,"name":"Impact","value":""},{"id":150,"name":"Time of Event (Mountain Time)","value":"14:21:47"},{"id":151,"name":"Denver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484</v>
      </c>
      <c r="B217" s="7">
        <v>4046</v>
      </c>
      <c r="C217" s="24" t="s">
        <v>106</v>
      </c>
      <c r="D217" s="24" t="s">
        <v>669</v>
      </c>
      <c r="E217" s="15">
        <v>42632.564583333333</v>
      </c>
      <c r="F217" s="15">
        <v>25568.708333333332</v>
      </c>
      <c r="G217" s="7">
        <v>4</v>
      </c>
      <c r="H217" s="15" t="s">
        <v>669</v>
      </c>
      <c r="I217" s="15">
        <v>25568.708333333332</v>
      </c>
      <c r="J217" s="7">
        <v>0</v>
      </c>
      <c r="K217" s="121" t="str">
        <f t="shared" si="99"/>
        <v>4045/4046</v>
      </c>
      <c r="L217" s="24" t="str">
        <f>VLOOKUP(A217,'Trips&amp;Operators'!$C$1:$E$10000,3,FALSE)</f>
        <v>OUN</v>
      </c>
      <c r="M217" s="6">
        <f t="shared" si="100"/>
        <v>0</v>
      </c>
      <c r="N217" s="7">
        <f t="shared" si="101"/>
        <v>0</v>
      </c>
      <c r="O217" s="7"/>
      <c r="P217" s="7"/>
      <c r="Q217" s="25"/>
      <c r="R217" s="25"/>
      <c r="S217" s="37">
        <f t="shared" si="102"/>
        <v>0</v>
      </c>
      <c r="T217" s="52" t="e">
        <f t="shared" si="103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12:33:00-0600',mode:absolute,to:'1969-12-31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7" s="54" t="str">
        <f t="shared" si="105"/>
        <v>Y</v>
      </c>
      <c r="X217" s="168" t="e">
        <f t="shared" si="106"/>
        <v>#VALUE!</v>
      </c>
      <c r="Y217" s="69">
        <f t="shared" si="107"/>
        <v>0.14860000000000001</v>
      </c>
      <c r="Z217" s="69">
        <f t="shared" si="108"/>
        <v>0.14860000000000001</v>
      </c>
      <c r="AA217" s="69">
        <f t="shared" si="109"/>
        <v>0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110"/>
        <v>53-19</v>
      </c>
      <c r="AE217" s="99" t="str">
        <f t="shared" si="111"/>
        <v>aws s3 cp s3://rtdc.mdm.uploadarchive/RTDC4046/1969-12-31/ "%USERPROFILE%\AppData\Local\Temp\OnboardLogs"\RTDC4046\1969-12-31 --recursive &amp; "%USERPROFILE%\Documents\GitHub\mrs-test-scripts\Headless Mode &amp; Sideloading\WalkAndUnGZ.bat" "%USERPROFILE%\AppData\Local\Temp\OnboardLogs"\RTDC4046\1969-12-31 &amp; aws s3 cp s3://rtdc.mdm.uploadarchive/RTDC4046/1970-01-01/ "%USERPROFILE%\AppData\Local\Temp\OnboardLogs"\RTDC4046\1970-01-01 --recursive &amp; "%USERPROFILE%\Documents\GitHub\mrs-test-scripts\Headless Mode &amp; Sideloading\WalkAndUnGZ.bat" "%USERPROFILE%\AppData\Local\Temp\OnboardLogs"\RTDC4046\1970-01-01</v>
      </c>
      <c r="AF217" s="96" t="str">
        <f t="shared" si="112"/>
        <v>"C:\Program Files (x86)\AstroGrep\AstroGrep.exe" /spath="%USERPROFILE%\AppData\Local\Temp\OnboardLogs" /stypes="app*4046*19691231*" /stext=" 23:.+((SYSTEM_STATE.+slice.+state.+changed )|(ment ac)|(system.+state.+changed )|(\|lc)|(penalty)|(\[timeout)|(PRM\|1\|D)|(kpr)|(kdp))" /e /r /s</v>
      </c>
      <c r="AG217" s="1" t="str">
        <f t="shared" si="113"/>
        <v>Other</v>
      </c>
      <c r="AH217" s="100" t="str">
        <f t="shared" si="114"/>
        <v>"%USERPROFILE%\Documents\GitHub\eaglep3\Utilities\RefineRTDCRunTimes.py" --tripid 53-19 --locoid 4046 --swversion DE.1.0.7.0 --startMP 204:1486 --initTime 2016-09-19T13:33:00 --startdatetime 1969-12-31T17:00:00 --delay 4 --endMP 204:1486 --enddatetime 1969-12-31T17:00:00 --enforcementcount 0 &gt;&gt;C:\Users\stu\Documents\GitHub\eaglep3-reporting\EC\2016-09-19-refined-times.txt</v>
      </c>
      <c r="AI217" s="134" t="str">
        <f t="shared" si="115"/>
        <v>echo {"issue":{"subject":"","project_id":79,"tracker_id":40,"status_id":1,"priority_id":2,"assigned_to_id":23,"start_date":"1969-12-31","description":"","custom_fields":[{"id":1,"name":"Subdivision","value":"Other"},{"id":4,"name":"Milepost","value":"0.1486"},{"id":17,"name":"Train ID","value":"53-19"},{"id":16,"name":"Locomotive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489</v>
      </c>
      <c r="B218" s="7">
        <v>4045</v>
      </c>
      <c r="C218" s="24" t="s">
        <v>106</v>
      </c>
      <c r="D218" s="24" t="s">
        <v>670</v>
      </c>
      <c r="E218" s="15">
        <v>42632.59138888889</v>
      </c>
      <c r="F218" s="15">
        <v>25568.708333333332</v>
      </c>
      <c r="G218" s="7">
        <v>1</v>
      </c>
      <c r="H218" s="15" t="s">
        <v>671</v>
      </c>
      <c r="I218" s="15">
        <v>25568.708333333332</v>
      </c>
      <c r="J218" s="7">
        <v>0</v>
      </c>
      <c r="K218" s="121" t="str">
        <f t="shared" si="99"/>
        <v>4045/4046</v>
      </c>
      <c r="L218" s="24" t="str">
        <f>VLOOKUP(A218,'Trips&amp;Operators'!$C$1:$E$10000,3,FALSE)</f>
        <v>OUN</v>
      </c>
      <c r="M218" s="6">
        <f t="shared" si="100"/>
        <v>0</v>
      </c>
      <c r="N218" s="7">
        <f t="shared" si="101"/>
        <v>0</v>
      </c>
      <c r="O218" s="7"/>
      <c r="P218" s="7"/>
      <c r="Q218" s="25"/>
      <c r="R218" s="25"/>
      <c r="S218" s="37">
        <f t="shared" si="102"/>
        <v>0</v>
      </c>
      <c r="T218" s="52" t="e">
        <f t="shared" si="103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13:11:36-0600',mode:absolute,to:'1969-12-31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18" s="54" t="str">
        <f t="shared" si="105"/>
        <v>Y</v>
      </c>
      <c r="X218" s="168" t="e">
        <f t="shared" si="106"/>
        <v>#VALUE!</v>
      </c>
      <c r="Y218" s="69">
        <f t="shared" si="107"/>
        <v>0.1164</v>
      </c>
      <c r="Z218" s="69">
        <f t="shared" si="108"/>
        <v>0.11650000000000001</v>
      </c>
      <c r="AA218" s="69">
        <f t="shared" si="109"/>
        <v>1.0000000000000286E-4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110"/>
        <v>59-19</v>
      </c>
      <c r="AE218" s="99" t="str">
        <f t="shared" si="111"/>
        <v>aws s3 cp s3://rtdc.mdm.uploadarchive/RTDC4045/1969-12-31/ "%USERPROFILE%\AppData\Local\Temp\OnboardLogs"\RTDC4045\1969-12-31 --recursive &amp; "%USERPROFILE%\Documents\GitHub\mrs-test-scripts\Headless Mode &amp; Sideloading\WalkAndUnGZ.bat" "%USERPROFILE%\AppData\Local\Temp\OnboardLogs"\RTDC4045\1969-12-31 &amp; aws s3 cp s3://rtdc.mdm.uploadarchive/RTDC4045/1970-01-01/ "%USERPROFILE%\AppData\Local\Temp\OnboardLogs"\RTDC4045\1970-01-01 --recursive &amp; "%USERPROFILE%\Documents\GitHub\mrs-test-scripts\Headless Mode &amp; Sideloading\WalkAndUnGZ.bat" "%USERPROFILE%\AppData\Local\Temp\OnboardLogs"\RTDC4045\1970-01-01</v>
      </c>
      <c r="AF218" s="96" t="str">
        <f t="shared" si="112"/>
        <v>"C:\Program Files (x86)\AstroGrep\AstroGrep.exe" /spath="%USERPROFILE%\AppData\Local\Temp\OnboardLogs" /stypes="app*4045*19691231*" /stext=" 23:.+((SYSTEM_STATE.+slice.+state.+changed )|(ment ac)|(system.+state.+changed )|(\|lc)|(penalty)|(\[timeout)|(PRM\|1\|D)|(kpr)|(kdp))" /e /r /s</v>
      </c>
      <c r="AG218" s="1" t="str">
        <f t="shared" si="113"/>
        <v>Other</v>
      </c>
      <c r="AH218" s="100" t="str">
        <f t="shared" si="114"/>
        <v>"%USERPROFILE%\Documents\GitHub\eaglep3\Utilities\RefineRTDCRunTimes.py" --tripid 59-19 --locoid 4045 --swversion DE.1.0.7.0 --startMP 204:1164 --initTime 2016-09-19T14:11:36 --startdatetime 1969-12-31T17:00:00 --delay 1 --endMP 204:1165 --enddatetime 1969-12-31T17:00:00 --enforcementcount 0 &gt;&gt;C:\Users\stu\Documents\GitHub\eaglep3-reporting\EC\2016-09-19-refined-times.txt</v>
      </c>
      <c r="AI218" s="134" t="str">
        <f t="shared" si="115"/>
        <v>echo {"issue":{"subject":"","project_id":79,"tracker_id":40,"status_id":1,"priority_id":2,"assigned_to_id":23,"start_date":"1969-12-31","description":"","custom_fields":[{"id":1,"name":"Subdivision","value":"Other"},{"id":4,"name":"Milepost","value":"0.1165"},{"id":17,"name":"Train ID","value":"59-19"},{"id":16,"name":"Locomotive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503</v>
      </c>
      <c r="B219" s="7">
        <v>4027</v>
      </c>
      <c r="C219" s="24" t="s">
        <v>106</v>
      </c>
      <c r="D219" s="24" t="s">
        <v>672</v>
      </c>
      <c r="E219" s="15">
        <v>42632.62263888889</v>
      </c>
      <c r="F219" s="15">
        <v>42632.626157407409</v>
      </c>
      <c r="G219" s="7">
        <v>2</v>
      </c>
      <c r="H219" s="15" t="s">
        <v>673</v>
      </c>
      <c r="I219" s="15">
        <v>42632.632071759261</v>
      </c>
      <c r="J219" s="7">
        <v>0</v>
      </c>
      <c r="K219" s="121" t="str">
        <f t="shared" si="99"/>
        <v>4027/4028</v>
      </c>
      <c r="L219" s="24" t="str">
        <f>VLOOKUP(A219,'Trips&amp;Operators'!$C$1:$E$10000,3,FALSE)</f>
        <v>ARNOLD</v>
      </c>
      <c r="M219" s="6">
        <f t="shared" si="100"/>
        <v>5.914351851970423E-3</v>
      </c>
      <c r="N219" s="7">
        <f t="shared" si="101"/>
        <v>8.5166666668374091</v>
      </c>
      <c r="O219" s="7"/>
      <c r="P219" s="7"/>
      <c r="Q219" s="25"/>
      <c r="R219" s="25"/>
      <c r="S219" s="37">
        <f t="shared" si="102"/>
        <v>0</v>
      </c>
      <c r="T219" s="52" t="e">
        <f t="shared" si="103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104"/>
        <v>https://search-rtdc-monitor-bjffxe2xuh6vdkpspy63sjmuny.us-east-1.es.amazonaws.com/_plugin/kibana/#/discover/Steve-Slow-Train-Analysis-(2080s-and-2083s)?_g=(refreshInterval:(display:Off,section:0,value:0),time:(from:'2016-09-19 13:56:36-0600',mode:absolute,to:'2016-09-19 16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19" s="54" t="str">
        <f t="shared" si="105"/>
        <v>Y</v>
      </c>
      <c r="X219" s="168" t="e">
        <f t="shared" si="106"/>
        <v>#VALUE!</v>
      </c>
      <c r="Y219" s="69">
        <f t="shared" si="107"/>
        <v>0.13089999999999999</v>
      </c>
      <c r="Z219" s="69">
        <f t="shared" si="108"/>
        <v>3.4417</v>
      </c>
      <c r="AA219" s="69">
        <f t="shared" si="109"/>
        <v>3.3108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110"/>
        <v>61-19</v>
      </c>
      <c r="AE219" s="99" t="str">
        <f t="shared" si="111"/>
        <v>aws s3 cp s3://rtdc.mdm.uploadarchive/RTDC4027/2016-09-19/ "%USERPROFILE%\AppData\Local\Temp\OnboardLogs"\RTDC4027\2016-09-19 --recursive &amp; "%USERPROFILE%\Documents\GitHub\mrs-test-scripts\Headless Mode &amp; Sideloading\WalkAndUnGZ.bat" "%USERPROFILE%\AppData\Local\Temp\OnboardLogs"\RTDC4027\2016-09-19 &amp; aws s3 cp s3://rtdc.mdm.uploadarchive/RTDC4027/2016-09-20/ "%USERPROFILE%\AppData\Local\Temp\OnboardLogs"\RTDC4027\2016-09-20 --recursive &amp; "%USERPROFILE%\Documents\GitHub\mrs-test-scripts\Headless Mode &amp; Sideloading\WalkAndUnGZ.bat" "%USERPROFILE%\AppData\Local\Temp\OnboardLogs"\RTDC4027\2016-09-20</v>
      </c>
      <c r="AF219" s="96" t="str">
        <f t="shared" si="112"/>
        <v>"C:\Program Files (x86)\AstroGrep\AstroGrep.exe" /spath="%USERPROFILE%\AppData\Local\Temp\OnboardLogs" /stypes="app*4027*20160919*" /stext=" 21:.+((SYSTEM_STATE.+slice.+state.+changed )|(ment ac)|(system.+state.+changed )|(\|lc)|(penalty)|(\[timeout)|(PRM\|1\|D)|(kpr)|(kdp))" /e /r /s</v>
      </c>
      <c r="AG219" s="1" t="str">
        <f t="shared" si="113"/>
        <v>Other</v>
      </c>
      <c r="AH219" s="100" t="str">
        <f t="shared" si="114"/>
        <v>"%USERPROFILE%\Documents\GitHub\eaglep3\Utilities\RefineRTDCRunTimes.py" --tripid 61-19 --locoid 4027 --swversion DE.1.0.7.0 --startMP 204:1309 --initTime 2016-09-19T14:56:36 --startdatetime 2016-09-19T15:01:40 --delay 2 --endMP 300:34417 --enddatetime 2016-09-19T15:10:11 --enforcementcount 0 &gt;&gt;C:\Users\stu\Documents\GitHub\eaglep3-reporting\EC\2016-09-19-refined-times.txt</v>
      </c>
      <c r="AI219" s="134" t="str">
        <f t="shared" si="115"/>
        <v>echo {"issue":{"subject":"","project_id":79,"tracker_id":40,"status_id":1,"priority_id":2,"assigned_to_id":23,"start_date":"2016-09-19","description":"","custom_fields":[{"id":1,"name":"Subdivision","value":"Other"},{"id":4,"name":"Milepost","value":"3.4417"},{"id":17,"name":"Train ID","value":"61-19"},{"id":16,"name":"Locomotive ID","value":"4027"},{"id":130,"name":"Impact","value":""},{"id":150,"name":"Time of Event (Mountain Time)","value":"15:10:11"},{"id":151,"name":"Denver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1"/>
      <c r="L220" s="24"/>
      <c r="M220" s="6"/>
      <c r="N220" s="7"/>
      <c r="O220" s="7"/>
      <c r="P220" s="7"/>
      <c r="Q220" s="25"/>
      <c r="R220" s="25"/>
      <c r="S220" s="37"/>
      <c r="T220" s="52"/>
      <c r="U220" s="163"/>
      <c r="V220" s="106"/>
      <c r="W220" s="54"/>
      <c r="X220" s="168"/>
      <c r="Y220" s="69"/>
      <c r="Z220" s="69"/>
      <c r="AA220" s="69"/>
      <c r="AB220" s="66"/>
      <c r="AC220" s="62"/>
      <c r="AD220" s="63"/>
      <c r="AE220" s="99"/>
      <c r="AF220" s="96"/>
      <c r="AG220" s="1"/>
      <c r="AI220" s="134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1"/>
      <c r="L221" s="24"/>
      <c r="M221" s="6"/>
      <c r="N221" s="7"/>
      <c r="O221" s="7"/>
      <c r="P221" s="7"/>
      <c r="Q221" s="25"/>
      <c r="R221" s="25"/>
      <c r="S221" s="37"/>
      <c r="T221" s="52"/>
      <c r="U221" s="163"/>
      <c r="V221" s="106"/>
      <c r="W221" s="54"/>
      <c r="X221" s="168"/>
      <c r="Y221" s="69"/>
      <c r="Z221" s="69"/>
      <c r="AA221" s="69"/>
      <c r="AB221" s="66"/>
      <c r="AC221" s="62"/>
      <c r="AD221" s="63"/>
      <c r="AE221" s="99"/>
      <c r="AF221" s="96"/>
      <c r="AG221" s="1"/>
      <c r="AI221" s="134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</sheetData>
  <autoFilter ref="A12:AG25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286" operator="equal">
      <formula>"Y"</formula>
    </cfRule>
  </conditionalFormatting>
  <conditionalFormatting sqref="X13:X1048576">
    <cfRule type="cellIs" dxfId="10" priority="269" operator="greaterThan">
      <formula>1</formula>
    </cfRule>
  </conditionalFormatting>
  <conditionalFormatting sqref="X12:X1048576">
    <cfRule type="cellIs" dxfId="9" priority="266" operator="equal">
      <formula>0</formula>
    </cfRule>
  </conditionalFormatting>
  <conditionalFormatting sqref="A13:S254">
    <cfRule type="expression" dxfId="8" priority="262">
      <formula>$O13&gt;0</formula>
    </cfRule>
  </conditionalFormatting>
  <conditionalFormatting sqref="A13:S254">
    <cfRule type="expression" dxfId="7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A220:S254 S13:S219 A13:Q219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AK13:AK254</xm:sqref>
        </x14:dataValidation>
        <x14:dataValidation type="list" allowBlank="1" showInputMessage="1" showErrorMessage="1">
          <x14:formula1>
            <xm:f>'Redmine List Values'!$C$2:$C$20</xm:f>
          </x14:formula1>
          <xm:sqref>AL13:AL254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abSelected="1" topLeftCell="A2" workbookViewId="0">
      <selection activeCell="P49" sqref="P4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7.710937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2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62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80" t="str">
        <f>"Eagle P3 Braking Events - "&amp;TEXT(Variables!$A$2,"YYYY-mm-dd")</f>
        <v>Eagle P3 Braking Events - 2016-09-19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329</v>
      </c>
    </row>
    <row r="7" spans="1:29" s="1" customFormat="1" x14ac:dyDescent="0.25">
      <c r="A7" s="38">
        <v>42632.36446759259</v>
      </c>
      <c r="B7" s="33" t="s">
        <v>402</v>
      </c>
      <c r="C7" s="33" t="s">
        <v>425</v>
      </c>
      <c r="D7" s="33" t="s">
        <v>244</v>
      </c>
      <c r="E7" s="33" t="s">
        <v>169</v>
      </c>
      <c r="F7" s="49">
        <v>0</v>
      </c>
      <c r="G7" s="49">
        <v>138</v>
      </c>
      <c r="H7" s="49">
        <v>27207</v>
      </c>
      <c r="I7" s="49">
        <v>27117</v>
      </c>
      <c r="J7" s="33" t="s">
        <v>168</v>
      </c>
      <c r="K7" s="49">
        <v>27350</v>
      </c>
      <c r="L7" s="150" t="s">
        <v>53</v>
      </c>
      <c r="M7" s="153">
        <f t="shared" ref="M7:M38" si="0">CONVERT((I7-K7)/10000,"mi","ft")*IF(L7="Increasing Mileposts (1)",-1,1)</f>
        <v>-123.024</v>
      </c>
      <c r="N7" s="92" t="str">
        <f>VLOOKUP(C7,'Trips&amp;Operators'!$C$1:$E$99999,3,FALSE)</f>
        <v>MALAVE</v>
      </c>
      <c r="O7" s="174" t="s">
        <v>86</v>
      </c>
      <c r="P7" s="10" t="s">
        <v>761</v>
      </c>
      <c r="Q7" s="33"/>
      <c r="R7" s="108" t="str">
        <f>VLOOKUP(C7,'Train Runs'!$A$13:$AE$10017,31,0)</f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S7" s="111" t="str">
        <f>VLOOKUP(C7,'Train Runs'!$A$13:$AE$10017,22,0)</f>
        <v>https://search-rtdc-monitor-bjffxe2xuh6vdkpspy63sjmuny.us-east-1.es.amazonaws.com/_plugin/kibana/#/discover/Steve-Slow-Train-Analysis-(2080s-and-2083s)?_g=(refreshInterval:(display:Off,section:0,value:0),time:(from:'2016-09-19 07:07:08-0600',mode:absolute,to:'2016-09-19 09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/stypes="*4008*201609191*" /stext=" 14:.+((SYSTEM_STATE.+slice.+state.+changed )|(ment ac)|(system.+state.+changed )|(\|lc)|(penalty)|(\[timeout)|(PRM\|1\|D)|(kpr)|(kdp))" /e /r /s</v>
      </c>
      <c r="U7" s="9" t="str">
        <f t="shared" ref="U7:U38" si="2">MID(B7,13,4)</f>
        <v>4008</v>
      </c>
      <c r="V7" s="38">
        <f t="shared" ref="V7:V38" si="3">A7+6/24</f>
        <v>42632.61446759259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arrival","project_id":79,"tracker_id":40,"status_id":1,"priority_id":2,"assigned_to_id":23,"start_date":"2016-09-19","description":"","custom_fields":[{"id":1,"name":"Subdivision","value":"EC"},{"id":4,"name":"Milepost","value":"2.735"},{"id":17,"name":"Train ID","value":"130-19"},{"id":16,"name":"Locomotive ID","value":"4008"},{"id":130,"name":"Impact","value":""},{"id":150,"name":"Time of Event (Mountain Time)","value":"08:44:50"},{"id":151,"name":"Denver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"%USERPROFILE%\AppData\Local\Temp\OnboardLogs"\RTDC4008\*4008*201609191* | grep -SE "((Enforcement Ac)|(PRM))" -</v>
      </c>
    </row>
    <row r="8" spans="1:29" s="1" customFormat="1" x14ac:dyDescent="0.25">
      <c r="A8" s="38">
        <v>42632.416516203702</v>
      </c>
      <c r="B8" s="33" t="s">
        <v>176</v>
      </c>
      <c r="C8" s="33" t="s">
        <v>437</v>
      </c>
      <c r="D8" s="33" t="s">
        <v>105</v>
      </c>
      <c r="E8" s="33" t="s">
        <v>169</v>
      </c>
      <c r="F8" s="49">
        <v>0</v>
      </c>
      <c r="G8" s="49">
        <v>109</v>
      </c>
      <c r="H8" s="49">
        <v>27336</v>
      </c>
      <c r="I8" s="49">
        <v>27229</v>
      </c>
      <c r="J8" s="33" t="s">
        <v>168</v>
      </c>
      <c r="K8" s="49">
        <v>27350</v>
      </c>
      <c r="L8" s="150" t="s">
        <v>53</v>
      </c>
      <c r="M8" s="153">
        <f t="shared" si="0"/>
        <v>-63.887999999999998</v>
      </c>
      <c r="N8" s="92" t="str">
        <f>VLOOKUP(C8,'Trips&amp;Operators'!$C$1:$E$99999,3,FALSE)</f>
        <v>STARKS</v>
      </c>
      <c r="O8" s="174" t="s">
        <v>86</v>
      </c>
      <c r="P8" s="10" t="s">
        <v>761</v>
      </c>
      <c r="Q8" s="33"/>
      <c r="R8" s="108" t="str">
        <f>VLOOKUP(C8,'Train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8" s="111" t="str">
        <f>VLOOKUP(C8,'Train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08:22:39-0600',mode:absolute,to:'2016-09-19 11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8" s="113" t="str">
        <f t="shared" si="1"/>
        <v>"C:\Program Files (x86)\AstroGrep\AstroGrep.exe" /spath="%USERPROFILE%\AppData\Local\Temp\OnboardLogs" /stypes="*4041*201609191*" /stext=" 15:.+((SYSTEM_STATE.+slice.+state.+changed )|(ment ac)|(system.+state.+changed )|(\|lc)|(penalty)|(\[timeout)|(PRM\|1\|D)|(kpr)|(kdp))" /e /r /s</v>
      </c>
      <c r="U8" s="9" t="str">
        <f t="shared" si="2"/>
        <v>4041</v>
      </c>
      <c r="V8" s="38">
        <f t="shared" si="3"/>
        <v>42632.666516203702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arrival","project_id":79,"tracker_id":40,"status_id":1,"priority_id":2,"assigned_to_id":23,"start_date":"2016-09-19","description":"","custom_fields":[{"id":1,"name":"Subdivision","value":"EC"},{"id":4,"name":"Milepost","value":"2.735"},{"id":17,"name":"Train ID","value":"140-19"},{"id":16,"name":"Locomotive ID","value":"4041"},{"id":130,"name":"Impact","value":""},{"id":150,"name":"Time of Event (Mountain Time)","value":"09:59:47"},{"id":151,"name":"Denver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 t="shared" si="7"/>
        <v>grep -hSE -A100 "Enforcement Action" "%USERPROFILE%\AppData\Local\Temp\OnboardLogs"\RTDC4041\*4041*201609191* | grep -SE "((Enforcement Ac)|(PRM))" -</v>
      </c>
    </row>
    <row r="9" spans="1:29" s="1" customFormat="1" x14ac:dyDescent="0.25">
      <c r="A9" s="38">
        <v>42632.238263888888</v>
      </c>
      <c r="B9" s="33" t="s">
        <v>176</v>
      </c>
      <c r="C9" s="33" t="s">
        <v>384</v>
      </c>
      <c r="D9" s="33" t="s">
        <v>49</v>
      </c>
      <c r="E9" s="33" t="s">
        <v>169</v>
      </c>
      <c r="F9" s="49">
        <v>300</v>
      </c>
      <c r="G9" s="49">
        <v>391</v>
      </c>
      <c r="H9" s="49">
        <v>35229</v>
      </c>
      <c r="I9" s="49">
        <v>33809</v>
      </c>
      <c r="J9" s="33" t="s">
        <v>168</v>
      </c>
      <c r="K9" s="49">
        <v>33257</v>
      </c>
      <c r="L9" s="150" t="s">
        <v>53</v>
      </c>
      <c r="M9" s="153">
        <f t="shared" si="0"/>
        <v>291.45600000000002</v>
      </c>
      <c r="N9" s="92" t="str">
        <f>VLOOKUP(C9,'Trips&amp;Operators'!$C$1:$E$99999,3,FALSE)</f>
        <v>BRANNON</v>
      </c>
      <c r="O9" s="174" t="s">
        <v>86</v>
      </c>
      <c r="P9" s="10" t="s">
        <v>761</v>
      </c>
      <c r="Q9" s="33"/>
      <c r="R9" s="108" t="str">
        <f>VLOOKUP(C9,'Train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9" s="111" t="str">
        <f>VLOOKUP(C9,'Train Runs'!$A$13:$AE$10017,22,0)</f>
        <v>https://search-rtdc-monitor-bjffxe2xuh6vdkpspy63sjmuny.us-east-1.es.amazonaws.com/_plugin/kibana/#/discover/Steve-Slow-Train-Analysis-(2080s-and-2083s)?_g=(refreshInterval:(display:Off,section:0,value:0),time:(from:'2016-09-19 03:58:03-0600',mode:absolute,to:'2016-09-19 06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9" s="113" t="str">
        <f t="shared" si="1"/>
        <v>"C:\Program Files (x86)\AstroGrep\AstroGrep.exe" /spath="%USERPROFILE%\AppData\Local\Temp\OnboardLogs" /stypes="*4041*201609191*" /stext=" 11:.+((SYSTEM_STATE.+slice.+state.+changed )|(ment ac)|(system.+state.+changed )|(\|lc)|(penalty)|(\[timeout)|(PRM\|1\|D)|(kpr)|(kdp))" /e /r /s</v>
      </c>
      <c r="U9" s="9" t="str">
        <f t="shared" si="2"/>
        <v>4041</v>
      </c>
      <c r="V9" s="38">
        <f t="shared" si="3"/>
        <v>42632.488263888888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arrival","project_id":79,"tracker_id":40,"status_id":1,"priority_id":2,"assigned_to_id":23,"start_date":"2016-09-19","description":"","custom_fields":[{"id":1,"name":"Subdivision","value":"EC"},{"id":4,"name":"Milepost","value":"3.3257"},{"id":17,"name":"Train ID","value":"106-19"},{"id":16,"name":"Locomotive ID","value":"4041"},{"id":130,"name":"Impact","value":""},{"id":150,"name":"Time of Event (Mountain Time)","value":"05:43:06"},{"id":151,"name":"Denver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 t="shared" si="7"/>
        <v>grep -hSE -A100 "Enforcement Action" "%USERPROFILE%\AppData\Local\Temp\OnboardLogs"\RTDC4041\*4041*201609191* | grep -SE "((Enforcement Ac)|(PRM))" -</v>
      </c>
    </row>
    <row r="10" spans="1:29" s="1" customFormat="1" x14ac:dyDescent="0.25">
      <c r="A10" s="38">
        <v>42632.406168981484</v>
      </c>
      <c r="B10" s="33" t="s">
        <v>176</v>
      </c>
      <c r="C10" s="33" t="s">
        <v>437</v>
      </c>
      <c r="D10" s="33" t="s">
        <v>244</v>
      </c>
      <c r="E10" s="33" t="s">
        <v>169</v>
      </c>
      <c r="F10" s="49">
        <v>0</v>
      </c>
      <c r="G10" s="49">
        <v>257</v>
      </c>
      <c r="H10" s="49">
        <v>109023</v>
      </c>
      <c r="I10" s="49">
        <v>108357</v>
      </c>
      <c r="J10" s="33" t="s">
        <v>168</v>
      </c>
      <c r="K10" s="49">
        <v>109135</v>
      </c>
      <c r="L10" s="150" t="s">
        <v>53</v>
      </c>
      <c r="M10" s="153">
        <f t="shared" si="0"/>
        <v>-410.78399999999999</v>
      </c>
      <c r="N10" s="92" t="str">
        <f>VLOOKUP(C10,'Trips&amp;Operators'!$C$1:$E$99999,3,FALSE)</f>
        <v>STARKS</v>
      </c>
      <c r="O10" s="174" t="s">
        <v>86</v>
      </c>
      <c r="P10" s="10" t="s">
        <v>761</v>
      </c>
      <c r="Q10" s="33"/>
      <c r="R10" s="108" t="str">
        <f>VLOOKUP(C10,'Train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10" s="111" t="str">
        <f>VLOOKUP(C10,'Train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08:22:39-0600',mode:absolute,to:'2016-09-19 11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 t="shared" si="1"/>
        <v>"C:\Program Files (x86)\AstroGrep\AstroGrep.exe" /spath="%USERPROFILE%\AppData\Local\Temp\OnboardLogs" /stypes="*4041*201609191*" /stext=" 15:.+((SYSTEM_STATE.+slice.+state.+changed )|(ment ac)|(system.+state.+changed )|(\|lc)|(penalty)|(\[timeout)|(PRM\|1\|D)|(kpr)|(kdp))" /e /r /s</v>
      </c>
      <c r="U10" s="9" t="str">
        <f t="shared" si="2"/>
        <v>4041</v>
      </c>
      <c r="V10" s="38">
        <f t="shared" si="3"/>
        <v>42632.656168981484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arrival","project_id":79,"tracker_id":40,"status_id":1,"priority_id":2,"assigned_to_id":23,"start_date":"2016-09-19","description":"","custom_fields":[{"id":1,"name":"Subdivision","value":"EC"},{"id":4,"name":"Milepost","value":"10.9135"},{"id":17,"name":"Train ID","value":"140-19"},{"id":16,"name":"Locomotive ID","value":"4041"},{"id":130,"name":"Impact","value":""},{"id":150,"name":"Time of Event (Mountain Time)","value":"09:44:53"},{"id":151,"name":"Denver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 t="shared" si="7"/>
        <v>grep -hSE -A100 "Enforcement Action" "%USERPROFILE%\AppData\Local\Temp\OnboardLogs"\RTDC4041\*4041*201609191* | grep -SE "((Enforcement Ac)|(PRM))" -</v>
      </c>
    </row>
    <row r="11" spans="1:29" s="1" customFormat="1" x14ac:dyDescent="0.25">
      <c r="A11" s="38">
        <v>42632.428090277775</v>
      </c>
      <c r="B11" s="33" t="s">
        <v>402</v>
      </c>
      <c r="C11" s="33" t="s">
        <v>443</v>
      </c>
      <c r="D11" s="33" t="s">
        <v>244</v>
      </c>
      <c r="E11" s="33" t="s">
        <v>169</v>
      </c>
      <c r="F11" s="49">
        <v>410</v>
      </c>
      <c r="G11" s="49">
        <v>465</v>
      </c>
      <c r="H11" s="49">
        <v>109045</v>
      </c>
      <c r="I11" s="49">
        <v>107424</v>
      </c>
      <c r="J11" s="33" t="s">
        <v>168</v>
      </c>
      <c r="K11" s="49">
        <v>109135</v>
      </c>
      <c r="L11" s="150" t="s">
        <v>53</v>
      </c>
      <c r="M11" s="153">
        <f t="shared" si="0"/>
        <v>-903.40800000000002</v>
      </c>
      <c r="N11" s="92" t="str">
        <f>VLOOKUP(C11,'Trips&amp;Operators'!$C$1:$E$99999,3,FALSE)</f>
        <v>MALAVE</v>
      </c>
      <c r="O11" s="174" t="s">
        <v>86</v>
      </c>
      <c r="P11" s="10" t="s">
        <v>761</v>
      </c>
      <c r="Q11" s="33"/>
      <c r="R11" s="108" t="str">
        <f>VLOOKUP(C11,'Train Runs'!$A$13:$AE$10017,31,0)</f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S11" s="111" t="str">
        <f>VLOOKUP(C11,'Train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08:53:43-0600',mode:absolute,to:'2016-09-19 11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11" s="113" t="str">
        <f t="shared" si="1"/>
        <v>"C:\Program Files (x86)\AstroGrep\AstroGrep.exe" /spath="%USERPROFILE%\AppData\Local\Temp\OnboardLogs" /stypes="*4008*201609191*" /stext=" 16:.+((SYSTEM_STATE.+slice.+state.+changed )|(ment ac)|(system.+state.+changed )|(\|lc)|(penalty)|(\[timeout)|(PRM\|1\|D)|(kpr)|(kdp))" /e /r /s</v>
      </c>
      <c r="U11" s="9" t="str">
        <f t="shared" si="2"/>
        <v>4008</v>
      </c>
      <c r="V11" s="38">
        <f t="shared" si="3"/>
        <v>42632.678090277775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arrival","project_id":79,"tracker_id":40,"status_id":1,"priority_id":2,"assigned_to_id":23,"start_date":"2016-09-19","description":"","custom_fields":[{"id":1,"name":"Subdivision","value":"EC"},{"id":4,"name":"Milepost","value":"10.9135"},{"id":17,"name":"Train ID","value":"144-19"},{"id":16,"name":"Locomotive ID","value":"4008"},{"id":130,"name":"Impact","value":""},{"id":150,"name":"Time of Event (Mountain Time)","value":"10:16:27"},{"id":151,"name":"Denver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 t="shared" si="7"/>
        <v>grep -hSE -A100 "Enforcement Action" "%USERPROFILE%\AppData\Local\Temp\OnboardLogs"\RTDC4008\*4008*201609191* | grep -SE "((Enforcement Ac)|(PRM))" -</v>
      </c>
    </row>
    <row r="12" spans="1:29" s="1" customFormat="1" x14ac:dyDescent="0.25">
      <c r="A12" s="38">
        <v>42632.658125000002</v>
      </c>
      <c r="B12" s="33" t="s">
        <v>307</v>
      </c>
      <c r="C12" s="33" t="s">
        <v>511</v>
      </c>
      <c r="D12" s="33" t="s">
        <v>105</v>
      </c>
      <c r="E12" s="33" t="s">
        <v>56</v>
      </c>
      <c r="F12" s="49">
        <v>200</v>
      </c>
      <c r="G12" s="49">
        <v>252</v>
      </c>
      <c r="H12" s="49">
        <v>5420</v>
      </c>
      <c r="I12" s="49">
        <v>6057</v>
      </c>
      <c r="J12" s="33" t="s">
        <v>57</v>
      </c>
      <c r="K12" s="49">
        <v>4677</v>
      </c>
      <c r="L12" s="150" t="s">
        <v>52</v>
      </c>
      <c r="M12" s="153">
        <f t="shared" si="0"/>
        <v>-728.64</v>
      </c>
      <c r="N12" s="92" t="str">
        <f>VLOOKUP(C12,'Trips&amp;Operators'!$C$1:$E$99999,3,FALSE)</f>
        <v>DELGADO</v>
      </c>
      <c r="O12" s="174" t="s">
        <v>86</v>
      </c>
      <c r="P12" s="10"/>
      <c r="Q12" s="33"/>
      <c r="R12" s="108" t="str">
        <f>VLOOKUP(C12,'Train Runs'!$A$13:$AE$10017,31,0)</f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S12" s="111" t="str">
        <f>VLOOKUP(C12,'Train Runs'!$A$13:$AE$10017,22,0)</f>
        <v>https://search-rtdc-monitor-bjffxe2xuh6vdkpspy63sjmuny.us-east-1.es.amazonaws.com/_plugin/kibana/#/discover/Steve-Slow-Train-Analysis-(2080s-and-2083s)?_g=(refreshInterval:(display:Off,section:0,value:0),time:(from:'2016-09-19 14:36:51-0600',mode:absolute,to:'2016-09-19 17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12" s="113" t="str">
        <f t="shared" si="1"/>
        <v>"C:\Program Files (x86)\AstroGrep\AstroGrep.exe" /spath="%USERPROFILE%\AppData\Local\Temp\OnboardLogs" /stypes="*4011*201609192*" /stext=" 21:.+((SYSTEM_STATE.+slice.+state.+changed )|(ment ac)|(system.+state.+changed )|(\|lc)|(penalty)|(\[timeout)|(PRM\|1\|D)|(kpr)|(kdp))" /e /r /s</v>
      </c>
      <c r="U12" s="9" t="str">
        <f t="shared" si="2"/>
        <v>4011</v>
      </c>
      <c r="V12" s="38">
        <f t="shared" si="3"/>
        <v>42632.908125000002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{"issue":{"subject":"","project_id":79,"tracker_id":40,"status_id":1,"priority_id":2,"assigned_to_id":23,"start_date":"2016-09-19","description":"","custom_fields":[{"id":1,"name":"Subdivision","value":"EC"},{"id":4,"name":"Milepost","value":"0.4677"},{"id":17,"name":"Train ID","value":"197-19"},{"id":16,"name":"Locomotive ID","value":"4011"},{"id":130,"name":"Impact","value":""},{"id":150,"name":"Time of Event (Mountain Time)","value":"15:47:42"},{"id":151,"name":"Denver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 t="shared" si="7"/>
        <v>grep -hSE -A100 "Enforcement Action" "%USERPROFILE%\AppData\Local\Temp\OnboardLogs"\RTDC4011\*4011*201609192* | grep -SE "((Enforcement Ac)|(PRM))" -</v>
      </c>
    </row>
    <row r="13" spans="1:29" s="1" customFormat="1" x14ac:dyDescent="0.25">
      <c r="A13" s="38">
        <v>42632.495659722219</v>
      </c>
      <c r="B13" s="33" t="s">
        <v>176</v>
      </c>
      <c r="C13" s="33" t="s">
        <v>457</v>
      </c>
      <c r="D13" s="33" t="s">
        <v>49</v>
      </c>
      <c r="E13" s="33" t="s">
        <v>56</v>
      </c>
      <c r="F13" s="49">
        <v>200</v>
      </c>
      <c r="G13" s="49">
        <v>291</v>
      </c>
      <c r="H13" s="49">
        <v>6464</v>
      </c>
      <c r="I13" s="49">
        <v>5947</v>
      </c>
      <c r="J13" s="33" t="s">
        <v>57</v>
      </c>
      <c r="K13" s="49">
        <v>5457</v>
      </c>
      <c r="L13" s="150" t="s">
        <v>53</v>
      </c>
      <c r="M13" s="153">
        <f t="shared" si="0"/>
        <v>258.72000000000003</v>
      </c>
      <c r="N13" s="92" t="str">
        <f>VLOOKUP(C13,'Trips&amp;Operators'!$C$1:$E$99999,3,FALSE)</f>
        <v>STARKS</v>
      </c>
      <c r="O13" s="174" t="s">
        <v>86</v>
      </c>
      <c r="P13" s="10"/>
      <c r="Q13" s="33"/>
      <c r="R13" s="108" t="str">
        <f>VLOOKUP(C13,'Train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13" s="111" t="str">
        <f>VLOOKUP(C13,'Train Runs'!$A$13:$AE$10017,22,0)</f>
        <v>https://search-rtdc-monitor-bjffxe2xuh6vdkpspy63sjmuny.us-east-1.es.amazonaws.com/_plugin/kibana/#/discover/Steve-Slow-Train-Analysis-(2080s-and-2083s)?_g=(refreshInterval:(display:Off,section:0,value:0),time:(from:'2016-09-19 10:08:55-0600',mode:absolute,to:'2016-09-19 12:57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3" s="113" t="str">
        <f t="shared" si="1"/>
        <v>"C:\Program Files (x86)\AstroGrep\AstroGrep.exe" /spath="%USERPROFILE%\AppData\Local\Temp\OnboardLogs" /stypes="*4041*201609191*" /stext=" 17:.+((SYSTEM_STATE.+slice.+state.+changed )|(ment ac)|(system.+state.+changed )|(\|lc)|(penalty)|(\[timeout)|(PRM\|1\|D)|(kpr)|(kdp))" /e /r /s</v>
      </c>
      <c r="U13" s="9" t="str">
        <f t="shared" si="2"/>
        <v>4041</v>
      </c>
      <c r="V13" s="38">
        <f t="shared" si="3"/>
        <v>42632.745659722219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{"issue":{"subject":"","project_id":79,"tracker_id":40,"status_id":1,"priority_id":2,"assigned_to_id":23,"start_date":"2016-09-19","description":"","custom_fields":[{"id":1,"name":"Subdivision","value":"EC"},{"id":4,"name":"Milepost","value":"0.5457"},{"id":17,"name":"Train ID","value":"154-19"},{"id":16,"name":"Locomotive ID","value":"4041"},{"id":130,"name":"Impact","value":""},{"id":150,"name":"Time of Event (Mountain Time)","value":"11:53:45"},{"id":151,"name":"Denver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 t="shared" si="7"/>
        <v>grep -hSE -A100 "Enforcement Action" "%USERPROFILE%\AppData\Local\Temp\OnboardLogs"\RTDC4041\*4041*201609191* | grep -SE "((Enforcement Ac)|(PRM))" -</v>
      </c>
    </row>
    <row r="14" spans="1:29" s="1" customFormat="1" x14ac:dyDescent="0.25">
      <c r="A14" s="38">
        <v>42632.32571759259</v>
      </c>
      <c r="B14" s="33" t="s">
        <v>373</v>
      </c>
      <c r="C14" s="33" t="s">
        <v>419</v>
      </c>
      <c r="D14" s="33" t="s">
        <v>49</v>
      </c>
      <c r="E14" s="33" t="s">
        <v>56</v>
      </c>
      <c r="F14" s="49">
        <v>400</v>
      </c>
      <c r="G14" s="49">
        <v>559</v>
      </c>
      <c r="H14" s="49">
        <v>15951</v>
      </c>
      <c r="I14" s="49">
        <v>17867</v>
      </c>
      <c r="J14" s="33" t="s">
        <v>57</v>
      </c>
      <c r="K14" s="49">
        <v>17867</v>
      </c>
      <c r="L14" s="150" t="s">
        <v>52</v>
      </c>
      <c r="M14" s="153">
        <f t="shared" si="0"/>
        <v>0</v>
      </c>
      <c r="N14" s="92" t="str">
        <f>VLOOKUP(C14,'Trips&amp;Operators'!$C$1:$E$99999,3,FALSE)</f>
        <v>BRANNON</v>
      </c>
      <c r="O14" s="174" t="s">
        <v>86</v>
      </c>
      <c r="P14" s="10"/>
      <c r="Q14" s="33"/>
      <c r="R14" s="108" t="str">
        <f>VLOOKUP(C14,'Train Runs'!$A$13:$AE$10017,31,0)</f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S14" s="111" t="str">
        <f>VLOOKUP(C14,'Train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06:39:34-0600',mode:absolute,to:'2016-09-19 09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14" s="113" t="str">
        <f t="shared" si="1"/>
        <v>"C:\Program Files (x86)\AstroGrep\AstroGrep.exe" /spath="%USERPROFILE%\AppData\Local\Temp\OnboardLogs" /stypes="*4053*201609191*" /stext=" 13:.+((SYSTEM_STATE.+slice.+state.+changed )|(ment ac)|(system.+state.+changed )|(\|lc)|(penalty)|(\[timeout)|(PRM\|1\|D)|(kpr)|(kdp))" /e /r /s</v>
      </c>
      <c r="U14" s="9" t="str">
        <f t="shared" si="2"/>
        <v>4053</v>
      </c>
      <c r="V14" s="38">
        <f t="shared" si="3"/>
        <v>42632.57571759259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{"issue":{"subject":"","project_id":79,"tracker_id":40,"status_id":1,"priority_id":2,"assigned_to_id":23,"start_date":"2016-09-19","description":"","custom_fields":[{"id":1,"name":"Subdivision","value":"EC"},{"id":4,"name":"Milepost","value":"1.7867"},{"id":17,"name":"Train ID","value":"133-19"},{"id":16,"name":"Locomotive ID","value":"4053"},{"id":130,"name":"Impact","value":""},{"id":150,"name":"Time of Event (Mountain Time)","value":"07:49:02"},{"id":151,"name":"Denver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 t="shared" si="7"/>
        <v>grep -hSE -A100 "Enforcement Action" "%USERPROFILE%\AppData\Local\Temp\OnboardLogs"\RTDC4053\*4053*201609191* | grep -SE "((Enforcement Ac)|(PRM))" -</v>
      </c>
    </row>
    <row r="15" spans="1:29" s="1" customFormat="1" x14ac:dyDescent="0.25">
      <c r="A15" s="38">
        <v>42632.40079861111</v>
      </c>
      <c r="B15" s="33" t="s">
        <v>373</v>
      </c>
      <c r="C15" s="33" t="s">
        <v>438</v>
      </c>
      <c r="D15" s="33" t="s">
        <v>105</v>
      </c>
      <c r="E15" s="33" t="s">
        <v>56</v>
      </c>
      <c r="F15" s="49">
        <v>300</v>
      </c>
      <c r="G15" s="49">
        <v>350</v>
      </c>
      <c r="H15" s="49">
        <v>20369</v>
      </c>
      <c r="I15" s="49">
        <v>21186</v>
      </c>
      <c r="J15" s="33" t="s">
        <v>57</v>
      </c>
      <c r="K15" s="49">
        <v>20338</v>
      </c>
      <c r="L15" s="150" t="s">
        <v>52</v>
      </c>
      <c r="M15" s="153">
        <f t="shared" si="0"/>
        <v>-447.74400000000003</v>
      </c>
      <c r="N15" s="92" t="str">
        <f>VLOOKUP(C15,'Trips&amp;Operators'!$C$1:$E$99999,3,FALSE)</f>
        <v>BRANNON</v>
      </c>
      <c r="O15" s="174" t="s">
        <v>86</v>
      </c>
      <c r="P15" s="10"/>
      <c r="Q15" s="33"/>
      <c r="R15" s="108" t="str">
        <f>VLOOKUP(C15,'Train Runs'!$A$13:$AE$10017,31,0)</f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S15" s="111" t="str">
        <f>VLOOKUP(C15,'Train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08:25:13-0600',mode:absolute,to:'2016-09-19 11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15" s="113" t="str">
        <f t="shared" si="1"/>
        <v>"C:\Program Files (x86)\AstroGrep\AstroGrep.exe" /spath="%USERPROFILE%\AppData\Local\Temp\OnboardLogs" /stypes="*4053*201609191*" /stext=" 15:.+((SYSTEM_STATE.+slice.+state.+changed )|(ment ac)|(system.+state.+changed )|(\|lc)|(penalty)|(\[timeout)|(PRM\|1\|D)|(kpr)|(kdp))" /e /r /s</v>
      </c>
      <c r="U15" s="9" t="str">
        <f t="shared" si="2"/>
        <v>4053</v>
      </c>
      <c r="V15" s="38">
        <f t="shared" si="3"/>
        <v>42632.65079861111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{"issue":{"subject":"","project_id":79,"tracker_id":40,"status_id":1,"priority_id":2,"assigned_to_id":23,"start_date":"2016-09-19","description":"","custom_fields":[{"id":1,"name":"Subdivision","value":"EC"},{"id":4,"name":"Milepost","value":"2.0338"},{"id":17,"name":"Train ID","value":"147-19"},{"id":16,"name":"Locomotive ID","value":"4053"},{"id":130,"name":"Impact","value":""},{"id":150,"name":"Time of Event (Mountain Time)","value":"09:37:09"},{"id":151,"name":"Denver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 t="shared" si="7"/>
        <v>grep -hSE -A100 "Enforcement Action" "%USERPROFILE%\AppData\Local\Temp\OnboardLogs"\RTDC4053\*4053*201609191* | grep -SE "((Enforcement Ac)|(PRM))" -</v>
      </c>
    </row>
    <row r="16" spans="1:29" s="1" customFormat="1" x14ac:dyDescent="0.25">
      <c r="A16" s="38">
        <v>42632.241180555553</v>
      </c>
      <c r="B16" s="33" t="s">
        <v>176</v>
      </c>
      <c r="C16" s="33" t="s">
        <v>384</v>
      </c>
      <c r="D16" s="33" t="s">
        <v>49</v>
      </c>
      <c r="E16" s="33" t="s">
        <v>56</v>
      </c>
      <c r="F16" s="49">
        <v>300</v>
      </c>
      <c r="G16" s="49">
        <v>420</v>
      </c>
      <c r="H16" s="49">
        <v>23542</v>
      </c>
      <c r="I16" s="49">
        <v>22251</v>
      </c>
      <c r="J16" s="33" t="s">
        <v>57</v>
      </c>
      <c r="K16" s="49">
        <v>21848</v>
      </c>
      <c r="L16" s="150" t="s">
        <v>53</v>
      </c>
      <c r="M16" s="153">
        <f t="shared" si="0"/>
        <v>212.78399999999999</v>
      </c>
      <c r="N16" s="92" t="str">
        <f>VLOOKUP(C16,'Trips&amp;Operators'!$C$1:$E$99999,3,FALSE)</f>
        <v>BRANNON</v>
      </c>
      <c r="O16" s="174" t="s">
        <v>86</v>
      </c>
      <c r="P16" s="10"/>
      <c r="Q16" s="33"/>
      <c r="R16" s="108" t="str">
        <f>VLOOKUP(C16,'Train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16" s="111" t="str">
        <f>VLOOKUP(C16,'Train Runs'!$A$13:$AE$10017,22,0)</f>
        <v>https://search-rtdc-monitor-bjffxe2xuh6vdkpspy63sjmuny.us-east-1.es.amazonaws.com/_plugin/kibana/#/discover/Steve-Slow-Train-Analysis-(2080s-and-2083s)?_g=(refreshInterval:(display:Off,section:0,value:0),time:(from:'2016-09-19 03:58:03-0600',mode:absolute,to:'2016-09-19 06:54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6" s="113" t="str">
        <f t="shared" si="1"/>
        <v>"C:\Program Files (x86)\AstroGrep\AstroGrep.exe" /spath="%USERPROFILE%\AppData\Local\Temp\OnboardLogs" /stypes="*4041*201609191*" /stext=" 11:.+((SYSTEM_STATE.+slice.+state.+changed )|(ment ac)|(system.+state.+changed )|(\|lc)|(penalty)|(\[timeout)|(PRM\|1\|D)|(kpr)|(kdp))" /e /r /s</v>
      </c>
      <c r="U16" s="9" t="str">
        <f t="shared" si="2"/>
        <v>4041</v>
      </c>
      <c r="V16" s="38">
        <f t="shared" si="3"/>
        <v>42632.491180555553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{"issue":{"subject":"","project_id":79,"tracker_id":40,"status_id":1,"priority_id":2,"assigned_to_id":23,"start_date":"2016-09-19","description":"","custom_fields":[{"id":1,"name":"Subdivision","value":"EC"},{"id":4,"name":"Milepost","value":"2.1848"},{"id":17,"name":"Train ID","value":"106-19"},{"id":16,"name":"Locomotive ID","value":"4041"},{"id":130,"name":"Impact","value":""},{"id":150,"name":"Time of Event (Mountain Time)","value":"05:47:18"},{"id":151,"name":"Denver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 t="shared" si="7"/>
        <v>grep -hSE -A100 "Enforcement Action" "%USERPROFILE%\AppData\Local\Temp\OnboardLogs"\RTDC4041\*4041*201609191* | grep -SE "((Enforcement Ac)|(PRM))" -</v>
      </c>
    </row>
    <row r="17" spans="1:29" s="1" customFormat="1" x14ac:dyDescent="0.25">
      <c r="A17" s="38">
        <v>42632.291701388887</v>
      </c>
      <c r="B17" s="33" t="s">
        <v>402</v>
      </c>
      <c r="C17" s="33" t="s">
        <v>403</v>
      </c>
      <c r="D17" s="33" t="s">
        <v>49</v>
      </c>
      <c r="E17" s="33" t="s">
        <v>56</v>
      </c>
      <c r="F17" s="49">
        <v>300</v>
      </c>
      <c r="G17" s="49">
        <v>411</v>
      </c>
      <c r="H17" s="49">
        <v>23047</v>
      </c>
      <c r="I17" s="49">
        <v>21713</v>
      </c>
      <c r="J17" s="33" t="s">
        <v>57</v>
      </c>
      <c r="K17" s="49">
        <v>21848</v>
      </c>
      <c r="L17" s="150" t="s">
        <v>53</v>
      </c>
      <c r="M17" s="153">
        <f t="shared" si="0"/>
        <v>-71.28</v>
      </c>
      <c r="N17" s="92" t="str">
        <f>VLOOKUP(C17,'Trips&amp;Operators'!$C$1:$E$99999,3,FALSE)</f>
        <v>MALAVE</v>
      </c>
      <c r="O17" s="174" t="s">
        <v>86</v>
      </c>
      <c r="P17" s="10"/>
      <c r="Q17" s="33"/>
      <c r="R17" s="108" t="str">
        <f>VLOOKUP(C17,'Train Runs'!$A$13:$AE$10017,31,0)</f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S17" s="111" t="str">
        <f>VLOOKUP(C17,'Train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05:22:58-0600',mode:absolute,to:'2016-09-19 08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17" s="113" t="str">
        <f t="shared" si="1"/>
        <v>"C:\Program Files (x86)\AstroGrep\AstroGrep.exe" /spath="%USERPROFILE%\AppData\Local\Temp\OnboardLogs" /stypes="*4008*201609191*" /stext=" 13:.+((SYSTEM_STATE.+slice.+state.+changed )|(ment ac)|(system.+state.+changed )|(\|lc)|(penalty)|(\[timeout)|(PRM\|1\|D)|(kpr)|(kdp))" /e /r /s</v>
      </c>
      <c r="U17" s="9" t="str">
        <f t="shared" si="2"/>
        <v>4008</v>
      </c>
      <c r="V17" s="38">
        <f t="shared" si="3"/>
        <v>42632.541701388887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{"issue":{"subject":"","project_id":79,"tracker_id":40,"status_id":1,"priority_id":2,"assigned_to_id":23,"start_date":"2016-09-19","description":"","custom_fields":[{"id":1,"name":"Subdivision","value":"EC"},{"id":4,"name":"Milepost","value":"2.1848"},{"id":17,"name":"Train ID","value":"116-19"},{"id":16,"name":"Locomotive ID","value":"4008"},{"id":130,"name":"Impact","value":""},{"id":150,"name":"Time of Event (Mountain Time)","value":"07:00:03"},{"id":151,"name":"Denver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 t="shared" si="7"/>
        <v>grep -hSE -A100 "Enforcement Action" "%USERPROFILE%\AppData\Local\Temp\OnboardLogs"\RTDC4008\*4008*201609191* | grep -SE "((Enforcement Ac)|(PRM))" -</v>
      </c>
    </row>
    <row r="18" spans="1:29" s="1" customFormat="1" x14ac:dyDescent="0.25">
      <c r="A18" s="38">
        <v>42632.399930555555</v>
      </c>
      <c r="B18" s="33" t="s">
        <v>176</v>
      </c>
      <c r="C18" s="33" t="s">
        <v>437</v>
      </c>
      <c r="D18" s="33" t="s">
        <v>49</v>
      </c>
      <c r="E18" s="33" t="s">
        <v>56</v>
      </c>
      <c r="F18" s="49">
        <v>450</v>
      </c>
      <c r="G18" s="49">
        <v>643</v>
      </c>
      <c r="H18" s="49">
        <v>159700</v>
      </c>
      <c r="I18" s="49">
        <v>157997</v>
      </c>
      <c r="J18" s="33" t="s">
        <v>57</v>
      </c>
      <c r="K18" s="49">
        <v>156300</v>
      </c>
      <c r="L18" s="150" t="s">
        <v>53</v>
      </c>
      <c r="M18" s="153">
        <f t="shared" si="0"/>
        <v>896.01599999999996</v>
      </c>
      <c r="N18" s="92" t="str">
        <f>VLOOKUP(C18,'Trips&amp;Operators'!$C$1:$E$99999,3,FALSE)</f>
        <v>STARKS</v>
      </c>
      <c r="O18" s="174" t="s">
        <v>86</v>
      </c>
      <c r="P18" s="10"/>
      <c r="Q18" s="33"/>
      <c r="R18" s="108" t="str">
        <f>VLOOKUP(C18,'Train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18" s="111" t="str">
        <f>VLOOKUP(C18,'Train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08:22:39-0600',mode:absolute,to:'2016-09-19 11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8" s="113" t="str">
        <f t="shared" si="1"/>
        <v>"C:\Program Files (x86)\AstroGrep\AstroGrep.exe" /spath="%USERPROFILE%\AppData\Local\Temp\OnboardLogs" /stypes="*4041*201609191*" /stext=" 15:.+((SYSTEM_STATE.+slice.+state.+changed )|(ment ac)|(system.+state.+changed )|(\|lc)|(penalty)|(\[timeout)|(PRM\|1\|D)|(kpr)|(kdp))" /e /r /s</v>
      </c>
      <c r="U18" s="9" t="str">
        <f t="shared" si="2"/>
        <v>4041</v>
      </c>
      <c r="V18" s="38">
        <f t="shared" si="3"/>
        <v>42632.649930555555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{"issue":{"subject":"","project_id":79,"tracker_id":40,"status_id":1,"priority_id":2,"assigned_to_id":23,"start_date":"2016-09-19","description":"","custom_fields":[{"id":1,"name":"Subdivision","value":"EC"},{"id":4,"name":"Milepost","value":"15.63"},{"id":17,"name":"Train ID","value":"140-19"},{"id":16,"name":"Locomotive ID","value":"4041"},{"id":130,"name":"Impact","value":""},{"id":150,"name":"Time of Event (Mountain Time)","value":"09:35:54"},{"id":151,"name":"Denver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 t="shared" si="7"/>
        <v>grep -hSE -A100 "Enforcement Action" "%USERPROFILE%\AppData\Local\Temp\OnboardLogs"\RTDC4041\*4041*201609191* | grep -SE "((Enforcement Ac)|(PRM))" -</v>
      </c>
    </row>
    <row r="19" spans="1:29" s="1" customFormat="1" x14ac:dyDescent="0.25">
      <c r="A19" s="38">
        <v>42632.451006944444</v>
      </c>
      <c r="B19" s="33" t="s">
        <v>178</v>
      </c>
      <c r="C19" s="33" t="s">
        <v>446</v>
      </c>
      <c r="D19" s="33" t="s">
        <v>105</v>
      </c>
      <c r="E19" s="33" t="s">
        <v>56</v>
      </c>
      <c r="F19" s="49">
        <v>350</v>
      </c>
      <c r="G19" s="49">
        <v>403</v>
      </c>
      <c r="H19" s="49">
        <v>225534</v>
      </c>
      <c r="I19" s="49">
        <v>226540</v>
      </c>
      <c r="J19" s="33" t="s">
        <v>57</v>
      </c>
      <c r="K19" s="49">
        <v>224578</v>
      </c>
      <c r="L19" s="150" t="s">
        <v>52</v>
      </c>
      <c r="M19" s="153">
        <f t="shared" si="0"/>
        <v>-1035.9359999999999</v>
      </c>
      <c r="N19" s="92" t="str">
        <f>VLOOKUP(C19,'Trips&amp;Operators'!$C$1:$E$99999,3,FALSE)</f>
        <v>STARKS</v>
      </c>
      <c r="O19" s="174" t="s">
        <v>86</v>
      </c>
      <c r="P19" s="10"/>
      <c r="Q19" s="33"/>
      <c r="R19" s="108" t="str">
        <f>VLOOKUP(C19,'Train Runs'!$A$13:$AE$10017,31,0)</f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S19" s="111" t="str">
        <f>VLOOKUP(C19,'Train Runs'!$A$13:$AE$10017,22,0)</f>
        <v>https://search-rtdc-monitor-bjffxe2xuh6vdkpspy63sjmuny.us-east-1.es.amazonaws.com/_plugin/kibana/#/discover/Steve-Slow-Train-Analysis-(2080s-and-2083s)?_g=(refreshInterval:(display:Off,section:0,value:0),time:(from:'2016-09-19 09:11:10-0600',mode:absolute,to:'2016-09-19 11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9" s="113" t="str">
        <f t="shared" si="1"/>
        <v>"C:\Program Files (x86)\AstroGrep\AstroGrep.exe" /spath="%USERPROFILE%\AppData\Local\Temp\OnboardLogs" /stypes="*4042*201609191*" /stext=" 16:.+((SYSTEM_STATE.+slice.+state.+changed )|(ment ac)|(system.+state.+changed )|(\|lc)|(penalty)|(\[timeout)|(PRM\|1\|D)|(kpr)|(kdp))" /e /r /s</v>
      </c>
      <c r="U19" s="9" t="str">
        <f t="shared" si="2"/>
        <v>4042</v>
      </c>
      <c r="V19" s="38">
        <f t="shared" si="3"/>
        <v>42632.701006944444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{"issue":{"subject":"","project_id":79,"tracker_id":40,"status_id":1,"priority_id":2,"assigned_to_id":23,"start_date":"2016-09-19","description":"","custom_fields":[{"id":1,"name":"Subdivision","value":"EC"},{"id":4,"name":"Milepost","value":"22.4578"},{"id":17,"name":"Train ID","value":"153-19"},{"id":16,"name":"Locomotive ID","value":"4042"},{"id":130,"name":"Impact","value":""},{"id":150,"name":"Time of Event (Mountain Time)","value":"10:49:27"},{"id":151,"name":"Denver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 t="shared" si="7"/>
        <v>grep -hSE -A100 "Enforcement Action" "%USERPROFILE%\AppData\Local\Temp\OnboardLogs"\RTDC4042\*4042*201609191* | grep -SE "((Enforcement Ac)|(PRM))" -</v>
      </c>
    </row>
    <row r="20" spans="1:29" s="1" customFormat="1" x14ac:dyDescent="0.25">
      <c r="A20" s="38">
        <v>42632.551898148151</v>
      </c>
      <c r="B20" s="33" t="s">
        <v>314</v>
      </c>
      <c r="C20" s="33" t="s">
        <v>480</v>
      </c>
      <c r="D20" s="33" t="s">
        <v>105</v>
      </c>
      <c r="E20" s="33" t="s">
        <v>56</v>
      </c>
      <c r="F20" s="49">
        <v>350</v>
      </c>
      <c r="G20" s="49">
        <v>401</v>
      </c>
      <c r="H20" s="49">
        <v>224678</v>
      </c>
      <c r="I20" s="49">
        <v>223551</v>
      </c>
      <c r="J20" s="33" t="s">
        <v>57</v>
      </c>
      <c r="K20" s="49">
        <v>228668</v>
      </c>
      <c r="L20" s="150" t="s">
        <v>53</v>
      </c>
      <c r="M20" s="153">
        <f t="shared" si="0"/>
        <v>-2701.7760000000003</v>
      </c>
      <c r="N20" s="92" t="str">
        <f>VLOOKUP(C20,'Trips&amp;Operators'!$C$1:$E$99999,3,FALSE)</f>
        <v>DELGADO</v>
      </c>
      <c r="O20" s="174" t="s">
        <v>86</v>
      </c>
      <c r="P20" s="10"/>
      <c r="Q20" s="33"/>
      <c r="R20" s="108" t="str">
        <f>VLOOKUP(C20,'Train Runs'!$A$13:$AE$10017,31,0)</f>
        <v>aws s3 cp s3://rtdc.mdm.uploadarchive/RTDC4012/2016-09-19/ "%USERPROFILE%\AppData\Local\Temp\OnboardLogs"\RTDC4012\2016-09-19 --recursive &amp; "%USERPROFILE%\Documents\GitHub\mrs-test-scripts\Headless Mode &amp; Sideloading\WalkAndUnGZ.bat" "%USERPROFILE%\AppData\Local\Temp\OnboardLogs"\RTDC4012\2016-09-19 &amp; aws s3 cp s3://rtdc.mdm.uploadarchive/RTDC4012/2016-09-20/ "%USERPROFILE%\AppData\Local\Temp\OnboardLogs"\RTDC4012\2016-09-20 --recursive &amp; "%USERPROFILE%\Documents\GitHub\mrs-test-scripts\Headless Mode &amp; Sideloading\WalkAndUnGZ.bat" "%USERPROFILE%\AppData\Local\Temp\OnboardLogs"\RTDC4012\2016-09-20</v>
      </c>
      <c r="S20" s="111" t="str">
        <f>VLOOKUP(C20,'Train Runs'!$A$13:$AE$10017,22,0)</f>
        <v>https://search-rtdc-monitor-bjffxe2xuh6vdkpspy63sjmuny.us-east-1.es.amazonaws.com/_plugin/kibana/#/discover/Steve-Slow-Train-Analysis-(2080s-and-2083s)?_g=(refreshInterval:(display:Off,section:0,value:0),time:(from:'2016-09-19 12:07:26-0600',mode:absolute,to:'2016-09-19 14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0" s="113" t="str">
        <f t="shared" si="1"/>
        <v>"C:\Program Files (x86)\AstroGrep\AstroGrep.exe" /spath="%USERPROFILE%\AppData\Local\Temp\OnboardLogs" /stypes="*4012*201609191*" /stext=" 19:.+((SYSTEM_STATE.+slice.+state.+changed )|(ment ac)|(system.+state.+changed )|(\|lc)|(penalty)|(\[timeout)|(PRM\|1\|D)|(kpr)|(kdp))" /e /r /s</v>
      </c>
      <c r="U20" s="9" t="str">
        <f t="shared" si="2"/>
        <v>4012</v>
      </c>
      <c r="V20" s="38">
        <f t="shared" si="3"/>
        <v>42632.801898148151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{"issue":{"subject":"","project_id":79,"tracker_id":40,"status_id":1,"priority_id":2,"assigned_to_id":23,"start_date":"2016-09-19","description":"","custom_fields":[{"id":1,"name":"Subdivision","value":"EC"},{"id":4,"name":"Milepost","value":"22.8668"},{"id":17,"name":"Train ID","value":"170-19"},{"id":16,"name":"Locomotive ID","value":"4012"},{"id":130,"name":"Impact","value":""},{"id":150,"name":"Time of Event (Mountain Time)","value":"13:14:44"},{"id":151,"name":"Denver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 t="shared" si="7"/>
        <v>grep -hSE -A100 "Enforcement Action" "%USERPROFILE%\AppData\Local\Temp\OnboardLogs"\RTDC4012\*4012*201609191* | grep -SE "((Enforcement Ac)|(PRM))" -</v>
      </c>
    </row>
    <row r="21" spans="1:29" x14ac:dyDescent="0.25">
      <c r="A21" s="38">
        <v>42633.04105324074</v>
      </c>
      <c r="B21" s="33" t="s">
        <v>407</v>
      </c>
      <c r="C21" s="33" t="s">
        <v>586</v>
      </c>
      <c r="D21" s="33" t="s">
        <v>105</v>
      </c>
      <c r="E21" s="33" t="s">
        <v>56</v>
      </c>
      <c r="F21" s="49">
        <v>350</v>
      </c>
      <c r="G21" s="49">
        <v>404</v>
      </c>
      <c r="H21" s="49">
        <v>225811</v>
      </c>
      <c r="I21" s="49">
        <v>224728</v>
      </c>
      <c r="J21" s="33" t="s">
        <v>57</v>
      </c>
      <c r="K21" s="49">
        <v>228668</v>
      </c>
      <c r="L21" s="150" t="s">
        <v>53</v>
      </c>
      <c r="M21" s="153">
        <f t="shared" si="0"/>
        <v>-2080.3200000000002</v>
      </c>
      <c r="N21" s="92" t="str">
        <f>VLOOKUP(C21,'Trips&amp;Operators'!$C$1:$E$99999,3,FALSE)</f>
        <v>CHANDLER</v>
      </c>
      <c r="O21" s="174" t="s">
        <v>86</v>
      </c>
      <c r="P21" s="10"/>
      <c r="Q21" s="33"/>
      <c r="R21" s="108" t="str">
        <f>VLOOKUP(C21,'Train Runs'!$A$13:$AE$10017,31,0)</f>
        <v>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 &amp; aws s3 cp s3://rtdc.mdm.uploadarchive/RTDC4054/2016-09-21/ "%USERPROFILE%\AppData\Local\Temp\OnboardLogs"\RTDC4054\2016-09-21 --recursive &amp; "%USERPROFILE%\Documents\GitHub\mrs-test-scripts\Headless Mode &amp; Sideloading\WalkAndUnGZ.bat" "%USERPROFILE%\AppData\Local\Temp\OnboardLogs"\RTDC4054\2016-09-21</v>
      </c>
      <c r="S21" s="111" t="str">
        <f>VLOOKUP(C21,'Train Runs'!$A$13:$AE$10017,22,0)</f>
        <v>https://search-rtdc-monitor-bjffxe2xuh6vdkpspy63sjmuny.us-east-1.es.amazonaws.com/_plugin/kibana/#/discover/Steve-Slow-Train-Analysis-(2080s-and-2083s)?_g=(refreshInterval:(display:Off,section:0,value:0),time:(from:'2016-09-19 23:54:14-0600',mode:absolute,to:'2016-09-20 02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1" s="113" t="str">
        <f t="shared" si="1"/>
        <v>"C:\Program Files (x86)\AstroGrep\AstroGrep.exe" /spath="%USERPROFILE%\AppData\Local\Temp\OnboardLogs" /stypes="*4054*201609200*" /stext=" 06:.+((SYSTEM_STATE.+slice.+state.+changed )|(ment ac)|(system.+state.+changed )|(\|lc)|(penalty)|(\[timeout)|(PRM\|1\|D)|(kpr)|(kdp))" /e /r /s</v>
      </c>
      <c r="U21" s="9" t="str">
        <f t="shared" si="2"/>
        <v>4054</v>
      </c>
      <c r="V21" s="38">
        <f t="shared" si="3"/>
        <v>42633.29105324074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{"issue":{"subject":"","project_id":79,"tracker_id":40,"status_id":1,"priority_id":2,"assigned_to_id":23,"start_date":"2016-09-20","description":"","custom_fields":[{"id":1,"name":"Subdivision","value":"EC"},{"id":4,"name":"Milepost","value":"22.8668"},{"id":17,"name":"Train ID","value":"242-19"},{"id":16,"name":"Locomotive ID","value":"4054"},{"id":130,"name":"Impact","value":""},{"id":150,"name":"Time of Event (Mountain Time)","value":"00:59:07"},{"id":151,"name":"Denver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 t="shared" si="7"/>
        <v>grep -hSE -A100 "Enforcement Action" "%USERPROFILE%\AppData\Local\Temp\OnboardLogs"\RTDC4054\*4054*201609200* | grep -SE "((Enforcement Ac)|(PRM))" -</v>
      </c>
    </row>
    <row r="22" spans="1:29" x14ac:dyDescent="0.25">
      <c r="A22" s="38">
        <v>42632.399675925924</v>
      </c>
      <c r="B22" s="33" t="s">
        <v>370</v>
      </c>
      <c r="C22" s="33" t="s">
        <v>434</v>
      </c>
      <c r="D22" s="33" t="s">
        <v>49</v>
      </c>
      <c r="E22" s="33" t="s">
        <v>56</v>
      </c>
      <c r="F22" s="49">
        <v>150</v>
      </c>
      <c r="G22" s="49">
        <v>201</v>
      </c>
      <c r="H22" s="49">
        <v>229976</v>
      </c>
      <c r="I22" s="49">
        <v>230602</v>
      </c>
      <c r="J22" s="33" t="s">
        <v>57</v>
      </c>
      <c r="K22" s="49">
        <v>230436</v>
      </c>
      <c r="L22" s="150" t="s">
        <v>52</v>
      </c>
      <c r="M22" s="153">
        <f t="shared" si="0"/>
        <v>-87.647999999999996</v>
      </c>
      <c r="N22" s="92" t="str">
        <f>VLOOKUP(C22,'Trips&amp;Operators'!$C$1:$E$99999,3,FALSE)</f>
        <v>MALAVE</v>
      </c>
      <c r="O22" s="174" t="s">
        <v>86</v>
      </c>
      <c r="P22" s="10"/>
      <c r="Q22" s="33"/>
      <c r="R22" s="108" t="str">
        <f>VLOOKUP(C22,'Train Runs'!$A$13:$AE$10017,31,0)</f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S22" s="111" t="str">
        <f>VLOOKUP(C22,'Train Runs'!$A$13:$AE$10017,22,0)</f>
        <v>https://search-rtdc-monitor-bjffxe2xuh6vdkpspy63sjmuny.us-east-1.es.amazonaws.com/_plugin/kibana/#/discover/Steve-Slow-Train-Analysis-(2080s-and-2083s)?_g=(refreshInterval:(display:Off,section:0,value:0),time:(from:'2016-09-19 07:58:16-0600',mode:absolute,to:'2016-09-19 10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22" s="113" t="str">
        <f t="shared" si="1"/>
        <v>"C:\Program Files (x86)\AstroGrep\AstroGrep.exe" /spath="%USERPROFILE%\AppData\Local\Temp\OnboardLogs" /stypes="*4007*201609191*" /stext=" 15:.+((SYSTEM_STATE.+slice.+state.+changed )|(ment ac)|(system.+state.+changed )|(\|lc)|(penalty)|(\[timeout)|(PRM\|1\|D)|(kpr)|(kdp))" /e /r /s</v>
      </c>
      <c r="U22" s="9" t="str">
        <f t="shared" si="2"/>
        <v>4007</v>
      </c>
      <c r="V22" s="38">
        <f t="shared" si="3"/>
        <v>42632.649675925924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{"issue":{"subject":"","project_id":79,"tracker_id":40,"status_id":1,"priority_id":2,"assigned_to_id":23,"start_date":"2016-09-19","description":"","custom_fields":[{"id":1,"name":"Subdivision","value":"EC"},{"id":4,"name":"Milepost","value":"23.0436"},{"id":17,"name":"Train ID","value":"143-19"},{"id":16,"name":"Locomotive ID","value":"4007"},{"id":130,"name":"Impact","value":""},{"id":150,"name":"Time of Event (Mountain Time)","value":"09:35:32"},{"id":151,"name":"Denver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 t="shared" si="7"/>
        <v>grep -hSE -A100 "Enforcement Action" "%USERPROFILE%\AppData\Local\Temp\OnboardLogs"\RTDC4007\*4007*201609191* | grep -SE "((Enforcement Ac)|(PRM))" -</v>
      </c>
    </row>
    <row r="23" spans="1:29" x14ac:dyDescent="0.25">
      <c r="A23" s="38">
        <v>42632.289467592593</v>
      </c>
      <c r="B23" s="33" t="s">
        <v>407</v>
      </c>
      <c r="C23" s="33" t="s">
        <v>408</v>
      </c>
      <c r="D23" s="33" t="s">
        <v>105</v>
      </c>
      <c r="E23" s="33" t="s">
        <v>56</v>
      </c>
      <c r="F23" s="49">
        <v>150</v>
      </c>
      <c r="G23" s="49">
        <v>228</v>
      </c>
      <c r="H23" s="49">
        <v>232286</v>
      </c>
      <c r="I23" s="49">
        <v>231984</v>
      </c>
      <c r="J23" s="33" t="s">
        <v>57</v>
      </c>
      <c r="K23" s="49">
        <v>233492</v>
      </c>
      <c r="L23" s="150" t="s">
        <v>53</v>
      </c>
      <c r="M23" s="153">
        <f t="shared" si="0"/>
        <v>-796.22400000000005</v>
      </c>
      <c r="N23" s="92" t="str">
        <f>VLOOKUP(C23,'Trips&amp;Operators'!$C$1:$E$99999,3,FALSE)</f>
        <v>BRANNON</v>
      </c>
      <c r="O23" s="174" t="s">
        <v>86</v>
      </c>
      <c r="P23" s="10"/>
      <c r="Q23" s="33"/>
      <c r="R23" s="108" t="str">
        <f>VLOOKUP(C23,'Train Runs'!$A$13:$AE$10017,31,0)</f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S23" s="111" t="str">
        <f>VLOOKUP(C23,'Train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05:50:09-0600',mode:absolute,to:'2016-09-19 08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23" s="113" t="str">
        <f t="shared" si="1"/>
        <v>"C:\Program Files (x86)\AstroGrep\AstroGrep.exe" /spath="%USERPROFILE%\AppData\Local\Temp\OnboardLogs" /stypes="*4054*201609191*" /stext=" 12:.+((SYSTEM_STATE.+slice.+state.+changed )|(ment ac)|(system.+state.+changed )|(\|lc)|(penalty)|(\[timeout)|(PRM\|1\|D)|(kpr)|(kdp))" /e /r /s</v>
      </c>
      <c r="U23" s="9" t="str">
        <f t="shared" si="2"/>
        <v>4054</v>
      </c>
      <c r="V23" s="38">
        <f t="shared" si="3"/>
        <v>42632.539467592593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{"issue":{"subject":"","project_id":79,"tracker_id":40,"status_id":1,"priority_id":2,"assigned_to_id":23,"start_date":"2016-09-19","description":"","custom_fields":[{"id":1,"name":"Subdivision","value":"EC"},{"id":4,"name":"Milepost","value":"23.3492"},{"id":17,"name":"Train ID","value":"120-19"},{"id":16,"name":"Locomotive ID","value":"4054"},{"id":130,"name":"Impact","value":""},{"id":150,"name":"Time of Event (Mountain Time)","value":"06:56:50"},{"id":151,"name":"Denver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 t="shared" si="7"/>
        <v>grep -hSE -A100 "Enforcement Action" "%USERPROFILE%\AppData\Local\Temp\OnboardLogs"\RTDC4054\*4054*201609191* | grep -SE "((Enforcement Ac)|(PRM))" -</v>
      </c>
    </row>
    <row r="24" spans="1:29" ht="15" customHeight="1" x14ac:dyDescent="0.25">
      <c r="A24" s="38">
        <v>42632.527604166666</v>
      </c>
      <c r="B24" s="33" t="s">
        <v>370</v>
      </c>
      <c r="C24" s="33" t="s">
        <v>473</v>
      </c>
      <c r="D24" s="33" t="s">
        <v>105</v>
      </c>
      <c r="E24" s="33" t="s">
        <v>54</v>
      </c>
      <c r="F24" s="49">
        <v>200</v>
      </c>
      <c r="G24" s="49">
        <v>251</v>
      </c>
      <c r="H24" s="49">
        <v>20617</v>
      </c>
      <c r="I24" s="49">
        <v>21211</v>
      </c>
      <c r="J24" s="33" t="s">
        <v>55</v>
      </c>
      <c r="K24" s="49">
        <v>10800</v>
      </c>
      <c r="L24" s="150" t="s">
        <v>52</v>
      </c>
      <c r="M24" s="153">
        <f t="shared" si="0"/>
        <v>-5497.0079999999998</v>
      </c>
      <c r="N24" s="92" t="str">
        <f>VLOOKUP(C24,'Trips&amp;Operators'!$C$1:$E$99999,3,FALSE)</f>
        <v>ISHMAEL</v>
      </c>
      <c r="O24" s="174" t="s">
        <v>86</v>
      </c>
      <c r="P24" s="10" t="s">
        <v>762</v>
      </c>
      <c r="Q24" s="33"/>
      <c r="R24" s="108" t="str">
        <f>VLOOKUP(C24,'Train Runs'!$A$13:$AE$10017,31,0)</f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S24" s="111" t="str">
        <f>VLOOKUP(C24,'Train Runs'!$A$13:$AE$10017,22,0)</f>
        <v>https://search-rtdc-monitor-bjffxe2xuh6vdkpspy63sjmuny.us-east-1.es.amazonaws.com/_plugin/kibana/#/discover/Steve-Slow-Train-Analysis-(2080s-and-2083s)?_g=(refreshInterval:(display:Off,section:0,value:0),time:(from:'2016-09-19 11:37:55-0600',mode:absolute,to:'2016-09-19 14:17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24" s="113" t="str">
        <f t="shared" si="1"/>
        <v>"C:\Program Files (x86)\AstroGrep\AstroGrep.exe" /spath="%USERPROFILE%\AppData\Local\Temp\OnboardLogs" /stypes="*4007*201609191*" /stext=" 18:.+((SYSTEM_STATE.+slice.+state.+changed )|(ment ac)|(system.+state.+changed )|(\|lc)|(penalty)|(\[timeout)|(PRM\|1\|D)|(kpr)|(kdp))" /e /r /s</v>
      </c>
      <c r="U24" s="9" t="str">
        <f t="shared" si="2"/>
        <v>4007</v>
      </c>
      <c r="V24" s="38">
        <f t="shared" si="3"/>
        <v>42632.777604166666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Overspeed","project_id":79,"tracker_id":40,"status_id":1,"priority_id":2,"assigned_to_id":23,"start_date":"2016-09-19","description":"","custom_fields":[{"id":1,"name":"Subdivision","value":"EC"},{"id":4,"name":"Milepost","value":"1.08"},{"id":17,"name":"Train ID","value":"171-19"},{"id":16,"name":"Locomotive ID","value":"4007"},{"id":130,"name":"Impact","value":""},{"id":150,"name":"Time of Event (Mountain Time)","value":"12:39:45"},{"id":151,"name":"Denver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 t="shared" si="7"/>
        <v>grep -hSE -A100 "Enforcement Action" "%USERPROFILE%\AppData\Local\Temp\OnboardLogs"\RTDC4007\*4007*201609191* | grep -SE "((Enforcement Ac)|(PRM))" -</v>
      </c>
    </row>
    <row r="25" spans="1:29" x14ac:dyDescent="0.25">
      <c r="A25" s="38">
        <v>42632.247708333336</v>
      </c>
      <c r="B25" s="33" t="s">
        <v>370</v>
      </c>
      <c r="C25" s="33" t="s">
        <v>390</v>
      </c>
      <c r="D25" s="33" t="s">
        <v>49</v>
      </c>
      <c r="E25" s="33" t="s">
        <v>54</v>
      </c>
      <c r="F25" s="49">
        <v>0</v>
      </c>
      <c r="G25" s="49">
        <v>696</v>
      </c>
      <c r="H25" s="49">
        <v>102429</v>
      </c>
      <c r="I25" s="49">
        <v>105265</v>
      </c>
      <c r="J25" s="33" t="s">
        <v>55</v>
      </c>
      <c r="K25" s="49">
        <v>107939</v>
      </c>
      <c r="L25" s="150" t="s">
        <v>52</v>
      </c>
      <c r="M25" s="153">
        <f t="shared" si="0"/>
        <v>1411.8720000000001</v>
      </c>
      <c r="N25" s="92" t="str">
        <f>VLOOKUP(C25,'Trips&amp;Operators'!$C$1:$E$99999,3,FALSE)</f>
        <v>MALAVE</v>
      </c>
      <c r="O25" s="174" t="s">
        <v>86</v>
      </c>
      <c r="P25" s="10" t="s">
        <v>763</v>
      </c>
      <c r="Q25" s="33"/>
      <c r="R25" s="108" t="str">
        <f>VLOOKUP(C25,'Train Runs'!$A$13:$AE$10017,31,0)</f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S25" s="111" t="str">
        <f>VLOOKUP(C25,'Train Runs'!$A$13:$AE$10017,22,0)</f>
        <v>https://search-rtdc-monitor-bjffxe2xuh6vdkpspy63sjmuny.us-east-1.es.amazonaws.com/_plugin/kibana/#/discover/Steve-Slow-Train-Analysis-(2080s-and-2083s)?_g=(refreshInterval:(display:Off,section:0,value:0),time:(from:'2016-09-19 04:25:59-0600',mode:absolute,to:'2016-09-19 07:16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25" s="113" t="str">
        <f t="shared" si="1"/>
        <v>"C:\Program Files (x86)\AstroGrep\AstroGrep.exe" /spath="%USERPROFILE%\AppData\Local\Temp\OnboardLogs" /stypes="*4007*201609191*" /stext=" 11:.+((SYSTEM_STATE.+slice.+state.+changed )|(ment ac)|(system.+state.+changed )|(\|lc)|(penalty)|(\[timeout)|(PRM\|1\|D)|(kpr)|(kdp))" /e /r /s</v>
      </c>
      <c r="U25" s="9" t="str">
        <f t="shared" si="2"/>
        <v>4007</v>
      </c>
      <c r="V25" s="38">
        <f t="shared" si="3"/>
        <v>42632.497708333336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{"issue":{"subject":"Chambers 2N STOP, cleared afterwards","project_id":79,"tracker_id":40,"status_id":1,"priority_id":2,"assigned_to_id":23,"start_date":"2016-09-19","description":"","custom_fields":[{"id":1,"name":"Subdivision","value":"EC"},{"id":4,"name":"Milepost","value":"10.7939"},{"id":17,"name":"Train ID","value":"115-19"},{"id":16,"name":"Locomotive ID","value":"4007"},{"id":130,"name":"Impact","value":""},{"id":150,"name":"Time of Event (Mountain Time)","value":"05:56:42"},{"id":151,"name":"Denver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5" t="str">
        <f t="shared" si="7"/>
        <v>grep -hSE -A100 "Enforcement Action" "%USERPROFILE%\AppData\Local\Temp\OnboardLogs"\RTDC4007\*4007*201609191* | grep -SE "((Enforcement Ac)|(PRM))" -</v>
      </c>
    </row>
    <row r="26" spans="1:29" x14ac:dyDescent="0.25">
      <c r="A26" s="38">
        <v>42632.269837962966</v>
      </c>
      <c r="B26" s="33" t="s">
        <v>373</v>
      </c>
      <c r="C26" s="33" t="s">
        <v>398</v>
      </c>
      <c r="D26" s="33" t="s">
        <v>49</v>
      </c>
      <c r="E26" s="33" t="s">
        <v>54</v>
      </c>
      <c r="F26" s="49">
        <v>0</v>
      </c>
      <c r="G26" s="49">
        <v>369</v>
      </c>
      <c r="H26" s="49">
        <v>105769</v>
      </c>
      <c r="I26" s="49">
        <v>106641</v>
      </c>
      <c r="J26" s="33" t="s">
        <v>55</v>
      </c>
      <c r="K26" s="49">
        <v>107939</v>
      </c>
      <c r="L26" s="150" t="s">
        <v>52</v>
      </c>
      <c r="M26" s="153">
        <f t="shared" si="0"/>
        <v>685.34400000000005</v>
      </c>
      <c r="N26" s="92" t="str">
        <f>VLOOKUP(C26,'Trips&amp;Operators'!$C$1:$E$99999,3,FALSE)</f>
        <v>BRANNON</v>
      </c>
      <c r="O26" s="174" t="s">
        <v>86</v>
      </c>
      <c r="P26" s="10" t="s">
        <v>763</v>
      </c>
      <c r="Q26" s="33"/>
      <c r="R26" s="108" t="str">
        <f>VLOOKUP(C26,'Train Runs'!$A$13:$AE$10017,31,0)</f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S26" s="111" t="str">
        <f>VLOOKUP(C26,'Train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05:03:39-0600',mode:absolute,to:'2016-09-19 07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26" s="113" t="str">
        <f t="shared" si="1"/>
        <v>"C:\Program Files (x86)\AstroGrep\AstroGrep.exe" /spath="%USERPROFILE%\AppData\Local\Temp\OnboardLogs" /stypes="*4053*201609191*" /stext=" 12:.+((SYSTEM_STATE.+slice.+state.+changed )|(ment ac)|(system.+state.+changed )|(\|lc)|(penalty)|(\[timeout)|(PRM\|1\|D)|(kpr)|(kdp))" /e /r /s</v>
      </c>
      <c r="U26" s="9" t="str">
        <f t="shared" si="2"/>
        <v>4053</v>
      </c>
      <c r="V26" s="38">
        <f t="shared" si="3"/>
        <v>42632.519837962966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{"issue":{"subject":"Chambers 2N STOP, cleared afterwards","project_id":79,"tracker_id":40,"status_id":1,"priority_id":2,"assigned_to_id":23,"start_date":"2016-09-19","description":"","custom_fields":[{"id":1,"name":"Subdivision","value":"EC"},{"id":4,"name":"Milepost","value":"10.7939"},{"id":17,"name":"Train ID","value":"119-19"},{"id":16,"name":"Locomotive ID","value":"4053"},{"id":130,"name":"Impact","value":""},{"id":150,"name":"Time of Event (Mountain Time)","value":"06:28:34"},{"id":151,"name":"Denver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 t="shared" si="7"/>
        <v>grep -hSE -A100 "Enforcement Action" "%USERPROFILE%\AppData\Local\Temp\OnboardLogs"\RTDC4053\*4053*201609191* | grep -SE "((Enforcement Ac)|(PRM))" -</v>
      </c>
    </row>
    <row r="27" spans="1:29" x14ac:dyDescent="0.25">
      <c r="A27" s="38">
        <v>42632.280648148146</v>
      </c>
      <c r="B27" s="33" t="s">
        <v>377</v>
      </c>
      <c r="C27" s="33" t="s">
        <v>400</v>
      </c>
      <c r="D27" s="33" t="s">
        <v>49</v>
      </c>
      <c r="E27" s="33" t="s">
        <v>54</v>
      </c>
      <c r="F27" s="49">
        <v>0</v>
      </c>
      <c r="G27" s="49">
        <v>673</v>
      </c>
      <c r="H27" s="49">
        <v>150414</v>
      </c>
      <c r="I27" s="49">
        <v>153441</v>
      </c>
      <c r="J27" s="33" t="s">
        <v>55</v>
      </c>
      <c r="K27" s="49">
        <v>155600</v>
      </c>
      <c r="L27" s="150" t="s">
        <v>52</v>
      </c>
      <c r="M27" s="153">
        <f t="shared" si="0"/>
        <v>1139.952</v>
      </c>
      <c r="N27" s="92" t="str">
        <f>VLOOKUP(C27,'Trips&amp;Operators'!$C$1:$E$99999,3,FALSE)</f>
        <v>SPECTOR</v>
      </c>
      <c r="O27" s="174" t="s">
        <v>86</v>
      </c>
      <c r="P27" s="10" t="s">
        <v>764</v>
      </c>
      <c r="Q27" s="33"/>
      <c r="R27" s="108" t="str">
        <f>VLOOKUP(C27,'Train Runs'!$A$13:$AE$10017,31,0)</f>
        <v>aws s3 cp s3://rtdc.mdm.uploadarchive/RTDC4002/2016-09-19/ "%USERPROFILE%\AppData\Local\Temp\OnboardLogs"\RTDC4002\2016-09-19 --recursive &amp; "%USERPROFILE%\Documents\GitHub\mrs-test-scripts\Headless Mode &amp; Sideloading\WalkAndUnGZ.bat" "%USERPROFILE%\AppData\Local\Temp\OnboardLogs"\RTDC4002\2016-09-19 &amp; aws s3 cp s3://rtdc.mdm.uploadarchive/RTDC4002/2016-09-20/ "%USERPROFILE%\AppData\Local\Temp\OnboardLogs"\RTDC4002\2016-09-20 --recursive &amp; "%USERPROFILE%\Documents\GitHub\mrs-test-scripts\Headless Mode &amp; Sideloading\WalkAndUnGZ.bat" "%USERPROFILE%\AppData\Local\Temp\OnboardLogs"\RTDC4002\2016-09-20</v>
      </c>
      <c r="S27" s="111" t="str">
        <f>VLOOKUP(C27,'Train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05:11:51-0600',mode:absolute,to:'2016-09-19 07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7" s="113" t="str">
        <f t="shared" si="1"/>
        <v>"C:\Program Files (x86)\AstroGrep\AstroGrep.exe" /spath="%USERPROFILE%\AppData\Local\Temp\OnboardLogs" /stypes="*4002*201609191*" /stext=" 12:.+((SYSTEM_STATE.+slice.+state.+changed )|(ment ac)|(system.+state.+changed )|(\|lc)|(penalty)|(\[timeout)|(PRM\|1\|D)|(kpr)|(kdp))" /e /r /s</v>
      </c>
      <c r="U27" s="9" t="str">
        <f t="shared" si="2"/>
        <v>4002</v>
      </c>
      <c r="V27" s="38">
        <f t="shared" si="3"/>
        <v>42632.530648148146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{"issue":{"subject":"61st 2N STOP, cleared afterward","project_id":79,"tracker_id":40,"status_id":1,"priority_id":2,"assigned_to_id":23,"start_date":"2016-09-19","description":"","custom_fields":[{"id":1,"name":"Subdivision","value":"EC"},{"id":4,"name":"Milepost","value":"15.56"},{"id":17,"name":"Train ID","value":"121-19"},{"id":16,"name":"Locomotive ID","value":"4002"},{"id":130,"name":"Impact","value":""},{"id":150,"name":"Time of Event (Mountain Time)","value":"06:44:08"},{"id":151,"name":"Denver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 t="shared" si="7"/>
        <v>grep -hSE -A100 "Enforcement Action" "%USERPROFILE%\AppData\Local\Temp\OnboardLogs"\RTDC4002\*4002*201609191* | grep -SE "((Enforcement Ac)|(PRM))" -</v>
      </c>
    </row>
    <row r="28" spans="1:29" x14ac:dyDescent="0.25">
      <c r="A28" s="38">
        <v>42632.861180555556</v>
      </c>
      <c r="B28" s="33" t="s">
        <v>402</v>
      </c>
      <c r="C28" s="33" t="s">
        <v>561</v>
      </c>
      <c r="D28" s="33" t="s">
        <v>49</v>
      </c>
      <c r="E28" s="33" t="s">
        <v>54</v>
      </c>
      <c r="F28" s="49">
        <v>0</v>
      </c>
      <c r="G28" s="49">
        <v>74</v>
      </c>
      <c r="H28" s="49">
        <v>175568</v>
      </c>
      <c r="I28" s="49">
        <v>175507</v>
      </c>
      <c r="J28" s="33" t="s">
        <v>55</v>
      </c>
      <c r="K28" s="49">
        <v>175398</v>
      </c>
      <c r="L28" s="150" t="s">
        <v>53</v>
      </c>
      <c r="M28" s="153">
        <f t="shared" si="0"/>
        <v>57.552</v>
      </c>
      <c r="N28" s="92" t="str">
        <f>VLOOKUP(C28,'Trips&amp;Operators'!$C$1:$E$99999,3,FALSE)</f>
        <v>NEWELL</v>
      </c>
      <c r="O28" s="174" t="s">
        <v>330</v>
      </c>
      <c r="P28" s="10" t="s">
        <v>758</v>
      </c>
      <c r="Q28" s="33"/>
      <c r="R28" s="108" t="str">
        <f>VLOOKUP(C28,'Train Runs'!$A$13:$AE$10017,31,0)</f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S28" s="111" t="str">
        <f>VLOOKUP(C28,'Train Runs'!$A$13:$AE$10017,22,0)</f>
        <v>https://search-rtdc-monitor-bjffxe2xuh6vdkpspy63sjmuny.us-east-1.es.amazonaws.com/_plugin/kibana/#/discover/Steve-Slow-Train-Analysis-(2080s-and-2083s)?_g=(refreshInterval:(display:Off,section:0,value:0),time:(from:'2016-09-19 19:54:15-0600',mode:absolute,to:'2016-09-19 22:19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28" s="113" t="str">
        <f t="shared" si="1"/>
        <v>"C:\Program Files (x86)\AstroGrep\AstroGrep.exe" /spath="%USERPROFILE%\AppData\Local\Temp\OnboardLogs" /stypes="*4008*201609200*" /stext=" 02:.+((SYSTEM_STATE.+slice.+state.+changed )|(ment ac)|(system.+state.+changed )|(\|lc)|(penalty)|(\[timeout)|(PRM\|1\|D)|(kpr)|(kdp))" /e /r /s</v>
      </c>
      <c r="U28" s="9" t="str">
        <f t="shared" si="2"/>
        <v>4008</v>
      </c>
      <c r="V28" s="38">
        <f t="shared" si="3"/>
        <v>42633.111180555556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{"issue":{"subject":"EC1752RH 175-1T 1S stuck at STOP &amp; PROCEED","project_id":79,"tracker_id":40,"status_id":1,"priority_id":2,"assigned_to_id":23,"start_date":"2016-09-19","description":"","custom_fields":[{"id":1,"name":"Subdivision","value":"EC"},{"id":4,"name":"Milepost","value":"17.5398"},{"id":17,"name":"Train ID","value":"224-19"},{"id":16,"name":"Locomotive ID","value":"4008"},{"id":130,"name":"Impact","value":""},{"id":150,"name":"Time of Event (Mountain Time)","value":"20:40:06"},{"id":151,"name":"Denver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5" t="str">
        <f t="shared" si="7"/>
        <v>grep -hSE -A100 "Enforcement Action" "%USERPROFILE%\AppData\Local\Temp\OnboardLogs"\RTDC4008\*4008*201609200* | grep -SE "((Enforcement Ac)|(PRM))" -</v>
      </c>
    </row>
    <row r="29" spans="1:29" x14ac:dyDescent="0.25">
      <c r="A29" s="38">
        <v>42632.757326388892</v>
      </c>
      <c r="B29" s="33" t="s">
        <v>307</v>
      </c>
      <c r="C29" s="33" t="s">
        <v>533</v>
      </c>
      <c r="D29" s="33" t="s">
        <v>49</v>
      </c>
      <c r="E29" s="33" t="s">
        <v>54</v>
      </c>
      <c r="F29" s="49">
        <v>0</v>
      </c>
      <c r="G29" s="49">
        <v>56</v>
      </c>
      <c r="H29" s="49">
        <v>227865</v>
      </c>
      <c r="I29" s="49">
        <v>227962</v>
      </c>
      <c r="J29" s="33" t="s">
        <v>55</v>
      </c>
      <c r="K29" s="49">
        <v>228572</v>
      </c>
      <c r="L29" s="150" t="s">
        <v>52</v>
      </c>
      <c r="M29" s="153">
        <f t="shared" si="0"/>
        <v>322.08</v>
      </c>
      <c r="N29" s="92" t="str">
        <f>VLOOKUP(C29,'Trips&amp;Operators'!$C$1:$E$99999,3,FALSE)</f>
        <v>YOUNG</v>
      </c>
      <c r="O29" s="174" t="s">
        <v>86</v>
      </c>
      <c r="P29" s="10" t="s">
        <v>776</v>
      </c>
      <c r="Q29" s="33"/>
      <c r="R29" s="108" t="str">
        <f>VLOOKUP(C29,'Train Runs'!$A$13:$AE$10017,31,0)</f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S29" s="111" t="str">
        <f>VLOOKUP(C29,'Train Runs'!$A$13:$AE$10017,22,0)</f>
        <v>https://search-rtdc-monitor-bjffxe2xuh6vdkpspy63sjmuny.us-east-1.es.amazonaws.com/_plugin/kibana/#/discover/Steve-Slow-Train-Analysis-(2080s-and-2083s)?_g=(refreshInterval:(display:Off,section:0,value:0),time:(from:'2016-09-19 16:24:25-0600',mode:absolute,to:'2016-09-19 19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9" s="113" t="str">
        <f t="shared" si="1"/>
        <v>"C:\Program Files (x86)\AstroGrep\AstroGrep.exe" /spath="%USERPROFILE%\AppData\Local\Temp\OnboardLogs" /stypes="*4011*201609200*" /stext=" 00:.+((SYSTEM_STATE.+slice.+state.+changed )|(ment ac)|(system.+state.+changed )|(\|lc)|(penalty)|(\[timeout)|(PRM\|1\|D)|(kpr)|(kdp))" /e /r /s</v>
      </c>
      <c r="U29" s="9" t="str">
        <f t="shared" si="2"/>
        <v>4011</v>
      </c>
      <c r="V29" s="38">
        <f t="shared" si="3"/>
        <v>42633.007326388892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{"issue":{"subject":"Random audit from Transportation (efficiency test)","project_id":79,"tracker_id":40,"status_id":1,"priority_id":2,"assigned_to_id":23,"start_date":"2016-09-19","description":"No controls sent to DIA 2N from 17:49:21.904 - 18:22:02.688. A PSS was issued at 18:09:51. Seems like a TMDS issue occurred here, any ideas?","custom_fields":[{"id":1,"name":"Subdivision","value":"EC"},{"id":4,"name":"Milepost","value":"22.8572"},{"id":17,"name":"Train ID","value":"211-19"},{"id":16,"name":"Locomotive ID","value":"4011"},{"id":130,"name":"Impact","value":"Enforcement"},{"id":150,"name":"Time of Event (Mountain Time)","value":"18:10:33"},{"id":151,"name":"Denver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29" s="55" t="s">
        <v>765</v>
      </c>
      <c r="AA29" s="55" t="s">
        <v>138</v>
      </c>
      <c r="AB29" s="23" t="s">
        <v>147</v>
      </c>
      <c r="AC29" s="175" t="str">
        <f t="shared" si="7"/>
        <v>grep -hSE -A100 "Enforcement Action" "%USERPROFILE%\AppData\Local\Temp\OnboardLogs"\RTDC4011\*4011*201609200* | grep -SE "((Enforcement Ac)|(PRM))" -</v>
      </c>
    </row>
    <row r="30" spans="1:29" x14ac:dyDescent="0.25">
      <c r="A30" s="38">
        <v>42632.308391203704</v>
      </c>
      <c r="B30" s="33" t="s">
        <v>172</v>
      </c>
      <c r="C30" s="33" t="s">
        <v>404</v>
      </c>
      <c r="D30" s="33" t="s">
        <v>49</v>
      </c>
      <c r="E30" s="33" t="s">
        <v>50</v>
      </c>
      <c r="F30" s="49">
        <v>0</v>
      </c>
      <c r="G30" s="49">
        <v>53</v>
      </c>
      <c r="H30" s="49">
        <v>192</v>
      </c>
      <c r="I30" s="49">
        <v>138</v>
      </c>
      <c r="J30" s="33" t="s">
        <v>51</v>
      </c>
      <c r="K30" s="49">
        <v>1</v>
      </c>
      <c r="L30" s="150" t="s">
        <v>53</v>
      </c>
      <c r="M30" s="153">
        <f t="shared" si="0"/>
        <v>72.335999999999999</v>
      </c>
      <c r="N30" s="92" t="str">
        <f>VLOOKUP(C30,'Trips&amp;Operators'!$C$1:$E$99999,3,FALSE)</f>
        <v>ACKERMAN</v>
      </c>
      <c r="O30" s="174" t="s">
        <v>86</v>
      </c>
      <c r="P30" s="10"/>
      <c r="Q30" s="33"/>
      <c r="R30" s="108" t="str">
        <f>VLOOKUP(C30,'Train Runs'!$A$13:$AE$10017,31,0)</f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S30" s="111" t="str">
        <f>VLOOKUP(C30,'Train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05:31:33-0600',mode:absolute,to:'2016-09-19 08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0" s="113" t="str">
        <f t="shared" si="1"/>
        <v>"C:\Program Files (x86)\AstroGrep\AstroGrep.exe" /spath="%USERPROFILE%\AppData\Local\Temp\OnboardLogs" /stypes="*4026*201609191*" /stext=" 13:.+((SYSTEM_STATE.+slice.+state.+changed )|(ment ac)|(system.+state.+changed )|(\|lc)|(penalty)|(\[timeout)|(PRM\|1\|D)|(kpr)|(kdp))" /e /r /s</v>
      </c>
      <c r="U30" s="9" t="str">
        <f t="shared" si="2"/>
        <v>4026</v>
      </c>
      <c r="V30" s="38">
        <f t="shared" si="3"/>
        <v>42632.558391203704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ID","value":"118-19"},{"id":16,"name":"Locomotive ID","value":"4026"},{"id":130,"name":"Impact","value":""},{"id":150,"name":"Time of Event (Mountain Time)","value":"07:24:05"},{"id":151,"name":"Denver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 t="shared" si="7"/>
        <v>grep -hSE -A100 "Enforcement Action" "%USERPROFILE%\AppData\Local\Temp\OnboardLogs"\RTDC4026\*4026*201609191* | grep -SE "((Enforcement Ac)|(PRM))" -</v>
      </c>
    </row>
    <row r="31" spans="1:29" ht="15" customHeight="1" x14ac:dyDescent="0.25">
      <c r="A31" s="38">
        <v>42632.369479166664</v>
      </c>
      <c r="B31" s="33" t="s">
        <v>402</v>
      </c>
      <c r="C31" s="33" t="s">
        <v>425</v>
      </c>
      <c r="D31" s="33" t="s">
        <v>49</v>
      </c>
      <c r="E31" s="33" t="s">
        <v>50</v>
      </c>
      <c r="F31" s="49">
        <v>0</v>
      </c>
      <c r="G31" s="49">
        <v>55</v>
      </c>
      <c r="H31" s="49">
        <v>174</v>
      </c>
      <c r="I31" s="49">
        <v>125</v>
      </c>
      <c r="J31" s="33" t="s">
        <v>51</v>
      </c>
      <c r="K31" s="49">
        <v>1</v>
      </c>
      <c r="L31" s="150" t="s">
        <v>53</v>
      </c>
      <c r="M31" s="153">
        <f t="shared" si="0"/>
        <v>65.471999999999994</v>
      </c>
      <c r="N31" s="92" t="str">
        <f>VLOOKUP(C31,'Trips&amp;Operators'!$C$1:$E$99999,3,FALSE)</f>
        <v>MALAVE</v>
      </c>
      <c r="O31" s="174" t="s">
        <v>86</v>
      </c>
      <c r="P31" s="10"/>
      <c r="Q31" s="33"/>
      <c r="R31" s="108" t="str">
        <f>VLOOKUP(C31,'Train Runs'!$A$13:$AE$10017,31,0)</f>
        <v>aws s3 cp s3://rtdc.mdm.uploadarchive/RTDC4008/2016-09-19/ "%USERPROFILE%\AppData\Local\Temp\OnboardLogs"\RTDC4008\2016-09-19 --recursive &amp; "%USERPROFILE%\Documents\GitHub\mrs-test-scripts\Headless Mode &amp; Sideloading\WalkAndUnGZ.bat" "%USERPROFILE%\AppData\Local\Temp\OnboardLogs"\RTDC4008\2016-09-19 &amp; aws s3 cp s3://rtdc.mdm.uploadarchive/RTDC4008/2016-09-20/ "%USERPROFILE%\AppData\Local\Temp\OnboardLogs"\RTDC4008\2016-09-20 --recursive &amp; "%USERPROFILE%\Documents\GitHub\mrs-test-scripts\Headless Mode &amp; Sideloading\WalkAndUnGZ.bat" "%USERPROFILE%\AppData\Local\Temp\OnboardLogs"\RTDC4008\2016-09-20</v>
      </c>
      <c r="S31" s="111" t="str">
        <f>VLOOKUP(C31,'Train Runs'!$A$13:$AE$10017,22,0)</f>
        <v>https://search-rtdc-monitor-bjffxe2xuh6vdkpspy63sjmuny.us-east-1.es.amazonaws.com/_plugin/kibana/#/discover/Steve-Slow-Train-Analysis-(2080s-and-2083s)?_g=(refreshInterval:(display:Off,section:0,value:0),time:(from:'2016-09-19 07:07:08-0600',mode:absolute,to:'2016-09-19 09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1" s="113" t="str">
        <f t="shared" si="1"/>
        <v>"C:\Program Files (x86)\AstroGrep\AstroGrep.exe" /spath="%USERPROFILE%\AppData\Local\Temp\OnboardLogs" /stypes="*4008*201609191*" /stext=" 14:.+((SYSTEM_STATE.+slice.+state.+changed )|(ment ac)|(system.+state.+changed )|(\|lc)|(penalty)|(\[timeout)|(PRM\|1\|D)|(kpr)|(kdp))" /e /r /s</v>
      </c>
      <c r="U31" s="9" t="str">
        <f t="shared" si="2"/>
        <v>4008</v>
      </c>
      <c r="V31" s="38">
        <f t="shared" si="3"/>
        <v>42632.619479166664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ID","value":"130-19"},{"id":16,"name":"Locomotive ID","value":"4008"},{"id":130,"name":"Impact","value":""},{"id":150,"name":"Time of Event (Mountain Time)","value":"08:52:03"},{"id":151,"name":"Denver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 t="shared" si="7"/>
        <v>grep -hSE -A100 "Enforcement Action" "%USERPROFILE%\AppData\Local\Temp\OnboardLogs"\RTDC4008\*4008*201609191* | grep -SE "((Enforcement Ac)|(PRM))" -</v>
      </c>
    </row>
    <row r="32" spans="1:29" x14ac:dyDescent="0.25">
      <c r="A32" s="38">
        <v>42632.390590277777</v>
      </c>
      <c r="B32" s="33" t="s">
        <v>407</v>
      </c>
      <c r="C32" s="33" t="s">
        <v>429</v>
      </c>
      <c r="D32" s="33" t="s">
        <v>49</v>
      </c>
      <c r="E32" s="33" t="s">
        <v>50</v>
      </c>
      <c r="F32" s="49">
        <v>0</v>
      </c>
      <c r="G32" s="49">
        <v>64</v>
      </c>
      <c r="H32" s="49">
        <v>227</v>
      </c>
      <c r="I32" s="49">
        <v>160</v>
      </c>
      <c r="J32" s="33" t="s">
        <v>51</v>
      </c>
      <c r="K32" s="49">
        <v>1</v>
      </c>
      <c r="L32" s="150" t="s">
        <v>53</v>
      </c>
      <c r="M32" s="153">
        <f t="shared" si="0"/>
        <v>83.951999999999998</v>
      </c>
      <c r="N32" s="92" t="str">
        <f>VLOOKUP(C32,'Trips&amp;Operators'!$C$1:$E$99999,3,FALSE)</f>
        <v>BRANNON</v>
      </c>
      <c r="O32" s="174" t="s">
        <v>86</v>
      </c>
      <c r="P32" s="10"/>
      <c r="Q32" s="33"/>
      <c r="R32" s="108" t="str">
        <f>VLOOKUP(C32,'Train Runs'!$A$13:$AE$10017,31,0)</f>
        <v>aws s3 cp s3://rtdc.mdm.uploadarchive/RTDC4054/2016-09-19/ "%USERPROFILE%\AppData\Local\Temp\OnboardLogs"\RTDC4054\2016-09-19 --recursive &amp; "%USERPROFILE%\Documents\GitHub\mrs-test-scripts\Headless Mode &amp; Sideloading\WalkAndUnGZ.bat" "%USERPROFILE%\AppData\Local\Temp\OnboardLogs"\RTDC4054\2016-09-19 &amp; aws s3 cp s3://rtdc.mdm.uploadarchive/RTDC4054/2016-09-20/ "%USERPROFILE%\AppData\Local\Temp\OnboardLogs"\RTDC4054\2016-09-20 --recursive &amp; "%USERPROFILE%\Documents\GitHub\mrs-test-scripts\Headless Mode &amp; Sideloading\WalkAndUnGZ.bat" "%USERPROFILE%\AppData\Local\Temp\OnboardLogs"\RTDC4054\2016-09-20</v>
      </c>
      <c r="S32" s="111" t="str">
        <f>VLOOKUP(C32,'Train Runs'!$A$13:$AE$10017,22,0)</f>
        <v>https://search-rtdc-monitor-bjffxe2xuh6vdkpspy63sjmuny.us-east-1.es.amazonaws.com/_plugin/kibana/#/discover/Steve-Slow-Train-Analysis-(2080s-and-2083s)?_g=(refreshInterval:(display:Off,section:0,value:0),time:(from:'2016-09-19 07:33:47-0600',mode:absolute,to:'2016-09-19 10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32" s="113" t="str">
        <f t="shared" si="1"/>
        <v>"C:\Program Files (x86)\AstroGrep\AstroGrep.exe" /spath="%USERPROFILE%\AppData\Local\Temp\OnboardLogs" /stypes="*4054*201609191*" /stext=" 15:.+((SYSTEM_STATE.+slice.+state.+changed )|(ment ac)|(system.+state.+changed )|(\|lc)|(penalty)|(\[timeout)|(PRM\|1\|D)|(kpr)|(kdp))" /e /r /s</v>
      </c>
      <c r="U32" s="9" t="str">
        <f t="shared" si="2"/>
        <v>4054</v>
      </c>
      <c r="V32" s="38">
        <f t="shared" si="3"/>
        <v>42632.640590277777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ID","value":"134-19"},{"id":16,"name":"Locomotive ID","value":"4054"},{"id":130,"name":"Impact","value":""},{"id":150,"name":"Time of Event (Mountain Time)","value":"09:22:27"},{"id":151,"name":"Denver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 t="shared" si="7"/>
        <v>grep -hSE -A100 "Enforcement Action" "%USERPROFILE%\AppData\Local\Temp\OnboardLogs"\RTDC4054\*4054*201609191* | grep -SE "((Enforcement Ac)|(PRM))" -</v>
      </c>
    </row>
    <row r="33" spans="1:29" ht="15" customHeight="1" x14ac:dyDescent="0.25">
      <c r="A33" s="38">
        <v>42632.45239583333</v>
      </c>
      <c r="B33" s="33" t="s">
        <v>172</v>
      </c>
      <c r="C33" s="33" t="s">
        <v>445</v>
      </c>
      <c r="D33" s="33" t="s">
        <v>49</v>
      </c>
      <c r="E33" s="33" t="s">
        <v>50</v>
      </c>
      <c r="F33" s="49">
        <v>0</v>
      </c>
      <c r="G33" s="49">
        <v>44</v>
      </c>
      <c r="H33" s="49">
        <v>152</v>
      </c>
      <c r="I33" s="49">
        <v>121</v>
      </c>
      <c r="J33" s="33" t="s">
        <v>51</v>
      </c>
      <c r="K33" s="49">
        <v>1</v>
      </c>
      <c r="L33" s="150" t="s">
        <v>53</v>
      </c>
      <c r="M33" s="153">
        <f t="shared" si="0"/>
        <v>63.36</v>
      </c>
      <c r="N33" s="92" t="str">
        <f>VLOOKUP(C33,'Trips&amp;Operators'!$C$1:$E$99999,3,FALSE)</f>
        <v>ACKERMAN</v>
      </c>
      <c r="O33" s="174" t="s">
        <v>86</v>
      </c>
      <c r="P33" s="10"/>
      <c r="Q33" s="33"/>
      <c r="R33" s="108" t="str">
        <f>VLOOKUP(C33,'Train Runs'!$A$13:$AE$10017,31,0)</f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S33" s="111" t="str">
        <f>VLOOKUP(C33,'Train Runs'!$A$13:$AE$10017,22,0)</f>
        <v>https://search-rtdc-monitor-bjffxe2xuh6vdkpspy63sjmuny.us-east-1.es.amazonaws.com/_plugin/kibana/#/discover/Steve-Slow-Train-Analysis-(2080s-and-2083s)?_g=(refreshInterval:(display:Off,section:0,value:0),time:(from:'2016-09-19 09:03:40-0600',mode:absolute,to:'2016-09-19 11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3" s="113" t="str">
        <f t="shared" si="1"/>
        <v>"C:\Program Files (x86)\AstroGrep\AstroGrep.exe" /spath="%USERPROFILE%\AppData\Local\Temp\OnboardLogs" /stypes="*4026*201609191*" /stext=" 16:.+((SYSTEM_STATE.+slice.+state.+changed )|(ment ac)|(system.+state.+changed )|(\|lc)|(penalty)|(\[timeout)|(PRM\|1\|D)|(kpr)|(kdp))" /e /r /s</v>
      </c>
      <c r="U33" s="9" t="str">
        <f t="shared" si="2"/>
        <v>4026</v>
      </c>
      <c r="V33" s="38">
        <f t="shared" si="3"/>
        <v>42632.70239583333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ID","value":"146-19"},{"id":16,"name":"Locomotive ID","value":"4026"},{"id":130,"name":"Impact","value":""},{"id":150,"name":"Time of Event (Mountain Time)","value":"10:51:27"},{"id":151,"name":"Denver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 t="shared" si="7"/>
        <v>grep -hSE -A100 "Enforcement Action" "%USERPROFILE%\AppData\Local\Temp\OnboardLogs"\RTDC4026\*4026*201609191* | grep -SE "((Enforcement Ac)|(PRM))" -</v>
      </c>
    </row>
    <row r="34" spans="1:29" x14ac:dyDescent="0.25">
      <c r="A34" s="38">
        <v>42632.475057870368</v>
      </c>
      <c r="B34" s="33" t="s">
        <v>387</v>
      </c>
      <c r="C34" s="33" t="s">
        <v>449</v>
      </c>
      <c r="D34" s="33" t="s">
        <v>49</v>
      </c>
      <c r="E34" s="33" t="s">
        <v>50</v>
      </c>
      <c r="F34" s="49">
        <v>0</v>
      </c>
      <c r="G34" s="49">
        <v>67</v>
      </c>
      <c r="H34" s="49">
        <v>232</v>
      </c>
      <c r="I34" s="49">
        <v>145</v>
      </c>
      <c r="J34" s="33" t="s">
        <v>51</v>
      </c>
      <c r="K34" s="49">
        <v>1</v>
      </c>
      <c r="L34" s="150" t="s">
        <v>53</v>
      </c>
      <c r="M34" s="153">
        <f t="shared" si="0"/>
        <v>76.031999999999996</v>
      </c>
      <c r="N34" s="92" t="str">
        <f>VLOOKUP(C34,'Trips&amp;Operators'!$C$1:$E$99999,3,FALSE)</f>
        <v>SPECTOR</v>
      </c>
      <c r="O34" s="174" t="s">
        <v>86</v>
      </c>
      <c r="P34" s="10"/>
      <c r="Q34" s="33"/>
      <c r="R34" s="108" t="str">
        <f>VLOOKUP(C34,'Train Runs'!$A$13:$AE$10017,31,0)</f>
        <v>aws s3 cp s3://rtdc.mdm.uploadarchive/RTDC4001/2016-09-19/ "%USERPROFILE%\AppData\Local\Temp\OnboardLogs"\RTDC4001\2016-09-19 --recursive &amp; "%USERPROFILE%\Documents\GitHub\mrs-test-scripts\Headless Mode &amp; Sideloading\WalkAndUnGZ.bat" "%USERPROFILE%\AppData\Local\Temp\OnboardLogs"\RTDC4001\2016-09-19 &amp; aws s3 cp s3://rtdc.mdm.uploadarchive/RTDC4001/2016-09-20/ "%USERPROFILE%\AppData\Local\Temp\OnboardLogs"\RTDC4001\2016-09-20 --recursive &amp; "%USERPROFILE%\Documents\GitHub\mrs-test-scripts\Headless Mode &amp; Sideloading\WalkAndUnGZ.bat" "%USERPROFILE%\AppData\Local\Temp\OnboardLogs"\RTDC4001\2016-09-20</v>
      </c>
      <c r="S34" s="111" t="str">
        <f>VLOOKUP(C34,'Train Runs'!$A$13:$AE$10017,22,0)</f>
        <v>https://search-rtdc-monitor-bjffxe2xuh6vdkpspy63sjmuny.us-east-1.es.amazonaws.com/_plugin/kibana/#/discover/Steve-Slow-Train-Analysis-(2080s-and-2083s)?_g=(refreshInterval:(display:Off,section:0,value:0),time:(from:'2016-09-19 09:35:30-0600',mode:absolute,to:'2016-09-19 12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4" s="113" t="str">
        <f t="shared" si="1"/>
        <v>"C:\Program Files (x86)\AstroGrep\AstroGrep.exe" /spath="%USERPROFILE%\AppData\Local\Temp\OnboardLogs" /stypes="*4001*201609191*" /stext=" 17:.+((SYSTEM_STATE.+slice.+state.+changed )|(ment ac)|(system.+state.+changed )|(\|lc)|(penalty)|(\[timeout)|(PRM\|1\|D)|(kpr)|(kdp))" /e /r /s</v>
      </c>
      <c r="U34" s="9" t="str">
        <f t="shared" si="2"/>
        <v>4001</v>
      </c>
      <c r="V34" s="38">
        <f t="shared" si="3"/>
        <v>42632.725057870368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ID","value":"150-19"},{"id":16,"name":"Locomotive ID","value":"4001"},{"id":130,"name":"Impact","value":""},{"id":150,"name":"Time of Event (Mountain Time)","value":"11:24:05"},{"id":151,"name":"Denver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 t="shared" si="7"/>
        <v>grep -hSE -A100 "Enforcement Action" "%USERPROFILE%\AppData\Local\Temp\OnboardLogs"\RTDC4001\*4001*201609191* | grep -SE "((Enforcement Ac)|(PRM))" -</v>
      </c>
    </row>
    <row r="35" spans="1:29" x14ac:dyDescent="0.25">
      <c r="A35" s="38">
        <v>42632.743321759262</v>
      </c>
      <c r="B35" s="33" t="s">
        <v>172</v>
      </c>
      <c r="C35" s="33" t="s">
        <v>528</v>
      </c>
      <c r="D35" s="33" t="s">
        <v>49</v>
      </c>
      <c r="E35" s="33" t="s">
        <v>50</v>
      </c>
      <c r="F35" s="49">
        <v>0</v>
      </c>
      <c r="G35" s="49">
        <v>62</v>
      </c>
      <c r="H35" s="49">
        <v>232</v>
      </c>
      <c r="I35" s="49">
        <v>158</v>
      </c>
      <c r="J35" s="33" t="s">
        <v>51</v>
      </c>
      <c r="K35" s="49">
        <v>1</v>
      </c>
      <c r="L35" s="150" t="s">
        <v>53</v>
      </c>
      <c r="M35" s="153">
        <f t="shared" si="0"/>
        <v>82.895999999999987</v>
      </c>
      <c r="N35" s="92" t="str">
        <f>VLOOKUP(C35,'Trips&amp;Operators'!$C$1:$E$99999,3,FALSE)</f>
        <v>STEWART</v>
      </c>
      <c r="O35" s="174" t="s">
        <v>86</v>
      </c>
      <c r="P35" s="10"/>
      <c r="Q35" s="33"/>
      <c r="R35" s="108" t="str">
        <f>VLOOKUP(C35,'Train Runs'!$A$13:$AE$10017,31,0)</f>
        <v>aws s3 cp s3://rtdc.mdm.uploadarchive/RTDC4026/2016-09-19/ "%USERPROFILE%\AppData\Local\Temp\OnboardLogs"\RTDC4026\2016-09-19 --recursive &amp; "%USERPROFILE%\Documents\GitHub\mrs-test-scripts\Headless Mode &amp; Sideloading\WalkAndUnGZ.bat" "%USERPROFILE%\AppData\Local\Temp\OnboardLogs"\RTDC4026\2016-09-19 &amp; aws s3 cp s3://rtdc.mdm.uploadarchive/RTDC4026/2016-09-20/ "%USERPROFILE%\AppData\Local\Temp\OnboardLogs"\RTDC4026\2016-09-20 --recursive &amp; "%USERPROFILE%\Documents\GitHub\mrs-test-scripts\Headless Mode &amp; Sideloading\WalkAndUnGZ.bat" "%USERPROFILE%\AppData\Local\Temp\OnboardLogs"\RTDC4026\2016-09-20</v>
      </c>
      <c r="S35" s="111" t="str">
        <f>VLOOKUP(C35,'Train Runs'!$A$13:$AE$10017,22,0)</f>
        <v>https://search-rtdc-monitor-bjffxe2xuh6vdkpspy63sjmuny.us-east-1.es.amazonaws.com/_plugin/kibana/#/discover/Steve-Slow-Train-Analysis-(2080s-and-2083s)?_g=(refreshInterval:(display:Off,section:0,value:0),time:(from:'2016-09-19 16:07:17-0600',mode:absolute,to:'2016-09-19 18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5" s="113" t="str">
        <f t="shared" si="1"/>
        <v>"C:\Program Files (x86)\AstroGrep\AstroGrep.exe" /spath="%USERPROFILE%\AppData\Local\Temp\OnboardLogs" /stypes="*4026*201609192*" /stext=" 23:.+((SYSTEM_STATE.+slice.+state.+changed )|(ment ac)|(system.+state.+changed )|(\|lc)|(penalty)|(\[timeout)|(PRM\|1\|D)|(kpr)|(kdp))" /e /r /s</v>
      </c>
      <c r="U35" s="9" t="str">
        <f t="shared" si="2"/>
        <v>4026</v>
      </c>
      <c r="V35" s="38">
        <f t="shared" si="3"/>
        <v>42632.993321759262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ID","value":"202-19"},{"id":16,"name":"Locomotive ID","value":"4026"},{"id":130,"name":"Impact","value":""},{"id":150,"name":"Time of Event (Mountain Time)","value":"17:50:23"},{"id":151,"name":"Denver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 t="shared" si="7"/>
        <v>grep -hSE -A100 "Enforcement Action" "%USERPROFILE%\AppData\Local\Temp\OnboardLogs"\RTDC4026\*4026*201609192* | grep -SE "((Enforcement Ac)|(PRM))" -</v>
      </c>
    </row>
    <row r="36" spans="1:29" x14ac:dyDescent="0.25">
      <c r="A36" s="38">
        <v>42632.858622685184</v>
      </c>
      <c r="B36" s="33" t="s">
        <v>176</v>
      </c>
      <c r="C36" s="33" t="s">
        <v>559</v>
      </c>
      <c r="D36" s="33" t="s">
        <v>49</v>
      </c>
      <c r="E36" s="33" t="s">
        <v>50</v>
      </c>
      <c r="F36" s="49">
        <v>0</v>
      </c>
      <c r="G36" s="49">
        <v>50</v>
      </c>
      <c r="H36" s="49">
        <v>180</v>
      </c>
      <c r="I36" s="49">
        <v>139</v>
      </c>
      <c r="J36" s="33" t="s">
        <v>51</v>
      </c>
      <c r="K36" s="49">
        <v>1</v>
      </c>
      <c r="L36" s="150" t="s">
        <v>53</v>
      </c>
      <c r="M36" s="153">
        <f t="shared" si="0"/>
        <v>72.864000000000004</v>
      </c>
      <c r="N36" s="92" t="str">
        <f>VLOOKUP(C36,'Trips&amp;Operators'!$C$1:$E$99999,3,FALSE)</f>
        <v>LEVERE</v>
      </c>
      <c r="O36" s="174" t="s">
        <v>86</v>
      </c>
      <c r="P36" s="10"/>
      <c r="Q36" s="33"/>
      <c r="R36" s="108" t="str">
        <f>VLOOKUP(C36,'Train Runs'!$A$13:$AE$10017,31,0)</f>
        <v>aws s3 cp s3://rtdc.mdm.uploadarchive/RTDC4041/2016-09-19/ "%USERPROFILE%\AppData\Local\Temp\OnboardLogs"\RTDC4041\2016-09-19 --recursive &amp; "%USERPROFILE%\Documents\GitHub\mrs-test-scripts\Headless Mode &amp; Sideloading\WalkAndUnGZ.bat" "%USERPROFILE%\AppData\Local\Temp\OnboardLogs"\RTDC4041\2016-09-19 &amp; aws s3 cp s3://rtdc.mdm.uploadarchive/RTDC4041/2016-09-20/ "%USERPROFILE%\AppData\Local\Temp\OnboardLogs"\RTDC4041\2016-09-20 --recursive &amp; "%USERPROFILE%\Documents\GitHub\mrs-test-scripts\Headless Mode &amp; Sideloading\WalkAndUnGZ.bat" "%USERPROFILE%\AppData\Local\Temp\OnboardLogs"\RTDC4041\2016-09-20</v>
      </c>
      <c r="S36" s="111" t="str">
        <f>VLOOKUP(C36,'Train Runs'!$A$13:$AE$10017,22,0)</f>
        <v>https://search-rtdc-monitor-bjffxe2xuh6vdkpspy63sjmuny.us-east-1.es.amazonaws.com/_plugin/kibana/#/discover/Steve-Slow-Train-Analysis-(2080s-and-2083s)?_g=(refreshInterval:(display:Off,section:0,value:0),time:(from:'2016-09-19 18:49:17-0600',mode:absolute,to:'2016-09-19 21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6" s="113" t="str">
        <f t="shared" si="1"/>
        <v>"C:\Program Files (x86)\AstroGrep\AstroGrep.exe" /spath="%USERPROFILE%\AppData\Local\Temp\OnboardLogs" /stypes="*4041*201609200*" /stext=" 02:.+((SYSTEM_STATE.+slice.+state.+changed )|(ment ac)|(system.+state.+changed )|(\|lc)|(penalty)|(\[timeout)|(PRM\|1\|D)|(kpr)|(kdp))" /e /r /s</v>
      </c>
      <c r="U36" s="9" t="str">
        <f t="shared" si="2"/>
        <v>4041</v>
      </c>
      <c r="V36" s="38">
        <f t="shared" si="3"/>
        <v>42633.108622685184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{"issue":{"subject":"","project_id":79,"tracker_id":40,"status_id":1,"priority_id":2,"assigned_to_id":23,"start_date":"2016-09-19","description":"","custom_fields":[{"id":1,"name":"Subdivision","value":"EC"},{"id":4,"name":"Milepost","value":"0.0001"},{"id":17,"name":"Train ID","value":"222-19"},{"id":16,"name":"Locomotive ID","value":"4041"},{"id":130,"name":"Impact","value":""},{"id":150,"name":"Time of Event (Mountain Time)","value":"20:36:25"},{"id":151,"name":"Denver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 t="shared" si="7"/>
        <v>grep -hSE -A100 "Enforcement Action" "%USERPROFILE%\AppData\Local\Temp\OnboardLogs"\RTDC4041\*4041*201609200* | grep -SE "((Enforcement Ac)|(PRM))" -</v>
      </c>
    </row>
    <row r="37" spans="1:29" ht="15" customHeight="1" x14ac:dyDescent="0.25">
      <c r="A37" s="38">
        <v>42632.243969907409</v>
      </c>
      <c r="B37" s="33" t="s">
        <v>307</v>
      </c>
      <c r="C37" s="33" t="s">
        <v>385</v>
      </c>
      <c r="D37" s="33" t="s">
        <v>49</v>
      </c>
      <c r="E37" s="33" t="s">
        <v>50</v>
      </c>
      <c r="F37" s="49">
        <v>0</v>
      </c>
      <c r="G37" s="49">
        <v>105</v>
      </c>
      <c r="H37" s="49">
        <v>233019</v>
      </c>
      <c r="I37" s="49">
        <v>233132</v>
      </c>
      <c r="J37" s="33" t="s">
        <v>51</v>
      </c>
      <c r="K37" s="49">
        <v>233491</v>
      </c>
      <c r="L37" s="150" t="s">
        <v>52</v>
      </c>
      <c r="M37" s="153">
        <f t="shared" si="0"/>
        <v>189.55199999999999</v>
      </c>
      <c r="N37" s="92" t="str">
        <f>VLOOKUP(C37,'Trips&amp;Operators'!$C$1:$E$99999,3,FALSE)</f>
        <v>KILLION</v>
      </c>
      <c r="O37" s="174" t="s">
        <v>86</v>
      </c>
      <c r="P37" s="10"/>
      <c r="Q37" s="33"/>
      <c r="R37" s="108" t="str">
        <f>VLOOKUP(C37,'Train Runs'!$A$13:$AE$10017,31,0)</f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S37" s="111" t="str">
        <f>VLOOKUP(C37,'Train Runs'!$A$13:$AE$10017,22,0)</f>
        <v>https://search-rtdc-monitor-bjffxe2xuh6vdkpspy63sjmuny.us-east-1.es.amazonaws.com/_plugin/kibana/#/discover/Steve-Slow-Train-Analysis-(2080s-and-2083s)?_g=(refreshInterval:(display:Off,section:0,value:0),time:(from:'2016-09-19 04:52:11-0600',mode:absolute,to:'2016-09-19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7" s="113" t="str">
        <f t="shared" si="1"/>
        <v>"C:\Program Files (x86)\AstroGrep\AstroGrep.exe" /spath="%USERPROFILE%\AppData\Local\Temp\OnboardLogs" /stypes="*4011*201609191*" /stext=" 11:.+((SYSTEM_STATE.+slice.+state.+changed )|(ment ac)|(system.+state.+changed )|(\|lc)|(penalty)|(\[timeout)|(PRM\|1\|D)|(kpr)|(kdp))" /e /r /s</v>
      </c>
      <c r="U37" s="9" t="str">
        <f t="shared" si="2"/>
        <v>4011</v>
      </c>
      <c r="V37" s="38">
        <f t="shared" si="3"/>
        <v>42632.493969907409</v>
      </c>
      <c r="W37" s="52" t="str">
        <f t="shared" si="4"/>
        <v>EC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ID","value":"113-19"},{"id":16,"name":"Locomotive ID","value":"4011"},{"id":130,"name":"Impact","value":""},{"id":150,"name":"Time of Event (Mountain Time)","value":"05:51:19"},{"id":151,"name":"Denver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 t="shared" si="7"/>
        <v>grep -hSE -A100 "Enforcement Action" "%USERPROFILE%\AppData\Local\Temp\OnboardLogs"\RTDC4011\*4011*201609191* | grep -SE "((Enforcement Ac)|(PRM))" -</v>
      </c>
    </row>
    <row r="38" spans="1:29" x14ac:dyDescent="0.25">
      <c r="A38" s="38">
        <v>42632.244340277779</v>
      </c>
      <c r="B38" s="33" t="s">
        <v>307</v>
      </c>
      <c r="C38" s="33" t="s">
        <v>385</v>
      </c>
      <c r="D38" s="33" t="s">
        <v>49</v>
      </c>
      <c r="E38" s="33" t="s">
        <v>50</v>
      </c>
      <c r="F38" s="49">
        <v>0</v>
      </c>
      <c r="G38" s="49">
        <v>58</v>
      </c>
      <c r="H38" s="49">
        <v>233184</v>
      </c>
      <c r="I38" s="49">
        <v>233230</v>
      </c>
      <c r="J38" s="33" t="s">
        <v>51</v>
      </c>
      <c r="K38" s="49">
        <v>233491</v>
      </c>
      <c r="L38" s="150" t="s">
        <v>52</v>
      </c>
      <c r="M38" s="153">
        <f t="shared" si="0"/>
        <v>137.80799999999999</v>
      </c>
      <c r="N38" s="92" t="str">
        <f>VLOOKUP(C38,'Trips&amp;Operators'!$C$1:$E$99999,3,FALSE)</f>
        <v>KILLION</v>
      </c>
      <c r="O38" s="174" t="s">
        <v>86</v>
      </c>
      <c r="P38" s="10"/>
      <c r="Q38" s="33"/>
      <c r="R38" s="108" t="str">
        <f>VLOOKUP(C38,'Train Runs'!$A$13:$AE$10017,31,0)</f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S38" s="111" t="str">
        <f>VLOOKUP(C38,'Train Runs'!$A$13:$AE$10017,22,0)</f>
        <v>https://search-rtdc-monitor-bjffxe2xuh6vdkpspy63sjmuny.us-east-1.es.amazonaws.com/_plugin/kibana/#/discover/Steve-Slow-Train-Analysis-(2080s-and-2083s)?_g=(refreshInterval:(display:Off,section:0,value:0),time:(from:'2016-09-19 04:52:11-0600',mode:absolute,to:'2016-09-19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8" s="113" t="str">
        <f t="shared" si="1"/>
        <v>"C:\Program Files (x86)\AstroGrep\AstroGrep.exe" /spath="%USERPROFILE%\AppData\Local\Temp\OnboardLogs" /stypes="*4011*201609191*" /stext=" 11:.+((SYSTEM_STATE.+slice.+state.+changed )|(ment ac)|(system.+state.+changed )|(\|lc)|(penalty)|(\[timeout)|(PRM\|1\|D)|(kpr)|(kdp))" /e /r /s</v>
      </c>
      <c r="U38" s="9" t="str">
        <f t="shared" si="2"/>
        <v>4011</v>
      </c>
      <c r="V38" s="38">
        <f t="shared" si="3"/>
        <v>42632.494340277779</v>
      </c>
      <c r="W38" s="52" t="str">
        <f t="shared" si="4"/>
        <v>EC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ID","value":"113-19"},{"id":16,"name":"Locomotive ID","value":"4011"},{"id":130,"name":"Impact","value":""},{"id":150,"name":"Time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 t="shared" si="7"/>
        <v>grep -hSE -A100 "Enforcement Action" "%USERPROFILE%\AppData\Local\Temp\OnboardLogs"\RTDC4011\*4011*201609191* | grep -SE "((Enforcement Ac)|(PRM))" -</v>
      </c>
    </row>
    <row r="39" spans="1:29" x14ac:dyDescent="0.25">
      <c r="A39" s="38">
        <v>42632.265196759261</v>
      </c>
      <c r="B39" s="33" t="s">
        <v>171</v>
      </c>
      <c r="C39" s="33" t="s">
        <v>391</v>
      </c>
      <c r="D39" s="33" t="s">
        <v>49</v>
      </c>
      <c r="E39" s="33" t="s">
        <v>50</v>
      </c>
      <c r="F39" s="49">
        <v>0</v>
      </c>
      <c r="G39" s="49">
        <v>57</v>
      </c>
      <c r="H39" s="49">
        <v>233280</v>
      </c>
      <c r="I39" s="49">
        <v>233334</v>
      </c>
      <c r="J39" s="33" t="s">
        <v>51</v>
      </c>
      <c r="K39" s="49">
        <v>233491</v>
      </c>
      <c r="L39" s="150" t="s">
        <v>52</v>
      </c>
      <c r="M39" s="153">
        <f t="shared" ref="M39:M70" si="8">CONVERT((I39-K39)/10000,"mi","ft")*IF(L39="Increasing Mileposts (1)",-1,1)</f>
        <v>82.895999999999987</v>
      </c>
      <c r="N39" s="92" t="str">
        <f>VLOOKUP(C39,'Trips&amp;Operators'!$C$1:$E$99999,3,FALSE)</f>
        <v>ACKERMAN</v>
      </c>
      <c r="O39" s="174" t="s">
        <v>86</v>
      </c>
      <c r="P39" s="10"/>
      <c r="Q39" s="33"/>
      <c r="R39" s="108" t="str">
        <f>VLOOKUP(C39,'Train Runs'!$A$13:$AE$10017,31,0)</f>
        <v>aws s3 cp s3://rtdc.mdm.uploadarchive/RTDC4025/2016-09-19/ "%USERPROFILE%\AppData\Local\Temp\OnboardLogs"\RTDC4025\2016-09-19 --recursive &amp; "%USERPROFILE%\Documents\GitHub\mrs-test-scripts\Headless Mode &amp; Sideloading\WalkAndUnGZ.bat" "%USERPROFILE%\AppData\Local\Temp\OnboardLogs"\RTDC4025\2016-09-19 &amp; aws s3 cp s3://rtdc.mdm.uploadarchive/RTDC4025/2016-09-20/ "%USERPROFILE%\AppData\Local\Temp\OnboardLogs"\RTDC4025\2016-09-20 --recursive &amp; "%USERPROFILE%\Documents\GitHub\mrs-test-scripts\Headless Mode &amp; Sideloading\WalkAndUnGZ.bat" "%USERPROFILE%\AppData\Local\Temp\OnboardLogs"\RTDC4025\2016-09-20</v>
      </c>
      <c r="S39" s="111" t="str">
        <f>VLOOKUP(C39,'Train Runs'!$A$13:$AE$10017,22,0)</f>
        <v>https://search-rtdc-monitor-bjffxe2xuh6vdkpspy63sjmuny.us-east-1.es.amazonaws.com/_plugin/kibana/#/discover/Steve-Slow-Train-Analysis-(2080s-and-2083s)?_g=(refreshInterval:(display:Off,section:0,value:0),time:(from:'2016-09-19 04:37:07-0600',mode:absolute,to:'2016-09-19 07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9" s="113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/stypes="*4025*201609191*" /stext=" 12:.+((SYSTEM_STATE.+slice.+state.+changed )|(ment ac)|(system.+state.+changed )|(\|lc)|(penalty)|(\[timeout)|(PRM\|1\|D)|(kpr)|(kdp))" /e /r /s</v>
      </c>
      <c r="U39" s="9" t="str">
        <f t="shared" ref="U39:U70" si="10">MID(B39,13,4)</f>
        <v>4025</v>
      </c>
      <c r="V39" s="38">
        <f t="shared" ref="V39:V70" si="11">A39+6/24</f>
        <v>42632.515196759261</v>
      </c>
      <c r="W39" s="52" t="str">
        <f t="shared" ref="W39:W70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70" si="13">IF(AND(E39="TRACK WARRANT AUTHORITY",G39&lt;10),"OMIT","KEEP")</f>
        <v>KEEP</v>
      </c>
      <c r="Y39" s="134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ID","value":"117-19"},{"id":16,"name":"Locomotive ID","value":"4025"},{"id":130,"name":"Impact","value":""},{"id":150,"name":"Time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 t="shared" ref="AC39:AC70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"%USERPROFILE%\AppData\Local\Temp\OnboardLogs"\RTDC4025\*4025*201609191* | grep -SE "((Enforcement Ac)|(PRM))" -</v>
      </c>
    </row>
    <row r="40" spans="1:29" x14ac:dyDescent="0.25">
      <c r="A40" s="38">
        <v>42632.309814814813</v>
      </c>
      <c r="B40" s="33" t="s">
        <v>368</v>
      </c>
      <c r="C40" s="33" t="s">
        <v>406</v>
      </c>
      <c r="D40" s="33" t="s">
        <v>49</v>
      </c>
      <c r="E40" s="33" t="s">
        <v>50</v>
      </c>
      <c r="F40" s="49">
        <v>0</v>
      </c>
      <c r="G40" s="49">
        <v>112</v>
      </c>
      <c r="H40" s="49">
        <v>233017</v>
      </c>
      <c r="I40" s="49">
        <v>233140</v>
      </c>
      <c r="J40" s="33" t="s">
        <v>51</v>
      </c>
      <c r="K40" s="49">
        <v>233491</v>
      </c>
      <c r="L40" s="150" t="s">
        <v>52</v>
      </c>
      <c r="M40" s="153">
        <f t="shared" si="8"/>
        <v>185.328</v>
      </c>
      <c r="N40" s="92" t="str">
        <f>VLOOKUP(C40,'Trips&amp;Operators'!$C$1:$E$99999,3,FALSE)</f>
        <v>STARKS</v>
      </c>
      <c r="O40" s="174" t="s">
        <v>86</v>
      </c>
      <c r="P40" s="10"/>
      <c r="Q40" s="33"/>
      <c r="R40" s="108" t="str">
        <f>VLOOKUP(C40,'Train Runs'!$A$13:$AE$10017,31,0)</f>
        <v>aws s3 cp s3://rtdc.mdm.uploadarchive/RTDC4031/2016-09-19/ "%USERPROFILE%\AppData\Local\Temp\OnboardLogs"\RTDC4031\2016-09-19 --recursive &amp; "%USERPROFILE%\Documents\GitHub\mrs-test-scripts\Headless Mode &amp; Sideloading\WalkAndUnGZ.bat" "%USERPROFILE%\AppData\Local\Temp\OnboardLogs"\RTDC4031\2016-09-19 &amp; aws s3 cp s3://rtdc.mdm.uploadarchive/RTDC4031/2016-09-20/ "%USERPROFILE%\AppData\Local\Temp\OnboardLogs"\RTDC4031\2016-09-20 --recursive &amp; "%USERPROFILE%\Documents\GitHub\mrs-test-scripts\Headless Mode &amp; Sideloading\WalkAndUnGZ.bat" "%USERPROFILE%\AppData\Local\Temp\OnboardLogs"\RTDC4031\2016-09-20</v>
      </c>
      <c r="S40" s="111" t="str">
        <f>VLOOKUP(C40,'Train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05:40:55-0600',mode:absolute,to:'2016-09-19 08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0" s="113" t="str">
        <f t="shared" si="9"/>
        <v>"C:\Program Files (x86)\AstroGrep\AstroGrep.exe" /spath="%USERPROFILE%\AppData\Local\Temp\OnboardLogs" /stypes="*4031*201609191*" /stext=" 13:.+((SYSTEM_STATE.+slice.+state.+changed )|(ment ac)|(system.+state.+changed )|(\|lc)|(penalty)|(\[timeout)|(PRM\|1\|D)|(kpr)|(kdp))" /e /r /s</v>
      </c>
      <c r="U40" s="9" t="str">
        <f t="shared" si="10"/>
        <v>4031</v>
      </c>
      <c r="V40" s="38">
        <f t="shared" si="11"/>
        <v>42632.559814814813</v>
      </c>
      <c r="W40" s="52" t="str">
        <f t="shared" si="12"/>
        <v>EC</v>
      </c>
      <c r="X40" s="52" t="str">
        <f t="shared" si="13"/>
        <v>KEEP</v>
      </c>
      <c r="Y40" s="134" t="str">
        <f t="shared" si="14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ID","value":"125-19"},{"id":16,"name":"Locomotive ID","value":"4031"},{"id":130,"name":"Impact","value":""},{"id":150,"name":"Time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 t="shared" si="15"/>
        <v>grep -hSE -A100 "Enforcement Action" "%USERPROFILE%\AppData\Local\Temp\OnboardLogs"\RTDC4031\*4031*201609191* | grep -SE "((Enforcement Ac)|(PRM))" -</v>
      </c>
    </row>
    <row r="41" spans="1:29" x14ac:dyDescent="0.25">
      <c r="A41" s="38">
        <v>42632.368321759262</v>
      </c>
      <c r="B41" s="33" t="s">
        <v>181</v>
      </c>
      <c r="C41" s="33" t="s">
        <v>424</v>
      </c>
      <c r="D41" s="33" t="s">
        <v>49</v>
      </c>
      <c r="E41" s="33" t="s">
        <v>50</v>
      </c>
      <c r="F41" s="49">
        <v>0</v>
      </c>
      <c r="G41" s="49">
        <v>108</v>
      </c>
      <c r="H41" s="49">
        <v>233215</v>
      </c>
      <c r="I41" s="49">
        <v>233332</v>
      </c>
      <c r="J41" s="33" t="s">
        <v>51</v>
      </c>
      <c r="K41" s="49">
        <v>233491</v>
      </c>
      <c r="L41" s="150" t="s">
        <v>52</v>
      </c>
      <c r="M41" s="153">
        <f t="shared" si="8"/>
        <v>83.951999999999998</v>
      </c>
      <c r="N41" s="92" t="str">
        <f>VLOOKUP(C41,'Trips&amp;Operators'!$C$1:$E$99999,3,FALSE)</f>
        <v>YORK</v>
      </c>
      <c r="O41" s="174" t="s">
        <v>86</v>
      </c>
      <c r="P41" s="10"/>
      <c r="Q41" s="33"/>
      <c r="R41" s="108" t="str">
        <f>VLOOKUP(C41,'Train Runs'!$A$13:$AE$10017,31,0)</f>
        <v>aws s3 cp s3://rtdc.mdm.uploadarchive/RTDC4046/2016-09-19/ "%USERPROFILE%\AppData\Local\Temp\OnboardLogs"\RTDC4046\2016-09-19 --recursive &amp; "%USERPROFILE%\Documents\GitHub\mrs-test-scripts\Headless Mode &amp; Sideloading\WalkAndUnGZ.bat" "%USERPROFILE%\AppData\Local\Temp\OnboardLogs"\RTDC4046\2016-09-19 &amp; aws s3 cp s3://rtdc.mdm.uploadarchive/RTDC4046/2016-09-20/ "%USERPROFILE%\AppData\Local\Temp\OnboardLogs"\RTDC4046\2016-09-20 --recursive &amp; "%USERPROFILE%\Documents\GitHub\mrs-test-scripts\Headless Mode &amp; Sideloading\WalkAndUnGZ.bat" "%USERPROFILE%\AppData\Local\Temp\OnboardLogs"\RTDC4046\2016-09-20</v>
      </c>
      <c r="S41" s="111" t="str">
        <f>VLOOKUP(C41,'Train Runs'!$A$13:$AE$10017,22,0)</f>
        <v>https://search-rtdc-monitor-bjffxe2xuh6vdkpspy63sjmuny.us-east-1.es.amazonaws.com/_plugin/kibana/#/discover/Steve-Slow-Train-Analysis-(2080s-and-2083s)?_g=(refreshInterval:(display:Off,section:0,value:0),time:(from:'2016-09-19 07:05:41-0600',mode:absolute,to:'2016-09-19 09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41" s="113" t="str">
        <f t="shared" si="9"/>
        <v>"C:\Program Files (x86)\AstroGrep\AstroGrep.exe" /spath="%USERPROFILE%\AppData\Local\Temp\OnboardLogs" /stypes="*4046*201609191*" /stext=" 14:.+((SYSTEM_STATE.+slice.+state.+changed )|(ment ac)|(system.+state.+changed )|(\|lc)|(penalty)|(\[timeout)|(PRM\|1\|D)|(kpr)|(kdp))" /e /r /s</v>
      </c>
      <c r="U41" s="9" t="str">
        <f t="shared" si="10"/>
        <v>4046</v>
      </c>
      <c r="V41" s="38">
        <f t="shared" si="11"/>
        <v>42632.618321759262</v>
      </c>
      <c r="W41" s="52" t="str">
        <f t="shared" si="12"/>
        <v>EC</v>
      </c>
      <c r="X41" s="52" t="str">
        <f t="shared" si="13"/>
        <v>KEEP</v>
      </c>
      <c r="Y41" s="134" t="str">
        <f t="shared" si="14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ID","value":"137-19"},{"id":16,"name":"Locomotive ID","value":"4046"},{"id":130,"name":"Impact","value":""},{"id":150,"name":"Time of Event (Mountain Time)","value":"08:50:23"},{"id":151,"name":"Denver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 t="shared" si="15"/>
        <v>grep -hSE -A100 "Enforcement Action" "%USERPROFILE%\AppData\Local\Temp\OnboardLogs"\RTDC4046\*4046*201609191* | grep -SE "((Enforcement Ac)|(PRM))" -</v>
      </c>
    </row>
    <row r="42" spans="1:29" x14ac:dyDescent="0.25">
      <c r="A42" s="38">
        <v>42632.498541666668</v>
      </c>
      <c r="B42" s="33" t="s">
        <v>373</v>
      </c>
      <c r="C42" s="33" t="s">
        <v>458</v>
      </c>
      <c r="D42" s="33" t="s">
        <v>49</v>
      </c>
      <c r="E42" s="33" t="s">
        <v>50</v>
      </c>
      <c r="F42" s="49">
        <v>0</v>
      </c>
      <c r="G42" s="49">
        <v>50</v>
      </c>
      <c r="H42" s="49">
        <v>233314</v>
      </c>
      <c r="I42" s="49">
        <v>233349</v>
      </c>
      <c r="J42" s="33" t="s">
        <v>51</v>
      </c>
      <c r="K42" s="49">
        <v>233491</v>
      </c>
      <c r="L42" s="150" t="s">
        <v>52</v>
      </c>
      <c r="M42" s="153">
        <f t="shared" si="8"/>
        <v>74.975999999999999</v>
      </c>
      <c r="N42" s="92" t="str">
        <f>VLOOKUP(C42,'Trips&amp;Operators'!$C$1:$E$99999,3,FALSE)</f>
        <v>BARTLETT</v>
      </c>
      <c r="O42" s="174" t="s">
        <v>86</v>
      </c>
      <c r="P42" s="10"/>
      <c r="Q42" s="33"/>
      <c r="R42" s="108" t="str">
        <f>VLOOKUP(C42,'Train Runs'!$A$13:$AE$10017,31,0)</f>
        <v>aws s3 cp s3://rtdc.mdm.uploadarchive/RTDC4053/2016-09-19/ "%USERPROFILE%\AppData\Local\Temp\OnboardLogs"\RTDC4053\2016-09-19 --recursive &amp; "%USERPROFILE%\Documents\GitHub\mrs-test-scripts\Headless Mode &amp; Sideloading\WalkAndUnGZ.bat" "%USERPROFILE%\AppData\Local\Temp\OnboardLogs"\RTDC4053\2016-09-19 &amp; aws s3 cp s3://rtdc.mdm.uploadarchive/RTDC4053/2016-09-20/ "%USERPROFILE%\AppData\Local\Temp\OnboardLogs"\RTDC4053\2016-09-20 --recursive &amp; "%USERPROFILE%\Documents\GitHub\mrs-test-scripts\Headless Mode &amp; Sideloading\WalkAndUnGZ.bat" "%USERPROFILE%\AppData\Local\Temp\OnboardLogs"\RTDC4053\2016-09-20</v>
      </c>
      <c r="S42" s="111" t="str">
        <f>VLOOKUP(C42,'Train Runs'!$A$13:$AE$10017,22,0)</f>
        <v>https://search-rtdc-monitor-bjffxe2xuh6vdkpspy63sjmuny.us-east-1.es.amazonaws.com/_plugin/kibana/#/discover/Steve-Slow-Train-Analysis-(2080s-and-2083s)?_g=(refreshInterval:(display:Off,section:0,value:0),time:(from:'2016-09-19 10:13:44-0600',mode:absolute,to:'2016-09-19 12:57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42" s="113" t="str">
        <f t="shared" si="9"/>
        <v>"C:\Program Files (x86)\AstroGrep\AstroGrep.exe" /spath="%USERPROFILE%\AppData\Local\Temp\OnboardLogs" /stypes="*4053*201609191*" /stext=" 17:.+((SYSTEM_STATE.+slice.+state.+changed )|(ment ac)|(system.+state.+changed )|(\|lc)|(penalty)|(\[timeout)|(PRM\|1\|D)|(kpr)|(kdp))" /e /r /s</v>
      </c>
      <c r="U42" s="9" t="str">
        <f t="shared" si="10"/>
        <v>4053</v>
      </c>
      <c r="V42" s="38">
        <f t="shared" si="11"/>
        <v>42632.748541666668</v>
      </c>
      <c r="W42" s="52" t="str">
        <f t="shared" si="12"/>
        <v>EC</v>
      </c>
      <c r="X42" s="52" t="str">
        <f t="shared" si="13"/>
        <v>KEEP</v>
      </c>
      <c r="Y42" s="134" t="str">
        <f t="shared" si="14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ID","value":"161-19"},{"id":16,"name":"Locomotive ID","value":"4053"},{"id":130,"name":"Impact","value":""},{"id":150,"name":"Time of Event (Mountain Time)","value":"11:57:54"},{"id":151,"name":"Denver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 t="shared" si="15"/>
        <v>grep -hSE -A100 "Enforcement Action" "%USERPROFILE%\AppData\Local\Temp\OnboardLogs"\RTDC4053\*4053*201609191* | grep -SE "((Enforcement Ac)|(PRM))" -</v>
      </c>
    </row>
    <row r="43" spans="1:29" x14ac:dyDescent="0.25">
      <c r="A43" s="38">
        <v>42632.76189814815</v>
      </c>
      <c r="B43" s="33" t="s">
        <v>307</v>
      </c>
      <c r="C43" s="33" t="s">
        <v>533</v>
      </c>
      <c r="D43" s="33" t="s">
        <v>49</v>
      </c>
      <c r="E43" s="33" t="s">
        <v>50</v>
      </c>
      <c r="F43" s="49">
        <v>0</v>
      </c>
      <c r="G43" s="49">
        <v>76</v>
      </c>
      <c r="H43" s="49">
        <v>231778</v>
      </c>
      <c r="I43" s="49">
        <v>231890</v>
      </c>
      <c r="J43" s="33" t="s">
        <v>51</v>
      </c>
      <c r="K43" s="49">
        <v>233491</v>
      </c>
      <c r="L43" s="150" t="s">
        <v>52</v>
      </c>
      <c r="M43" s="153">
        <f t="shared" si="8"/>
        <v>845.32799999999997</v>
      </c>
      <c r="N43" s="92" t="str">
        <f>VLOOKUP(C43,'Trips&amp;Operators'!$C$1:$E$99999,3,FALSE)</f>
        <v>YOUNG</v>
      </c>
      <c r="O43" s="174" t="s">
        <v>86</v>
      </c>
      <c r="P43" s="10"/>
      <c r="Q43" s="33"/>
      <c r="R43" s="108" t="str">
        <f>VLOOKUP(C43,'Train Runs'!$A$13:$AE$10017,31,0)</f>
        <v>aws s3 cp s3://rtdc.mdm.uploadarchive/RTDC4011/2016-09-19/ "%USERPROFILE%\AppData\Local\Temp\OnboardLogs"\RTDC4011\2016-09-19 --recursive &amp; "%USERPROFILE%\Documents\GitHub\mrs-test-scripts\Headless Mode &amp; Sideloading\WalkAndUnGZ.bat" "%USERPROFILE%\AppData\Local\Temp\OnboardLogs"\RTDC4011\2016-09-19 &amp; aws s3 cp s3://rtdc.mdm.uploadarchive/RTDC4011/2016-09-20/ "%USERPROFILE%\AppData\Local\Temp\OnboardLogs"\RTDC4011\2016-09-20 --recursive &amp; "%USERPROFILE%\Documents\GitHub\mrs-test-scripts\Headless Mode &amp; Sideloading\WalkAndUnGZ.bat" "%USERPROFILE%\AppData\Local\Temp\OnboardLogs"\RTDC4011\2016-09-20</v>
      </c>
      <c r="S43" s="111" t="str">
        <f>VLOOKUP(C43,'Train Runs'!$A$13:$AE$10017,22,0)</f>
        <v>https://search-rtdc-monitor-bjffxe2xuh6vdkpspy63sjmuny.us-east-1.es.amazonaws.com/_plugin/kibana/#/discover/Steve-Slow-Train-Analysis-(2080s-and-2083s)?_g=(refreshInterval:(display:Off,section:0,value:0),time:(from:'2016-09-19 16:24:25-0600',mode:absolute,to:'2016-09-19 19:15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43" s="113" t="str">
        <f t="shared" si="9"/>
        <v>"C:\Program Files (x86)\AstroGrep\AstroGrep.exe" /spath="%USERPROFILE%\AppData\Local\Temp\OnboardLogs" /stypes="*4011*201609200*" /stext=" 00:.+((SYSTEM_STATE.+slice.+state.+changed )|(ment ac)|(system.+state.+changed )|(\|lc)|(penalty)|(\[timeout)|(PRM\|1\|D)|(kpr)|(kdp))" /e /r /s</v>
      </c>
      <c r="U43" s="9" t="str">
        <f t="shared" si="10"/>
        <v>4011</v>
      </c>
      <c r="V43" s="38">
        <f t="shared" si="11"/>
        <v>42633.01189814815</v>
      </c>
      <c r="W43" s="52" t="str">
        <f t="shared" si="12"/>
        <v>EC</v>
      </c>
      <c r="X43" s="52" t="str">
        <f t="shared" si="13"/>
        <v>KEEP</v>
      </c>
      <c r="Y43" s="134" t="str">
        <f t="shared" si="14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ID","value":"211-19"},{"id":16,"name":"Locomotive ID","value":"4011"},{"id":130,"name":"Impact","value":""},{"id":150,"name":"Time of Event (Mountain Time)","value":"18:17:08"},{"id":151,"name":"Denver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 t="shared" si="15"/>
        <v>grep -hSE -A100 "Enforcement Action" "%USERPROFILE%\AppData\Local\Temp\OnboardLogs"\RTDC4011\*4011*201609200* | grep -SE "((Enforcement Ac)|(PRM))" -</v>
      </c>
    </row>
    <row r="44" spans="1:29" x14ac:dyDescent="0.25">
      <c r="A44" s="38">
        <v>42632.76666666667</v>
      </c>
      <c r="B44" s="33" t="s">
        <v>370</v>
      </c>
      <c r="C44" s="33" t="s">
        <v>536</v>
      </c>
      <c r="D44" s="33" t="s">
        <v>49</v>
      </c>
      <c r="E44" s="33" t="s">
        <v>50</v>
      </c>
      <c r="F44" s="49">
        <v>0</v>
      </c>
      <c r="G44" s="49">
        <v>64</v>
      </c>
      <c r="H44" s="49">
        <v>233228</v>
      </c>
      <c r="I44" s="49">
        <v>233320</v>
      </c>
      <c r="J44" s="33" t="s">
        <v>51</v>
      </c>
      <c r="K44" s="49">
        <v>233491</v>
      </c>
      <c r="L44" s="150" t="s">
        <v>52</v>
      </c>
      <c r="M44" s="153">
        <f t="shared" si="8"/>
        <v>90.287999999999997</v>
      </c>
      <c r="N44" s="92" t="str">
        <f>VLOOKUP(C44,'Trips&amp;Operators'!$C$1:$E$99999,3,FALSE)</f>
        <v>NEWELL</v>
      </c>
      <c r="O44" s="174" t="s">
        <v>86</v>
      </c>
      <c r="P44" s="10"/>
      <c r="Q44" s="33"/>
      <c r="R44" s="108" t="str">
        <f>VLOOKUP(C44,'Train Runs'!$A$13:$AE$10017,31,0)</f>
        <v>aws s3 cp s3://rtdc.mdm.uploadarchive/RTDC4007/2016-09-19/ "%USERPROFILE%\AppData\Local\Temp\OnboardLogs"\RTDC4007\2016-09-19 --recursive &amp; "%USERPROFILE%\Documents\GitHub\mrs-test-scripts\Headless Mode &amp; Sideloading\WalkAndUnGZ.bat" "%USERPROFILE%\AppData\Local\Temp\OnboardLogs"\RTDC4007\2016-09-19 &amp; aws s3 cp s3://rtdc.mdm.uploadarchive/RTDC4007/2016-09-20/ "%USERPROFILE%\AppData\Local\Temp\OnboardLogs"\RTDC4007\2016-09-20 --recursive &amp; "%USERPROFILE%\Documents\GitHub\mrs-test-scripts\Headless Mode &amp; Sideloading\WalkAndUnGZ.bat" "%USERPROFILE%\AppData\Local\Temp\OnboardLogs"\RTDC4007\2016-09-20</v>
      </c>
      <c r="S44" s="111" t="str">
        <f>VLOOKUP(C44,'Train Runs'!$A$13:$AE$10017,22,0)</f>
        <v>https://search-rtdc-monitor-bjffxe2xuh6vdkpspy63sjmuny.us-east-1.es.amazonaws.com/_plugin/kibana/#/discover/Steve-Slow-Train-Analysis-(2080s-and-2083s)?_g=(refreshInterval:(display:Off,section:0,value:0),time:(from:'2016-09-19 16:38:13-0600',mode:absolute,to:'2016-09-19 19:24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4007%22')),sort:!(Time,asc))</v>
      </c>
      <c r="T44" s="113" t="str">
        <f t="shared" si="9"/>
        <v>"C:\Program Files (x86)\AstroGrep\AstroGrep.exe" /spath="%USERPROFILE%\AppData\Local\Temp\OnboardLogs" /stypes="*4007*201609200*" /stext=" 00:.+((SYSTEM_STATE.+slice.+state.+changed )|(ment ac)|(system.+state.+changed )|(\|lc)|(penalty)|(\[timeout)|(PRM\|1\|D)|(kpr)|(kdp))" /e /r /s</v>
      </c>
      <c r="U44" s="9" t="str">
        <f t="shared" si="10"/>
        <v>4007</v>
      </c>
      <c r="V44" s="38">
        <f t="shared" si="11"/>
        <v>42633.01666666667</v>
      </c>
      <c r="W44" s="52" t="str">
        <f t="shared" si="12"/>
        <v>EC</v>
      </c>
      <c r="X44" s="52" t="str">
        <f t="shared" si="13"/>
        <v>KEEP</v>
      </c>
      <c r="Y44" s="134" t="str">
        <f t="shared" si="14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ID","value":"213-19"},{"id":16,"name":"Locomotive ID","value":"4007"},{"id":130,"name":"Impact","value":""},{"id":150,"name":"Time of Event (Mountain Time)","value":"18:24:00"},{"id":151,"name":"Denver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 t="shared" si="15"/>
        <v>grep -hSE -A100 "Enforcement Action" "%USERPROFILE%\AppData\Local\Temp\OnboardLogs"\RTDC4007\*4007*201609200* | grep -SE "((Enforcement Ac)|(PRM))" -</v>
      </c>
    </row>
    <row r="45" spans="1:29" x14ac:dyDescent="0.25">
      <c r="A45" s="38">
        <v>42632.985046296293</v>
      </c>
      <c r="B45" s="33" t="s">
        <v>178</v>
      </c>
      <c r="C45" s="33" t="s">
        <v>577</v>
      </c>
      <c r="D45" s="33" t="s">
        <v>49</v>
      </c>
      <c r="E45" s="33" t="s">
        <v>50</v>
      </c>
      <c r="F45" s="49">
        <v>0</v>
      </c>
      <c r="G45" s="49">
        <v>138</v>
      </c>
      <c r="H45" s="49">
        <v>232905</v>
      </c>
      <c r="I45" s="49">
        <v>233101</v>
      </c>
      <c r="J45" s="33" t="s">
        <v>51</v>
      </c>
      <c r="K45" s="49">
        <v>233491</v>
      </c>
      <c r="L45" s="150" t="s">
        <v>52</v>
      </c>
      <c r="M45" s="153">
        <f t="shared" si="8"/>
        <v>205.92</v>
      </c>
      <c r="N45" s="92" t="str">
        <f>VLOOKUP(C45,'Trips&amp;Operators'!$C$1:$E$99999,3,FALSE)</f>
        <v>LEVERE</v>
      </c>
      <c r="O45" s="174" t="s">
        <v>86</v>
      </c>
      <c r="P45" s="10"/>
      <c r="Q45" s="33"/>
      <c r="R45" s="108" t="str">
        <f>VLOOKUP(C45,'Train Runs'!$A$13:$AE$10017,31,0)</f>
        <v>aws s3 cp s3://rtdc.mdm.uploadarchive/RTDC4042/2016-09-19/ "%USERPROFILE%\AppData\Local\Temp\OnboardLogs"\RTDC4042\2016-09-19 --recursive &amp; "%USERPROFILE%\Documents\GitHub\mrs-test-scripts\Headless Mode &amp; Sideloading\WalkAndUnGZ.bat" "%USERPROFILE%\AppData\Local\Temp\OnboardLogs"\RTDC4042\2016-09-19 &amp; aws s3 cp s3://rtdc.mdm.uploadarchive/RTDC4042/2016-09-20/ "%USERPROFILE%\AppData\Local\Temp\OnboardLogs"\RTDC4042\2016-09-20 --recursive &amp; "%USERPROFILE%\Documents\GitHub\mrs-test-scripts\Headless Mode &amp; Sideloading\WalkAndUnGZ.bat" "%USERPROFILE%\AppData\Local\Temp\OnboardLogs"\RTDC4042\2016-09-20</v>
      </c>
      <c r="S45" s="111" t="str">
        <f>VLOOKUP(C45,'Train Runs'!$A$13:$AE$10017,22,0)</f>
        <v>https://search-rtdc-monitor-bjffxe2xuh6vdkpspy63sjmuny.us-east-1.es.amazonaws.com/_plugin/kibana/#/discover/Steve-Slow-Train-Analysis-(2080s-and-2083s)?_g=(refreshInterval:(display:Off,section:0,value:0),time:(from:'2016-09-19 21:51:15-0600',mode:absolute,to:'2016-09-20 00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45" s="113" t="str">
        <f t="shared" si="9"/>
        <v>"C:\Program Files (x86)\AstroGrep\AstroGrep.exe" /spath="%USERPROFILE%\AppData\Local\Temp\OnboardLogs" /stypes="*4042*201609200*" /stext=" 05:.+((SYSTEM_STATE.+slice.+state.+changed )|(ment ac)|(system.+state.+changed )|(\|lc)|(penalty)|(\[timeout)|(PRM\|1\|D)|(kpr)|(kdp))" /e /r /s</v>
      </c>
      <c r="U45" s="9" t="str">
        <f t="shared" si="10"/>
        <v>4042</v>
      </c>
      <c r="V45" s="38">
        <f t="shared" si="11"/>
        <v>42633.235046296293</v>
      </c>
      <c r="W45" s="52" t="str">
        <f t="shared" si="12"/>
        <v>EC</v>
      </c>
      <c r="X45" s="52" t="str">
        <f t="shared" si="13"/>
        <v>KEEP</v>
      </c>
      <c r="Y45" s="134" t="str">
        <f t="shared" si="14"/>
        <v>echo {"issue":{"subject":"","project_id":79,"tracker_id":40,"status_id":1,"priority_id":2,"assigned_to_id":23,"start_date":"2016-09-19","description":"","custom_fields":[{"id":1,"name":"Subdivision","value":"EC"},{"id":4,"name":"Milepost","value":"23.3491"},{"id":17,"name":"Train ID","value":"237-19"},{"id":16,"name":"Locomotive ID","value":"4042"},{"id":130,"name":"Impact","value":""},{"id":150,"name":"Time of Event (Mountain Time)","value":"23:38:28"},{"id":151,"name":"Denver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5" t="str">
        <f t="shared" si="15"/>
        <v>grep -hSE -A100 "Enforcement Action" "%USERPROFILE%\AppData\Local\Temp\OnboardLogs"\RTDC4042\*4042*201609200* | grep -SE "((Enforcement Ac)|(PRM))" -</v>
      </c>
    </row>
    <row r="46" spans="1:29" x14ac:dyDescent="0.25">
      <c r="A46" s="38">
        <v>42632.335081018522</v>
      </c>
      <c r="B46" s="33" t="s">
        <v>277</v>
      </c>
      <c r="C46" s="33" t="s">
        <v>420</v>
      </c>
      <c r="D46" s="33" t="s">
        <v>49</v>
      </c>
      <c r="E46" s="33" t="s">
        <v>56</v>
      </c>
      <c r="F46" s="49">
        <v>150</v>
      </c>
      <c r="G46" s="49">
        <v>269</v>
      </c>
      <c r="H46" s="49">
        <v>56111</v>
      </c>
      <c r="I46" s="49">
        <v>56602</v>
      </c>
      <c r="J46" s="33" t="s">
        <v>57</v>
      </c>
      <c r="K46" s="49">
        <v>57008</v>
      </c>
      <c r="L46" s="150" t="s">
        <v>52</v>
      </c>
      <c r="M46" s="153">
        <f t="shared" si="8"/>
        <v>214.36799999999999</v>
      </c>
      <c r="N46" s="92" t="str">
        <f>VLOOKUP(C46,'Trips&amp;Operators'!$C$1:$E$99999,3,FALSE)</f>
        <v>DAVIS</v>
      </c>
      <c r="O46" s="174" t="s">
        <v>86</v>
      </c>
      <c r="P46" s="10"/>
      <c r="Q46" s="33"/>
      <c r="R46" s="108" t="str">
        <f>VLOOKUP(C46,'Train Runs'!$A$13:$AE$10017,31,0)</f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S46" s="111" t="str">
        <f>VLOOKUP(C46,'Train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06:47:04-0600',mode:absolute,to:'2016-09-19 09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46" s="113" t="str">
        <f t="shared" si="9"/>
        <v>"C:\Program Files (x86)\AstroGrep\AstroGrep.exe" /spath="%USERPROFILE%\AppData\Local\Temp\OnboardLogs" /stypes="*4003*201609191*" /stext=" 14:.+((SYSTEM_STATE.+slice.+state.+changed )|(ment ac)|(system.+state.+changed )|(\|lc)|(penalty)|(\[timeout)|(PRM\|1\|D)|(kpr)|(kdp))" /e /r /s</v>
      </c>
      <c r="U46" s="9" t="str">
        <f t="shared" si="10"/>
        <v>4003</v>
      </c>
      <c r="V46" s="38">
        <f t="shared" si="11"/>
        <v>42632.585081018522</v>
      </c>
      <c r="W46" s="52" t="str">
        <f t="shared" si="12"/>
        <v>NW</v>
      </c>
      <c r="X46" s="52" t="str">
        <f t="shared" si="13"/>
        <v>KEEP</v>
      </c>
      <c r="Y46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{"issue":{"subject":"","project_id":79,"tracker_id":40,"status_id":1,"priority_id":2,"assigned_to_id":23,"start_date":"2016-09-19","description":"","custom_fields":[{"id":1,"name":"Subdivision","value":"NW"},{"id":4,"name":"Milepost","value":"5.7008"},{"id":17,"name":"Train ID","value":"809-19"},{"id":16,"name":"Locomotive ID","value":"4003"},{"id":130,"name":"Impact","value":""},{"id":150,"name":"Time of Event (Mountain Time)","value":"08:02:31"},{"id":151,"name":"Denver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5" t="str">
        <f t="shared" si="15"/>
        <v>grep -hSE -A100 "Enforcement Action" "%USERPROFILE%\AppData\Local\Temp\OnboardLogs"\RTDC4003\*4003*201609191* | grep -SE "((Enforcement Ac)|(PRM))" -</v>
      </c>
    </row>
    <row r="47" spans="1:29" x14ac:dyDescent="0.25">
      <c r="A47" s="38">
        <v>42632.356319444443</v>
      </c>
      <c r="B47" s="33" t="s">
        <v>308</v>
      </c>
      <c r="C47" s="33" t="s">
        <v>423</v>
      </c>
      <c r="D47" s="33" t="s">
        <v>49</v>
      </c>
      <c r="E47" s="33" t="s">
        <v>56</v>
      </c>
      <c r="F47" s="49">
        <v>150</v>
      </c>
      <c r="G47" s="49">
        <v>325</v>
      </c>
      <c r="H47" s="49">
        <v>56137</v>
      </c>
      <c r="I47" s="49">
        <v>56769</v>
      </c>
      <c r="J47" s="33" t="s">
        <v>57</v>
      </c>
      <c r="K47" s="49">
        <v>57008</v>
      </c>
      <c r="L47" s="150" t="s">
        <v>52</v>
      </c>
      <c r="M47" s="153">
        <f t="shared" si="8"/>
        <v>126.19199999999999</v>
      </c>
      <c r="N47" s="92" t="str">
        <f>VLOOKUP(C47,'Trips&amp;Operators'!$C$1:$E$99999,3,FALSE)</f>
        <v>ROBINSON</v>
      </c>
      <c r="O47" s="174" t="s">
        <v>86</v>
      </c>
      <c r="P47" s="10"/>
      <c r="Q47" s="33"/>
      <c r="R47" s="108" t="str">
        <f>VLOOKUP(C47,'Train Runs'!$A$13:$AE$10017,31,0)</f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S47" s="111" t="str">
        <f>VLOOKUP(C47,'Train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06:59:28-0600',mode:absolute,to:'2016-09-19 09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7" s="113" t="str">
        <f t="shared" si="9"/>
        <v>"C:\Program Files (x86)\AstroGrep\AstroGrep.exe" /spath="%USERPROFILE%\AppData\Local\Temp\OnboardLogs" /stypes="*4040*201609191*" /stext=" 14:.+((SYSTEM_STATE.+slice.+state.+changed )|(ment ac)|(system.+state.+changed )|(\|lc)|(penalty)|(\[timeout)|(PRM\|1\|D)|(kpr)|(kdp))" /e /r /s</v>
      </c>
      <c r="U47" s="9" t="str">
        <f t="shared" si="10"/>
        <v>4040</v>
      </c>
      <c r="V47" s="38">
        <f t="shared" si="11"/>
        <v>42632.606319444443</v>
      </c>
      <c r="W47" s="52" t="str">
        <f t="shared" si="12"/>
        <v>NW</v>
      </c>
      <c r="X47" s="52" t="str">
        <f t="shared" si="13"/>
        <v>KEEP</v>
      </c>
      <c r="Y47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{"issue":{"subject":"","project_id":79,"tracker_id":40,"status_id":1,"priority_id":2,"assigned_to_id":23,"start_date":"2016-09-19","description":"","custom_fields":[{"id":1,"name":"Subdivision","value":"NW"},{"id":4,"name":"Milepost","value":"5.7008"},{"id":17,"name":"Train ID","value":"811-19"},{"id":16,"name":"Locomotive ID","value":"4040"},{"id":130,"name":"Impact","value":""},{"id":150,"name":"Time of Event (Mountain Time)","value":"08:33:06"},{"id":151,"name":"Denver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 t="shared" si="15"/>
        <v>grep -hSE -A100 "Enforcement Action" "%USERPROFILE%\AppData\Local\Temp\OnboardLogs"\RTDC4040\*4040*201609191* | grep -SE "((Enforcement Ac)|(PRM))" -</v>
      </c>
    </row>
    <row r="48" spans="1:29" x14ac:dyDescent="0.25">
      <c r="A48" s="38">
        <v>42632.523125</v>
      </c>
      <c r="B48" s="33" t="s">
        <v>308</v>
      </c>
      <c r="C48" s="33" t="s">
        <v>468</v>
      </c>
      <c r="D48" s="33" t="s">
        <v>49</v>
      </c>
      <c r="E48" s="33" t="s">
        <v>56</v>
      </c>
      <c r="F48" s="49">
        <v>150</v>
      </c>
      <c r="G48" s="49">
        <v>278</v>
      </c>
      <c r="H48" s="49">
        <v>56401</v>
      </c>
      <c r="I48" s="49">
        <v>56860</v>
      </c>
      <c r="J48" s="33" t="s">
        <v>57</v>
      </c>
      <c r="K48" s="49">
        <v>57008</v>
      </c>
      <c r="L48" s="150" t="s">
        <v>52</v>
      </c>
      <c r="M48" s="153">
        <f t="shared" si="8"/>
        <v>78.144000000000005</v>
      </c>
      <c r="N48" s="92" t="str">
        <f>VLOOKUP(C48,'Trips&amp;Operators'!$C$1:$E$99999,3,FALSE)</f>
        <v>ROBINSON</v>
      </c>
      <c r="O48" s="174" t="s">
        <v>86</v>
      </c>
      <c r="P48" s="10"/>
      <c r="Q48" s="33"/>
      <c r="R48" s="108" t="str">
        <f>VLOOKUP(C48,'Train Runs'!$A$13:$AE$10017,31,0)</f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S48" s="111" t="str">
        <f>VLOOKUP(C48,'Train Runs'!$A$13:$AE$10017,22,0)</f>
        <v>https://search-rtdc-monitor-bjffxe2xuh6vdkpspy63sjmuny.us-east-1.es.amazonaws.com/_plugin/kibana/#/discover/Steve-Slow-Train-Analysis-(2080s-and-2083s)?_g=(refreshInterval:(display:Off,section:0,value:0),time:(from:'2016-09-19 11:11:01-0600',mode:absolute,to:'2016-09-19 13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48" s="113" t="str">
        <f t="shared" si="9"/>
        <v>"C:\Program Files (x86)\AstroGrep\AstroGrep.exe" /spath="%USERPROFILE%\AppData\Local\Temp\OnboardLogs" /stypes="*4040*201609191*" /stext=" 18:.+((SYSTEM_STATE.+slice.+state.+changed )|(ment ac)|(system.+state.+changed )|(\|lc)|(penalty)|(\[timeout)|(PRM\|1\|D)|(kpr)|(kdp))" /e /r /s</v>
      </c>
      <c r="U48" s="9" t="str">
        <f t="shared" si="10"/>
        <v>4040</v>
      </c>
      <c r="V48" s="38">
        <f t="shared" si="11"/>
        <v>42632.773125</v>
      </c>
      <c r="W48" s="52" t="str">
        <f t="shared" si="12"/>
        <v>NW</v>
      </c>
      <c r="X48" s="52" t="str">
        <f t="shared" si="13"/>
        <v>KEEP</v>
      </c>
      <c r="Y48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{"issue":{"subject":"","project_id":79,"tracker_id":40,"status_id":1,"priority_id":2,"assigned_to_id":23,"start_date":"2016-09-19","description":"","custom_fields":[{"id":1,"name":"Subdivision","value":"NW"},{"id":4,"name":"Milepost","value":"5.7008"},{"id":17,"name":"Train ID","value":"819-19"},{"id":16,"name":"Locomotive ID","value":"4040"},{"id":130,"name":"Impact","value":""},{"id":150,"name":"Time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 t="shared" si="15"/>
        <v>grep -hSE -A100 "Enforcement Action" "%USERPROFILE%\AppData\Local\Temp\OnboardLogs"\RTDC4040\*4040*201609191* | grep -SE "((Enforcement Ac)|(PRM))" -</v>
      </c>
    </row>
    <row r="49" spans="1:29" x14ac:dyDescent="0.25">
      <c r="A49" s="38">
        <v>42632.409826388888</v>
      </c>
      <c r="B49" s="33" t="s">
        <v>311</v>
      </c>
      <c r="C49" s="33" t="s">
        <v>440</v>
      </c>
      <c r="D49" s="33" t="s">
        <v>49</v>
      </c>
      <c r="E49" s="33" t="s">
        <v>54</v>
      </c>
      <c r="F49" s="49">
        <v>0</v>
      </c>
      <c r="G49" s="49">
        <v>315</v>
      </c>
      <c r="H49" s="49">
        <v>20411</v>
      </c>
      <c r="I49" s="49">
        <v>19684</v>
      </c>
      <c r="J49" s="33" t="s">
        <v>55</v>
      </c>
      <c r="K49" s="49">
        <v>19000</v>
      </c>
      <c r="L49" s="150" t="s">
        <v>53</v>
      </c>
      <c r="M49" s="153">
        <f t="shared" si="8"/>
        <v>361.15199999999999</v>
      </c>
      <c r="N49" s="92" t="str">
        <f>VLOOKUP(C49,'Trips&amp;Operators'!$C$1:$E$99999,3,FALSE)</f>
        <v>ROBINSON</v>
      </c>
      <c r="O49" s="174" t="s">
        <v>330</v>
      </c>
      <c r="P49" s="10" t="s">
        <v>768</v>
      </c>
      <c r="Q49" s="33"/>
      <c r="R49" s="108" t="str">
        <f>VLOOKUP(C49,'Train Runs'!$A$13:$AE$10017,31,0)</f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S49" s="111" t="str">
        <f>VLOOKUP(C49,'Train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08:37:47-0600',mode:absolute,to:'2016-09-19 10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9" s="113" t="str">
        <f t="shared" si="9"/>
        <v>"C:\Program Files (x86)\AstroGrep\AstroGrep.exe" /spath="%USERPROFILE%\AppData\Local\Temp\OnboardLogs" /stypes="*4039*201609191*" /stext=" 15:.+((SYSTEM_STATE.+slice.+state.+changed )|(ment ac)|(system.+state.+changed )|(\|lc)|(penalty)|(\[timeout)|(PRM\|1\|D)|(kpr)|(kdp))" /e /r /s</v>
      </c>
      <c r="U49" s="9" t="str">
        <f t="shared" si="10"/>
        <v>4039</v>
      </c>
      <c r="V49" s="38">
        <f t="shared" si="11"/>
        <v>42632.659826388888</v>
      </c>
      <c r="W49" s="52" t="str">
        <f t="shared" si="12"/>
        <v>NW</v>
      </c>
      <c r="X49" s="52" t="str">
        <f t="shared" si="13"/>
        <v>KEEP</v>
      </c>
      <c r="Y49" s="134" t="str">
        <f t="shared" si="14"/>
        <v>echo {"issue":{"subject":"Wi-MAX outage","project_id":79,"tracker_id":40,"status_id":1,"priority_id":2,"assigned_to_id":23,"start_date":"2016-09-19","description":"http://stevetu21.github.io/eaglep3/load_kml.html?kml=http://rtdc.gmaps-snips.s3.amazonaws.com/0be4c5bb-7d5a-46bc-b980-3b4ec4309e93.kml","custom_fields":[{"id":1,"name":"Subdivision","value":"NW"},{"id":4,"name":"Milepost","value":"1.9"},{"id":17,"name":"Train ID","value":"814-19"},{"id":16,"name":"Locomotive ID","value":"4039"},{"id":130,"name":"Impact","value":"Enforcement"},{"id":150,"name":"Time of Event (Mountain Time)","value":"09:50:09"},{"id":151,"name":"Denver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49" s="179" t="s">
        <v>767</v>
      </c>
      <c r="AA49" s="55" t="s">
        <v>138</v>
      </c>
      <c r="AB49" s="23" t="s">
        <v>151</v>
      </c>
      <c r="AC49" s="175" t="str">
        <f t="shared" si="15"/>
        <v>grep -hSE -A100 "Enforcement Action" "%USERPROFILE%\AppData\Local\Temp\OnboardLogs"\RTDC4039\*4039*201609191* | grep -SE "((Enforcement Ac)|(PRM))" -</v>
      </c>
    </row>
    <row r="50" spans="1:29" x14ac:dyDescent="0.25">
      <c r="A50" s="38">
        <v>42632.408090277779</v>
      </c>
      <c r="B50" s="33" t="s">
        <v>311</v>
      </c>
      <c r="C50" s="33" t="s">
        <v>440</v>
      </c>
      <c r="D50" s="33" t="s">
        <v>49</v>
      </c>
      <c r="E50" s="33" t="s">
        <v>54</v>
      </c>
      <c r="F50" s="49">
        <v>0</v>
      </c>
      <c r="G50" s="49">
        <v>547</v>
      </c>
      <c r="H50" s="49">
        <v>31227</v>
      </c>
      <c r="I50" s="49">
        <v>28915</v>
      </c>
      <c r="J50" s="33" t="s">
        <v>55</v>
      </c>
      <c r="K50" s="49">
        <v>27253</v>
      </c>
      <c r="L50" s="150" t="s">
        <v>53</v>
      </c>
      <c r="M50" s="153">
        <f t="shared" si="8"/>
        <v>877.53599999999994</v>
      </c>
      <c r="N50" s="92" t="str">
        <f>VLOOKUP(C50,'Trips&amp;Operators'!$C$1:$E$99999,3,FALSE)</f>
        <v>ROBINSON</v>
      </c>
      <c r="O50" s="174" t="s">
        <v>86</v>
      </c>
      <c r="P50" s="10" t="s">
        <v>766</v>
      </c>
      <c r="Q50" s="33"/>
      <c r="R50" s="108" t="str">
        <f>VLOOKUP(C50,'Train Runs'!$A$13:$AE$10017,31,0)</f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S50" s="111" t="str">
        <f>VLOOKUP(C50,'Train Runs'!$A$13:$AE$10017,22,0)</f>
        <v>https://search-rtdc-monitor-bjffxe2xuh6vdkpspy63sjmuny.us-east-1.es.amazonaws.com/_plugin/kibana/#/discover/Steve-Slow-Train-Analysis-(2080s-and-2083s)?_g=(refreshInterval:(display:Off,section:0,value:0),time:(from:'2016-09-19 08:37:47-0600',mode:absolute,to:'2016-09-19 10:58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50" s="113" t="str">
        <f t="shared" si="9"/>
        <v>"C:\Program Files (x86)\AstroGrep\AstroGrep.exe" /spath="%USERPROFILE%\AppData\Local\Temp\OnboardLogs" /stypes="*4039*201609191*" /stext=" 15:.+((SYSTEM_STATE.+slice.+state.+changed )|(ment ac)|(system.+state.+changed )|(\|lc)|(penalty)|(\[timeout)|(PRM\|1\|D)|(kpr)|(kdp))" /e /r /s</v>
      </c>
      <c r="U50" s="9" t="str">
        <f t="shared" si="10"/>
        <v>4039</v>
      </c>
      <c r="V50" s="38">
        <f t="shared" si="11"/>
        <v>42632.658090277779</v>
      </c>
      <c r="W50" s="52" t="str">
        <f t="shared" si="12"/>
        <v>NW</v>
      </c>
      <c r="X50" s="52" t="str">
        <f t="shared" si="13"/>
        <v>KEEP</v>
      </c>
      <c r="Y50" s="134" t="str">
        <f t="shared" si="14"/>
        <v>echo {"issue":{"subject":"CRMFP 2S was RESTRICTING","project_id":79,"tracker_id":40,"status_id":1,"priority_id":2,"assigned_to_id":23,"start_date":"2016-09-19","description":"","custom_fields":[{"id":1,"name":"Subdivision","value":"NW"},{"id":4,"name":"Milepost","value":"2.7253"},{"id":17,"name":"Train ID","value":"814-19"},{"id":16,"name":"Locomotive ID","value":"4039"},{"id":130,"name":"Impact","value":""},{"id":150,"name":"Time of Event (Mountain Time)","value":"09:47:39"},{"id":151,"name":"Denver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5" t="str">
        <f t="shared" si="15"/>
        <v>grep -hSE -A100 "Enforcement Action" "%USERPROFILE%\AppData\Local\Temp\OnboardLogs"\RTDC4039\*4039*201609191* | grep -SE "((Enforcement Ac)|(PRM))" -</v>
      </c>
    </row>
    <row r="51" spans="1:29" x14ac:dyDescent="0.25">
      <c r="A51" s="38">
        <v>42632.574872685182</v>
      </c>
      <c r="B51" s="33" t="s">
        <v>311</v>
      </c>
      <c r="C51" s="33" t="s">
        <v>485</v>
      </c>
      <c r="D51" s="33" t="s">
        <v>49</v>
      </c>
      <c r="E51" s="33" t="s">
        <v>54</v>
      </c>
      <c r="F51" s="49">
        <v>0</v>
      </c>
      <c r="G51" s="49">
        <v>530</v>
      </c>
      <c r="H51" s="49">
        <v>30317</v>
      </c>
      <c r="I51" s="49">
        <v>28137</v>
      </c>
      <c r="J51" s="33" t="s">
        <v>55</v>
      </c>
      <c r="K51" s="49">
        <v>27253</v>
      </c>
      <c r="L51" s="150" t="s">
        <v>53</v>
      </c>
      <c r="M51" s="153">
        <f t="shared" si="8"/>
        <v>466.75200000000001</v>
      </c>
      <c r="N51" s="92" t="str">
        <f>VLOOKUP(C51,'Trips&amp;Operators'!$C$1:$E$99999,3,FALSE)</f>
        <v>BRUDER</v>
      </c>
      <c r="O51" s="174" t="s">
        <v>86</v>
      </c>
      <c r="P51" s="10" t="s">
        <v>766</v>
      </c>
      <c r="Q51" s="33"/>
      <c r="R51" s="108" t="str">
        <f>VLOOKUP(C51,'Train Runs'!$A$13:$AE$10017,31,0)</f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S51" s="111" t="str">
        <f>VLOOKUP(C51,'Train Runs'!$A$13:$AE$10017,22,0)</f>
        <v>https://search-rtdc-monitor-bjffxe2xuh6vdkpspy63sjmuny.us-east-1.es.amazonaws.com/_plugin/kibana/#/discover/Steve-Slow-Train-Analysis-(2080s-and-2083s)?_g=(refreshInterval:(display:Off,section:0,value:0),time:(from:'2016-09-19 12:36:55-0600',mode:absolute,to:'2016-09-19 14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51" s="113" t="str">
        <f t="shared" si="9"/>
        <v>"C:\Program Files (x86)\AstroGrep\AstroGrep.exe" /spath="%USERPROFILE%\AppData\Local\Temp\OnboardLogs" /stypes="*4039*201609191*" /stext=" 19:.+((SYSTEM_STATE.+slice.+state.+changed )|(ment ac)|(system.+state.+changed )|(\|lc)|(penalty)|(\[timeout)|(PRM\|1\|D)|(kpr)|(kdp))" /e /r /s</v>
      </c>
      <c r="U51" s="9" t="str">
        <f t="shared" si="10"/>
        <v>4039</v>
      </c>
      <c r="V51" s="38">
        <f t="shared" si="11"/>
        <v>42632.824872685182</v>
      </c>
      <c r="W51" s="52" t="str">
        <f t="shared" si="12"/>
        <v>NW</v>
      </c>
      <c r="X51" s="52" t="str">
        <f t="shared" si="13"/>
        <v>KEEP</v>
      </c>
      <c r="Y51" s="134" t="str">
        <f t="shared" si="14"/>
        <v>echo {"issue":{"subject":"CRMFP 2S was RESTRICTING","project_id":79,"tracker_id":40,"status_id":1,"priority_id":2,"assigned_to_id":23,"start_date":"2016-09-19","description":"","custom_fields":[{"id":1,"name":"Subdivision","value":"NW"},{"id":4,"name":"Milepost","value":"2.7253"},{"id":17,"name":"Train ID","value":"822-19"},{"id":16,"name":"Locomotive ID","value":"4039"},{"id":130,"name":"Impact","value":""},{"id":150,"name":"Time of Event (Mountain Time)","value":"13:47:49"},{"id":151,"name":"Denver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5" t="str">
        <f t="shared" si="15"/>
        <v>grep -hSE -A100 "Enforcement Action" "%USERPROFILE%\AppData\Local\Temp\OnboardLogs"\RTDC4039\*4039*201609191* | grep -SE "((Enforcement Ac)|(PRM))" -</v>
      </c>
    </row>
    <row r="52" spans="1:29" x14ac:dyDescent="0.25">
      <c r="A52" s="38">
        <v>42632.730150462965</v>
      </c>
      <c r="B52" s="33" t="s">
        <v>280</v>
      </c>
      <c r="C52" s="33" t="s">
        <v>532</v>
      </c>
      <c r="D52" s="33" t="s">
        <v>49</v>
      </c>
      <c r="E52" s="33" t="s">
        <v>50</v>
      </c>
      <c r="F52" s="49">
        <v>0</v>
      </c>
      <c r="G52" s="49">
        <v>71</v>
      </c>
      <c r="H52" s="49">
        <v>234</v>
      </c>
      <c r="I52" s="49">
        <v>155</v>
      </c>
      <c r="J52" s="33" t="s">
        <v>51</v>
      </c>
      <c r="K52" s="49">
        <v>1</v>
      </c>
      <c r="L52" s="150" t="s">
        <v>53</v>
      </c>
      <c r="M52" s="153">
        <f t="shared" si="8"/>
        <v>81.311999999999998</v>
      </c>
      <c r="N52" s="92" t="str">
        <f>VLOOKUP(C52,'Trips&amp;Operators'!$C$1:$E$99999,3,FALSE)</f>
        <v>COOLAHAN</v>
      </c>
      <c r="O52" s="174" t="s">
        <v>86</v>
      </c>
      <c r="P52" s="10"/>
      <c r="Q52" s="33"/>
      <c r="R52" s="108" t="str">
        <f>VLOOKUP(C52,'Train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52" s="111" t="str">
        <f>VLOOKUP(C52,'Train Runs'!$A$13:$AE$10017,22,0)</f>
        <v>https://search-rtdc-monitor-bjffxe2xuh6vdkpspy63sjmuny.us-east-1.es.amazonaws.com/_plugin/kibana/#/discover/Steve-Slow-Train-Analysis-(2080s-and-2083s)?_g=(refreshInterval:(display:Off,section:0,value:0),time:(from:'2016-09-19 16:15:21-0600',mode:absolute,to:'2016-09-19 18:31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2" s="113" t="str">
        <f t="shared" si="9"/>
        <v>"C:\Program Files (x86)\AstroGrep\AstroGrep.exe" /spath="%USERPROFILE%\AppData\Local\Temp\OnboardLogs" /stypes="*4004*201609192*" /stext=" 23:.+((SYSTEM_STATE.+slice.+state.+changed )|(ment ac)|(system.+state.+changed )|(\|lc)|(penalty)|(\[timeout)|(PRM\|1\|D)|(kpr)|(kdp))" /e /r /s</v>
      </c>
      <c r="U52" s="9" t="str">
        <f t="shared" si="10"/>
        <v>4004</v>
      </c>
      <c r="V52" s="38">
        <f t="shared" si="11"/>
        <v>42632.980150462965</v>
      </c>
      <c r="W52" s="52" t="str">
        <f t="shared" si="12"/>
        <v>NW</v>
      </c>
      <c r="X52" s="52" t="str">
        <f t="shared" si="13"/>
        <v>KEEP</v>
      </c>
      <c r="Y52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{"issue":{"subject":"","project_id":79,"tracker_id":40,"status_id":1,"priority_id":2,"assigned_to_id":23,"start_date":"2016-09-19","description":"","custom_fields":[{"id":1,"name":"Subdivision","value":"NW"},{"id":4,"name":"Milepost","value":"0.0001"},{"id":17,"name":"Train ID","value":"832-19"},{"id":16,"name":"Locomotive ID","value":"4004"},{"id":130,"name":"Impact","value":""},{"id":150,"name":"Time of Event (Mountain Time)","value":"17:31:25"},{"id":151,"name":"Denver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5" t="str">
        <f t="shared" si="15"/>
        <v>grep -hSE -A100 "Enforcement Action" "%USERPROFILE%\AppData\Local\Temp\OnboardLogs"\RTDC4004\*4004*201609192* | grep -SE "((Enforcement Ac)|(PRM))" -</v>
      </c>
    </row>
    <row r="53" spans="1:29" x14ac:dyDescent="0.25">
      <c r="A53" s="38">
        <v>42632.755682870367</v>
      </c>
      <c r="B53" s="33" t="s">
        <v>311</v>
      </c>
      <c r="C53" s="33" t="s">
        <v>535</v>
      </c>
      <c r="D53" s="33" t="s">
        <v>49</v>
      </c>
      <c r="E53" s="33" t="s">
        <v>50</v>
      </c>
      <c r="F53" s="49">
        <v>0</v>
      </c>
      <c r="G53" s="49">
        <v>37</v>
      </c>
      <c r="H53" s="49">
        <v>115</v>
      </c>
      <c r="I53" s="49">
        <v>90</v>
      </c>
      <c r="J53" s="33" t="s">
        <v>51</v>
      </c>
      <c r="K53" s="49">
        <v>1</v>
      </c>
      <c r="L53" s="150" t="s">
        <v>53</v>
      </c>
      <c r="M53" s="153">
        <f t="shared" si="8"/>
        <v>46.991999999999997</v>
      </c>
      <c r="N53" s="92" t="str">
        <f>VLOOKUP(C53,'Trips&amp;Operators'!$C$1:$E$99999,3,FALSE)</f>
        <v>BRUDER</v>
      </c>
      <c r="O53" s="174" t="s">
        <v>86</v>
      </c>
      <c r="P53" s="10"/>
      <c r="Q53" s="33"/>
      <c r="R53" s="108" t="str">
        <f>VLOOKUP(C53,'Train Runs'!$A$13:$AE$10017,31,0)</f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S53" s="111" t="str">
        <f>VLOOKUP(C53,'Train Runs'!$A$13:$AE$10017,22,0)</f>
        <v>https://search-rtdc-monitor-bjffxe2xuh6vdkpspy63sjmuny.us-east-1.es.amazonaws.com/_plugin/kibana/#/discover/Steve-Slow-Train-Analysis-(2080s-and-2083s)?_g=(refreshInterval:(display:Off,section:0,value:0),time:(from:'2016-09-19 16:37:48-0600',mode:absolute,to:'2016-09-19 19:08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53" s="113" t="str">
        <f t="shared" si="9"/>
        <v>"C:\Program Files (x86)\AstroGrep\AstroGrep.exe" /spath="%USERPROFILE%\AppData\Local\Temp\OnboardLogs" /stypes="*4039*201609200*" /stext=" 00:.+((SYSTEM_STATE.+slice.+state.+changed )|(ment ac)|(system.+state.+changed )|(\|lc)|(penalty)|(\[timeout)|(PRM\|1\|D)|(kpr)|(kdp))" /e /r /s</v>
      </c>
      <c r="U53" s="9" t="str">
        <f t="shared" si="10"/>
        <v>4039</v>
      </c>
      <c r="V53" s="38">
        <f t="shared" si="11"/>
        <v>42633.005682870367</v>
      </c>
      <c r="W53" s="52" t="str">
        <f t="shared" si="12"/>
        <v>NW</v>
      </c>
      <c r="X53" s="52" t="str">
        <f t="shared" si="13"/>
        <v>KEEP</v>
      </c>
      <c r="Y53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{"issue":{"subject":"","project_id":79,"tracker_id":40,"status_id":1,"priority_id":2,"assigned_to_id":23,"start_date":"2016-09-19","description":"","custom_fields":[{"id":1,"name":"Subdivision","value":"NW"},{"id":4,"name":"Milepost","value":"0.0001"},{"id":17,"name":"Train ID","value":"834-19"},{"id":16,"name":"Locomotive ID","value":"4039"},{"id":130,"name":"Impact","value":""},{"id":150,"name":"Time of Event (Mountain Time)","value":"18:08:11"},{"id":151,"name":"Denver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5" t="str">
        <f t="shared" si="15"/>
        <v>grep -hSE -A100 "Enforcement Action" "%USERPROFILE%\AppData\Local\Temp\OnboardLogs"\RTDC4039\*4039*201609200* | grep -SE "((Enforcement Ac)|(PRM))" -</v>
      </c>
    </row>
    <row r="54" spans="1:29" x14ac:dyDescent="0.25">
      <c r="A54" s="38">
        <v>42632.22724537037</v>
      </c>
      <c r="B54" s="33" t="s">
        <v>280</v>
      </c>
      <c r="C54" s="33" t="s">
        <v>386</v>
      </c>
      <c r="D54" s="33" t="s">
        <v>49</v>
      </c>
      <c r="E54" s="33" t="s">
        <v>50</v>
      </c>
      <c r="F54" s="49">
        <v>0</v>
      </c>
      <c r="G54" s="49">
        <v>13</v>
      </c>
      <c r="H54" s="49">
        <v>594</v>
      </c>
      <c r="I54" s="49">
        <v>587</v>
      </c>
      <c r="J54" s="33" t="s">
        <v>51</v>
      </c>
      <c r="K54" s="49">
        <v>575</v>
      </c>
      <c r="L54" s="150" t="s">
        <v>53</v>
      </c>
      <c r="M54" s="153">
        <f t="shared" si="8"/>
        <v>6.3360000000000003</v>
      </c>
      <c r="N54" s="92" t="str">
        <f>VLOOKUP(C54,'Trips&amp;Operators'!$C$1:$E$99999,3,FALSE)</f>
        <v>DAVIS</v>
      </c>
      <c r="O54" s="174" t="s">
        <v>86</v>
      </c>
      <c r="P54" s="10"/>
      <c r="Q54" s="33"/>
      <c r="R54" s="108" t="str">
        <f>VLOOKUP(C54,'Train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54" s="111" t="str">
        <f>VLOOKUP(C54,'Train Runs'!$A$13:$AE$10017,22,0)</f>
        <v>https://search-rtdc-monitor-bjffxe2xuh6vdkpspy63sjmuny.us-east-1.es.amazonaws.com/_plugin/kibana/#/discover/Steve-Slow-Train-Analysis-(2080s-and-2083s)?_g=(refreshInterval:(display:Off,section:0,value:0),time:(from:'2016-09-19 04:06:14-0600',mode:absolute,to:'2016-09-19 06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4" s="113" t="str">
        <f t="shared" si="9"/>
        <v>"C:\Program Files (x86)\AstroGrep\AstroGrep.exe" /spath="%USERPROFILE%\AppData\Local\Temp\OnboardLogs" /stypes="*4004*201609191*" /stext=" 11:.+((SYSTEM_STATE.+slice.+state.+changed )|(ment ac)|(system.+state.+changed )|(\|lc)|(penalty)|(\[timeout)|(PRM\|1\|D)|(kpr)|(kdp))" /e /r /s</v>
      </c>
      <c r="U54" s="9" t="str">
        <f t="shared" si="10"/>
        <v>4004</v>
      </c>
      <c r="V54" s="38">
        <f t="shared" si="11"/>
        <v>42632.47724537037</v>
      </c>
      <c r="W54" s="52" t="str">
        <f t="shared" si="12"/>
        <v>NW</v>
      </c>
      <c r="X54" s="52" t="str">
        <f t="shared" si="13"/>
        <v>KEEP</v>
      </c>
      <c r="Y54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ID","value":"800-19"},{"id":16,"name":"Locomotive ID","value":"4004"},{"id":130,"name":"Impact","value":""},{"id":150,"name":"Time of Event (Mountain Time)","value":"05:27:14"},{"id":151,"name":"Denver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5" t="str">
        <f t="shared" si="15"/>
        <v>grep -hSE -A100 "Enforcement Action" "%USERPROFILE%\AppData\Local\Temp\OnboardLogs"\RTDC4004\*4004*201609191* | grep -SE "((Enforcement Ac)|(PRM))" -</v>
      </c>
    </row>
    <row r="55" spans="1:29" x14ac:dyDescent="0.25">
      <c r="A55" s="38">
        <v>42632.268587962964</v>
      </c>
      <c r="B55" s="33" t="s">
        <v>280</v>
      </c>
      <c r="C55" s="33" t="s">
        <v>399</v>
      </c>
      <c r="D55" s="33" t="s">
        <v>49</v>
      </c>
      <c r="E55" s="33" t="s">
        <v>50</v>
      </c>
      <c r="F55" s="49">
        <v>0</v>
      </c>
      <c r="G55" s="49">
        <v>85</v>
      </c>
      <c r="H55" s="49">
        <v>859</v>
      </c>
      <c r="I55" s="49">
        <v>755</v>
      </c>
      <c r="J55" s="33" t="s">
        <v>51</v>
      </c>
      <c r="K55" s="49">
        <v>575</v>
      </c>
      <c r="L55" s="150" t="s">
        <v>53</v>
      </c>
      <c r="M55" s="153">
        <f t="shared" si="8"/>
        <v>95.04</v>
      </c>
      <c r="N55" s="92" t="str">
        <f>VLOOKUP(C55,'Trips&amp;Operators'!$C$1:$E$99999,3,FALSE)</f>
        <v>DAVIS</v>
      </c>
      <c r="O55" s="174" t="s">
        <v>86</v>
      </c>
      <c r="P55" s="10"/>
      <c r="Q55" s="33"/>
      <c r="R55" s="108" t="str">
        <f>VLOOKUP(C55,'Train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55" s="111" t="str">
        <f>VLOOKUP(C55,'Train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05:08:59-0600',mode:absolute,to:'2016-09-19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5" s="113" t="str">
        <f t="shared" si="9"/>
        <v>"C:\Program Files (x86)\AstroGrep\AstroGrep.exe" /spath="%USERPROFILE%\AppData\Local\Temp\OnboardLogs" /stypes="*4004*201609191*" /stext=" 12:.+((SYSTEM_STATE.+slice.+state.+changed )|(ment ac)|(system.+state.+changed )|(\|lc)|(penalty)|(\[timeout)|(PRM\|1\|D)|(kpr)|(kdp))" /e /r /s</v>
      </c>
      <c r="U55" s="9" t="str">
        <f t="shared" si="10"/>
        <v>4004</v>
      </c>
      <c r="V55" s="38">
        <f t="shared" si="11"/>
        <v>42632.518587962964</v>
      </c>
      <c r="W55" s="52" t="str">
        <f t="shared" si="12"/>
        <v>NW</v>
      </c>
      <c r="X55" s="52" t="str">
        <f t="shared" si="13"/>
        <v>KEEP</v>
      </c>
      <c r="Y55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ID","value":"802-19"},{"id":16,"name":"Locomotive ID","value":"4004"},{"id":130,"name":"Impact","value":""},{"id":150,"name":"Time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5" t="str">
        <f t="shared" si="15"/>
        <v>grep -hSE -A100 "Enforcement Action" "%USERPROFILE%\AppData\Local\Temp\OnboardLogs"\RTDC4004\*4004*201609191* | grep -SE "((Enforcement Ac)|(PRM))" -</v>
      </c>
    </row>
    <row r="56" spans="1:29" x14ac:dyDescent="0.25">
      <c r="A56" s="38">
        <v>42632.269641203704</v>
      </c>
      <c r="B56" s="33" t="s">
        <v>280</v>
      </c>
      <c r="C56" s="33" t="s">
        <v>399</v>
      </c>
      <c r="D56" s="33" t="s">
        <v>49</v>
      </c>
      <c r="E56" s="33" t="s">
        <v>50</v>
      </c>
      <c r="F56" s="49">
        <v>0</v>
      </c>
      <c r="G56" s="49">
        <v>27</v>
      </c>
      <c r="H56" s="49">
        <v>678</v>
      </c>
      <c r="I56" s="49">
        <v>666</v>
      </c>
      <c r="J56" s="33" t="s">
        <v>51</v>
      </c>
      <c r="K56" s="49">
        <v>575</v>
      </c>
      <c r="L56" s="150" t="s">
        <v>53</v>
      </c>
      <c r="M56" s="153">
        <f t="shared" si="8"/>
        <v>48.048000000000002</v>
      </c>
      <c r="N56" s="92" t="str">
        <f>VLOOKUP(C56,'Trips&amp;Operators'!$C$1:$E$99999,3,FALSE)</f>
        <v>DAVIS</v>
      </c>
      <c r="O56" s="174" t="s">
        <v>86</v>
      </c>
      <c r="P56" s="10"/>
      <c r="Q56" s="33"/>
      <c r="R56" s="108" t="str">
        <f>VLOOKUP(C56,'Train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56" s="111" t="str">
        <f>VLOOKUP(C56,'Train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05:08:59-0600',mode:absolute,to:'2016-09-19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6" s="113" t="str">
        <f t="shared" si="9"/>
        <v>"C:\Program Files (x86)\AstroGrep\AstroGrep.exe" /spath="%USERPROFILE%\AppData\Local\Temp\OnboardLogs" /stypes="*4004*201609191*" /stext=" 12:.+((SYSTEM_STATE.+slice.+state.+changed )|(ment ac)|(system.+state.+changed )|(\|lc)|(penalty)|(\[timeout)|(PRM\|1\|D)|(kpr)|(kdp))" /e /r /s</v>
      </c>
      <c r="U56" s="9" t="str">
        <f t="shared" si="10"/>
        <v>4004</v>
      </c>
      <c r="V56" s="38">
        <f t="shared" si="11"/>
        <v>42632.519641203704</v>
      </c>
      <c r="W56" s="52" t="str">
        <f t="shared" si="12"/>
        <v>NW</v>
      </c>
      <c r="X56" s="52" t="str">
        <f t="shared" si="13"/>
        <v>KEEP</v>
      </c>
      <c r="Y56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ID","value":"802-19"},{"id":16,"name":"Locomotive ID","value":"4004"},{"id":130,"name":"Impact","value":""},{"id":150,"name":"Time of Event (Mountain Time)","value":"06:28:17"},{"id":151,"name":"Denver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5" t="str">
        <f t="shared" si="15"/>
        <v>grep -hSE -A100 "Enforcement Action" "%USERPROFILE%\AppData\Local\Temp\OnboardLogs"\RTDC4004\*4004*201609191* | grep -SE "((Enforcement Ac)|(PRM))" -</v>
      </c>
    </row>
    <row r="57" spans="1:29" x14ac:dyDescent="0.25">
      <c r="A57" s="38">
        <v>42632.309918981482</v>
      </c>
      <c r="B57" s="33" t="s">
        <v>280</v>
      </c>
      <c r="C57" s="33" t="s">
        <v>414</v>
      </c>
      <c r="D57" s="33" t="s">
        <v>49</v>
      </c>
      <c r="E57" s="33" t="s">
        <v>50</v>
      </c>
      <c r="F57" s="49">
        <v>0</v>
      </c>
      <c r="G57" s="49">
        <v>28</v>
      </c>
      <c r="H57" s="49">
        <v>650</v>
      </c>
      <c r="I57" s="49">
        <v>619</v>
      </c>
      <c r="J57" s="33" t="s">
        <v>51</v>
      </c>
      <c r="K57" s="49">
        <v>575</v>
      </c>
      <c r="L57" s="150" t="s">
        <v>53</v>
      </c>
      <c r="M57" s="153">
        <f t="shared" si="8"/>
        <v>23.231999999999999</v>
      </c>
      <c r="N57" s="92" t="str">
        <f>VLOOKUP(C57,'Trips&amp;Operators'!$C$1:$E$99999,3,FALSE)</f>
        <v>DAVIS</v>
      </c>
      <c r="O57" s="174" t="s">
        <v>86</v>
      </c>
      <c r="P57" s="10"/>
      <c r="Q57" s="33"/>
      <c r="R57" s="108" t="str">
        <f>VLOOKUP(C57,'Train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57" s="111" t="str">
        <f>VLOOKUP(C57,'Train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06:09:01-0600',mode:absolute,to:'2016-09-19 08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7" s="113" t="str">
        <f t="shared" si="9"/>
        <v>"C:\Program Files (x86)\AstroGrep\AstroGrep.exe" /spath="%USERPROFILE%\AppData\Local\Temp\OnboardLogs" /stypes="*4004*201609191*" /stext=" 13:.+((SYSTEM_STATE.+slice.+state.+changed )|(ment ac)|(system.+state.+changed )|(\|lc)|(penalty)|(\[timeout)|(PRM\|1\|D)|(kpr)|(kdp))" /e /r /s</v>
      </c>
      <c r="U57" s="9" t="str">
        <f t="shared" si="10"/>
        <v>4004</v>
      </c>
      <c r="V57" s="38">
        <f t="shared" si="11"/>
        <v>42632.559918981482</v>
      </c>
      <c r="W57" s="52" t="str">
        <f t="shared" si="12"/>
        <v>NW</v>
      </c>
      <c r="X57" s="52" t="str">
        <f t="shared" si="13"/>
        <v>KEEP</v>
      </c>
      <c r="Y57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ID","value":"806-19"},{"id":16,"name":"Locomotive ID","value":"4004"},{"id":130,"name":"Impact","value":""},{"id":150,"name":"Time of Event (Mountain Time)","value":"07:26:17"},{"id":151,"name":"Denver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5" t="str">
        <f t="shared" si="15"/>
        <v>grep -hSE -A100 "Enforcement Action" "%USERPROFILE%\AppData\Local\Temp\OnboardLogs"\RTDC4004\*4004*201609191* | grep -SE "((Enforcement Ac)|(PRM))" -</v>
      </c>
    </row>
    <row r="58" spans="1:29" x14ac:dyDescent="0.25">
      <c r="A58" s="38">
        <v>42632.33090277778</v>
      </c>
      <c r="B58" s="33" t="s">
        <v>311</v>
      </c>
      <c r="C58" s="33" t="s">
        <v>417</v>
      </c>
      <c r="D58" s="33" t="s">
        <v>49</v>
      </c>
      <c r="E58" s="33" t="s">
        <v>50</v>
      </c>
      <c r="F58" s="49">
        <v>0</v>
      </c>
      <c r="G58" s="49">
        <v>44</v>
      </c>
      <c r="H58" s="49">
        <v>719</v>
      </c>
      <c r="I58" s="49">
        <v>692</v>
      </c>
      <c r="J58" s="33" t="s">
        <v>51</v>
      </c>
      <c r="K58" s="49">
        <v>575</v>
      </c>
      <c r="L58" s="150" t="s">
        <v>53</v>
      </c>
      <c r="M58" s="153">
        <f t="shared" si="8"/>
        <v>61.776000000000003</v>
      </c>
      <c r="N58" s="92" t="str">
        <f>VLOOKUP(C58,'Trips&amp;Operators'!$C$1:$E$99999,3,FALSE)</f>
        <v>ROBINSON</v>
      </c>
      <c r="O58" s="174" t="s">
        <v>86</v>
      </c>
      <c r="P58" s="10"/>
      <c r="Q58" s="33"/>
      <c r="R58" s="108" t="str">
        <f>VLOOKUP(C58,'Train Runs'!$A$13:$AE$10017,31,0)</f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S58" s="111" t="str">
        <f>VLOOKUP(C58,'Train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06:36:57-0600',mode:absolute,to:'2016-09-19 08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58" s="113" t="str">
        <f t="shared" si="9"/>
        <v>"C:\Program Files (x86)\AstroGrep\AstroGrep.exe" /spath="%USERPROFILE%\AppData\Local\Temp\OnboardLogs" /stypes="*4039*201609191*" /stext=" 13:.+((SYSTEM_STATE.+slice.+state.+changed )|(ment ac)|(system.+state.+changed )|(\|lc)|(penalty)|(\[timeout)|(PRM\|1\|D)|(kpr)|(kdp))" /e /r /s</v>
      </c>
      <c r="U58" s="9" t="str">
        <f t="shared" si="10"/>
        <v>4039</v>
      </c>
      <c r="V58" s="38">
        <f t="shared" si="11"/>
        <v>42632.58090277778</v>
      </c>
      <c r="W58" s="52" t="str">
        <f t="shared" si="12"/>
        <v>NW</v>
      </c>
      <c r="X58" s="52" t="str">
        <f t="shared" si="13"/>
        <v>KEEP</v>
      </c>
      <c r="Y58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ID","value":"808-19"},{"id":16,"name":"Locomotive ID","value":"4039"},{"id":130,"name":"Impact","value":""},{"id":150,"name":"Time of Event (Mountain Time)","value":"07:56:30"},{"id":151,"name":"Denver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5" t="str">
        <f t="shared" si="15"/>
        <v>grep -hSE -A100 "Enforcement Action" "%USERPROFILE%\AppData\Local\Temp\OnboardLogs"\RTDC4039\*4039*201609191* | grep -SE "((Enforcement Ac)|(PRM))" -</v>
      </c>
    </row>
    <row r="59" spans="1:29" x14ac:dyDescent="0.25">
      <c r="A59" s="38">
        <v>42632.768900462965</v>
      </c>
      <c r="B59" s="33" t="s">
        <v>280</v>
      </c>
      <c r="C59" s="33" t="s">
        <v>541</v>
      </c>
      <c r="D59" s="33" t="s">
        <v>49</v>
      </c>
      <c r="E59" s="33" t="s">
        <v>50</v>
      </c>
      <c r="F59" s="49">
        <v>0</v>
      </c>
      <c r="G59" s="49">
        <v>74</v>
      </c>
      <c r="H59" s="49">
        <v>824</v>
      </c>
      <c r="I59" s="49">
        <v>750</v>
      </c>
      <c r="J59" s="33" t="s">
        <v>51</v>
      </c>
      <c r="K59" s="49">
        <v>575</v>
      </c>
      <c r="L59" s="150" t="s">
        <v>53</v>
      </c>
      <c r="M59" s="153">
        <f t="shared" si="8"/>
        <v>92.4</v>
      </c>
      <c r="N59" s="92" t="str">
        <f>VLOOKUP(C59,'Trips&amp;Operators'!$C$1:$E$99999,3,FALSE)</f>
        <v>COOLAHAN</v>
      </c>
      <c r="O59" s="174" t="s">
        <v>86</v>
      </c>
      <c r="P59" s="10"/>
      <c r="Q59" s="33"/>
      <c r="R59" s="108" t="str">
        <f>VLOOKUP(C59,'Train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59" s="111" t="str">
        <f>VLOOKUP(C59,'Train Runs'!$A$13:$AE$10017,22,0)</f>
        <v>https://search-rtdc-monitor-bjffxe2xuh6vdkpspy63sjmuny.us-east-1.es.amazonaws.com/_plugin/kibana/#/discover/Steve-Slow-Train-Analysis-(2080s-and-2083s)?_g=(refreshInterval:(display:Off,section:0,value:0),time:(from:'2016-09-19 17:08:29-0600',mode:absolute,to:'2016-09-19 19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59" s="113" t="str">
        <f t="shared" si="9"/>
        <v>"C:\Program Files (x86)\AstroGrep\AstroGrep.exe" /spath="%USERPROFILE%\AppData\Local\Temp\OnboardLogs" /stypes="*4004*201609200*" /stext=" 00:.+((SYSTEM_STATE.+slice.+state.+changed )|(ment ac)|(system.+state.+changed )|(\|lc)|(penalty)|(\[timeout)|(PRM\|1\|D)|(kpr)|(kdp))" /e /r /s</v>
      </c>
      <c r="U59" s="9" t="str">
        <f t="shared" si="10"/>
        <v>4004</v>
      </c>
      <c r="V59" s="38">
        <f t="shared" si="11"/>
        <v>42633.018900462965</v>
      </c>
      <c r="W59" s="52" t="str">
        <f t="shared" si="12"/>
        <v>NW</v>
      </c>
      <c r="X59" s="52" t="str">
        <f t="shared" si="13"/>
        <v>KEEP</v>
      </c>
      <c r="Y59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ID","value":"836-19"},{"id":16,"name":"Locomotive ID","value":"4004"},{"id":130,"name":"Impact","value":""},{"id":150,"name":"Time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5" t="str">
        <f t="shared" si="15"/>
        <v>grep -hSE -A100 "Enforcement Action" "%USERPROFILE%\AppData\Local\Temp\OnboardLogs"\RTDC4004\*4004*201609200* | grep -SE "((Enforcement Ac)|(PRM))" -</v>
      </c>
    </row>
    <row r="60" spans="1:29" x14ac:dyDescent="0.25">
      <c r="A60" s="38">
        <v>42632.82949074074</v>
      </c>
      <c r="B60" s="33" t="s">
        <v>311</v>
      </c>
      <c r="C60" s="33" t="s">
        <v>557</v>
      </c>
      <c r="D60" s="33" t="s">
        <v>49</v>
      </c>
      <c r="E60" s="33" t="s">
        <v>50</v>
      </c>
      <c r="F60" s="49">
        <v>0</v>
      </c>
      <c r="G60" s="49">
        <v>34</v>
      </c>
      <c r="H60" s="49">
        <v>689</v>
      </c>
      <c r="I60" s="49">
        <v>661</v>
      </c>
      <c r="J60" s="33" t="s">
        <v>51</v>
      </c>
      <c r="K60" s="49">
        <v>575</v>
      </c>
      <c r="L60" s="150" t="s">
        <v>53</v>
      </c>
      <c r="M60" s="153">
        <f t="shared" si="8"/>
        <v>45.408000000000001</v>
      </c>
      <c r="N60" s="92" t="str">
        <f>VLOOKUP(C60,'Trips&amp;Operators'!$C$1:$E$99999,3,FALSE)</f>
        <v>BRUDER</v>
      </c>
      <c r="O60" s="174" t="s">
        <v>86</v>
      </c>
      <c r="P60" s="10"/>
      <c r="Q60" s="33"/>
      <c r="R60" s="108" t="str">
        <f>VLOOKUP(C60,'Train Runs'!$A$13:$AE$10017,31,0)</f>
        <v>aws s3 cp s3://rtdc.mdm.uploadarchive/RTDC4039/2016-09-19/ "%USERPROFILE%\AppData\Local\Temp\OnboardLogs"\RTDC4039\2016-09-19 --recursive &amp; "%USERPROFILE%\Documents\GitHub\mrs-test-scripts\Headless Mode &amp; Sideloading\WalkAndUnGZ.bat" "%USERPROFILE%\AppData\Local\Temp\OnboardLogs"\RTDC4039\2016-09-19 &amp; aws s3 cp s3://rtdc.mdm.uploadarchive/RTDC4039/2016-09-20/ "%USERPROFILE%\AppData\Local\Temp\OnboardLogs"\RTDC4039\2016-09-20 --recursive &amp; "%USERPROFILE%\Documents\GitHub\mrs-test-scripts\Headless Mode &amp; Sideloading\WalkAndUnGZ.bat" "%USERPROFILE%\AppData\Local\Temp\OnboardLogs"\RTDC4039\2016-09-20</v>
      </c>
      <c r="S60" s="111" t="str">
        <f>VLOOKUP(C60,'Train Runs'!$A$13:$AE$10017,22,0)</f>
        <v>https://search-rtdc-monitor-bjffxe2xuh6vdkpspy63sjmuny.us-east-1.es.amazonaws.com/_plugin/kibana/#/discover/Steve-Slow-Train-Analysis-(2080s-and-2083s)?_g=(refreshInterval:(display:Off,section:0,value:0),time:(from:'2016-09-19 18:35:59-0600',mode:absolute,to:'2016-09-19 20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60" s="113" t="str">
        <f t="shared" si="9"/>
        <v>"C:\Program Files (x86)\AstroGrep\AstroGrep.exe" /spath="%USERPROFILE%\AppData\Local\Temp\OnboardLogs" /stypes="*4039*201609200*" /stext=" 01:.+((SYSTEM_STATE.+slice.+state.+changed )|(ment ac)|(system.+state.+changed )|(\|lc)|(penalty)|(\[timeout)|(PRM\|1\|D)|(kpr)|(kdp))" /e /r /s</v>
      </c>
      <c r="U60" s="9" t="str">
        <f t="shared" si="10"/>
        <v>4039</v>
      </c>
      <c r="V60" s="38">
        <f t="shared" si="11"/>
        <v>42633.07949074074</v>
      </c>
      <c r="W60" s="52" t="str">
        <f t="shared" si="12"/>
        <v>NW</v>
      </c>
      <c r="X60" s="52" t="str">
        <f t="shared" si="13"/>
        <v>KEEP</v>
      </c>
      <c r="Y60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{"issue":{"subject":"","project_id":79,"tracker_id":40,"status_id":1,"priority_id":2,"assigned_to_id":23,"start_date":"2016-09-19","description":"","custom_fields":[{"id":1,"name":"Subdivision","value":"NW"},{"id":4,"name":"Milepost","value":"0.0575"},{"id":17,"name":"Train ID","value":"840-19"},{"id":16,"name":"Locomotive ID","value":"4039"},{"id":130,"name":"Impact","value":""},{"id":150,"name":"Time of Event (Mountain Time)","value":"19:54:28"},{"id":151,"name":"Denver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5" t="str">
        <f t="shared" si="15"/>
        <v>grep -hSE -A100 "Enforcement Action" "%USERPROFILE%\AppData\Local\Temp\OnboardLogs"\RTDC4039\*4039*201609200* | grep -SE "((Enforcement Ac)|(PRM))" -</v>
      </c>
    </row>
    <row r="61" spans="1:29" x14ac:dyDescent="0.25">
      <c r="A61" s="38">
        <v>42632.255150462966</v>
      </c>
      <c r="B61" s="33" t="s">
        <v>277</v>
      </c>
      <c r="C61" s="33" t="s">
        <v>392</v>
      </c>
      <c r="D61" s="33" t="s">
        <v>105</v>
      </c>
      <c r="E61" s="33" t="s">
        <v>50</v>
      </c>
      <c r="F61" s="49">
        <v>0</v>
      </c>
      <c r="G61" s="49">
        <v>7</v>
      </c>
      <c r="H61" s="49">
        <v>59048</v>
      </c>
      <c r="I61" s="49">
        <v>0</v>
      </c>
      <c r="J61" s="33" t="s">
        <v>51</v>
      </c>
      <c r="K61" s="49">
        <v>59048</v>
      </c>
      <c r="L61" s="150" t="s">
        <v>52</v>
      </c>
      <c r="M61" s="153">
        <f t="shared" si="8"/>
        <v>31177.344000000001</v>
      </c>
      <c r="N61" s="92" t="str">
        <f>VLOOKUP(C61,'Trips&amp;Operators'!$C$1:$E$99999,3,FALSE)</f>
        <v>DAVIS</v>
      </c>
      <c r="O61" s="174" t="s">
        <v>86</v>
      </c>
      <c r="P61" s="10"/>
      <c r="Q61" s="33"/>
      <c r="R61" s="108" t="str">
        <f>VLOOKUP(C61,'Train Runs'!$A$13:$AE$10017,31,0)</f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S61" s="111" t="str">
        <f>VLOOKUP(C61,'Train Runs'!$A$13:$AE$10017,22,0)</f>
        <v>https://search-rtdc-monitor-bjffxe2xuh6vdkpspy63sjmuny.us-east-1.es.amazonaws.com/_plugin/kibana/#/discover/Steve-Slow-Train-Analysis-(2080s-and-2083s)?_g=(refreshInterval:(display:Off,section:0,value:0),time:(from:'2016-09-19 04:42:53-0600',mode:absolute,to:'2016-09-19 07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61" s="113" t="str">
        <f t="shared" si="9"/>
        <v>"C:\Program Files (x86)\AstroGrep\AstroGrep.exe" /spath="%USERPROFILE%\AppData\Local\Temp\OnboardLogs" /stypes="*4003*201609191*" /stext=" 12:.+((SYSTEM_STATE.+slice.+state.+changed )|(ment ac)|(system.+state.+changed )|(\|lc)|(penalty)|(\[timeout)|(PRM\|1\|D)|(kpr)|(kdp))" /e /r /s</v>
      </c>
      <c r="U61" s="9" t="str">
        <f t="shared" si="10"/>
        <v>4003</v>
      </c>
      <c r="V61" s="38">
        <f t="shared" si="11"/>
        <v>42632.505150462966</v>
      </c>
      <c r="W61" s="52" t="str">
        <f t="shared" si="12"/>
        <v>NW</v>
      </c>
      <c r="X61" s="52" t="str">
        <f t="shared" si="13"/>
        <v>OMIT</v>
      </c>
      <c r="Y61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ID","value":"801-19"},{"id":16,"name":"Locomotive ID","value":"4003"},{"id":130,"name":"Impact","value":""},{"id":150,"name":"Time of Event (Mountain Time)","value":"06:07:25"},{"id":151,"name":"Denver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5" t="str">
        <f t="shared" si="15"/>
        <v>grep -hSE -A100 "Enforcement Action" "%USERPROFILE%\AppData\Local\Temp\OnboardLogs"\RTDC4003\*4003*201609191* | grep -SE "((Enforcement Ac)|(PRM))" -</v>
      </c>
    </row>
    <row r="62" spans="1:29" x14ac:dyDescent="0.25">
      <c r="A62" s="38">
        <v>42632.296249999999</v>
      </c>
      <c r="B62" s="33" t="s">
        <v>277</v>
      </c>
      <c r="C62" s="33" t="s">
        <v>409</v>
      </c>
      <c r="D62" s="33" t="s">
        <v>49</v>
      </c>
      <c r="E62" s="33" t="s">
        <v>50</v>
      </c>
      <c r="F62" s="49">
        <v>0</v>
      </c>
      <c r="G62" s="49">
        <v>31</v>
      </c>
      <c r="H62" s="49">
        <v>58958</v>
      </c>
      <c r="I62" s="49">
        <v>58978</v>
      </c>
      <c r="J62" s="33" t="s">
        <v>51</v>
      </c>
      <c r="K62" s="49">
        <v>59048</v>
      </c>
      <c r="L62" s="150" t="s">
        <v>52</v>
      </c>
      <c r="M62" s="153">
        <f t="shared" si="8"/>
        <v>36.96</v>
      </c>
      <c r="N62" s="92" t="str">
        <f>VLOOKUP(C62,'Trips&amp;Operators'!$C$1:$E$99999,3,FALSE)</f>
        <v>DAVIS</v>
      </c>
      <c r="O62" s="174" t="s">
        <v>86</v>
      </c>
      <c r="P62" s="10"/>
      <c r="Q62" s="33"/>
      <c r="R62" s="108" t="str">
        <f>VLOOKUP(C62,'Train Runs'!$A$13:$AE$10017,31,0)</f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S62" s="111" t="str">
        <f>VLOOKUP(C62,'Train Runs'!$A$13:$AE$10017,22,0)</f>
        <v>https://search-rtdc-monitor-bjffxe2xuh6vdkpspy63sjmuny.us-east-1.es.amazonaws.com/_plugin/kibana/#/discover/Steve-Slow-Train-Analysis-(2080s-and-2083s)?_g=(refreshInterval:(display:Off,section:0,value:0),time:(from:'2016-09-19 05:51:07-0600',mode:absolute,to:'2016-09-19 08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62" s="113" t="str">
        <f t="shared" si="9"/>
        <v>"C:\Program Files (x86)\AstroGrep\AstroGrep.exe" /spath="%USERPROFILE%\AppData\Local\Temp\OnboardLogs" /stypes="*4003*201609191*" /stext=" 13:.+((SYSTEM_STATE.+slice.+state.+changed )|(ment ac)|(system.+state.+changed )|(\|lc)|(penalty)|(\[timeout)|(PRM\|1\|D)|(kpr)|(kdp))" /e /r /s</v>
      </c>
      <c r="U62" s="9" t="str">
        <f t="shared" si="10"/>
        <v>4003</v>
      </c>
      <c r="V62" s="38">
        <f t="shared" si="11"/>
        <v>42632.546249999999</v>
      </c>
      <c r="W62" s="52" t="str">
        <f t="shared" si="12"/>
        <v>NW</v>
      </c>
      <c r="X62" s="52" t="str">
        <f t="shared" si="13"/>
        <v>KEEP</v>
      </c>
      <c r="Y62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ID","value":"805-19"},{"id":16,"name":"Locomotive ID","value":"4003"},{"id":130,"name":"Impact","value":""},{"id":150,"name":"Time of Event (Mountain Time)","value":"07:06:36"},{"id":151,"name":"Denver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5" t="str">
        <f t="shared" si="15"/>
        <v>grep -hSE -A100 "Enforcement Action" "%USERPROFILE%\AppData\Local\Temp\OnboardLogs"\RTDC4003\*4003*201609191* | grep -SE "((Enforcement Ac)|(PRM))" -</v>
      </c>
    </row>
    <row r="63" spans="1:29" x14ac:dyDescent="0.25">
      <c r="A63" s="38">
        <v>42632.337361111109</v>
      </c>
      <c r="B63" s="33" t="s">
        <v>277</v>
      </c>
      <c r="C63" s="33" t="s">
        <v>420</v>
      </c>
      <c r="D63" s="33" t="s">
        <v>49</v>
      </c>
      <c r="E63" s="33" t="s">
        <v>50</v>
      </c>
      <c r="F63" s="49">
        <v>0</v>
      </c>
      <c r="G63" s="49">
        <v>18</v>
      </c>
      <c r="H63" s="49">
        <v>58997</v>
      </c>
      <c r="I63" s="49">
        <v>59014</v>
      </c>
      <c r="J63" s="33" t="s">
        <v>51</v>
      </c>
      <c r="K63" s="49">
        <v>59048</v>
      </c>
      <c r="L63" s="150" t="s">
        <v>52</v>
      </c>
      <c r="M63" s="153">
        <f t="shared" si="8"/>
        <v>17.952000000000002</v>
      </c>
      <c r="N63" s="92" t="str">
        <f>VLOOKUP(C63,'Trips&amp;Operators'!$C$1:$E$99999,3,FALSE)</f>
        <v>DAVIS</v>
      </c>
      <c r="O63" s="174" t="s">
        <v>86</v>
      </c>
      <c r="P63" s="10"/>
      <c r="Q63" s="33"/>
      <c r="R63" s="108" t="str">
        <f>VLOOKUP(C63,'Train Runs'!$A$13:$AE$10017,31,0)</f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S63" s="111" t="str">
        <f>VLOOKUP(C63,'Train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06:47:04-0600',mode:absolute,to:'2016-09-19 09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63" s="113" t="str">
        <f t="shared" si="9"/>
        <v>"C:\Program Files (x86)\AstroGrep\AstroGrep.exe" /spath="%USERPROFILE%\AppData\Local\Temp\OnboardLogs" /stypes="*4003*201609191*" /stext=" 14:.+((SYSTEM_STATE.+slice.+state.+changed )|(ment ac)|(system.+state.+changed )|(\|lc)|(penalty)|(\[timeout)|(PRM\|1\|D)|(kpr)|(kdp))" /e /r /s</v>
      </c>
      <c r="U63" s="9" t="str">
        <f t="shared" si="10"/>
        <v>4003</v>
      </c>
      <c r="V63" s="38">
        <f t="shared" si="11"/>
        <v>42632.587361111109</v>
      </c>
      <c r="W63" s="52" t="str">
        <f t="shared" si="12"/>
        <v>NW</v>
      </c>
      <c r="X63" s="52" t="str">
        <f t="shared" si="13"/>
        <v>KEEP</v>
      </c>
      <c r="Y63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ID","value":"809-19"},{"id":16,"name":"Locomotive ID","value":"4003"},{"id":130,"name":"Impact","value":""},{"id":150,"name":"Time of Event (Mountain Time)","value":"08:05:48"},{"id":151,"name":"Denver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5" t="str">
        <f t="shared" si="15"/>
        <v>grep -hSE -A100 "Enforcement Action" "%USERPROFILE%\AppData\Local\Temp\OnboardLogs"\RTDC4003\*4003*201609191* | grep -SE "((Enforcement Ac)|(PRM))" -</v>
      </c>
    </row>
    <row r="64" spans="1:29" x14ac:dyDescent="0.25">
      <c r="A64" s="38">
        <v>42632.359537037039</v>
      </c>
      <c r="B64" s="33" t="s">
        <v>308</v>
      </c>
      <c r="C64" s="33" t="s">
        <v>423</v>
      </c>
      <c r="D64" s="33" t="s">
        <v>49</v>
      </c>
      <c r="E64" s="33" t="s">
        <v>50</v>
      </c>
      <c r="F64" s="49">
        <v>0</v>
      </c>
      <c r="G64" s="49">
        <v>14</v>
      </c>
      <c r="H64" s="49">
        <v>59029</v>
      </c>
      <c r="I64" s="49">
        <v>59044</v>
      </c>
      <c r="J64" s="33" t="s">
        <v>51</v>
      </c>
      <c r="K64" s="49">
        <v>59048</v>
      </c>
      <c r="L64" s="150" t="s">
        <v>52</v>
      </c>
      <c r="M64" s="153">
        <f t="shared" si="8"/>
        <v>2.1120000000000001</v>
      </c>
      <c r="N64" s="92" t="str">
        <f>VLOOKUP(C64,'Trips&amp;Operators'!$C$1:$E$99999,3,FALSE)</f>
        <v>ROBINSON</v>
      </c>
      <c r="O64" s="174" t="s">
        <v>86</v>
      </c>
      <c r="P64" s="10"/>
      <c r="Q64" s="33"/>
      <c r="R64" s="108" t="str">
        <f>VLOOKUP(C64,'Train Runs'!$A$13:$AE$10017,31,0)</f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S64" s="111" t="str">
        <f>VLOOKUP(C64,'Train Runs'!$A$13:$AE$10017,22,0)</f>
        <v>https://search-rtdc-monitor-bjffxe2xuh6vdkpspy63sjmuny.us-east-1.es.amazonaws.com/_plugin/kibana/#/discover/Steve-Slow-Train-Analysis-(2080s-and-2083s)?_g=(refreshInterval:(display:Off,section:0,value:0),time:(from:'2016-09-19 06:59:28-0600',mode:absolute,to:'2016-09-19 09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64" s="113" t="str">
        <f t="shared" si="9"/>
        <v>"C:\Program Files (x86)\AstroGrep\AstroGrep.exe" /spath="%USERPROFILE%\AppData\Local\Temp\OnboardLogs" /stypes="*4040*201609191*" /stext=" 14:.+((SYSTEM_STATE.+slice.+state.+changed )|(ment ac)|(system.+state.+changed )|(\|lc)|(penalty)|(\[timeout)|(PRM\|1\|D)|(kpr)|(kdp))" /e /r /s</v>
      </c>
      <c r="U64" s="9" t="str">
        <f t="shared" si="10"/>
        <v>4040</v>
      </c>
      <c r="V64" s="38">
        <f t="shared" si="11"/>
        <v>42632.609537037039</v>
      </c>
      <c r="W64" s="52" t="str">
        <f t="shared" si="12"/>
        <v>NW</v>
      </c>
      <c r="X64" s="52" t="str">
        <f t="shared" si="13"/>
        <v>KEEP</v>
      </c>
      <c r="Y64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ID","value":"811-19"},{"id":16,"name":"Locomotive ID","value":"4040"},{"id":130,"name":"Impact","value":""},{"id":150,"name":"Time of Event (Mountain Time)","value":"08:37:44"},{"id":151,"name":"Denver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5" t="str">
        <f t="shared" si="15"/>
        <v>grep -hSE -A100 "Enforcement Action" "%USERPROFILE%\AppData\Local\Temp\OnboardLogs"\RTDC4040\*4040*201609191* | grep -SE "((Enforcement Ac)|(PRM))" -</v>
      </c>
    </row>
    <row r="65" spans="1:29" x14ac:dyDescent="0.25">
      <c r="A65" s="38">
        <v>42632.484872685185</v>
      </c>
      <c r="B65" s="33" t="s">
        <v>308</v>
      </c>
      <c r="C65" s="33" t="s">
        <v>455</v>
      </c>
      <c r="D65" s="33" t="s">
        <v>49</v>
      </c>
      <c r="E65" s="33" t="s">
        <v>50</v>
      </c>
      <c r="F65" s="49">
        <v>0</v>
      </c>
      <c r="G65" s="49">
        <v>44</v>
      </c>
      <c r="H65" s="49">
        <v>58920</v>
      </c>
      <c r="I65" s="49">
        <v>58984</v>
      </c>
      <c r="J65" s="33" t="s">
        <v>51</v>
      </c>
      <c r="K65" s="49">
        <v>59048</v>
      </c>
      <c r="L65" s="150" t="s">
        <v>52</v>
      </c>
      <c r="M65" s="153">
        <f t="shared" si="8"/>
        <v>33.792000000000002</v>
      </c>
      <c r="N65" s="92" t="str">
        <f>VLOOKUP(C65,'Trips&amp;Operators'!$C$1:$E$99999,3,FALSE)</f>
        <v>ROBINSON</v>
      </c>
      <c r="O65" s="174" t="s">
        <v>86</v>
      </c>
      <c r="P65" s="10"/>
      <c r="Q65" s="33"/>
      <c r="R65" s="108" t="str">
        <f>VLOOKUP(C65,'Train Runs'!$A$13:$AE$10017,31,0)</f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S65" s="111" t="str">
        <f>VLOOKUP(C65,'Train Runs'!$A$13:$AE$10017,22,0)</f>
        <v>https://search-rtdc-monitor-bjffxe2xuh6vdkpspy63sjmuny.us-east-1.es.amazonaws.com/_plugin/kibana/#/discover/Steve-Slow-Train-Analysis-(2080s-and-2083s)?_g=(refreshInterval:(display:Off,section:0,value:0),time:(from:'2016-09-19 09:57:27-0600',mode:absolute,to:'2016-09-19 12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65" s="113" t="str">
        <f t="shared" si="9"/>
        <v>"C:\Program Files (x86)\AstroGrep\AstroGrep.exe" /spath="%USERPROFILE%\AppData\Local\Temp\OnboardLogs" /stypes="*4040*201609191*" /stext=" 17:.+((SYSTEM_STATE.+slice.+state.+changed )|(ment ac)|(system.+state.+changed )|(\|lc)|(penalty)|(\[timeout)|(PRM\|1\|D)|(kpr)|(kdp))" /e /r /s</v>
      </c>
      <c r="U65" s="9" t="str">
        <f t="shared" si="10"/>
        <v>4040</v>
      </c>
      <c r="V65" s="38">
        <f t="shared" si="11"/>
        <v>42632.734872685185</v>
      </c>
      <c r="W65" s="52" t="str">
        <f t="shared" si="12"/>
        <v>NW</v>
      </c>
      <c r="X65" s="52" t="str">
        <f t="shared" si="13"/>
        <v>KEEP</v>
      </c>
      <c r="Y65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ID","value":"817-19"},{"id":16,"name":"Locomotive ID","value":"4040"},{"id":130,"name":"Impact","value":""},{"id":150,"name":"Time of Event (Mountain Time)","value":"11:38:13"},{"id":151,"name":"Denver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  <c r="AC65" s="175" t="str">
        <f t="shared" si="15"/>
        <v>grep -hSE -A100 "Enforcement Action" "%USERPROFILE%\AppData\Local\Temp\OnboardLogs"\RTDC4040\*4040*201609191* | grep -SE "((Enforcement Ac)|(PRM))" -</v>
      </c>
    </row>
    <row r="66" spans="1:29" x14ac:dyDescent="0.25">
      <c r="A66" s="38">
        <v>42632.718229166669</v>
      </c>
      <c r="B66" s="33" t="s">
        <v>277</v>
      </c>
      <c r="C66" s="33" t="s">
        <v>525</v>
      </c>
      <c r="D66" s="33" t="s">
        <v>49</v>
      </c>
      <c r="E66" s="33" t="s">
        <v>50</v>
      </c>
      <c r="F66" s="49">
        <v>0</v>
      </c>
      <c r="G66" s="49">
        <v>28</v>
      </c>
      <c r="H66" s="49">
        <v>58952</v>
      </c>
      <c r="I66" s="49">
        <v>58975</v>
      </c>
      <c r="J66" s="33" t="s">
        <v>51</v>
      </c>
      <c r="K66" s="49">
        <v>59048</v>
      </c>
      <c r="L66" s="150" t="s">
        <v>52</v>
      </c>
      <c r="M66" s="153">
        <f t="shared" si="8"/>
        <v>38.543999999999997</v>
      </c>
      <c r="N66" s="92" t="str">
        <f>VLOOKUP(C66,'Trips&amp;Operators'!$C$1:$E$99999,3,FALSE)</f>
        <v>COOLAHAN</v>
      </c>
      <c r="O66" s="174" t="s">
        <v>86</v>
      </c>
      <c r="P66" s="10"/>
      <c r="Q66" s="33"/>
      <c r="R66" s="108" t="str">
        <f>VLOOKUP(C66,'Train Runs'!$A$13:$AE$10017,31,0)</f>
        <v>aws s3 cp s3://rtdc.mdm.uploadarchive/RTDC4003/2016-09-19/ "%USERPROFILE%\AppData\Local\Temp\OnboardLogs"\RTDC4003\2016-09-19 --recursive &amp; "%USERPROFILE%\Documents\GitHub\mrs-test-scripts\Headless Mode &amp; Sideloading\WalkAndUnGZ.bat" "%USERPROFILE%\AppData\Local\Temp\OnboardLogs"\RTDC4003\2016-09-19 &amp; aws s3 cp s3://rtdc.mdm.uploadarchive/RTDC4003/2016-09-20/ "%USERPROFILE%\AppData\Local\Temp\OnboardLogs"\RTDC4003\2016-09-20 --recursive &amp; "%USERPROFILE%\Documents\GitHub\mrs-test-scripts\Headless Mode &amp; Sideloading\WalkAndUnGZ.bat" "%USERPROFILE%\AppData\Local\Temp\OnboardLogs"\RTDC4003\2016-09-20</v>
      </c>
      <c r="S66" s="111" t="str">
        <f>VLOOKUP(C66,'Train Runs'!$A$13:$AE$10017,22,0)</f>
        <v>https://search-rtdc-monitor-bjffxe2xuh6vdkpspy63sjmuny.us-east-1.es.amazonaws.com/_plugin/kibana/#/discover/Steve-Slow-Train-Analysis-(2080s-and-2083s)?_g=(refreshInterval:(display:Off,section:0,value:0),time:(from:'2016-09-19 15:43:20-0600',mode:absolute,to:'2016-09-19 18:13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66" s="113" t="str">
        <f t="shared" si="9"/>
        <v>"C:\Program Files (x86)\AstroGrep\AstroGrep.exe" /spath="%USERPROFILE%\AppData\Local\Temp\OnboardLogs" /stypes="*4003*201609192*" /stext=" 23:.+((SYSTEM_STATE.+slice.+state.+changed )|(ment ac)|(system.+state.+changed )|(\|lc)|(penalty)|(\[timeout)|(PRM\|1\|D)|(kpr)|(kdp))" /e /r /s</v>
      </c>
      <c r="U66" s="9" t="str">
        <f t="shared" si="10"/>
        <v>4003</v>
      </c>
      <c r="V66" s="38">
        <f t="shared" si="11"/>
        <v>42632.968229166669</v>
      </c>
      <c r="W66" s="52" t="str">
        <f t="shared" si="12"/>
        <v>NW</v>
      </c>
      <c r="X66" s="52" t="str">
        <f t="shared" si="13"/>
        <v>KEEP</v>
      </c>
      <c r="Y66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ID","value":"831-19"},{"id":16,"name":"Locomotive ID","value":"4003"},{"id":130,"name":"Impact","value":""},{"id":150,"name":"Time of Event (Mountain Time)","value":"17:14:15"},{"id":151,"name":"Denver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5"/>
      <c r="AA66" s="55"/>
      <c r="AB66" s="23"/>
      <c r="AC66" s="175" t="str">
        <f t="shared" si="15"/>
        <v>grep -hSE -A100 "Enforcement Action" "%USERPROFILE%\AppData\Local\Temp\OnboardLogs"\RTDC4003\*4003*201609192* | grep -SE "((Enforcement Ac)|(PRM))" -</v>
      </c>
    </row>
    <row r="67" spans="1:29" x14ac:dyDescent="0.25">
      <c r="A67" s="38">
        <v>42632.899722222224</v>
      </c>
      <c r="B67" s="33" t="s">
        <v>308</v>
      </c>
      <c r="C67" s="33" t="s">
        <v>567</v>
      </c>
      <c r="D67" s="33" t="s">
        <v>49</v>
      </c>
      <c r="E67" s="33" t="s">
        <v>50</v>
      </c>
      <c r="F67" s="49">
        <v>0</v>
      </c>
      <c r="G67" s="49">
        <v>35</v>
      </c>
      <c r="H67" s="49">
        <v>58965</v>
      </c>
      <c r="I67" s="49">
        <v>58995</v>
      </c>
      <c r="J67" s="33" t="s">
        <v>51</v>
      </c>
      <c r="K67" s="49">
        <v>59048</v>
      </c>
      <c r="L67" s="150" t="s">
        <v>52</v>
      </c>
      <c r="M67" s="153">
        <f t="shared" si="8"/>
        <v>27.984000000000002</v>
      </c>
      <c r="N67" s="92" t="str">
        <f>VLOOKUP(C67,'Trips&amp;Operators'!$C$1:$E$99999,3,FALSE)</f>
        <v>COOLAHAN</v>
      </c>
      <c r="O67" s="174" t="s">
        <v>86</v>
      </c>
      <c r="P67" s="10"/>
      <c r="Q67" s="33"/>
      <c r="R67" s="108" t="str">
        <f>VLOOKUP(C67,'Train Runs'!$A$13:$AE$10017,31,0)</f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S67" s="111" t="str">
        <f>VLOOKUP(C67,'Train Runs'!$A$13:$AE$10017,22,0)</f>
        <v>https://search-rtdc-monitor-bjffxe2xuh6vdkpspy63sjmuny.us-east-1.es.amazonaws.com/_plugin/kibana/#/discover/Steve-Slow-Train-Analysis-(2080s-and-2083s)?_g=(refreshInterval:(display:Off,section:0,value:0),time:(from:'2016-09-19 20:11:03-0600',mode:absolute,to:'2016-09-19 22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67" s="113" t="str">
        <f t="shared" si="9"/>
        <v>"C:\Program Files (x86)\AstroGrep\AstroGrep.exe" /spath="%USERPROFILE%\AppData\Local\Temp\OnboardLogs" /stypes="*4040*201609200*" /stext=" 03:.+((SYSTEM_STATE.+slice.+state.+changed )|(ment ac)|(system.+state.+changed )|(\|lc)|(penalty)|(\[timeout)|(PRM\|1\|D)|(kpr)|(kdp))" /e /r /s</v>
      </c>
      <c r="U67" s="9" t="str">
        <f t="shared" si="10"/>
        <v>4040</v>
      </c>
      <c r="V67" s="38">
        <f t="shared" si="11"/>
        <v>42633.149722222224</v>
      </c>
      <c r="W67" s="52" t="str">
        <f t="shared" si="12"/>
        <v>NW</v>
      </c>
      <c r="X67" s="52" t="str">
        <f t="shared" si="13"/>
        <v>KEEP</v>
      </c>
      <c r="Y67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ID","value":"845-19"},{"id":16,"name":"Locomotive ID","value":"4040"},{"id":130,"name":"Impact","value":""},{"id":150,"name":"Time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5"/>
      <c r="AA67" s="55"/>
      <c r="AB67" s="23"/>
      <c r="AC67" s="175" t="str">
        <f t="shared" si="15"/>
        <v>grep -hSE -A100 "Enforcement Action" "%USERPROFILE%\AppData\Local\Temp\OnboardLogs"\RTDC4040\*4040*201609200* | grep -SE "((Enforcement Ac)|(PRM))" -</v>
      </c>
    </row>
    <row r="68" spans="1:29" x14ac:dyDescent="0.25">
      <c r="A68" s="38">
        <v>42632.941400462965</v>
      </c>
      <c r="B68" s="33" t="s">
        <v>308</v>
      </c>
      <c r="C68" s="33" t="s">
        <v>575</v>
      </c>
      <c r="D68" s="33" t="s">
        <v>49</v>
      </c>
      <c r="E68" s="33" t="s">
        <v>50</v>
      </c>
      <c r="F68" s="49">
        <v>0</v>
      </c>
      <c r="G68" s="49">
        <v>86</v>
      </c>
      <c r="H68" s="49">
        <v>58801</v>
      </c>
      <c r="I68" s="49">
        <v>58896</v>
      </c>
      <c r="J68" s="33" t="s">
        <v>51</v>
      </c>
      <c r="K68" s="49">
        <v>59048</v>
      </c>
      <c r="L68" s="150" t="s">
        <v>52</v>
      </c>
      <c r="M68" s="153">
        <f t="shared" si="8"/>
        <v>80.256</v>
      </c>
      <c r="N68" s="92" t="str">
        <f>VLOOKUP(C68,'Trips&amp;Operators'!$C$1:$E$99999,3,FALSE)</f>
        <v>COOLAHAN</v>
      </c>
      <c r="O68" s="174" t="s">
        <v>86</v>
      </c>
      <c r="P68" s="10"/>
      <c r="Q68" s="33"/>
      <c r="R68" s="108" t="str">
        <f>VLOOKUP(C68,'Train Runs'!$A$13:$AE$10017,31,0)</f>
        <v>aws s3 cp s3://rtdc.mdm.uploadarchive/RTDC4040/2016-09-19/ "%USERPROFILE%\AppData\Local\Temp\OnboardLogs"\RTDC4040\2016-09-19 --recursive &amp; "%USERPROFILE%\Documents\GitHub\mrs-test-scripts\Headless Mode &amp; Sideloading\WalkAndUnGZ.bat" "%USERPROFILE%\AppData\Local\Temp\OnboardLogs"\RTDC4040\2016-09-19 &amp; aws s3 cp s3://rtdc.mdm.uploadarchive/RTDC4040/2016-09-20/ "%USERPROFILE%\AppData\Local\Temp\OnboardLogs"\RTDC4040\2016-09-20 --recursive &amp; "%USERPROFILE%\Documents\GitHub\mrs-test-scripts\Headless Mode &amp; Sideloading\WalkAndUnGZ.bat" "%USERPROFILE%\AppData\Local\Temp\OnboardLogs"\RTDC4040\2016-09-20</v>
      </c>
      <c r="S68" s="111" t="str">
        <f>VLOOKUP(C68,'Train Runs'!$A$13:$AE$10017,22,0)</f>
        <v>https://search-rtdc-monitor-bjffxe2xuh6vdkpspy63sjmuny.us-east-1.es.amazonaws.com/_plugin/kibana/#/discover/Steve-Slow-Train-Analysis-(2080s-and-2083s)?_g=(refreshInterval:(display:Off,section:0,value:0),time:(from:'2016-09-19 21:16:42-0600',mode:absolute,to:'2016-09-19 23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68" s="113" t="str">
        <f t="shared" si="9"/>
        <v>"C:\Program Files (x86)\AstroGrep\AstroGrep.exe" /spath="%USERPROFILE%\AppData\Local\Temp\OnboardLogs" /stypes="*4040*201609200*" /stext=" 04:.+((SYSTEM_STATE.+slice.+state.+changed )|(ment ac)|(system.+state.+changed )|(\|lc)|(penalty)|(\[timeout)|(PRM\|1\|D)|(kpr)|(kdp))" /e /r /s</v>
      </c>
      <c r="U68" s="9" t="str">
        <f t="shared" si="10"/>
        <v>4040</v>
      </c>
      <c r="V68" s="38">
        <f t="shared" si="11"/>
        <v>42633.191400462965</v>
      </c>
      <c r="W68" s="52" t="str">
        <f t="shared" si="12"/>
        <v>NW</v>
      </c>
      <c r="X68" s="52" t="str">
        <f t="shared" si="13"/>
        <v>KEEP</v>
      </c>
      <c r="Y68" s="134" t="str">
        <f t="shared" si="14"/>
        <v>echo {"issue":{"subject":"","project_id":79,"tracker_id":40,"status_id":1,"priority_id":2,"assigned_to_id":23,"start_date":"2016-09-19","description":"","custom_fields":[{"id":1,"name":"Subdivision","value":"NW"},{"id":4,"name":"Milepost","value":"5.9048"},{"id":17,"name":"Train ID","value":"847-19"},{"id":16,"name":"Locomotive ID","value":"4040"},{"id":130,"name":"Impact","value":""},{"id":150,"name":"Time of Event (Mountain Time)","value":"22:35:37"},{"id":151,"name":"Denver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55"/>
      <c r="AA68" s="55"/>
      <c r="AB68" s="23"/>
      <c r="AC68" s="175" t="str">
        <f t="shared" si="15"/>
        <v>grep -hSE -A100 "Enforcement Action" "%USERPROFILE%\AppData\Local\Temp\OnboardLogs"\RTDC4040\*4040*201609200* | grep -SE "((Enforcement Ac)|(PRM))" -</v>
      </c>
    </row>
    <row r="69" spans="1:29" x14ac:dyDescent="0.25">
      <c r="A69" s="38">
        <v>42632.644953703704</v>
      </c>
      <c r="B69" s="33" t="s">
        <v>280</v>
      </c>
      <c r="C69" s="33" t="s">
        <v>507</v>
      </c>
      <c r="D69" s="33" t="s">
        <v>105</v>
      </c>
      <c r="E69" s="33" t="s">
        <v>54</v>
      </c>
      <c r="F69" s="49">
        <v>200</v>
      </c>
      <c r="G69" s="49">
        <v>256</v>
      </c>
      <c r="H69" s="49">
        <v>9404</v>
      </c>
      <c r="I69" s="49">
        <v>8758</v>
      </c>
      <c r="J69" s="33" t="s">
        <v>55</v>
      </c>
      <c r="K69" s="49">
        <v>9680</v>
      </c>
      <c r="L69" s="150" t="s">
        <v>53</v>
      </c>
      <c r="M69" s="153">
        <f t="shared" si="8"/>
        <v>-486.81599999999997</v>
      </c>
      <c r="N69" s="92" t="str">
        <f>VLOOKUP(C69,'Trips&amp;Operators'!$C$1:$E$99999,3,FALSE)</f>
        <v>COOLAHAN</v>
      </c>
      <c r="O69" s="174" t="s">
        <v>86</v>
      </c>
      <c r="P69" s="10"/>
      <c r="Q69" s="33"/>
      <c r="R69" s="108" t="str">
        <f>VLOOKUP(C69,'Train Runs'!$A$13:$AE$10017,31,0)</f>
        <v>aws s3 cp s3://rtdc.mdm.uploadarchive/RTDC4004/2016-09-19/ "%USERPROFILE%\AppData\Local\Temp\OnboardLogs"\RTDC4004\2016-09-19 --recursive &amp; "%USERPROFILE%\Documents\GitHub\mrs-test-scripts\Headless Mode &amp; Sideloading\WalkAndUnGZ.bat" "%USERPROFILE%\AppData\Local\Temp\OnboardLogs"\RTDC4004\2016-09-19 &amp; aws s3 cp s3://rtdc.mdm.uploadarchive/RTDC4004/2016-09-20/ "%USERPROFILE%\AppData\Local\Temp\OnboardLogs"\RTDC4004\2016-09-20 --recursive &amp; "%USERPROFILE%\Documents\GitHub\mrs-test-scripts\Headless Mode &amp; Sideloading\WalkAndUnGZ.bat" "%USERPROFILE%\AppData\Local\Temp\OnboardLogs"\RTDC4004\2016-09-20</v>
      </c>
      <c r="S69" s="111" t="str">
        <f>VLOOKUP(C69,'Train Runs'!$A$13:$AE$10017,22,0)</f>
        <v>https://search-rtdc-monitor-bjffxe2xuh6vdkpspy63sjmuny.us-east-1.es.amazonaws.com/_plugin/kibana/#/discover/Steve-Slow-Train-Analysis-(2080s-and-2083s)?_g=(refreshInterval:(display:Off,section:0,value:0),time:(from:'2016-09-19 14:15:58-0600',mode:absolute,to:'2016-09-19 16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69" s="113" t="str">
        <f t="shared" si="9"/>
        <v>"C:\Program Files (x86)\AstroGrep\AstroGrep.exe" /spath="%USERPROFILE%\AppData\Local\Temp\OnboardLogs" /stypes="*4004*201609192*" /stext=" 21:.+((SYSTEM_STATE.+slice.+state.+changed )|(ment ac)|(system.+state.+changed )|(\|lc)|(penalty)|(\[timeout)|(PRM\|1\|D)|(kpr)|(kdp))" /e /r /s</v>
      </c>
      <c r="U69" s="9" t="str">
        <f t="shared" si="10"/>
        <v>4004</v>
      </c>
      <c r="V69" s="38">
        <f t="shared" si="11"/>
        <v>42632.894953703704</v>
      </c>
      <c r="W69" s="52" t="str">
        <f t="shared" si="12"/>
        <v>Other</v>
      </c>
      <c r="X69" s="52" t="str">
        <f t="shared" si="13"/>
        <v>KEEP</v>
      </c>
      <c r="Y69" s="134" t="str">
        <f t="shared" si="14"/>
        <v>echo {"issue":{"subject":"","project_id":79,"tracker_id":40,"status_id":1,"priority_id":2,"assigned_to_id":23,"start_date":"2016-09-19","description":"","custom_fields":[{"id":1,"name":"Subdivision","value":"Other"},{"id":4,"name":"Milepost","value":"0.968"},{"id":17,"name":"Train ID","value":"904-19"},{"id":16,"name":"Locomotive ID","value":"4004"},{"id":130,"name":"Impact","value":""},{"id":150,"name":"Time of Event (Mountain Time)","value":"15:28:44"},{"id":151,"name":"Denver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55"/>
      <c r="AA69" s="55"/>
      <c r="AB69" s="23"/>
      <c r="AC69" s="175" t="str">
        <f t="shared" si="15"/>
        <v>grep -hSE -A100 "Enforcement Action" "%USERPROFILE%\AppData\Local\Temp\OnboardLogs"\RTDC4004\*4004*201609192* | grep -SE "((Enforcement Ac)|(PRM))" -</v>
      </c>
    </row>
    <row r="70" spans="1:29" x14ac:dyDescent="0.25">
      <c r="A70" s="38">
        <v>42632.589421296296</v>
      </c>
      <c r="B70" s="33" t="s">
        <v>310</v>
      </c>
      <c r="C70" s="33" t="s">
        <v>492</v>
      </c>
      <c r="D70" s="33" t="s">
        <v>49</v>
      </c>
      <c r="E70" s="33" t="s">
        <v>54</v>
      </c>
      <c r="F70" s="49">
        <v>0</v>
      </c>
      <c r="G70" s="49">
        <v>68</v>
      </c>
      <c r="H70" s="49">
        <v>24508</v>
      </c>
      <c r="I70" s="49">
        <v>24409</v>
      </c>
      <c r="J70" s="33" t="s">
        <v>55</v>
      </c>
      <c r="K70" s="49">
        <v>24235</v>
      </c>
      <c r="L70" s="150" t="s">
        <v>53</v>
      </c>
      <c r="M70" s="153">
        <f t="shared" si="8"/>
        <v>91.872</v>
      </c>
      <c r="N70" s="92" t="str">
        <f>VLOOKUP(C70,'Trips&amp;Operators'!$C$1:$E$99999,3,FALSE)</f>
        <v>ARNOLD</v>
      </c>
      <c r="O70" s="174" t="s">
        <v>86</v>
      </c>
      <c r="P70" s="10"/>
      <c r="Q70" s="33"/>
      <c r="R70" s="108" t="str">
        <f>VLOOKUP(C70,'Train Runs'!$A$13:$AE$10017,31,0)</f>
        <v>aws s3 cp s3://rtdc.mdm.uploadarchive/RTDC4028/2016-09-19/ "%USERPROFILE%\AppData\Local\Temp\OnboardLogs"\RTDC4028\2016-09-19 --recursive &amp; "%USERPROFILE%\Documents\GitHub\mrs-test-scripts\Headless Mode &amp; Sideloading\WalkAndUnGZ.bat" "%USERPROFILE%\AppData\Local\Temp\OnboardLogs"\RTDC4028\2016-09-19 &amp; aws s3 cp s3://rtdc.mdm.uploadarchive/RTDC4028/2016-09-20/ "%USERPROFILE%\AppData\Local\Temp\OnboardLogs"\RTDC4028\2016-09-20 --recursive &amp; "%USERPROFILE%\Documents\GitHub\mrs-test-scripts\Headless Mode &amp; Sideloading\WalkAndUnGZ.bat" "%USERPROFILE%\AppData\Local\Temp\OnboardLogs"\RTDC4028\2016-09-20</v>
      </c>
      <c r="S70" s="111" t="str">
        <f>VLOOKUP(C70,'Train Runs'!$A$13:$AE$10017,22,0)</f>
        <v>https://search-rtdc-monitor-bjffxe2xuh6vdkpspy63sjmuny.us-east-1.es.amazonaws.com/_plugin/kibana/#/discover/Steve-Slow-Train-Analysis-(2080s-and-2083s)?_g=(refreshInterval:(display:Off,section:0,value:0),time:(from:'2016-09-19 13:12:10-0600',mode:absolute,to:'2016-09-19 15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70" s="113" t="str">
        <f t="shared" si="9"/>
        <v>"C:\Program Files (x86)\AstroGrep\AstroGrep.exe" /spath="%USERPROFILE%\AppData\Local\Temp\OnboardLogs" /stypes="*4028*201609192*" /stext=" 20:.+((SYSTEM_STATE.+slice.+state.+changed )|(ment ac)|(system.+state.+changed )|(\|lc)|(penalty)|(\[timeout)|(PRM\|1\|D)|(kpr)|(kdp))" /e /r /s</v>
      </c>
      <c r="U70" s="9" t="str">
        <f t="shared" si="10"/>
        <v>4028</v>
      </c>
      <c r="V70" s="38">
        <f t="shared" si="11"/>
        <v>42632.839421296296</v>
      </c>
      <c r="W70" s="52" t="str">
        <f t="shared" si="12"/>
        <v>Other</v>
      </c>
      <c r="X70" s="52" t="str">
        <f t="shared" si="13"/>
        <v>KEEP</v>
      </c>
      <c r="Y70" s="134" t="str">
        <f t="shared" si="14"/>
        <v>echo {"issue":{"subject":"","project_id":79,"tracker_id":40,"status_id":1,"priority_id":2,"assigned_to_id":23,"start_date":"2016-09-19","description":"","custom_fields":[{"id":1,"name":"Subdivision","value":"Other"},{"id":4,"name":"Milepost","value":"2.4235"},{"id":17,"name":"Train ID","value":"52-19"},{"id":16,"name":"Locomotive ID","value":"4028"},{"id":130,"name":"Impact","value":""},{"id":150,"name":"Time of Event (Mountain Time)","value":"14:08:46"},{"id":151,"name":"Denver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0" s="55"/>
      <c r="AA70" s="55"/>
      <c r="AB70" s="23"/>
      <c r="AC70" s="175" t="str">
        <f t="shared" si="15"/>
        <v>grep -hSE -A100 "Enforcement Action" "%USERPROFILE%\AppData\Local\Temp\OnboardLogs"\RTDC4028\*4028*201609192* | grep -SE "((Enforcement Ac)|(PRM))" -</v>
      </c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9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4" priority="15" operator="equal">
      <formula>"Y"</formula>
    </cfRule>
  </conditionalFormatting>
  <conditionalFormatting sqref="A7:P28 A30:P75 A29:O29">
    <cfRule type="expression" dxfId="3" priority="8">
      <formula>$O7="Y"</formula>
    </cfRule>
  </conditionalFormatting>
  <conditionalFormatting sqref="O2:O3">
    <cfRule type="cellIs" dxfId="2" priority="6" operator="equal">
      <formula>"Y"</formula>
    </cfRule>
  </conditionalFormatting>
  <conditionalFormatting sqref="P29">
    <cfRule type="expression" dxfId="1" priority="1">
      <formula>$O29="Y"</formula>
    </cfRule>
  </conditionalFormatting>
  <hyperlinks>
    <hyperlink ref="Z4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1" t="str">
        <f>"Trips that did not appear in PTC Data "&amp;TEXT(Variables!$A$2,"YYYY-mm-dd")</f>
        <v>Trips that did not appear in PTC Data 2016-09-19</v>
      </c>
      <c r="C1" s="181"/>
      <c r="D1" s="181"/>
      <c r="E1" s="181"/>
      <c r="F1" s="181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-19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-19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-19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-19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-19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-19%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364</v>
      </c>
      <c r="B1" s="23" t="s">
        <v>365</v>
      </c>
      <c r="C1" s="23" t="s">
        <v>0</v>
      </c>
      <c r="D1" s="23" t="s">
        <v>366</v>
      </c>
      <c r="E1" s="23" t="s">
        <v>367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42632.045706018522</v>
      </c>
      <c r="B2" s="23" t="s">
        <v>313</v>
      </c>
      <c r="C2" s="23" t="s">
        <v>333</v>
      </c>
      <c r="D2" s="23">
        <v>1290000</v>
      </c>
      <c r="E2" s="23" t="s">
        <v>173</v>
      </c>
      <c r="F2" s="23" t="str">
        <f t="shared" ref="F2:F65" si="0">B2</f>
        <v>rtdc.l.rtdc.4027:itc</v>
      </c>
      <c r="G2" s="8">
        <f t="shared" ref="G2:G65" si="1">A2</f>
        <v>42632.045706018522</v>
      </c>
    </row>
    <row r="3" spans="1:7" x14ac:dyDescent="0.25">
      <c r="A3" s="8">
        <v>42632.046944444446</v>
      </c>
      <c r="B3" s="23" t="s">
        <v>313</v>
      </c>
      <c r="C3" s="23" t="s">
        <v>333</v>
      </c>
      <c r="D3" s="23">
        <v>1290000</v>
      </c>
      <c r="E3" s="23" t="s">
        <v>173</v>
      </c>
      <c r="F3" s="23" t="str">
        <f t="shared" si="0"/>
        <v>rtdc.l.rtdc.4027:itc</v>
      </c>
      <c r="G3" s="8">
        <f t="shared" si="1"/>
        <v>42632.046944444446</v>
      </c>
    </row>
    <row r="4" spans="1:7" x14ac:dyDescent="0.25">
      <c r="A4" s="8">
        <v>42632.058819444443</v>
      </c>
      <c r="B4" s="23" t="s">
        <v>177</v>
      </c>
      <c r="C4" s="23" t="s">
        <v>334</v>
      </c>
      <c r="D4" s="23">
        <v>1800000</v>
      </c>
      <c r="E4" s="23" t="s">
        <v>284</v>
      </c>
      <c r="F4" s="23" t="str">
        <f t="shared" si="0"/>
        <v>rtdc.l.rtdc.4010:itc</v>
      </c>
      <c r="G4" s="8">
        <f t="shared" si="1"/>
        <v>42632.058819444443</v>
      </c>
    </row>
    <row r="5" spans="1:7" x14ac:dyDescent="0.25">
      <c r="A5" s="8">
        <v>42632.068738425929</v>
      </c>
      <c r="B5" s="23" t="s">
        <v>229</v>
      </c>
      <c r="C5" s="23" t="s">
        <v>335</v>
      </c>
      <c r="D5" s="23">
        <v>1810000</v>
      </c>
      <c r="E5" s="23" t="s">
        <v>275</v>
      </c>
      <c r="F5" s="23" t="str">
        <f t="shared" si="0"/>
        <v>rtdc.l.rtdc.4016:itc</v>
      </c>
      <c r="G5" s="8">
        <f t="shared" si="1"/>
        <v>42632.068738425929</v>
      </c>
    </row>
    <row r="6" spans="1:7" x14ac:dyDescent="0.25">
      <c r="A6" s="8">
        <v>42632.08971064815</v>
      </c>
      <c r="B6" s="23" t="s">
        <v>128</v>
      </c>
      <c r="C6" s="23" t="s">
        <v>336</v>
      </c>
      <c r="D6" s="23">
        <v>1800000</v>
      </c>
      <c r="E6" s="23" t="s">
        <v>284</v>
      </c>
      <c r="F6" s="23" t="str">
        <f t="shared" si="0"/>
        <v>rtdc.l.rtdc.4009:itc</v>
      </c>
      <c r="G6" s="8">
        <f t="shared" si="1"/>
        <v>42632.08971064815</v>
      </c>
    </row>
    <row r="7" spans="1:7" x14ac:dyDescent="0.25">
      <c r="A7" s="8">
        <v>42632.090763888889</v>
      </c>
      <c r="B7" s="23" t="s">
        <v>128</v>
      </c>
      <c r="C7" s="23" t="s">
        <v>336</v>
      </c>
      <c r="D7" s="23">
        <v>1800000</v>
      </c>
      <c r="E7" s="23" t="s">
        <v>284</v>
      </c>
      <c r="F7" s="23" t="str">
        <f t="shared" si="0"/>
        <v>rtdc.l.rtdc.4009:itc</v>
      </c>
      <c r="G7" s="8">
        <f t="shared" si="1"/>
        <v>42632.090763888889</v>
      </c>
    </row>
    <row r="8" spans="1:7" x14ac:dyDescent="0.25">
      <c r="A8" s="8">
        <v>42632.125335648147</v>
      </c>
      <c r="B8" s="23" t="s">
        <v>368</v>
      </c>
      <c r="C8" s="23" t="s">
        <v>369</v>
      </c>
      <c r="D8" s="23">
        <v>2030000</v>
      </c>
      <c r="E8" s="23" t="s">
        <v>309</v>
      </c>
      <c r="F8" s="23" t="str">
        <f t="shared" si="0"/>
        <v>rtdc.l.rtdc.4031:itc</v>
      </c>
      <c r="G8" s="8">
        <f t="shared" si="1"/>
        <v>42632.125335648147</v>
      </c>
    </row>
    <row r="9" spans="1:7" ht="15.75" thickBot="1" x14ac:dyDescent="0.3">
      <c r="A9" s="27">
        <v>42632.156238425923</v>
      </c>
      <c r="B9" s="23" t="s">
        <v>370</v>
      </c>
      <c r="C9" s="23" t="s">
        <v>371</v>
      </c>
      <c r="D9" s="23">
        <v>1260000</v>
      </c>
      <c r="E9" s="23" t="s">
        <v>372</v>
      </c>
      <c r="F9" s="23" t="str">
        <f t="shared" si="0"/>
        <v>rtdc.l.rtdc.4007:itc</v>
      </c>
      <c r="G9" s="8">
        <f t="shared" si="1"/>
        <v>42632.156238425923</v>
      </c>
    </row>
    <row r="10" spans="1:7" x14ac:dyDescent="0.25">
      <c r="A10" s="8">
        <v>42632.172395833331</v>
      </c>
      <c r="B10" s="23" t="s">
        <v>373</v>
      </c>
      <c r="C10" s="23" t="s">
        <v>374</v>
      </c>
      <c r="D10" s="23">
        <v>1190000</v>
      </c>
      <c r="E10" s="23" t="s">
        <v>375</v>
      </c>
      <c r="F10" s="23" t="str">
        <f t="shared" si="0"/>
        <v>rtdc.l.rtdc.4053:itc</v>
      </c>
      <c r="G10" s="8">
        <f t="shared" si="1"/>
        <v>42632.172395833331</v>
      </c>
    </row>
    <row r="11" spans="1:7" x14ac:dyDescent="0.25">
      <c r="A11" s="8">
        <v>42632.173402777778</v>
      </c>
      <c r="B11" s="23" t="s">
        <v>373</v>
      </c>
      <c r="C11" s="23" t="s">
        <v>374</v>
      </c>
      <c r="D11" s="23">
        <v>1190000</v>
      </c>
      <c r="E11" s="23" t="s">
        <v>375</v>
      </c>
      <c r="F11" s="23" t="str">
        <f t="shared" si="0"/>
        <v>rtdc.l.rtdc.4053:itc</v>
      </c>
      <c r="G11" s="8">
        <f t="shared" si="1"/>
        <v>42632.173402777778</v>
      </c>
    </row>
    <row r="12" spans="1:7" x14ac:dyDescent="0.25">
      <c r="A12" s="8">
        <v>42632.174884259257</v>
      </c>
      <c r="B12" s="23" t="s">
        <v>314</v>
      </c>
      <c r="C12" s="23" t="s">
        <v>376</v>
      </c>
      <c r="D12" s="23">
        <v>2030000</v>
      </c>
      <c r="E12" s="23" t="s">
        <v>309</v>
      </c>
      <c r="F12" s="23" t="str">
        <f t="shared" si="0"/>
        <v>rtdc.l.rtdc.4012:itc</v>
      </c>
      <c r="G12" s="8">
        <f t="shared" si="1"/>
        <v>42632.174884259257</v>
      </c>
    </row>
    <row r="13" spans="1:7" x14ac:dyDescent="0.25">
      <c r="A13" s="8">
        <v>42632.185324074075</v>
      </c>
      <c r="B13" s="23" t="s">
        <v>377</v>
      </c>
      <c r="C13" s="23" t="s">
        <v>378</v>
      </c>
      <c r="D13" s="23">
        <v>1090000</v>
      </c>
      <c r="E13" s="23" t="s">
        <v>379</v>
      </c>
      <c r="F13" s="23" t="str">
        <f t="shared" si="0"/>
        <v>rtdc.l.rtdc.4002:itc</v>
      </c>
      <c r="G13" s="8">
        <f t="shared" si="1"/>
        <v>42632.185324074075</v>
      </c>
    </row>
    <row r="14" spans="1:7" x14ac:dyDescent="0.25">
      <c r="A14" s="8">
        <v>42632.1952662037</v>
      </c>
      <c r="B14" s="23" t="s">
        <v>181</v>
      </c>
      <c r="C14" s="23" t="s">
        <v>380</v>
      </c>
      <c r="D14" s="23">
        <v>1240000</v>
      </c>
      <c r="E14" s="23" t="s">
        <v>381</v>
      </c>
      <c r="F14" s="23" t="str">
        <f t="shared" si="0"/>
        <v>rtdc.l.rtdc.4046:itc</v>
      </c>
      <c r="G14" s="8">
        <f t="shared" si="1"/>
        <v>42632.1952662037</v>
      </c>
    </row>
    <row r="15" spans="1:7" x14ac:dyDescent="0.25">
      <c r="A15" s="8">
        <v>42632.195659722223</v>
      </c>
      <c r="B15" s="23" t="s">
        <v>172</v>
      </c>
      <c r="C15" s="23" t="s">
        <v>382</v>
      </c>
      <c r="D15" s="23">
        <v>1260000</v>
      </c>
      <c r="E15" s="23" t="s">
        <v>372</v>
      </c>
      <c r="F15" s="23" t="str">
        <f t="shared" si="0"/>
        <v>rtdc.l.rtdc.4026:itc</v>
      </c>
      <c r="G15" s="8">
        <f t="shared" si="1"/>
        <v>42632.195659722223</v>
      </c>
    </row>
    <row r="16" spans="1:7" x14ac:dyDescent="0.25">
      <c r="A16" s="8">
        <v>42632.207349537035</v>
      </c>
      <c r="B16" s="23" t="s">
        <v>368</v>
      </c>
      <c r="C16" s="23" t="s">
        <v>383</v>
      </c>
      <c r="D16" s="23">
        <v>1110000</v>
      </c>
      <c r="E16" s="23" t="s">
        <v>331</v>
      </c>
      <c r="F16" s="23" t="str">
        <f t="shared" si="0"/>
        <v>rtdc.l.rtdc.4031:itc</v>
      </c>
      <c r="G16" s="8">
        <f t="shared" si="1"/>
        <v>42632.207349537035</v>
      </c>
    </row>
    <row r="17" spans="1:7" x14ac:dyDescent="0.25">
      <c r="A17" s="8">
        <v>42632.207939814813</v>
      </c>
      <c r="B17" s="23" t="s">
        <v>176</v>
      </c>
      <c r="C17" s="23" t="s">
        <v>384</v>
      </c>
      <c r="D17" s="23">
        <v>1190000</v>
      </c>
      <c r="E17" s="23" t="s">
        <v>375</v>
      </c>
      <c r="F17" s="23" t="str">
        <f t="shared" si="0"/>
        <v>rtdc.l.rtdc.4041:itc</v>
      </c>
      <c r="G17" s="8">
        <f t="shared" si="1"/>
        <v>42632.207939814813</v>
      </c>
    </row>
    <row r="18" spans="1:7" x14ac:dyDescent="0.25">
      <c r="A18" s="8">
        <v>42632.20820601852</v>
      </c>
      <c r="B18" s="23" t="s">
        <v>307</v>
      </c>
      <c r="C18" s="23" t="s">
        <v>376</v>
      </c>
      <c r="D18" s="23">
        <v>2030000</v>
      </c>
      <c r="E18" s="23" t="s">
        <v>309</v>
      </c>
      <c r="F18" s="23" t="str">
        <f t="shared" si="0"/>
        <v>rtdc.l.rtdc.4011:itc</v>
      </c>
      <c r="G18" s="8">
        <f t="shared" si="1"/>
        <v>42632.20820601852</v>
      </c>
    </row>
    <row r="19" spans="1:7" x14ac:dyDescent="0.25">
      <c r="A19" s="8">
        <v>42632.208935185183</v>
      </c>
      <c r="B19" s="23" t="s">
        <v>307</v>
      </c>
      <c r="C19" s="23" t="s">
        <v>385</v>
      </c>
      <c r="D19" s="23">
        <v>2030000</v>
      </c>
      <c r="E19" s="23" t="s">
        <v>309</v>
      </c>
      <c r="F19" s="23" t="str">
        <f t="shared" si="0"/>
        <v>rtdc.l.rtdc.4011:itc</v>
      </c>
      <c r="G19" s="8">
        <f t="shared" si="1"/>
        <v>42632.208935185183</v>
      </c>
    </row>
    <row r="20" spans="1:7" x14ac:dyDescent="0.25">
      <c r="A20" s="8">
        <v>42632.213287037041</v>
      </c>
      <c r="B20" s="23" t="s">
        <v>280</v>
      </c>
      <c r="C20" s="23" t="s">
        <v>386</v>
      </c>
      <c r="D20" s="23">
        <v>1990000</v>
      </c>
      <c r="E20" s="23" t="s">
        <v>279</v>
      </c>
      <c r="F20" s="23" t="str">
        <f t="shared" si="0"/>
        <v>rtdc.l.rtdc.4004:itc</v>
      </c>
      <c r="G20" s="8">
        <f t="shared" si="1"/>
        <v>42632.213287037041</v>
      </c>
    </row>
    <row r="21" spans="1:7" x14ac:dyDescent="0.25">
      <c r="A21" s="8">
        <v>42632.220231481479</v>
      </c>
      <c r="B21" s="23" t="s">
        <v>387</v>
      </c>
      <c r="C21" s="23" t="s">
        <v>388</v>
      </c>
      <c r="D21" s="23">
        <v>1090000</v>
      </c>
      <c r="E21" s="23" t="s">
        <v>379</v>
      </c>
      <c r="F21" s="23" t="str">
        <f t="shared" si="0"/>
        <v>rtdc.l.rtdc.4001:itc</v>
      </c>
      <c r="G21" s="8">
        <f t="shared" si="1"/>
        <v>42632.220231481479</v>
      </c>
    </row>
    <row r="22" spans="1:7" x14ac:dyDescent="0.25">
      <c r="A22" s="29">
        <v>42632.225381944445</v>
      </c>
      <c r="B22" s="23" t="s">
        <v>273</v>
      </c>
      <c r="C22" s="23" t="s">
        <v>389</v>
      </c>
      <c r="D22" s="23">
        <v>1240000</v>
      </c>
      <c r="E22" s="23" t="s">
        <v>381</v>
      </c>
      <c r="F22" s="23" t="str">
        <f t="shared" si="0"/>
        <v>rtdc.l.rtdc.4045:itc</v>
      </c>
      <c r="G22" s="8">
        <f t="shared" si="1"/>
        <v>42632.225381944445</v>
      </c>
    </row>
    <row r="23" spans="1:7" x14ac:dyDescent="0.25">
      <c r="A23" s="8">
        <v>42632.227534722224</v>
      </c>
      <c r="B23" s="23" t="s">
        <v>370</v>
      </c>
      <c r="C23" s="23" t="s">
        <v>390</v>
      </c>
      <c r="D23" s="23">
        <v>1310000</v>
      </c>
      <c r="E23" s="23" t="s">
        <v>274</v>
      </c>
      <c r="F23" s="23" t="str">
        <f t="shared" si="0"/>
        <v>rtdc.l.rtdc.4007:itc</v>
      </c>
      <c r="G23" s="8">
        <f t="shared" si="1"/>
        <v>42632.227534722224</v>
      </c>
    </row>
    <row r="24" spans="1:7" x14ac:dyDescent="0.25">
      <c r="A24" s="8">
        <v>42632.231770833336</v>
      </c>
      <c r="B24" s="23" t="s">
        <v>370</v>
      </c>
      <c r="C24" s="23" t="s">
        <v>390</v>
      </c>
      <c r="D24" s="23">
        <v>1310000</v>
      </c>
      <c r="E24" s="23" t="s">
        <v>274</v>
      </c>
      <c r="F24" s="23" t="str">
        <f t="shared" si="0"/>
        <v>rtdc.l.rtdc.4007:itc</v>
      </c>
      <c r="G24" s="8">
        <f t="shared" si="1"/>
        <v>42632.231770833336</v>
      </c>
    </row>
    <row r="25" spans="1:7" x14ac:dyDescent="0.25">
      <c r="A25" s="8">
        <v>42632.23510416667</v>
      </c>
      <c r="B25" s="23" t="s">
        <v>171</v>
      </c>
      <c r="C25" s="23" t="s">
        <v>391</v>
      </c>
      <c r="D25" s="23">
        <v>1260000</v>
      </c>
      <c r="E25" s="23" t="s">
        <v>372</v>
      </c>
      <c r="F25" s="23" t="str">
        <f t="shared" si="0"/>
        <v>rtdc.l.rtdc.4025:itc</v>
      </c>
      <c r="G25" s="8">
        <f t="shared" si="1"/>
        <v>42632.23510416667</v>
      </c>
    </row>
    <row r="26" spans="1:7" x14ac:dyDescent="0.25">
      <c r="A26" s="8">
        <v>42632.238796296297</v>
      </c>
      <c r="B26" s="23" t="s">
        <v>277</v>
      </c>
      <c r="C26" s="23" t="s">
        <v>392</v>
      </c>
      <c r="D26" s="23">
        <v>1990000</v>
      </c>
      <c r="E26" s="23" t="s">
        <v>279</v>
      </c>
      <c r="F26" s="23" t="str">
        <f t="shared" si="0"/>
        <v>rtdc.l.rtdc.4003:itc</v>
      </c>
      <c r="G26" s="8">
        <f t="shared" si="1"/>
        <v>42632.238796296297</v>
      </c>
    </row>
    <row r="27" spans="1:7" x14ac:dyDescent="0.25">
      <c r="A27" s="8">
        <v>42632.245150462964</v>
      </c>
      <c r="B27" s="23" t="s">
        <v>393</v>
      </c>
      <c r="C27" s="23" t="s">
        <v>394</v>
      </c>
      <c r="D27" s="23">
        <v>1110000</v>
      </c>
      <c r="E27" s="23" t="s">
        <v>331</v>
      </c>
      <c r="F27" s="23" t="str">
        <f t="shared" si="0"/>
        <v>rtdc.l.rtdc.4032:itc</v>
      </c>
      <c r="G27" s="8">
        <f t="shared" si="1"/>
        <v>42632.245150462964</v>
      </c>
    </row>
    <row r="28" spans="1:7" x14ac:dyDescent="0.25">
      <c r="A28" s="8">
        <v>42632.24962962963</v>
      </c>
      <c r="B28" s="23" t="s">
        <v>308</v>
      </c>
      <c r="C28" s="23" t="s">
        <v>395</v>
      </c>
      <c r="D28" s="23">
        <v>2140000</v>
      </c>
      <c r="E28" s="23" t="s">
        <v>396</v>
      </c>
      <c r="F28" s="23" t="str">
        <f t="shared" si="0"/>
        <v>rtdc.l.rtdc.4040:itc</v>
      </c>
      <c r="G28" s="8">
        <f t="shared" si="1"/>
        <v>42632.24962962963</v>
      </c>
    </row>
    <row r="29" spans="1:7" x14ac:dyDescent="0.25">
      <c r="A29" s="8">
        <v>42632.251550925925</v>
      </c>
      <c r="B29" s="23" t="s">
        <v>314</v>
      </c>
      <c r="C29" s="23" t="s">
        <v>397</v>
      </c>
      <c r="D29" s="23">
        <v>2030000</v>
      </c>
      <c r="E29" s="23" t="s">
        <v>309</v>
      </c>
      <c r="F29" s="23" t="str">
        <f t="shared" si="0"/>
        <v>rtdc.l.rtdc.4012:itc</v>
      </c>
      <c r="G29" s="8">
        <f t="shared" si="1"/>
        <v>42632.251550925925</v>
      </c>
    </row>
    <row r="30" spans="1:7" x14ac:dyDescent="0.25">
      <c r="A30" s="8">
        <v>42632.252083333333</v>
      </c>
      <c r="B30" s="23" t="s">
        <v>373</v>
      </c>
      <c r="C30" s="23" t="s">
        <v>398</v>
      </c>
      <c r="D30" s="23">
        <v>1190000</v>
      </c>
      <c r="E30" s="23" t="s">
        <v>375</v>
      </c>
      <c r="F30" s="23" t="str">
        <f t="shared" si="0"/>
        <v>rtdc.l.rtdc.4053:itc</v>
      </c>
      <c r="G30" s="8">
        <f t="shared" si="1"/>
        <v>42632.252083333333</v>
      </c>
    </row>
    <row r="31" spans="1:7" x14ac:dyDescent="0.25">
      <c r="A31" s="8">
        <v>42632.25309027778</v>
      </c>
      <c r="B31" s="23" t="s">
        <v>373</v>
      </c>
      <c r="C31" s="23" t="s">
        <v>398</v>
      </c>
      <c r="D31" s="23">
        <v>1190000</v>
      </c>
      <c r="E31" s="23" t="s">
        <v>375</v>
      </c>
      <c r="F31" s="23" t="str">
        <f t="shared" si="0"/>
        <v>rtdc.l.rtdc.4053:itc</v>
      </c>
      <c r="G31" s="8">
        <f t="shared" si="1"/>
        <v>42632.25309027778</v>
      </c>
    </row>
    <row r="32" spans="1:7" x14ac:dyDescent="0.25">
      <c r="A32" s="8">
        <v>42632.256562499999</v>
      </c>
      <c r="B32" s="23" t="s">
        <v>280</v>
      </c>
      <c r="C32" s="23" t="s">
        <v>399</v>
      </c>
      <c r="D32" s="23">
        <v>1990000</v>
      </c>
      <c r="E32" s="23" t="s">
        <v>279</v>
      </c>
      <c r="F32" s="23" t="str">
        <f t="shared" si="0"/>
        <v>rtdc.l.rtdc.4004:itc</v>
      </c>
      <c r="G32" s="8">
        <f t="shared" si="1"/>
        <v>42632.256562499999</v>
      </c>
    </row>
    <row r="33" spans="1:7" x14ac:dyDescent="0.25">
      <c r="A33" s="8">
        <v>42632.258657407408</v>
      </c>
      <c r="B33" s="23" t="s">
        <v>377</v>
      </c>
      <c r="C33" s="23" t="s">
        <v>400</v>
      </c>
      <c r="D33" s="23">
        <v>1090000</v>
      </c>
      <c r="E33" s="23" t="s">
        <v>379</v>
      </c>
      <c r="F33" s="23" t="str">
        <f t="shared" si="0"/>
        <v>rtdc.l.rtdc.4002:itc</v>
      </c>
      <c r="G33" s="8">
        <f t="shared" si="1"/>
        <v>42632.258657407408</v>
      </c>
    </row>
    <row r="34" spans="1:7" x14ac:dyDescent="0.25">
      <c r="A34" s="8">
        <v>42632.266388888886</v>
      </c>
      <c r="B34" s="23" t="s">
        <v>181</v>
      </c>
      <c r="C34" s="23" t="s">
        <v>401</v>
      </c>
      <c r="D34" s="23">
        <v>1830000</v>
      </c>
      <c r="E34" s="23" t="s">
        <v>312</v>
      </c>
      <c r="F34" s="23" t="str">
        <f t="shared" si="0"/>
        <v>rtdc.l.rtdc.4046:itc</v>
      </c>
      <c r="G34" s="8">
        <f t="shared" si="1"/>
        <v>42632.266388888886</v>
      </c>
    </row>
    <row r="35" spans="1:7" x14ac:dyDescent="0.25">
      <c r="A35" s="8">
        <v>42632.266400462962</v>
      </c>
      <c r="B35" s="23" t="s">
        <v>402</v>
      </c>
      <c r="C35" s="23" t="s">
        <v>403</v>
      </c>
      <c r="D35" s="23">
        <v>1310000</v>
      </c>
      <c r="E35" s="23" t="s">
        <v>274</v>
      </c>
      <c r="F35" s="23" t="str">
        <f t="shared" si="0"/>
        <v>rtdc.l.rtdc.4008:itc</v>
      </c>
      <c r="G35" s="8">
        <f t="shared" si="1"/>
        <v>42632.266400462962</v>
      </c>
    </row>
    <row r="36" spans="1:7" x14ac:dyDescent="0.25">
      <c r="A36" s="8">
        <v>42632.272476851853</v>
      </c>
      <c r="B36" s="23" t="s">
        <v>172</v>
      </c>
      <c r="C36" s="23" t="s">
        <v>404</v>
      </c>
      <c r="D36" s="23">
        <v>1260000</v>
      </c>
      <c r="E36" s="23" t="s">
        <v>372</v>
      </c>
      <c r="F36" s="23" t="str">
        <f t="shared" si="0"/>
        <v>rtdc.l.rtdc.4026:itc</v>
      </c>
      <c r="G36" s="8">
        <f t="shared" si="1"/>
        <v>42632.272476851853</v>
      </c>
    </row>
    <row r="37" spans="1:7" x14ac:dyDescent="0.25">
      <c r="A37" s="8">
        <v>42632.276597222219</v>
      </c>
      <c r="B37" s="23" t="s">
        <v>311</v>
      </c>
      <c r="C37" s="23" t="s">
        <v>405</v>
      </c>
      <c r="D37" s="23">
        <v>2140000</v>
      </c>
      <c r="E37" s="23" t="s">
        <v>396</v>
      </c>
      <c r="F37" s="23" t="str">
        <f t="shared" si="0"/>
        <v>rtdc.l.rtdc.4039:itc</v>
      </c>
      <c r="G37" s="8">
        <f t="shared" si="1"/>
        <v>42632.276597222219</v>
      </c>
    </row>
    <row r="38" spans="1:7" x14ac:dyDescent="0.25">
      <c r="A38" s="8">
        <v>42632.279039351852</v>
      </c>
      <c r="B38" s="23" t="s">
        <v>368</v>
      </c>
      <c r="C38" s="23" t="s">
        <v>406</v>
      </c>
      <c r="D38" s="23">
        <v>1110000</v>
      </c>
      <c r="E38" s="23" t="s">
        <v>331</v>
      </c>
      <c r="F38" s="23" t="str">
        <f t="shared" si="0"/>
        <v>rtdc.l.rtdc.4031:itc</v>
      </c>
      <c r="G38" s="8">
        <f t="shared" si="1"/>
        <v>42632.279039351852</v>
      </c>
    </row>
    <row r="39" spans="1:7" x14ac:dyDescent="0.25">
      <c r="A39" s="8">
        <v>42632.285717592589</v>
      </c>
      <c r="B39" s="23" t="s">
        <v>407</v>
      </c>
      <c r="C39" s="23" t="s">
        <v>408</v>
      </c>
      <c r="D39" s="23">
        <v>1190000</v>
      </c>
      <c r="E39" s="23" t="s">
        <v>375</v>
      </c>
      <c r="F39" s="23" t="str">
        <f t="shared" si="0"/>
        <v>rtdc.l.rtdc.4054:itc</v>
      </c>
      <c r="G39" s="8">
        <f t="shared" si="1"/>
        <v>42632.285717592589</v>
      </c>
    </row>
    <row r="40" spans="1:7" x14ac:dyDescent="0.25">
      <c r="A40" s="8">
        <v>42632.285844907405</v>
      </c>
      <c r="B40" s="28" t="s">
        <v>277</v>
      </c>
      <c r="C40" s="23" t="s">
        <v>409</v>
      </c>
      <c r="D40" s="23">
        <v>1990000</v>
      </c>
      <c r="E40" s="23" t="s">
        <v>279</v>
      </c>
      <c r="F40" s="23" t="str">
        <f t="shared" si="0"/>
        <v>rtdc.l.rtdc.4003:itc</v>
      </c>
      <c r="G40" s="8">
        <f t="shared" si="1"/>
        <v>42632.285844907405</v>
      </c>
    </row>
    <row r="41" spans="1:7" x14ac:dyDescent="0.25">
      <c r="A41" s="8">
        <v>42632.286666666667</v>
      </c>
      <c r="B41" s="23" t="s">
        <v>307</v>
      </c>
      <c r="C41" s="23" t="s">
        <v>410</v>
      </c>
      <c r="D41" s="23">
        <v>2030000</v>
      </c>
      <c r="E41" s="23" t="s">
        <v>309</v>
      </c>
      <c r="F41" s="23" t="str">
        <f t="shared" si="0"/>
        <v>rtdc.l.rtdc.4011:itc</v>
      </c>
      <c r="G41" s="8">
        <f t="shared" si="1"/>
        <v>42632.286666666667</v>
      </c>
    </row>
    <row r="42" spans="1:7" x14ac:dyDescent="0.25">
      <c r="A42" s="8">
        <v>42632.292569444442</v>
      </c>
      <c r="B42" s="23" t="s">
        <v>308</v>
      </c>
      <c r="C42" s="23" t="s">
        <v>411</v>
      </c>
      <c r="D42" s="23">
        <v>2140000</v>
      </c>
      <c r="E42" s="23" t="s">
        <v>396</v>
      </c>
      <c r="F42" s="23" t="str">
        <f t="shared" si="0"/>
        <v>rtdc.l.rtdc.4040:itc</v>
      </c>
      <c r="G42" s="8">
        <f t="shared" si="1"/>
        <v>42632.292569444442</v>
      </c>
    </row>
    <row r="43" spans="1:7" x14ac:dyDescent="0.25">
      <c r="A43" s="8">
        <v>42632.296793981484</v>
      </c>
      <c r="B43" s="23" t="s">
        <v>387</v>
      </c>
      <c r="C43" s="23" t="s">
        <v>412</v>
      </c>
      <c r="D43" s="23">
        <v>1090000</v>
      </c>
      <c r="E43" s="23" t="s">
        <v>379</v>
      </c>
      <c r="F43" s="23" t="str">
        <f t="shared" si="0"/>
        <v>rtdc.l.rtdc.4001:itc</v>
      </c>
      <c r="G43" s="8">
        <f t="shared" si="1"/>
        <v>42632.296793981484</v>
      </c>
    </row>
    <row r="44" spans="1:7" x14ac:dyDescent="0.25">
      <c r="A44" s="8">
        <v>42632.297592592593</v>
      </c>
      <c r="B44" s="23" t="s">
        <v>273</v>
      </c>
      <c r="C44" s="23" t="s">
        <v>413</v>
      </c>
      <c r="D44" s="23">
        <v>1830000</v>
      </c>
      <c r="E44" s="23" t="s">
        <v>312</v>
      </c>
      <c r="F44" s="23" t="str">
        <f t="shared" si="0"/>
        <v>rtdc.l.rtdc.4045:itc</v>
      </c>
      <c r="G44" s="8">
        <f t="shared" si="1"/>
        <v>42632.297592592593</v>
      </c>
    </row>
    <row r="45" spans="1:7" x14ac:dyDescent="0.25">
      <c r="A45" s="8">
        <v>42632.29828703704</v>
      </c>
      <c r="B45" s="23" t="s">
        <v>280</v>
      </c>
      <c r="C45" s="23" t="s">
        <v>414</v>
      </c>
      <c r="D45" s="23">
        <v>1990000</v>
      </c>
      <c r="E45" s="23" t="s">
        <v>279</v>
      </c>
      <c r="F45" s="23" t="str">
        <f t="shared" si="0"/>
        <v>rtdc.l.rtdc.4004:itc</v>
      </c>
      <c r="G45" s="8">
        <f t="shared" si="1"/>
        <v>42632.29828703704</v>
      </c>
    </row>
    <row r="46" spans="1:7" x14ac:dyDescent="0.25">
      <c r="A46" s="8">
        <v>42632.30127314815</v>
      </c>
      <c r="B46" s="23" t="s">
        <v>370</v>
      </c>
      <c r="C46" s="23" t="s">
        <v>415</v>
      </c>
      <c r="D46" s="23">
        <v>1310000</v>
      </c>
      <c r="E46" s="23" t="s">
        <v>274</v>
      </c>
      <c r="F46" s="23" t="str">
        <f t="shared" si="0"/>
        <v>rtdc.l.rtdc.4007:itc</v>
      </c>
      <c r="G46" s="8">
        <f t="shared" si="1"/>
        <v>42632.30127314815</v>
      </c>
    </row>
    <row r="47" spans="1:7" x14ac:dyDescent="0.25">
      <c r="A47" s="8">
        <v>42632.310613425929</v>
      </c>
      <c r="B47" s="23" t="s">
        <v>171</v>
      </c>
      <c r="C47" s="23" t="s">
        <v>416</v>
      </c>
      <c r="D47" s="23">
        <v>1260000</v>
      </c>
      <c r="E47" s="23" t="s">
        <v>372</v>
      </c>
      <c r="F47" s="23" t="str">
        <f t="shared" si="0"/>
        <v>rtdc.l.rtdc.4025:itc</v>
      </c>
      <c r="G47" s="8">
        <f t="shared" si="1"/>
        <v>42632.310613425929</v>
      </c>
    </row>
    <row r="48" spans="1:7" x14ac:dyDescent="0.25">
      <c r="A48" s="8">
        <v>42632.317650462966</v>
      </c>
      <c r="B48" s="23" t="s">
        <v>311</v>
      </c>
      <c r="C48" s="23" t="s">
        <v>417</v>
      </c>
      <c r="D48" s="23">
        <v>2140000</v>
      </c>
      <c r="E48" s="23" t="s">
        <v>396</v>
      </c>
      <c r="F48" s="23" t="str">
        <f t="shared" si="0"/>
        <v>rtdc.l.rtdc.4039:itc</v>
      </c>
      <c r="G48" s="8">
        <f t="shared" si="1"/>
        <v>42632.317650462966</v>
      </c>
    </row>
    <row r="49" spans="1:7" x14ac:dyDescent="0.25">
      <c r="A49" s="8">
        <v>42632.317685185182</v>
      </c>
      <c r="B49" s="23" t="s">
        <v>393</v>
      </c>
      <c r="C49" s="23" t="s">
        <v>418</v>
      </c>
      <c r="D49" s="23">
        <v>1110000</v>
      </c>
      <c r="E49" s="23" t="s">
        <v>331</v>
      </c>
      <c r="F49" s="23" t="str">
        <f t="shared" si="0"/>
        <v>rtdc.l.rtdc.4032:itc</v>
      </c>
      <c r="G49" s="8">
        <f t="shared" si="1"/>
        <v>42632.317685185182</v>
      </c>
    </row>
    <row r="50" spans="1:7" x14ac:dyDescent="0.25">
      <c r="A50" s="8">
        <v>42632.319513888891</v>
      </c>
      <c r="B50" s="23" t="s">
        <v>373</v>
      </c>
      <c r="C50" s="23" t="s">
        <v>419</v>
      </c>
      <c r="D50" s="23">
        <v>1190000</v>
      </c>
      <c r="E50" s="23" t="s">
        <v>375</v>
      </c>
      <c r="F50" s="23" t="str">
        <f t="shared" si="0"/>
        <v>rtdc.l.rtdc.4053:itc</v>
      </c>
      <c r="G50" s="8">
        <f t="shared" si="1"/>
        <v>42632.319513888891</v>
      </c>
    </row>
    <row r="51" spans="1:7" x14ac:dyDescent="0.25">
      <c r="A51" s="8">
        <v>42632.32471064815</v>
      </c>
      <c r="B51" s="23" t="s">
        <v>277</v>
      </c>
      <c r="C51" s="23" t="s">
        <v>420</v>
      </c>
      <c r="D51" s="23">
        <v>1990000</v>
      </c>
      <c r="E51" s="23" t="s">
        <v>279</v>
      </c>
      <c r="F51" s="23" t="str">
        <f t="shared" si="0"/>
        <v>rtdc.l.rtdc.4003:itc</v>
      </c>
      <c r="G51" s="8">
        <f t="shared" si="1"/>
        <v>42632.32471064815</v>
      </c>
    </row>
    <row r="52" spans="1:7" x14ac:dyDescent="0.25">
      <c r="A52" s="8">
        <v>42632.325624999998</v>
      </c>
      <c r="B52" s="23" t="s">
        <v>314</v>
      </c>
      <c r="C52" s="23" t="s">
        <v>421</v>
      </c>
      <c r="D52" s="23">
        <v>2030000</v>
      </c>
      <c r="E52" s="23" t="s">
        <v>309</v>
      </c>
      <c r="F52" s="23" t="str">
        <f t="shared" si="0"/>
        <v>rtdc.l.rtdc.4012:itc</v>
      </c>
      <c r="G52" s="8">
        <f t="shared" si="1"/>
        <v>42632.325624999998</v>
      </c>
    </row>
    <row r="53" spans="1:7" x14ac:dyDescent="0.25">
      <c r="A53" s="8">
        <v>42632.331666666665</v>
      </c>
      <c r="B53" s="23" t="s">
        <v>377</v>
      </c>
      <c r="C53" s="23" t="s">
        <v>422</v>
      </c>
      <c r="D53" s="23">
        <v>1090000</v>
      </c>
      <c r="E53" s="23" t="s">
        <v>379</v>
      </c>
      <c r="F53" s="23" t="str">
        <f t="shared" si="0"/>
        <v>rtdc.l.rtdc.4002:itc</v>
      </c>
      <c r="G53" s="8">
        <f t="shared" si="1"/>
        <v>42632.331666666665</v>
      </c>
    </row>
    <row r="54" spans="1:7" x14ac:dyDescent="0.25">
      <c r="A54" s="8">
        <v>42632.333773148152</v>
      </c>
      <c r="B54" s="23" t="s">
        <v>308</v>
      </c>
      <c r="C54" s="23" t="s">
        <v>423</v>
      </c>
      <c r="D54" s="23">
        <v>2140000</v>
      </c>
      <c r="E54" s="23" t="s">
        <v>396</v>
      </c>
      <c r="F54" s="23" t="str">
        <f t="shared" si="0"/>
        <v>rtdc.l.rtdc.4040:itc</v>
      </c>
      <c r="G54" s="8">
        <f t="shared" si="1"/>
        <v>42632.333773148152</v>
      </c>
    </row>
    <row r="55" spans="1:7" x14ac:dyDescent="0.25">
      <c r="A55" s="8">
        <v>42632.337696759256</v>
      </c>
      <c r="B55" s="23" t="s">
        <v>181</v>
      </c>
      <c r="C55" s="23" t="s">
        <v>424</v>
      </c>
      <c r="D55" s="23">
        <v>1830000</v>
      </c>
      <c r="E55" s="23" t="s">
        <v>312</v>
      </c>
      <c r="F55" s="23" t="str">
        <f t="shared" si="0"/>
        <v>rtdc.l.rtdc.4046:itc</v>
      </c>
      <c r="G55" s="8">
        <f t="shared" si="1"/>
        <v>42632.337696759256</v>
      </c>
    </row>
    <row r="56" spans="1:7" x14ac:dyDescent="0.25">
      <c r="A56" s="8">
        <v>42632.338634259257</v>
      </c>
      <c r="B56" s="23" t="s">
        <v>402</v>
      </c>
      <c r="C56" s="23" t="s">
        <v>425</v>
      </c>
      <c r="D56" s="23">
        <v>1310000</v>
      </c>
      <c r="E56" s="23" t="s">
        <v>274</v>
      </c>
      <c r="F56" s="23" t="str">
        <f t="shared" si="0"/>
        <v>rtdc.l.rtdc.4008:itc</v>
      </c>
      <c r="G56" s="8">
        <f t="shared" si="1"/>
        <v>42632.338634259257</v>
      </c>
    </row>
    <row r="57" spans="1:7" x14ac:dyDescent="0.25">
      <c r="A57" s="8">
        <v>42632.338773148149</v>
      </c>
      <c r="B57" s="23" t="s">
        <v>280</v>
      </c>
      <c r="C57" s="23" t="s">
        <v>426</v>
      </c>
      <c r="D57" s="23">
        <v>1990000</v>
      </c>
      <c r="E57" s="23" t="s">
        <v>279</v>
      </c>
      <c r="F57" s="23" t="str">
        <f t="shared" si="0"/>
        <v>rtdc.l.rtdc.4004:itc</v>
      </c>
      <c r="G57" s="8">
        <f t="shared" si="1"/>
        <v>42632.338773148149</v>
      </c>
    </row>
    <row r="58" spans="1:7" x14ac:dyDescent="0.25">
      <c r="A58" s="8">
        <v>42632.345995370371</v>
      </c>
      <c r="B58" s="23" t="s">
        <v>172</v>
      </c>
      <c r="C58" s="23" t="s">
        <v>427</v>
      </c>
      <c r="D58" s="23">
        <v>1260000</v>
      </c>
      <c r="E58" s="23" t="s">
        <v>372</v>
      </c>
      <c r="F58" s="23" t="str">
        <f t="shared" si="0"/>
        <v>rtdc.l.rtdc.4026:itc</v>
      </c>
      <c r="G58" s="8">
        <f t="shared" si="1"/>
        <v>42632.345995370371</v>
      </c>
    </row>
    <row r="59" spans="1:7" x14ac:dyDescent="0.25">
      <c r="A59" s="8">
        <v>42632.349212962959</v>
      </c>
      <c r="B59" s="23" t="s">
        <v>178</v>
      </c>
      <c r="C59" s="23" t="s">
        <v>428</v>
      </c>
      <c r="D59" s="23">
        <v>1110000</v>
      </c>
      <c r="E59" s="23" t="s">
        <v>331</v>
      </c>
      <c r="F59" s="23" t="str">
        <f t="shared" si="0"/>
        <v>rtdc.l.rtdc.4042:itc</v>
      </c>
      <c r="G59" s="8">
        <f t="shared" si="1"/>
        <v>42632.349212962959</v>
      </c>
    </row>
    <row r="60" spans="1:7" x14ac:dyDescent="0.25">
      <c r="A60" s="8">
        <v>42632.357303240744</v>
      </c>
      <c r="B60" s="23" t="s">
        <v>407</v>
      </c>
      <c r="C60" s="23" t="s">
        <v>429</v>
      </c>
      <c r="D60" s="23">
        <v>1190000</v>
      </c>
      <c r="E60" s="23" t="s">
        <v>375</v>
      </c>
      <c r="F60" s="23" t="str">
        <f t="shared" si="0"/>
        <v>rtdc.l.rtdc.4054:itc</v>
      </c>
      <c r="G60" s="8">
        <f t="shared" si="1"/>
        <v>42632.357303240744</v>
      </c>
    </row>
    <row r="61" spans="1:7" x14ac:dyDescent="0.25">
      <c r="A61" s="8">
        <v>42632.361215277779</v>
      </c>
      <c r="B61" s="23" t="s">
        <v>311</v>
      </c>
      <c r="C61" s="23" t="s">
        <v>430</v>
      </c>
      <c r="D61" s="23">
        <v>2140000</v>
      </c>
      <c r="E61" s="23" t="s">
        <v>396</v>
      </c>
      <c r="F61" s="23" t="str">
        <f t="shared" si="0"/>
        <v>rtdc.l.rtdc.4039:itc</v>
      </c>
      <c r="G61" s="8">
        <f t="shared" si="1"/>
        <v>42632.361215277779</v>
      </c>
    </row>
    <row r="62" spans="1:7" x14ac:dyDescent="0.25">
      <c r="A62" s="8">
        <v>42632.361712962964</v>
      </c>
      <c r="B62" s="23" t="s">
        <v>307</v>
      </c>
      <c r="C62" s="23" t="s">
        <v>431</v>
      </c>
      <c r="D62" s="23">
        <v>2030000</v>
      </c>
      <c r="E62" s="23" t="s">
        <v>309</v>
      </c>
      <c r="F62" s="23" t="str">
        <f t="shared" si="0"/>
        <v>rtdc.l.rtdc.4011:itc</v>
      </c>
      <c r="G62" s="8">
        <f t="shared" si="1"/>
        <v>42632.361712962964</v>
      </c>
    </row>
    <row r="63" spans="1:7" x14ac:dyDescent="0.25">
      <c r="A63" s="8">
        <v>42632.36309027778</v>
      </c>
      <c r="B63" s="23" t="s">
        <v>311</v>
      </c>
      <c r="C63" s="23" t="s">
        <v>430</v>
      </c>
      <c r="D63" s="23">
        <v>2140000</v>
      </c>
      <c r="E63" s="23" t="s">
        <v>396</v>
      </c>
      <c r="F63" s="23" t="str">
        <f t="shared" si="0"/>
        <v>rtdc.l.rtdc.4039:itc</v>
      </c>
      <c r="G63" s="8">
        <f t="shared" si="1"/>
        <v>42632.36309027778</v>
      </c>
    </row>
    <row r="64" spans="1:7" x14ac:dyDescent="0.25">
      <c r="A64" s="29">
        <v>42632.365358796298</v>
      </c>
      <c r="B64" s="23" t="s">
        <v>387</v>
      </c>
      <c r="C64" s="23" t="s">
        <v>432</v>
      </c>
      <c r="D64" s="23">
        <v>1090000</v>
      </c>
      <c r="E64" s="23" t="s">
        <v>379</v>
      </c>
      <c r="F64" s="23" t="str">
        <f t="shared" si="0"/>
        <v>rtdc.l.rtdc.4001:itc</v>
      </c>
      <c r="G64" s="8">
        <f t="shared" si="1"/>
        <v>42632.365358796298</v>
      </c>
    </row>
    <row r="65" spans="1:7" x14ac:dyDescent="0.25">
      <c r="A65" s="8">
        <v>42632.369814814818</v>
      </c>
      <c r="B65" s="23" t="s">
        <v>273</v>
      </c>
      <c r="C65" s="23" t="s">
        <v>433</v>
      </c>
      <c r="D65" s="23">
        <v>1830000</v>
      </c>
      <c r="E65" s="23" t="s">
        <v>312</v>
      </c>
      <c r="F65" s="23" t="str">
        <f t="shared" si="0"/>
        <v>rtdc.l.rtdc.4045:itc</v>
      </c>
      <c r="G65" s="8">
        <f t="shared" si="1"/>
        <v>42632.369814814818</v>
      </c>
    </row>
    <row r="66" spans="1:7" x14ac:dyDescent="0.25">
      <c r="A66" s="8">
        <v>42632.374155092592</v>
      </c>
      <c r="B66" s="23" t="s">
        <v>370</v>
      </c>
      <c r="C66" s="23" t="s">
        <v>434</v>
      </c>
      <c r="D66" s="23">
        <v>1310000</v>
      </c>
      <c r="E66" s="23" t="s">
        <v>274</v>
      </c>
      <c r="F66" s="23" t="str">
        <f t="shared" ref="F66:F129" si="2">B66</f>
        <v>rtdc.l.rtdc.4007:itc</v>
      </c>
      <c r="G66" s="8">
        <f t="shared" ref="G66:G129" si="3">A66</f>
        <v>42632.374155092592</v>
      </c>
    </row>
    <row r="67" spans="1:7" x14ac:dyDescent="0.25">
      <c r="A67" s="8">
        <v>42632.377106481479</v>
      </c>
      <c r="B67" s="23" t="s">
        <v>308</v>
      </c>
      <c r="C67" s="23" t="s">
        <v>435</v>
      </c>
      <c r="D67" s="23">
        <v>2140000</v>
      </c>
      <c r="E67" s="23" t="s">
        <v>396</v>
      </c>
      <c r="F67" s="23" t="str">
        <f t="shared" si="2"/>
        <v>rtdc.l.rtdc.4040:itc</v>
      </c>
      <c r="G67" s="8">
        <f t="shared" si="3"/>
        <v>42632.377106481479</v>
      </c>
    </row>
    <row r="68" spans="1:7" x14ac:dyDescent="0.25">
      <c r="A68" s="8">
        <v>42632.381365740737</v>
      </c>
      <c r="B68" s="23" t="s">
        <v>171</v>
      </c>
      <c r="C68" s="23" t="s">
        <v>436</v>
      </c>
      <c r="D68" s="23">
        <v>1260000</v>
      </c>
      <c r="E68" s="23" t="s">
        <v>372</v>
      </c>
      <c r="F68" s="23" t="str">
        <f t="shared" si="2"/>
        <v>rtdc.l.rtdc.4025:itc</v>
      </c>
      <c r="G68" s="8">
        <f t="shared" si="3"/>
        <v>42632.381365740737</v>
      </c>
    </row>
    <row r="69" spans="1:7" x14ac:dyDescent="0.25">
      <c r="A69" s="8">
        <v>42632.391319444447</v>
      </c>
      <c r="B69" s="23" t="s">
        <v>176</v>
      </c>
      <c r="C69" s="23" t="s">
        <v>437</v>
      </c>
      <c r="D69" s="23">
        <v>1110000</v>
      </c>
      <c r="E69" s="23" t="s">
        <v>331</v>
      </c>
      <c r="F69" s="23" t="str">
        <f t="shared" si="2"/>
        <v>rtdc.l.rtdc.4041:itc</v>
      </c>
      <c r="G69" s="8">
        <f t="shared" si="3"/>
        <v>42632.391319444447</v>
      </c>
    </row>
    <row r="70" spans="1:7" x14ac:dyDescent="0.25">
      <c r="A70" s="8">
        <v>42632.393043981479</v>
      </c>
      <c r="B70" s="23" t="s">
        <v>373</v>
      </c>
      <c r="C70" s="23" t="s">
        <v>438</v>
      </c>
      <c r="D70" s="23">
        <v>1190000</v>
      </c>
      <c r="E70" s="23" t="s">
        <v>375</v>
      </c>
      <c r="F70" s="23" t="str">
        <f t="shared" si="2"/>
        <v>rtdc.l.rtdc.4053:itc</v>
      </c>
      <c r="G70" s="8">
        <f t="shared" si="3"/>
        <v>42632.393043981479</v>
      </c>
    </row>
    <row r="71" spans="1:7" x14ac:dyDescent="0.25">
      <c r="A71" s="8">
        <v>42632.397222222222</v>
      </c>
      <c r="B71" s="23" t="s">
        <v>314</v>
      </c>
      <c r="C71" s="23" t="s">
        <v>439</v>
      </c>
      <c r="D71" s="23">
        <v>2030000</v>
      </c>
      <c r="E71" s="23" t="s">
        <v>309</v>
      </c>
      <c r="F71" s="23" t="str">
        <f t="shared" si="2"/>
        <v>rtdc.l.rtdc.4012:itc</v>
      </c>
      <c r="G71" s="8">
        <f t="shared" si="3"/>
        <v>42632.397222222222</v>
      </c>
    </row>
    <row r="72" spans="1:7" x14ac:dyDescent="0.25">
      <c r="A72" s="8">
        <v>42632.401701388888</v>
      </c>
      <c r="B72" s="23" t="s">
        <v>311</v>
      </c>
      <c r="C72" s="23" t="s">
        <v>440</v>
      </c>
      <c r="D72" s="23">
        <v>2140000</v>
      </c>
      <c r="E72" s="23" t="s">
        <v>396</v>
      </c>
      <c r="F72" s="23" t="str">
        <f t="shared" si="2"/>
        <v>rtdc.l.rtdc.4039:itc</v>
      </c>
      <c r="G72" s="8">
        <f t="shared" si="3"/>
        <v>42632.401701388888</v>
      </c>
    </row>
    <row r="73" spans="1:7" x14ac:dyDescent="0.25">
      <c r="A73" s="8">
        <v>42632.404479166667</v>
      </c>
      <c r="B73" s="23" t="s">
        <v>377</v>
      </c>
      <c r="C73" s="23" t="s">
        <v>441</v>
      </c>
      <c r="D73" s="23">
        <v>1090000</v>
      </c>
      <c r="E73" s="23" t="s">
        <v>379</v>
      </c>
      <c r="F73" s="23" t="str">
        <f t="shared" si="2"/>
        <v>rtdc.l.rtdc.4002:itc</v>
      </c>
      <c r="G73" s="8">
        <f t="shared" si="3"/>
        <v>42632.404479166667</v>
      </c>
    </row>
    <row r="74" spans="1:7" x14ac:dyDescent="0.25">
      <c r="A74" s="8">
        <v>42632.410243055558</v>
      </c>
      <c r="B74" s="23" t="s">
        <v>181</v>
      </c>
      <c r="C74" s="23" t="s">
        <v>442</v>
      </c>
      <c r="D74" s="23">
        <v>1830000</v>
      </c>
      <c r="E74" s="23" t="s">
        <v>312</v>
      </c>
      <c r="F74" s="23" t="str">
        <f t="shared" si="2"/>
        <v>rtdc.l.rtdc.4046:itc</v>
      </c>
      <c r="G74" s="8">
        <f t="shared" si="3"/>
        <v>42632.410243055558</v>
      </c>
    </row>
    <row r="75" spans="1:7" x14ac:dyDescent="0.25">
      <c r="A75" s="8">
        <v>42632.412592592591</v>
      </c>
      <c r="B75" s="23" t="s">
        <v>402</v>
      </c>
      <c r="C75" s="23" t="s">
        <v>443</v>
      </c>
      <c r="D75" s="23">
        <v>1310000</v>
      </c>
      <c r="E75" s="23" t="s">
        <v>274</v>
      </c>
      <c r="F75" s="23" t="str">
        <f t="shared" si="2"/>
        <v>rtdc.l.rtdc.4008:itc</v>
      </c>
      <c r="G75" s="8">
        <f t="shared" si="3"/>
        <v>42632.412592592591</v>
      </c>
    </row>
    <row r="76" spans="1:7" x14ac:dyDescent="0.25">
      <c r="A76" s="8">
        <v>42632.41678240741</v>
      </c>
      <c r="B76" s="23" t="s">
        <v>181</v>
      </c>
      <c r="C76" s="23" t="s">
        <v>442</v>
      </c>
      <c r="D76" s="23">
        <v>1830000</v>
      </c>
      <c r="E76" s="23" t="s">
        <v>312</v>
      </c>
      <c r="F76" s="23" t="str">
        <f t="shared" si="2"/>
        <v>rtdc.l.rtdc.4046:itc</v>
      </c>
      <c r="G76" s="8">
        <f t="shared" si="3"/>
        <v>42632.41678240741</v>
      </c>
    </row>
    <row r="77" spans="1:7" x14ac:dyDescent="0.25">
      <c r="A77" s="8">
        <v>42632.417546296296</v>
      </c>
      <c r="B77" s="23" t="s">
        <v>308</v>
      </c>
      <c r="C77" s="23" t="s">
        <v>444</v>
      </c>
      <c r="D77" s="23">
        <v>2140000</v>
      </c>
      <c r="E77" s="23" t="s">
        <v>396</v>
      </c>
      <c r="F77" s="23" t="str">
        <f t="shared" si="2"/>
        <v>rtdc.l.rtdc.4040:itc</v>
      </c>
      <c r="G77" s="8">
        <f t="shared" si="3"/>
        <v>42632.417546296296</v>
      </c>
    </row>
    <row r="78" spans="1:7" x14ac:dyDescent="0.25">
      <c r="A78" s="8">
        <v>42632.419756944444</v>
      </c>
      <c r="B78" s="23" t="s">
        <v>172</v>
      </c>
      <c r="C78" s="23" t="s">
        <v>445</v>
      </c>
      <c r="D78" s="23">
        <v>1260000</v>
      </c>
      <c r="E78" s="23" t="s">
        <v>372</v>
      </c>
      <c r="F78" s="23" t="str">
        <f t="shared" si="2"/>
        <v>rtdc.l.rtdc.4026:itc</v>
      </c>
      <c r="G78" s="8">
        <f t="shared" si="3"/>
        <v>42632.419756944444</v>
      </c>
    </row>
    <row r="79" spans="1:7" x14ac:dyDescent="0.25">
      <c r="A79" s="8">
        <v>42632.424814814818</v>
      </c>
      <c r="B79" s="23" t="s">
        <v>178</v>
      </c>
      <c r="C79" s="23" t="s">
        <v>446</v>
      </c>
      <c r="D79" s="23">
        <v>1110000</v>
      </c>
      <c r="E79" s="23" t="s">
        <v>331</v>
      </c>
      <c r="F79" s="23" t="str">
        <f t="shared" si="2"/>
        <v>rtdc.l.rtdc.4042:itc</v>
      </c>
      <c r="G79" s="8">
        <f t="shared" si="3"/>
        <v>42632.424814814818</v>
      </c>
    </row>
    <row r="80" spans="1:7" x14ac:dyDescent="0.25">
      <c r="A80" s="8">
        <v>42632.42528935185</v>
      </c>
      <c r="B80" s="23" t="s">
        <v>407</v>
      </c>
      <c r="C80" s="23" t="s">
        <v>447</v>
      </c>
      <c r="D80" s="23">
        <v>1190000</v>
      </c>
      <c r="E80" s="23" t="s">
        <v>375</v>
      </c>
      <c r="F80" s="23" t="str">
        <f t="shared" si="2"/>
        <v>rtdc.l.rtdc.4054:itc</v>
      </c>
      <c r="G80" s="8">
        <f t="shared" si="3"/>
        <v>42632.42528935185</v>
      </c>
    </row>
    <row r="81" spans="1:7" x14ac:dyDescent="0.25">
      <c r="A81" s="8">
        <v>42632.434386574074</v>
      </c>
      <c r="B81" s="23" t="s">
        <v>307</v>
      </c>
      <c r="C81" s="23" t="s">
        <v>448</v>
      </c>
      <c r="D81" s="23">
        <v>1990000</v>
      </c>
      <c r="E81" s="23" t="s">
        <v>279</v>
      </c>
      <c r="F81" s="23" t="str">
        <f t="shared" si="2"/>
        <v>rtdc.l.rtdc.4011:itc</v>
      </c>
      <c r="G81" s="8">
        <f t="shared" si="3"/>
        <v>42632.434386574074</v>
      </c>
    </row>
    <row r="82" spans="1:7" x14ac:dyDescent="0.25">
      <c r="A82" s="8">
        <v>42632.442141203705</v>
      </c>
      <c r="B82" s="23" t="s">
        <v>387</v>
      </c>
      <c r="C82" s="23" t="s">
        <v>449</v>
      </c>
      <c r="D82" s="23">
        <v>1090000</v>
      </c>
      <c r="E82" s="23" t="s">
        <v>379</v>
      </c>
      <c r="F82" s="23" t="str">
        <f t="shared" si="2"/>
        <v>rtdc.l.rtdc.4001:itc</v>
      </c>
      <c r="G82" s="8">
        <f t="shared" si="3"/>
        <v>42632.442141203705</v>
      </c>
    </row>
    <row r="83" spans="1:7" x14ac:dyDescent="0.25">
      <c r="A83" s="8">
        <v>42632.44253472222</v>
      </c>
      <c r="B83" s="23" t="s">
        <v>311</v>
      </c>
      <c r="C83" s="23" t="s">
        <v>450</v>
      </c>
      <c r="D83" s="23">
        <v>2140000</v>
      </c>
      <c r="E83" s="23" t="s">
        <v>396</v>
      </c>
      <c r="F83" s="23" t="str">
        <f t="shared" si="2"/>
        <v>rtdc.l.rtdc.4039:itc</v>
      </c>
      <c r="G83" s="8">
        <f t="shared" si="3"/>
        <v>42632.44253472222</v>
      </c>
    </row>
    <row r="84" spans="1:7" x14ac:dyDescent="0.25">
      <c r="A84" s="8">
        <v>42632.442824074074</v>
      </c>
      <c r="B84" s="23" t="s">
        <v>273</v>
      </c>
      <c r="C84" s="23" t="s">
        <v>451</v>
      </c>
      <c r="D84" s="23">
        <v>1830000</v>
      </c>
      <c r="E84" s="23" t="s">
        <v>312</v>
      </c>
      <c r="F84" s="23" t="str">
        <f t="shared" si="2"/>
        <v>rtdc.l.rtdc.4045:itc</v>
      </c>
      <c r="G84" s="8">
        <f t="shared" si="3"/>
        <v>42632.442824074074</v>
      </c>
    </row>
    <row r="85" spans="1:7" x14ac:dyDescent="0.25">
      <c r="A85" s="8">
        <v>42632.447395833333</v>
      </c>
      <c r="B85" s="23" t="s">
        <v>370</v>
      </c>
      <c r="C85" s="23" t="s">
        <v>452</v>
      </c>
      <c r="D85" s="23">
        <v>1310000</v>
      </c>
      <c r="E85" s="23" t="s">
        <v>274</v>
      </c>
      <c r="F85" s="23" t="str">
        <f t="shared" si="2"/>
        <v>rtdc.l.rtdc.4007:itc</v>
      </c>
      <c r="G85" s="8">
        <f t="shared" si="3"/>
        <v>42632.447395833333</v>
      </c>
    </row>
    <row r="86" spans="1:7" x14ac:dyDescent="0.25">
      <c r="A86" s="8">
        <v>42632.450891203705</v>
      </c>
      <c r="B86" s="23" t="s">
        <v>453</v>
      </c>
      <c r="C86" s="23" t="s">
        <v>454</v>
      </c>
      <c r="D86" s="23">
        <v>930000</v>
      </c>
      <c r="E86" s="23" t="s">
        <v>282</v>
      </c>
      <c r="F86" s="23" t="str">
        <f t="shared" si="2"/>
        <v>rtdc.l.rtdc.4021:itc</v>
      </c>
      <c r="G86" s="8">
        <f t="shared" si="3"/>
        <v>42632.450891203705</v>
      </c>
    </row>
    <row r="87" spans="1:7" x14ac:dyDescent="0.25">
      <c r="A87" s="8">
        <v>42632.457002314812</v>
      </c>
      <c r="B87" s="23" t="s">
        <v>308</v>
      </c>
      <c r="C87" s="23" t="s">
        <v>455</v>
      </c>
      <c r="D87" s="23">
        <v>2140000</v>
      </c>
      <c r="E87" s="23" t="s">
        <v>396</v>
      </c>
      <c r="F87" s="23" t="str">
        <f t="shared" si="2"/>
        <v>rtdc.l.rtdc.4040:itc</v>
      </c>
      <c r="G87" s="8">
        <f t="shared" si="3"/>
        <v>42632.457002314812</v>
      </c>
    </row>
    <row r="88" spans="1:7" x14ac:dyDescent="0.25">
      <c r="A88" s="8">
        <v>42632.461261574077</v>
      </c>
      <c r="B88" s="23" t="s">
        <v>171</v>
      </c>
      <c r="C88" s="23" t="s">
        <v>456</v>
      </c>
      <c r="D88" s="23">
        <v>1240000</v>
      </c>
      <c r="E88" s="23" t="s">
        <v>381</v>
      </c>
      <c r="F88" s="23" t="str">
        <f t="shared" si="2"/>
        <v>rtdc.l.rtdc.4025:itc</v>
      </c>
      <c r="G88" s="8">
        <f t="shared" si="3"/>
        <v>42632.461261574077</v>
      </c>
    </row>
    <row r="89" spans="1:7" x14ac:dyDescent="0.25">
      <c r="A89" s="8">
        <v>42632.464918981481</v>
      </c>
      <c r="B89" s="23" t="s">
        <v>176</v>
      </c>
      <c r="C89" s="23" t="s">
        <v>457</v>
      </c>
      <c r="D89" s="23">
        <v>1110000</v>
      </c>
      <c r="E89" s="23" t="s">
        <v>331</v>
      </c>
      <c r="F89" s="23" t="str">
        <f t="shared" si="2"/>
        <v>rtdc.l.rtdc.4041:itc</v>
      </c>
      <c r="G89" s="8">
        <f t="shared" si="3"/>
        <v>42632.464918981481</v>
      </c>
    </row>
    <row r="90" spans="1:7" x14ac:dyDescent="0.25">
      <c r="A90" s="8">
        <v>42632.468391203707</v>
      </c>
      <c r="B90" s="23" t="s">
        <v>373</v>
      </c>
      <c r="C90" s="23" t="s">
        <v>458</v>
      </c>
      <c r="D90" s="23">
        <v>1280000</v>
      </c>
      <c r="E90" s="23" t="s">
        <v>315</v>
      </c>
      <c r="F90" s="23" t="str">
        <f t="shared" si="2"/>
        <v>rtdc.l.rtdc.4053:itc</v>
      </c>
      <c r="G90" s="8">
        <f t="shared" si="3"/>
        <v>42632.468391203707</v>
      </c>
    </row>
    <row r="91" spans="1:7" x14ac:dyDescent="0.25">
      <c r="A91" s="8">
        <v>42632.472881944443</v>
      </c>
      <c r="B91" s="23" t="s">
        <v>314</v>
      </c>
      <c r="C91" s="23" t="s">
        <v>459</v>
      </c>
      <c r="D91" s="23">
        <v>1990000</v>
      </c>
      <c r="E91" s="23" t="s">
        <v>279</v>
      </c>
      <c r="F91" s="23" t="str">
        <f t="shared" si="2"/>
        <v>rtdc.l.rtdc.4012:itc</v>
      </c>
      <c r="G91" s="8">
        <f t="shared" si="3"/>
        <v>42632.472881944443</v>
      </c>
    </row>
    <row r="92" spans="1:7" x14ac:dyDescent="0.25">
      <c r="A92" s="8">
        <v>42632.477523148147</v>
      </c>
      <c r="B92" s="23" t="s">
        <v>377</v>
      </c>
      <c r="C92" s="23" t="s">
        <v>460</v>
      </c>
      <c r="D92" s="23">
        <v>940000</v>
      </c>
      <c r="E92" s="23" t="s">
        <v>461</v>
      </c>
      <c r="F92" s="23" t="str">
        <f t="shared" si="2"/>
        <v>rtdc.l.rtdc.4002:itc</v>
      </c>
      <c r="G92" s="8">
        <f t="shared" si="3"/>
        <v>42632.477523148147</v>
      </c>
    </row>
    <row r="93" spans="1:7" x14ac:dyDescent="0.25">
      <c r="A93" s="8">
        <v>42632.485289351855</v>
      </c>
      <c r="B93" s="23" t="s">
        <v>402</v>
      </c>
      <c r="C93" s="23" t="s">
        <v>462</v>
      </c>
      <c r="D93" s="23">
        <v>1310000</v>
      </c>
      <c r="E93" s="23" t="s">
        <v>274</v>
      </c>
      <c r="F93" s="23" t="str">
        <f t="shared" si="2"/>
        <v>rtdc.l.rtdc.4008:itc</v>
      </c>
      <c r="G93" s="8">
        <f t="shared" si="3"/>
        <v>42632.485289351855</v>
      </c>
    </row>
    <row r="94" spans="1:7" x14ac:dyDescent="0.25">
      <c r="A94" s="8">
        <v>42632.486944444441</v>
      </c>
      <c r="B94" s="23" t="s">
        <v>311</v>
      </c>
      <c r="C94" s="23" t="s">
        <v>463</v>
      </c>
      <c r="D94" s="23">
        <v>2140000</v>
      </c>
      <c r="E94" s="23" t="s">
        <v>396</v>
      </c>
      <c r="F94" s="23" t="str">
        <f t="shared" si="2"/>
        <v>rtdc.l.rtdc.4039:itc</v>
      </c>
      <c r="G94" s="8">
        <f t="shared" si="3"/>
        <v>42632.486944444441</v>
      </c>
    </row>
    <row r="95" spans="1:7" x14ac:dyDescent="0.25">
      <c r="A95" s="8">
        <v>42632.489722222221</v>
      </c>
      <c r="B95" s="23" t="s">
        <v>181</v>
      </c>
      <c r="C95" s="23" t="s">
        <v>454</v>
      </c>
      <c r="D95" s="23">
        <v>930000</v>
      </c>
      <c r="E95" s="23" t="s">
        <v>282</v>
      </c>
      <c r="F95" s="23" t="str">
        <f t="shared" si="2"/>
        <v>rtdc.l.rtdc.4046:itc</v>
      </c>
      <c r="G95" s="8">
        <f t="shared" si="3"/>
        <v>42632.489722222221</v>
      </c>
    </row>
    <row r="96" spans="1:7" x14ac:dyDescent="0.25">
      <c r="A96" s="8">
        <v>42632.493368055555</v>
      </c>
      <c r="B96" s="23" t="s">
        <v>172</v>
      </c>
      <c r="C96" s="23" t="s">
        <v>464</v>
      </c>
      <c r="D96" s="23">
        <v>1240000</v>
      </c>
      <c r="E96" s="23" t="s">
        <v>381</v>
      </c>
      <c r="F96" s="23" t="str">
        <f t="shared" si="2"/>
        <v>rtdc.l.rtdc.4026:itc</v>
      </c>
      <c r="G96" s="8">
        <f t="shared" si="3"/>
        <v>42632.493368055555</v>
      </c>
    </row>
    <row r="97" spans="1:7" x14ac:dyDescent="0.25">
      <c r="A97" s="8">
        <v>42632.494710648149</v>
      </c>
      <c r="B97" s="23" t="s">
        <v>181</v>
      </c>
      <c r="C97" s="23" t="s">
        <v>454</v>
      </c>
      <c r="D97" s="23">
        <v>930000</v>
      </c>
      <c r="E97" s="23" t="s">
        <v>282</v>
      </c>
      <c r="F97" s="23" t="str">
        <f t="shared" si="2"/>
        <v>rtdc.l.rtdc.4046:itc</v>
      </c>
      <c r="G97" s="8">
        <f t="shared" si="3"/>
        <v>42632.494710648149</v>
      </c>
    </row>
    <row r="98" spans="1:7" x14ac:dyDescent="0.25">
      <c r="A98" s="8">
        <v>42632.501226851855</v>
      </c>
      <c r="B98" s="23" t="s">
        <v>178</v>
      </c>
      <c r="C98" s="23" t="s">
        <v>465</v>
      </c>
      <c r="D98" s="23">
        <v>1140000</v>
      </c>
      <c r="E98" s="23" t="s">
        <v>466</v>
      </c>
      <c r="F98" s="23" t="str">
        <f t="shared" si="2"/>
        <v>rtdc.l.rtdc.4042:itc</v>
      </c>
      <c r="G98" s="8">
        <f t="shared" si="3"/>
        <v>42632.501226851855</v>
      </c>
    </row>
    <row r="99" spans="1:7" x14ac:dyDescent="0.25">
      <c r="A99" s="8">
        <v>42632.504270833335</v>
      </c>
      <c r="B99" s="23" t="s">
        <v>407</v>
      </c>
      <c r="C99" s="23" t="s">
        <v>467</v>
      </c>
      <c r="D99" s="23">
        <v>1280000</v>
      </c>
      <c r="E99" s="23" t="s">
        <v>315</v>
      </c>
      <c r="F99" s="23" t="str">
        <f t="shared" si="2"/>
        <v>rtdc.l.rtdc.4054:itc</v>
      </c>
      <c r="G99" s="8">
        <f t="shared" si="3"/>
        <v>42632.504270833335</v>
      </c>
    </row>
    <row r="100" spans="1:7" x14ac:dyDescent="0.25">
      <c r="A100" s="8">
        <v>42632.508148148147</v>
      </c>
      <c r="B100" s="23" t="s">
        <v>308</v>
      </c>
      <c r="C100" s="23" t="s">
        <v>468</v>
      </c>
      <c r="D100" s="23">
        <v>2140000</v>
      </c>
      <c r="E100" s="23" t="s">
        <v>396</v>
      </c>
      <c r="F100" s="23" t="str">
        <f t="shared" si="2"/>
        <v>rtdc.l.rtdc.4040:itc</v>
      </c>
      <c r="G100" s="8">
        <f t="shared" si="3"/>
        <v>42632.508148148147</v>
      </c>
    </row>
    <row r="101" spans="1:7" x14ac:dyDescent="0.25">
      <c r="A101" s="8">
        <v>42632.510891203703</v>
      </c>
      <c r="B101" s="23" t="s">
        <v>307</v>
      </c>
      <c r="C101" s="23" t="s">
        <v>469</v>
      </c>
      <c r="D101" s="23">
        <v>2370000</v>
      </c>
      <c r="E101" s="23" t="s">
        <v>470</v>
      </c>
      <c r="F101" s="23" t="str">
        <f t="shared" si="2"/>
        <v>rtdc.l.rtdc.4011:itc</v>
      </c>
      <c r="G101" s="8">
        <f t="shared" si="3"/>
        <v>42632.510891203703</v>
      </c>
    </row>
    <row r="102" spans="1:7" x14ac:dyDescent="0.25">
      <c r="A102" s="8">
        <v>42632.511666666665</v>
      </c>
      <c r="B102" s="23" t="s">
        <v>387</v>
      </c>
      <c r="C102" s="23" t="s">
        <v>471</v>
      </c>
      <c r="D102" s="23">
        <v>940000</v>
      </c>
      <c r="E102" s="23" t="s">
        <v>461</v>
      </c>
      <c r="F102" s="23" t="str">
        <f t="shared" si="2"/>
        <v>rtdc.l.rtdc.4001:itc</v>
      </c>
      <c r="G102" s="8">
        <f t="shared" si="3"/>
        <v>42632.511666666665</v>
      </c>
    </row>
    <row r="103" spans="1:7" x14ac:dyDescent="0.25">
      <c r="A103" s="8">
        <v>42632.52449074074</v>
      </c>
      <c r="B103" s="23" t="s">
        <v>273</v>
      </c>
      <c r="C103" s="23" t="s">
        <v>472</v>
      </c>
      <c r="D103" s="23">
        <v>930000</v>
      </c>
      <c r="E103" s="23" t="s">
        <v>282</v>
      </c>
      <c r="F103" s="23" t="str">
        <f t="shared" si="2"/>
        <v>rtdc.l.rtdc.4045:itc</v>
      </c>
      <c r="G103" s="8">
        <f t="shared" si="3"/>
        <v>42632.52449074074</v>
      </c>
    </row>
    <row r="104" spans="1:7" x14ac:dyDescent="0.25">
      <c r="A104" s="8">
        <v>42632.526701388888</v>
      </c>
      <c r="B104" s="23" t="s">
        <v>370</v>
      </c>
      <c r="C104" s="23" t="s">
        <v>473</v>
      </c>
      <c r="D104" s="23">
        <v>2100000</v>
      </c>
      <c r="E104" s="23" t="s">
        <v>474</v>
      </c>
      <c r="F104" s="23" t="str">
        <f t="shared" si="2"/>
        <v>rtdc.l.rtdc.4007:itc</v>
      </c>
      <c r="G104" s="8">
        <f t="shared" si="3"/>
        <v>42632.526701388888</v>
      </c>
    </row>
    <row r="105" spans="1:7" x14ac:dyDescent="0.25">
      <c r="A105" s="8">
        <v>42632.527488425927</v>
      </c>
      <c r="B105" s="23" t="s">
        <v>311</v>
      </c>
      <c r="C105" s="23" t="s">
        <v>475</v>
      </c>
      <c r="D105" s="23">
        <v>2140000</v>
      </c>
      <c r="E105" s="23" t="s">
        <v>396</v>
      </c>
      <c r="F105" s="23" t="str">
        <f t="shared" si="2"/>
        <v>rtdc.l.rtdc.4039:itc</v>
      </c>
      <c r="G105" s="8">
        <f t="shared" si="3"/>
        <v>42632.527488425927</v>
      </c>
    </row>
    <row r="106" spans="1:7" x14ac:dyDescent="0.25">
      <c r="A106" s="8">
        <v>42632.527627314812</v>
      </c>
      <c r="B106" s="23" t="s">
        <v>171</v>
      </c>
      <c r="C106" s="23" t="s">
        <v>476</v>
      </c>
      <c r="D106" s="23">
        <v>880000</v>
      </c>
      <c r="E106" s="23" t="s">
        <v>281</v>
      </c>
      <c r="F106" s="23" t="str">
        <f t="shared" si="2"/>
        <v>rtdc.l.rtdc.4025:itc</v>
      </c>
      <c r="G106" s="8">
        <f t="shared" si="3"/>
        <v>42632.527627314812</v>
      </c>
    </row>
    <row r="107" spans="1:7" x14ac:dyDescent="0.25">
      <c r="A107" s="8">
        <v>42632.537002314813</v>
      </c>
      <c r="B107" s="23" t="s">
        <v>176</v>
      </c>
      <c r="C107" s="23" t="s">
        <v>477</v>
      </c>
      <c r="D107" s="23">
        <v>1140000</v>
      </c>
      <c r="E107" s="23" t="s">
        <v>466</v>
      </c>
      <c r="F107" s="23" t="str">
        <f t="shared" si="2"/>
        <v>rtdc.l.rtdc.4041:itc</v>
      </c>
      <c r="G107" s="8">
        <f t="shared" si="3"/>
        <v>42632.537002314813</v>
      </c>
    </row>
    <row r="108" spans="1:7" x14ac:dyDescent="0.25">
      <c r="A108" s="8">
        <v>42632.538055555553</v>
      </c>
      <c r="B108" s="23" t="s">
        <v>373</v>
      </c>
      <c r="C108" s="23" t="s">
        <v>478</v>
      </c>
      <c r="D108" s="23">
        <v>1280000</v>
      </c>
      <c r="E108" s="23" t="s">
        <v>315</v>
      </c>
      <c r="F108" s="23" t="str">
        <f t="shared" si="2"/>
        <v>rtdc.l.rtdc.4053:itc</v>
      </c>
      <c r="G108" s="8">
        <f t="shared" si="3"/>
        <v>42632.538055555553</v>
      </c>
    </row>
    <row r="109" spans="1:7" x14ac:dyDescent="0.25">
      <c r="A109" s="8">
        <v>42632.546203703707</v>
      </c>
      <c r="B109" s="23" t="s">
        <v>377</v>
      </c>
      <c r="C109" s="23" t="s">
        <v>479</v>
      </c>
      <c r="D109" s="23">
        <v>940000</v>
      </c>
      <c r="E109" s="23" t="s">
        <v>461</v>
      </c>
      <c r="F109" s="23" t="str">
        <f t="shared" si="2"/>
        <v>rtdc.l.rtdc.4002:itc</v>
      </c>
      <c r="G109" s="8">
        <f t="shared" si="3"/>
        <v>42632.546203703707</v>
      </c>
    </row>
    <row r="110" spans="1:7" x14ac:dyDescent="0.25">
      <c r="A110" s="8">
        <v>42632.547592592593</v>
      </c>
      <c r="B110" s="23" t="s">
        <v>314</v>
      </c>
      <c r="C110" s="23" t="s">
        <v>480</v>
      </c>
      <c r="D110" s="23">
        <v>2370000</v>
      </c>
      <c r="E110" s="23" t="s">
        <v>470</v>
      </c>
      <c r="F110" s="23" t="str">
        <f t="shared" si="2"/>
        <v>rtdc.l.rtdc.4012:itc</v>
      </c>
      <c r="G110" s="8">
        <f t="shared" si="3"/>
        <v>42632.547592592593</v>
      </c>
    </row>
    <row r="111" spans="1:7" x14ac:dyDescent="0.25">
      <c r="A111" s="8">
        <v>42632.548043981478</v>
      </c>
      <c r="B111" s="23" t="s">
        <v>308</v>
      </c>
      <c r="C111" s="23" t="s">
        <v>481</v>
      </c>
      <c r="D111" s="23">
        <v>1770000</v>
      </c>
      <c r="E111" s="23" t="s">
        <v>316</v>
      </c>
      <c r="F111" s="23" t="str">
        <f t="shared" si="2"/>
        <v>rtdc.l.rtdc.4040:itc</v>
      </c>
      <c r="G111" s="8">
        <f t="shared" si="3"/>
        <v>42632.548043981478</v>
      </c>
    </row>
    <row r="112" spans="1:7" x14ac:dyDescent="0.25">
      <c r="A112" s="8">
        <v>42632.555636574078</v>
      </c>
      <c r="B112" s="23" t="s">
        <v>402</v>
      </c>
      <c r="C112" s="23" t="s">
        <v>482</v>
      </c>
      <c r="D112" s="23">
        <v>2100000</v>
      </c>
      <c r="E112" s="23" t="s">
        <v>474</v>
      </c>
      <c r="F112" s="23" t="str">
        <f t="shared" si="2"/>
        <v>rtdc.l.rtdc.4008:itc</v>
      </c>
      <c r="G112" s="8">
        <f t="shared" si="3"/>
        <v>42632.555636574078</v>
      </c>
    </row>
    <row r="113" spans="1:7" x14ac:dyDescent="0.25">
      <c r="A113" s="8">
        <v>42632.563287037039</v>
      </c>
      <c r="B113" s="23" t="s">
        <v>368</v>
      </c>
      <c r="C113" s="23" t="s">
        <v>483</v>
      </c>
      <c r="D113" s="23">
        <v>930000</v>
      </c>
      <c r="E113" s="23" t="s">
        <v>282</v>
      </c>
      <c r="F113" s="23" t="str">
        <f t="shared" si="2"/>
        <v>rtdc.l.rtdc.4031:itc</v>
      </c>
      <c r="G113" s="8">
        <f t="shared" si="3"/>
        <v>42632.563287037039</v>
      </c>
    </row>
    <row r="114" spans="1:7" x14ac:dyDescent="0.25">
      <c r="A114" s="8">
        <v>42632.567094907405</v>
      </c>
      <c r="B114" s="23" t="s">
        <v>181</v>
      </c>
      <c r="C114" s="23" t="s">
        <v>484</v>
      </c>
      <c r="D114" s="23">
        <v>2110000</v>
      </c>
      <c r="E114" s="23" t="s">
        <v>236</v>
      </c>
      <c r="F114" s="23" t="str">
        <f t="shared" si="2"/>
        <v>rtdc.l.rtdc.4046:itc</v>
      </c>
      <c r="G114" s="8">
        <f t="shared" si="3"/>
        <v>42632.567094907405</v>
      </c>
    </row>
    <row r="115" spans="1:7" x14ac:dyDescent="0.25">
      <c r="A115" s="8">
        <v>42632.56790509259</v>
      </c>
      <c r="B115" s="23" t="s">
        <v>311</v>
      </c>
      <c r="C115" s="23" t="s">
        <v>485</v>
      </c>
      <c r="D115" s="23">
        <v>1770000</v>
      </c>
      <c r="E115" s="23" t="s">
        <v>316</v>
      </c>
      <c r="F115" s="23" t="str">
        <f t="shared" si="2"/>
        <v>rtdc.l.rtdc.4039:itc</v>
      </c>
      <c r="G115" s="8">
        <f t="shared" si="3"/>
        <v>42632.56790509259</v>
      </c>
    </row>
    <row r="116" spans="1:7" x14ac:dyDescent="0.25">
      <c r="A116" s="8">
        <v>42632.568171296298</v>
      </c>
      <c r="B116" s="23" t="s">
        <v>172</v>
      </c>
      <c r="C116" s="23" t="s">
        <v>486</v>
      </c>
      <c r="D116" s="23">
        <v>880000</v>
      </c>
      <c r="E116" s="23" t="s">
        <v>281</v>
      </c>
      <c r="F116" s="23" t="str">
        <f t="shared" si="2"/>
        <v>rtdc.l.rtdc.4026:itc</v>
      </c>
      <c r="G116" s="8">
        <f t="shared" si="3"/>
        <v>42632.568171296298</v>
      </c>
    </row>
    <row r="117" spans="1:7" x14ac:dyDescent="0.25">
      <c r="A117" s="8">
        <v>42632.569525462961</v>
      </c>
      <c r="B117" s="23" t="s">
        <v>178</v>
      </c>
      <c r="C117" s="23" t="s">
        <v>487</v>
      </c>
      <c r="D117" s="23">
        <v>1140000</v>
      </c>
      <c r="E117" s="23" t="s">
        <v>466</v>
      </c>
      <c r="F117" s="23" t="str">
        <f t="shared" si="2"/>
        <v>rtdc.l.rtdc.4042:itc</v>
      </c>
      <c r="G117" s="8">
        <f t="shared" si="3"/>
        <v>42632.569525462961</v>
      </c>
    </row>
    <row r="118" spans="1:7" x14ac:dyDescent="0.25">
      <c r="A118" s="8">
        <v>42632.570277777777</v>
      </c>
      <c r="B118" s="23" t="s">
        <v>273</v>
      </c>
      <c r="C118" s="23" t="s">
        <v>484</v>
      </c>
      <c r="D118" s="23">
        <v>2110000</v>
      </c>
      <c r="E118" s="23" t="s">
        <v>236</v>
      </c>
      <c r="F118" s="23" t="str">
        <f t="shared" si="2"/>
        <v>rtdc.l.rtdc.4045:itc</v>
      </c>
      <c r="G118" s="8">
        <f t="shared" si="3"/>
        <v>42632.570277777777</v>
      </c>
    </row>
    <row r="119" spans="1:7" x14ac:dyDescent="0.25">
      <c r="A119" s="8">
        <v>42632.570335648146</v>
      </c>
      <c r="B119" s="23" t="s">
        <v>407</v>
      </c>
      <c r="C119" s="23" t="s">
        <v>488</v>
      </c>
      <c r="D119" s="23">
        <v>1280000</v>
      </c>
      <c r="E119" s="23" t="s">
        <v>315</v>
      </c>
      <c r="F119" s="23" t="str">
        <f t="shared" si="2"/>
        <v>rtdc.l.rtdc.4054:itc</v>
      </c>
      <c r="G119" s="8">
        <f t="shared" si="3"/>
        <v>42632.570335648146</v>
      </c>
    </row>
    <row r="120" spans="1:7" x14ac:dyDescent="0.25">
      <c r="A120" s="8">
        <v>42632.57130787037</v>
      </c>
      <c r="B120" s="23" t="s">
        <v>273</v>
      </c>
      <c r="C120" s="23" t="s">
        <v>484</v>
      </c>
      <c r="D120" s="23">
        <v>2110000</v>
      </c>
      <c r="E120" s="23" t="s">
        <v>236</v>
      </c>
      <c r="F120" s="23" t="str">
        <f t="shared" si="2"/>
        <v>rtdc.l.rtdc.4045:itc</v>
      </c>
      <c r="G120" s="8">
        <f t="shared" si="3"/>
        <v>42632.57130787037</v>
      </c>
    </row>
    <row r="121" spans="1:7" x14ac:dyDescent="0.25">
      <c r="A121" s="8">
        <v>42632.572800925926</v>
      </c>
      <c r="B121" s="23" t="s">
        <v>273</v>
      </c>
      <c r="C121" s="23" t="s">
        <v>484</v>
      </c>
      <c r="D121" s="23">
        <v>2110000</v>
      </c>
      <c r="E121" s="23" t="s">
        <v>236</v>
      </c>
      <c r="F121" s="23" t="str">
        <f t="shared" si="2"/>
        <v>rtdc.l.rtdc.4045:itc</v>
      </c>
      <c r="G121" s="8">
        <f t="shared" si="3"/>
        <v>42632.572800925926</v>
      </c>
    </row>
    <row r="122" spans="1:7" x14ac:dyDescent="0.25">
      <c r="A122" s="8">
        <v>42632.573449074072</v>
      </c>
      <c r="B122" s="28" t="s">
        <v>273</v>
      </c>
      <c r="C122" s="23" t="s">
        <v>484</v>
      </c>
      <c r="D122" s="23">
        <v>2110000</v>
      </c>
      <c r="E122" s="23" t="s">
        <v>236</v>
      </c>
      <c r="F122" s="23" t="str">
        <f t="shared" si="2"/>
        <v>rtdc.l.rtdc.4045:itc</v>
      </c>
      <c r="G122" s="8">
        <f t="shared" si="3"/>
        <v>42632.573449074072</v>
      </c>
    </row>
    <row r="123" spans="1:7" x14ac:dyDescent="0.25">
      <c r="A123" s="8">
        <v>42632.574861111112</v>
      </c>
      <c r="B123" s="23" t="s">
        <v>273</v>
      </c>
      <c r="C123" s="23" t="s">
        <v>489</v>
      </c>
      <c r="D123" s="23">
        <v>2110000</v>
      </c>
      <c r="E123" s="23" t="s">
        <v>236</v>
      </c>
      <c r="F123" s="23" t="str">
        <f t="shared" si="2"/>
        <v>rtdc.l.rtdc.4045:itc</v>
      </c>
      <c r="G123" s="8">
        <f t="shared" si="3"/>
        <v>42632.574861111112</v>
      </c>
    </row>
    <row r="124" spans="1:7" x14ac:dyDescent="0.25">
      <c r="A124" s="8">
        <v>42632.575694444444</v>
      </c>
      <c r="B124" s="23" t="s">
        <v>273</v>
      </c>
      <c r="C124" s="23" t="s">
        <v>489</v>
      </c>
      <c r="D124" s="23">
        <v>2110000</v>
      </c>
      <c r="E124" s="23" t="s">
        <v>236</v>
      </c>
      <c r="F124" s="23" t="str">
        <f t="shared" si="2"/>
        <v>rtdc.l.rtdc.4045:itc</v>
      </c>
      <c r="G124" s="8">
        <f t="shared" si="3"/>
        <v>42632.575694444444</v>
      </c>
    </row>
    <row r="125" spans="1:7" x14ac:dyDescent="0.25">
      <c r="A125" s="8">
        <v>42632.581400462965</v>
      </c>
      <c r="B125" s="23" t="s">
        <v>307</v>
      </c>
      <c r="C125" s="23" t="s">
        <v>490</v>
      </c>
      <c r="D125" s="23">
        <v>2370000</v>
      </c>
      <c r="E125" s="23" t="s">
        <v>470</v>
      </c>
      <c r="F125" s="23" t="str">
        <f t="shared" si="2"/>
        <v>rtdc.l.rtdc.4011:itc</v>
      </c>
      <c r="G125" s="8">
        <f t="shared" si="3"/>
        <v>42632.581400462965</v>
      </c>
    </row>
    <row r="126" spans="1:7" x14ac:dyDescent="0.25">
      <c r="A126" s="8">
        <v>42632.583124999997</v>
      </c>
      <c r="B126" s="23" t="s">
        <v>387</v>
      </c>
      <c r="C126" s="23" t="s">
        <v>491</v>
      </c>
      <c r="D126" s="23">
        <v>940000</v>
      </c>
      <c r="E126" s="23" t="s">
        <v>461</v>
      </c>
      <c r="F126" s="23" t="str">
        <f t="shared" si="2"/>
        <v>rtdc.l.rtdc.4001:itc</v>
      </c>
      <c r="G126" s="8">
        <f t="shared" si="3"/>
        <v>42632.583124999997</v>
      </c>
    </row>
    <row r="127" spans="1:7" x14ac:dyDescent="0.25">
      <c r="A127" s="8">
        <v>42632.584733796299</v>
      </c>
      <c r="B127" s="23" t="s">
        <v>310</v>
      </c>
      <c r="C127" s="23" t="s">
        <v>492</v>
      </c>
      <c r="D127" s="23">
        <v>860000</v>
      </c>
      <c r="E127" s="23" t="s">
        <v>493</v>
      </c>
      <c r="F127" s="23" t="str">
        <f t="shared" si="2"/>
        <v>rtdc.l.rtdc.4028:itc</v>
      </c>
      <c r="G127" s="8">
        <f t="shared" si="3"/>
        <v>42632.584733796299</v>
      </c>
    </row>
    <row r="128" spans="1:7" x14ac:dyDescent="0.25">
      <c r="A128" s="8">
        <v>42632.588321759256</v>
      </c>
      <c r="B128" s="23" t="s">
        <v>370</v>
      </c>
      <c r="C128" s="23" t="s">
        <v>494</v>
      </c>
      <c r="D128" s="23">
        <v>2100000</v>
      </c>
      <c r="E128" s="23" t="s">
        <v>474</v>
      </c>
      <c r="F128" s="23" t="str">
        <f t="shared" si="2"/>
        <v>rtdc.l.rtdc.4007:itc</v>
      </c>
      <c r="G128" s="8">
        <f t="shared" si="3"/>
        <v>42632.588321759256</v>
      </c>
    </row>
    <row r="129" spans="1:7" x14ac:dyDescent="0.25">
      <c r="A129" s="8">
        <v>42632.591736111113</v>
      </c>
      <c r="B129" s="23" t="s">
        <v>273</v>
      </c>
      <c r="C129" s="23" t="s">
        <v>489</v>
      </c>
      <c r="D129" s="23">
        <v>2110000</v>
      </c>
      <c r="E129" s="23" t="s">
        <v>236</v>
      </c>
      <c r="F129" s="23" t="str">
        <f t="shared" si="2"/>
        <v>rtdc.l.rtdc.4045:itc</v>
      </c>
      <c r="G129" s="8">
        <f t="shared" si="3"/>
        <v>42632.591736111113</v>
      </c>
    </row>
    <row r="130" spans="1:7" x14ac:dyDescent="0.25">
      <c r="A130" s="8">
        <v>42632.591967592591</v>
      </c>
      <c r="B130" s="23" t="s">
        <v>310</v>
      </c>
      <c r="C130" s="23" t="s">
        <v>492</v>
      </c>
      <c r="D130" s="23">
        <v>860000</v>
      </c>
      <c r="E130" s="23" t="s">
        <v>493</v>
      </c>
      <c r="F130" s="23" t="str">
        <f t="shared" ref="F130:F193" si="4">B130</f>
        <v>rtdc.l.rtdc.4028:itc</v>
      </c>
      <c r="G130" s="8">
        <f t="shared" ref="G130:G193" si="5">A130</f>
        <v>42632.591967592591</v>
      </c>
    </row>
    <row r="131" spans="1:7" x14ac:dyDescent="0.25">
      <c r="A131" s="8">
        <v>42632.593553240738</v>
      </c>
      <c r="B131" s="23" t="s">
        <v>308</v>
      </c>
      <c r="C131" s="23" t="s">
        <v>495</v>
      </c>
      <c r="D131" s="23">
        <v>1770000</v>
      </c>
      <c r="E131" s="23" t="s">
        <v>316</v>
      </c>
      <c r="F131" s="23" t="str">
        <f t="shared" si="4"/>
        <v>rtdc.l.rtdc.4040:itc</v>
      </c>
      <c r="G131" s="8">
        <f t="shared" si="5"/>
        <v>42632.593553240738</v>
      </c>
    </row>
    <row r="132" spans="1:7" x14ac:dyDescent="0.25">
      <c r="A132" s="8">
        <v>42632.597430555557</v>
      </c>
      <c r="B132" s="23" t="s">
        <v>393</v>
      </c>
      <c r="C132" s="23" t="s">
        <v>496</v>
      </c>
      <c r="D132" s="23">
        <v>930000</v>
      </c>
      <c r="E132" s="23" t="s">
        <v>282</v>
      </c>
      <c r="F132" s="23" t="str">
        <f t="shared" si="4"/>
        <v>rtdc.l.rtdc.4032:itc</v>
      </c>
      <c r="G132" s="8">
        <f t="shared" si="5"/>
        <v>42632.597430555557</v>
      </c>
    </row>
    <row r="133" spans="1:7" x14ac:dyDescent="0.25">
      <c r="A133" s="8">
        <v>42632.601631944446</v>
      </c>
      <c r="B133" s="23" t="s">
        <v>171</v>
      </c>
      <c r="C133" s="23" t="s">
        <v>497</v>
      </c>
      <c r="D133" s="23">
        <v>880000</v>
      </c>
      <c r="E133" s="23" t="s">
        <v>281</v>
      </c>
      <c r="F133" s="23" t="str">
        <f t="shared" si="4"/>
        <v>rtdc.l.rtdc.4025:itc</v>
      </c>
      <c r="G133" s="8">
        <f t="shared" si="5"/>
        <v>42632.601631944446</v>
      </c>
    </row>
    <row r="134" spans="1:7" x14ac:dyDescent="0.25">
      <c r="A134" s="8">
        <v>42632.606238425928</v>
      </c>
      <c r="B134" s="23" t="s">
        <v>176</v>
      </c>
      <c r="C134" s="23" t="s">
        <v>498</v>
      </c>
      <c r="D134" s="23">
        <v>1140000</v>
      </c>
      <c r="E134" s="23" t="s">
        <v>466</v>
      </c>
      <c r="F134" s="23" t="str">
        <f t="shared" si="4"/>
        <v>rtdc.l.rtdc.4041:itc</v>
      </c>
      <c r="G134" s="8">
        <f t="shared" si="5"/>
        <v>42632.606238425928</v>
      </c>
    </row>
    <row r="135" spans="1:7" x14ac:dyDescent="0.25">
      <c r="A135" s="8">
        <v>42632.609756944446</v>
      </c>
      <c r="B135" s="23" t="s">
        <v>311</v>
      </c>
      <c r="C135" s="23" t="s">
        <v>499</v>
      </c>
      <c r="D135" s="23">
        <v>1770000</v>
      </c>
      <c r="E135" s="23" t="s">
        <v>316</v>
      </c>
      <c r="F135" s="23" t="str">
        <f t="shared" si="4"/>
        <v>rtdc.l.rtdc.4039:itc</v>
      </c>
      <c r="G135" s="8">
        <f t="shared" si="5"/>
        <v>42632.609756944446</v>
      </c>
    </row>
    <row r="136" spans="1:7" x14ac:dyDescent="0.25">
      <c r="A136" s="8">
        <v>42632.611296296294</v>
      </c>
      <c r="B136" s="23" t="s">
        <v>373</v>
      </c>
      <c r="C136" s="23" t="s">
        <v>500</v>
      </c>
      <c r="D136" s="23">
        <v>1280000</v>
      </c>
      <c r="E136" s="23" t="s">
        <v>315</v>
      </c>
      <c r="F136" s="23" t="str">
        <f t="shared" si="4"/>
        <v>rtdc.l.rtdc.4053:itc</v>
      </c>
      <c r="G136" s="8">
        <f t="shared" si="5"/>
        <v>42632.611296296294</v>
      </c>
    </row>
    <row r="137" spans="1:7" x14ac:dyDescent="0.25">
      <c r="A137" s="8">
        <v>42632.617997685185</v>
      </c>
      <c r="B137" s="23" t="s">
        <v>314</v>
      </c>
      <c r="C137" s="23" t="s">
        <v>501</v>
      </c>
      <c r="D137" s="23">
        <v>2370000</v>
      </c>
      <c r="E137" s="23" t="s">
        <v>470</v>
      </c>
      <c r="F137" s="23" t="str">
        <f t="shared" si="4"/>
        <v>rtdc.l.rtdc.4012:itc</v>
      </c>
      <c r="G137" s="8">
        <f t="shared" si="5"/>
        <v>42632.617997685185</v>
      </c>
    </row>
    <row r="138" spans="1:7" x14ac:dyDescent="0.25">
      <c r="A138" s="8">
        <v>42632.620636574073</v>
      </c>
      <c r="B138" s="23" t="s">
        <v>377</v>
      </c>
      <c r="C138" s="23" t="s">
        <v>502</v>
      </c>
      <c r="D138" s="23">
        <v>940000</v>
      </c>
      <c r="E138" s="23" t="s">
        <v>461</v>
      </c>
      <c r="F138" s="23" t="str">
        <f t="shared" si="4"/>
        <v>rtdc.l.rtdc.4002:itc</v>
      </c>
      <c r="G138" s="8">
        <f t="shared" si="5"/>
        <v>42632.620636574073</v>
      </c>
    </row>
    <row r="139" spans="1:7" x14ac:dyDescent="0.25">
      <c r="A139" s="8">
        <v>42632.62358796296</v>
      </c>
      <c r="B139" s="23" t="s">
        <v>313</v>
      </c>
      <c r="C139" s="23" t="s">
        <v>503</v>
      </c>
      <c r="D139" s="23">
        <v>860000</v>
      </c>
      <c r="E139" s="23" t="s">
        <v>493</v>
      </c>
      <c r="F139" s="23" t="str">
        <f t="shared" si="4"/>
        <v>rtdc.l.rtdc.4027:itc</v>
      </c>
      <c r="G139" s="8">
        <f t="shared" si="5"/>
        <v>42632.62358796296</v>
      </c>
    </row>
    <row r="140" spans="1:7" x14ac:dyDescent="0.25">
      <c r="A140" s="8">
        <v>42632.626956018517</v>
      </c>
      <c r="B140" s="23" t="s">
        <v>402</v>
      </c>
      <c r="C140" s="23" t="s">
        <v>504</v>
      </c>
      <c r="D140" s="23">
        <v>2100000</v>
      </c>
      <c r="E140" s="23" t="s">
        <v>474</v>
      </c>
      <c r="F140" s="23" t="str">
        <f t="shared" si="4"/>
        <v>rtdc.l.rtdc.4008:itc</v>
      </c>
      <c r="G140" s="8">
        <f t="shared" si="5"/>
        <v>42632.626956018517</v>
      </c>
    </row>
    <row r="141" spans="1:7" x14ac:dyDescent="0.25">
      <c r="A141" s="8">
        <v>42632.634039351855</v>
      </c>
      <c r="B141" s="23" t="s">
        <v>368</v>
      </c>
      <c r="C141" s="23" t="s">
        <v>505</v>
      </c>
      <c r="D141" s="23">
        <v>930000</v>
      </c>
      <c r="E141" s="23" t="s">
        <v>282</v>
      </c>
      <c r="F141" s="23" t="str">
        <f t="shared" si="4"/>
        <v>rtdc.l.rtdc.4031:itc</v>
      </c>
      <c r="G141" s="8">
        <f t="shared" si="5"/>
        <v>42632.634039351855</v>
      </c>
    </row>
    <row r="142" spans="1:7" x14ac:dyDescent="0.25">
      <c r="A142" s="8">
        <v>42632.636296296296</v>
      </c>
      <c r="B142" s="23" t="s">
        <v>308</v>
      </c>
      <c r="C142" s="23" t="s">
        <v>506</v>
      </c>
      <c r="D142" s="23">
        <v>1770000</v>
      </c>
      <c r="E142" s="23" t="s">
        <v>316</v>
      </c>
      <c r="F142" s="23" t="str">
        <f t="shared" si="4"/>
        <v>rtdc.l.rtdc.4040:itc</v>
      </c>
      <c r="G142" s="8">
        <f t="shared" si="5"/>
        <v>42632.636296296296</v>
      </c>
    </row>
    <row r="143" spans="1:7" x14ac:dyDescent="0.25">
      <c r="A143" s="8">
        <v>42632.637604166666</v>
      </c>
      <c r="B143" s="23" t="s">
        <v>280</v>
      </c>
      <c r="C143" s="23" t="s">
        <v>507</v>
      </c>
      <c r="D143" s="23">
        <v>1290000</v>
      </c>
      <c r="E143" s="23" t="s">
        <v>173</v>
      </c>
      <c r="F143" s="23" t="str">
        <f t="shared" si="4"/>
        <v>rtdc.l.rtdc.4004:itc</v>
      </c>
      <c r="G143" s="8">
        <f t="shared" si="5"/>
        <v>42632.637604166666</v>
      </c>
    </row>
    <row r="144" spans="1:7" x14ac:dyDescent="0.25">
      <c r="A144" s="8">
        <v>42632.639675925922</v>
      </c>
      <c r="B144" s="23" t="s">
        <v>172</v>
      </c>
      <c r="C144" s="23" t="s">
        <v>508</v>
      </c>
      <c r="D144" s="23">
        <v>880000</v>
      </c>
      <c r="E144" s="23" t="s">
        <v>281</v>
      </c>
      <c r="F144" s="23" t="str">
        <f t="shared" si="4"/>
        <v>rtdc.l.rtdc.4026:itc</v>
      </c>
      <c r="G144" s="8">
        <f t="shared" si="5"/>
        <v>42632.639675925922</v>
      </c>
    </row>
    <row r="145" spans="1:7" x14ac:dyDescent="0.25">
      <c r="A145" s="8">
        <v>42632.642210648148</v>
      </c>
      <c r="B145" s="23" t="s">
        <v>407</v>
      </c>
      <c r="C145" s="23" t="s">
        <v>509</v>
      </c>
      <c r="D145" s="23">
        <v>1280000</v>
      </c>
      <c r="E145" s="23" t="s">
        <v>315</v>
      </c>
      <c r="F145" s="23" t="str">
        <f t="shared" si="4"/>
        <v>rtdc.l.rtdc.4054:itc</v>
      </c>
      <c r="G145" s="8">
        <f t="shared" si="5"/>
        <v>42632.642210648148</v>
      </c>
    </row>
    <row r="146" spans="1:7" x14ac:dyDescent="0.25">
      <c r="A146" s="8">
        <v>42632.643692129626</v>
      </c>
      <c r="B146" s="23" t="s">
        <v>178</v>
      </c>
      <c r="C146" s="23" t="s">
        <v>510</v>
      </c>
      <c r="D146" s="23">
        <v>1140000</v>
      </c>
      <c r="E146" s="23" t="s">
        <v>466</v>
      </c>
      <c r="F146" s="23" t="str">
        <f t="shared" si="4"/>
        <v>rtdc.l.rtdc.4042:itc</v>
      </c>
      <c r="G146" s="8">
        <f t="shared" si="5"/>
        <v>42632.643692129626</v>
      </c>
    </row>
    <row r="147" spans="1:7" x14ac:dyDescent="0.25">
      <c r="A147" s="8">
        <v>42632.651030092595</v>
      </c>
      <c r="B147" s="23" t="s">
        <v>307</v>
      </c>
      <c r="C147" s="23" t="s">
        <v>511</v>
      </c>
      <c r="D147" s="23">
        <v>2370000</v>
      </c>
      <c r="E147" s="23" t="s">
        <v>470</v>
      </c>
      <c r="F147" s="23" t="str">
        <f t="shared" si="4"/>
        <v>rtdc.l.rtdc.4011:itc</v>
      </c>
      <c r="G147" s="8">
        <f t="shared" si="5"/>
        <v>42632.651030092595</v>
      </c>
    </row>
    <row r="148" spans="1:7" x14ac:dyDescent="0.25">
      <c r="A148" s="8">
        <v>42632.65148148148</v>
      </c>
      <c r="B148" s="23" t="s">
        <v>311</v>
      </c>
      <c r="C148" s="23" t="s">
        <v>512</v>
      </c>
      <c r="D148" s="23">
        <v>1770000</v>
      </c>
      <c r="E148" s="23" t="s">
        <v>316</v>
      </c>
      <c r="F148" s="23" t="str">
        <f t="shared" si="4"/>
        <v>rtdc.l.rtdc.4039:itc</v>
      </c>
      <c r="G148" s="8">
        <f t="shared" si="5"/>
        <v>42632.65148148148</v>
      </c>
    </row>
    <row r="149" spans="1:7" x14ac:dyDescent="0.25">
      <c r="A149" s="8">
        <v>42632.656469907408</v>
      </c>
      <c r="B149" s="23" t="s">
        <v>387</v>
      </c>
      <c r="C149" s="23" t="s">
        <v>513</v>
      </c>
      <c r="D149" s="23">
        <v>940000</v>
      </c>
      <c r="E149" s="23" t="s">
        <v>461</v>
      </c>
      <c r="F149" s="23" t="str">
        <f t="shared" si="4"/>
        <v>rtdc.l.rtdc.4001:itc</v>
      </c>
      <c r="G149" s="8">
        <f t="shared" si="5"/>
        <v>42632.656469907408</v>
      </c>
    </row>
    <row r="150" spans="1:7" x14ac:dyDescent="0.25">
      <c r="A150" s="8">
        <v>42632.657118055555</v>
      </c>
      <c r="B150" s="23" t="s">
        <v>277</v>
      </c>
      <c r="C150" s="23" t="s">
        <v>514</v>
      </c>
      <c r="D150" s="23">
        <v>1290000</v>
      </c>
      <c r="E150" s="23" t="s">
        <v>173</v>
      </c>
      <c r="F150" s="23" t="str">
        <f t="shared" si="4"/>
        <v>rtdc.l.rtdc.4003:itc</v>
      </c>
      <c r="G150" s="8">
        <f t="shared" si="5"/>
        <v>42632.657118055555</v>
      </c>
    </row>
    <row r="151" spans="1:7" x14ac:dyDescent="0.25">
      <c r="A151" s="8">
        <v>42632.658518518518</v>
      </c>
      <c r="B151" s="23" t="s">
        <v>277</v>
      </c>
      <c r="C151" s="23" t="s">
        <v>514</v>
      </c>
      <c r="D151" s="23">
        <v>1290000</v>
      </c>
      <c r="E151" s="23" t="s">
        <v>173</v>
      </c>
      <c r="F151" s="23" t="str">
        <f t="shared" si="4"/>
        <v>rtdc.l.rtdc.4003:itc</v>
      </c>
      <c r="G151" s="8">
        <f t="shared" si="5"/>
        <v>42632.658518518518</v>
      </c>
    </row>
    <row r="152" spans="1:7" x14ac:dyDescent="0.25">
      <c r="A152" s="8">
        <v>42632.662997685184</v>
      </c>
      <c r="B152" s="23" t="s">
        <v>370</v>
      </c>
      <c r="C152" s="23" t="s">
        <v>515</v>
      </c>
      <c r="D152" s="23">
        <v>2100000</v>
      </c>
      <c r="E152" s="23" t="s">
        <v>474</v>
      </c>
      <c r="F152" s="23" t="str">
        <f t="shared" si="4"/>
        <v>rtdc.l.rtdc.4007:itc</v>
      </c>
      <c r="G152" s="8">
        <f t="shared" si="5"/>
        <v>42632.662997685184</v>
      </c>
    </row>
    <row r="153" spans="1:7" x14ac:dyDescent="0.25">
      <c r="A153" s="8">
        <v>42632.668506944443</v>
      </c>
      <c r="B153" s="23" t="s">
        <v>393</v>
      </c>
      <c r="C153" s="23" t="s">
        <v>516</v>
      </c>
      <c r="D153" s="23">
        <v>930000</v>
      </c>
      <c r="E153" s="23" t="s">
        <v>282</v>
      </c>
      <c r="F153" s="23" t="str">
        <f t="shared" si="4"/>
        <v>rtdc.l.rtdc.4032:itc</v>
      </c>
      <c r="G153" s="8">
        <f t="shared" si="5"/>
        <v>42632.668506944443</v>
      </c>
    </row>
    <row r="154" spans="1:7" x14ac:dyDescent="0.25">
      <c r="A154" s="8">
        <v>42632.672430555554</v>
      </c>
      <c r="B154" s="23" t="s">
        <v>280</v>
      </c>
      <c r="C154" s="23" t="s">
        <v>517</v>
      </c>
      <c r="D154" s="23">
        <v>1290000</v>
      </c>
      <c r="E154" s="23" t="s">
        <v>173</v>
      </c>
      <c r="F154" s="23" t="str">
        <f t="shared" si="4"/>
        <v>rtdc.l.rtdc.4004:itc</v>
      </c>
      <c r="G154" s="8">
        <f t="shared" si="5"/>
        <v>42632.672430555554</v>
      </c>
    </row>
    <row r="155" spans="1:7" x14ac:dyDescent="0.25">
      <c r="A155" s="8">
        <v>42632.674004629633</v>
      </c>
      <c r="B155" s="23" t="s">
        <v>171</v>
      </c>
      <c r="C155" s="23" t="s">
        <v>518</v>
      </c>
      <c r="D155" s="23">
        <v>880000</v>
      </c>
      <c r="E155" s="23" t="s">
        <v>281</v>
      </c>
      <c r="F155" s="23" t="str">
        <f t="shared" si="4"/>
        <v>rtdc.l.rtdc.4025:itc</v>
      </c>
      <c r="G155" s="8">
        <f t="shared" si="5"/>
        <v>42632.674004629633</v>
      </c>
    </row>
    <row r="156" spans="1:7" x14ac:dyDescent="0.25">
      <c r="A156" s="8">
        <v>42632.676539351851</v>
      </c>
      <c r="B156" s="23" t="s">
        <v>176</v>
      </c>
      <c r="C156" s="23" t="s">
        <v>519</v>
      </c>
      <c r="D156" s="23">
        <v>1140000</v>
      </c>
      <c r="E156" s="23" t="s">
        <v>466</v>
      </c>
      <c r="F156" s="23" t="str">
        <f t="shared" si="4"/>
        <v>rtdc.l.rtdc.4041:itc</v>
      </c>
      <c r="G156" s="8">
        <f t="shared" si="5"/>
        <v>42632.676539351851</v>
      </c>
    </row>
    <row r="157" spans="1:7" x14ac:dyDescent="0.25">
      <c r="A157" s="8">
        <v>42632.678287037037</v>
      </c>
      <c r="B157" s="23" t="s">
        <v>308</v>
      </c>
      <c r="C157" s="23" t="s">
        <v>520</v>
      </c>
      <c r="D157" s="23">
        <v>1770000</v>
      </c>
      <c r="E157" s="23" t="s">
        <v>316</v>
      </c>
      <c r="F157" s="23" t="str">
        <f t="shared" si="4"/>
        <v>rtdc.l.rtdc.4040:itc</v>
      </c>
      <c r="G157" s="8">
        <f t="shared" si="5"/>
        <v>42632.678287037037</v>
      </c>
    </row>
    <row r="158" spans="1:7" x14ac:dyDescent="0.25">
      <c r="A158" s="8">
        <v>42632.68277777778</v>
      </c>
      <c r="B158" s="23" t="s">
        <v>373</v>
      </c>
      <c r="C158" s="23" t="s">
        <v>521</v>
      </c>
      <c r="D158" s="23">
        <v>1280000</v>
      </c>
      <c r="E158" s="23" t="s">
        <v>315</v>
      </c>
      <c r="F158" s="23" t="str">
        <f t="shared" si="4"/>
        <v>rtdc.l.rtdc.4053:itc</v>
      </c>
      <c r="G158" s="8">
        <f t="shared" si="5"/>
        <v>42632.68277777778</v>
      </c>
    </row>
    <row r="159" spans="1:7" x14ac:dyDescent="0.25">
      <c r="A159" s="8">
        <v>42632.685694444444</v>
      </c>
      <c r="B159" s="23" t="s">
        <v>314</v>
      </c>
      <c r="C159" s="23" t="s">
        <v>522</v>
      </c>
      <c r="D159" s="23">
        <v>2370000</v>
      </c>
      <c r="E159" s="23" t="s">
        <v>470</v>
      </c>
      <c r="F159" s="23" t="str">
        <f t="shared" si="4"/>
        <v>rtdc.l.rtdc.4012:itc</v>
      </c>
      <c r="G159" s="8">
        <f t="shared" si="5"/>
        <v>42632.685694444444</v>
      </c>
    </row>
    <row r="160" spans="1:7" x14ac:dyDescent="0.25">
      <c r="A160" s="8">
        <v>42632.692777777775</v>
      </c>
      <c r="B160" s="23" t="s">
        <v>311</v>
      </c>
      <c r="C160" s="23" t="s">
        <v>523</v>
      </c>
      <c r="D160" s="23">
        <v>1770000</v>
      </c>
      <c r="E160" s="23" t="s">
        <v>316</v>
      </c>
      <c r="F160" s="23" t="str">
        <f t="shared" si="4"/>
        <v>rtdc.l.rtdc.4039:itc</v>
      </c>
      <c r="G160" s="8">
        <f t="shared" si="5"/>
        <v>42632.692777777775</v>
      </c>
    </row>
    <row r="161" spans="1:7" x14ac:dyDescent="0.25">
      <c r="A161" s="8">
        <v>42632.69390046296</v>
      </c>
      <c r="B161" s="23" t="s">
        <v>377</v>
      </c>
      <c r="C161" s="23" t="s">
        <v>524</v>
      </c>
      <c r="D161" s="23">
        <v>940000</v>
      </c>
      <c r="E161" s="23" t="s">
        <v>461</v>
      </c>
      <c r="F161" s="23" t="str">
        <f t="shared" si="4"/>
        <v>rtdc.l.rtdc.4002:itc</v>
      </c>
      <c r="G161" s="8">
        <f t="shared" si="5"/>
        <v>42632.69390046296</v>
      </c>
    </row>
    <row r="162" spans="1:7" x14ac:dyDescent="0.25">
      <c r="A162" s="8">
        <v>42632.697372685187</v>
      </c>
      <c r="B162" s="23" t="s">
        <v>277</v>
      </c>
      <c r="C162" s="23" t="s">
        <v>525</v>
      </c>
      <c r="D162" s="23">
        <v>1290000</v>
      </c>
      <c r="E162" s="23" t="s">
        <v>173</v>
      </c>
      <c r="F162" s="23" t="str">
        <f t="shared" si="4"/>
        <v>rtdc.l.rtdc.4003:itc</v>
      </c>
      <c r="G162" s="8">
        <f t="shared" si="5"/>
        <v>42632.697372685187</v>
      </c>
    </row>
    <row r="163" spans="1:7" x14ac:dyDescent="0.25">
      <c r="A163" s="8">
        <v>42632.702777777777</v>
      </c>
      <c r="B163" s="23" t="s">
        <v>402</v>
      </c>
      <c r="C163" s="23" t="s">
        <v>526</v>
      </c>
      <c r="D163" s="23">
        <v>2100000</v>
      </c>
      <c r="E163" s="23" t="s">
        <v>474</v>
      </c>
      <c r="F163" s="23" t="str">
        <f t="shared" si="4"/>
        <v>rtdc.l.rtdc.4008:itc</v>
      </c>
      <c r="G163" s="8">
        <f t="shared" si="5"/>
        <v>42632.702777777777</v>
      </c>
    </row>
    <row r="164" spans="1:7" x14ac:dyDescent="0.25">
      <c r="A164" s="8">
        <v>42632.705266203702</v>
      </c>
      <c r="B164" s="23" t="s">
        <v>368</v>
      </c>
      <c r="C164" s="23" t="s">
        <v>527</v>
      </c>
      <c r="D164" s="23">
        <v>930000</v>
      </c>
      <c r="E164" s="23" t="s">
        <v>282</v>
      </c>
      <c r="F164" s="23" t="str">
        <f t="shared" si="4"/>
        <v>rtdc.l.rtdc.4031:itc</v>
      </c>
      <c r="G164" s="8">
        <f t="shared" si="5"/>
        <v>42632.705266203702</v>
      </c>
    </row>
    <row r="165" spans="1:7" x14ac:dyDescent="0.25">
      <c r="A165" s="8">
        <v>42632.714375000003</v>
      </c>
      <c r="B165" s="23" t="s">
        <v>172</v>
      </c>
      <c r="C165" s="23" t="s">
        <v>528</v>
      </c>
      <c r="D165" s="23">
        <v>880000</v>
      </c>
      <c r="E165" s="23" t="s">
        <v>281</v>
      </c>
      <c r="F165" s="23" t="str">
        <f t="shared" si="4"/>
        <v>rtdc.l.rtdc.4026:itc</v>
      </c>
      <c r="G165" s="8">
        <f t="shared" si="5"/>
        <v>42632.714375000003</v>
      </c>
    </row>
    <row r="166" spans="1:7" x14ac:dyDescent="0.25">
      <c r="A166" s="8">
        <v>42632.715949074074</v>
      </c>
      <c r="B166" s="23" t="s">
        <v>407</v>
      </c>
      <c r="C166" s="23" t="s">
        <v>529</v>
      </c>
      <c r="D166" s="23">
        <v>1280000</v>
      </c>
      <c r="E166" s="23" t="s">
        <v>315</v>
      </c>
      <c r="F166" s="23" t="str">
        <f t="shared" si="4"/>
        <v>rtdc.l.rtdc.4054:itc</v>
      </c>
      <c r="G166" s="8">
        <f t="shared" si="5"/>
        <v>42632.715949074074</v>
      </c>
    </row>
    <row r="167" spans="1:7" x14ac:dyDescent="0.25">
      <c r="A167" s="8">
        <v>42632.716909722221</v>
      </c>
      <c r="B167" s="23" t="s">
        <v>178</v>
      </c>
      <c r="C167" s="23" t="s">
        <v>530</v>
      </c>
      <c r="D167" s="23">
        <v>1180000</v>
      </c>
      <c r="E167" s="23" t="s">
        <v>332</v>
      </c>
      <c r="F167" s="23" t="str">
        <f t="shared" si="4"/>
        <v>rtdc.l.rtdc.4042:itc</v>
      </c>
      <c r="G167" s="8">
        <f t="shared" si="5"/>
        <v>42632.716909722221</v>
      </c>
    </row>
    <row r="168" spans="1:7" x14ac:dyDescent="0.25">
      <c r="A168" s="8">
        <v>42632.718923611108</v>
      </c>
      <c r="B168" s="23" t="s">
        <v>308</v>
      </c>
      <c r="C168" s="23" t="s">
        <v>531</v>
      </c>
      <c r="D168" s="23">
        <v>1770000</v>
      </c>
      <c r="E168" s="23" t="s">
        <v>316</v>
      </c>
      <c r="F168" s="23" t="str">
        <f t="shared" si="4"/>
        <v>rtdc.l.rtdc.4040:itc</v>
      </c>
      <c r="G168" s="8">
        <f t="shared" si="5"/>
        <v>42632.718923611108</v>
      </c>
    </row>
    <row r="169" spans="1:7" x14ac:dyDescent="0.25">
      <c r="A169" s="8">
        <v>42632.719467592593</v>
      </c>
      <c r="B169" s="23" t="s">
        <v>280</v>
      </c>
      <c r="C169" s="23" t="s">
        <v>532</v>
      </c>
      <c r="D169" s="23">
        <v>1290000</v>
      </c>
      <c r="E169" s="23" t="s">
        <v>173</v>
      </c>
      <c r="F169" s="23" t="str">
        <f t="shared" si="4"/>
        <v>rtdc.l.rtdc.4004:itc</v>
      </c>
      <c r="G169" s="8">
        <f t="shared" si="5"/>
        <v>42632.719467592593</v>
      </c>
    </row>
    <row r="170" spans="1:7" x14ac:dyDescent="0.25">
      <c r="A170" s="8">
        <v>42632.725775462961</v>
      </c>
      <c r="B170" s="23" t="s">
        <v>307</v>
      </c>
      <c r="C170" s="23" t="s">
        <v>533</v>
      </c>
      <c r="D170" s="23">
        <v>1140000</v>
      </c>
      <c r="E170" s="23" t="s">
        <v>466</v>
      </c>
      <c r="F170" s="23" t="str">
        <f t="shared" si="4"/>
        <v>rtdc.l.rtdc.4011:itc</v>
      </c>
      <c r="G170" s="8">
        <f t="shared" si="5"/>
        <v>42632.725775462961</v>
      </c>
    </row>
    <row r="171" spans="1:7" x14ac:dyDescent="0.25">
      <c r="A171" s="8">
        <v>42632.728252314817</v>
      </c>
      <c r="B171" s="23" t="s">
        <v>387</v>
      </c>
      <c r="C171" s="23" t="s">
        <v>534</v>
      </c>
      <c r="D171" s="23">
        <v>940000</v>
      </c>
      <c r="E171" s="23" t="s">
        <v>461</v>
      </c>
      <c r="F171" s="23" t="str">
        <f t="shared" si="4"/>
        <v>rtdc.l.rtdc.4001:itc</v>
      </c>
      <c r="G171" s="8">
        <f t="shared" si="5"/>
        <v>42632.728252314817</v>
      </c>
    </row>
    <row r="172" spans="1:7" x14ac:dyDescent="0.25">
      <c r="A172" s="8">
        <v>42632.735023148147</v>
      </c>
      <c r="B172" s="23" t="s">
        <v>311</v>
      </c>
      <c r="C172" s="23" t="s">
        <v>535</v>
      </c>
      <c r="D172" s="23">
        <v>1770000</v>
      </c>
      <c r="E172" s="23" t="s">
        <v>316</v>
      </c>
      <c r="F172" s="23" t="str">
        <f t="shared" si="4"/>
        <v>rtdc.l.rtdc.4039:itc</v>
      </c>
      <c r="G172" s="8">
        <f t="shared" si="5"/>
        <v>42632.735023148147</v>
      </c>
    </row>
    <row r="173" spans="1:7" x14ac:dyDescent="0.25">
      <c r="A173" s="8">
        <v>42632.735486111109</v>
      </c>
      <c r="B173" s="23" t="s">
        <v>370</v>
      </c>
      <c r="C173" s="23" t="s">
        <v>536</v>
      </c>
      <c r="D173" s="23">
        <v>1810000</v>
      </c>
      <c r="E173" s="23" t="s">
        <v>275</v>
      </c>
      <c r="F173" s="23" t="str">
        <f t="shared" si="4"/>
        <v>rtdc.l.rtdc.4007:itc</v>
      </c>
      <c r="G173" s="8">
        <f t="shared" si="5"/>
        <v>42632.735486111109</v>
      </c>
    </row>
    <row r="174" spans="1:7" x14ac:dyDescent="0.25">
      <c r="A174" s="8">
        <v>42632.740532407406</v>
      </c>
      <c r="B174" s="23" t="s">
        <v>277</v>
      </c>
      <c r="C174" s="23" t="s">
        <v>537</v>
      </c>
      <c r="D174" s="23">
        <v>1290000</v>
      </c>
      <c r="E174" s="23" t="s">
        <v>173</v>
      </c>
      <c r="F174" s="23" t="str">
        <f t="shared" si="4"/>
        <v>rtdc.l.rtdc.4003:itc</v>
      </c>
      <c r="G174" s="8">
        <f t="shared" si="5"/>
        <v>42632.740532407406</v>
      </c>
    </row>
    <row r="175" spans="1:7" x14ac:dyDescent="0.25">
      <c r="A175" s="8">
        <v>42632.742627314816</v>
      </c>
      <c r="B175" s="23" t="s">
        <v>393</v>
      </c>
      <c r="C175" s="23" t="s">
        <v>538</v>
      </c>
      <c r="D175" s="23">
        <v>930000</v>
      </c>
      <c r="E175" s="23" t="s">
        <v>282</v>
      </c>
      <c r="F175" s="23" t="str">
        <f t="shared" si="4"/>
        <v>rtdc.l.rtdc.4032:itc</v>
      </c>
      <c r="G175" s="8">
        <f t="shared" si="5"/>
        <v>42632.742627314816</v>
      </c>
    </row>
    <row r="176" spans="1:7" x14ac:dyDescent="0.25">
      <c r="A176" s="8">
        <v>42632.745648148149</v>
      </c>
      <c r="B176" s="23" t="s">
        <v>171</v>
      </c>
      <c r="C176" s="23" t="s">
        <v>539</v>
      </c>
      <c r="D176" s="23">
        <v>2100000</v>
      </c>
      <c r="E176" s="23" t="s">
        <v>474</v>
      </c>
      <c r="F176" s="23" t="str">
        <f t="shared" si="4"/>
        <v>rtdc.l.rtdc.4025:itc</v>
      </c>
      <c r="G176" s="8">
        <f t="shared" si="5"/>
        <v>42632.745648148149</v>
      </c>
    </row>
    <row r="177" spans="1:7" x14ac:dyDescent="0.25">
      <c r="A177" s="8">
        <v>42632.750775462962</v>
      </c>
      <c r="B177" s="23" t="s">
        <v>176</v>
      </c>
      <c r="C177" s="23" t="s">
        <v>540</v>
      </c>
      <c r="D177" s="23">
        <v>1180000</v>
      </c>
      <c r="E177" s="23" t="s">
        <v>332</v>
      </c>
      <c r="F177" s="23" t="str">
        <f t="shared" si="4"/>
        <v>rtdc.l.rtdc.4041:itc</v>
      </c>
      <c r="G177" s="8">
        <f t="shared" si="5"/>
        <v>42632.750775462962</v>
      </c>
    </row>
    <row r="178" spans="1:7" x14ac:dyDescent="0.25">
      <c r="A178" s="8">
        <v>42632.756377314814</v>
      </c>
      <c r="B178" s="23" t="s">
        <v>280</v>
      </c>
      <c r="C178" s="23" t="s">
        <v>541</v>
      </c>
      <c r="D178" s="23">
        <v>1290000</v>
      </c>
      <c r="E178" s="23" t="s">
        <v>173</v>
      </c>
      <c r="F178" s="23" t="str">
        <f t="shared" si="4"/>
        <v>rtdc.l.rtdc.4004:itc</v>
      </c>
      <c r="G178" s="8">
        <f t="shared" si="5"/>
        <v>42632.756377314814</v>
      </c>
    </row>
    <row r="179" spans="1:7" x14ac:dyDescent="0.25">
      <c r="A179" s="8">
        <v>42632.759456018517</v>
      </c>
      <c r="B179" s="23" t="s">
        <v>373</v>
      </c>
      <c r="C179" s="23" t="s">
        <v>542</v>
      </c>
      <c r="D179" s="23">
        <v>1800000</v>
      </c>
      <c r="E179" s="23" t="s">
        <v>284</v>
      </c>
      <c r="F179" s="23" t="str">
        <f t="shared" si="4"/>
        <v>rtdc.l.rtdc.4053:itc</v>
      </c>
      <c r="G179" s="8">
        <f t="shared" si="5"/>
        <v>42632.759456018517</v>
      </c>
    </row>
    <row r="180" spans="1:7" x14ac:dyDescent="0.25">
      <c r="A180" s="8">
        <v>42632.761261574073</v>
      </c>
      <c r="B180" s="23" t="s">
        <v>308</v>
      </c>
      <c r="C180" s="23" t="s">
        <v>543</v>
      </c>
      <c r="D180" s="23">
        <v>1770000</v>
      </c>
      <c r="E180" s="23" t="s">
        <v>316</v>
      </c>
      <c r="F180" s="23" t="str">
        <f t="shared" si="4"/>
        <v>rtdc.l.rtdc.4040:itc</v>
      </c>
      <c r="G180" s="8">
        <f t="shared" si="5"/>
        <v>42632.761261574073</v>
      </c>
    </row>
    <row r="181" spans="1:7" x14ac:dyDescent="0.25">
      <c r="A181" s="8">
        <v>42632.768136574072</v>
      </c>
      <c r="B181" s="23" t="s">
        <v>377</v>
      </c>
      <c r="C181" s="23" t="s">
        <v>544</v>
      </c>
      <c r="D181" s="23">
        <v>1230000</v>
      </c>
      <c r="E181" s="23" t="s">
        <v>283</v>
      </c>
      <c r="F181" s="23" t="str">
        <f t="shared" si="4"/>
        <v>rtdc.l.rtdc.4002:itc</v>
      </c>
      <c r="G181" s="8">
        <f t="shared" si="5"/>
        <v>42632.768136574072</v>
      </c>
    </row>
    <row r="182" spans="1:7" x14ac:dyDescent="0.25">
      <c r="A182" s="8">
        <v>42632.769016203703</v>
      </c>
      <c r="B182" s="23" t="s">
        <v>314</v>
      </c>
      <c r="C182" s="23" t="s">
        <v>545</v>
      </c>
      <c r="D182" s="23">
        <v>1140000</v>
      </c>
      <c r="E182" s="23" t="s">
        <v>466</v>
      </c>
      <c r="F182" s="23" t="str">
        <f t="shared" si="4"/>
        <v>rtdc.l.rtdc.4012:itc</v>
      </c>
      <c r="G182" s="8">
        <f t="shared" si="5"/>
        <v>42632.769016203703</v>
      </c>
    </row>
    <row r="183" spans="1:7" x14ac:dyDescent="0.25">
      <c r="A183" s="8">
        <v>42632.770590277774</v>
      </c>
      <c r="B183" s="23" t="s">
        <v>402</v>
      </c>
      <c r="C183" s="23" t="s">
        <v>546</v>
      </c>
      <c r="D183" s="23">
        <v>1810000</v>
      </c>
      <c r="E183" s="23" t="s">
        <v>275</v>
      </c>
      <c r="F183" s="23" t="str">
        <f t="shared" si="4"/>
        <v>rtdc.l.rtdc.4008:itc</v>
      </c>
      <c r="G183" s="8">
        <f t="shared" si="5"/>
        <v>42632.770590277774</v>
      </c>
    </row>
    <row r="184" spans="1:7" x14ac:dyDescent="0.25">
      <c r="A184" s="8">
        <v>42632.776562500003</v>
      </c>
      <c r="B184" s="23" t="s">
        <v>311</v>
      </c>
      <c r="C184" s="23" t="s">
        <v>547</v>
      </c>
      <c r="D184" s="23">
        <v>1770000</v>
      </c>
      <c r="E184" s="23" t="s">
        <v>316</v>
      </c>
      <c r="F184" s="23" t="str">
        <f t="shared" si="4"/>
        <v>rtdc.l.rtdc.4039:itc</v>
      </c>
      <c r="G184" s="8">
        <f t="shared" si="5"/>
        <v>42632.776562500003</v>
      </c>
    </row>
    <row r="185" spans="1:7" x14ac:dyDescent="0.25">
      <c r="A185" s="8">
        <v>42632.780300925922</v>
      </c>
      <c r="B185" s="23" t="s">
        <v>368</v>
      </c>
      <c r="C185" s="23" t="s">
        <v>548</v>
      </c>
      <c r="D185" s="23">
        <v>930000</v>
      </c>
      <c r="E185" s="23" t="s">
        <v>282</v>
      </c>
      <c r="F185" s="23" t="str">
        <f t="shared" si="4"/>
        <v>rtdc.l.rtdc.4031:itc</v>
      </c>
      <c r="G185" s="8">
        <f t="shared" si="5"/>
        <v>42632.780300925922</v>
      </c>
    </row>
    <row r="186" spans="1:7" x14ac:dyDescent="0.25">
      <c r="A186" s="8">
        <v>42632.782083333332</v>
      </c>
      <c r="B186" s="23" t="s">
        <v>277</v>
      </c>
      <c r="C186" s="23" t="s">
        <v>549</v>
      </c>
      <c r="D186" s="23">
        <v>1290000</v>
      </c>
      <c r="E186" s="23" t="s">
        <v>173</v>
      </c>
      <c r="F186" s="23" t="str">
        <f t="shared" si="4"/>
        <v>rtdc.l.rtdc.4003:itc</v>
      </c>
      <c r="G186" s="8">
        <f t="shared" si="5"/>
        <v>42632.782083333332</v>
      </c>
    </row>
    <row r="187" spans="1:7" x14ac:dyDescent="0.25">
      <c r="A187" s="8">
        <v>42632.784247685187</v>
      </c>
      <c r="B187" s="23" t="s">
        <v>172</v>
      </c>
      <c r="C187" s="23" t="s">
        <v>550</v>
      </c>
      <c r="D187" s="23">
        <v>2100000</v>
      </c>
      <c r="E187" s="23" t="s">
        <v>474</v>
      </c>
      <c r="F187" s="23" t="str">
        <f t="shared" si="4"/>
        <v>rtdc.l.rtdc.4026:itc</v>
      </c>
      <c r="G187" s="8">
        <f t="shared" si="5"/>
        <v>42632.784247685187</v>
      </c>
    </row>
    <row r="188" spans="1:7" x14ac:dyDescent="0.25">
      <c r="A188" s="8">
        <v>42632.791921296295</v>
      </c>
      <c r="B188" s="23" t="s">
        <v>178</v>
      </c>
      <c r="C188" s="23" t="s">
        <v>551</v>
      </c>
      <c r="D188" s="23">
        <v>1180000</v>
      </c>
      <c r="E188" s="23" t="s">
        <v>332</v>
      </c>
      <c r="F188" s="23" t="str">
        <f t="shared" si="4"/>
        <v>rtdc.l.rtdc.4042:itc</v>
      </c>
      <c r="G188" s="8">
        <f t="shared" si="5"/>
        <v>42632.791921296295</v>
      </c>
    </row>
    <row r="189" spans="1:7" x14ac:dyDescent="0.25">
      <c r="A189" s="8">
        <v>42632.798333333332</v>
      </c>
      <c r="B189" s="23" t="s">
        <v>280</v>
      </c>
      <c r="C189" s="23" t="s">
        <v>552</v>
      </c>
      <c r="D189" s="23">
        <v>1290000</v>
      </c>
      <c r="E189" s="23" t="s">
        <v>173</v>
      </c>
      <c r="F189" s="23" t="str">
        <f t="shared" si="4"/>
        <v>rtdc.l.rtdc.4004:itc</v>
      </c>
      <c r="G189" s="8">
        <f t="shared" si="5"/>
        <v>42632.798333333332</v>
      </c>
    </row>
    <row r="190" spans="1:7" x14ac:dyDescent="0.25">
      <c r="A190" s="8">
        <v>42632.799155092594</v>
      </c>
      <c r="B190" s="23" t="s">
        <v>407</v>
      </c>
      <c r="C190" s="23" t="s">
        <v>553</v>
      </c>
      <c r="D190" s="23">
        <v>1800000</v>
      </c>
      <c r="E190" s="23" t="s">
        <v>284</v>
      </c>
      <c r="F190" s="23" t="str">
        <f t="shared" si="4"/>
        <v>rtdc.l.rtdc.4054:itc</v>
      </c>
      <c r="G190" s="8">
        <f t="shared" si="5"/>
        <v>42632.799155092594</v>
      </c>
    </row>
    <row r="191" spans="1:7" x14ac:dyDescent="0.25">
      <c r="A191" s="8">
        <v>42632.801527777781</v>
      </c>
      <c r="B191" s="23" t="s">
        <v>308</v>
      </c>
      <c r="C191" s="23" t="s">
        <v>554</v>
      </c>
      <c r="D191" s="23">
        <v>1770000</v>
      </c>
      <c r="E191" s="23" t="s">
        <v>316</v>
      </c>
      <c r="F191" s="23" t="str">
        <f t="shared" si="4"/>
        <v>rtdc.l.rtdc.4040:itc</v>
      </c>
      <c r="G191" s="8">
        <f t="shared" si="5"/>
        <v>42632.801527777781</v>
      </c>
    </row>
    <row r="192" spans="1:7" x14ac:dyDescent="0.25">
      <c r="A192" s="8">
        <v>42632.807743055557</v>
      </c>
      <c r="B192" s="23" t="s">
        <v>387</v>
      </c>
      <c r="C192" s="23" t="s">
        <v>555</v>
      </c>
      <c r="D192" s="23">
        <v>1230000</v>
      </c>
      <c r="E192" s="23" t="s">
        <v>283</v>
      </c>
      <c r="F192" s="23" t="str">
        <f t="shared" si="4"/>
        <v>rtdc.l.rtdc.4001:itc</v>
      </c>
      <c r="G192" s="8">
        <f t="shared" si="5"/>
        <v>42632.807743055557</v>
      </c>
    </row>
    <row r="193" spans="1:7" x14ac:dyDescent="0.25">
      <c r="A193" s="8">
        <v>42632.808287037034</v>
      </c>
      <c r="B193" s="23" t="s">
        <v>370</v>
      </c>
      <c r="C193" s="23" t="s">
        <v>556</v>
      </c>
      <c r="D193" s="23">
        <v>1810000</v>
      </c>
      <c r="E193" s="23" t="s">
        <v>275</v>
      </c>
      <c r="F193" s="23" t="str">
        <f t="shared" si="4"/>
        <v>rtdc.l.rtdc.4007:itc</v>
      </c>
      <c r="G193" s="8">
        <f t="shared" si="5"/>
        <v>42632.808287037034</v>
      </c>
    </row>
    <row r="194" spans="1:7" x14ac:dyDescent="0.25">
      <c r="A194" s="8">
        <v>42632.817060185182</v>
      </c>
      <c r="B194" s="23" t="s">
        <v>311</v>
      </c>
      <c r="C194" s="23" t="s">
        <v>557</v>
      </c>
      <c r="D194" s="23">
        <v>1770000</v>
      </c>
      <c r="E194" s="23" t="s">
        <v>316</v>
      </c>
      <c r="F194" s="23" t="str">
        <f t="shared" ref="F194:F235" si="6">B194</f>
        <v>rtdc.l.rtdc.4039:itc</v>
      </c>
      <c r="G194" s="8">
        <f t="shared" ref="G194:G235" si="7">A194</f>
        <v>42632.817060185182</v>
      </c>
    </row>
    <row r="195" spans="1:7" x14ac:dyDescent="0.25">
      <c r="A195" s="8">
        <v>42632.817847222221</v>
      </c>
      <c r="B195" s="23" t="s">
        <v>171</v>
      </c>
      <c r="C195" s="23" t="s">
        <v>558</v>
      </c>
      <c r="D195" s="23">
        <v>2100000</v>
      </c>
      <c r="E195" s="23" t="s">
        <v>474</v>
      </c>
      <c r="F195" s="23" t="str">
        <f t="shared" si="6"/>
        <v>rtdc.l.rtdc.4025:itc</v>
      </c>
      <c r="G195" s="8">
        <f t="shared" si="7"/>
        <v>42632.817847222221</v>
      </c>
    </row>
    <row r="196" spans="1:7" x14ac:dyDescent="0.25">
      <c r="A196" s="8">
        <v>42632.827048611114</v>
      </c>
      <c r="B196" s="23" t="s">
        <v>176</v>
      </c>
      <c r="C196" s="23" t="s">
        <v>559</v>
      </c>
      <c r="D196" s="23">
        <v>1180000</v>
      </c>
      <c r="E196" s="23" t="s">
        <v>332</v>
      </c>
      <c r="F196" s="23" t="str">
        <f t="shared" si="6"/>
        <v>rtdc.l.rtdc.4041:itc</v>
      </c>
      <c r="G196" s="8">
        <f t="shared" si="7"/>
        <v>42632.827048611114</v>
      </c>
    </row>
    <row r="197" spans="1:7" x14ac:dyDescent="0.25">
      <c r="A197" s="8">
        <v>42632.83390046296</v>
      </c>
      <c r="B197" s="23" t="s">
        <v>373</v>
      </c>
      <c r="C197" s="23" t="s">
        <v>560</v>
      </c>
      <c r="D197" s="23">
        <v>1800000</v>
      </c>
      <c r="E197" s="23" t="s">
        <v>284</v>
      </c>
      <c r="F197" s="23" t="str">
        <f t="shared" si="6"/>
        <v>rtdc.l.rtdc.4053:itc</v>
      </c>
      <c r="G197" s="8">
        <f t="shared" si="7"/>
        <v>42632.83390046296</v>
      </c>
    </row>
    <row r="198" spans="1:7" x14ac:dyDescent="0.25">
      <c r="A198" s="8">
        <v>42632.839189814818</v>
      </c>
      <c r="B198" s="23" t="s">
        <v>402</v>
      </c>
      <c r="C198" s="23" t="s">
        <v>561</v>
      </c>
      <c r="D198" s="23">
        <v>1810000</v>
      </c>
      <c r="E198" s="23" t="s">
        <v>275</v>
      </c>
      <c r="F198" s="23" t="str">
        <f t="shared" si="6"/>
        <v>rtdc.l.rtdc.4008:itc</v>
      </c>
      <c r="G198" s="8">
        <f t="shared" si="7"/>
        <v>42632.839189814818</v>
      </c>
    </row>
    <row r="199" spans="1:7" x14ac:dyDescent="0.25">
      <c r="A199" s="8">
        <v>42632.840682870374</v>
      </c>
      <c r="B199" s="23" t="s">
        <v>377</v>
      </c>
      <c r="C199" s="23" t="s">
        <v>562</v>
      </c>
      <c r="D199" s="23">
        <v>1230000</v>
      </c>
      <c r="E199" s="23" t="s">
        <v>283</v>
      </c>
      <c r="F199" s="23" t="str">
        <f t="shared" si="6"/>
        <v>rtdc.l.rtdc.4002:itc</v>
      </c>
      <c r="G199" s="8">
        <f t="shared" si="7"/>
        <v>42632.840682870374</v>
      </c>
    </row>
    <row r="200" spans="1:7" x14ac:dyDescent="0.25">
      <c r="A200" s="8">
        <v>42632.841481481482</v>
      </c>
      <c r="B200" s="23" t="s">
        <v>308</v>
      </c>
      <c r="C200" s="23" t="s">
        <v>563</v>
      </c>
      <c r="D200" s="23">
        <v>1770000</v>
      </c>
      <c r="E200" s="23" t="s">
        <v>316</v>
      </c>
      <c r="F200" s="23" t="str">
        <f t="shared" si="6"/>
        <v>rtdc.l.rtdc.4040:itc</v>
      </c>
      <c r="G200" s="8">
        <f t="shared" si="7"/>
        <v>42632.841481481482</v>
      </c>
    </row>
    <row r="201" spans="1:7" x14ac:dyDescent="0.25">
      <c r="A201" s="8">
        <v>42632.858726851853</v>
      </c>
      <c r="B201" s="23" t="s">
        <v>311</v>
      </c>
      <c r="C201" s="23" t="s">
        <v>564</v>
      </c>
      <c r="D201" s="23">
        <v>1770000</v>
      </c>
      <c r="E201" s="23" t="s">
        <v>316</v>
      </c>
      <c r="F201" s="23" t="str">
        <f t="shared" si="6"/>
        <v>rtdc.l.rtdc.4039:itc</v>
      </c>
      <c r="G201" s="8">
        <f t="shared" si="7"/>
        <v>42632.858726851853</v>
      </c>
    </row>
    <row r="202" spans="1:7" x14ac:dyDescent="0.25">
      <c r="A202" s="29">
        <v>42632.869768518518</v>
      </c>
      <c r="B202" s="23" t="s">
        <v>178</v>
      </c>
      <c r="C202" s="23" t="s">
        <v>565</v>
      </c>
      <c r="D202" s="23">
        <v>1180000</v>
      </c>
      <c r="E202" s="23" t="s">
        <v>332</v>
      </c>
      <c r="F202" s="23" t="str">
        <f t="shared" si="6"/>
        <v>rtdc.l.rtdc.4042:itc</v>
      </c>
      <c r="G202" s="8">
        <f t="shared" si="7"/>
        <v>42632.869768518518</v>
      </c>
    </row>
    <row r="203" spans="1:7" x14ac:dyDescent="0.25">
      <c r="A203" s="8">
        <v>42632.871192129627</v>
      </c>
      <c r="B203" s="23" t="s">
        <v>402</v>
      </c>
      <c r="C203" s="23" t="s">
        <v>561</v>
      </c>
      <c r="D203" s="23">
        <v>1810000</v>
      </c>
      <c r="E203" s="23" t="s">
        <v>275</v>
      </c>
      <c r="F203" s="23" t="str">
        <f t="shared" si="6"/>
        <v>rtdc.l.rtdc.4008:itc</v>
      </c>
      <c r="G203" s="8">
        <f t="shared" si="7"/>
        <v>42632.871192129627</v>
      </c>
    </row>
    <row r="204" spans="1:7" x14ac:dyDescent="0.25">
      <c r="A204" s="8">
        <v>42632.871446759258</v>
      </c>
      <c r="B204" s="23" t="s">
        <v>407</v>
      </c>
      <c r="C204" s="23" t="s">
        <v>566</v>
      </c>
      <c r="D204" s="23">
        <v>1800000</v>
      </c>
      <c r="E204" s="23" t="s">
        <v>284</v>
      </c>
      <c r="F204" s="23" t="str">
        <f t="shared" si="6"/>
        <v>rtdc.l.rtdc.4054:itc</v>
      </c>
      <c r="G204" s="8">
        <f t="shared" si="7"/>
        <v>42632.871446759258</v>
      </c>
    </row>
    <row r="205" spans="1:7" x14ac:dyDescent="0.25">
      <c r="A205" s="8">
        <v>42632.883703703701</v>
      </c>
      <c r="B205" s="23" t="s">
        <v>308</v>
      </c>
      <c r="C205" s="23" t="s">
        <v>567</v>
      </c>
      <c r="D205" s="23">
        <v>1290000</v>
      </c>
      <c r="E205" s="23" t="s">
        <v>173</v>
      </c>
      <c r="F205" s="23" t="str">
        <f t="shared" si="6"/>
        <v>rtdc.l.rtdc.4040:itc</v>
      </c>
      <c r="G205" s="8">
        <f t="shared" si="7"/>
        <v>42632.883703703701</v>
      </c>
    </row>
    <row r="206" spans="1:7" x14ac:dyDescent="0.25">
      <c r="A206" s="8">
        <v>42632.890648148146</v>
      </c>
      <c r="B206" s="23" t="s">
        <v>387</v>
      </c>
      <c r="C206" s="23" t="s">
        <v>568</v>
      </c>
      <c r="D206" s="23">
        <v>1230000</v>
      </c>
      <c r="E206" s="23" t="s">
        <v>283</v>
      </c>
      <c r="F206" s="23" t="str">
        <f t="shared" si="6"/>
        <v>rtdc.l.rtdc.4001:itc</v>
      </c>
      <c r="G206" s="8">
        <f t="shared" si="7"/>
        <v>42632.890648148146</v>
      </c>
    </row>
    <row r="207" spans="1:7" x14ac:dyDescent="0.25">
      <c r="A207" s="8">
        <v>42632.890694444446</v>
      </c>
      <c r="B207" s="23" t="s">
        <v>370</v>
      </c>
      <c r="C207" s="23" t="s">
        <v>569</v>
      </c>
      <c r="D207" s="23">
        <v>1810000</v>
      </c>
      <c r="E207" s="23" t="s">
        <v>275</v>
      </c>
      <c r="F207" s="23" t="str">
        <f t="shared" si="6"/>
        <v>rtdc.l.rtdc.4007:itc</v>
      </c>
      <c r="G207" s="8">
        <f t="shared" si="7"/>
        <v>42632.890694444446</v>
      </c>
    </row>
    <row r="208" spans="1:7" x14ac:dyDescent="0.25">
      <c r="A208" s="8">
        <v>42632.901516203703</v>
      </c>
      <c r="B208" s="23" t="s">
        <v>311</v>
      </c>
      <c r="C208" s="23" t="s">
        <v>570</v>
      </c>
      <c r="D208" s="23">
        <v>1290000</v>
      </c>
      <c r="E208" s="23" t="s">
        <v>173</v>
      </c>
      <c r="F208" s="23" t="str">
        <f t="shared" si="6"/>
        <v>rtdc.l.rtdc.4039:itc</v>
      </c>
      <c r="G208" s="8">
        <f t="shared" si="7"/>
        <v>42632.901516203703</v>
      </c>
    </row>
    <row r="209" spans="1:7" x14ac:dyDescent="0.25">
      <c r="A209" s="8">
        <v>42632.910462962966</v>
      </c>
      <c r="B209" s="23" t="s">
        <v>176</v>
      </c>
      <c r="C209" s="23" t="s">
        <v>571</v>
      </c>
      <c r="D209" s="23">
        <v>1180000</v>
      </c>
      <c r="E209" s="23" t="s">
        <v>332</v>
      </c>
      <c r="F209" s="23" t="str">
        <f t="shared" si="6"/>
        <v>rtdc.l.rtdc.4041:itc</v>
      </c>
      <c r="G209" s="8">
        <f t="shared" si="7"/>
        <v>42632.910462962966</v>
      </c>
    </row>
    <row r="210" spans="1:7" x14ac:dyDescent="0.25">
      <c r="A210" s="8">
        <v>42632.912870370368</v>
      </c>
      <c r="B210" s="23" t="s">
        <v>373</v>
      </c>
      <c r="C210" s="23" t="s">
        <v>572</v>
      </c>
      <c r="D210" s="23">
        <v>1800000</v>
      </c>
      <c r="E210" s="23" t="s">
        <v>284</v>
      </c>
      <c r="F210" s="23" t="str">
        <f t="shared" si="6"/>
        <v>rtdc.l.rtdc.4053:itc</v>
      </c>
      <c r="G210" s="8">
        <f t="shared" si="7"/>
        <v>42632.912870370368</v>
      </c>
    </row>
    <row r="211" spans="1:7" x14ac:dyDescent="0.25">
      <c r="A211" s="8">
        <v>42632.922337962962</v>
      </c>
      <c r="B211" s="23" t="s">
        <v>402</v>
      </c>
      <c r="C211" s="23" t="s">
        <v>573</v>
      </c>
      <c r="D211" s="23">
        <v>1810000</v>
      </c>
      <c r="E211" s="23" t="s">
        <v>275</v>
      </c>
      <c r="F211" s="23" t="str">
        <f t="shared" si="6"/>
        <v>rtdc.l.rtdc.4008:itc</v>
      </c>
      <c r="G211" s="8">
        <f t="shared" si="7"/>
        <v>42632.922337962962</v>
      </c>
    </row>
    <row r="212" spans="1:7" x14ac:dyDescent="0.25">
      <c r="A212" s="8">
        <v>42632.923668981479</v>
      </c>
      <c r="B212" s="23" t="s">
        <v>377</v>
      </c>
      <c r="C212" s="23" t="s">
        <v>574</v>
      </c>
      <c r="D212" s="23">
        <v>1230000</v>
      </c>
      <c r="E212" s="23" t="s">
        <v>283</v>
      </c>
      <c r="F212" s="23" t="str">
        <f t="shared" si="6"/>
        <v>rtdc.l.rtdc.4002:itc</v>
      </c>
      <c r="G212" s="8">
        <f t="shared" si="7"/>
        <v>42632.923668981479</v>
      </c>
    </row>
    <row r="213" spans="1:7" x14ac:dyDescent="0.25">
      <c r="A213" s="8">
        <v>42632.92900462963</v>
      </c>
      <c r="B213" s="23" t="s">
        <v>308</v>
      </c>
      <c r="C213" s="23" t="s">
        <v>575</v>
      </c>
      <c r="D213" s="23">
        <v>1290000</v>
      </c>
      <c r="E213" s="23" t="s">
        <v>173</v>
      </c>
      <c r="F213" s="23" t="str">
        <f t="shared" si="6"/>
        <v>rtdc.l.rtdc.4040:itc</v>
      </c>
      <c r="G213" s="8">
        <f t="shared" si="7"/>
        <v>42632.92900462963</v>
      </c>
    </row>
    <row r="214" spans="1:7" x14ac:dyDescent="0.25">
      <c r="A214" s="8">
        <v>42632.943495370368</v>
      </c>
      <c r="B214" s="23" t="s">
        <v>311</v>
      </c>
      <c r="C214" s="23" t="s">
        <v>576</v>
      </c>
      <c r="D214" s="23">
        <v>1290000</v>
      </c>
      <c r="E214" s="23" t="s">
        <v>173</v>
      </c>
      <c r="F214" s="23" t="str">
        <f t="shared" si="6"/>
        <v>rtdc.l.rtdc.4039:itc</v>
      </c>
      <c r="G214" s="8">
        <f t="shared" si="7"/>
        <v>42632.943495370368</v>
      </c>
    </row>
    <row r="215" spans="1:7" x14ac:dyDescent="0.25">
      <c r="A215" s="8">
        <v>42632.952685185184</v>
      </c>
      <c r="B215" s="23" t="s">
        <v>178</v>
      </c>
      <c r="C215" s="23" t="s">
        <v>577</v>
      </c>
      <c r="D215" s="23">
        <v>1180000</v>
      </c>
      <c r="E215" s="23" t="s">
        <v>332</v>
      </c>
      <c r="F215" s="23" t="str">
        <f t="shared" si="6"/>
        <v>rtdc.l.rtdc.4042:itc</v>
      </c>
      <c r="G215" s="8">
        <f t="shared" si="7"/>
        <v>42632.952685185184</v>
      </c>
    </row>
    <row r="216" spans="1:7" x14ac:dyDescent="0.25">
      <c r="A216" s="8">
        <v>42632.955000000002</v>
      </c>
      <c r="B216" s="23" t="s">
        <v>407</v>
      </c>
      <c r="C216" s="23" t="s">
        <v>578</v>
      </c>
      <c r="D216" s="23">
        <v>1800000</v>
      </c>
      <c r="E216" s="23" t="s">
        <v>284</v>
      </c>
      <c r="F216" s="23" t="str">
        <f t="shared" si="6"/>
        <v>rtdc.l.rtdc.4054:itc</v>
      </c>
      <c r="G216" s="8">
        <f t="shared" si="7"/>
        <v>42632.955000000002</v>
      </c>
    </row>
    <row r="217" spans="1:7" x14ac:dyDescent="0.25">
      <c r="A217" s="8">
        <v>42632.968599537038</v>
      </c>
      <c r="B217" s="23" t="s">
        <v>370</v>
      </c>
      <c r="C217" s="23" t="s">
        <v>579</v>
      </c>
      <c r="D217" s="23">
        <v>1810000</v>
      </c>
      <c r="E217" s="23" t="s">
        <v>275</v>
      </c>
      <c r="F217" s="23" t="str">
        <f t="shared" si="6"/>
        <v>rtdc.l.rtdc.4007:itc</v>
      </c>
      <c r="G217" s="8">
        <f t="shared" si="7"/>
        <v>42632.968599537038</v>
      </c>
    </row>
    <row r="218" spans="1:7" x14ac:dyDescent="0.25">
      <c r="A218" s="8">
        <v>42632.97415509259</v>
      </c>
      <c r="B218" s="23" t="s">
        <v>387</v>
      </c>
      <c r="C218" s="23" t="s">
        <v>580</v>
      </c>
      <c r="D218" s="23">
        <v>1230000</v>
      </c>
      <c r="E218" s="23" t="s">
        <v>283</v>
      </c>
      <c r="F218" s="23" t="str">
        <f t="shared" si="6"/>
        <v>rtdc.l.rtdc.4001:itc</v>
      </c>
      <c r="G218" s="8">
        <f t="shared" si="7"/>
        <v>42632.97415509259</v>
      </c>
    </row>
    <row r="219" spans="1:7" x14ac:dyDescent="0.25">
      <c r="A219" s="8">
        <v>42632.993993055556</v>
      </c>
      <c r="B219" s="23" t="s">
        <v>176</v>
      </c>
      <c r="C219" s="23" t="s">
        <v>581</v>
      </c>
      <c r="D219" s="23">
        <v>1180000</v>
      </c>
      <c r="E219" s="23" t="s">
        <v>332</v>
      </c>
      <c r="F219" s="23" t="str">
        <f t="shared" si="6"/>
        <v>rtdc.l.rtdc.4041:itc</v>
      </c>
      <c r="G219" s="8">
        <f t="shared" si="7"/>
        <v>42632.993993055556</v>
      </c>
    </row>
    <row r="220" spans="1:7" x14ac:dyDescent="0.25">
      <c r="A220" s="8">
        <v>42633.000300925924</v>
      </c>
      <c r="B220" s="23" t="s">
        <v>373</v>
      </c>
      <c r="C220" s="23" t="s">
        <v>582</v>
      </c>
      <c r="D220" s="23">
        <v>1800000</v>
      </c>
      <c r="E220" s="23" t="s">
        <v>284</v>
      </c>
      <c r="F220" s="23" t="str">
        <f t="shared" si="6"/>
        <v>rtdc.l.rtdc.4053:itc</v>
      </c>
      <c r="G220" s="8">
        <f t="shared" si="7"/>
        <v>42633.000300925924</v>
      </c>
    </row>
    <row r="221" spans="1:7" x14ac:dyDescent="0.25">
      <c r="A221" s="8">
        <v>42633.005590277775</v>
      </c>
      <c r="B221" s="23" t="s">
        <v>377</v>
      </c>
      <c r="C221" s="23" t="s">
        <v>583</v>
      </c>
      <c r="D221" s="23">
        <v>1230000</v>
      </c>
      <c r="E221" s="23" t="s">
        <v>283</v>
      </c>
      <c r="F221" s="23" t="str">
        <f t="shared" si="6"/>
        <v>rtdc.l.rtdc.4002:itc</v>
      </c>
      <c r="G221" s="8">
        <f t="shared" si="7"/>
        <v>42633.005590277775</v>
      </c>
    </row>
    <row r="222" spans="1:7" x14ac:dyDescent="0.25">
      <c r="A222" s="8">
        <v>42633.015185185184</v>
      </c>
      <c r="B222" s="23" t="s">
        <v>402</v>
      </c>
      <c r="C222" s="23" t="s">
        <v>584</v>
      </c>
      <c r="D222" s="23">
        <v>1810000</v>
      </c>
      <c r="E222" s="23" t="s">
        <v>275</v>
      </c>
      <c r="F222" s="23" t="str">
        <f t="shared" si="6"/>
        <v>rtdc.l.rtdc.4008:itc</v>
      </c>
      <c r="G222" s="8">
        <f t="shared" si="7"/>
        <v>42633.015185185184</v>
      </c>
    </row>
    <row r="223" spans="1:7" x14ac:dyDescent="0.25">
      <c r="A223" s="8">
        <v>42633.028043981481</v>
      </c>
      <c r="B223" s="23" t="s">
        <v>178</v>
      </c>
      <c r="C223" s="23" t="s">
        <v>585</v>
      </c>
      <c r="D223" s="23">
        <v>1180000</v>
      </c>
      <c r="E223" s="23" t="s">
        <v>332</v>
      </c>
      <c r="F223" s="23" t="str">
        <f t="shared" si="6"/>
        <v>rtdc.l.rtdc.4042:itc</v>
      </c>
      <c r="G223" s="8">
        <f t="shared" si="7"/>
        <v>42633.028043981481</v>
      </c>
    </row>
    <row r="224" spans="1:7" x14ac:dyDescent="0.25">
      <c r="A224" s="8">
        <v>42633.038055555553</v>
      </c>
      <c r="B224" t="s">
        <v>407</v>
      </c>
      <c r="C224" t="s">
        <v>586</v>
      </c>
      <c r="D224">
        <v>1800000</v>
      </c>
      <c r="E224" t="s">
        <v>284</v>
      </c>
      <c r="F224" s="23" t="str">
        <f t="shared" si="6"/>
        <v>rtdc.l.rtdc.4054:itc</v>
      </c>
      <c r="G224" s="8">
        <f t="shared" si="7"/>
        <v>42633.038055555553</v>
      </c>
    </row>
    <row r="225" spans="1:7" x14ac:dyDescent="0.25">
      <c r="A225" s="8">
        <v>42633.047013888892</v>
      </c>
      <c r="B225" t="s">
        <v>370</v>
      </c>
      <c r="C225" t="s">
        <v>587</v>
      </c>
      <c r="D225">
        <v>1810000</v>
      </c>
      <c r="E225" t="s">
        <v>275</v>
      </c>
      <c r="F225" s="23" t="str">
        <f t="shared" si="6"/>
        <v>rtdc.l.rtdc.4007:itc</v>
      </c>
      <c r="G225" s="8">
        <f t="shared" si="7"/>
        <v>42633.047013888892</v>
      </c>
    </row>
    <row r="226" spans="1:7" x14ac:dyDescent="0.25">
      <c r="A226" s="8">
        <v>42633.057974537034</v>
      </c>
      <c r="B226" t="s">
        <v>387</v>
      </c>
      <c r="C226" t="s">
        <v>588</v>
      </c>
      <c r="D226">
        <v>1230000</v>
      </c>
      <c r="E226" t="s">
        <v>283</v>
      </c>
      <c r="F226" s="23" t="str">
        <f t="shared" si="6"/>
        <v>rtdc.l.rtdc.4001:itc</v>
      </c>
      <c r="G226" s="8">
        <f t="shared" si="7"/>
        <v>42633.057974537034</v>
      </c>
    </row>
    <row r="227" spans="1:7" x14ac:dyDescent="0.25">
      <c r="A227" s="8">
        <v>42633.069930555554</v>
      </c>
      <c r="B227" t="s">
        <v>373</v>
      </c>
      <c r="C227" t="s">
        <v>589</v>
      </c>
      <c r="D227">
        <v>1800000</v>
      </c>
      <c r="E227" t="s">
        <v>284</v>
      </c>
      <c r="F227" s="23" t="str">
        <f t="shared" si="6"/>
        <v>rtdc.l.rtdc.4053:itc</v>
      </c>
      <c r="G227" s="8">
        <f t="shared" si="7"/>
        <v>42633.069930555554</v>
      </c>
    </row>
    <row r="228" spans="1:7" x14ac:dyDescent="0.25">
      <c r="A228" s="8">
        <v>42633.087962962964</v>
      </c>
      <c r="B228" t="s">
        <v>377</v>
      </c>
      <c r="C228" t="s">
        <v>590</v>
      </c>
      <c r="D228">
        <v>1230000</v>
      </c>
      <c r="E228" t="s">
        <v>283</v>
      </c>
      <c r="F228" s="23" t="str">
        <f t="shared" si="6"/>
        <v>rtdc.l.rtdc.4002:itc</v>
      </c>
      <c r="G228" s="8">
        <f t="shared" si="7"/>
        <v>42633.087962962964</v>
      </c>
    </row>
    <row r="229" spans="1:7" x14ac:dyDescent="0.25">
      <c r="F229" s="23">
        <f t="shared" si="6"/>
        <v>0</v>
      </c>
      <c r="G229" s="8">
        <f t="shared" si="7"/>
        <v>0</v>
      </c>
    </row>
    <row r="230" spans="1:7" x14ac:dyDescent="0.25">
      <c r="A230" s="8">
        <v>42630.014675925922</v>
      </c>
      <c r="B230" t="s">
        <v>128</v>
      </c>
      <c r="C230" t="s">
        <v>285</v>
      </c>
      <c r="D230">
        <v>1480000</v>
      </c>
      <c r="E230" t="s">
        <v>252</v>
      </c>
      <c r="F230" s="23" t="str">
        <f t="shared" si="6"/>
        <v>rtdc.l.rtdc.4009:itc</v>
      </c>
      <c r="G230" s="8">
        <f t="shared" si="7"/>
        <v>42630.014675925922</v>
      </c>
    </row>
    <row r="231" spans="1:7" x14ac:dyDescent="0.25">
      <c r="A231" s="8">
        <v>42630.036597222221</v>
      </c>
      <c r="B231" t="s">
        <v>277</v>
      </c>
      <c r="C231" t="s">
        <v>286</v>
      </c>
      <c r="D231">
        <v>1300000</v>
      </c>
      <c r="E231" t="s">
        <v>121</v>
      </c>
      <c r="F231" s="23" t="str">
        <f t="shared" si="6"/>
        <v>rtdc.l.rtdc.4003:itc</v>
      </c>
      <c r="G231" s="8">
        <f t="shared" si="7"/>
        <v>42630.036597222221</v>
      </c>
    </row>
    <row r="232" spans="1:7" x14ac:dyDescent="0.25">
      <c r="A232" s="8">
        <v>42630.037418981483</v>
      </c>
      <c r="B232" t="s">
        <v>251</v>
      </c>
      <c r="C232" t="s">
        <v>287</v>
      </c>
      <c r="D232">
        <v>1800000</v>
      </c>
      <c r="E232" t="s">
        <v>284</v>
      </c>
      <c r="F232" s="23" t="str">
        <f t="shared" si="6"/>
        <v>rtdc.l.rtdc.4043:itc</v>
      </c>
      <c r="G232" s="8">
        <f t="shared" si="7"/>
        <v>42630.037418981483</v>
      </c>
    </row>
    <row r="233" spans="1:7" x14ac:dyDescent="0.25">
      <c r="A233" s="8">
        <v>42630.04991898148</v>
      </c>
      <c r="B233" t="s">
        <v>278</v>
      </c>
      <c r="C233" t="s">
        <v>288</v>
      </c>
      <c r="D233">
        <v>1230000</v>
      </c>
      <c r="E233" t="s">
        <v>283</v>
      </c>
      <c r="F233" s="23" t="str">
        <f t="shared" si="6"/>
        <v>rtdc.l.rtdc.4038:itc</v>
      </c>
      <c r="G233" s="8">
        <f t="shared" si="7"/>
        <v>42630.04991898148</v>
      </c>
    </row>
    <row r="234" spans="1:7" x14ac:dyDescent="0.25">
      <c r="A234" s="8">
        <v>42630.053900462961</v>
      </c>
      <c r="B234" t="s">
        <v>177</v>
      </c>
      <c r="C234" t="s">
        <v>289</v>
      </c>
      <c r="D234">
        <v>1480000</v>
      </c>
      <c r="E234" t="s">
        <v>252</v>
      </c>
      <c r="F234" s="23" t="str">
        <f t="shared" si="6"/>
        <v>rtdc.l.rtdc.4010:itc</v>
      </c>
      <c r="G234" s="8">
        <f t="shared" si="7"/>
        <v>42630.053900462961</v>
      </c>
    </row>
    <row r="235" spans="1:7" x14ac:dyDescent="0.25">
      <c r="A235" s="8">
        <v>42630.078773148147</v>
      </c>
      <c r="B235" t="s">
        <v>280</v>
      </c>
      <c r="C235" t="s">
        <v>290</v>
      </c>
      <c r="D235">
        <v>1300000</v>
      </c>
      <c r="E235" t="s">
        <v>121</v>
      </c>
      <c r="F235" s="23" t="str">
        <f t="shared" si="6"/>
        <v>rtdc.l.rtdc.4004:itc</v>
      </c>
      <c r="G235" s="8">
        <f t="shared" si="7"/>
        <v>42630.078773148147</v>
      </c>
    </row>
    <row r="236" spans="1:7" x14ac:dyDescent="0.25">
      <c r="A236" s="8">
        <v>42630.079085648147</v>
      </c>
      <c r="B236" t="s">
        <v>250</v>
      </c>
      <c r="C236" t="s">
        <v>291</v>
      </c>
      <c r="D236">
        <v>1800000</v>
      </c>
      <c r="E236" t="s">
        <v>284</v>
      </c>
      <c r="F236" s="23" t="str">
        <f t="shared" ref="F236:F265" si="8">B236</f>
        <v>rtdc.l.rtdc.4044:itc</v>
      </c>
      <c r="G236" s="8">
        <f t="shared" ref="G236:G265" si="9">A236</f>
        <v>42630.079085648147</v>
      </c>
    </row>
    <row r="237" spans="1:7" x14ac:dyDescent="0.25">
      <c r="A237" s="8">
        <v>42630.093819444446</v>
      </c>
      <c r="B237" t="s">
        <v>128</v>
      </c>
      <c r="C237" t="s">
        <v>292</v>
      </c>
      <c r="D237">
        <v>1480000</v>
      </c>
      <c r="E237" t="s">
        <v>252</v>
      </c>
      <c r="F237" s="23" t="str">
        <f t="shared" si="8"/>
        <v>rtdc.l.rtdc.4009:itc</v>
      </c>
      <c r="G237" s="8">
        <f t="shared" si="9"/>
        <v>42630.093819444446</v>
      </c>
    </row>
    <row r="238" spans="1:7" x14ac:dyDescent="0.25">
      <c r="A238" s="8">
        <v>42630.11005787037</v>
      </c>
      <c r="B238" t="s">
        <v>277</v>
      </c>
      <c r="C238" t="s">
        <v>293</v>
      </c>
      <c r="D238">
        <v>1300000</v>
      </c>
      <c r="E238" t="s">
        <v>121</v>
      </c>
      <c r="F238" s="23" t="str">
        <f t="shared" si="8"/>
        <v>rtdc.l.rtdc.4003:itc</v>
      </c>
      <c r="G238" s="8">
        <f t="shared" si="9"/>
        <v>42630.11005787037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235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748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64.61</v>
      </c>
      <c r="B2" s="154">
        <v>0.08</v>
      </c>
      <c r="C2" s="154">
        <v>38.53</v>
      </c>
      <c r="D2" s="169">
        <v>42632</v>
      </c>
      <c r="E2" s="154">
        <v>0.38</v>
      </c>
      <c r="F2" s="154" t="s">
        <v>259</v>
      </c>
      <c r="G2" s="154">
        <v>270.39999999999998</v>
      </c>
      <c r="H2" s="154">
        <v>0</v>
      </c>
      <c r="I2" s="154">
        <v>0</v>
      </c>
      <c r="K2" s="154">
        <v>1015.37</v>
      </c>
      <c r="L2" s="154" t="s">
        <v>260</v>
      </c>
      <c r="M2" s="154">
        <v>64.61</v>
      </c>
      <c r="N2" s="154">
        <v>1474264800</v>
      </c>
      <c r="O2" s="154">
        <v>7.64</v>
      </c>
      <c r="P2" s="154">
        <v>240</v>
      </c>
      <c r="Q2" s="154">
        <v>3.1</v>
      </c>
    </row>
    <row r="3" spans="1:17" x14ac:dyDescent="0.25">
      <c r="A3" s="154">
        <v>62.59</v>
      </c>
      <c r="B3" s="154">
        <v>0.05</v>
      </c>
      <c r="C3" s="154">
        <v>37.770000000000003</v>
      </c>
      <c r="D3" s="169">
        <v>42632.041666666664</v>
      </c>
      <c r="E3" s="154">
        <v>0.4</v>
      </c>
      <c r="F3" s="154" t="s">
        <v>259</v>
      </c>
      <c r="G3" s="154">
        <v>270.39999999999998</v>
      </c>
      <c r="H3" s="154">
        <v>0</v>
      </c>
      <c r="I3" s="154">
        <v>0</v>
      </c>
      <c r="K3" s="154">
        <v>1016.1</v>
      </c>
      <c r="L3" s="154" t="s">
        <v>260</v>
      </c>
      <c r="M3" s="154">
        <v>62.59</v>
      </c>
      <c r="N3" s="154">
        <v>1474268400</v>
      </c>
      <c r="O3" s="154">
        <v>7.84</v>
      </c>
      <c r="P3" s="154">
        <v>239</v>
      </c>
      <c r="Q3" s="154">
        <v>2.85</v>
      </c>
    </row>
    <row r="4" spans="1:17" x14ac:dyDescent="0.25">
      <c r="A4" s="154">
        <v>61.36</v>
      </c>
      <c r="B4" s="154">
        <v>0.05</v>
      </c>
      <c r="C4" s="154">
        <v>37.5</v>
      </c>
      <c r="D4" s="169">
        <v>42632.083333333336</v>
      </c>
      <c r="E4" s="154">
        <v>0.41</v>
      </c>
      <c r="F4" s="154" t="s">
        <v>259</v>
      </c>
      <c r="G4" s="154">
        <v>270.39999999999998</v>
      </c>
      <c r="H4" s="154">
        <v>0</v>
      </c>
      <c r="I4" s="154">
        <v>0</v>
      </c>
      <c r="K4" s="154">
        <v>1016.8</v>
      </c>
      <c r="L4" s="154" t="s">
        <v>260</v>
      </c>
      <c r="M4" s="154">
        <v>61.36</v>
      </c>
      <c r="N4" s="154">
        <v>1474272000</v>
      </c>
      <c r="O4" s="154">
        <v>7.84</v>
      </c>
      <c r="P4" s="154">
        <v>223</v>
      </c>
      <c r="Q4" s="154">
        <v>3.18</v>
      </c>
    </row>
    <row r="5" spans="1:17" x14ac:dyDescent="0.25">
      <c r="A5" s="154">
        <v>59.41</v>
      </c>
      <c r="B5" s="154">
        <v>0.05</v>
      </c>
      <c r="C5" s="154">
        <v>36.92</v>
      </c>
      <c r="D5" s="169">
        <v>42632.125</v>
      </c>
      <c r="E5" s="154">
        <v>0.43</v>
      </c>
      <c r="F5" s="154" t="s">
        <v>259</v>
      </c>
      <c r="G5" s="154">
        <v>270.39999999999998</v>
      </c>
      <c r="H5" s="154">
        <v>0</v>
      </c>
      <c r="I5" s="154">
        <v>0</v>
      </c>
      <c r="K5" s="154">
        <v>1017.47</v>
      </c>
      <c r="L5" s="154" t="s">
        <v>260</v>
      </c>
      <c r="M5" s="154">
        <v>59.41</v>
      </c>
      <c r="N5" s="154">
        <v>1474275600</v>
      </c>
      <c r="O5" s="154">
        <v>7.58</v>
      </c>
      <c r="P5" s="154">
        <v>233</v>
      </c>
      <c r="Q5" s="154">
        <v>3.21</v>
      </c>
    </row>
    <row r="6" spans="1:17" x14ac:dyDescent="0.25">
      <c r="A6" s="154">
        <v>57.85</v>
      </c>
      <c r="B6" s="154">
        <v>7.0000000000000007E-2</v>
      </c>
      <c r="C6" s="154">
        <v>35.619999999999997</v>
      </c>
      <c r="D6" s="169">
        <v>42632.166666666664</v>
      </c>
      <c r="E6" s="154">
        <v>0.43</v>
      </c>
      <c r="F6" s="154" t="s">
        <v>259</v>
      </c>
      <c r="G6" s="154">
        <v>270.39</v>
      </c>
      <c r="H6" s="154">
        <v>0</v>
      </c>
      <c r="I6" s="154">
        <v>0</v>
      </c>
      <c r="K6" s="154">
        <v>1017.78</v>
      </c>
      <c r="L6" s="154" t="s">
        <v>260</v>
      </c>
      <c r="M6" s="154">
        <v>57.85</v>
      </c>
      <c r="N6" s="154">
        <v>1474279200</v>
      </c>
      <c r="O6" s="154">
        <v>7.81</v>
      </c>
      <c r="P6" s="154">
        <v>238</v>
      </c>
      <c r="Q6" s="154">
        <v>4.1399999999999997</v>
      </c>
    </row>
    <row r="7" spans="1:17" x14ac:dyDescent="0.25">
      <c r="A7" s="154">
        <v>57.23</v>
      </c>
      <c r="B7" s="154">
        <v>0.13</v>
      </c>
      <c r="C7" s="154">
        <v>34.51</v>
      </c>
      <c r="D7" s="169">
        <v>42632.208333333336</v>
      </c>
      <c r="E7" s="154">
        <v>0.42</v>
      </c>
      <c r="F7" s="154" t="s">
        <v>259</v>
      </c>
      <c r="G7" s="154">
        <v>270.36</v>
      </c>
      <c r="H7" s="154">
        <v>0</v>
      </c>
      <c r="I7" s="154">
        <v>0</v>
      </c>
      <c r="K7" s="154">
        <v>1017.88</v>
      </c>
      <c r="L7" s="154" t="s">
        <v>260</v>
      </c>
      <c r="M7" s="154">
        <v>57.23</v>
      </c>
      <c r="N7" s="154">
        <v>1474282800</v>
      </c>
      <c r="O7" s="154">
        <v>7.62</v>
      </c>
      <c r="P7" s="154">
        <v>226</v>
      </c>
      <c r="Q7" s="154">
        <v>3.84</v>
      </c>
    </row>
    <row r="8" spans="1:17" x14ac:dyDescent="0.25">
      <c r="A8" s="154">
        <v>58</v>
      </c>
      <c r="B8" s="154">
        <v>0.22</v>
      </c>
      <c r="C8" s="154">
        <v>35.14</v>
      </c>
      <c r="D8" s="169">
        <v>42632.25</v>
      </c>
      <c r="E8" s="154">
        <v>0.42</v>
      </c>
      <c r="F8" s="154" t="s">
        <v>259</v>
      </c>
      <c r="G8" s="154">
        <v>270.35000000000002</v>
      </c>
      <c r="H8" s="154">
        <v>0</v>
      </c>
      <c r="I8" s="154">
        <v>0</v>
      </c>
      <c r="K8" s="154">
        <v>1017.92</v>
      </c>
      <c r="L8" s="154" t="s">
        <v>260</v>
      </c>
      <c r="M8" s="154">
        <v>58</v>
      </c>
      <c r="N8" s="154">
        <v>1474286400</v>
      </c>
      <c r="O8" s="154">
        <v>6.62</v>
      </c>
      <c r="P8" s="154">
        <v>222</v>
      </c>
      <c r="Q8" s="154">
        <v>3.22</v>
      </c>
    </row>
    <row r="9" spans="1:17" x14ac:dyDescent="0.25">
      <c r="A9" s="154">
        <v>58.62</v>
      </c>
      <c r="B9" s="154">
        <v>0.21</v>
      </c>
      <c r="C9" s="154">
        <v>35.14</v>
      </c>
      <c r="D9" s="169">
        <v>42632.291666666664</v>
      </c>
      <c r="E9" s="154">
        <v>0.41</v>
      </c>
      <c r="F9" s="154" t="s">
        <v>276</v>
      </c>
      <c r="G9" s="154">
        <v>270.31</v>
      </c>
      <c r="H9" s="154">
        <v>0</v>
      </c>
      <c r="I9" s="154">
        <v>0</v>
      </c>
      <c r="K9" s="154">
        <v>1018.01</v>
      </c>
      <c r="L9" s="154" t="s">
        <v>260</v>
      </c>
      <c r="M9" s="154">
        <v>58.62</v>
      </c>
      <c r="N9" s="154">
        <v>1474290000</v>
      </c>
      <c r="O9" s="154">
        <v>5.97</v>
      </c>
      <c r="P9" s="154">
        <v>214</v>
      </c>
      <c r="Q9" s="154">
        <v>3.49</v>
      </c>
    </row>
    <row r="10" spans="1:17" x14ac:dyDescent="0.25">
      <c r="A10" s="154">
        <v>62.79</v>
      </c>
      <c r="B10" s="154">
        <v>0.12</v>
      </c>
      <c r="C10" s="154">
        <v>36.14</v>
      </c>
      <c r="D10" s="169">
        <v>42632.333333333336</v>
      </c>
      <c r="E10" s="154">
        <v>0.37</v>
      </c>
      <c r="F10" s="154" t="s">
        <v>276</v>
      </c>
      <c r="G10" s="154">
        <v>270.29000000000002</v>
      </c>
      <c r="H10" s="154">
        <v>0</v>
      </c>
      <c r="I10" s="154">
        <v>0</v>
      </c>
      <c r="K10" s="154">
        <v>1018.03</v>
      </c>
      <c r="L10" s="154" t="s">
        <v>260</v>
      </c>
      <c r="M10" s="154">
        <v>62.79</v>
      </c>
      <c r="N10" s="154">
        <v>1474293600</v>
      </c>
      <c r="O10" s="154">
        <v>5.68</v>
      </c>
      <c r="P10" s="154">
        <v>226</v>
      </c>
      <c r="Q10" s="154">
        <v>2.69</v>
      </c>
    </row>
    <row r="11" spans="1:17" x14ac:dyDescent="0.25">
      <c r="A11" s="154">
        <v>69.150000000000006</v>
      </c>
      <c r="B11" s="154">
        <v>0.08</v>
      </c>
      <c r="C11" s="154">
        <v>36.4</v>
      </c>
      <c r="D11" s="169">
        <v>42632.375</v>
      </c>
      <c r="E11" s="154">
        <v>0.3</v>
      </c>
      <c r="F11" s="154" t="s">
        <v>276</v>
      </c>
      <c r="G11" s="154">
        <v>270.39999999999998</v>
      </c>
      <c r="H11" s="154">
        <v>0</v>
      </c>
      <c r="I11" s="154">
        <v>0</v>
      </c>
      <c r="K11" s="154">
        <v>1017.81</v>
      </c>
      <c r="L11" s="154" t="s">
        <v>260</v>
      </c>
      <c r="M11" s="154">
        <v>69.150000000000006</v>
      </c>
      <c r="N11" s="154">
        <v>1474297200</v>
      </c>
      <c r="O11" s="154">
        <v>5.6</v>
      </c>
      <c r="P11" s="154">
        <v>223</v>
      </c>
      <c r="Q11" s="154">
        <v>3.56</v>
      </c>
    </row>
    <row r="12" spans="1:17" x14ac:dyDescent="0.25">
      <c r="A12" s="154">
        <v>74.25</v>
      </c>
      <c r="B12" s="154">
        <v>7.0000000000000007E-2</v>
      </c>
      <c r="C12" s="154">
        <v>36.299999999999997</v>
      </c>
      <c r="D12" s="169">
        <v>42632.416666666664</v>
      </c>
      <c r="E12" s="154">
        <v>0.25</v>
      </c>
      <c r="F12" s="154" t="s">
        <v>276</v>
      </c>
      <c r="G12" s="154">
        <v>270.70999999999998</v>
      </c>
      <c r="H12" s="154">
        <v>0</v>
      </c>
      <c r="I12" s="154">
        <v>0</v>
      </c>
      <c r="K12" s="154">
        <v>1017.12</v>
      </c>
      <c r="L12" s="154" t="s">
        <v>260</v>
      </c>
      <c r="M12" s="154">
        <v>74.25</v>
      </c>
      <c r="N12" s="154">
        <v>1474300800</v>
      </c>
      <c r="O12" s="154">
        <v>5.59</v>
      </c>
      <c r="P12" s="154">
        <v>208</v>
      </c>
      <c r="Q12" s="154">
        <v>2.5299999999999998</v>
      </c>
    </row>
    <row r="13" spans="1:17" x14ac:dyDescent="0.25">
      <c r="A13" s="154">
        <v>79.03</v>
      </c>
      <c r="B13" s="154">
        <v>0.16</v>
      </c>
      <c r="C13" s="154">
        <v>35.03</v>
      </c>
      <c r="D13" s="169">
        <v>42632.458333333336</v>
      </c>
      <c r="E13" s="154">
        <v>0.2</v>
      </c>
      <c r="F13" s="154" t="s">
        <v>276</v>
      </c>
      <c r="G13" s="154">
        <v>271.14999999999998</v>
      </c>
      <c r="H13" s="154">
        <v>0</v>
      </c>
      <c r="I13" s="154">
        <v>0</v>
      </c>
      <c r="K13" s="154">
        <v>1016.36</v>
      </c>
      <c r="L13" s="154" t="s">
        <v>260</v>
      </c>
      <c r="M13" s="154">
        <v>79.03</v>
      </c>
      <c r="N13" s="154">
        <v>1474304400</v>
      </c>
      <c r="O13" s="154">
        <v>5.73</v>
      </c>
      <c r="P13" s="154">
        <v>192</v>
      </c>
      <c r="Q13" s="154">
        <v>1.29</v>
      </c>
    </row>
    <row r="14" spans="1:17" x14ac:dyDescent="0.25">
      <c r="A14" s="154">
        <v>80.87</v>
      </c>
      <c r="B14" s="154">
        <v>0.17</v>
      </c>
      <c r="C14" s="154">
        <v>32.74</v>
      </c>
      <c r="D14" s="169">
        <v>42632.5</v>
      </c>
      <c r="E14" s="154">
        <v>0.16</v>
      </c>
      <c r="F14" s="154" t="s">
        <v>276</v>
      </c>
      <c r="G14" s="154">
        <v>271.69</v>
      </c>
      <c r="H14" s="154">
        <v>0</v>
      </c>
      <c r="I14" s="154">
        <v>0</v>
      </c>
      <c r="K14" s="154">
        <v>1015.68</v>
      </c>
      <c r="L14" s="154" t="s">
        <v>260</v>
      </c>
      <c r="M14" s="154">
        <v>83.62</v>
      </c>
      <c r="N14" s="154">
        <v>1474308000</v>
      </c>
      <c r="O14" s="154">
        <v>2.87</v>
      </c>
      <c r="P14" s="154">
        <v>70</v>
      </c>
      <c r="Q14" s="154">
        <v>1.68</v>
      </c>
    </row>
    <row r="15" spans="1:17" x14ac:dyDescent="0.25">
      <c r="A15" s="154">
        <v>82.16</v>
      </c>
      <c r="B15" s="154">
        <v>0.17</v>
      </c>
      <c r="C15" s="154">
        <v>31.73</v>
      </c>
      <c r="D15" s="169">
        <v>42632.541666666664</v>
      </c>
      <c r="E15" s="154">
        <v>0.15</v>
      </c>
      <c r="F15" s="154" t="s">
        <v>276</v>
      </c>
      <c r="G15" s="154">
        <v>272.42</v>
      </c>
      <c r="H15" s="154">
        <v>0</v>
      </c>
      <c r="I15" s="154">
        <v>0</v>
      </c>
      <c r="K15" s="154">
        <v>1015.12</v>
      </c>
      <c r="L15" s="154" t="s">
        <v>260</v>
      </c>
      <c r="M15" s="154">
        <v>85.38</v>
      </c>
      <c r="N15" s="154">
        <v>1474311600</v>
      </c>
      <c r="O15" s="154">
        <v>2.88</v>
      </c>
      <c r="P15" s="154">
        <v>107</v>
      </c>
      <c r="Q15" s="154">
        <v>3.46</v>
      </c>
    </row>
    <row r="16" spans="1:17" x14ac:dyDescent="0.25">
      <c r="A16" s="154">
        <v>83.59</v>
      </c>
      <c r="B16" s="154">
        <v>0.24</v>
      </c>
      <c r="C16" s="154">
        <v>30.39</v>
      </c>
      <c r="D16" s="169">
        <v>42632.583333333336</v>
      </c>
      <c r="E16" s="154">
        <v>0.13</v>
      </c>
      <c r="F16" s="154" t="s">
        <v>276</v>
      </c>
      <c r="G16" s="154">
        <v>273.25</v>
      </c>
      <c r="H16" s="154">
        <v>0</v>
      </c>
      <c r="I16" s="154">
        <v>0</v>
      </c>
      <c r="K16" s="154">
        <v>1014.61</v>
      </c>
      <c r="L16" s="154" t="s">
        <v>260</v>
      </c>
      <c r="M16" s="154">
        <v>87.21</v>
      </c>
      <c r="N16" s="154">
        <v>1474315200</v>
      </c>
      <c r="O16" s="154">
        <v>2.88</v>
      </c>
      <c r="P16" s="154">
        <v>108</v>
      </c>
      <c r="Q16" s="154">
        <v>2.38</v>
      </c>
    </row>
    <row r="17" spans="1:17" x14ac:dyDescent="0.25">
      <c r="A17" s="154">
        <v>84.29</v>
      </c>
      <c r="B17" s="154">
        <v>0.24</v>
      </c>
      <c r="C17" s="154">
        <v>30.13</v>
      </c>
      <c r="D17" s="169">
        <v>42632.625</v>
      </c>
      <c r="E17" s="154">
        <v>0.12</v>
      </c>
      <c r="F17" s="154" t="s">
        <v>276</v>
      </c>
      <c r="G17" s="154">
        <v>273.79000000000002</v>
      </c>
      <c r="H17" s="154">
        <v>0</v>
      </c>
      <c r="I17" s="154">
        <v>0</v>
      </c>
      <c r="K17" s="154">
        <v>1014.13</v>
      </c>
      <c r="L17" s="154" t="s">
        <v>260</v>
      </c>
      <c r="M17" s="154">
        <v>88.19</v>
      </c>
      <c r="N17" s="154">
        <v>1474318800</v>
      </c>
      <c r="O17" s="154">
        <v>2.86</v>
      </c>
      <c r="P17" s="154">
        <v>107</v>
      </c>
      <c r="Q17" s="154">
        <v>2.83</v>
      </c>
    </row>
    <row r="18" spans="1:17" x14ac:dyDescent="0.25">
      <c r="A18" s="154">
        <v>84.31</v>
      </c>
      <c r="B18" s="154">
        <v>0.27</v>
      </c>
      <c r="C18" s="154">
        <v>30.23</v>
      </c>
      <c r="D18" s="169">
        <v>42632.666666666664</v>
      </c>
      <c r="E18" s="154">
        <v>0.13</v>
      </c>
      <c r="F18" s="154" t="s">
        <v>749</v>
      </c>
      <c r="G18" s="154">
        <v>273.88</v>
      </c>
      <c r="H18" s="154">
        <v>0</v>
      </c>
      <c r="I18" s="154">
        <v>0</v>
      </c>
      <c r="K18" s="154">
        <v>1013.31</v>
      </c>
      <c r="L18" s="154" t="s">
        <v>750</v>
      </c>
      <c r="M18" s="154">
        <v>88.2</v>
      </c>
      <c r="N18" s="154">
        <v>1474322400</v>
      </c>
      <c r="O18" s="154">
        <v>2.86</v>
      </c>
      <c r="P18" s="154">
        <v>106</v>
      </c>
      <c r="Q18" s="154">
        <v>3.96</v>
      </c>
    </row>
    <row r="19" spans="1:17" x14ac:dyDescent="0.25">
      <c r="A19" s="154">
        <v>84.19</v>
      </c>
      <c r="B19" s="154">
        <v>0.27</v>
      </c>
      <c r="C19" s="154">
        <v>30.86</v>
      </c>
      <c r="D19" s="169">
        <v>42632.708333333336</v>
      </c>
      <c r="E19" s="154">
        <v>0.13</v>
      </c>
      <c r="F19" s="154" t="s">
        <v>749</v>
      </c>
      <c r="G19" s="154">
        <v>273.69</v>
      </c>
      <c r="H19" s="154">
        <v>0</v>
      </c>
      <c r="I19" s="154">
        <v>0</v>
      </c>
      <c r="K19" s="154">
        <v>1012.56</v>
      </c>
      <c r="L19" s="154" t="s">
        <v>750</v>
      </c>
      <c r="M19" s="154">
        <v>87.95</v>
      </c>
      <c r="N19" s="154">
        <v>1474326000</v>
      </c>
      <c r="O19" s="154">
        <v>4.9400000000000004</v>
      </c>
      <c r="P19" s="154">
        <v>104</v>
      </c>
      <c r="Q19" s="154">
        <v>3.9</v>
      </c>
    </row>
    <row r="20" spans="1:17" x14ac:dyDescent="0.25">
      <c r="A20" s="154">
        <v>81.319999999999993</v>
      </c>
      <c r="B20" s="154">
        <v>0.22</v>
      </c>
      <c r="C20" s="154">
        <v>31</v>
      </c>
      <c r="D20" s="169">
        <v>42632.75</v>
      </c>
      <c r="E20" s="154">
        <v>0.15</v>
      </c>
      <c r="F20" s="154" t="s">
        <v>276</v>
      </c>
      <c r="G20" s="154">
        <v>273.37</v>
      </c>
      <c r="H20" s="154">
        <v>0</v>
      </c>
      <c r="I20" s="154">
        <v>0</v>
      </c>
      <c r="K20" s="154">
        <v>1012.34</v>
      </c>
      <c r="L20" s="154" t="s">
        <v>260</v>
      </c>
      <c r="M20" s="154">
        <v>84.28</v>
      </c>
      <c r="N20" s="154">
        <v>1474329600</v>
      </c>
      <c r="O20" s="154">
        <v>5.87</v>
      </c>
      <c r="P20" s="154">
        <v>115</v>
      </c>
      <c r="Q20" s="154">
        <v>3.96</v>
      </c>
    </row>
    <row r="21" spans="1:17" x14ac:dyDescent="0.25">
      <c r="A21" s="154">
        <v>79.62</v>
      </c>
      <c r="B21" s="154">
        <v>0.13</v>
      </c>
      <c r="C21" s="154">
        <v>32.72</v>
      </c>
      <c r="D21" s="169">
        <v>42632.791666666664</v>
      </c>
      <c r="E21" s="154">
        <v>0.18</v>
      </c>
      <c r="F21" s="154" t="s">
        <v>259</v>
      </c>
      <c r="G21" s="154">
        <v>272.95</v>
      </c>
      <c r="H21" s="154">
        <v>1.2999999999999999E-3</v>
      </c>
      <c r="I21" s="154">
        <v>0.02</v>
      </c>
      <c r="J21" s="154" t="s">
        <v>751</v>
      </c>
      <c r="K21" s="154">
        <v>1012.88</v>
      </c>
      <c r="L21" s="154" t="s">
        <v>260</v>
      </c>
      <c r="M21" s="154">
        <v>79.62</v>
      </c>
      <c r="N21" s="154">
        <v>1474333200</v>
      </c>
      <c r="O21" s="154">
        <v>7.14</v>
      </c>
      <c r="P21" s="154">
        <v>124</v>
      </c>
      <c r="Q21" s="154">
        <v>2.98</v>
      </c>
    </row>
    <row r="22" spans="1:17" x14ac:dyDescent="0.25">
      <c r="A22" s="154">
        <v>74.14</v>
      </c>
      <c r="B22" s="154">
        <v>0.16</v>
      </c>
      <c r="C22" s="154">
        <v>34.479999999999997</v>
      </c>
      <c r="D22" s="169">
        <v>42632.833333333336</v>
      </c>
      <c r="E22" s="154">
        <v>0.23</v>
      </c>
      <c r="F22" s="154" t="s">
        <v>259</v>
      </c>
      <c r="G22" s="154">
        <v>272.42</v>
      </c>
      <c r="H22" s="154">
        <v>0</v>
      </c>
      <c r="I22" s="154">
        <v>0</v>
      </c>
      <c r="K22" s="154">
        <v>1014.35</v>
      </c>
      <c r="L22" s="154" t="s">
        <v>260</v>
      </c>
      <c r="M22" s="154">
        <v>74.14</v>
      </c>
      <c r="N22" s="154">
        <v>1474336800</v>
      </c>
      <c r="O22" s="154">
        <v>7.81</v>
      </c>
      <c r="P22" s="154">
        <v>141</v>
      </c>
      <c r="Q22" s="154">
        <v>3.54</v>
      </c>
    </row>
    <row r="23" spans="1:17" x14ac:dyDescent="0.25">
      <c r="A23" s="154">
        <v>70.39</v>
      </c>
      <c r="B23" s="154">
        <v>0.21</v>
      </c>
      <c r="C23" s="154">
        <v>34.69</v>
      </c>
      <c r="D23" s="169">
        <v>42632.875</v>
      </c>
      <c r="E23" s="154">
        <v>0.27</v>
      </c>
      <c r="F23" s="154" t="s">
        <v>259</v>
      </c>
      <c r="G23" s="154">
        <v>271.82</v>
      </c>
      <c r="H23" s="154">
        <v>0</v>
      </c>
      <c r="I23" s="154">
        <v>0</v>
      </c>
      <c r="K23" s="154">
        <v>1015.56</v>
      </c>
      <c r="L23" s="154" t="s">
        <v>260</v>
      </c>
      <c r="M23" s="154">
        <v>70.39</v>
      </c>
      <c r="N23" s="154">
        <v>1474340400</v>
      </c>
      <c r="O23" s="154">
        <v>8.5</v>
      </c>
      <c r="P23" s="154">
        <v>181</v>
      </c>
      <c r="Q23" s="154">
        <v>3.06</v>
      </c>
    </row>
    <row r="24" spans="1:17" x14ac:dyDescent="0.25">
      <c r="A24" s="154">
        <v>68.25</v>
      </c>
      <c r="B24" s="154">
        <v>0.28000000000000003</v>
      </c>
      <c r="C24" s="154">
        <v>34.44</v>
      </c>
      <c r="D24" s="169">
        <v>42632.916666666664</v>
      </c>
      <c r="E24" s="154">
        <v>0.28999999999999998</v>
      </c>
      <c r="F24" s="154" t="s">
        <v>752</v>
      </c>
      <c r="G24" s="154">
        <v>271.14999999999998</v>
      </c>
      <c r="H24" s="154">
        <v>0</v>
      </c>
      <c r="I24" s="154">
        <v>0</v>
      </c>
      <c r="K24" s="154">
        <v>1015.76</v>
      </c>
      <c r="L24" s="154" t="s">
        <v>750</v>
      </c>
      <c r="M24" s="154">
        <v>68.25</v>
      </c>
      <c r="N24" s="154">
        <v>1474344000</v>
      </c>
      <c r="O24" s="154">
        <v>8.8800000000000008</v>
      </c>
      <c r="P24" s="154">
        <v>188</v>
      </c>
      <c r="Q24" s="154">
        <v>3.69</v>
      </c>
    </row>
    <row r="25" spans="1:17" x14ac:dyDescent="0.25">
      <c r="A25" s="154">
        <v>66.89</v>
      </c>
      <c r="B25" s="154">
        <v>0.3</v>
      </c>
      <c r="C25" s="154">
        <v>33.36</v>
      </c>
      <c r="D25" s="169">
        <v>42632.958333333336</v>
      </c>
      <c r="E25" s="154">
        <v>0.28999999999999998</v>
      </c>
      <c r="F25" s="154" t="s">
        <v>752</v>
      </c>
      <c r="G25" s="154">
        <v>270.42</v>
      </c>
      <c r="H25" s="154">
        <v>0</v>
      </c>
      <c r="I25" s="154">
        <v>0</v>
      </c>
      <c r="K25" s="154">
        <v>1015.5</v>
      </c>
      <c r="L25" s="154" t="s">
        <v>750</v>
      </c>
      <c r="M25" s="154">
        <v>66.89</v>
      </c>
      <c r="N25" s="154">
        <v>1474347600</v>
      </c>
      <c r="O25" s="154">
        <v>8.8699999999999992</v>
      </c>
      <c r="P25" s="154">
        <v>191</v>
      </c>
      <c r="Q25" s="154">
        <v>4.78</v>
      </c>
    </row>
    <row r="26" spans="1:17" x14ac:dyDescent="0.25">
      <c r="A26" s="154">
        <v>66.17</v>
      </c>
      <c r="B26" s="154">
        <v>0.32</v>
      </c>
      <c r="C26" s="154">
        <v>33.340000000000003</v>
      </c>
      <c r="D26" s="169">
        <v>42633</v>
      </c>
      <c r="E26" s="154">
        <v>0.28999999999999998</v>
      </c>
      <c r="F26" s="154" t="s">
        <v>752</v>
      </c>
      <c r="G26" s="154">
        <v>269.72000000000003</v>
      </c>
      <c r="H26" s="154">
        <v>0</v>
      </c>
      <c r="I26" s="154">
        <v>0</v>
      </c>
      <c r="K26" s="154">
        <v>1015.39</v>
      </c>
      <c r="L26" s="154" t="s">
        <v>750</v>
      </c>
      <c r="M26" s="154">
        <v>66.17</v>
      </c>
      <c r="N26" s="154">
        <v>1474351200</v>
      </c>
      <c r="O26" s="154">
        <v>8.9</v>
      </c>
      <c r="P26" s="154">
        <v>193</v>
      </c>
      <c r="Q26" s="154">
        <v>5.28</v>
      </c>
    </row>
    <row r="27" spans="1:17" x14ac:dyDescent="0.25">
      <c r="A27" s="154">
        <v>63.92</v>
      </c>
      <c r="B27" s="154">
        <v>0.39</v>
      </c>
      <c r="C27" s="154">
        <v>32.840000000000003</v>
      </c>
      <c r="D27" s="169">
        <v>42633.041666666664</v>
      </c>
      <c r="E27" s="154">
        <v>0.31</v>
      </c>
      <c r="F27" s="154" t="s">
        <v>752</v>
      </c>
      <c r="G27" s="154">
        <v>269.08999999999997</v>
      </c>
      <c r="H27" s="154">
        <v>0</v>
      </c>
      <c r="I27" s="154">
        <v>0</v>
      </c>
      <c r="K27" s="154">
        <v>1015.83</v>
      </c>
      <c r="L27" s="154" t="s">
        <v>750</v>
      </c>
      <c r="M27" s="154">
        <v>63.92</v>
      </c>
      <c r="N27" s="154">
        <v>1474354800</v>
      </c>
      <c r="O27" s="154">
        <v>9.01</v>
      </c>
      <c r="P27" s="154">
        <v>202</v>
      </c>
      <c r="Q27" s="154">
        <v>4.59</v>
      </c>
    </row>
    <row r="28" spans="1:17" x14ac:dyDescent="0.25">
      <c r="A28" s="154">
        <v>62.94</v>
      </c>
      <c r="B28" s="154">
        <v>0.46</v>
      </c>
      <c r="C28" s="154">
        <v>32.96</v>
      </c>
      <c r="D28" s="169">
        <v>42633.083333333336</v>
      </c>
      <c r="E28" s="154">
        <v>0.32</v>
      </c>
      <c r="F28" s="154" t="s">
        <v>752</v>
      </c>
      <c r="G28" s="154">
        <v>268.45999999999998</v>
      </c>
      <c r="H28" s="154">
        <v>0</v>
      </c>
      <c r="I28" s="154">
        <v>0</v>
      </c>
      <c r="K28" s="154">
        <v>1016.25</v>
      </c>
      <c r="L28" s="154" t="s">
        <v>750</v>
      </c>
      <c r="M28" s="154">
        <v>62.94</v>
      </c>
      <c r="N28" s="154">
        <v>1474358400</v>
      </c>
      <c r="O28" s="154">
        <v>9.01</v>
      </c>
      <c r="P28" s="154">
        <v>216</v>
      </c>
      <c r="Q28" s="154">
        <v>3.76</v>
      </c>
    </row>
    <row r="29" spans="1:17" x14ac:dyDescent="0.25">
      <c r="A29" s="154">
        <v>61.87</v>
      </c>
      <c r="B29" s="154">
        <v>0.64</v>
      </c>
      <c r="C29" s="154">
        <v>32.869999999999997</v>
      </c>
      <c r="D29" s="169">
        <v>42633.125</v>
      </c>
      <c r="E29" s="154">
        <v>0.34</v>
      </c>
      <c r="F29" s="154" t="s">
        <v>752</v>
      </c>
      <c r="G29" s="154">
        <v>267.82</v>
      </c>
      <c r="H29" s="154">
        <v>0</v>
      </c>
      <c r="I29" s="154">
        <v>0</v>
      </c>
      <c r="K29" s="154">
        <v>1016.65</v>
      </c>
      <c r="L29" s="154" t="s">
        <v>753</v>
      </c>
      <c r="M29" s="154">
        <v>61.87</v>
      </c>
      <c r="N29" s="154">
        <v>1474362000</v>
      </c>
      <c r="O29" s="154">
        <v>8.2100000000000009</v>
      </c>
      <c r="P29" s="154">
        <v>238</v>
      </c>
      <c r="Q29" s="154">
        <v>3.87</v>
      </c>
    </row>
    <row r="31" spans="1:17" x14ac:dyDescent="0.25">
      <c r="A31" s="154" t="s">
        <v>754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42632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C:\Users\stu\Documents\GitHub\eaglep3-reporting\EC\2016-09-19-refined-times.txt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261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262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2016-09-20T16:04:28Z</dcterms:modified>
</cp:coreProperties>
</file>