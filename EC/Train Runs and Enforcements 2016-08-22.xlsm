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Enforcements!$A$6:$V$71</definedName>
    <definedName name="_xlnm._FilterDatabase" localSheetId="2" hidden="1">'Missing Trips'!$A$2:$H$2</definedName>
    <definedName name="_xlnm._FilterDatabase" localSheetId="0" hidden="1">'Train Runs'!$A$12:$AG$231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13" i="1" l="1"/>
  <c r="X114" i="1"/>
  <c r="X115" i="1"/>
  <c r="X116" i="1"/>
  <c r="X117" i="1"/>
  <c r="K113" i="1"/>
  <c r="L113" i="1"/>
  <c r="M113" i="1"/>
  <c r="V113" i="1"/>
  <c r="Y113" i="1"/>
  <c r="Z113" i="1"/>
  <c r="AA113" i="1" s="1"/>
  <c r="AB113" i="1"/>
  <c r="AC113" i="1"/>
  <c r="AD113" i="1"/>
  <c r="AG113" i="1" s="1"/>
  <c r="AE113" i="1"/>
  <c r="AF113" i="1"/>
  <c r="AH11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A30" i="1" s="1"/>
  <c r="W30" i="1" s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A36" i="1" s="1"/>
  <c r="W36" i="1" s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A38" i="1" s="1"/>
  <c r="W38" i="1" s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P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P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AB157" i="1"/>
  <c r="AC157" i="1"/>
  <c r="AD157" i="1"/>
  <c r="T157" i="1" s="1"/>
  <c r="AE157" i="1"/>
  <c r="AF157" i="1"/>
  <c r="AH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6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6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7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7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7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7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7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7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8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8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8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8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8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8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8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8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1" i="1"/>
  <c r="K185" i="1"/>
  <c r="L185" i="1"/>
  <c r="M185" i="1"/>
  <c r="N185" i="1"/>
  <c r="V185" i="1"/>
  <c r="Y185" i="1"/>
  <c r="Z185" i="1"/>
  <c r="AB185" i="1"/>
  <c r="AC185" i="1"/>
  <c r="AD185" i="1"/>
  <c r="T185" i="1" s="1"/>
  <c r="AE185" i="1"/>
  <c r="AF185" i="1"/>
  <c r="AH19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9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9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9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9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0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6" i="1"/>
  <c r="K200" i="1"/>
  <c r="L200" i="1"/>
  <c r="M200" i="1"/>
  <c r="N200" i="1" s="1"/>
  <c r="V200" i="1"/>
  <c r="Q61" i="3" s="1"/>
  <c r="Y200" i="1"/>
  <c r="Z200" i="1"/>
  <c r="AB200" i="1"/>
  <c r="AC200" i="1"/>
  <c r="AD200" i="1"/>
  <c r="T200" i="1" s="1"/>
  <c r="AE200" i="1"/>
  <c r="P61" i="3" s="1"/>
  <c r="AF200" i="1"/>
  <c r="AH20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1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5" i="1"/>
  <c r="L7" i="3"/>
  <c r="S7" i="3"/>
  <c r="R7" i="3" s="1"/>
  <c r="T7" i="3"/>
  <c r="U7" i="3"/>
  <c r="V7" i="3"/>
  <c r="L51" i="3"/>
  <c r="S51" i="3"/>
  <c r="R51" i="3" s="1"/>
  <c r="T51" i="3"/>
  <c r="U51" i="3"/>
  <c r="V51" i="3"/>
  <c r="L20" i="3"/>
  <c r="S20" i="3"/>
  <c r="R20" i="3" s="1"/>
  <c r="T20" i="3"/>
  <c r="U20" i="3"/>
  <c r="V20" i="3"/>
  <c r="L56" i="3"/>
  <c r="S56" i="3"/>
  <c r="R56" i="3" s="1"/>
  <c r="T56" i="3"/>
  <c r="U56" i="3"/>
  <c r="V56" i="3"/>
  <c r="L36" i="3"/>
  <c r="S36" i="3"/>
  <c r="R36" i="3" s="1"/>
  <c r="T36" i="3"/>
  <c r="U36" i="3"/>
  <c r="V36" i="3"/>
  <c r="L57" i="3"/>
  <c r="S57" i="3"/>
  <c r="R57" i="3" s="1"/>
  <c r="T57" i="3"/>
  <c r="U57" i="3"/>
  <c r="V57" i="3"/>
  <c r="L37" i="3"/>
  <c r="S37" i="3"/>
  <c r="R37" i="3" s="1"/>
  <c r="T37" i="3"/>
  <c r="U37" i="3"/>
  <c r="V37" i="3"/>
  <c r="L18" i="3"/>
  <c r="S18" i="3"/>
  <c r="R18" i="3" s="1"/>
  <c r="T18" i="3"/>
  <c r="U18" i="3"/>
  <c r="V18" i="3"/>
  <c r="L10" i="3"/>
  <c r="S10" i="3"/>
  <c r="R10" i="3" s="1"/>
  <c r="T10" i="3"/>
  <c r="U10" i="3"/>
  <c r="V10" i="3"/>
  <c r="L28" i="3"/>
  <c r="S28" i="3"/>
  <c r="R28" i="3" s="1"/>
  <c r="T28" i="3"/>
  <c r="U28" i="3"/>
  <c r="V28" i="3"/>
  <c r="L27" i="3"/>
  <c r="S27" i="3"/>
  <c r="R27" i="3" s="1"/>
  <c r="T27" i="3"/>
  <c r="U27" i="3"/>
  <c r="V27" i="3"/>
  <c r="L38" i="3"/>
  <c r="S38" i="3"/>
  <c r="R38" i="3" s="1"/>
  <c r="T38" i="3"/>
  <c r="U38" i="3"/>
  <c r="V38" i="3"/>
  <c r="L39" i="3"/>
  <c r="S39" i="3"/>
  <c r="R39" i="3" s="1"/>
  <c r="T39" i="3"/>
  <c r="U39" i="3"/>
  <c r="V39" i="3"/>
  <c r="L19" i="3"/>
  <c r="S19" i="3"/>
  <c r="R19" i="3" s="1"/>
  <c r="T19" i="3"/>
  <c r="U19" i="3"/>
  <c r="V19" i="3"/>
  <c r="L58" i="3"/>
  <c r="S58" i="3"/>
  <c r="R58" i="3" s="1"/>
  <c r="T58" i="3"/>
  <c r="U58" i="3"/>
  <c r="V58" i="3"/>
  <c r="L29" i="3"/>
  <c r="S29" i="3"/>
  <c r="R29" i="3" s="1"/>
  <c r="T29" i="3"/>
  <c r="U29" i="3"/>
  <c r="V29" i="3"/>
  <c r="L52" i="3"/>
  <c r="S52" i="3"/>
  <c r="R52" i="3" s="1"/>
  <c r="T52" i="3"/>
  <c r="U52" i="3"/>
  <c r="V52" i="3"/>
  <c r="L8" i="3"/>
  <c r="S8" i="3"/>
  <c r="R8" i="3" s="1"/>
  <c r="T8" i="3"/>
  <c r="U8" i="3"/>
  <c r="V8" i="3"/>
  <c r="L26" i="3"/>
  <c r="S26" i="3"/>
  <c r="R26" i="3" s="1"/>
  <c r="T26" i="3"/>
  <c r="U26" i="3"/>
  <c r="V26" i="3"/>
  <c r="L23" i="3"/>
  <c r="R23" i="3"/>
  <c r="S23" i="3"/>
  <c r="T23" i="3"/>
  <c r="U23" i="3"/>
  <c r="V23" i="3"/>
  <c r="L24" i="3"/>
  <c r="S24" i="3"/>
  <c r="R24" i="3" s="1"/>
  <c r="T24" i="3"/>
  <c r="U24" i="3"/>
  <c r="V24" i="3"/>
  <c r="L11" i="3"/>
  <c r="S11" i="3"/>
  <c r="R11" i="3" s="1"/>
  <c r="T11" i="3"/>
  <c r="U11" i="3"/>
  <c r="V11" i="3"/>
  <c r="L62" i="3"/>
  <c r="S62" i="3"/>
  <c r="R62" i="3" s="1"/>
  <c r="T62" i="3"/>
  <c r="U62" i="3"/>
  <c r="V62" i="3"/>
  <c r="L59" i="3"/>
  <c r="S59" i="3"/>
  <c r="R59" i="3" s="1"/>
  <c r="T59" i="3"/>
  <c r="U59" i="3"/>
  <c r="V59" i="3"/>
  <c r="L31" i="3"/>
  <c r="S31" i="3"/>
  <c r="R31" i="3" s="1"/>
  <c r="T31" i="3"/>
  <c r="U31" i="3"/>
  <c r="V31" i="3"/>
  <c r="L25" i="3"/>
  <c r="S25" i="3"/>
  <c r="R25" i="3" s="1"/>
  <c r="T25" i="3"/>
  <c r="U25" i="3"/>
  <c r="V25" i="3"/>
  <c r="L63" i="3"/>
  <c r="S63" i="3"/>
  <c r="R63" i="3" s="1"/>
  <c r="T63" i="3"/>
  <c r="U63" i="3"/>
  <c r="V63" i="3"/>
  <c r="L47" i="3"/>
  <c r="S47" i="3"/>
  <c r="R47" i="3" s="1"/>
  <c r="T47" i="3"/>
  <c r="U47" i="3"/>
  <c r="V47" i="3"/>
  <c r="L48" i="3"/>
  <c r="S48" i="3"/>
  <c r="R48" i="3" s="1"/>
  <c r="T48" i="3"/>
  <c r="U48" i="3"/>
  <c r="V48" i="3"/>
  <c r="L12" i="3"/>
  <c r="S12" i="3"/>
  <c r="R12" i="3" s="1"/>
  <c r="T12" i="3"/>
  <c r="U12" i="3"/>
  <c r="V12" i="3"/>
  <c r="L9" i="3"/>
  <c r="S9" i="3"/>
  <c r="R9" i="3" s="1"/>
  <c r="T9" i="3"/>
  <c r="U9" i="3"/>
  <c r="V9" i="3"/>
  <c r="L40" i="3"/>
  <c r="S40" i="3"/>
  <c r="R40" i="3" s="1"/>
  <c r="T40" i="3"/>
  <c r="U40" i="3"/>
  <c r="V40" i="3"/>
  <c r="L41" i="3"/>
  <c r="S41" i="3"/>
  <c r="R41" i="3" s="1"/>
  <c r="T41" i="3"/>
  <c r="U41" i="3"/>
  <c r="V41" i="3"/>
  <c r="L42" i="3"/>
  <c r="S42" i="3"/>
  <c r="R42" i="3" s="1"/>
  <c r="T42" i="3"/>
  <c r="U42" i="3"/>
  <c r="V42" i="3"/>
  <c r="L54" i="3"/>
  <c r="S54" i="3"/>
  <c r="R54" i="3" s="1"/>
  <c r="T54" i="3"/>
  <c r="U54" i="3"/>
  <c r="V54" i="3"/>
  <c r="L32" i="3"/>
  <c r="S32" i="3"/>
  <c r="R32" i="3" s="1"/>
  <c r="T32" i="3"/>
  <c r="U32" i="3"/>
  <c r="V32" i="3"/>
  <c r="L49" i="3"/>
  <c r="S49" i="3"/>
  <c r="R49" i="3" s="1"/>
  <c r="T49" i="3"/>
  <c r="U49" i="3"/>
  <c r="V49" i="3"/>
  <c r="L53" i="3"/>
  <c r="S53" i="3"/>
  <c r="R53" i="3" s="1"/>
  <c r="T53" i="3"/>
  <c r="U53" i="3"/>
  <c r="V53" i="3"/>
  <c r="L60" i="3"/>
  <c r="S60" i="3"/>
  <c r="R60" i="3" s="1"/>
  <c r="T60" i="3"/>
  <c r="U60" i="3"/>
  <c r="V60" i="3"/>
  <c r="L50" i="3"/>
  <c r="S50" i="3"/>
  <c r="R50" i="3" s="1"/>
  <c r="T50" i="3"/>
  <c r="U50" i="3"/>
  <c r="V50" i="3"/>
  <c r="L55" i="3"/>
  <c r="S55" i="3"/>
  <c r="R55" i="3" s="1"/>
  <c r="T55" i="3"/>
  <c r="U55" i="3"/>
  <c r="V55" i="3"/>
  <c r="L14" i="3"/>
  <c r="S14" i="3"/>
  <c r="R14" i="3" s="1"/>
  <c r="T14" i="3"/>
  <c r="U14" i="3"/>
  <c r="V14" i="3"/>
  <c r="L43" i="3"/>
  <c r="S43" i="3"/>
  <c r="R43" i="3" s="1"/>
  <c r="T43" i="3"/>
  <c r="U43" i="3"/>
  <c r="V43" i="3"/>
  <c r="L30" i="3"/>
  <c r="S30" i="3"/>
  <c r="R30" i="3" s="1"/>
  <c r="T30" i="3"/>
  <c r="U30" i="3"/>
  <c r="V30" i="3"/>
  <c r="L16" i="3"/>
  <c r="S16" i="3"/>
  <c r="R16" i="3" s="1"/>
  <c r="T16" i="3"/>
  <c r="U16" i="3"/>
  <c r="V16" i="3"/>
  <c r="L33" i="3"/>
  <c r="S33" i="3"/>
  <c r="R33" i="3" s="1"/>
  <c r="T33" i="3"/>
  <c r="U33" i="3"/>
  <c r="V33" i="3"/>
  <c r="L22" i="3"/>
  <c r="S22" i="3"/>
  <c r="R22" i="3" s="1"/>
  <c r="T22" i="3"/>
  <c r="U22" i="3"/>
  <c r="V22" i="3"/>
  <c r="L17" i="3"/>
  <c r="S17" i="3"/>
  <c r="R17" i="3" s="1"/>
  <c r="T17" i="3"/>
  <c r="U17" i="3"/>
  <c r="V17" i="3"/>
  <c r="L21" i="3"/>
  <c r="S21" i="3"/>
  <c r="R21" i="3" s="1"/>
  <c r="T21" i="3"/>
  <c r="U21" i="3"/>
  <c r="V21" i="3"/>
  <c r="L44" i="3"/>
  <c r="S44" i="3"/>
  <c r="R44" i="3" s="1"/>
  <c r="T44" i="3"/>
  <c r="U44" i="3"/>
  <c r="V44" i="3"/>
  <c r="L45" i="3"/>
  <c r="S45" i="3"/>
  <c r="R45" i="3" s="1"/>
  <c r="T45" i="3"/>
  <c r="U45" i="3"/>
  <c r="V45" i="3"/>
  <c r="L46" i="3"/>
  <c r="R46" i="3"/>
  <c r="S46" i="3"/>
  <c r="T46" i="3"/>
  <c r="U46" i="3"/>
  <c r="V46" i="3"/>
  <c r="L61" i="3"/>
  <c r="S61" i="3"/>
  <c r="R61" i="3" s="1"/>
  <c r="T61" i="3"/>
  <c r="U61" i="3"/>
  <c r="V61" i="3"/>
  <c r="L34" i="3"/>
  <c r="S34" i="3"/>
  <c r="R34" i="3" s="1"/>
  <c r="T34" i="3"/>
  <c r="U34" i="3"/>
  <c r="V34" i="3"/>
  <c r="L15" i="3"/>
  <c r="S15" i="3"/>
  <c r="R15" i="3" s="1"/>
  <c r="T15" i="3"/>
  <c r="U15" i="3"/>
  <c r="V15" i="3"/>
  <c r="L13" i="3"/>
  <c r="S13" i="3"/>
  <c r="R13" i="3" s="1"/>
  <c r="T13" i="3"/>
  <c r="U13" i="3"/>
  <c r="V13" i="3"/>
  <c r="AA211" i="1" l="1"/>
  <c r="X93" i="1"/>
  <c r="X96" i="1"/>
  <c r="AA167" i="1"/>
  <c r="AA165" i="1"/>
  <c r="AA162" i="1"/>
  <c r="AA141" i="1"/>
  <c r="AA86" i="1"/>
  <c r="W86" i="1" s="1"/>
  <c r="AA82" i="1"/>
  <c r="AA78" i="1"/>
  <c r="X98" i="1"/>
  <c r="X94" i="1"/>
  <c r="T113" i="1"/>
  <c r="U113" i="1" s="1"/>
  <c r="S113" i="1" s="1"/>
  <c r="W113" i="1"/>
  <c r="AA212" i="1"/>
  <c r="AA194" i="1"/>
  <c r="AA187" i="1"/>
  <c r="AA161" i="1"/>
  <c r="AA69" i="1"/>
  <c r="X26" i="1"/>
  <c r="AA19" i="1"/>
  <c r="AA18" i="1"/>
  <c r="W18" i="1" s="1"/>
  <c r="AA203" i="1"/>
  <c r="AA173" i="1"/>
  <c r="AA111" i="1"/>
  <c r="AA28" i="1"/>
  <c r="W28" i="1" s="1"/>
  <c r="AA27" i="1"/>
  <c r="AA26" i="1"/>
  <c r="W26" i="1" s="1"/>
  <c r="AG84" i="1"/>
  <c r="U84" i="1" s="1"/>
  <c r="S84" i="1" s="1"/>
  <c r="X84" i="1"/>
  <c r="AA43" i="1"/>
  <c r="P68" i="1"/>
  <c r="AA169" i="1"/>
  <c r="AG111" i="1"/>
  <c r="AA178" i="1"/>
  <c r="AG98" i="1"/>
  <c r="AA95" i="1"/>
  <c r="AG74" i="1"/>
  <c r="AA71" i="1"/>
  <c r="AA215" i="1"/>
  <c r="AA190" i="1"/>
  <c r="AA174" i="1"/>
  <c r="AA163" i="1"/>
  <c r="AG118" i="1"/>
  <c r="U118" i="1" s="1"/>
  <c r="S118" i="1" s="1"/>
  <c r="AG106" i="1"/>
  <c r="X106" i="1"/>
  <c r="AG60" i="1"/>
  <c r="U60" i="1" s="1"/>
  <c r="S60" i="1" s="1"/>
  <c r="AA31" i="1"/>
  <c r="AA20" i="1"/>
  <c r="W20" i="1" s="1"/>
  <c r="AA189" i="1"/>
  <c r="AA114" i="1"/>
  <c r="AG93" i="1"/>
  <c r="AG82" i="1"/>
  <c r="U82" i="1" s="1"/>
  <c r="S82" i="1" s="1"/>
  <c r="AA77" i="1"/>
  <c r="AG69" i="1"/>
  <c r="W69" i="1" s="1"/>
  <c r="AG56" i="1"/>
  <c r="X56" i="1"/>
  <c r="AA29" i="1"/>
  <c r="AA16" i="1"/>
  <c r="W16" i="1" s="1"/>
  <c r="AA201" i="1"/>
  <c r="AA199" i="1"/>
  <c r="AA197" i="1"/>
  <c r="AA185" i="1"/>
  <c r="AA183" i="1"/>
  <c r="AA181" i="1"/>
  <c r="AA171" i="1"/>
  <c r="AA160" i="1"/>
  <c r="AA159" i="1"/>
  <c r="AA158" i="1"/>
  <c r="AG157" i="1"/>
  <c r="W157" i="1" s="1"/>
  <c r="AA122" i="1"/>
  <c r="X119" i="1"/>
  <c r="AA119" i="1"/>
  <c r="AG116" i="1"/>
  <c r="AG104" i="1"/>
  <c r="T92" i="1"/>
  <c r="AG78" i="1"/>
  <c r="U78" i="1" s="1"/>
  <c r="S78" i="1" s="1"/>
  <c r="T68" i="1"/>
  <c r="AA44" i="1"/>
  <c r="W44" i="1" s="1"/>
  <c r="AA198" i="1"/>
  <c r="AA193" i="1"/>
  <c r="AA191" i="1"/>
  <c r="AA186" i="1"/>
  <c r="AA179" i="1"/>
  <c r="AA166" i="1"/>
  <c r="AG151" i="1"/>
  <c r="U151" i="1" s="1"/>
  <c r="S151" i="1" s="1"/>
  <c r="X151" i="1"/>
  <c r="AA134" i="1"/>
  <c r="AA115" i="1"/>
  <c r="AA112" i="1"/>
  <c r="AG110" i="1"/>
  <c r="U110" i="1" s="1"/>
  <c r="S110" i="1" s="1"/>
  <c r="X110" i="1"/>
  <c r="AA109" i="1"/>
  <c r="AA108" i="1"/>
  <c r="W108" i="1" s="1"/>
  <c r="X104" i="1"/>
  <c r="AA103" i="1"/>
  <c r="X102" i="1"/>
  <c r="AG88" i="1"/>
  <c r="AG77" i="1"/>
  <c r="W77" i="1" s="1"/>
  <c r="X77" i="1"/>
  <c r="AG64" i="1"/>
  <c r="U64" i="1" s="1"/>
  <c r="S64" i="1" s="1"/>
  <c r="AA63" i="1"/>
  <c r="W63" i="1" s="1"/>
  <c r="AA61" i="1"/>
  <c r="AG57" i="1"/>
  <c r="U57" i="1" s="1"/>
  <c r="S57" i="1" s="1"/>
  <c r="AA55" i="1"/>
  <c r="AA54" i="1"/>
  <c r="W54" i="1" s="1"/>
  <c r="AA53" i="1"/>
  <c r="AA52" i="1"/>
  <c r="W52" i="1" s="1"/>
  <c r="X44" i="1"/>
  <c r="T34" i="1"/>
  <c r="U34" i="1" s="1"/>
  <c r="S34" i="1" s="1"/>
  <c r="AA213" i="1"/>
  <c r="AA202" i="1"/>
  <c r="AA195" i="1"/>
  <c r="AA182" i="1"/>
  <c r="AA177" i="1"/>
  <c r="AA175" i="1"/>
  <c r="AA170" i="1"/>
  <c r="AA164" i="1"/>
  <c r="AG206" i="1"/>
  <c r="AG153" i="1"/>
  <c r="U153" i="1" s="1"/>
  <c r="S153" i="1" s="1"/>
  <c r="X153" i="1"/>
  <c r="AG114" i="1"/>
  <c r="U114" i="1" s="1"/>
  <c r="S114" i="1" s="1"/>
  <c r="AA106" i="1"/>
  <c r="AG101" i="1"/>
  <c r="U101" i="1" s="1"/>
  <c r="S101" i="1" s="1"/>
  <c r="AA97" i="1"/>
  <c r="AA91" i="1"/>
  <c r="AA88" i="1"/>
  <c r="W88" i="1" s="1"/>
  <c r="T86" i="1"/>
  <c r="U86" i="1" s="1"/>
  <c r="S86" i="1" s="1"/>
  <c r="T76" i="1"/>
  <c r="AA74" i="1"/>
  <c r="W74" i="1" s="1"/>
  <c r="AA73" i="1"/>
  <c r="X72" i="1"/>
  <c r="AA70" i="1"/>
  <c r="AA67" i="1"/>
  <c r="AA66" i="1"/>
  <c r="AA59" i="1"/>
  <c r="AA47" i="1"/>
  <c r="AA46" i="1"/>
  <c r="W46" i="1" s="1"/>
  <c r="AA42" i="1"/>
  <c r="AA35" i="1"/>
  <c r="AA24" i="1"/>
  <c r="W24" i="1" s="1"/>
  <c r="U56" i="1"/>
  <c r="S56" i="1" s="1"/>
  <c r="X16" i="1"/>
  <c r="AA214" i="1"/>
  <c r="AA200" i="1"/>
  <c r="AA192" i="1"/>
  <c r="AA184" i="1"/>
  <c r="AA176" i="1"/>
  <c r="AA168" i="1"/>
  <c r="AG208" i="1"/>
  <c r="X206" i="1"/>
  <c r="AA157" i="1"/>
  <c r="AA147" i="1"/>
  <c r="W141" i="1"/>
  <c r="AG117" i="1"/>
  <c r="U117" i="1" s="1"/>
  <c r="S117" i="1" s="1"/>
  <c r="AA116" i="1"/>
  <c r="AG115" i="1"/>
  <c r="U115" i="1" s="1"/>
  <c r="S115" i="1" s="1"/>
  <c r="AG112" i="1"/>
  <c r="X111" i="1"/>
  <c r="AG108" i="1"/>
  <c r="U108" i="1" s="1"/>
  <c r="S108" i="1" s="1"/>
  <c r="X108" i="1"/>
  <c r="AA105" i="1"/>
  <c r="AA102" i="1"/>
  <c r="AG100" i="1"/>
  <c r="U100" i="1" s="1"/>
  <c r="S100" i="1" s="1"/>
  <c r="X100" i="1"/>
  <c r="AG94" i="1"/>
  <c r="AG90" i="1"/>
  <c r="U90" i="1" s="1"/>
  <c r="S90" i="1" s="1"/>
  <c r="AA89" i="1"/>
  <c r="AG80" i="1"/>
  <c r="U80" i="1" s="1"/>
  <c r="S80" i="1" s="1"/>
  <c r="X80" i="1"/>
  <c r="X78" i="1"/>
  <c r="AG73" i="1"/>
  <c r="U73" i="1" s="1"/>
  <c r="S73" i="1" s="1"/>
  <c r="AG70" i="1"/>
  <c r="W70" i="1" s="1"/>
  <c r="X69" i="1"/>
  <c r="AG66" i="1"/>
  <c r="U66" i="1" s="1"/>
  <c r="S66" i="1" s="1"/>
  <c r="AA65" i="1"/>
  <c r="AG61" i="1"/>
  <c r="AA58" i="1"/>
  <c r="AA51" i="1"/>
  <c r="AA50" i="1"/>
  <c r="W50" i="1" s="1"/>
  <c r="AA48" i="1"/>
  <c r="W48" i="1" s="1"/>
  <c r="T42" i="1"/>
  <c r="AA34" i="1"/>
  <c r="W34" i="1" s="1"/>
  <c r="X24" i="1"/>
  <c r="AA23" i="1"/>
  <c r="AA22" i="1"/>
  <c r="W22" i="1" s="1"/>
  <c r="AA210" i="1"/>
  <c r="AA209" i="1"/>
  <c r="AA155" i="1"/>
  <c r="AA131" i="1"/>
  <c r="W131" i="1" s="1"/>
  <c r="AA125" i="1"/>
  <c r="W125" i="1" s="1"/>
  <c r="X118" i="1"/>
  <c r="X112" i="1"/>
  <c r="AG105" i="1"/>
  <c r="W105" i="1" s="1"/>
  <c r="X105" i="1"/>
  <c r="T103" i="1"/>
  <c r="AA101" i="1"/>
  <c r="AA99" i="1"/>
  <c r="AG96" i="1"/>
  <c r="U96" i="1" s="1"/>
  <c r="S96" i="1" s="1"/>
  <c r="AG92" i="1"/>
  <c r="U92" i="1" s="1"/>
  <c r="S92" i="1" s="1"/>
  <c r="AA84" i="1"/>
  <c r="X79" i="1"/>
  <c r="AA75" i="1"/>
  <c r="AG72" i="1"/>
  <c r="U72" i="1" s="1"/>
  <c r="S72" i="1" s="1"/>
  <c r="X70" i="1"/>
  <c r="AG65" i="1"/>
  <c r="U65" i="1" s="1"/>
  <c r="S65" i="1" s="1"/>
  <c r="AG62" i="1"/>
  <c r="W62" i="1" s="1"/>
  <c r="X61" i="1"/>
  <c r="AG58" i="1"/>
  <c r="U58" i="1" s="1"/>
  <c r="S58" i="1" s="1"/>
  <c r="AA57" i="1"/>
  <c r="AA49" i="1"/>
  <c r="T46" i="1"/>
  <c r="U46" i="1" s="1"/>
  <c r="S46" i="1" s="1"/>
  <c r="X30" i="1"/>
  <c r="X18" i="1"/>
  <c r="AA204" i="1"/>
  <c r="AA196" i="1"/>
  <c r="AA188" i="1"/>
  <c r="AA180" i="1"/>
  <c r="AA172" i="1"/>
  <c r="AA208" i="1"/>
  <c r="AA150" i="1"/>
  <c r="AA121" i="1"/>
  <c r="AA120" i="1"/>
  <c r="AA117" i="1"/>
  <c r="X101" i="1"/>
  <c r="X88" i="1"/>
  <c r="AA80" i="1"/>
  <c r="X71" i="1"/>
  <c r="X64" i="1"/>
  <c r="X62" i="1"/>
  <c r="W42" i="1"/>
  <c r="AA145" i="1"/>
  <c r="W145" i="1" s="1"/>
  <c r="AA138" i="1"/>
  <c r="AA135" i="1"/>
  <c r="W135" i="1" s="1"/>
  <c r="AA129" i="1"/>
  <c r="W129" i="1" s="1"/>
  <c r="T119" i="1"/>
  <c r="AA118" i="1"/>
  <c r="W118" i="1" s="1"/>
  <c r="U116" i="1"/>
  <c r="S116" i="1" s="1"/>
  <c r="T109" i="1"/>
  <c r="T102" i="1"/>
  <c r="T99" i="1"/>
  <c r="U99" i="1" s="1"/>
  <c r="S99" i="1" s="1"/>
  <c r="AG99" i="1"/>
  <c r="X205" i="1"/>
  <c r="T122" i="1"/>
  <c r="T121" i="1"/>
  <c r="T120" i="1"/>
  <c r="T89" i="1"/>
  <c r="X90" i="1"/>
  <c r="X89" i="1"/>
  <c r="AG89" i="1"/>
  <c r="X207" i="1"/>
  <c r="AA206" i="1"/>
  <c r="AG155" i="1"/>
  <c r="U155" i="1" s="1"/>
  <c r="S155" i="1" s="1"/>
  <c r="X155" i="1"/>
  <c r="AA146" i="1"/>
  <c r="AA143" i="1"/>
  <c r="W143" i="1" s="1"/>
  <c r="AA137" i="1"/>
  <c r="W137" i="1" s="1"/>
  <c r="AA130" i="1"/>
  <c r="AA127" i="1"/>
  <c r="W127" i="1" s="1"/>
  <c r="AG122" i="1"/>
  <c r="U122" i="1" s="1"/>
  <c r="S122" i="1" s="1"/>
  <c r="AG121" i="1"/>
  <c r="AG120" i="1"/>
  <c r="AG119" i="1"/>
  <c r="AA110" i="1"/>
  <c r="AG109" i="1"/>
  <c r="X109" i="1"/>
  <c r="X107" i="1"/>
  <c r="AG107" i="1"/>
  <c r="AA107" i="1"/>
  <c r="AG102" i="1"/>
  <c r="T95" i="1"/>
  <c r="AG95" i="1"/>
  <c r="W95" i="1" s="1"/>
  <c r="T85" i="1"/>
  <c r="X86" i="1"/>
  <c r="X85" i="1"/>
  <c r="AG85" i="1"/>
  <c r="T75" i="1"/>
  <c r="X76" i="1"/>
  <c r="X75" i="1"/>
  <c r="AG75" i="1"/>
  <c r="U206" i="1"/>
  <c r="S206" i="1" s="1"/>
  <c r="X157" i="1"/>
  <c r="X154" i="1"/>
  <c r="AA153" i="1"/>
  <c r="AA151" i="1"/>
  <c r="W151" i="1" s="1"/>
  <c r="AA149" i="1"/>
  <c r="W149" i="1" s="1"/>
  <c r="AA142" i="1"/>
  <c r="AA139" i="1"/>
  <c r="W139" i="1" s="1"/>
  <c r="AA133" i="1"/>
  <c r="W133" i="1" s="1"/>
  <c r="AA126" i="1"/>
  <c r="AA123" i="1"/>
  <c r="U112" i="1"/>
  <c r="S112" i="1" s="1"/>
  <c r="U111" i="1"/>
  <c r="S111" i="1" s="1"/>
  <c r="X103" i="1"/>
  <c r="AG103" i="1"/>
  <c r="AG97" i="1"/>
  <c r="T97" i="1"/>
  <c r="T81" i="1"/>
  <c r="X82" i="1"/>
  <c r="X81" i="1"/>
  <c r="AG81" i="1"/>
  <c r="T52" i="1"/>
  <c r="T40" i="1"/>
  <c r="U40" i="1" s="1"/>
  <c r="S40" i="1" s="1"/>
  <c r="T26" i="1"/>
  <c r="X22" i="1"/>
  <c r="T18" i="1"/>
  <c r="U18" i="1" s="1"/>
  <c r="S18" i="1" s="1"/>
  <c r="AA15" i="1"/>
  <c r="AA104" i="1"/>
  <c r="AA100" i="1"/>
  <c r="AA96" i="1"/>
  <c r="AA93" i="1"/>
  <c r="W93" i="1" s="1"/>
  <c r="T91" i="1"/>
  <c r="AA90" i="1"/>
  <c r="AA87" i="1"/>
  <c r="T87" i="1"/>
  <c r="AA83" i="1"/>
  <c r="T83" i="1"/>
  <c r="AA79" i="1"/>
  <c r="T79" i="1"/>
  <c r="AA76" i="1"/>
  <c r="X74" i="1"/>
  <c r="X73" i="1"/>
  <c r="T71" i="1"/>
  <c r="AA68" i="1"/>
  <c r="AG67" i="1"/>
  <c r="U67" i="1" s="1"/>
  <c r="S67" i="1" s="1"/>
  <c r="X67" i="1"/>
  <c r="X66" i="1"/>
  <c r="X65" i="1"/>
  <c r="T63" i="1"/>
  <c r="AA60" i="1"/>
  <c r="AG59" i="1"/>
  <c r="U59" i="1" s="1"/>
  <c r="S59" i="1" s="1"/>
  <c r="X59" i="1"/>
  <c r="X58" i="1"/>
  <c r="X57" i="1"/>
  <c r="T50" i="1"/>
  <c r="U50" i="1" s="1"/>
  <c r="S50" i="1" s="1"/>
  <c r="X48" i="1"/>
  <c r="T44" i="1"/>
  <c r="U44" i="1" s="1"/>
  <c r="S44" i="1" s="1"/>
  <c r="AA41" i="1"/>
  <c r="T38" i="1"/>
  <c r="U38" i="1" s="1"/>
  <c r="S38" i="1" s="1"/>
  <c r="T36" i="1"/>
  <c r="U36" i="1" s="1"/>
  <c r="S36" i="1" s="1"/>
  <c r="T30" i="1"/>
  <c r="U30" i="1" s="1"/>
  <c r="S30" i="1" s="1"/>
  <c r="X28" i="1"/>
  <c r="T24" i="1"/>
  <c r="U24" i="1" s="1"/>
  <c r="S24" i="1" s="1"/>
  <c r="AA21" i="1"/>
  <c r="X20" i="1"/>
  <c r="T16" i="1"/>
  <c r="AA14" i="1"/>
  <c r="X68" i="1"/>
  <c r="X60" i="1"/>
  <c r="X52" i="1"/>
  <c r="X40" i="1"/>
  <c r="T22" i="1"/>
  <c r="U22" i="1" s="1"/>
  <c r="S22" i="1" s="1"/>
  <c r="AA98" i="1"/>
  <c r="AA94" i="1"/>
  <c r="AA92" i="1"/>
  <c r="AG91" i="1"/>
  <c r="U91" i="1" s="1"/>
  <c r="S91" i="1" s="1"/>
  <c r="AG87" i="1"/>
  <c r="AA85" i="1"/>
  <c r="AG83" i="1"/>
  <c r="AA81" i="1"/>
  <c r="AG79" i="1"/>
  <c r="AA72" i="1"/>
  <c r="AG71" i="1"/>
  <c r="U71" i="1" s="1"/>
  <c r="S71" i="1" s="1"/>
  <c r="AA64" i="1"/>
  <c r="AG63" i="1"/>
  <c r="AA56" i="1"/>
  <c r="W56" i="1" s="1"/>
  <c r="T54" i="1"/>
  <c r="U54" i="1" s="1"/>
  <c r="S54" i="1" s="1"/>
  <c r="T48" i="1"/>
  <c r="U48" i="1" s="1"/>
  <c r="S48" i="1" s="1"/>
  <c r="AA45" i="1"/>
  <c r="T32" i="1"/>
  <c r="T28" i="1"/>
  <c r="U28" i="1" s="1"/>
  <c r="S28" i="1" s="1"/>
  <c r="AA25" i="1"/>
  <c r="T20" i="1"/>
  <c r="U20" i="1" s="1"/>
  <c r="S20" i="1" s="1"/>
  <c r="AA17" i="1"/>
  <c r="T207" i="1"/>
  <c r="T128" i="1"/>
  <c r="X128" i="1"/>
  <c r="AG207" i="1"/>
  <c r="AA205" i="1"/>
  <c r="AG156" i="1"/>
  <c r="X156" i="1"/>
  <c r="AA154" i="1"/>
  <c r="AG152" i="1"/>
  <c r="X152" i="1"/>
  <c r="T149" i="1"/>
  <c r="U149" i="1" s="1"/>
  <c r="S149" i="1" s="1"/>
  <c r="X149" i="1"/>
  <c r="T145" i="1"/>
  <c r="U145" i="1" s="1"/>
  <c r="S145" i="1" s="1"/>
  <c r="X145" i="1"/>
  <c r="T141" i="1"/>
  <c r="U141" i="1" s="1"/>
  <c r="S141" i="1" s="1"/>
  <c r="X141" i="1"/>
  <c r="T137" i="1"/>
  <c r="U137" i="1" s="1"/>
  <c r="S137" i="1" s="1"/>
  <c r="X137" i="1"/>
  <c r="T133" i="1"/>
  <c r="U133" i="1" s="1"/>
  <c r="S133" i="1" s="1"/>
  <c r="X133" i="1"/>
  <c r="T129" i="1"/>
  <c r="U129" i="1" s="1"/>
  <c r="S129" i="1" s="1"/>
  <c r="X129" i="1"/>
  <c r="AG128" i="1"/>
  <c r="T125" i="1"/>
  <c r="U125" i="1" s="1"/>
  <c r="S125" i="1" s="1"/>
  <c r="X125" i="1"/>
  <c r="U76" i="1"/>
  <c r="S76" i="1" s="1"/>
  <c r="AG37" i="1"/>
  <c r="W37" i="1" s="1"/>
  <c r="X37" i="1"/>
  <c r="T37" i="1"/>
  <c r="X38" i="1"/>
  <c r="T140" i="1"/>
  <c r="U140" i="1" s="1"/>
  <c r="S140" i="1" s="1"/>
  <c r="X140" i="1"/>
  <c r="T124" i="1"/>
  <c r="U124" i="1" s="1"/>
  <c r="S124" i="1" s="1"/>
  <c r="X124" i="1"/>
  <c r="AG214" i="1"/>
  <c r="AG213" i="1"/>
  <c r="AG212" i="1"/>
  <c r="AG211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W166" i="1" s="1"/>
  <c r="AG165" i="1"/>
  <c r="AG164" i="1"/>
  <c r="AG163" i="1"/>
  <c r="AG162" i="1"/>
  <c r="AG161" i="1"/>
  <c r="AG160" i="1"/>
  <c r="AG159" i="1"/>
  <c r="AG158" i="1"/>
  <c r="AG215" i="1"/>
  <c r="AG210" i="1"/>
  <c r="AG209" i="1"/>
  <c r="U208" i="1"/>
  <c r="S208" i="1" s="1"/>
  <c r="T205" i="1"/>
  <c r="T154" i="1"/>
  <c r="T150" i="1"/>
  <c r="X150" i="1"/>
  <c r="W147" i="1"/>
  <c r="T146" i="1"/>
  <c r="X146" i="1"/>
  <c r="T142" i="1"/>
  <c r="X142" i="1"/>
  <c r="T138" i="1"/>
  <c r="X138" i="1"/>
  <c r="T134" i="1"/>
  <c r="X134" i="1"/>
  <c r="T130" i="1"/>
  <c r="X130" i="1"/>
  <c r="T126" i="1"/>
  <c r="X126" i="1"/>
  <c r="W123" i="1"/>
  <c r="U106" i="1"/>
  <c r="S106" i="1" s="1"/>
  <c r="U98" i="1"/>
  <c r="S98" i="1" s="1"/>
  <c r="U94" i="1"/>
  <c r="S94" i="1" s="1"/>
  <c r="U88" i="1"/>
  <c r="S88" i="1" s="1"/>
  <c r="AG45" i="1"/>
  <c r="X45" i="1"/>
  <c r="T45" i="1"/>
  <c r="X46" i="1"/>
  <c r="T148" i="1"/>
  <c r="U148" i="1" s="1"/>
  <c r="S148" i="1" s="1"/>
  <c r="X148" i="1"/>
  <c r="T144" i="1"/>
  <c r="U144" i="1" s="1"/>
  <c r="S144" i="1" s="1"/>
  <c r="X144" i="1"/>
  <c r="T136" i="1"/>
  <c r="U136" i="1" s="1"/>
  <c r="S136" i="1" s="1"/>
  <c r="X136" i="1"/>
  <c r="T132" i="1"/>
  <c r="U132" i="1" s="1"/>
  <c r="S132" i="1" s="1"/>
  <c r="X132" i="1"/>
  <c r="U93" i="1"/>
  <c r="S93" i="1" s="1"/>
  <c r="X214" i="1"/>
  <c r="X213" i="1"/>
  <c r="X212" i="1"/>
  <c r="X211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215" i="1"/>
  <c r="X210" i="1"/>
  <c r="X209" i="1"/>
  <c r="X208" i="1"/>
  <c r="AA207" i="1"/>
  <c r="AG205" i="1"/>
  <c r="AA156" i="1"/>
  <c r="AG154" i="1"/>
  <c r="AA152" i="1"/>
  <c r="W152" i="1" s="1"/>
  <c r="AG150" i="1"/>
  <c r="AA148" i="1"/>
  <c r="W148" i="1" s="1"/>
  <c r="T147" i="1"/>
  <c r="U147" i="1" s="1"/>
  <c r="S147" i="1" s="1"/>
  <c r="X147" i="1"/>
  <c r="AG146" i="1"/>
  <c r="AA144" i="1"/>
  <c r="W144" i="1" s="1"/>
  <c r="T143" i="1"/>
  <c r="U143" i="1" s="1"/>
  <c r="S143" i="1" s="1"/>
  <c r="X143" i="1"/>
  <c r="AG142" i="1"/>
  <c r="AA140" i="1"/>
  <c r="W140" i="1" s="1"/>
  <c r="T139" i="1"/>
  <c r="U139" i="1" s="1"/>
  <c r="S139" i="1" s="1"/>
  <c r="X139" i="1"/>
  <c r="AG138" i="1"/>
  <c r="AA136" i="1"/>
  <c r="W136" i="1" s="1"/>
  <c r="T135" i="1"/>
  <c r="U135" i="1" s="1"/>
  <c r="S135" i="1" s="1"/>
  <c r="X135" i="1"/>
  <c r="AG134" i="1"/>
  <c r="W134" i="1" s="1"/>
  <c r="AA132" i="1"/>
  <c r="W132" i="1" s="1"/>
  <c r="T131" i="1"/>
  <c r="U131" i="1" s="1"/>
  <c r="S131" i="1" s="1"/>
  <c r="X131" i="1"/>
  <c r="AG130" i="1"/>
  <c r="AA128" i="1"/>
  <c r="T127" i="1"/>
  <c r="U127" i="1" s="1"/>
  <c r="S127" i="1" s="1"/>
  <c r="X127" i="1"/>
  <c r="AG126" i="1"/>
  <c r="AA124" i="1"/>
  <c r="W124" i="1" s="1"/>
  <c r="T123" i="1"/>
  <c r="U123" i="1" s="1"/>
  <c r="S123" i="1" s="1"/>
  <c r="X123" i="1"/>
  <c r="U74" i="1"/>
  <c r="S74" i="1" s="1"/>
  <c r="U68" i="1"/>
  <c r="S68" i="1" s="1"/>
  <c r="AG53" i="1"/>
  <c r="X53" i="1"/>
  <c r="T53" i="1"/>
  <c r="X54" i="1"/>
  <c r="AG49" i="1"/>
  <c r="X49" i="1"/>
  <c r="AG41" i="1"/>
  <c r="X41" i="1"/>
  <c r="W102" i="1"/>
  <c r="W99" i="1"/>
  <c r="W94" i="1"/>
  <c r="W76" i="1"/>
  <c r="W68" i="1"/>
  <c r="X50" i="1"/>
  <c r="X42" i="1"/>
  <c r="AG35" i="1"/>
  <c r="W35" i="1" s="1"/>
  <c r="X35" i="1"/>
  <c r="T35" i="1"/>
  <c r="AG33" i="1"/>
  <c r="X33" i="1"/>
  <c r="T33" i="1"/>
  <c r="AG31" i="1"/>
  <c r="X31" i="1"/>
  <c r="T31" i="1"/>
  <c r="AG29" i="1"/>
  <c r="X29" i="1"/>
  <c r="T29" i="1"/>
  <c r="AG27" i="1"/>
  <c r="X27" i="1"/>
  <c r="T27" i="1"/>
  <c r="AG23" i="1"/>
  <c r="X23" i="1"/>
  <c r="T23" i="1"/>
  <c r="AG19" i="1"/>
  <c r="X19" i="1"/>
  <c r="T19" i="1"/>
  <c r="AG15" i="1"/>
  <c r="X15" i="1"/>
  <c r="T15" i="1"/>
  <c r="AG55" i="1"/>
  <c r="X55" i="1"/>
  <c r="T55" i="1"/>
  <c r="AG51" i="1"/>
  <c r="X51" i="1"/>
  <c r="T51" i="1"/>
  <c r="AG47" i="1"/>
  <c r="X47" i="1"/>
  <c r="T47" i="1"/>
  <c r="AG43" i="1"/>
  <c r="X43" i="1"/>
  <c r="T43" i="1"/>
  <c r="AG39" i="1"/>
  <c r="X39" i="1"/>
  <c r="T39" i="1"/>
  <c r="X36" i="1"/>
  <c r="X34" i="1"/>
  <c r="X32" i="1"/>
  <c r="AG25" i="1"/>
  <c r="X25" i="1"/>
  <c r="T25" i="1"/>
  <c r="AG21" i="1"/>
  <c r="X21" i="1"/>
  <c r="T21" i="1"/>
  <c r="AG17" i="1"/>
  <c r="W17" i="1" s="1"/>
  <c r="X17" i="1"/>
  <c r="T17" i="1"/>
  <c r="U52" i="1"/>
  <c r="S52" i="1" s="1"/>
  <c r="U42" i="1"/>
  <c r="S42" i="1" s="1"/>
  <c r="U32" i="1"/>
  <c r="S32" i="1" s="1"/>
  <c r="U26" i="1"/>
  <c r="S26" i="1" s="1"/>
  <c r="U16" i="1"/>
  <c r="S16" i="1" s="1"/>
  <c r="T14" i="1"/>
  <c r="AG14" i="1"/>
  <c r="Q9" i="3"/>
  <c r="P9" i="3"/>
  <c r="E4" i="6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Q7" i="3"/>
  <c r="P7" i="3"/>
  <c r="Q20" i="3"/>
  <c r="P20" i="3"/>
  <c r="Q36" i="3"/>
  <c r="P36" i="3"/>
  <c r="Q37" i="3"/>
  <c r="P37" i="3"/>
  <c r="Q28" i="3"/>
  <c r="P28" i="3"/>
  <c r="Q18" i="3"/>
  <c r="P18" i="3"/>
  <c r="Q10" i="3"/>
  <c r="P10" i="3"/>
  <c r="Q27" i="3"/>
  <c r="P27" i="3"/>
  <c r="Q19" i="3"/>
  <c r="P19" i="3"/>
  <c r="Q26" i="3"/>
  <c r="P26" i="3"/>
  <c r="Q11" i="3"/>
  <c r="P11" i="3"/>
  <c r="Q31" i="3"/>
  <c r="P31" i="3"/>
  <c r="Q25" i="3"/>
  <c r="P25" i="3"/>
  <c r="Q12" i="3"/>
  <c r="P12" i="3"/>
  <c r="Q42" i="3"/>
  <c r="P42" i="3"/>
  <c r="Q51" i="3"/>
  <c r="P51" i="3"/>
  <c r="Q56" i="3"/>
  <c r="P56" i="3"/>
  <c r="Q57" i="3"/>
  <c r="P57" i="3"/>
  <c r="Q58" i="3"/>
  <c r="P58" i="3"/>
  <c r="Q52" i="3"/>
  <c r="P52" i="3"/>
  <c r="Q62" i="3"/>
  <c r="P62" i="3"/>
  <c r="Q59" i="3"/>
  <c r="P59" i="3"/>
  <c r="Q63" i="3"/>
  <c r="P63" i="3"/>
  <c r="Q54" i="3"/>
  <c r="P54" i="3"/>
  <c r="Q32" i="3"/>
  <c r="P32" i="3"/>
  <c r="Q49" i="3"/>
  <c r="P49" i="3"/>
  <c r="Q50" i="3"/>
  <c r="P50" i="3"/>
  <c r="Q43" i="3"/>
  <c r="P43" i="3"/>
  <c r="Q30" i="3"/>
  <c r="P30" i="3"/>
  <c r="Q14" i="3"/>
  <c r="P14" i="3"/>
  <c r="Q44" i="3"/>
  <c r="P44" i="3"/>
  <c r="Q45" i="3"/>
  <c r="P45" i="3"/>
  <c r="Q16" i="3"/>
  <c r="P16" i="3"/>
  <c r="Q17" i="3"/>
  <c r="P17" i="3"/>
  <c r="Q46" i="3"/>
  <c r="P46" i="3"/>
  <c r="Q34" i="3"/>
  <c r="P34" i="3"/>
  <c r="Q15" i="3"/>
  <c r="P15" i="3"/>
  <c r="Q13" i="3"/>
  <c r="P13" i="3"/>
  <c r="Q55" i="3"/>
  <c r="P55" i="3"/>
  <c r="L35" i="3"/>
  <c r="Q35" i="3"/>
  <c r="S35" i="3"/>
  <c r="R35" i="3" s="1"/>
  <c r="T35" i="3"/>
  <c r="U35" i="3"/>
  <c r="V35" i="3"/>
  <c r="U157" i="1" l="1"/>
  <c r="S157" i="1" s="1"/>
  <c r="W167" i="1"/>
  <c r="W83" i="1"/>
  <c r="W92" i="1"/>
  <c r="W116" i="1"/>
  <c r="W164" i="1"/>
  <c r="W112" i="1"/>
  <c r="W150" i="1"/>
  <c r="U75" i="1"/>
  <c r="S75" i="1" s="1"/>
  <c r="W107" i="1"/>
  <c r="W206" i="1"/>
  <c r="W72" i="1"/>
  <c r="W106" i="1"/>
  <c r="W111" i="1"/>
  <c r="W60" i="1"/>
  <c r="W59" i="1"/>
  <c r="W82" i="1"/>
  <c r="U107" i="1"/>
  <c r="S107" i="1" s="1"/>
  <c r="W85" i="1"/>
  <c r="U103" i="1"/>
  <c r="S103" i="1" s="1"/>
  <c r="U95" i="1"/>
  <c r="S95" i="1" s="1"/>
  <c r="W119" i="1"/>
  <c r="W75" i="1"/>
  <c r="W84" i="1"/>
  <c r="U63" i="1"/>
  <c r="S63" i="1" s="1"/>
  <c r="W73" i="1"/>
  <c r="W104" i="1"/>
  <c r="W122" i="1"/>
  <c r="W161" i="1"/>
  <c r="W81" i="1"/>
  <c r="W25" i="1"/>
  <c r="U104" i="1"/>
  <c r="S104" i="1" s="1"/>
  <c r="U69" i="1"/>
  <c r="U85" i="1"/>
  <c r="S85" i="1" s="1"/>
  <c r="U102" i="1"/>
  <c r="S102" i="1" s="1"/>
  <c r="U109" i="1"/>
  <c r="S109" i="1" s="1"/>
  <c r="W91" i="1"/>
  <c r="W153" i="1"/>
  <c r="U79" i="1"/>
  <c r="S79" i="1" s="1"/>
  <c r="W98" i="1"/>
  <c r="W79" i="1"/>
  <c r="W96" i="1"/>
  <c r="W114" i="1"/>
  <c r="U81" i="1"/>
  <c r="S81" i="1" s="1"/>
  <c r="U97" i="1"/>
  <c r="S97" i="1" s="1"/>
  <c r="U120" i="1"/>
  <c r="S120" i="1" s="1"/>
  <c r="U89" i="1"/>
  <c r="S89" i="1" s="1"/>
  <c r="W57" i="1"/>
  <c r="W78" i="1"/>
  <c r="U119" i="1"/>
  <c r="S119" i="1" s="1"/>
  <c r="W128" i="1"/>
  <c r="W146" i="1"/>
  <c r="W163" i="1"/>
  <c r="U105" i="1"/>
  <c r="S105" i="1" s="1"/>
  <c r="W87" i="1"/>
  <c r="U77" i="1"/>
  <c r="S77" i="1" s="1"/>
  <c r="W90" i="1"/>
  <c r="W100" i="1"/>
  <c r="W101" i="1"/>
  <c r="W61" i="1"/>
  <c r="W158" i="1"/>
  <c r="W14" i="1"/>
  <c r="W31" i="1"/>
  <c r="W41" i="1"/>
  <c r="W126" i="1"/>
  <c r="U62" i="1"/>
  <c r="S62" i="1" s="1"/>
  <c r="W110" i="1"/>
  <c r="W208" i="1"/>
  <c r="W64" i="1"/>
  <c r="W109" i="1"/>
  <c r="W115" i="1"/>
  <c r="W23" i="1"/>
  <c r="W71" i="1"/>
  <c r="W89" i="1"/>
  <c r="W103" i="1"/>
  <c r="W80" i="1"/>
  <c r="W207" i="1"/>
  <c r="U87" i="1"/>
  <c r="S87" i="1" s="1"/>
  <c r="W15" i="1"/>
  <c r="W49" i="1"/>
  <c r="W53" i="1"/>
  <c r="W45" i="1"/>
  <c r="U61" i="1"/>
  <c r="S61" i="1" s="1"/>
  <c r="U70" i="1"/>
  <c r="S70" i="1" s="1"/>
  <c r="W66" i="1"/>
  <c r="W156" i="1"/>
  <c r="W210" i="1"/>
  <c r="U83" i="1"/>
  <c r="S83" i="1" s="1"/>
  <c r="U121" i="1"/>
  <c r="S121" i="1" s="1"/>
  <c r="W58" i="1"/>
  <c r="W67" i="1"/>
  <c r="W97" i="1"/>
  <c r="W130" i="1"/>
  <c r="W117" i="1"/>
  <c r="W65" i="1"/>
  <c r="W155" i="1"/>
  <c r="W120" i="1"/>
  <c r="W121" i="1"/>
  <c r="U33" i="1"/>
  <c r="S33" i="1" s="1"/>
  <c r="U138" i="1"/>
  <c r="S138" i="1" s="1"/>
  <c r="U209" i="1"/>
  <c r="S209" i="1" s="1"/>
  <c r="U175" i="1"/>
  <c r="S175" i="1" s="1"/>
  <c r="W175" i="1"/>
  <c r="U187" i="1"/>
  <c r="S187" i="1" s="1"/>
  <c r="W187" i="1"/>
  <c r="U203" i="1"/>
  <c r="S203" i="1" s="1"/>
  <c r="W203" i="1"/>
  <c r="U14" i="1"/>
  <c r="S14" i="1" s="1"/>
  <c r="U25" i="1"/>
  <c r="S25" i="1" s="1"/>
  <c r="U43" i="1"/>
  <c r="S43" i="1" s="1"/>
  <c r="W43" i="1"/>
  <c r="U19" i="1"/>
  <c r="S19" i="1" s="1"/>
  <c r="U31" i="1"/>
  <c r="S31" i="1" s="1"/>
  <c r="U126" i="1"/>
  <c r="S126" i="1" s="1"/>
  <c r="U142" i="1"/>
  <c r="S142" i="1" s="1"/>
  <c r="U154" i="1"/>
  <c r="S154" i="1" s="1"/>
  <c r="U210" i="1"/>
  <c r="S210" i="1" s="1"/>
  <c r="U160" i="1"/>
  <c r="S160" i="1" s="1"/>
  <c r="U164" i="1"/>
  <c r="S164" i="1" s="1"/>
  <c r="U168" i="1"/>
  <c r="S168" i="1" s="1"/>
  <c r="W168" i="1"/>
  <c r="U172" i="1"/>
  <c r="S172" i="1" s="1"/>
  <c r="W172" i="1"/>
  <c r="U176" i="1"/>
  <c r="S176" i="1" s="1"/>
  <c r="W176" i="1"/>
  <c r="U180" i="1"/>
  <c r="S180" i="1" s="1"/>
  <c r="W180" i="1"/>
  <c r="U184" i="1"/>
  <c r="S184" i="1" s="1"/>
  <c r="W184" i="1"/>
  <c r="U188" i="1"/>
  <c r="S188" i="1" s="1"/>
  <c r="W188" i="1"/>
  <c r="U192" i="1"/>
  <c r="S192" i="1" s="1"/>
  <c r="W192" i="1"/>
  <c r="U196" i="1"/>
  <c r="S196" i="1" s="1"/>
  <c r="W196" i="1"/>
  <c r="U200" i="1"/>
  <c r="S200" i="1" s="1"/>
  <c r="W200" i="1"/>
  <c r="U204" i="1"/>
  <c r="S204" i="1" s="1"/>
  <c r="W204" i="1"/>
  <c r="U214" i="1"/>
  <c r="S214" i="1" s="1"/>
  <c r="W214" i="1"/>
  <c r="U37" i="1"/>
  <c r="S37" i="1" s="1"/>
  <c r="U156" i="1"/>
  <c r="S156" i="1" s="1"/>
  <c r="U23" i="1"/>
  <c r="S23" i="1" s="1"/>
  <c r="U49" i="1"/>
  <c r="S49" i="1" s="1"/>
  <c r="U159" i="1"/>
  <c r="S159" i="1" s="1"/>
  <c r="U171" i="1"/>
  <c r="S171" i="1" s="1"/>
  <c r="W171" i="1"/>
  <c r="U183" i="1"/>
  <c r="S183" i="1" s="1"/>
  <c r="W183" i="1"/>
  <c r="U199" i="1"/>
  <c r="S199" i="1" s="1"/>
  <c r="W199" i="1"/>
  <c r="U21" i="1"/>
  <c r="S21" i="1" s="1"/>
  <c r="U39" i="1"/>
  <c r="S39" i="1" s="1"/>
  <c r="W39" i="1"/>
  <c r="U55" i="1"/>
  <c r="S55" i="1" s="1"/>
  <c r="W55" i="1"/>
  <c r="U15" i="1"/>
  <c r="S15" i="1" s="1"/>
  <c r="U29" i="1"/>
  <c r="S29" i="1" s="1"/>
  <c r="W19" i="1"/>
  <c r="U41" i="1"/>
  <c r="S41" i="1" s="1"/>
  <c r="U130" i="1"/>
  <c r="S130" i="1" s="1"/>
  <c r="U146" i="1"/>
  <c r="S146" i="1" s="1"/>
  <c r="U45" i="1"/>
  <c r="S45" i="1" s="1"/>
  <c r="U215" i="1"/>
  <c r="S215" i="1" s="1"/>
  <c r="U161" i="1"/>
  <c r="S161" i="1" s="1"/>
  <c r="U165" i="1"/>
  <c r="S165" i="1" s="1"/>
  <c r="U169" i="1"/>
  <c r="S169" i="1" s="1"/>
  <c r="W169" i="1"/>
  <c r="U173" i="1"/>
  <c r="S173" i="1" s="1"/>
  <c r="W173" i="1"/>
  <c r="U177" i="1"/>
  <c r="S177" i="1" s="1"/>
  <c r="W177" i="1"/>
  <c r="U181" i="1"/>
  <c r="S181" i="1" s="1"/>
  <c r="W181" i="1"/>
  <c r="U185" i="1"/>
  <c r="S185" i="1" s="1"/>
  <c r="W185" i="1"/>
  <c r="U189" i="1"/>
  <c r="S189" i="1" s="1"/>
  <c r="W189" i="1"/>
  <c r="U193" i="1"/>
  <c r="S193" i="1" s="1"/>
  <c r="W193" i="1"/>
  <c r="U197" i="1"/>
  <c r="S197" i="1" s="1"/>
  <c r="W197" i="1"/>
  <c r="U201" i="1"/>
  <c r="S201" i="1" s="1"/>
  <c r="W201" i="1"/>
  <c r="U211" i="1"/>
  <c r="S211" i="1" s="1"/>
  <c r="W211" i="1"/>
  <c r="U128" i="1"/>
  <c r="S128" i="1" s="1"/>
  <c r="W142" i="1"/>
  <c r="U152" i="1"/>
  <c r="S152" i="1" s="1"/>
  <c r="W205" i="1"/>
  <c r="W29" i="1"/>
  <c r="W160" i="1"/>
  <c r="W209" i="1"/>
  <c r="U47" i="1"/>
  <c r="S47" i="1" s="1"/>
  <c r="W47" i="1"/>
  <c r="U53" i="1"/>
  <c r="S53" i="1" s="1"/>
  <c r="U163" i="1"/>
  <c r="S163" i="1" s="1"/>
  <c r="U167" i="1"/>
  <c r="S167" i="1" s="1"/>
  <c r="U179" i="1"/>
  <c r="S179" i="1" s="1"/>
  <c r="W179" i="1"/>
  <c r="U191" i="1"/>
  <c r="S191" i="1" s="1"/>
  <c r="W191" i="1"/>
  <c r="U195" i="1"/>
  <c r="S195" i="1" s="1"/>
  <c r="W195" i="1"/>
  <c r="U213" i="1"/>
  <c r="S213" i="1" s="1"/>
  <c r="W213" i="1"/>
  <c r="W159" i="1"/>
  <c r="U17" i="1"/>
  <c r="S17" i="1" s="1"/>
  <c r="W21" i="1"/>
  <c r="U51" i="1"/>
  <c r="S51" i="1" s="1"/>
  <c r="W51" i="1"/>
  <c r="U27" i="1"/>
  <c r="S27" i="1" s="1"/>
  <c r="U35" i="1"/>
  <c r="S35" i="1" s="1"/>
  <c r="W27" i="1"/>
  <c r="W33" i="1"/>
  <c r="U134" i="1"/>
  <c r="S134" i="1" s="1"/>
  <c r="U150" i="1"/>
  <c r="S150" i="1" s="1"/>
  <c r="U205" i="1"/>
  <c r="S205" i="1" s="1"/>
  <c r="U158" i="1"/>
  <c r="S158" i="1" s="1"/>
  <c r="U162" i="1"/>
  <c r="S162" i="1" s="1"/>
  <c r="U166" i="1"/>
  <c r="S166" i="1" s="1"/>
  <c r="U170" i="1"/>
  <c r="S170" i="1" s="1"/>
  <c r="W170" i="1"/>
  <c r="U174" i="1"/>
  <c r="S174" i="1" s="1"/>
  <c r="W174" i="1"/>
  <c r="U178" i="1"/>
  <c r="S178" i="1" s="1"/>
  <c r="W178" i="1"/>
  <c r="U182" i="1"/>
  <c r="S182" i="1" s="1"/>
  <c r="W182" i="1"/>
  <c r="U186" i="1"/>
  <c r="S186" i="1" s="1"/>
  <c r="W186" i="1"/>
  <c r="U190" i="1"/>
  <c r="S190" i="1" s="1"/>
  <c r="W190" i="1"/>
  <c r="U194" i="1"/>
  <c r="S194" i="1" s="1"/>
  <c r="W194" i="1"/>
  <c r="U198" i="1"/>
  <c r="S198" i="1" s="1"/>
  <c r="W198" i="1"/>
  <c r="U202" i="1"/>
  <c r="S202" i="1" s="1"/>
  <c r="W202" i="1"/>
  <c r="U212" i="1"/>
  <c r="S212" i="1" s="1"/>
  <c r="W212" i="1"/>
  <c r="W138" i="1"/>
  <c r="W154" i="1"/>
  <c r="U207" i="1"/>
  <c r="S207" i="1" s="1"/>
  <c r="W162" i="1"/>
  <c r="W215" i="1"/>
  <c r="W165" i="1"/>
  <c r="Q60" i="3"/>
  <c r="Q53" i="3"/>
  <c r="Q40" i="3"/>
  <c r="Q41" i="3"/>
  <c r="Q47" i="3"/>
  <c r="Q48" i="3"/>
  <c r="Q23" i="3"/>
  <c r="Q24" i="3"/>
  <c r="Q29" i="3"/>
  <c r="Q8" i="3"/>
  <c r="Q38" i="3"/>
  <c r="Q39" i="3"/>
  <c r="P33" i="3"/>
  <c r="P22" i="3"/>
  <c r="P21" i="3"/>
  <c r="Q22" i="3"/>
  <c r="Q33" i="3"/>
  <c r="Q21" i="3"/>
  <c r="P35" i="3"/>
  <c r="P53" i="3"/>
  <c r="P60" i="3"/>
  <c r="P40" i="3"/>
  <c r="P41" i="3"/>
  <c r="P47" i="3"/>
  <c r="P48" i="3"/>
  <c r="P23" i="3"/>
  <c r="P24" i="3"/>
  <c r="P29" i="3"/>
  <c r="P8" i="3"/>
  <c r="P38" i="3"/>
  <c r="P39" i="3"/>
  <c r="V13" i="1" l="1"/>
  <c r="K13" i="1" l="1"/>
  <c r="AH13" i="1" l="1"/>
  <c r="X6" i="1" l="1"/>
  <c r="W6" i="1"/>
  <c r="V6" i="1"/>
  <c r="S6" i="1"/>
  <c r="R2" i="1"/>
  <c r="I2" i="1"/>
  <c r="O6" i="1"/>
  <c r="N6" i="1"/>
  <c r="M6" i="1"/>
  <c r="J6" i="1"/>
  <c r="P3" i="5" l="1"/>
  <c r="AF13" i="1" l="1"/>
  <c r="AE13" i="1" l="1"/>
  <c r="M18" i="5" l="1"/>
  <c r="AD13" i="1" l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<sst xmlns="http://schemas.openxmlformats.org/spreadsheetml/2006/main" count="2120" uniqueCount="668">
  <si>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</si>
  <si>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</si>
  <si>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</si>
  <si>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</si>
  <si>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</si>
  <si>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</si>
  <si>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</si>
  <si>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</si>
  <si>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</si>
  <si>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</si>
  <si>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</si>
  <si>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</si>
  <si>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</si>
  <si>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</si>
  <si>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</si>
  <si>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</si>
  <si>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</si>
  <si>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</si>
  <si>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</si>
  <si>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</si>
  <si>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</si>
  <si>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</si>
  <si>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</si>
  <si>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</si>
  <si>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</si>
  <si>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</si>
  <si>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</si>
  <si>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</si>
  <si>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</si>
  <si>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</si>
  <si>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</si>
  <si>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</si>
  <si>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</si>
  <si>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</si>
  <si>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</si>
  <si>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</si>
  <si>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</si>
  <si>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</si>
  <si>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</si>
  <si>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</si>
  <si>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</si>
  <si>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</si>
  <si>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</si>
  <si>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</si>
  <si>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</si>
  <si>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</si>
  <si>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</si>
  <si>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</si>
  <si>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</si>
  <si>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</si>
  <si>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</si>
  <si>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</si>
  <si>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</si>
  <si>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</si>
  <si>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</si>
  <si>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</si>
  <si>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</si>
  <si>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</si>
  <si>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</si>
  <si>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</si>
  <si>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</si>
  <si>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</si>
  <si>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</si>
  <si>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</si>
  <si>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</si>
  <si>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</si>
  <si>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</si>
  <si>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</si>
  <si>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</si>
  <si>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</si>
  <si>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</si>
  <si>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</si>
  <si>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</si>
  <si>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</si>
  <si>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</si>
  <si>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</si>
  <si>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</si>
  <si>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</si>
  <si>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</si>
  <si>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</si>
  <si>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</si>
  <si>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</si>
  <si>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</si>
  <si>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</si>
  <si>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</si>
  <si>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</si>
  <si>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</si>
  <si>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</si>
  <si>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</si>
  <si>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</si>
  <si>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</si>
  <si>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</si>
  <si>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</si>
  <si>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</si>
  <si>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</si>
  <si>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</si>
  <si>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</si>
  <si>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</si>
  <si>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</si>
  <si>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</si>
  <si>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</si>
  <si>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</si>
  <si>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</si>
  <si>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</si>
  <si>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</si>
  <si>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</si>
  <si>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</si>
  <si>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</si>
  <si>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</si>
  <si>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</si>
  <si>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</si>
  <si>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</si>
  <si>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</si>
  <si>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</si>
  <si>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</si>
  <si>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</si>
  <si>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</si>
  <si>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</si>
  <si>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</si>
  <si>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</si>
  <si>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</si>
  <si>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</si>
  <si>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</si>
  <si>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</si>
  <si>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</si>
  <si>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</si>
  <si>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</si>
  <si>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</si>
  <si>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</si>
  <si>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</si>
  <si>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</si>
  <si>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</si>
  <si>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</si>
  <si>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</si>
  <si>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</si>
  <si>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</si>
  <si>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</si>
  <si>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</si>
  <si>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</si>
  <si>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ISHMAEL</t>
  </si>
  <si>
    <t>204:469</t>
  </si>
  <si>
    <t>204:458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</si>
  <si>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</si>
  <si>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</si>
  <si>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</si>
  <si>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</si>
  <si>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</si>
  <si>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</si>
  <si>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</si>
  <si>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</si>
  <si>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</si>
  <si>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</si>
  <si>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</si>
  <si>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rtdc.l.rtdc.4028:itc</t>
  </si>
  <si>
    <t>rtdc.l.rtdc.4042:itc</t>
  </si>
  <si>
    <t>rtdc.l.rtdc.4038:itc</t>
  </si>
  <si>
    <t>204:150</t>
  </si>
  <si>
    <t>204:156</t>
  </si>
  <si>
    <t>204:232981</t>
  </si>
  <si>
    <t>204:451</t>
  </si>
  <si>
    <t>204:233291</t>
  </si>
  <si>
    <t>204:154</t>
  </si>
  <si>
    <t>204:232965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</si>
  <si>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</si>
  <si>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</si>
  <si>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</si>
  <si>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</si>
  <si>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</si>
  <si>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</si>
  <si>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</si>
  <si>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</si>
  <si>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</si>
  <si>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</si>
  <si>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</si>
  <si>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</si>
  <si>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</si>
  <si>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</si>
  <si>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</si>
  <si>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</si>
  <si>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</si>
  <si>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rtdc.l.rtdc.4020:itc</t>
  </si>
  <si>
    <t>rtdc.l.rtdc.4019:itc</t>
  </si>
  <si>
    <t>NELSON</t>
  </si>
  <si>
    <t>YANAI</t>
  </si>
  <si>
    <t>313-12</t>
  </si>
  <si>
    <t>204:233295</t>
  </si>
  <si>
    <t>204:446</t>
  </si>
  <si>
    <t>204:152</t>
  </si>
  <si>
    <t>204:233305</t>
  </si>
  <si>
    <t>rtdc.l.rtdc.4043:itc</t>
  </si>
  <si>
    <t>GRADE CROSSING</t>
  </si>
  <si>
    <t>Bulletin (2)</t>
  </si>
  <si>
    <t>rtdc.l.rtdc.4009:itc</t>
  </si>
  <si>
    <t>rtdc.l.rtdc.4010:itc</t>
  </si>
  <si>
    <t>204:141</t>
  </si>
  <si>
    <t>OUN</t>
  </si>
  <si>
    <t>CHANDLER</t>
  </si>
  <si>
    <t>Onboard in-route failure</t>
  </si>
  <si>
    <t>204:232991</t>
  </si>
  <si>
    <t>204:232990</t>
  </si>
  <si>
    <t>204:232973</t>
  </si>
  <si>
    <t>204:233314</t>
  </si>
  <si>
    <t>204:233299</t>
  </si>
  <si>
    <t>204:232980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</si>
  <si>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</si>
  <si>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</si>
  <si>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</si>
  <si>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</si>
  <si>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</si>
  <si>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</si>
  <si>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</si>
  <si>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204:232982</t>
  </si>
  <si>
    <t>rtdc.l.rtdc.4026:itc</t>
  </si>
  <si>
    <t>rtdc.l.rtdc.4041:itc</t>
  </si>
  <si>
    <t>rtdc.l.rtdc.4025:itc</t>
  </si>
  <si>
    <t>rtdc.l.rtdc.4007:itc</t>
  </si>
  <si>
    <t>rtdc.l.rtdc.4044:itc</t>
  </si>
  <si>
    <t>204:233297</t>
  </si>
  <si>
    <t>204:160</t>
  </si>
  <si>
    <t>204:233293</t>
  </si>
  <si>
    <t>204:233284</t>
  </si>
  <si>
    <t>204:233323</t>
  </si>
  <si>
    <t>204:130</t>
  </si>
  <si>
    <t>300:23308</t>
  </si>
  <si>
    <t>NEWELL</t>
  </si>
  <si>
    <t>204:232975</t>
  </si>
  <si>
    <t>204:233286</t>
  </si>
  <si>
    <t>204:233308</t>
  </si>
  <si>
    <t>204:232971</t>
  </si>
  <si>
    <t>204:233298</t>
  </si>
  <si>
    <t>204:232967</t>
  </si>
  <si>
    <t>204:233288</t>
  </si>
  <si>
    <t>236-19</t>
  </si>
  <si>
    <t>238-19</t>
  </si>
  <si>
    <t>239-19</t>
  </si>
  <si>
    <t>240-19</t>
  </si>
  <si>
    <t>241-19</t>
  </si>
  <si>
    <t>242-19</t>
  </si>
  <si>
    <t>243-19</t>
  </si>
  <si>
    <t>244-19</t>
  </si>
  <si>
    <t>245-19</t>
  </si>
  <si>
    <t>246-19</t>
  </si>
  <si>
    <t>309-19</t>
  </si>
  <si>
    <t>311-19</t>
  </si>
  <si>
    <t>313-19</t>
  </si>
  <si>
    <t>315-19</t>
  </si>
  <si>
    <t>300:23304</t>
  </si>
  <si>
    <t>300:58939</t>
  </si>
  <si>
    <t>300:58619</t>
  </si>
  <si>
    <t>300:58928</t>
  </si>
  <si>
    <t>300:58611</t>
  </si>
  <si>
    <t>rtdc.l.rtdc.4017:itc</t>
  </si>
  <si>
    <t>rtdc.l.rtdc.4018:itc</t>
  </si>
  <si>
    <t>rtdc.l.rtdc.4003:itc</t>
  </si>
  <si>
    <t>STEWART</t>
  </si>
  <si>
    <t>Early arrival</t>
  </si>
  <si>
    <t>Form C</t>
  </si>
  <si>
    <t>Wi-MAX outage</t>
  </si>
  <si>
    <t>Pena 4S was STOP, cleared a minute later</t>
  </si>
  <si>
    <t>204:460</t>
  </si>
  <si>
    <t>204:466</t>
  </si>
  <si>
    <t>204:232992</t>
  </si>
  <si>
    <t>204:232986</t>
  </si>
  <si>
    <t>204:232983</t>
  </si>
  <si>
    <t>204:473</t>
  </si>
  <si>
    <t>204:233306</t>
  </si>
  <si>
    <t>204:232978</t>
  </si>
  <si>
    <t>300:58933</t>
  </si>
  <si>
    <t>204:233303</t>
  </si>
  <si>
    <t>204:136</t>
  </si>
  <si>
    <t>204:482</t>
  </si>
  <si>
    <t>204:233282</t>
  </si>
  <si>
    <t>204:233311</t>
  </si>
  <si>
    <t>KILLION</t>
  </si>
  <si>
    <t>YORK</t>
  </si>
  <si>
    <t>BARTLETT</t>
  </si>
  <si>
    <t>HOMIK</t>
  </si>
  <si>
    <t>204:165</t>
  </si>
  <si>
    <t>204:759</t>
  </si>
  <si>
    <t>204:232988</t>
  </si>
  <si>
    <t>204:232979</t>
  </si>
  <si>
    <t>204:233276</t>
  </si>
  <si>
    <t>204:233307</t>
  </si>
  <si>
    <t>204:232985</t>
  </si>
  <si>
    <t>204:232963</t>
  </si>
  <si>
    <t>204:233304</t>
  </si>
  <si>
    <t>204:233351</t>
  </si>
  <si>
    <t>204:178</t>
  </si>
  <si>
    <t>204:435</t>
  </si>
  <si>
    <t>204:232940</t>
  </si>
  <si>
    <t>300:58922</t>
  </si>
  <si>
    <t>300:58613</t>
  </si>
  <si>
    <t>204:941</t>
  </si>
  <si>
    <t>300:58617</t>
  </si>
  <si>
    <t>204:233272</t>
  </si>
  <si>
    <t>204:1037</t>
  </si>
  <si>
    <t>300:58935</t>
  </si>
  <si>
    <t>300:58941</t>
  </si>
  <si>
    <t>300:58624</t>
  </si>
  <si>
    <t>204:1000</t>
  </si>
  <si>
    <t>204:233006</t>
  </si>
  <si>
    <t>204:233038</t>
  </si>
  <si>
    <t>204:233015</t>
  </si>
  <si>
    <t>204:233324</t>
  </si>
  <si>
    <t>204:233327</t>
  </si>
  <si>
    <t>204:174</t>
  </si>
  <si>
    <t>204:233274</t>
  </si>
  <si>
    <t>244-21</t>
  </si>
  <si>
    <t>311-21</t>
  </si>
  <si>
    <t>313-21</t>
  </si>
  <si>
    <t>300:23301</t>
  </si>
  <si>
    <t>315-21</t>
  </si>
  <si>
    <t>300:22831</t>
  </si>
  <si>
    <t>ROCHA</t>
  </si>
  <si>
    <t>STRICKLAND</t>
  </si>
  <si>
    <t>STARKS</t>
  </si>
  <si>
    <t>DE LA ROSA</t>
  </si>
  <si>
    <t>LEVERE</t>
  </si>
  <si>
    <t>BALTHROP</t>
  </si>
  <si>
    <t>300:58636</t>
  </si>
  <si>
    <t>204:232959</t>
  </si>
  <si>
    <t>204:233339</t>
  </si>
  <si>
    <t>Did not initialize</t>
  </si>
  <si>
    <t>40th 4S was STOP, cleared a minute later</t>
  </si>
  <si>
    <t>102-22</t>
  </si>
  <si>
    <t>111-22</t>
  </si>
  <si>
    <t>801-22</t>
  </si>
  <si>
    <t>112-22</t>
  </si>
  <si>
    <t>802-22</t>
  </si>
  <si>
    <t>114-22</t>
  </si>
  <si>
    <t>804-22</t>
  </si>
  <si>
    <t>120-22</t>
  </si>
  <si>
    <t>129-22</t>
  </si>
  <si>
    <t>131-22</t>
  </si>
  <si>
    <t>126-22</t>
  </si>
  <si>
    <t>132-22</t>
  </si>
  <si>
    <t>128-22</t>
  </si>
  <si>
    <t>139-22</t>
  </si>
  <si>
    <t>812-22</t>
  </si>
  <si>
    <t>138-22</t>
  </si>
  <si>
    <t>813-22</t>
  </si>
  <si>
    <t>142-22</t>
  </si>
  <si>
    <t>153-22</t>
  </si>
  <si>
    <t>150-22</t>
  </si>
  <si>
    <t>817-22</t>
  </si>
  <si>
    <t>818-22</t>
  </si>
  <si>
    <t>158-22</t>
  </si>
  <si>
    <t>165-22</t>
  </si>
  <si>
    <t>819-22</t>
  </si>
  <si>
    <t>169-22</t>
  </si>
  <si>
    <t>170-22</t>
  </si>
  <si>
    <t>179-22</t>
  </si>
  <si>
    <t>172-22</t>
  </si>
  <si>
    <t>174-22</t>
  </si>
  <si>
    <t>824-22</t>
  </si>
  <si>
    <t>186-22</t>
  </si>
  <si>
    <t>187-22</t>
  </si>
  <si>
    <t>828-22</t>
  </si>
  <si>
    <t>201-22</t>
  </si>
  <si>
    <t>832-22</t>
  </si>
  <si>
    <t>213-22</t>
  </si>
  <si>
    <t>204-22</t>
  </si>
  <si>
    <t>208-22</t>
  </si>
  <si>
    <t>219-22</t>
  </si>
  <si>
    <t>216-22</t>
  </si>
  <si>
    <t>221-22</t>
  </si>
  <si>
    <t>214-22</t>
  </si>
  <si>
    <t>218-22</t>
  </si>
  <si>
    <t>222-22</t>
  </si>
  <si>
    <t>842-22</t>
  </si>
  <si>
    <t>226-22</t>
  </si>
  <si>
    <t>239-22</t>
  </si>
  <si>
    <t>240-22</t>
  </si>
  <si>
    <t>101-22</t>
  </si>
  <si>
    <t>204:765</t>
  </si>
  <si>
    <t>204:232629</t>
  </si>
  <si>
    <t>103-22</t>
  </si>
  <si>
    <t>204:672</t>
  </si>
  <si>
    <t>204:233374</t>
  </si>
  <si>
    <t>104-22</t>
  </si>
  <si>
    <t>204:232719</t>
  </si>
  <si>
    <t>105-22</t>
  </si>
  <si>
    <t>204:233312</t>
  </si>
  <si>
    <t>106-22</t>
  </si>
  <si>
    <t>204:232658</t>
  </si>
  <si>
    <t>107-22</t>
  </si>
  <si>
    <t>108-22</t>
  </si>
  <si>
    <t>204:233000</t>
  </si>
  <si>
    <t>109-22</t>
  </si>
  <si>
    <t>204:437</t>
  </si>
  <si>
    <t>110-22</t>
  </si>
  <si>
    <t>204:232977</t>
  </si>
  <si>
    <t>204:706</t>
  </si>
  <si>
    <t>204:233319</t>
  </si>
  <si>
    <t>204:139</t>
  </si>
  <si>
    <t>113-22</t>
  </si>
  <si>
    <t>204:163</t>
  </si>
  <si>
    <t>115-22</t>
  </si>
  <si>
    <t>116-22</t>
  </si>
  <si>
    <t>204:232957</t>
  </si>
  <si>
    <t>117-22</t>
  </si>
  <si>
    <t>118-22</t>
  </si>
  <si>
    <t>119-22</t>
  </si>
  <si>
    <t>204:768</t>
  </si>
  <si>
    <t>204:232974</t>
  </si>
  <si>
    <t>204:167</t>
  </si>
  <si>
    <t>121-22</t>
  </si>
  <si>
    <t>122-22</t>
  </si>
  <si>
    <t>204:181</t>
  </si>
  <si>
    <t>123-22</t>
  </si>
  <si>
    <t>124-22</t>
  </si>
  <si>
    <t>125-22</t>
  </si>
  <si>
    <t>127-22</t>
  </si>
  <si>
    <t>204:233278</t>
  </si>
  <si>
    <t>204:198</t>
  </si>
  <si>
    <t>130-22</t>
  </si>
  <si>
    <t>204:232998</t>
  </si>
  <si>
    <t>133-22</t>
  </si>
  <si>
    <t>204:484</t>
  </si>
  <si>
    <t>134-22</t>
  </si>
  <si>
    <t>135-22</t>
  </si>
  <si>
    <t>204:498</t>
  </si>
  <si>
    <t>136-22</t>
  </si>
  <si>
    <t>137-22</t>
  </si>
  <si>
    <t>204:19156</t>
  </si>
  <si>
    <t>204:233317</t>
  </si>
  <si>
    <t>140-22</t>
  </si>
  <si>
    <t>141-22</t>
  </si>
  <si>
    <t>204:500</t>
  </si>
  <si>
    <t>143-22</t>
  </si>
  <si>
    <t>204:233281</t>
  </si>
  <si>
    <t>144-22</t>
  </si>
  <si>
    <t>204:36708</t>
  </si>
  <si>
    <t>145-22</t>
  </si>
  <si>
    <t>204:438</t>
  </si>
  <si>
    <t>146-22</t>
  </si>
  <si>
    <t>147-22</t>
  </si>
  <si>
    <t>148-22</t>
  </si>
  <si>
    <t>204:161</t>
  </si>
  <si>
    <t>149-22</t>
  </si>
  <si>
    <t>151-22</t>
  </si>
  <si>
    <t>204:480</t>
  </si>
  <si>
    <t>152-22</t>
  </si>
  <si>
    <t>154-22</t>
  </si>
  <si>
    <t>155-22</t>
  </si>
  <si>
    <t>204:431</t>
  </si>
  <si>
    <t>156-22</t>
  </si>
  <si>
    <t>204:127863</t>
  </si>
  <si>
    <t>204:157946</t>
  </si>
  <si>
    <t>157-22</t>
  </si>
  <si>
    <t>204:475</t>
  </si>
  <si>
    <t>159-22</t>
  </si>
  <si>
    <t>204:233344</t>
  </si>
  <si>
    <t>160-22</t>
  </si>
  <si>
    <t>161-22</t>
  </si>
  <si>
    <t>162-22</t>
  </si>
  <si>
    <t>204:233023</t>
  </si>
  <si>
    <t>204:325</t>
  </si>
  <si>
    <t>163-22</t>
  </si>
  <si>
    <t>204:233325</t>
  </si>
  <si>
    <t>164-22</t>
  </si>
  <si>
    <t>166-22</t>
  </si>
  <si>
    <t>167-22</t>
  </si>
  <si>
    <t>168-22</t>
  </si>
  <si>
    <t>204:132</t>
  </si>
  <si>
    <t>171-22</t>
  </si>
  <si>
    <t>173-22</t>
  </si>
  <si>
    <t>204:232969</t>
  </si>
  <si>
    <t>204:274</t>
  </si>
  <si>
    <t>175-22</t>
  </si>
  <si>
    <t>204:657</t>
  </si>
  <si>
    <t>176-22</t>
  </si>
  <si>
    <t>177-22</t>
  </si>
  <si>
    <t>178-22</t>
  </si>
  <si>
    <t>180-22</t>
  </si>
  <si>
    <t>204:127861</t>
  </si>
  <si>
    <t>181-22</t>
  </si>
  <si>
    <t>182-22</t>
  </si>
  <si>
    <t>183-22</t>
  </si>
  <si>
    <t>184-22</t>
  </si>
  <si>
    <t>185-22</t>
  </si>
  <si>
    <t>204:555</t>
  </si>
  <si>
    <t>188-22</t>
  </si>
  <si>
    <t>204:232972</t>
  </si>
  <si>
    <t>189-22</t>
  </si>
  <si>
    <t>190-22</t>
  </si>
  <si>
    <t>191-22</t>
  </si>
  <si>
    <t>192-22</t>
  </si>
  <si>
    <t>193-22</t>
  </si>
  <si>
    <t>194-22</t>
  </si>
  <si>
    <t>195-22</t>
  </si>
  <si>
    <t>196-22</t>
  </si>
  <si>
    <t>197-22</t>
  </si>
  <si>
    <t>198-22</t>
  </si>
  <si>
    <t>204:233005</t>
  </si>
  <si>
    <t>199-22</t>
  </si>
  <si>
    <t>204:233268</t>
  </si>
  <si>
    <t>202-22</t>
  </si>
  <si>
    <t>203-22</t>
  </si>
  <si>
    <t>204:258</t>
  </si>
  <si>
    <t>205-22</t>
  </si>
  <si>
    <t>206-22</t>
  </si>
  <si>
    <t>207-22</t>
  </si>
  <si>
    <t>209-22</t>
  </si>
  <si>
    <t>210-22</t>
  </si>
  <si>
    <t>211-22</t>
  </si>
  <si>
    <t>212-22</t>
  </si>
  <si>
    <t>215-22</t>
  </si>
  <si>
    <t>217-22</t>
  </si>
  <si>
    <t>204:192</t>
  </si>
  <si>
    <t>204:233349</t>
  </si>
  <si>
    <t>220-22</t>
  </si>
  <si>
    <t>204:233013</t>
  </si>
  <si>
    <t>204:232962</t>
  </si>
  <si>
    <t>204:216</t>
  </si>
  <si>
    <t>223-22</t>
  </si>
  <si>
    <t>224-22</t>
  </si>
  <si>
    <t>204:233010</t>
  </si>
  <si>
    <t>225-22</t>
  </si>
  <si>
    <t>204:232583</t>
  </si>
  <si>
    <t>227-22</t>
  </si>
  <si>
    <t>228-22</t>
  </si>
  <si>
    <t>229-22</t>
  </si>
  <si>
    <t>204:519</t>
  </si>
  <si>
    <t>230-22</t>
  </si>
  <si>
    <t>231-22</t>
  </si>
  <si>
    <t>232-22</t>
  </si>
  <si>
    <t>204:233017</t>
  </si>
  <si>
    <t>233-22</t>
  </si>
  <si>
    <t>204:233243</t>
  </si>
  <si>
    <t>234-22</t>
  </si>
  <si>
    <t>235-22</t>
  </si>
  <si>
    <t>236-22</t>
  </si>
  <si>
    <t>237-22</t>
  </si>
  <si>
    <t>238-22</t>
  </si>
  <si>
    <t>204:153</t>
  </si>
  <si>
    <t>204:182</t>
  </si>
  <si>
    <t>241-22</t>
  </si>
  <si>
    <t>242-22</t>
  </si>
  <si>
    <t>204:137</t>
  </si>
  <si>
    <t>243-22</t>
  </si>
  <si>
    <t>244-22</t>
  </si>
  <si>
    <t>303-22</t>
  </si>
  <si>
    <t>305-22</t>
  </si>
  <si>
    <t>307-22</t>
  </si>
  <si>
    <t>300:23306</t>
  </si>
  <si>
    <t>311-22</t>
  </si>
  <si>
    <t>204:450</t>
  </si>
  <si>
    <t>315-22</t>
  </si>
  <si>
    <t>204:370</t>
  </si>
  <si>
    <t>300:23051</t>
  </si>
  <si>
    <t>63-22</t>
  </si>
  <si>
    <t>204:1475</t>
  </si>
  <si>
    <t>800-22</t>
  </si>
  <si>
    <t>300:58604</t>
  </si>
  <si>
    <t>204:649</t>
  </si>
  <si>
    <t>204:946</t>
  </si>
  <si>
    <t>803-22</t>
  </si>
  <si>
    <t>204:895</t>
  </si>
  <si>
    <t>300:58995</t>
  </si>
  <si>
    <t>300:58683</t>
  </si>
  <si>
    <t>204:614</t>
  </si>
  <si>
    <t>805-22</t>
  </si>
  <si>
    <t>806-22</t>
  </si>
  <si>
    <t>204:626</t>
  </si>
  <si>
    <t>807-22</t>
  </si>
  <si>
    <t>204:909</t>
  </si>
  <si>
    <t>300:58988</t>
  </si>
  <si>
    <t>808-22</t>
  </si>
  <si>
    <t>300:58688</t>
  </si>
  <si>
    <t>204:642</t>
  </si>
  <si>
    <t>809-22</t>
  </si>
  <si>
    <t>204:932</t>
  </si>
  <si>
    <t>300:58926</t>
  </si>
  <si>
    <t>810-22</t>
  </si>
  <si>
    <t>300:58600</t>
  </si>
  <si>
    <t>204:636</t>
  </si>
  <si>
    <t>811-22</t>
  </si>
  <si>
    <t>204:939</t>
  </si>
  <si>
    <t>300:58960</t>
  </si>
  <si>
    <t>300:58651</t>
  </si>
  <si>
    <t>204:976</t>
  </si>
  <si>
    <t>204:887</t>
  </si>
  <si>
    <t>300:58982</t>
  </si>
  <si>
    <t>814-22</t>
  </si>
  <si>
    <t>300:58677</t>
  </si>
  <si>
    <t>204:691</t>
  </si>
  <si>
    <t>815-22</t>
  </si>
  <si>
    <t>204:981</t>
  </si>
  <si>
    <t>300:58999</t>
  </si>
  <si>
    <t>816-22</t>
  </si>
  <si>
    <t>204:650</t>
  </si>
  <si>
    <t>300:58675</t>
  </si>
  <si>
    <t>204:731</t>
  </si>
  <si>
    <t>300:59001</t>
  </si>
  <si>
    <t>820-22</t>
  </si>
  <si>
    <t>300:58685</t>
  </si>
  <si>
    <t>204:685</t>
  </si>
  <si>
    <t>821-22</t>
  </si>
  <si>
    <t>204:888</t>
  </si>
  <si>
    <t>300:58924</t>
  </si>
  <si>
    <t>822-22</t>
  </si>
  <si>
    <t>300:58606</t>
  </si>
  <si>
    <t>823-22</t>
  </si>
  <si>
    <t>204:967</t>
  </si>
  <si>
    <t>825-22</t>
  </si>
  <si>
    <t>204:990</t>
  </si>
  <si>
    <t>300:58918</t>
  </si>
  <si>
    <t>826-22</t>
  </si>
  <si>
    <t>204:678</t>
  </si>
  <si>
    <t>827-22</t>
  </si>
  <si>
    <t>204:698</t>
  </si>
  <si>
    <t>829-22</t>
  </si>
  <si>
    <t>204:971</t>
  </si>
  <si>
    <t>300:58916</t>
  </si>
  <si>
    <t>830-22</t>
  </si>
  <si>
    <t>300:58596</t>
  </si>
  <si>
    <t>831-22</t>
  </si>
  <si>
    <t>204:988</t>
  </si>
  <si>
    <t>204:680</t>
  </si>
  <si>
    <t>833-22</t>
  </si>
  <si>
    <t>834-22</t>
  </si>
  <si>
    <t>300:58592</t>
  </si>
  <si>
    <t>204:682</t>
  </si>
  <si>
    <t>835-22</t>
  </si>
  <si>
    <t>204:969</t>
  </si>
  <si>
    <t>300:58946</t>
  </si>
  <si>
    <t>836-22</t>
  </si>
  <si>
    <t>837-22</t>
  </si>
  <si>
    <t>204:965</t>
  </si>
  <si>
    <t>838-22</t>
  </si>
  <si>
    <t>300:58609</t>
  </si>
  <si>
    <t>839-22</t>
  </si>
  <si>
    <t>840-22</t>
  </si>
  <si>
    <t>204:673</t>
  </si>
  <si>
    <t>841-22</t>
  </si>
  <si>
    <t>300:58608</t>
  </si>
  <si>
    <t>204:696</t>
  </si>
  <si>
    <t>843-22</t>
  </si>
  <si>
    <t>844-22</t>
  </si>
  <si>
    <t>204:703</t>
  </si>
  <si>
    <t>845-22</t>
  </si>
  <si>
    <t>847-22</t>
  </si>
  <si>
    <t>901-22</t>
  </si>
  <si>
    <t>300:28497</t>
  </si>
  <si>
    <t>300:28645</t>
  </si>
  <si>
    <t>903-22</t>
  </si>
  <si>
    <t>204:937</t>
  </si>
  <si>
    <t>906-22</t>
  </si>
  <si>
    <t>300:28797</t>
  </si>
  <si>
    <t>908-22</t>
  </si>
  <si>
    <t>300:21786</t>
  </si>
  <si>
    <t>ACKERMAN</t>
  </si>
  <si>
    <t>CLARK</t>
  </si>
  <si>
    <t>SPECTOR</t>
  </si>
  <si>
    <t>DAVIS</t>
  </si>
  <si>
    <t>MALAVE</t>
  </si>
  <si>
    <t>rtdc.l.rtdc.4054:itc</t>
  </si>
  <si>
    <t>50-22</t>
  </si>
  <si>
    <t>STURGEON</t>
  </si>
  <si>
    <t>ROBINSON</t>
  </si>
  <si>
    <t>BEAM</t>
  </si>
  <si>
    <t>HELVIE</t>
  </si>
  <si>
    <t>HAITHCOX</t>
  </si>
  <si>
    <t>313-22</t>
  </si>
  <si>
    <t>61st 2S stuck at STOP (link failure?)</t>
  </si>
  <si>
    <t>200-22</t>
  </si>
  <si>
    <t>Vital link failure at ML1497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</si>
</sst>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1"/>
  <sheetViews>
    <sheetView tabSelected="1" topLeftCell="A48" zoomScaleNormal="100" workbookViewId="0">
      <selection activeCell="R61" sqref="R61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1" customWidth="1"/>
    <col min="22" max="22" width="5.7109375" style="108" customWidth="1"/>
    <col min="23" max="23" width="3.85546875" style="23" customWidth="1"/>
    <col min="24" max="24" width="5.28515625" style="125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1" customWidth="1"/>
    <col min="32" max="32" width="6.28515625" style="98" customWidth="1"/>
    <col min="33" max="33" width="5.42578125" customWidth="1"/>
    <col min="34" max="34" width="5" style="104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123</v>
      </c>
      <c r="J1" s="44"/>
      <c r="K1" s="31"/>
      <c r="L1" s="31"/>
      <c r="M1" s="43"/>
      <c r="N1" s="44"/>
      <c r="O1" s="2"/>
      <c r="P1" s="2"/>
      <c r="R1" s="41" t="s">
        <v>124</v>
      </c>
      <c r="S1" s="44"/>
      <c r="T1" s="31"/>
      <c r="U1" s="128"/>
      <c r="V1" s="43"/>
      <c r="W1" s="44"/>
      <c r="X1" s="121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2">
        <f>Variables!$A$2</f>
        <v>42604</v>
      </c>
      <c r="J2" s="83"/>
      <c r="K2" s="84"/>
      <c r="L2" s="84"/>
      <c r="M2" s="85" t="s">
        <v>8</v>
      </c>
      <c r="N2" s="86"/>
      <c r="O2" s="87"/>
      <c r="P2" s="2"/>
      <c r="R2" s="82">
        <f>Variables!$A$2</f>
        <v>42604</v>
      </c>
      <c r="S2" s="83"/>
      <c r="T2" s="84"/>
      <c r="U2" s="129"/>
      <c r="V2" s="106" t="s">
        <v>8</v>
      </c>
      <c r="W2" s="86"/>
      <c r="X2" s="122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8" t="s">
        <v>10</v>
      </c>
      <c r="J3" s="89"/>
      <c r="K3" s="90"/>
      <c r="L3" s="90"/>
      <c r="M3" s="45" t="s">
        <v>11</v>
      </c>
      <c r="N3" s="46" t="s">
        <v>12</v>
      </c>
      <c r="O3" s="3" t="s">
        <v>13</v>
      </c>
      <c r="P3" s="2"/>
      <c r="R3" s="88" t="s">
        <v>10</v>
      </c>
      <c r="S3" s="89"/>
      <c r="T3" s="90"/>
      <c r="U3" s="130"/>
      <c r="V3" s="45" t="s">
        <v>11</v>
      </c>
      <c r="W3" s="46" t="s">
        <v>12</v>
      </c>
      <c r="X3" s="123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1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1" t="s">
        <v>14</v>
      </c>
      <c r="S4" s="58">
        <f>SUM(S5:S7)</f>
        <v>47</v>
      </c>
      <c r="T4" s="47"/>
      <c r="U4" s="131"/>
      <c r="V4" s="48" t="s">
        <v>15</v>
      </c>
      <c r="W4" s="46" t="s">
        <v>15</v>
      </c>
      <c r="X4" s="123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1" t="s">
        <v>17</v>
      </c>
      <c r="J5" s="58">
        <f>COUNTIFS($N$13:$N$9386,"&gt;0",$AG$13:$AG$9386,I1)</f>
        <v>139</v>
      </c>
      <c r="K5" s="47"/>
      <c r="L5" s="47"/>
      <c r="M5" s="48">
        <f>AVERAGEIFS($N$13:$N$9386,$AG$13:$AG$9386,I1)</f>
        <v>45.721582733873589</v>
      </c>
      <c r="N5" s="46">
        <f t="array" ref="N5">MIN(IF($AG$13:$AG$9386=I1,IF(ISNUMBER($N$13:$N$9386),IF($N$13:$N$9386&gt;0,$N$13:$N$9386))))</f>
        <v>36.033333332743496</v>
      </c>
      <c r="O5" s="3">
        <f t="array" ref="O5">MAX(IF($AG$13:$AG$9386=I1,IF(ISNUMBER($N$13:$N$9386),IF($N$13:$N$9386&gt;0,$N$13:$N$9386))))</f>
        <v>62.683333338936791</v>
      </c>
      <c r="P5" s="2"/>
      <c r="R5" s="91" t="s">
        <v>17</v>
      </c>
      <c r="S5" s="58">
        <f>COUNTIFS($N$13:$N$9386,"&gt;0",$AG$13:$AG$9386,R1)</f>
        <v>47</v>
      </c>
      <c r="T5" s="47"/>
      <c r="U5" s="131"/>
      <c r="V5" s="48">
        <f>AVERAGEIFS($N$13:$N$9386,$AG$13:$AG$9386,R1)</f>
        <v>19.911702128964418</v>
      </c>
      <c r="W5" s="46">
        <f t="array" ref="W5">MIN(IF($AG$13:$AG$9386=R1,IF(ISNUMBER($N$13:$N$9386),IF($N$13:$N$9386&gt;0,$N$13:$N$9386))))</f>
        <v>14.116666666232049</v>
      </c>
      <c r="X5" s="123">
        <f t="array" ref="X5">MAX(IF($AG$13:$AG$9386=R1,IF(ISNUMBER($N$13:$N$9386),IF($N$13:$N$9386&gt;0,$N$13:$N$9386))))</f>
        <v>78.050000004004687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2" t="s">
        <v>43</v>
      </c>
      <c r="J6" s="58">
        <f>COUNT($O$13:$O$140)</f>
        <v>0</v>
      </c>
      <c r="K6" s="47"/>
      <c r="L6" s="47"/>
      <c r="M6" s="48">
        <f>IFERROR(AVERAGE($O$13:$O$140),0)</f>
        <v>0</v>
      </c>
      <c r="N6" s="46">
        <f>MIN($O$13:$O$140)</f>
        <v>0</v>
      </c>
      <c r="O6" s="3">
        <f>MAX($O$13:$O$140)</f>
        <v>0</v>
      </c>
      <c r="P6" s="2"/>
      <c r="R6" s="92" t="s">
        <v>43</v>
      </c>
      <c r="S6" s="58">
        <f>COUNT($O$13:$O$140)</f>
        <v>0</v>
      </c>
      <c r="T6" s="47"/>
      <c r="U6" s="131"/>
      <c r="V6" s="48">
        <f>IFERROR(AVERAGE($O$13:$O$140),0)</f>
        <v>0</v>
      </c>
      <c r="W6" s="46">
        <f>MIN($O$13:$O$140)</f>
        <v>0</v>
      </c>
      <c r="X6" s="123">
        <f>MAX($O$13:$O$140)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3" t="s">
        <v>9</v>
      </c>
      <c r="J7" s="58">
        <f>COUNTIFS($P$13:$P$9386,"&gt;0",$AG$13:$AG$9386,I1)</f>
        <v>5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3" t="s">
        <v>9</v>
      </c>
      <c r="S7" s="58">
        <f>COUNTIFS($P$13:$P$9386,"&gt;0",$AG$13:$AG$9386,R1)</f>
        <v>0</v>
      </c>
      <c r="T7" s="47"/>
      <c r="U7" s="131"/>
      <c r="V7" s="48" t="s">
        <v>15</v>
      </c>
      <c r="W7" s="46" t="s">
        <v>15</v>
      </c>
      <c r="X7" s="123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1" t="s">
        <v>16</v>
      </c>
      <c r="J8" s="58">
        <f>J5</f>
        <v>139</v>
      </c>
      <c r="K8" s="47"/>
      <c r="L8" s="47"/>
      <c r="M8" s="48">
        <f>M5</f>
        <v>45.721582733873589</v>
      </c>
      <c r="N8" s="46">
        <f>N5</f>
        <v>36.033333332743496</v>
      </c>
      <c r="O8" s="3">
        <f>O5</f>
        <v>62.683333338936791</v>
      </c>
      <c r="P8" s="2"/>
      <c r="R8" s="91" t="s">
        <v>16</v>
      </c>
      <c r="S8" s="58">
        <f>S5</f>
        <v>47</v>
      </c>
      <c r="T8" s="47"/>
      <c r="U8" s="131"/>
      <c r="V8" s="48">
        <f>V5</f>
        <v>19.911702128964418</v>
      </c>
      <c r="W8" s="46">
        <f>W5</f>
        <v>14.116666666232049</v>
      </c>
      <c r="X8" s="123">
        <f>X5</f>
        <v>78.050000004004687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1" t="s">
        <v>19</v>
      </c>
      <c r="J9" s="72">
        <f>J8/J4</f>
        <v>0.96527777777777779</v>
      </c>
      <c r="K9" s="49"/>
      <c r="L9" s="49"/>
      <c r="M9" s="94"/>
      <c r="N9" s="44"/>
      <c r="O9" s="95"/>
      <c r="P9" s="2"/>
      <c r="R9" s="91" t="s">
        <v>19</v>
      </c>
      <c r="S9" s="72">
        <f>S8/S4</f>
        <v>1</v>
      </c>
      <c r="T9" s="49"/>
      <c r="U9" s="128"/>
      <c r="V9" s="94"/>
      <c r="W9" s="44"/>
      <c r="X9" s="124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1"/>
      <c r="V10" s="107"/>
      <c r="W10" s="23"/>
      <c r="X10" s="125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49" t="str">
        <f>"Eagle P3 System Performance - "&amp;TEXT(Variables!A2,"yyyy-mm-dd")</f>
        <v>Eagle P3 System Performance - 2016-08-22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S11" s="76">
        <f>AVERAGE(S13:S87)</f>
        <v>0.9966216216216216</v>
      </c>
      <c r="V11" s="107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7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69</v>
      </c>
      <c r="T12" s="57" t="s">
        <v>70</v>
      </c>
      <c r="U12" s="132" t="s">
        <v>71</v>
      </c>
      <c r="V12" s="109" t="s">
        <v>45</v>
      </c>
      <c r="W12" s="54" t="s">
        <v>23</v>
      </c>
      <c r="X12" s="126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95</v>
      </c>
      <c r="AE12" s="102" t="s">
        <v>102</v>
      </c>
      <c r="AF12" s="99" t="s">
        <v>107</v>
      </c>
      <c r="AG12" s="4" t="s">
        <v>125</v>
      </c>
      <c r="AH12" s="105" t="s">
        <v>128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373</v>
      </c>
      <c r="B13" s="7">
        <v>4009</v>
      </c>
      <c r="C13" s="25" t="s">
        <v>114</v>
      </c>
      <c r="D13" s="25" t="s">
        <v>374</v>
      </c>
      <c r="E13" s="16">
        <v>42604.122766203705</v>
      </c>
      <c r="F13" s="16">
        <v>42604.123854166668</v>
      </c>
      <c r="G13" s="7">
        <v>1</v>
      </c>
      <c r="H13" s="16" t="s">
        <v>281</v>
      </c>
      <c r="I13" s="16">
        <v>42604.161215277774</v>
      </c>
      <c r="J13" s="7">
        <v>0</v>
      </c>
      <c r="K13" s="140" t="str">
        <f t="shared" ref="K13:K76" si="0">IF(ISEVEN(B13),(B13-1)&amp;"/"&amp;B13,B13&amp;"/"&amp;(B13+1))</f>
        <v>4009/4010</v>
      </c>
      <c r="L13" s="25" t="str">
        <f>VLOOKUP(A13,'Trips&amp;Operators'!$C$1:$E$10000,3,FALSE)</f>
        <v>KILLION</v>
      </c>
      <c r="M13" s="6">
        <f t="shared" ref="M13:M76" si="1">I13-F13</f>
        <v>3.736111110629281E-2</v>
      </c>
      <c r="N13" s="7">
        <f t="shared" ref="N13:N48" si="2">24*60*SUM($M13:$M13)</f>
        <v>53.799999993061647</v>
      </c>
      <c r="O13" s="7"/>
      <c r="P13" s="7"/>
      <c r="Q13" s="26"/>
      <c r="R13" s="26"/>
      <c r="S13" s="38">
        <f t="shared" ref="S13:S44" si="3">SUM(U13:U13)/IF(AG13="EC",12,1)</f>
        <v>1</v>
      </c>
      <c r="T13" s="53" t="str">
        <f t="shared" ref="T13:T76" si="4">IF(ISEVEN(LEFT(AD13,4)),"Southbound","NorthBound")</f>
        <v>NorthBound</v>
      </c>
      <c r="U13" s="13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0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https://search-rtdc-monitor-bjffxe2xuh6vdkpspy63sjmuny.us-east-1.es.amazonaws.com/_plugin/kibana/#/discover/Steve-Slow-Train-Analysis-(2080s-and-2083s)?_g=(refreshInterval:(display:Off,section:0,value:0),time:(from:'2016-08-22 01:56:47-0600',mode:absolute,to:'2016-08-22 04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" s="55" t="str">
        <f t="shared" ref="W13:W76" si="6">IF(AA13&lt;IF(AG13="EC",23,5.65),"Y","N")</f>
        <v>N</v>
      </c>
      <c r="X13" s="127" t="e">
        <f t="shared" ref="X13:X44" si="7">VALUE(LEFT(AD13,4))-VALUE(LEFT(AD12,4))</f>
        <v>#VALUE!</v>
      </c>
      <c r="Y13" s="70">
        <f t="shared" ref="Y13:Y76" si="8">RIGHT(D13,LEN(D13)-4)/10000</f>
        <v>7.6499999999999999E-2</v>
      </c>
      <c r="Z13" s="70">
        <f t="shared" ref="Z13:Z44" si="9">RIGHT(H13,LEN(H13)-4)/10000</f>
        <v>23.3276</v>
      </c>
      <c r="AA13" s="70">
        <f t="shared" ref="AA13:AA76" si="10">ABS(Z13-Y13)</f>
        <v>23.251100000000001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76" si="11">IF(LEN(A13)=6,"0"&amp;A13,A13)</f>
        <v>0101-22</v>
      </c>
      <c r="AE13" s="103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13" s="100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/stypes="*4009*20160822*"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4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101-22 --locoid 4009 --swversion DE.1.0.7.0 --startMP 204:765 --initTime 2016-08-22T02:56:47 --startdatetime 2016-08-22T02:58:21 --delay 1 --endMP 204:233276 --enddatetime 2016-08-22T03:52:09 --enforcementcount 0</v>
      </c>
    </row>
    <row r="14" spans="1:91" s="1" customFormat="1" x14ac:dyDescent="0.25">
      <c r="A14" s="40" t="s">
        <v>324</v>
      </c>
      <c r="B14" s="7">
        <v>4008</v>
      </c>
      <c r="C14" s="25" t="s">
        <v>114</v>
      </c>
      <c r="D14" s="25" t="s">
        <v>375</v>
      </c>
      <c r="E14" s="16">
        <v>42604.169571759259</v>
      </c>
      <c r="F14" s="16">
        <v>42604.170914351853</v>
      </c>
      <c r="G14" s="7">
        <v>1</v>
      </c>
      <c r="H14" s="16" t="s">
        <v>287</v>
      </c>
      <c r="I14" s="16">
        <v>42604.203865740739</v>
      </c>
      <c r="J14" s="7">
        <v>0</v>
      </c>
      <c r="K14" s="140" t="str">
        <f t="shared" si="0"/>
        <v>4007/4008</v>
      </c>
      <c r="L14" s="25" t="str">
        <f>VLOOKUP(A14,'Trips&amp;Operators'!$C$1:$E$10000,3,FALSE)</f>
        <v>KILLION</v>
      </c>
      <c r="M14" s="6">
        <f t="shared" si="1"/>
        <v>3.2951388886431232E-2</v>
      </c>
      <c r="N14" s="7">
        <f t="shared" si="2"/>
        <v>47.449999996460974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03:04:11-0600',mode:absolute,to:'2016-08-22 05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" s="55" t="str">
        <f t="shared" si="6"/>
        <v>N</v>
      </c>
      <c r="X14" s="127">
        <f t="shared" si="7"/>
        <v>1</v>
      </c>
      <c r="Y14" s="70">
        <f t="shared" si="8"/>
        <v>23.262899999999998</v>
      </c>
      <c r="Z14" s="70">
        <f t="shared" si="9"/>
        <v>1.78E-2</v>
      </c>
      <c r="AA14" s="70">
        <f t="shared" si="10"/>
        <v>23.245099999999997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1"/>
        <v>0102-22</v>
      </c>
      <c r="AE14" s="103" t="str">
        <f t="shared" si="12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14" s="100" t="str">
        <f t="shared" si="13"/>
        <v>"C:\Program Files (x86)\AstroGrep\AstroGrep.exe" /spath="%USERPROFILE%\AppData\Local\Temp\OnboardLogs" /stypes="*4008*20160822*"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4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102-22 --locoid 4008 --swversion DE.1.0.7.0 --startMP 204:232629 --initTime 2016-08-22T04:04:11 --startdatetime 2016-08-22T04:06:07 --delay 1 --endMP 204:178 --enddatetime 2016-08-22T04:53:34 --enforcementcount 0</v>
      </c>
    </row>
    <row r="15" spans="1:91" s="1" customFormat="1" x14ac:dyDescent="0.25">
      <c r="A15" s="40" t="s">
        <v>376</v>
      </c>
      <c r="B15" s="7">
        <v>4014</v>
      </c>
      <c r="C15" s="25" t="s">
        <v>114</v>
      </c>
      <c r="D15" s="25" t="s">
        <v>377</v>
      </c>
      <c r="E15" s="16">
        <v>42604.154363425929</v>
      </c>
      <c r="F15" s="16">
        <v>42604.155925925923</v>
      </c>
      <c r="G15" s="7">
        <v>2</v>
      </c>
      <c r="H15" s="16" t="s">
        <v>378</v>
      </c>
      <c r="I15" s="16">
        <v>42604.184490740743</v>
      </c>
      <c r="J15" s="7">
        <v>0</v>
      </c>
      <c r="K15" s="140" t="str">
        <f t="shared" si="0"/>
        <v>4013/4014</v>
      </c>
      <c r="L15" s="25" t="str">
        <f>VLOOKUP(A15,'Trips&amp;Operators'!$C$1:$E$10000,3,FALSE)</f>
        <v>ACKERMAN</v>
      </c>
      <c r="M15" s="6">
        <f t="shared" si="1"/>
        <v>2.8564814820128959E-2</v>
      </c>
      <c r="N15" s="7">
        <f t="shared" si="2"/>
        <v>41.1333333409857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02:42:17-0600',mode:absolute,to:'2016-08-22 05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" s="55" t="str">
        <f t="shared" si="6"/>
        <v>N</v>
      </c>
      <c r="X15" s="127">
        <f t="shared" si="7"/>
        <v>1</v>
      </c>
      <c r="Y15" s="70">
        <f t="shared" si="8"/>
        <v>6.7199999999999996E-2</v>
      </c>
      <c r="Z15" s="70">
        <f t="shared" si="9"/>
        <v>23.337399999999999</v>
      </c>
      <c r="AA15" s="70">
        <f t="shared" si="10"/>
        <v>23.270199999999999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1"/>
        <v>0103-22</v>
      </c>
      <c r="AE15" s="103" t="str">
        <f t="shared" si="12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15" s="100" t="str">
        <f t="shared" si="13"/>
        <v>"C:\Program Files (x86)\AstroGrep\AstroGrep.exe" /spath="%USERPROFILE%\AppData\Local\Temp\OnboardLogs" /stypes="*4014*20160822*"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4" t="str">
        <f t="shared" si="16"/>
        <v>"%USERPROFILE%\Documents\GitHub\eaglep3\Utilities\RefineRTDCRunTimes.py" --tripid 103-22 --locoid 4014 --swversion DE.1.0.7.0 --startMP 204:672 --initTime 2016-08-22T03:42:17 --startdatetime 2016-08-22T03:44:32 --delay 2 --endMP 204:233374 --enddatetime 2016-08-22T04:25:40 --enforcementcount 0</v>
      </c>
    </row>
    <row r="16" spans="1:91" s="1" customFormat="1" x14ac:dyDescent="0.25">
      <c r="A16" s="40" t="s">
        <v>379</v>
      </c>
      <c r="B16" s="7">
        <v>4037</v>
      </c>
      <c r="C16" s="25" t="s">
        <v>114</v>
      </c>
      <c r="D16" s="25" t="s">
        <v>380</v>
      </c>
      <c r="E16" s="16">
        <v>42604.186874999999</v>
      </c>
      <c r="F16" s="16">
        <v>42604.193368055552</v>
      </c>
      <c r="G16" s="7">
        <v>9</v>
      </c>
      <c r="H16" s="16" t="s">
        <v>209</v>
      </c>
      <c r="I16" s="16">
        <v>42604.224537037036</v>
      </c>
      <c r="J16" s="7">
        <v>0</v>
      </c>
      <c r="K16" s="140" t="str">
        <f t="shared" si="0"/>
        <v>4037/4038</v>
      </c>
      <c r="L16" s="25" t="str">
        <f>VLOOKUP(A16,'Trips&amp;Operators'!$C$1:$E$10000,3,FALSE)</f>
        <v>ACKERMAN</v>
      </c>
      <c r="M16" s="6">
        <f t="shared" si="1"/>
        <v>3.1168981484370306E-2</v>
      </c>
      <c r="N16" s="7">
        <f t="shared" si="2"/>
        <v>44.883333337493241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03:29:06-0600',mode:absolute,to:'2016-08-22 06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" s="55" t="str">
        <f t="shared" si="6"/>
        <v>N</v>
      </c>
      <c r="X16" s="127">
        <f t="shared" si="7"/>
        <v>1</v>
      </c>
      <c r="Y16" s="70">
        <f t="shared" si="8"/>
        <v>23.271899999999999</v>
      </c>
      <c r="Z16" s="70">
        <f t="shared" si="9"/>
        <v>1.4500000000000001E-2</v>
      </c>
      <c r="AA16" s="70">
        <f t="shared" si="10"/>
        <v>23.257399999999997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si="11"/>
        <v>0104-22</v>
      </c>
      <c r="AE16" s="103" t="str">
        <f t="shared" si="12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16" s="100" t="str">
        <f t="shared" si="13"/>
        <v>"C:\Program Files (x86)\AstroGrep\AstroGrep.exe" /spath="%USERPROFILE%\AppData\Local\Temp\OnboardLogs" /stypes="*4037*20160822*"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4" t="str">
        <f t="shared" si="16"/>
        <v>"%USERPROFILE%\Documents\GitHub\eaglep3\Utilities\RefineRTDCRunTimes.py" --tripid 104-22 --locoid 4037 --swversion DE.1.0.7.0 --startMP 204:232719 --initTime 2016-08-22T04:29:06 --startdatetime 2016-08-22T04:38:27 --delay 9 --endMP 204:145 --enddatetime 2016-08-22T05:23:20 --enforcementcount 0</v>
      </c>
    </row>
    <row r="17" spans="1:34" s="1" customFormat="1" x14ac:dyDescent="0.25">
      <c r="A17" s="40" t="s">
        <v>381</v>
      </c>
      <c r="B17" s="7">
        <v>4018</v>
      </c>
      <c r="C17" s="25" t="s">
        <v>114</v>
      </c>
      <c r="D17" s="25" t="s">
        <v>278</v>
      </c>
      <c r="E17" s="16">
        <v>42604.166400462964</v>
      </c>
      <c r="F17" s="16">
        <v>42604.167453703703</v>
      </c>
      <c r="G17" s="7">
        <v>1</v>
      </c>
      <c r="H17" s="16" t="s">
        <v>382</v>
      </c>
      <c r="I17" s="16">
        <v>42604.202581018515</v>
      </c>
      <c r="J17" s="7">
        <v>0</v>
      </c>
      <c r="K17" s="140" t="str">
        <f t="shared" si="0"/>
        <v>4017/4018</v>
      </c>
      <c r="L17" s="25" t="str">
        <f>VLOOKUP(A17,'Trips&amp;Operators'!$C$1:$E$10000,3,FALSE)</f>
        <v>CLARK</v>
      </c>
      <c r="M17" s="6">
        <f t="shared" si="1"/>
        <v>3.5127314811688848E-2</v>
      </c>
      <c r="N17" s="7">
        <f t="shared" si="2"/>
        <v>50.583333328831941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02:59:37-0600',mode:absolute,to:'2016-08-22 05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" s="55" t="str">
        <f t="shared" si="6"/>
        <v>N</v>
      </c>
      <c r="X17" s="127">
        <f t="shared" si="7"/>
        <v>1</v>
      </c>
      <c r="Y17" s="70">
        <f t="shared" si="8"/>
        <v>7.5899999999999995E-2</v>
      </c>
      <c r="Z17" s="70">
        <f t="shared" si="9"/>
        <v>23.331199999999999</v>
      </c>
      <c r="AA17" s="70">
        <f t="shared" si="10"/>
        <v>23.255299999999998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1"/>
        <v>0105-22</v>
      </c>
      <c r="AE17" s="103" t="str">
        <f t="shared" si="12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17" s="100" t="str">
        <f t="shared" si="13"/>
        <v>"C:\Program Files (x86)\AstroGrep\AstroGrep.exe" /spath="%USERPROFILE%\AppData\Local\Temp\OnboardLogs" /stypes="*4018*20160822*"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4" t="str">
        <f t="shared" si="16"/>
        <v>"%USERPROFILE%\Documents\GitHub\eaglep3\Utilities\RefineRTDCRunTimes.py" --tripid 105-22 --locoid 4018 --swversion DE.1.0.7.0 --startMP 204:759 --initTime 2016-08-22T03:59:37 --startdatetime 2016-08-22T04:01:08 --delay 1 --endMP 204:233312 --enddatetime 2016-08-22T04:51:43 --enforcementcount 0</v>
      </c>
    </row>
    <row r="18" spans="1:34" s="1" customFormat="1" x14ac:dyDescent="0.25">
      <c r="A18" s="40" t="s">
        <v>383</v>
      </c>
      <c r="B18" s="7">
        <v>4028</v>
      </c>
      <c r="C18" s="25" t="s">
        <v>114</v>
      </c>
      <c r="D18" s="25" t="s">
        <v>384</v>
      </c>
      <c r="E18" s="16">
        <v>42604.209247685183</v>
      </c>
      <c r="F18" s="16">
        <v>42604.210706018515</v>
      </c>
      <c r="G18" s="7">
        <v>2</v>
      </c>
      <c r="H18" s="16" t="s">
        <v>133</v>
      </c>
      <c r="I18" s="16">
        <v>42604.243495370371</v>
      </c>
      <c r="J18" s="7">
        <v>0</v>
      </c>
      <c r="K18" s="140" t="str">
        <f t="shared" si="0"/>
        <v>4027/4028</v>
      </c>
      <c r="L18" s="25" t="str">
        <f>VLOOKUP(A18,'Trips&amp;Operators'!$C$1:$E$10000,3,FALSE)</f>
        <v>CLARK</v>
      </c>
      <c r="M18" s="6">
        <f t="shared" si="1"/>
        <v>3.2789351855171844E-2</v>
      </c>
      <c r="N18" s="7">
        <f t="shared" si="2"/>
        <v>47.216666671447456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04:01:19-0600',mode:absolute,to:'2016-08-22 06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8" s="55" t="str">
        <f t="shared" si="6"/>
        <v>N</v>
      </c>
      <c r="X18" s="127">
        <f t="shared" si="7"/>
        <v>1</v>
      </c>
      <c r="Y18" s="70">
        <f t="shared" si="8"/>
        <v>23.265799999999999</v>
      </c>
      <c r="Z18" s="70">
        <f t="shared" si="9"/>
        <v>1.47E-2</v>
      </c>
      <c r="AA18" s="70">
        <f t="shared" si="10"/>
        <v>23.251099999999997</v>
      </c>
      <c r="AB18" s="67" t="e">
        <f>VLOOKUP(A18,Enforcements!$C$7:$J$24,8,0)</f>
        <v>#N/A</v>
      </c>
      <c r="AC18" s="63" t="e">
        <f>VLOOKUP(A18,Enforcements!$C$7:$E$24,3,0)</f>
        <v>#N/A</v>
      </c>
      <c r="AD18" s="64" t="str">
        <f t="shared" si="11"/>
        <v>0106-22</v>
      </c>
      <c r="AE18" s="103" t="str">
        <f t="shared" si="12"/>
        <v>aws s3 cp s3://rtdc.mdm.uploadarchive/RTDC4028/2016-08-22/ "%USERPROFILE%\AppData\Local\Temp\OnboardLogs"\RTDC4028\2016-08-22 --recursive &amp; "%USERPROFILE%\Documents\GitHub\mrs-test-scripts\Headless Mode &amp; Sideloading\WalkAndUnGZ.bat" "%USERPROFILE%\AppData\Local\Temp\OnboardLogs"\RTDC4028\2016-08-22 &amp; 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</v>
      </c>
      <c r="AF18" s="100" t="str">
        <f t="shared" si="13"/>
        <v>"C:\Program Files (x86)\AstroGrep\AstroGrep.exe" /spath="%USERPROFILE%\AppData\Local\Temp\OnboardLogs" /stypes="*4028*20160822*"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4" t="str">
        <f t="shared" si="16"/>
        <v>"%USERPROFILE%\Documents\GitHub\eaglep3\Utilities\RefineRTDCRunTimes.py" --tripid 106-22 --locoid 4028 --swversion DE.1.0.7.0 --startMP 204:232658 --initTime 2016-08-22T05:01:19 --startdatetime 2016-08-22T05:03:25 --delay 2 --endMP 204:147 --enddatetime 2016-08-22T05:50:38 --enforcementcount 0</v>
      </c>
    </row>
    <row r="19" spans="1:34" s="1" customFormat="1" x14ac:dyDescent="0.25">
      <c r="A19" s="40" t="s">
        <v>385</v>
      </c>
      <c r="B19" s="7">
        <v>4020</v>
      </c>
      <c r="C19" s="25" t="s">
        <v>114</v>
      </c>
      <c r="D19" s="25" t="s">
        <v>126</v>
      </c>
      <c r="E19" s="16">
        <v>42604.182384259257</v>
      </c>
      <c r="F19" s="16">
        <v>42604.18346064815</v>
      </c>
      <c r="G19" s="7">
        <v>1</v>
      </c>
      <c r="H19" s="16" t="s">
        <v>382</v>
      </c>
      <c r="I19" s="16">
        <v>42604.213321759256</v>
      </c>
      <c r="J19" s="7">
        <v>0</v>
      </c>
      <c r="K19" s="140" t="str">
        <f t="shared" si="0"/>
        <v>4019/4020</v>
      </c>
      <c r="L19" s="25" t="str">
        <f>VLOOKUP(A19,'Trips&amp;Operators'!$C$1:$E$10000,3,FALSE)</f>
        <v>SPECTOR</v>
      </c>
      <c r="M19" s="6">
        <f t="shared" si="1"/>
        <v>2.9861111106583849E-2</v>
      </c>
      <c r="N19" s="7">
        <f t="shared" si="2"/>
        <v>42.999999993480742</v>
      </c>
      <c r="O19" s="7"/>
      <c r="P19" s="7"/>
      <c r="Q19" s="26"/>
      <c r="R19" s="26"/>
      <c r="S19" s="38">
        <f t="shared" si="3"/>
        <v>1</v>
      </c>
      <c r="T19" s="53" t="str">
        <f t="shared" si="4"/>
        <v>NorthBound</v>
      </c>
      <c r="U19" s="13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03:22:38-0600',mode:absolute,to:'2016-08-22 06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" s="55" t="str">
        <f t="shared" si="6"/>
        <v>N</v>
      </c>
      <c r="X19" s="127">
        <f t="shared" si="7"/>
        <v>1</v>
      </c>
      <c r="Y19" s="70">
        <f t="shared" si="8"/>
        <v>4.5499999999999999E-2</v>
      </c>
      <c r="Z19" s="70">
        <f t="shared" si="9"/>
        <v>23.331199999999999</v>
      </c>
      <c r="AA19" s="70">
        <f t="shared" si="10"/>
        <v>23.285699999999999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1"/>
        <v>0107-22</v>
      </c>
      <c r="AE19" s="103" t="str">
        <f t="shared" si="12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9" s="100" t="str">
        <f t="shared" si="13"/>
        <v>"C:\Program Files (x86)\AstroGrep\AstroGrep.exe" /spath="%USERPROFILE%\AppData\Local\Temp\OnboardLogs" /stypes="*4020*20160822*"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4" t="str">
        <f t="shared" si="16"/>
        <v>"%USERPROFILE%\Documents\GitHub\eaglep3\Utilities\RefineRTDCRunTimes.py" --tripid 107-22 --locoid 4020 --swversion DE.1.0.7.0 --startMP 204:455 --initTime 2016-08-22T04:22:38 --startdatetime 2016-08-22T04:24:11 --delay 1 --endMP 204:233312 --enddatetime 2016-08-22T05:07:11 --enforcementcount 0</v>
      </c>
    </row>
    <row r="20" spans="1:34" s="1" customFormat="1" x14ac:dyDescent="0.25">
      <c r="A20" s="40" t="s">
        <v>386</v>
      </c>
      <c r="B20" s="7">
        <v>4019</v>
      </c>
      <c r="C20" s="25" t="s">
        <v>114</v>
      </c>
      <c r="D20" s="25" t="s">
        <v>387</v>
      </c>
      <c r="E20" s="16">
        <v>42604.218854166669</v>
      </c>
      <c r="F20" s="16">
        <v>42604.219988425924</v>
      </c>
      <c r="G20" s="7">
        <v>1</v>
      </c>
      <c r="H20" s="16" t="s">
        <v>138</v>
      </c>
      <c r="I20" s="16">
        <v>42604.254826388889</v>
      </c>
      <c r="J20" s="7">
        <v>0</v>
      </c>
      <c r="K20" s="140" t="str">
        <f t="shared" si="0"/>
        <v>4019/4020</v>
      </c>
      <c r="L20" s="25" t="str">
        <f>VLOOKUP(A20,'Trips&amp;Operators'!$C$1:$E$10000,3,FALSE)</f>
        <v>SPECTOR</v>
      </c>
      <c r="M20" s="6">
        <f t="shared" si="1"/>
        <v>3.4837962964957114E-2</v>
      </c>
      <c r="N20" s="7">
        <f t="shared" si="2"/>
        <v>50.166666669538245</v>
      </c>
      <c r="O20" s="7"/>
      <c r="P20" s="7"/>
      <c r="Q20" s="26"/>
      <c r="R20" s="26"/>
      <c r="S20" s="38">
        <f t="shared" si="3"/>
        <v>1</v>
      </c>
      <c r="T20" s="53" t="str">
        <f t="shared" si="4"/>
        <v>Southbound</v>
      </c>
      <c r="U20" s="13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04:15:09-0600',mode:absolute,to:'2016-08-22 07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" s="55" t="str">
        <f t="shared" si="6"/>
        <v>N</v>
      </c>
      <c r="X20" s="127">
        <f t="shared" si="7"/>
        <v>1</v>
      </c>
      <c r="Y20" s="70">
        <f t="shared" si="8"/>
        <v>23.3</v>
      </c>
      <c r="Z20" s="70">
        <f t="shared" si="9"/>
        <v>1.49E-2</v>
      </c>
      <c r="AA20" s="70">
        <f t="shared" si="10"/>
        <v>23.2851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11"/>
        <v>0108-22</v>
      </c>
      <c r="AE20" s="103" t="str">
        <f t="shared" si="12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20" s="100" t="str">
        <f t="shared" si="13"/>
        <v>"C:\Program Files (x86)\AstroGrep\AstroGrep.exe" /spath="%USERPROFILE%\AppData\Local\Temp\OnboardLogs" /stypes="*4019*20160822*"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4" t="str">
        <f t="shared" si="16"/>
        <v>"%USERPROFILE%\Documents\GitHub\eaglep3\Utilities\RefineRTDCRunTimes.py" --tripid 108-22 --locoid 4019 --swversion DE.1.0.7.0 --startMP 204:233000 --initTime 2016-08-22T05:15:09 --startdatetime 2016-08-22T05:16:47 --delay 1 --endMP 204:149 --enddatetime 2016-08-22T06:06:57 --enforcementcount 0</v>
      </c>
    </row>
    <row r="21" spans="1:34" s="1" customFormat="1" x14ac:dyDescent="0.25">
      <c r="A21" s="40" t="s">
        <v>388</v>
      </c>
      <c r="B21" s="7">
        <v>4044</v>
      </c>
      <c r="C21" s="25" t="s">
        <v>114</v>
      </c>
      <c r="D21" s="25" t="s">
        <v>389</v>
      </c>
      <c r="E21" s="16">
        <v>42604.191388888888</v>
      </c>
      <c r="F21" s="16">
        <v>42604.192175925928</v>
      </c>
      <c r="G21" s="7">
        <v>1</v>
      </c>
      <c r="H21" s="16" t="s">
        <v>188</v>
      </c>
      <c r="I21" s="16">
        <v>42604.222280092596</v>
      </c>
      <c r="J21" s="7">
        <v>0</v>
      </c>
      <c r="K21" s="140" t="str">
        <f t="shared" si="0"/>
        <v>4043/4044</v>
      </c>
      <c r="L21" s="25" t="str">
        <f>VLOOKUP(A21,'Trips&amp;Operators'!$C$1:$E$10000,3,FALSE)</f>
        <v>YORK</v>
      </c>
      <c r="M21" s="6">
        <f t="shared" si="1"/>
        <v>3.0104166668024845E-2</v>
      </c>
      <c r="N21" s="7">
        <f t="shared" si="2"/>
        <v>43.350000001955777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03:35:36-0600',mode:absolute,to:'2016-08-22 06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1" s="55" t="str">
        <f t="shared" si="6"/>
        <v>N</v>
      </c>
      <c r="X21" s="127">
        <f t="shared" si="7"/>
        <v>1</v>
      </c>
      <c r="Y21" s="70">
        <f t="shared" si="8"/>
        <v>4.3700000000000003E-2</v>
      </c>
      <c r="Z21" s="70">
        <f t="shared" si="9"/>
        <v>23.330500000000001</v>
      </c>
      <c r="AA21" s="70">
        <f t="shared" si="10"/>
        <v>23.286799999999999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1"/>
        <v>0109-22</v>
      </c>
      <c r="AE21" s="103" t="str">
        <f t="shared" si="12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21" s="100" t="str">
        <f t="shared" si="13"/>
        <v>"C:\Program Files (x86)\AstroGrep\AstroGrep.exe" /spath="%USERPROFILE%\AppData\Local\Temp\OnboardLogs" /stypes="*4044*20160822*"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4" t="str">
        <f t="shared" si="16"/>
        <v>"%USERPROFILE%\Documents\GitHub\eaglep3\Utilities\RefineRTDCRunTimes.py" --tripid 109-22 --locoid 4044 --swversion DE.1.0.7.0 --startMP 204:437 --initTime 2016-08-22T04:35:36 --startdatetime 2016-08-22T04:36:44 --delay 1 --endMP 204:233305 --enddatetime 2016-08-22T05:20:05 --enforcementcount 0</v>
      </c>
    </row>
    <row r="22" spans="1:34" s="1" customFormat="1" x14ac:dyDescent="0.25">
      <c r="A22" s="40" t="s">
        <v>390</v>
      </c>
      <c r="B22" s="7">
        <v>4043</v>
      </c>
      <c r="C22" s="25" t="s">
        <v>114</v>
      </c>
      <c r="D22" s="25" t="s">
        <v>391</v>
      </c>
      <c r="E22" s="16">
        <v>42604.223136574074</v>
      </c>
      <c r="F22" s="16">
        <v>42604.223935185182</v>
      </c>
      <c r="G22" s="7">
        <v>1</v>
      </c>
      <c r="H22" s="16" t="s">
        <v>138</v>
      </c>
      <c r="I22" s="16">
        <v>42604.262731481482</v>
      </c>
      <c r="J22" s="7">
        <v>0</v>
      </c>
      <c r="K22" s="140" t="str">
        <f t="shared" si="0"/>
        <v>4043/4044</v>
      </c>
      <c r="L22" s="25" t="str">
        <f>VLOOKUP(A22,'Trips&amp;Operators'!$C$1:$E$10000,3,FALSE)</f>
        <v>YORK</v>
      </c>
      <c r="M22" s="6">
        <f t="shared" si="1"/>
        <v>3.8796296299551614E-2</v>
      </c>
      <c r="N22" s="7">
        <f t="shared" si="2"/>
        <v>55.866666671354324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04:21:19-0600',mode:absolute,to:'2016-08-22 07:18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2" s="55" t="str">
        <f t="shared" si="6"/>
        <v>N</v>
      </c>
      <c r="X22" s="127">
        <f t="shared" si="7"/>
        <v>1</v>
      </c>
      <c r="Y22" s="70">
        <f t="shared" si="8"/>
        <v>23.297699999999999</v>
      </c>
      <c r="Z22" s="70">
        <f t="shared" si="9"/>
        <v>1.49E-2</v>
      </c>
      <c r="AA22" s="70">
        <f t="shared" si="10"/>
        <v>23.282799999999998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11"/>
        <v>0110-22</v>
      </c>
      <c r="AE22" s="103" t="str">
        <f t="shared" si="12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22" s="100" t="str">
        <f t="shared" si="13"/>
        <v>"C:\Program Files (x86)\AstroGrep\AstroGrep.exe" /spath="%USERPROFILE%\AppData\Local\Temp\OnboardLogs" /stypes="*4043*20160822*"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4" t="str">
        <f t="shared" si="16"/>
        <v>"%USERPROFILE%\Documents\GitHub\eaglep3\Utilities\RefineRTDCRunTimes.py" --tripid 110-22 --locoid 4043 --swversion DE.1.0.7.0 --startMP 204:232977 --initTime 2016-08-22T05:21:19 --startdatetime 2016-08-22T05:22:28 --delay 1 --endMP 204:149 --enddatetime 2016-08-22T06:18:20 --enforcementcount 0</v>
      </c>
    </row>
    <row r="23" spans="1:34" s="1" customFormat="1" x14ac:dyDescent="0.25">
      <c r="A23" s="40" t="s">
        <v>325</v>
      </c>
      <c r="B23" s="7">
        <v>4009</v>
      </c>
      <c r="C23" s="25" t="s">
        <v>114</v>
      </c>
      <c r="D23" s="25" t="s">
        <v>392</v>
      </c>
      <c r="E23" s="16">
        <v>42604.20553240741</v>
      </c>
      <c r="F23" s="16">
        <v>42604.206643518519</v>
      </c>
      <c r="G23" s="7">
        <v>1</v>
      </c>
      <c r="H23" s="16" t="s">
        <v>393</v>
      </c>
      <c r="I23" s="16">
        <v>42604.234652777777</v>
      </c>
      <c r="J23" s="7">
        <v>0</v>
      </c>
      <c r="K23" s="140" t="str">
        <f t="shared" si="0"/>
        <v>4009/4010</v>
      </c>
      <c r="L23" s="25" t="str">
        <f>VLOOKUP(A23,'Trips&amp;Operators'!$C$1:$E$10000,3,FALSE)</f>
        <v>STARKS</v>
      </c>
      <c r="M23" s="6">
        <f t="shared" si="1"/>
        <v>2.8009259258396924E-2</v>
      </c>
      <c r="N23" s="7">
        <f t="shared" si="2"/>
        <v>40.33333333209157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03:55:58-0600',mode:absolute,to:'2016-08-22 06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3" s="55" t="str">
        <f t="shared" si="6"/>
        <v>N</v>
      </c>
      <c r="X23" s="127">
        <f t="shared" si="7"/>
        <v>1</v>
      </c>
      <c r="Y23" s="70">
        <f t="shared" si="8"/>
        <v>7.0599999999999996E-2</v>
      </c>
      <c r="Z23" s="70">
        <f t="shared" si="9"/>
        <v>23.331900000000001</v>
      </c>
      <c r="AA23" s="70">
        <f t="shared" si="10"/>
        <v>23.261300000000002</v>
      </c>
      <c r="AB23" s="67">
        <f>VLOOKUP(A23,Enforcements!$C$7:$J$24,8,0)</f>
        <v>33137</v>
      </c>
      <c r="AC23" s="63" t="str">
        <f>VLOOKUP(A23,Enforcements!$C$7:$E$24,3,0)</f>
        <v>GRADE CROSSING</v>
      </c>
      <c r="AD23" s="64" t="str">
        <f t="shared" si="11"/>
        <v>0111-22</v>
      </c>
      <c r="AE23" s="103" t="str">
        <f t="shared" si="12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23" s="100" t="str">
        <f t="shared" si="13"/>
        <v>"C:\Program Files (x86)\AstroGrep\AstroGrep.exe" /spath="%USERPROFILE%\AppData\Local\Temp\OnboardLogs" /stypes="*4009*20160822*"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4" t="str">
        <f t="shared" si="16"/>
        <v>"%USERPROFILE%\Documents\GitHub\eaglep3\Utilities\RefineRTDCRunTimes.py" --tripid 111-22 --locoid 4009 --swversion DE.1.0.7.0 --startMP 204:706 --initTime 2016-08-22T04:55:58 --startdatetime 2016-08-22T04:57:34 --delay 1 --endMP 204:233319 --enddatetime 2016-08-22T05:37:54 --enforcementcount 0</v>
      </c>
    </row>
    <row r="24" spans="1:34" s="1" customFormat="1" x14ac:dyDescent="0.25">
      <c r="A24" s="40" t="s">
        <v>327</v>
      </c>
      <c r="B24" s="7">
        <v>4010</v>
      </c>
      <c r="C24" s="25" t="s">
        <v>114</v>
      </c>
      <c r="D24" s="25" t="s">
        <v>387</v>
      </c>
      <c r="E24" s="16">
        <v>42604.244872685187</v>
      </c>
      <c r="F24" s="16">
        <v>42604.246134259258</v>
      </c>
      <c r="G24" s="7">
        <v>1</v>
      </c>
      <c r="H24" s="16" t="s">
        <v>394</v>
      </c>
      <c r="I24" s="16">
        <v>42604.275671296295</v>
      </c>
      <c r="J24" s="7">
        <v>0</v>
      </c>
      <c r="K24" s="140" t="str">
        <f t="shared" si="0"/>
        <v>4009/4010</v>
      </c>
      <c r="L24" s="25" t="str">
        <f>VLOOKUP(A24,'Trips&amp;Operators'!$C$1:$E$10000,3,FALSE)</f>
        <v>STARKS</v>
      </c>
      <c r="M24" s="6">
        <f t="shared" si="1"/>
        <v>2.9537037036789116E-2</v>
      </c>
      <c r="N24" s="7">
        <f t="shared" si="2"/>
        <v>42.533333332976326</v>
      </c>
      <c r="O24" s="7"/>
      <c r="P24" s="7"/>
      <c r="Q24" s="26"/>
      <c r="R24" s="26"/>
      <c r="S24" s="38">
        <f t="shared" si="3"/>
        <v>1</v>
      </c>
      <c r="T24" s="53" t="str">
        <f t="shared" si="4"/>
        <v>Southbound</v>
      </c>
      <c r="U24" s="13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04:52:37-0600',mode:absolute,to:'2016-08-22 07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4" s="55" t="str">
        <f t="shared" si="6"/>
        <v>N</v>
      </c>
      <c r="X24" s="127">
        <f t="shared" si="7"/>
        <v>1</v>
      </c>
      <c r="Y24" s="70">
        <f t="shared" si="8"/>
        <v>23.3</v>
      </c>
      <c r="Z24" s="70">
        <f t="shared" si="9"/>
        <v>1.3899999999999999E-2</v>
      </c>
      <c r="AA24" s="70">
        <f t="shared" si="10"/>
        <v>23.286100000000001</v>
      </c>
      <c r="AB24" s="67">
        <f>VLOOKUP(A24,Enforcements!$C$7:$J$24,8,0)</f>
        <v>119716</v>
      </c>
      <c r="AC24" s="63" t="str">
        <f>VLOOKUP(A24,Enforcements!$C$7:$E$24,3,0)</f>
        <v>PERMANENT SPEED RESTRICTION</v>
      </c>
      <c r="AD24" s="64" t="str">
        <f t="shared" si="11"/>
        <v>0112-22</v>
      </c>
      <c r="AE24" s="103" t="str">
        <f t="shared" si="12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24" s="100" t="str">
        <f t="shared" si="13"/>
        <v>"C:\Program Files (x86)\AstroGrep\AstroGrep.exe" /spath="%USERPROFILE%\AppData\Local\Temp\OnboardLogs" /stypes="*4010*20160822*"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4" t="str">
        <f t="shared" si="16"/>
        <v>"%USERPROFILE%\Documents\GitHub\eaglep3\Utilities\RefineRTDCRunTimes.py" --tripid 112-22 --locoid 4010 --swversion DE.1.0.7.0 --startMP 204:233000 --initTime 2016-08-22T05:52:37 --startdatetime 2016-08-22T05:54:26 --delay 1 --endMP 204:139 --enddatetime 2016-08-22T06:36:58 --enforcementcount 0</v>
      </c>
    </row>
    <row r="25" spans="1:34" s="1" customFormat="1" x14ac:dyDescent="0.25">
      <c r="A25" s="40" t="s">
        <v>395</v>
      </c>
      <c r="B25" s="7">
        <v>4007</v>
      </c>
      <c r="C25" s="25" t="s">
        <v>114</v>
      </c>
      <c r="D25" s="25" t="s">
        <v>288</v>
      </c>
      <c r="E25" s="16">
        <v>42604.207430555558</v>
      </c>
      <c r="F25" s="16">
        <v>42604.208680555559</v>
      </c>
      <c r="G25" s="7">
        <v>1</v>
      </c>
      <c r="H25" s="16" t="s">
        <v>271</v>
      </c>
      <c r="I25" s="16">
        <v>42604.243888888886</v>
      </c>
      <c r="J25" s="7">
        <v>0</v>
      </c>
      <c r="K25" s="140" t="str">
        <f t="shared" si="0"/>
        <v>4007/4008</v>
      </c>
      <c r="L25" s="25" t="str">
        <f>VLOOKUP(A25,'Trips&amp;Operators'!$C$1:$E$10000,3,FALSE)</f>
        <v>KILLION</v>
      </c>
      <c r="M25" s="6">
        <f t="shared" si="1"/>
        <v>3.5208333327318542E-2</v>
      </c>
      <c r="N25" s="7">
        <f t="shared" si="2"/>
        <v>50.6999999913387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03:58:42-0600',mode:absolute,to:'2016-08-22 06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5" s="55" t="str">
        <f t="shared" si="6"/>
        <v>N</v>
      </c>
      <c r="X25" s="127">
        <f t="shared" si="7"/>
        <v>1</v>
      </c>
      <c r="Y25" s="70">
        <f t="shared" si="8"/>
        <v>4.3499999999999997E-2</v>
      </c>
      <c r="Z25" s="70">
        <f t="shared" si="9"/>
        <v>23.328199999999999</v>
      </c>
      <c r="AA25" s="70">
        <f t="shared" si="10"/>
        <v>23.284699999999997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1"/>
        <v>0113-22</v>
      </c>
      <c r="AE25" s="103" t="str">
        <f t="shared" si="12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25" s="100" t="str">
        <f t="shared" si="13"/>
        <v>"C:\Program Files (x86)\AstroGrep\AstroGrep.exe" /spath="%USERPROFILE%\AppData\Local\Temp\OnboardLogs" /stypes="*4007*20160822*"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4" t="str">
        <f t="shared" si="16"/>
        <v>"%USERPROFILE%\Documents\GitHub\eaglep3\Utilities\RefineRTDCRunTimes.py" --tripid 113-22 --locoid 4007 --swversion DE.1.0.7.0 --startMP 204:435 --initTime 2016-08-22T04:58:42 --startdatetime 2016-08-22T05:00:30 --delay 1 --endMP 204:233282 --enddatetime 2016-08-22T05:51:12 --enforcementcount 0</v>
      </c>
    </row>
    <row r="26" spans="1:34" s="1" customFormat="1" x14ac:dyDescent="0.25">
      <c r="A26" s="40" t="s">
        <v>329</v>
      </c>
      <c r="B26" s="7">
        <v>4008</v>
      </c>
      <c r="C26" s="25" t="s">
        <v>114</v>
      </c>
      <c r="D26" s="25" t="s">
        <v>162</v>
      </c>
      <c r="E26" s="16">
        <v>42604.249386574076</v>
      </c>
      <c r="F26" s="16">
        <v>42604.250243055554</v>
      </c>
      <c r="G26" s="7">
        <v>1</v>
      </c>
      <c r="H26" s="16" t="s">
        <v>396</v>
      </c>
      <c r="I26" s="16">
        <v>42604.285173611112</v>
      </c>
      <c r="J26" s="7">
        <v>0</v>
      </c>
      <c r="K26" s="140" t="str">
        <f t="shared" si="0"/>
        <v>4007/4008</v>
      </c>
      <c r="L26" s="25" t="str">
        <f>VLOOKUP(A26,'Trips&amp;Operators'!$C$1:$E$10000,3,FALSE)</f>
        <v>KILLION</v>
      </c>
      <c r="M26" s="6">
        <f t="shared" si="1"/>
        <v>3.4930555557366461E-2</v>
      </c>
      <c r="N26" s="7">
        <f t="shared" si="2"/>
        <v>50.300000002607703</v>
      </c>
      <c r="O26" s="7"/>
      <c r="P26" s="7"/>
      <c r="Q26" s="26"/>
      <c r="R26" s="26"/>
      <c r="S26" s="38">
        <f t="shared" si="3"/>
        <v>1</v>
      </c>
      <c r="T26" s="53" t="str">
        <f t="shared" si="4"/>
        <v>Southbound</v>
      </c>
      <c r="U26" s="13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04:59:07-0600',mode:absolute,to:'2016-08-22 07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6" s="55" t="str">
        <f t="shared" si="6"/>
        <v>N</v>
      </c>
      <c r="X26" s="127">
        <f t="shared" si="7"/>
        <v>1</v>
      </c>
      <c r="Y26" s="70">
        <f t="shared" si="8"/>
        <v>23.296500000000002</v>
      </c>
      <c r="Z26" s="70">
        <f t="shared" si="9"/>
        <v>1.6299999999999999E-2</v>
      </c>
      <c r="AA26" s="70">
        <f t="shared" si="10"/>
        <v>23.280200000000001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1"/>
        <v>0114-22</v>
      </c>
      <c r="AE26" s="103" t="str">
        <f t="shared" si="12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26" s="100" t="str">
        <f t="shared" si="13"/>
        <v>"C:\Program Files (x86)\AstroGrep\AstroGrep.exe" /spath="%USERPROFILE%\AppData\Local\Temp\OnboardLogs" /stypes="*4008*20160822*"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4" t="str">
        <f t="shared" si="16"/>
        <v>"%USERPROFILE%\Documents\GitHub\eaglep3\Utilities\RefineRTDCRunTimes.py" --tripid 114-22 --locoid 4008 --swversion DE.1.0.7.0 --startMP 204:232965 --initTime 2016-08-22T05:59:07 --startdatetime 2016-08-22T06:00:21 --delay 1 --endMP 204:163 --enddatetime 2016-08-22T06:50:39 --enforcementcount 0</v>
      </c>
    </row>
    <row r="27" spans="1:34" s="1" customFormat="1" x14ac:dyDescent="0.25">
      <c r="A27" s="40" t="s">
        <v>397</v>
      </c>
      <c r="B27" s="7">
        <v>4014</v>
      </c>
      <c r="C27" s="25" t="s">
        <v>114</v>
      </c>
      <c r="D27" s="25" t="s">
        <v>374</v>
      </c>
      <c r="E27" s="16">
        <v>42604.226840277777</v>
      </c>
      <c r="F27" s="16">
        <v>42604.228032407409</v>
      </c>
      <c r="G27" s="7">
        <v>1</v>
      </c>
      <c r="H27" s="16" t="s">
        <v>219</v>
      </c>
      <c r="I27" s="16">
        <v>42604.255671296298</v>
      </c>
      <c r="J27" s="7">
        <v>0</v>
      </c>
      <c r="K27" s="140" t="str">
        <f t="shared" si="0"/>
        <v>4013/4014</v>
      </c>
      <c r="L27" s="25" t="str">
        <f>VLOOKUP(A27,'Trips&amp;Operators'!$C$1:$E$10000,3,FALSE)</f>
        <v>MALAVE</v>
      </c>
      <c r="M27" s="6">
        <f t="shared" si="1"/>
        <v>2.7638888888759539E-2</v>
      </c>
      <c r="N27" s="7">
        <f t="shared" si="2"/>
        <v>39.799999999813735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04:26:39-0600',mode:absolute,to:'2016-08-22 07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7" s="55" t="str">
        <f t="shared" si="6"/>
        <v>N</v>
      </c>
      <c r="X27" s="127">
        <f t="shared" si="7"/>
        <v>1</v>
      </c>
      <c r="Y27" s="70">
        <f t="shared" si="8"/>
        <v>7.6499999999999999E-2</v>
      </c>
      <c r="Z27" s="70">
        <f t="shared" si="9"/>
        <v>23.3293</v>
      </c>
      <c r="AA27" s="70">
        <f t="shared" si="10"/>
        <v>23.252800000000001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1"/>
        <v>0115-22</v>
      </c>
      <c r="AE27" s="103" t="str">
        <f t="shared" si="12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27" s="100" t="str">
        <f t="shared" si="13"/>
        <v>"C:\Program Files (x86)\AstroGrep\AstroGrep.exe" /spath="%USERPROFILE%\AppData\Local\Temp\OnboardLogs" /stypes="*4014*20160822*"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4" t="str">
        <f t="shared" si="16"/>
        <v>"%USERPROFILE%\Documents\GitHub\eaglep3\Utilities\RefineRTDCRunTimes.py" --tripid 115-22 --locoid 4014 --swversion DE.1.0.7.0 --startMP 204:765 --initTime 2016-08-22T05:26:39 --startdatetime 2016-08-22T05:28:22 --delay 1 --endMP 204:233293 --enddatetime 2016-08-22T06:08:10 --enforcementcount 0</v>
      </c>
    </row>
    <row r="28" spans="1:34" s="1" customFormat="1" x14ac:dyDescent="0.25">
      <c r="A28" s="40" t="s">
        <v>398</v>
      </c>
      <c r="B28" s="7">
        <v>4013</v>
      </c>
      <c r="C28" s="25" t="s">
        <v>114</v>
      </c>
      <c r="D28" s="25" t="s">
        <v>399</v>
      </c>
      <c r="E28" s="16">
        <v>42604.267210648148</v>
      </c>
      <c r="F28" s="16">
        <v>42604.26803240741</v>
      </c>
      <c r="G28" s="7">
        <v>1</v>
      </c>
      <c r="H28" s="16" t="s">
        <v>156</v>
      </c>
      <c r="I28" s="16">
        <v>42604.296412037038</v>
      </c>
      <c r="J28" s="7">
        <v>0</v>
      </c>
      <c r="K28" s="140" t="str">
        <f t="shared" si="0"/>
        <v>4013/4014</v>
      </c>
      <c r="L28" s="25" t="str">
        <f>VLOOKUP(A28,'Trips&amp;Operators'!$C$1:$E$10000,3,FALSE)</f>
        <v>MALAVE</v>
      </c>
      <c r="M28" s="6">
        <f t="shared" si="1"/>
        <v>2.8379629628034309E-2</v>
      </c>
      <c r="N28" s="7">
        <f t="shared" si="2"/>
        <v>40.866666664369404</v>
      </c>
      <c r="O28" s="7"/>
      <c r="P28" s="7"/>
      <c r="Q28" s="26"/>
      <c r="R28" s="26"/>
      <c r="S28" s="38">
        <f t="shared" si="3"/>
        <v>1</v>
      </c>
      <c r="T28" s="53" t="str">
        <f t="shared" si="4"/>
        <v>Southbound</v>
      </c>
      <c r="U28" s="13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05:24:47-0600',mode:absolute,to:'2016-08-22 08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8" s="55" t="str">
        <f t="shared" si="6"/>
        <v>N</v>
      </c>
      <c r="X28" s="127">
        <f t="shared" si="7"/>
        <v>1</v>
      </c>
      <c r="Y28" s="70">
        <f t="shared" si="8"/>
        <v>23.2957</v>
      </c>
      <c r="Z28" s="70">
        <f t="shared" si="9"/>
        <v>1.4999999999999999E-2</v>
      </c>
      <c r="AA28" s="70">
        <f t="shared" si="10"/>
        <v>23.2807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1"/>
        <v>0116-22</v>
      </c>
      <c r="AE28" s="103" t="str">
        <f t="shared" si="12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28" s="100" t="str">
        <f t="shared" si="13"/>
        <v>"C:\Program Files (x86)\AstroGrep\AstroGrep.exe" /spath="%USERPROFILE%\AppData\Local\Temp\OnboardLogs" /stypes="*4013*20160822*"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4" t="str">
        <f t="shared" si="16"/>
        <v>"%USERPROFILE%\Documents\GitHub\eaglep3\Utilities\RefineRTDCRunTimes.py" --tripid 116-22 --locoid 4013 --swversion DE.1.0.7.0 --startMP 204:232957 --initTime 2016-08-22T06:24:47 --startdatetime 2016-08-22T06:25:58 --delay 1 --endMP 204:150 --enddatetime 2016-08-22T07:06:50 --enforcementcount 0</v>
      </c>
    </row>
    <row r="29" spans="1:34" s="1" customFormat="1" x14ac:dyDescent="0.25">
      <c r="A29" s="40" t="s">
        <v>400</v>
      </c>
      <c r="B29" s="7">
        <v>4038</v>
      </c>
      <c r="C29" s="25" t="s">
        <v>114</v>
      </c>
      <c r="D29" s="25" t="s">
        <v>140</v>
      </c>
      <c r="E29" s="16">
        <v>42604.234398148146</v>
      </c>
      <c r="F29" s="16">
        <v>42604.23578703704</v>
      </c>
      <c r="G29" s="7">
        <v>1</v>
      </c>
      <c r="H29" s="16" t="s">
        <v>272</v>
      </c>
      <c r="I29" s="16">
        <v>42604.265833333331</v>
      </c>
      <c r="J29" s="7">
        <v>0</v>
      </c>
      <c r="K29" s="140" t="str">
        <f t="shared" si="0"/>
        <v>4037/4038</v>
      </c>
      <c r="L29" s="25" t="str">
        <f>VLOOKUP(A29,'Trips&amp;Operators'!$C$1:$E$10000,3,FALSE)</f>
        <v>ACKERMAN</v>
      </c>
      <c r="M29" s="6">
        <f t="shared" si="1"/>
        <v>3.0046296291402541E-2</v>
      </c>
      <c r="N29" s="7">
        <f t="shared" si="2"/>
        <v>43.266666659619659</v>
      </c>
      <c r="O29" s="7"/>
      <c r="P29" s="7"/>
      <c r="Q29" s="26"/>
      <c r="R29" s="26"/>
      <c r="S29" s="38">
        <f t="shared" si="3"/>
        <v>1</v>
      </c>
      <c r="T29" s="53" t="str">
        <f t="shared" si="4"/>
        <v>NorthBound</v>
      </c>
      <c r="U29" s="13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04:37:32-0600',mode:absolute,to:'2016-08-22 07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9" s="55" t="str">
        <f t="shared" si="6"/>
        <v>N</v>
      </c>
      <c r="X29" s="127">
        <f t="shared" si="7"/>
        <v>1</v>
      </c>
      <c r="Y29" s="70">
        <f t="shared" si="8"/>
        <v>4.6899999999999997E-2</v>
      </c>
      <c r="Z29" s="70">
        <f t="shared" si="9"/>
        <v>23.331099999999999</v>
      </c>
      <c r="AA29" s="70">
        <f t="shared" si="10"/>
        <v>23.284199999999998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11"/>
        <v>0117-22</v>
      </c>
      <c r="AE29" s="103" t="str">
        <f t="shared" si="12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29" s="100" t="str">
        <f t="shared" si="13"/>
        <v>"C:\Program Files (x86)\AstroGrep\AstroGrep.exe" /spath="%USERPROFILE%\AppData\Local\Temp\OnboardLogs" /stypes="*4038*20160822*"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4" t="str">
        <f t="shared" si="16"/>
        <v>"%USERPROFILE%\Documents\GitHub\eaglep3\Utilities\RefineRTDCRunTimes.py" --tripid 117-22 --locoid 4038 --swversion DE.1.0.7.0 --startMP 204:469 --initTime 2016-08-22T05:37:32 --startdatetime 2016-08-22T05:39:32 --delay 1 --endMP 204:233311 --enddatetime 2016-08-22T06:22:48 --enforcementcount 0</v>
      </c>
    </row>
    <row r="30" spans="1:34" s="1" customFormat="1" ht="16.5" customHeight="1" x14ac:dyDescent="0.25">
      <c r="A30" s="40" t="s">
        <v>401</v>
      </c>
      <c r="B30" s="7">
        <v>4037</v>
      </c>
      <c r="C30" s="25" t="s">
        <v>114</v>
      </c>
      <c r="D30" s="25" t="s">
        <v>199</v>
      </c>
      <c r="E30" s="16">
        <v>42604.268275462964</v>
      </c>
      <c r="F30" s="16">
        <v>42604.269791666666</v>
      </c>
      <c r="G30" s="7">
        <v>2</v>
      </c>
      <c r="H30" s="16" t="s">
        <v>222</v>
      </c>
      <c r="I30" s="16">
        <v>42604.306747685187</v>
      </c>
      <c r="J30" s="7">
        <v>0</v>
      </c>
      <c r="K30" s="140" t="str">
        <f t="shared" si="0"/>
        <v>4037/4038</v>
      </c>
      <c r="L30" s="25" t="str">
        <f>VLOOKUP(A30,'Trips&amp;Operators'!$C$1:$E$10000,3,FALSE)</f>
        <v>ACKERMAN</v>
      </c>
      <c r="M30" s="6">
        <f t="shared" si="1"/>
        <v>3.6956018520868383E-2</v>
      </c>
      <c r="N30" s="7">
        <f t="shared" si="2"/>
        <v>53.216666670050472</v>
      </c>
      <c r="O30" s="7"/>
      <c r="P30" s="7"/>
      <c r="Q30" s="26"/>
      <c r="R30" s="26"/>
      <c r="S30" s="38">
        <f t="shared" si="3"/>
        <v>1</v>
      </c>
      <c r="T30" s="53" t="str">
        <f t="shared" si="4"/>
        <v>Southbound</v>
      </c>
      <c r="U30" s="13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05:26:19-0600',mode:absolute,to:'2016-08-22 08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0" s="55" t="str">
        <f t="shared" si="6"/>
        <v>N</v>
      </c>
      <c r="X30" s="127">
        <f t="shared" si="7"/>
        <v>1</v>
      </c>
      <c r="Y30" s="70">
        <f t="shared" si="8"/>
        <v>23.298999999999999</v>
      </c>
      <c r="Z30" s="70">
        <f t="shared" si="9"/>
        <v>1.2999999999999999E-2</v>
      </c>
      <c r="AA30" s="70">
        <f t="shared" si="10"/>
        <v>23.285999999999998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1"/>
        <v>0118-22</v>
      </c>
      <c r="AE30" s="103" t="str">
        <f t="shared" si="12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30" s="100" t="str">
        <f t="shared" si="13"/>
        <v>"C:\Program Files (x86)\AstroGrep\AstroGrep.exe" /spath="%USERPROFILE%\AppData\Local\Temp\OnboardLogs" /stypes="*4037*20160822*"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4" t="str">
        <f t="shared" si="16"/>
        <v>"%USERPROFILE%\Documents\GitHub\eaglep3\Utilities\RefineRTDCRunTimes.py" --tripid 118-22 --locoid 4037 --swversion DE.1.0.7.0 --startMP 204:232990 --initTime 2016-08-22T06:26:19 --startdatetime 2016-08-22T06:28:30 --delay 2 --endMP 204:130 --enddatetime 2016-08-22T07:21:43 --enforcementcount 0</v>
      </c>
    </row>
    <row r="31" spans="1:34" s="1" customFormat="1" x14ac:dyDescent="0.25">
      <c r="A31" s="40" t="s">
        <v>402</v>
      </c>
      <c r="B31" s="7">
        <v>4018</v>
      </c>
      <c r="C31" s="25" t="s">
        <v>114</v>
      </c>
      <c r="D31" s="25" t="s">
        <v>403</v>
      </c>
      <c r="E31" s="16">
        <v>42604.248032407406</v>
      </c>
      <c r="F31" s="16">
        <v>42604.249236111114</v>
      </c>
      <c r="G31" s="7">
        <v>1</v>
      </c>
      <c r="H31" s="16" t="s">
        <v>306</v>
      </c>
      <c r="I31" s="16">
        <v>42604.277013888888</v>
      </c>
      <c r="J31" s="7">
        <v>0</v>
      </c>
      <c r="K31" s="140" t="str">
        <f t="shared" si="0"/>
        <v>4017/4018</v>
      </c>
      <c r="L31" s="25" t="str">
        <f>VLOOKUP(A31,'Trips&amp;Operators'!$C$1:$E$10000,3,FALSE)</f>
        <v>CLARK</v>
      </c>
      <c r="M31" s="6">
        <f t="shared" si="1"/>
        <v>2.7777777773735579E-2</v>
      </c>
      <c r="N31" s="7">
        <f t="shared" si="2"/>
        <v>39.999999994179234</v>
      </c>
      <c r="O31" s="7"/>
      <c r="P31" s="7"/>
      <c r="Q31" s="26"/>
      <c r="R31" s="26"/>
      <c r="S31" s="38">
        <f t="shared" si="3"/>
        <v>1</v>
      </c>
      <c r="T31" s="53" t="str">
        <f t="shared" si="4"/>
        <v>NorthBound</v>
      </c>
      <c r="U31" s="13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04:57:10-0600',mode:absolute,to:'2016-08-22 07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1" s="55" t="str">
        <f t="shared" si="6"/>
        <v>N</v>
      </c>
      <c r="X31" s="127">
        <f t="shared" si="7"/>
        <v>1</v>
      </c>
      <c r="Y31" s="70">
        <f t="shared" si="8"/>
        <v>7.6799999999999993E-2</v>
      </c>
      <c r="Z31" s="70">
        <f t="shared" si="9"/>
        <v>23.327400000000001</v>
      </c>
      <c r="AA31" s="70">
        <f t="shared" si="10"/>
        <v>23.250600000000002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11"/>
        <v>0119-22</v>
      </c>
      <c r="AE31" s="103" t="str">
        <f t="shared" si="12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31" s="100" t="str">
        <f t="shared" si="13"/>
        <v>"C:\Program Files (x86)\AstroGrep\AstroGrep.exe" /spath="%USERPROFILE%\AppData\Local\Temp\OnboardLogs" /stypes="*4018*20160822*"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4" t="str">
        <f t="shared" si="16"/>
        <v>"%USERPROFILE%\Documents\GitHub\eaglep3\Utilities\RefineRTDCRunTimes.py" --tripid 119-22 --locoid 4018 --swversion DE.1.0.7.0 --startMP 204:768 --initTime 2016-08-22T05:57:10 --startdatetime 2016-08-22T05:58:54 --delay 1 --endMP 204:233274 --enddatetime 2016-08-22T06:38:54 --enforcementcount 0</v>
      </c>
    </row>
    <row r="32" spans="1:34" s="32" customFormat="1" x14ac:dyDescent="0.25">
      <c r="A32" s="40" t="s">
        <v>331</v>
      </c>
      <c r="B32" s="7">
        <v>4017</v>
      </c>
      <c r="C32" s="25" t="s">
        <v>114</v>
      </c>
      <c r="D32" s="25" t="s">
        <v>404</v>
      </c>
      <c r="E32" s="16">
        <v>42604.281087962961</v>
      </c>
      <c r="F32" s="16">
        <v>42604.282280092593</v>
      </c>
      <c r="G32" s="7">
        <v>1</v>
      </c>
      <c r="H32" s="16" t="s">
        <v>405</v>
      </c>
      <c r="I32" s="16">
        <v>42604.317546296297</v>
      </c>
      <c r="J32" s="7">
        <v>0</v>
      </c>
      <c r="K32" s="140" t="str">
        <f t="shared" si="0"/>
        <v>4017/4018</v>
      </c>
      <c r="L32" s="25" t="str">
        <f>VLOOKUP(A32,'Trips&amp;Operators'!$C$1:$E$10000,3,FALSE)</f>
        <v>CLARK</v>
      </c>
      <c r="M32" s="6">
        <f t="shared" si="1"/>
        <v>3.5266203703940846E-2</v>
      </c>
      <c r="N32" s="7">
        <f t="shared" si="2"/>
        <v>50.783333333674818</v>
      </c>
      <c r="O32" s="7"/>
      <c r="P32" s="7"/>
      <c r="Q32" s="26"/>
      <c r="R32" s="26"/>
      <c r="S32" s="38">
        <f t="shared" si="3"/>
        <v>1</v>
      </c>
      <c r="T32" s="53" t="str">
        <f t="shared" si="4"/>
        <v>Southbound</v>
      </c>
      <c r="U32" s="13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05:44:46-0600',mode:absolute,to:'2016-08-22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2" s="55" t="str">
        <f t="shared" si="6"/>
        <v>N</v>
      </c>
      <c r="X32" s="127">
        <f t="shared" si="7"/>
        <v>1</v>
      </c>
      <c r="Y32" s="70">
        <f t="shared" si="8"/>
        <v>23.2974</v>
      </c>
      <c r="Z32" s="70">
        <f t="shared" si="9"/>
        <v>1.67E-2</v>
      </c>
      <c r="AA32" s="70">
        <f t="shared" si="10"/>
        <v>23.2807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si="11"/>
        <v>0120-22</v>
      </c>
      <c r="AE32" s="103" t="str">
        <f t="shared" si="12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32" s="100" t="str">
        <f t="shared" si="13"/>
        <v>"C:\Program Files (x86)\AstroGrep\AstroGrep.exe" /spath="%USERPROFILE%\AppData\Local\Temp\OnboardLogs" /stypes="*4017*20160822*"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4" t="str">
        <f t="shared" si="16"/>
        <v>"%USERPROFILE%\Documents\GitHub\eaglep3\Utilities\RefineRTDCRunTimes.py" --tripid 120-22 --locoid 4017 --swversion DE.1.0.7.0 --startMP 204:232974 --initTime 2016-08-22T06:44:46 --startdatetime 2016-08-22T06:46:29 --delay 1 --endMP 204:167 --enddatetime 2016-08-22T07:37:16 --enforcementcount 0</v>
      </c>
    </row>
    <row r="33" spans="1:34" s="1" customFormat="1" x14ac:dyDescent="0.25">
      <c r="A33" s="40" t="s">
        <v>406</v>
      </c>
      <c r="B33" s="7">
        <v>4020</v>
      </c>
      <c r="C33" s="25" t="s">
        <v>114</v>
      </c>
      <c r="D33" s="25" t="s">
        <v>204</v>
      </c>
      <c r="E33" s="16">
        <v>42604.257291666669</v>
      </c>
      <c r="F33" s="16">
        <v>42604.258842592593</v>
      </c>
      <c r="G33" s="7">
        <v>2</v>
      </c>
      <c r="H33" s="16" t="s">
        <v>282</v>
      </c>
      <c r="I33" s="16">
        <v>42604.286238425928</v>
      </c>
      <c r="J33" s="7">
        <v>0</v>
      </c>
      <c r="K33" s="140" t="str">
        <f t="shared" si="0"/>
        <v>4019/4020</v>
      </c>
      <c r="L33" s="25" t="str">
        <f>VLOOKUP(A33,'Trips&amp;Operators'!$C$1:$E$10000,3,FALSE)</f>
        <v>SPECTOR</v>
      </c>
      <c r="M33" s="6">
        <f t="shared" si="1"/>
        <v>2.7395833334594499E-2</v>
      </c>
      <c r="N33" s="7">
        <f t="shared" si="2"/>
        <v>39.450000001816079</v>
      </c>
      <c r="O33" s="7"/>
      <c r="P33" s="7"/>
      <c r="Q33" s="26"/>
      <c r="R33" s="26"/>
      <c r="S33" s="38">
        <f t="shared" si="3"/>
        <v>1</v>
      </c>
      <c r="T33" s="53" t="str">
        <f t="shared" si="4"/>
        <v>NorthBound</v>
      </c>
      <c r="U33" s="13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05:10:30-0600',mode:absolute,to:'2016-08-22 07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33" s="55" t="str">
        <f t="shared" si="6"/>
        <v>N</v>
      </c>
      <c r="X33" s="127">
        <f t="shared" si="7"/>
        <v>1</v>
      </c>
      <c r="Y33" s="70">
        <f t="shared" si="8"/>
        <v>4.7100000000000003E-2</v>
      </c>
      <c r="Z33" s="70">
        <f t="shared" si="9"/>
        <v>23.3307</v>
      </c>
      <c r="AA33" s="70">
        <f t="shared" si="10"/>
        <v>23.2836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11"/>
        <v>0121-22</v>
      </c>
      <c r="AE33" s="103" t="str">
        <f t="shared" si="12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33" s="100" t="str">
        <f t="shared" si="13"/>
        <v>"C:\Program Files (x86)\AstroGrep\AstroGrep.exe" /spath="%USERPROFILE%\AppData\Local\Temp\OnboardLogs" /stypes="*4020*20160822*"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4" t="str">
        <f t="shared" si="16"/>
        <v>"%USERPROFILE%\Documents\GitHub\eaglep3\Utilities\RefineRTDCRunTimes.py" --tripid 121-22 --locoid 4020 --swversion DE.1.0.7.0 --startMP 204:471 --initTime 2016-08-22T06:10:30 --startdatetime 2016-08-22T06:12:44 --delay 2 --endMP 204:233307 --enddatetime 2016-08-22T06:52:11 --enforcementcount 0</v>
      </c>
    </row>
    <row r="34" spans="1:34" s="1" customFormat="1" x14ac:dyDescent="0.25">
      <c r="A34" s="40" t="s">
        <v>407</v>
      </c>
      <c r="B34" s="7">
        <v>4019</v>
      </c>
      <c r="C34" s="25" t="s">
        <v>114</v>
      </c>
      <c r="D34" s="25" t="s">
        <v>262</v>
      </c>
      <c r="E34" s="16">
        <v>42604.293437499997</v>
      </c>
      <c r="F34" s="16">
        <v>42604.294247685182</v>
      </c>
      <c r="G34" s="7">
        <v>1</v>
      </c>
      <c r="H34" s="16" t="s">
        <v>408</v>
      </c>
      <c r="I34" s="16">
        <v>42604.327002314814</v>
      </c>
      <c r="J34" s="7">
        <v>0</v>
      </c>
      <c r="K34" s="140" t="str">
        <f t="shared" si="0"/>
        <v>4019/4020</v>
      </c>
      <c r="L34" s="25" t="str">
        <f>VLOOKUP(A34,'Trips&amp;Operators'!$C$1:$E$10000,3,FALSE)</f>
        <v>SPECTOR</v>
      </c>
      <c r="M34" s="6">
        <f t="shared" si="1"/>
        <v>3.2754629632108845E-2</v>
      </c>
      <c r="N34" s="7">
        <f t="shared" si="2"/>
        <v>47.166666670236737</v>
      </c>
      <c r="O34" s="7"/>
      <c r="P34" s="7"/>
      <c r="Q34" s="26"/>
      <c r="R34" s="26"/>
      <c r="S34" s="38">
        <f t="shared" si="3"/>
        <v>1</v>
      </c>
      <c r="T34" s="53" t="str">
        <f t="shared" si="4"/>
        <v>Southbound</v>
      </c>
      <c r="U34" s="13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06:02:33-0600',mode:absolute,to:'2016-08-22 08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4" s="55" t="str">
        <f t="shared" si="6"/>
        <v>N</v>
      </c>
      <c r="X34" s="127">
        <f t="shared" si="7"/>
        <v>1</v>
      </c>
      <c r="Y34" s="70">
        <f t="shared" si="8"/>
        <v>23.2986</v>
      </c>
      <c r="Z34" s="70">
        <f t="shared" si="9"/>
        <v>1.8100000000000002E-2</v>
      </c>
      <c r="AA34" s="70">
        <f t="shared" si="10"/>
        <v>23.2805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11"/>
        <v>0122-22</v>
      </c>
      <c r="AE34" s="103" t="str">
        <f t="shared" si="12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34" s="100" t="str">
        <f t="shared" si="13"/>
        <v>"C:\Program Files (x86)\AstroGrep\AstroGrep.exe" /spath="%USERPROFILE%\AppData\Local\Temp\OnboardLogs" /stypes="*4019*20160822*"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4" t="str">
        <f t="shared" si="16"/>
        <v>"%USERPROFILE%\Documents\GitHub\eaglep3\Utilities\RefineRTDCRunTimes.py" --tripid 122-22 --locoid 4019 --swversion DE.1.0.7.0 --startMP 204:232986 --initTime 2016-08-22T07:02:33 --startdatetime 2016-08-22T07:03:43 --delay 1 --endMP 204:181 --enddatetime 2016-08-22T07:50:53 --enforcementcount 0</v>
      </c>
    </row>
    <row r="35" spans="1:34" s="1" customFormat="1" x14ac:dyDescent="0.25">
      <c r="A35" s="40" t="s">
        <v>409</v>
      </c>
      <c r="B35" s="7">
        <v>4044</v>
      </c>
      <c r="C35" s="25" t="s">
        <v>114</v>
      </c>
      <c r="D35" s="25" t="s">
        <v>142</v>
      </c>
      <c r="E35" s="16">
        <v>42604.26489583333</v>
      </c>
      <c r="F35" s="16">
        <v>42604.265775462962</v>
      </c>
      <c r="G35" s="7">
        <v>1</v>
      </c>
      <c r="H35" s="16" t="s">
        <v>382</v>
      </c>
      <c r="I35" s="16">
        <v>42604.295578703706</v>
      </c>
      <c r="J35" s="7">
        <v>0</v>
      </c>
      <c r="K35" s="140" t="str">
        <f t="shared" si="0"/>
        <v>4043/4044</v>
      </c>
      <c r="L35" s="25" t="str">
        <f>VLOOKUP(A35,'Trips&amp;Operators'!$C$1:$E$10000,3,FALSE)</f>
        <v>YORK</v>
      </c>
      <c r="M35" s="6">
        <f t="shared" si="1"/>
        <v>2.980324074451346E-2</v>
      </c>
      <c r="N35" s="7">
        <f t="shared" si="2"/>
        <v>42.916666672099382</v>
      </c>
      <c r="O35" s="7"/>
      <c r="P35" s="7"/>
      <c r="Q35" s="26"/>
      <c r="R35" s="26"/>
      <c r="S35" s="38">
        <f t="shared" si="3"/>
        <v>1</v>
      </c>
      <c r="T35" s="53" t="str">
        <f t="shared" si="4"/>
        <v>NorthBound</v>
      </c>
      <c r="U35" s="13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05:21:27-0600',mode:absolute,to:'2016-08-22 08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5" s="55" t="str">
        <f t="shared" si="6"/>
        <v>N</v>
      </c>
      <c r="X35" s="127">
        <f t="shared" si="7"/>
        <v>1</v>
      </c>
      <c r="Y35" s="70">
        <f t="shared" si="8"/>
        <v>4.6699999999999998E-2</v>
      </c>
      <c r="Z35" s="70">
        <f t="shared" si="9"/>
        <v>23.331199999999999</v>
      </c>
      <c r="AA35" s="70">
        <f t="shared" si="10"/>
        <v>23.284499999999998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11"/>
        <v>0123-22</v>
      </c>
      <c r="AE35" s="103" t="str">
        <f t="shared" si="12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35" s="100" t="str">
        <f t="shared" si="13"/>
        <v>"C:\Program Files (x86)\AstroGrep\AstroGrep.exe" /spath="%USERPROFILE%\AppData\Local\Temp\OnboardLogs" /stypes="*4044*20160822*"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4" t="str">
        <f t="shared" si="16"/>
        <v>"%USERPROFILE%\Documents\GitHub\eaglep3\Utilities\RefineRTDCRunTimes.py" --tripid 123-22 --locoid 4044 --swversion DE.1.0.7.0 --startMP 204:467 --initTime 2016-08-22T06:21:27 --startdatetime 2016-08-22T06:22:43 --delay 1 --endMP 204:233312 --enddatetime 2016-08-22T07:05:38 --enforcementcount 0</v>
      </c>
    </row>
    <row r="36" spans="1:34" s="1" customFormat="1" x14ac:dyDescent="0.25">
      <c r="A36" s="40" t="s">
        <v>410</v>
      </c>
      <c r="B36" s="7">
        <v>4043</v>
      </c>
      <c r="C36" s="25" t="s">
        <v>114</v>
      </c>
      <c r="D36" s="25" t="s">
        <v>387</v>
      </c>
      <c r="E36" s="16">
        <v>42604.296516203707</v>
      </c>
      <c r="F36" s="16">
        <v>42604.297291666669</v>
      </c>
      <c r="G36" s="7">
        <v>1</v>
      </c>
      <c r="H36" s="16" t="s">
        <v>133</v>
      </c>
      <c r="I36" s="16">
        <v>42604.336145833331</v>
      </c>
      <c r="J36" s="7">
        <v>0</v>
      </c>
      <c r="K36" s="140" t="str">
        <f t="shared" si="0"/>
        <v>4043/4044</v>
      </c>
      <c r="L36" s="25" t="str">
        <f>VLOOKUP(A36,'Trips&amp;Operators'!$C$1:$E$10000,3,FALSE)</f>
        <v>YORK</v>
      </c>
      <c r="M36" s="6">
        <f t="shared" si="1"/>
        <v>3.8854166661622003E-2</v>
      </c>
      <c r="N36" s="7">
        <f t="shared" si="2"/>
        <v>55.949999992735684</v>
      </c>
      <c r="O36" s="7"/>
      <c r="P36" s="7"/>
      <c r="Q36" s="26"/>
      <c r="R36" s="26"/>
      <c r="S36" s="38">
        <f t="shared" si="3"/>
        <v>1</v>
      </c>
      <c r="T36" s="53" t="str">
        <f t="shared" si="4"/>
        <v>Southbound</v>
      </c>
      <c r="U36" s="13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06:06:59-0600',mode:absolute,to:'2016-08-22 09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6" s="55" t="str">
        <f t="shared" si="6"/>
        <v>N</v>
      </c>
      <c r="X36" s="127">
        <f t="shared" si="7"/>
        <v>1</v>
      </c>
      <c r="Y36" s="70">
        <f t="shared" si="8"/>
        <v>23.3</v>
      </c>
      <c r="Z36" s="70">
        <f t="shared" si="9"/>
        <v>1.47E-2</v>
      </c>
      <c r="AA36" s="70">
        <f t="shared" si="10"/>
        <v>23.285299999999999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11"/>
        <v>0124-22</v>
      </c>
      <c r="AE36" s="103" t="str">
        <f t="shared" si="12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36" s="100" t="str">
        <f t="shared" si="13"/>
        <v>"C:\Program Files (x86)\AstroGrep\AstroGrep.exe" /spath="%USERPROFILE%\AppData\Local\Temp\OnboardLogs" /stypes="*4043*20160822*"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4" t="str">
        <f t="shared" si="16"/>
        <v>"%USERPROFILE%\Documents\GitHub\eaglep3\Utilities\RefineRTDCRunTimes.py" --tripid 124-22 --locoid 4043 --swversion DE.1.0.7.0 --startMP 204:233000 --initTime 2016-08-22T07:06:59 --startdatetime 2016-08-22T07:08:06 --delay 1 --endMP 204:147 --enddatetime 2016-08-22T08:04:03 --enforcementcount 0</v>
      </c>
    </row>
    <row r="37" spans="1:34" s="1" customFormat="1" ht="14.25" customHeight="1" x14ac:dyDescent="0.25">
      <c r="A37" s="40" t="s">
        <v>411</v>
      </c>
      <c r="B37" s="7">
        <v>4009</v>
      </c>
      <c r="C37" s="25" t="s">
        <v>114</v>
      </c>
      <c r="D37" s="25" t="s">
        <v>204</v>
      </c>
      <c r="E37" s="16">
        <v>42604.278032407405</v>
      </c>
      <c r="F37" s="16">
        <v>42604.279004629629</v>
      </c>
      <c r="G37" s="7">
        <v>1</v>
      </c>
      <c r="H37" s="16" t="s">
        <v>272</v>
      </c>
      <c r="I37" s="16">
        <v>42604.307488425926</v>
      </c>
      <c r="J37" s="7">
        <v>0</v>
      </c>
      <c r="K37" s="140" t="str">
        <f t="shared" si="0"/>
        <v>4009/4010</v>
      </c>
      <c r="L37" s="25" t="str">
        <f>VLOOKUP(A37,'Trips&amp;Operators'!$C$1:$E$10000,3,FALSE)</f>
        <v>STARKS</v>
      </c>
      <c r="M37" s="6">
        <f t="shared" si="1"/>
        <v>2.8483796297223307E-2</v>
      </c>
      <c r="N37" s="7">
        <f t="shared" si="2"/>
        <v>41.016666668001562</v>
      </c>
      <c r="O37" s="7"/>
      <c r="P37" s="7"/>
      <c r="Q37" s="26"/>
      <c r="R37" s="26"/>
      <c r="S37" s="38">
        <f t="shared" si="3"/>
        <v>1</v>
      </c>
      <c r="T37" s="53" t="str">
        <f t="shared" si="4"/>
        <v>NorthBound</v>
      </c>
      <c r="U37" s="13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05:40:22-0600',mode:absolute,to:'2016-08-22 08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7" s="55" t="str">
        <f t="shared" si="6"/>
        <v>N</v>
      </c>
      <c r="X37" s="127">
        <f t="shared" si="7"/>
        <v>1</v>
      </c>
      <c r="Y37" s="70">
        <f t="shared" si="8"/>
        <v>4.7100000000000003E-2</v>
      </c>
      <c r="Z37" s="70">
        <f t="shared" si="9"/>
        <v>23.331099999999999</v>
      </c>
      <c r="AA37" s="70">
        <f t="shared" si="10"/>
        <v>23.283999999999999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11"/>
        <v>0125-22</v>
      </c>
      <c r="AE37" s="103" t="str">
        <f t="shared" si="12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37" s="100" t="str">
        <f t="shared" si="13"/>
        <v>"C:\Program Files (x86)\AstroGrep\AstroGrep.exe" /spath="%USERPROFILE%\AppData\Local\Temp\OnboardLogs" /stypes="*4009*20160822*"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4" t="str">
        <f t="shared" si="16"/>
        <v>"%USERPROFILE%\Documents\GitHub\eaglep3\Utilities\RefineRTDCRunTimes.py" --tripid 125-22 --locoid 4009 --swversion DE.1.0.7.0 --startMP 204:471 --initTime 2016-08-22T06:40:22 --startdatetime 2016-08-22T06:41:46 --delay 1 --endMP 204:233311 --enddatetime 2016-08-22T07:22:47 --enforcementcount 0</v>
      </c>
    </row>
    <row r="38" spans="1:34" s="1" customFormat="1" x14ac:dyDescent="0.25">
      <c r="A38" s="40" t="s">
        <v>334</v>
      </c>
      <c r="B38" s="7">
        <v>4010</v>
      </c>
      <c r="C38" s="25" t="s">
        <v>114</v>
      </c>
      <c r="D38" s="25" t="s">
        <v>391</v>
      </c>
      <c r="E38" s="16">
        <v>42604.319930555554</v>
      </c>
      <c r="F38" s="16">
        <v>42604.320833333331</v>
      </c>
      <c r="G38" s="7">
        <v>1</v>
      </c>
      <c r="H38" s="16" t="s">
        <v>161</v>
      </c>
      <c r="I38" s="16">
        <v>42604.350185185183</v>
      </c>
      <c r="J38" s="7">
        <v>0</v>
      </c>
      <c r="K38" s="140" t="str">
        <f t="shared" si="0"/>
        <v>4009/4010</v>
      </c>
      <c r="L38" s="25" t="str">
        <f>VLOOKUP(A38,'Trips&amp;Operators'!$C$1:$E$10000,3,FALSE)</f>
        <v>STARKS</v>
      </c>
      <c r="M38" s="6">
        <f t="shared" si="1"/>
        <v>2.9351851851970423E-2</v>
      </c>
      <c r="N38" s="7">
        <f t="shared" si="2"/>
        <v>42.266666666837409</v>
      </c>
      <c r="O38" s="7"/>
      <c r="P38" s="7"/>
      <c r="Q38" s="26"/>
      <c r="R38" s="26"/>
      <c r="S38" s="38">
        <f t="shared" si="3"/>
        <v>1</v>
      </c>
      <c r="T38" s="53" t="str">
        <f t="shared" si="4"/>
        <v>Southbound</v>
      </c>
      <c r="U38" s="13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06:40:42-0600',mode:absolute,to:'2016-08-22 09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8" s="55" t="str">
        <f t="shared" si="6"/>
        <v>N</v>
      </c>
      <c r="X38" s="127">
        <f t="shared" si="7"/>
        <v>1</v>
      </c>
      <c r="Y38" s="70">
        <f t="shared" si="8"/>
        <v>23.297699999999999</v>
      </c>
      <c r="Z38" s="70">
        <f t="shared" si="9"/>
        <v>1.54E-2</v>
      </c>
      <c r="AA38" s="70">
        <f t="shared" si="10"/>
        <v>23.282299999999999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si="11"/>
        <v>0126-22</v>
      </c>
      <c r="AE38" s="103" t="str">
        <f t="shared" si="12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38" s="100" t="str">
        <f t="shared" si="13"/>
        <v>"C:\Program Files (x86)\AstroGrep\AstroGrep.exe" /spath="%USERPROFILE%\AppData\Local\Temp\OnboardLogs" /stypes="*4010*20160822*"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4" t="str">
        <f t="shared" si="16"/>
        <v>"%USERPROFILE%\Documents\GitHub\eaglep3\Utilities\RefineRTDCRunTimes.py" --tripid 126-22 --locoid 4010 --swversion DE.1.0.7.0 --startMP 204:232977 --initTime 2016-08-22T07:40:42 --startdatetime 2016-08-22T07:42:00 --delay 1 --endMP 204:154 --enddatetime 2016-08-22T08:24:16 --enforcementcount 0</v>
      </c>
    </row>
    <row r="39" spans="1:34" s="1" customFormat="1" x14ac:dyDescent="0.25">
      <c r="A39" s="40" t="s">
        <v>412</v>
      </c>
      <c r="B39" s="7">
        <v>4007</v>
      </c>
      <c r="C39" s="25" t="s">
        <v>114</v>
      </c>
      <c r="D39" s="25" t="s">
        <v>260</v>
      </c>
      <c r="E39" s="16">
        <v>42604.289085648146</v>
      </c>
      <c r="F39" s="16">
        <v>42604.289814814816</v>
      </c>
      <c r="G39" s="7">
        <v>1</v>
      </c>
      <c r="H39" s="16" t="s">
        <v>413</v>
      </c>
      <c r="I39" s="16">
        <v>42604.318564814814</v>
      </c>
      <c r="J39" s="7">
        <v>0</v>
      </c>
      <c r="K39" s="140" t="str">
        <f t="shared" si="0"/>
        <v>4007/4008</v>
      </c>
      <c r="L39" s="25" t="str">
        <f>VLOOKUP(A39,'Trips&amp;Operators'!$C$1:$E$10000,3,FALSE)</f>
        <v>KILLION</v>
      </c>
      <c r="M39" s="6">
        <f t="shared" si="1"/>
        <v>2.8749999997671694E-2</v>
      </c>
      <c r="N39" s="7">
        <f t="shared" si="2"/>
        <v>41.399999996647239</v>
      </c>
      <c r="O39" s="7"/>
      <c r="P39" s="7"/>
      <c r="Q39" s="26"/>
      <c r="R39" s="26"/>
      <c r="S39" s="38">
        <f t="shared" si="3"/>
        <v>1</v>
      </c>
      <c r="T39" s="53" t="str">
        <f t="shared" si="4"/>
        <v>NorthBound</v>
      </c>
      <c r="U39" s="13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05:56:17-0600',mode:absolute,to:'2016-08-22 08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9" s="55" t="str">
        <f t="shared" si="6"/>
        <v>N</v>
      </c>
      <c r="X39" s="127">
        <f t="shared" si="7"/>
        <v>1</v>
      </c>
      <c r="Y39" s="70">
        <f t="shared" si="8"/>
        <v>4.6600000000000003E-2</v>
      </c>
      <c r="Z39" s="70">
        <f t="shared" si="9"/>
        <v>23.3278</v>
      </c>
      <c r="AA39" s="70">
        <f t="shared" si="10"/>
        <v>23.281199999999998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11"/>
        <v>0127-22</v>
      </c>
      <c r="AE39" s="103" t="str">
        <f t="shared" si="12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39" s="100" t="str">
        <f t="shared" si="13"/>
        <v>"C:\Program Files (x86)\AstroGrep\AstroGrep.exe" /spath="%USERPROFILE%\AppData\Local\Temp\OnboardLogs" /stypes="*4007*20160822*"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4" t="str">
        <f t="shared" si="16"/>
        <v>"%USERPROFILE%\Documents\GitHub\eaglep3\Utilities\RefineRTDCRunTimes.py" --tripid 127-22 --locoid 4007 --swversion DE.1.0.7.0 --startMP 204:466 --initTime 2016-08-22T06:56:17 --startdatetime 2016-08-22T06:57:20 --delay 1 --endMP 204:233278 --enddatetime 2016-08-22T07:38:44 --enforcementcount 0</v>
      </c>
    </row>
    <row r="40" spans="1:34" s="1" customFormat="1" x14ac:dyDescent="0.25">
      <c r="A40" s="40" t="s">
        <v>336</v>
      </c>
      <c r="B40" s="7">
        <v>4008</v>
      </c>
      <c r="C40" s="25" t="s">
        <v>114</v>
      </c>
      <c r="D40" s="25" t="s">
        <v>263</v>
      </c>
      <c r="E40" s="16">
        <v>42604.324166666665</v>
      </c>
      <c r="F40" s="16">
        <v>42604.324953703705</v>
      </c>
      <c r="G40" s="7">
        <v>1</v>
      </c>
      <c r="H40" s="16" t="s">
        <v>414</v>
      </c>
      <c r="I40" s="16">
        <v>42604.362546296295</v>
      </c>
      <c r="J40" s="7">
        <v>0</v>
      </c>
      <c r="K40" s="140" t="str">
        <f t="shared" si="0"/>
        <v>4007/4008</v>
      </c>
      <c r="L40" s="25" t="str">
        <f>VLOOKUP(A40,'Trips&amp;Operators'!$C$1:$E$10000,3,FALSE)</f>
        <v>KILLION</v>
      </c>
      <c r="M40" s="6">
        <f t="shared" si="1"/>
        <v>3.7592592590954155E-2</v>
      </c>
      <c r="N40" s="7">
        <f t="shared" si="2"/>
        <v>54.133333330973983</v>
      </c>
      <c r="O40" s="7"/>
      <c r="P40" s="7"/>
      <c r="Q40" s="26"/>
      <c r="R40" s="26"/>
      <c r="S40" s="38">
        <f t="shared" si="3"/>
        <v>1</v>
      </c>
      <c r="T40" s="53" t="str">
        <f t="shared" si="4"/>
        <v>Southbound</v>
      </c>
      <c r="U40" s="13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06:46:48-0600',mode:absolute,to:'2016-08-22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0" s="55" t="str">
        <f t="shared" si="6"/>
        <v>N</v>
      </c>
      <c r="X40" s="127">
        <f t="shared" si="7"/>
        <v>1</v>
      </c>
      <c r="Y40" s="70">
        <f t="shared" si="8"/>
        <v>23.298300000000001</v>
      </c>
      <c r="Z40" s="70">
        <f t="shared" si="9"/>
        <v>1.9800000000000002E-2</v>
      </c>
      <c r="AA40" s="70">
        <f t="shared" si="10"/>
        <v>23.278500000000001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11"/>
        <v>0128-22</v>
      </c>
      <c r="AE40" s="103" t="str">
        <f t="shared" si="12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40" s="100" t="str">
        <f t="shared" si="13"/>
        <v>"C:\Program Files (x86)\AstroGrep\AstroGrep.exe" /spath="%USERPROFILE%\AppData\Local\Temp\OnboardLogs" /stypes="*4008*20160822*"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4" t="str">
        <f t="shared" si="16"/>
        <v>"%USERPROFILE%\Documents\GitHub\eaglep3\Utilities\RefineRTDCRunTimes.py" --tripid 128-22 --locoid 4008 --swversion DE.1.0.7.0 --startMP 204:232983 --initTime 2016-08-22T07:46:48 --startdatetime 2016-08-22T07:47:56 --delay 1 --endMP 204:198 --enddatetime 2016-08-22T08:42:04 --enforcementcount 0</v>
      </c>
    </row>
    <row r="41" spans="1:34" s="1" customFormat="1" x14ac:dyDescent="0.25">
      <c r="A41" s="40" t="s">
        <v>332</v>
      </c>
      <c r="B41" s="7">
        <v>4014</v>
      </c>
      <c r="C41" s="25" t="s">
        <v>114</v>
      </c>
      <c r="D41" s="25" t="s">
        <v>186</v>
      </c>
      <c r="E41" s="16">
        <v>42604.300659722219</v>
      </c>
      <c r="F41" s="16">
        <v>42604.303101851852</v>
      </c>
      <c r="G41" s="7">
        <v>3</v>
      </c>
      <c r="H41" s="16" t="s">
        <v>226</v>
      </c>
      <c r="I41" s="16">
        <v>42604.328842592593</v>
      </c>
      <c r="J41" s="7">
        <v>0</v>
      </c>
      <c r="K41" s="140" t="str">
        <f t="shared" si="0"/>
        <v>4013/4014</v>
      </c>
      <c r="L41" s="25" t="str">
        <f>VLOOKUP(A41,'Trips&amp;Operators'!$C$1:$E$10000,3,FALSE)</f>
        <v>MALAVE</v>
      </c>
      <c r="M41" s="6">
        <f t="shared" si="1"/>
        <v>2.5740740740729962E-2</v>
      </c>
      <c r="N41" s="7">
        <f t="shared" si="2"/>
        <v>37.066666666651145</v>
      </c>
      <c r="O41" s="7"/>
      <c r="P41" s="7"/>
      <c r="Q41" s="26"/>
      <c r="R41" s="26"/>
      <c r="S41" s="38">
        <f t="shared" si="3"/>
        <v>1</v>
      </c>
      <c r="T41" s="53" t="str">
        <f t="shared" si="4"/>
        <v>NorthBound</v>
      </c>
      <c r="U41" s="13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06:12:57-0600',mode:absolute,to:'2016-08-22 08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1" s="55" t="str">
        <f t="shared" si="6"/>
        <v>N</v>
      </c>
      <c r="X41" s="127">
        <f t="shared" si="7"/>
        <v>1</v>
      </c>
      <c r="Y41" s="70">
        <f t="shared" si="8"/>
        <v>4.4600000000000001E-2</v>
      </c>
      <c r="Z41" s="70">
        <f t="shared" si="9"/>
        <v>23.328600000000002</v>
      </c>
      <c r="AA41" s="70">
        <f t="shared" si="10"/>
        <v>23.284000000000002</v>
      </c>
      <c r="AB41" s="67">
        <f>VLOOKUP(A41,Enforcements!$C$7:$J$24,8,0)</f>
        <v>116838</v>
      </c>
      <c r="AC41" s="63" t="str">
        <f>VLOOKUP(A41,Enforcements!$C$7:$E$24,3,0)</f>
        <v>PERMANENT SPEED RESTRICTION</v>
      </c>
      <c r="AD41" s="64" t="str">
        <f t="shared" si="11"/>
        <v>0129-22</v>
      </c>
      <c r="AE41" s="103" t="str">
        <f t="shared" si="12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41" s="100" t="str">
        <f t="shared" si="13"/>
        <v>"C:\Program Files (x86)\AstroGrep\AstroGrep.exe" /spath="%USERPROFILE%\AppData\Local\Temp\OnboardLogs" /stypes="*4014*20160822*"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4" t="str">
        <f t="shared" si="16"/>
        <v>"%USERPROFILE%\Documents\GitHub\eaglep3\Utilities\RefineRTDCRunTimes.py" --tripid 129-22 --locoid 4014 --swversion DE.1.0.7.0 --startMP 204:446 --initTime 2016-08-22T07:12:57 --startdatetime 2016-08-22T07:16:28 --delay 3 --endMP 204:233286 --enddatetime 2016-08-22T07:53:32 --enforcementcount 0</v>
      </c>
    </row>
    <row r="42" spans="1:34" s="1" customFormat="1" x14ac:dyDescent="0.25">
      <c r="A42" s="40" t="s">
        <v>415</v>
      </c>
      <c r="B42" s="7">
        <v>4013</v>
      </c>
      <c r="C42" s="25" t="s">
        <v>114</v>
      </c>
      <c r="D42" s="25" t="s">
        <v>228</v>
      </c>
      <c r="E42" s="16">
        <v>42604.338773148149</v>
      </c>
      <c r="F42" s="16">
        <v>42604.33965277778</v>
      </c>
      <c r="G42" s="7">
        <v>1</v>
      </c>
      <c r="H42" s="16" t="s">
        <v>187</v>
      </c>
      <c r="I42" s="16">
        <v>42604.37090277778</v>
      </c>
      <c r="J42" s="7">
        <v>0</v>
      </c>
      <c r="K42" s="140" t="str">
        <f t="shared" si="0"/>
        <v>4013/4014</v>
      </c>
      <c r="L42" s="25" t="str">
        <f>VLOOKUP(A42,'Trips&amp;Operators'!$C$1:$E$10000,3,FALSE)</f>
        <v>MALAVE</v>
      </c>
      <c r="M42" s="6">
        <f t="shared" si="1"/>
        <v>3.125E-2</v>
      </c>
      <c r="N42" s="7">
        <f t="shared" si="2"/>
        <v>45</v>
      </c>
      <c r="O42" s="7"/>
      <c r="P42" s="7"/>
      <c r="Q42" s="26"/>
      <c r="R42" s="26"/>
      <c r="S42" s="38">
        <f t="shared" si="3"/>
        <v>1</v>
      </c>
      <c r="T42" s="53" t="str">
        <f t="shared" si="4"/>
        <v>Southbound</v>
      </c>
      <c r="U42" s="13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07:07:50-0600',mode:absolute,to:'2016-08-22 09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2" s="55" t="str">
        <f t="shared" si="6"/>
        <v>N</v>
      </c>
      <c r="X42" s="127">
        <f t="shared" si="7"/>
        <v>1</v>
      </c>
      <c r="Y42" s="70">
        <f t="shared" si="8"/>
        <v>23.2971</v>
      </c>
      <c r="Z42" s="70">
        <f t="shared" si="9"/>
        <v>1.52E-2</v>
      </c>
      <c r="AA42" s="70">
        <f t="shared" si="10"/>
        <v>23.2819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11"/>
        <v>0130-22</v>
      </c>
      <c r="AE42" s="103" t="str">
        <f t="shared" si="12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42" s="100" t="str">
        <f t="shared" si="13"/>
        <v>"C:\Program Files (x86)\AstroGrep\AstroGrep.exe" /spath="%USERPROFILE%\AppData\Local\Temp\OnboardLogs" /stypes="*4013*20160822*"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4" t="str">
        <f t="shared" si="16"/>
        <v>"%USERPROFILE%\Documents\GitHub\eaglep3\Utilities\RefineRTDCRunTimes.py" --tripid 130-22 --locoid 4013 --swversion DE.1.0.7.0 --startMP 204:232971 --initTime 2016-08-22T08:07:50 --startdatetime 2016-08-22T08:09:06 --delay 1 --endMP 204:152 --enddatetime 2016-08-22T08:54:06 --enforcementcount 0</v>
      </c>
    </row>
    <row r="43" spans="1:34" s="1" customFormat="1" x14ac:dyDescent="0.25">
      <c r="A43" s="40" t="s">
        <v>333</v>
      </c>
      <c r="B43" s="7">
        <v>4038</v>
      </c>
      <c r="C43" s="25" t="s">
        <v>114</v>
      </c>
      <c r="D43" s="25" t="s">
        <v>134</v>
      </c>
      <c r="E43" s="16">
        <v>42604.308541666665</v>
      </c>
      <c r="F43" s="16">
        <v>42604.310034722221</v>
      </c>
      <c r="G43" s="7">
        <v>2</v>
      </c>
      <c r="H43" s="16" t="s">
        <v>227</v>
      </c>
      <c r="I43" s="16">
        <v>42604.341944444444</v>
      </c>
      <c r="J43" s="7">
        <v>0</v>
      </c>
      <c r="K43" s="140" t="str">
        <f t="shared" si="0"/>
        <v>4037/4038</v>
      </c>
      <c r="L43" s="25" t="str">
        <f>VLOOKUP(A43,'Trips&amp;Operators'!$C$1:$E$10000,3,FALSE)</f>
        <v>ACKERMAN</v>
      </c>
      <c r="M43" s="6">
        <f t="shared" si="1"/>
        <v>3.1909722223645076E-2</v>
      </c>
      <c r="N43" s="7">
        <f t="shared" si="2"/>
        <v>45.95000000204891</v>
      </c>
      <c r="O43" s="7"/>
      <c r="P43" s="7"/>
      <c r="Q43" s="26"/>
      <c r="R43" s="26"/>
      <c r="S43" s="38">
        <f t="shared" si="3"/>
        <v>1</v>
      </c>
      <c r="T43" s="53" t="str">
        <f t="shared" si="4"/>
        <v>NorthBound</v>
      </c>
      <c r="U43" s="13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06:24:18-0600',mode:absolute,to:'2016-08-22 09:12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3" s="55" t="str">
        <f t="shared" si="6"/>
        <v>N</v>
      </c>
      <c r="X43" s="127">
        <f t="shared" si="7"/>
        <v>1</v>
      </c>
      <c r="Y43" s="70">
        <f t="shared" si="8"/>
        <v>4.53E-2</v>
      </c>
      <c r="Z43" s="70">
        <f t="shared" si="9"/>
        <v>23.3308</v>
      </c>
      <c r="AA43" s="70">
        <f t="shared" si="10"/>
        <v>23.285499999999999</v>
      </c>
      <c r="AB43" s="67">
        <f>VLOOKUP(A43,Enforcements!$C$7:$J$24,8,0)</f>
        <v>63069</v>
      </c>
      <c r="AC43" s="63" t="str">
        <f>VLOOKUP(A43,Enforcements!$C$7:$E$24,3,0)</f>
        <v>GRADE CROSSING</v>
      </c>
      <c r="AD43" s="64" t="str">
        <f t="shared" si="11"/>
        <v>0131-22</v>
      </c>
      <c r="AE43" s="103" t="str">
        <f t="shared" si="12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43" s="100" t="str">
        <f t="shared" si="13"/>
        <v>"C:\Program Files (x86)\AstroGrep\AstroGrep.exe" /spath="%USERPROFILE%\AppData\Local\Temp\OnboardLogs" /stypes="*4038*20160822*"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4" t="str">
        <f t="shared" si="16"/>
        <v>"%USERPROFILE%\Documents\GitHub\eaglep3\Utilities\RefineRTDCRunTimes.py" --tripid 131-22 --locoid 4038 --swversion DE.1.0.7.0 --startMP 204:453 --initTime 2016-08-22T07:24:18 --startdatetime 2016-08-22T07:26:27 --delay 2 --endMP 204:233308 --enddatetime 2016-08-22T08:12:24 --enforcementcount 0</v>
      </c>
    </row>
    <row r="44" spans="1:34" s="1" customFormat="1" x14ac:dyDescent="0.25">
      <c r="A44" s="40" t="s">
        <v>335</v>
      </c>
      <c r="B44" s="7">
        <v>4037</v>
      </c>
      <c r="C44" s="25" t="s">
        <v>114</v>
      </c>
      <c r="D44" s="25" t="s">
        <v>416</v>
      </c>
      <c r="E44" s="16">
        <v>42604.34611111111</v>
      </c>
      <c r="F44" s="16">
        <v>42604.347337962965</v>
      </c>
      <c r="G44" s="7">
        <v>1</v>
      </c>
      <c r="H44" s="16" t="s">
        <v>138</v>
      </c>
      <c r="I44" s="16">
        <v>42604.379571759258</v>
      </c>
      <c r="J44" s="7">
        <v>0</v>
      </c>
      <c r="K44" s="140" t="str">
        <f t="shared" si="0"/>
        <v>4037/4038</v>
      </c>
      <c r="L44" s="25" t="str">
        <f>VLOOKUP(A44,'Trips&amp;Operators'!$C$1:$E$10000,3,FALSE)</f>
        <v>ACKERMAN</v>
      </c>
      <c r="M44" s="6">
        <f t="shared" si="1"/>
        <v>3.2233796293439809E-2</v>
      </c>
      <c r="N44" s="7">
        <f t="shared" si="2"/>
        <v>46.416666662553325</v>
      </c>
      <c r="O44" s="7"/>
      <c r="P44" s="7"/>
      <c r="Q44" s="26"/>
      <c r="R44" s="26"/>
      <c r="S44" s="38">
        <f t="shared" si="3"/>
        <v>1</v>
      </c>
      <c r="T44" s="53" t="str">
        <f t="shared" si="4"/>
        <v>Southbound</v>
      </c>
      <c r="U44" s="13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07:18:24-0600',mode:absolute,to:'2016-08-22 10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4" s="55" t="str">
        <f t="shared" si="6"/>
        <v>N</v>
      </c>
      <c r="X44" s="127">
        <f t="shared" si="7"/>
        <v>1</v>
      </c>
      <c r="Y44" s="70">
        <f t="shared" si="8"/>
        <v>23.299800000000001</v>
      </c>
      <c r="Z44" s="70">
        <f t="shared" si="9"/>
        <v>1.49E-2</v>
      </c>
      <c r="AA44" s="70">
        <f t="shared" si="10"/>
        <v>23.2849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11"/>
        <v>0132-22</v>
      </c>
      <c r="AE44" s="103" t="str">
        <f t="shared" si="12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44" s="100" t="str">
        <f t="shared" si="13"/>
        <v>"C:\Program Files (x86)\AstroGrep\AstroGrep.exe" /spath="%USERPROFILE%\AppData\Local\Temp\OnboardLogs" /stypes="*4037*20160822*"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4" t="str">
        <f t="shared" si="16"/>
        <v>"%USERPROFILE%\Documents\GitHub\eaglep3\Utilities\RefineRTDCRunTimes.py" --tripid 132-22 --locoid 4037 --swversion DE.1.0.7.0 --startMP 204:232998 --initTime 2016-08-22T08:18:24 --startdatetime 2016-08-22T08:20:10 --delay 1 --endMP 204:149 --enddatetime 2016-08-22T09:06:35 --enforcementcount 0</v>
      </c>
    </row>
    <row r="45" spans="1:34" s="1" customFormat="1" x14ac:dyDescent="0.25">
      <c r="A45" s="40" t="s">
        <v>417</v>
      </c>
      <c r="B45" s="7">
        <v>4018</v>
      </c>
      <c r="C45" s="25" t="s">
        <v>114</v>
      </c>
      <c r="D45" s="25" t="s">
        <v>418</v>
      </c>
      <c r="E45" s="16">
        <v>42604.318680555552</v>
      </c>
      <c r="F45" s="16">
        <v>42604.319791666669</v>
      </c>
      <c r="G45" s="7">
        <v>1</v>
      </c>
      <c r="H45" s="16" t="s">
        <v>217</v>
      </c>
      <c r="I45" s="16">
        <v>42604.351342592592</v>
      </c>
      <c r="J45" s="7">
        <v>0</v>
      </c>
      <c r="K45" s="140" t="str">
        <f t="shared" si="0"/>
        <v>4017/4018</v>
      </c>
      <c r="L45" s="25" t="str">
        <f>VLOOKUP(A45,'Trips&amp;Operators'!$C$1:$E$10000,3,FALSE)</f>
        <v>CLARK</v>
      </c>
      <c r="M45" s="6">
        <f t="shared" si="1"/>
        <v>3.1550925923511386E-2</v>
      </c>
      <c r="N45" s="7">
        <f t="shared" si="2"/>
        <v>45.433333329856396</v>
      </c>
      <c r="O45" s="7"/>
      <c r="P45" s="7"/>
      <c r="Q45" s="26"/>
      <c r="R45" s="26"/>
      <c r="S45" s="38">
        <f t="shared" ref="S45:S68" si="17">SUM(U45:U45)/IF(AG45="EC",12,1)</f>
        <v>1</v>
      </c>
      <c r="T45" s="53" t="str">
        <f t="shared" si="4"/>
        <v>NorthBound</v>
      </c>
      <c r="U45" s="13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06:38:54-0600',mode:absolute,to:'2016-08-22 09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5" t="str">
        <f t="shared" si="6"/>
        <v>N</v>
      </c>
      <c r="X45" s="127">
        <f t="shared" ref="X45:X76" si="18">VALUE(LEFT(AD45,4))-VALUE(LEFT(AD44,4))</f>
        <v>1</v>
      </c>
      <c r="Y45" s="70">
        <f t="shared" si="8"/>
        <v>4.8399999999999999E-2</v>
      </c>
      <c r="Z45" s="70">
        <f t="shared" ref="Z45:Z76" si="19">RIGHT(H45,LEN(H45)-4)/10000</f>
        <v>23.329699999999999</v>
      </c>
      <c r="AA45" s="70">
        <f t="shared" si="10"/>
        <v>23.281299999999998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si="11"/>
        <v>0133-22</v>
      </c>
      <c r="AE45" s="103" t="str">
        <f t="shared" si="12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45" s="100" t="str">
        <f t="shared" si="13"/>
        <v>"C:\Program Files (x86)\AstroGrep\AstroGrep.exe" /spath="%USERPROFILE%\AppData\Local\Temp\OnboardLogs" /stypes="*4018*20160822*"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4" t="str">
        <f t="shared" si="16"/>
        <v>"%USERPROFILE%\Documents\GitHub\eaglep3\Utilities\RefineRTDCRunTimes.py" --tripid 133-22 --locoid 4018 --swversion DE.1.0.7.0 --startMP 204:484 --initTime 2016-08-22T07:38:54 --startdatetime 2016-08-22T07:40:30 --delay 1 --endMP 204:233297 --enddatetime 2016-08-22T08:25:56 --enforcementcount 0</v>
      </c>
    </row>
    <row r="46" spans="1:34" s="1" customFormat="1" x14ac:dyDescent="0.25">
      <c r="A46" s="40" t="s">
        <v>419</v>
      </c>
      <c r="B46" s="7">
        <v>4017</v>
      </c>
      <c r="C46" s="25" t="s">
        <v>114</v>
      </c>
      <c r="D46" s="25" t="s">
        <v>211</v>
      </c>
      <c r="E46" s="16">
        <v>42604.355694444443</v>
      </c>
      <c r="F46" s="16">
        <v>42604.356562499997</v>
      </c>
      <c r="G46" s="7">
        <v>1</v>
      </c>
      <c r="H46" s="16" t="s">
        <v>90</v>
      </c>
      <c r="I46" s="16">
        <v>42604.391574074078</v>
      </c>
      <c r="J46" s="7">
        <v>0</v>
      </c>
      <c r="K46" s="140" t="str">
        <f t="shared" si="0"/>
        <v>4017/4018</v>
      </c>
      <c r="L46" s="25" t="str">
        <f>VLOOKUP(A46,'Trips&amp;Operators'!$C$1:$E$10000,3,FALSE)</f>
        <v>CLARK</v>
      </c>
      <c r="M46" s="6">
        <f t="shared" si="1"/>
        <v>3.5011574080272112E-2</v>
      </c>
      <c r="N46" s="7">
        <f t="shared" si="2"/>
        <v>50.416666675591841</v>
      </c>
      <c r="O46" s="7"/>
      <c r="P46" s="7"/>
      <c r="Q46" s="26"/>
      <c r="R46" s="26"/>
      <c r="S46" s="38">
        <f t="shared" si="17"/>
        <v>1</v>
      </c>
      <c r="T46" s="53" t="str">
        <f t="shared" si="4"/>
        <v>Southbound</v>
      </c>
      <c r="U46" s="13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07:32:12-0600',mode:absolute,to:'2016-08-22 10:23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5" t="str">
        <f t="shared" si="6"/>
        <v>N</v>
      </c>
      <c r="X46" s="127">
        <f t="shared" si="18"/>
        <v>1</v>
      </c>
      <c r="Y46" s="70">
        <f t="shared" si="8"/>
        <v>23.298200000000001</v>
      </c>
      <c r="Z46" s="70">
        <f t="shared" si="19"/>
        <v>1.43E-2</v>
      </c>
      <c r="AA46" s="70">
        <f t="shared" si="10"/>
        <v>23.283900000000003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11"/>
        <v>0134-22</v>
      </c>
      <c r="AE46" s="103" t="str">
        <f t="shared" si="12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46" s="100" t="str">
        <f t="shared" si="13"/>
        <v>"C:\Program Files (x86)\AstroGrep\AstroGrep.exe" /spath="%USERPROFILE%\AppData\Local\Temp\OnboardLogs" /stypes="*4017*20160822*"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4" t="str">
        <f t="shared" si="16"/>
        <v>"%USERPROFILE%\Documents\GitHub\eaglep3\Utilities\RefineRTDCRunTimes.py" --tripid 134-22 --locoid 4017 --swversion DE.1.0.7.0 --startMP 204:232982 --initTime 2016-08-22T08:32:12 --startdatetime 2016-08-22T08:33:27 --delay 1 --endMP 204:143 --enddatetime 2016-08-22T09:23:52 --enforcementcount 0</v>
      </c>
    </row>
    <row r="47" spans="1:34" s="1" customFormat="1" x14ac:dyDescent="0.25">
      <c r="A47" s="40" t="s">
        <v>420</v>
      </c>
      <c r="B47" s="7">
        <v>4020</v>
      </c>
      <c r="C47" s="25" t="s">
        <v>114</v>
      </c>
      <c r="D47" s="25" t="s">
        <v>421</v>
      </c>
      <c r="E47" s="16">
        <v>42604.329375000001</v>
      </c>
      <c r="F47" s="16">
        <v>42604.330613425926</v>
      </c>
      <c r="G47" s="7">
        <v>1</v>
      </c>
      <c r="H47" s="16" t="s">
        <v>201</v>
      </c>
      <c r="I47" s="16">
        <v>42604.3591087963</v>
      </c>
      <c r="J47" s="7">
        <v>0</v>
      </c>
      <c r="K47" s="140" t="str">
        <f t="shared" si="0"/>
        <v>4019/4020</v>
      </c>
      <c r="L47" s="25" t="str">
        <f>VLOOKUP(A47,'Trips&amp;Operators'!$C$1:$E$10000,3,FALSE)</f>
        <v>SPECTOR</v>
      </c>
      <c r="M47" s="6">
        <f t="shared" si="1"/>
        <v>2.849537037400296E-2</v>
      </c>
      <c r="N47" s="7">
        <f t="shared" si="2"/>
        <v>41.033333338564262</v>
      </c>
      <c r="O47" s="7"/>
      <c r="P47" s="7"/>
      <c r="Q47" s="26"/>
      <c r="R47" s="26"/>
      <c r="S47" s="38">
        <f t="shared" si="17"/>
        <v>1</v>
      </c>
      <c r="T47" s="53" t="str">
        <f t="shared" si="4"/>
        <v>NorthBound</v>
      </c>
      <c r="U47" s="13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06:54:18-0600',mode:absolute,to:'2016-08-22 09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7" s="55" t="str">
        <f t="shared" si="6"/>
        <v>N</v>
      </c>
      <c r="X47" s="127">
        <f t="shared" si="18"/>
        <v>1</v>
      </c>
      <c r="Y47" s="70">
        <f t="shared" si="8"/>
        <v>4.9799999999999997E-2</v>
      </c>
      <c r="Z47" s="70">
        <f t="shared" si="19"/>
        <v>23.331399999999999</v>
      </c>
      <c r="AA47" s="70">
        <f t="shared" si="10"/>
        <v>23.281599999999997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11"/>
        <v>0135-22</v>
      </c>
      <c r="AE47" s="103" t="str">
        <f t="shared" si="12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47" s="100" t="str">
        <f t="shared" si="13"/>
        <v>"C:\Program Files (x86)\AstroGrep\AstroGrep.exe" /spath="%USERPROFILE%\AppData\Local\Temp\OnboardLogs" /stypes="*4020*20160822*"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4" t="str">
        <f t="shared" si="16"/>
        <v>"%USERPROFILE%\Documents\GitHub\eaglep3\Utilities\RefineRTDCRunTimes.py" --tripid 135-22 --locoid 4020 --swversion DE.1.0.7.0 --startMP 204:498 --initTime 2016-08-22T07:54:18 --startdatetime 2016-08-22T07:56:05 --delay 1 --endMP 204:233314 --enddatetime 2016-08-22T08:37:07 --enforcementcount 0</v>
      </c>
    </row>
    <row r="48" spans="1:34" s="1" customFormat="1" x14ac:dyDescent="0.25">
      <c r="A48" s="40" t="s">
        <v>422</v>
      </c>
      <c r="B48" s="7">
        <v>4019</v>
      </c>
      <c r="C48" s="25" t="s">
        <v>114</v>
      </c>
      <c r="D48" s="25" t="s">
        <v>300</v>
      </c>
      <c r="E48" s="16">
        <v>42604.368171296293</v>
      </c>
      <c r="F48" s="16">
        <v>42604.369201388887</v>
      </c>
      <c r="G48" s="7">
        <v>1</v>
      </c>
      <c r="H48" s="16" t="s">
        <v>394</v>
      </c>
      <c r="I48" s="16">
        <v>42604.399525462963</v>
      </c>
      <c r="J48" s="7">
        <v>0</v>
      </c>
      <c r="K48" s="140" t="str">
        <f t="shared" si="0"/>
        <v>4019/4020</v>
      </c>
      <c r="L48" s="25" t="str">
        <f>VLOOKUP(A48,'Trips&amp;Operators'!$C$1:$E$10000,3,FALSE)</f>
        <v>SPECTOR</v>
      </c>
      <c r="M48" s="6">
        <f t="shared" si="1"/>
        <v>3.0324074075906537E-2</v>
      </c>
      <c r="N48" s="7">
        <f t="shared" si="2"/>
        <v>43.666666669305414</v>
      </c>
      <c r="O48" s="7"/>
      <c r="P48" s="7"/>
      <c r="Q48" s="26"/>
      <c r="R48" s="26"/>
      <c r="S48" s="38">
        <f t="shared" si="17"/>
        <v>1</v>
      </c>
      <c r="T48" s="53" t="str">
        <f t="shared" si="4"/>
        <v>Southbound</v>
      </c>
      <c r="U48" s="13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07:50:10-0600',mode:absolute,to:'2016-08-22 10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8" s="55" t="str">
        <f t="shared" si="6"/>
        <v>N</v>
      </c>
      <c r="X48" s="127">
        <f t="shared" si="18"/>
        <v>1</v>
      </c>
      <c r="Y48" s="70">
        <f t="shared" si="8"/>
        <v>23.300599999999999</v>
      </c>
      <c r="Z48" s="70">
        <f t="shared" si="19"/>
        <v>1.3899999999999999E-2</v>
      </c>
      <c r="AA48" s="70">
        <f t="shared" si="10"/>
        <v>23.2867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11"/>
        <v>0136-22</v>
      </c>
      <c r="AE48" s="103" t="str">
        <f t="shared" si="12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48" s="100" t="str">
        <f t="shared" si="13"/>
        <v>"C:\Program Files (x86)\AstroGrep\AstroGrep.exe" /spath="%USERPROFILE%\AppData\Local\Temp\OnboardLogs" /stypes="*4019*20160822*"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4" t="str">
        <f t="shared" si="16"/>
        <v>"%USERPROFILE%\Documents\GitHub\eaglep3\Utilities\RefineRTDCRunTimes.py" --tripid 136-22 --locoid 4019 --swversion DE.1.0.7.0 --startMP 204:233006 --initTime 2016-08-22T08:50:10 --startdatetime 2016-08-22T08:51:39 --delay 1 --endMP 204:139 --enddatetime 2016-08-22T09:35:19 --enforcementcount 0</v>
      </c>
    </row>
    <row r="49" spans="1:34" s="1" customFormat="1" x14ac:dyDescent="0.25">
      <c r="A49" s="40" t="s">
        <v>423</v>
      </c>
      <c r="B49" s="7">
        <v>4044</v>
      </c>
      <c r="C49" s="25" t="s">
        <v>114</v>
      </c>
      <c r="D49" s="25" t="s">
        <v>424</v>
      </c>
      <c r="E49" s="16">
        <v>42604.347696759258</v>
      </c>
      <c r="F49" s="16">
        <v>42604.348715277774</v>
      </c>
      <c r="G49" s="7">
        <v>1</v>
      </c>
      <c r="H49" s="16" t="s">
        <v>217</v>
      </c>
      <c r="I49" s="16">
        <v>42604.368981481479</v>
      </c>
      <c r="J49" s="7">
        <v>0</v>
      </c>
      <c r="K49" s="140" t="str">
        <f t="shared" si="0"/>
        <v>4043/4044</v>
      </c>
      <c r="L49" s="25" t="str">
        <f>VLOOKUP(A49,'Trips&amp;Operators'!$C$1:$E$10000,3,FALSE)</f>
        <v>YORK</v>
      </c>
      <c r="M49" s="6">
        <f t="shared" si="1"/>
        <v>2.0266203704522923E-2</v>
      </c>
      <c r="N49" s="7"/>
      <c r="O49" s="7"/>
      <c r="P49" s="7">
        <f>24*60*SUM($M49:$M49)</f>
        <v>29.183333334513009</v>
      </c>
      <c r="Q49" s="26"/>
      <c r="R49" s="26" t="s">
        <v>257</v>
      </c>
      <c r="S49" s="38">
        <f t="shared" si="17"/>
        <v>1</v>
      </c>
      <c r="T49" s="53" t="str">
        <f t="shared" si="4"/>
        <v>NorthBound</v>
      </c>
      <c r="U49" s="13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07:20:41-0600',mode:absolute,to:'2016-08-22 09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9" s="55" t="str">
        <f t="shared" si="6"/>
        <v>Y</v>
      </c>
      <c r="X49" s="127">
        <f t="shared" si="18"/>
        <v>1</v>
      </c>
      <c r="Y49" s="70">
        <f t="shared" si="8"/>
        <v>1.9156</v>
      </c>
      <c r="Z49" s="70">
        <f t="shared" si="19"/>
        <v>23.329699999999999</v>
      </c>
      <c r="AA49" s="70">
        <f t="shared" si="10"/>
        <v>21.414099999999998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11"/>
        <v>0137-22</v>
      </c>
      <c r="AE49" s="103" t="str">
        <f t="shared" si="12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49" s="100" t="str">
        <f t="shared" si="13"/>
        <v>"C:\Program Files (x86)\AstroGrep\AstroGrep.exe" /spath="%USERPROFILE%\AppData\Local\Temp\OnboardLogs" /stypes="*4044*20160822*"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4" t="str">
        <f t="shared" si="16"/>
        <v>"%USERPROFILE%\Documents\GitHub\eaglep3\Utilities\RefineRTDCRunTimes.py" --tripid 137-22 --locoid 4044 --swversion DE.1.0.7.0 --startMP 204:19156 --initTime 2016-08-22T08:20:41 --startdatetime 2016-08-22T08:22:09 --delay 1 --endMP 204:233297 --enddatetime 2016-08-22T08:51:20 --enforcementcount 0</v>
      </c>
    </row>
    <row r="50" spans="1:34" s="1" customFormat="1" x14ac:dyDescent="0.25">
      <c r="A50" s="40" t="s">
        <v>339</v>
      </c>
      <c r="B50" s="7">
        <v>4043</v>
      </c>
      <c r="C50" s="25" t="s">
        <v>114</v>
      </c>
      <c r="D50" s="25" t="s">
        <v>262</v>
      </c>
      <c r="E50" s="16">
        <v>42604.370694444442</v>
      </c>
      <c r="F50" s="16">
        <v>42604.371574074074</v>
      </c>
      <c r="G50" s="7">
        <v>1</v>
      </c>
      <c r="H50" s="16" t="s">
        <v>405</v>
      </c>
      <c r="I50" s="16">
        <v>42604.409687500003</v>
      </c>
      <c r="J50" s="7">
        <v>0</v>
      </c>
      <c r="K50" s="140" t="str">
        <f t="shared" si="0"/>
        <v>4043/4044</v>
      </c>
      <c r="L50" s="25" t="str">
        <f>VLOOKUP(A50,'Trips&amp;Operators'!$C$1:$E$10000,3,FALSE)</f>
        <v>YORK</v>
      </c>
      <c r="M50" s="6">
        <f t="shared" si="1"/>
        <v>3.811342592962319E-2</v>
      </c>
      <c r="N50" s="7">
        <f t="shared" ref="N50:N55" si="20">24*60*SUM($M50:$M50)</f>
        <v>54.883333338657394</v>
      </c>
      <c r="O50" s="7"/>
      <c r="P50" s="7"/>
      <c r="Q50" s="26"/>
      <c r="R50" s="26"/>
      <c r="S50" s="38">
        <f t="shared" si="17"/>
        <v>1</v>
      </c>
      <c r="T50" s="53" t="str">
        <f t="shared" si="4"/>
        <v>Southbound</v>
      </c>
      <c r="U50" s="13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07:53:48-0600',mode:absolute,to:'2016-08-22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0" s="55" t="str">
        <f t="shared" si="6"/>
        <v>N</v>
      </c>
      <c r="X50" s="127">
        <f t="shared" si="18"/>
        <v>1</v>
      </c>
      <c r="Y50" s="70">
        <f t="shared" si="8"/>
        <v>23.2986</v>
      </c>
      <c r="Z50" s="70">
        <f t="shared" si="19"/>
        <v>1.67E-2</v>
      </c>
      <c r="AA50" s="70">
        <f t="shared" si="10"/>
        <v>23.2819</v>
      </c>
      <c r="AB50" s="67">
        <f>VLOOKUP(A50,Enforcements!$C$7:$J$24,8,0)</f>
        <v>42961</v>
      </c>
      <c r="AC50" s="63" t="str">
        <f>VLOOKUP(A50,Enforcements!$C$7:$E$24,3,0)</f>
        <v>GRADE CROSSING</v>
      </c>
      <c r="AD50" s="64" t="str">
        <f t="shared" si="11"/>
        <v>0138-22</v>
      </c>
      <c r="AE50" s="103" t="str">
        <f t="shared" si="12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50" s="100" t="str">
        <f t="shared" si="13"/>
        <v>"C:\Program Files (x86)\AstroGrep\AstroGrep.exe" /spath="%USERPROFILE%\AppData\Local\Temp\OnboardLogs" /stypes="*4043*20160822*"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4" t="str">
        <f t="shared" si="16"/>
        <v>"%USERPROFILE%\Documents\GitHub\eaglep3\Utilities\RefineRTDCRunTimes.py" --tripid 138-22 --locoid 4043 --swversion DE.1.0.7.0 --startMP 204:232986 --initTime 2016-08-22T08:53:48 --startdatetime 2016-08-22T08:55:04 --delay 1 --endMP 204:167 --enddatetime 2016-08-22T09:49:57 --enforcementcount 0</v>
      </c>
    </row>
    <row r="51" spans="1:34" s="1" customFormat="1" x14ac:dyDescent="0.25">
      <c r="A51" s="40" t="s">
        <v>337</v>
      </c>
      <c r="B51" s="7">
        <v>4009</v>
      </c>
      <c r="C51" s="25" t="s">
        <v>114</v>
      </c>
      <c r="D51" s="25" t="s">
        <v>141</v>
      </c>
      <c r="E51" s="16">
        <v>42604.351886574077</v>
      </c>
      <c r="F51" s="16">
        <v>42604.352777777778</v>
      </c>
      <c r="G51" s="7">
        <v>1</v>
      </c>
      <c r="H51" s="16" t="s">
        <v>425</v>
      </c>
      <c r="I51" s="16">
        <v>42604.380613425928</v>
      </c>
      <c r="J51" s="7">
        <v>0</v>
      </c>
      <c r="K51" s="140" t="str">
        <f t="shared" si="0"/>
        <v>4009/4010</v>
      </c>
      <c r="L51" s="25" t="str">
        <f>VLOOKUP(A51,'Trips&amp;Operators'!$C$1:$E$10000,3,FALSE)</f>
        <v>STARKS</v>
      </c>
      <c r="M51" s="6">
        <f t="shared" si="1"/>
        <v>2.7835648150357883E-2</v>
      </c>
      <c r="N51" s="7">
        <f t="shared" si="20"/>
        <v>40.083333336515352</v>
      </c>
      <c r="O51" s="7"/>
      <c r="P51" s="7"/>
      <c r="Q51" s="26"/>
      <c r="R51" s="26"/>
      <c r="S51" s="38">
        <f t="shared" si="17"/>
        <v>1</v>
      </c>
      <c r="T51" s="53" t="str">
        <f t="shared" si="4"/>
        <v>NorthBound</v>
      </c>
      <c r="U51" s="13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07:26:43-0600',mode:absolute,to:'2016-08-22 10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1" s="55" t="str">
        <f t="shared" si="6"/>
        <v>N</v>
      </c>
      <c r="X51" s="127">
        <f t="shared" si="18"/>
        <v>1</v>
      </c>
      <c r="Y51" s="70">
        <f t="shared" si="8"/>
        <v>4.58E-2</v>
      </c>
      <c r="Z51" s="70">
        <f t="shared" si="19"/>
        <v>23.331700000000001</v>
      </c>
      <c r="AA51" s="70">
        <f t="shared" si="10"/>
        <v>23.285900000000002</v>
      </c>
      <c r="AB51" s="67">
        <f>VLOOKUP(A51,Enforcements!$C$7:$J$24,8,0)</f>
        <v>116838</v>
      </c>
      <c r="AC51" s="63" t="str">
        <f>VLOOKUP(A51,Enforcements!$C$7:$E$24,3,0)</f>
        <v>PERMANENT SPEED RESTRICTION</v>
      </c>
      <c r="AD51" s="64" t="str">
        <f t="shared" si="11"/>
        <v>0139-22</v>
      </c>
      <c r="AE51" s="103" t="str">
        <f t="shared" si="12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51" s="100" t="str">
        <f t="shared" si="13"/>
        <v>"C:\Program Files (x86)\AstroGrep\AstroGrep.exe" /spath="%USERPROFILE%\AppData\Local\Temp\OnboardLogs" /stypes="*4009*20160822*"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4" t="str">
        <f t="shared" si="16"/>
        <v>"%USERPROFILE%\Documents\GitHub\eaglep3\Utilities\RefineRTDCRunTimes.py" --tripid 139-22 --locoid 4009 --swversion DE.1.0.7.0 --startMP 204:458 --initTime 2016-08-22T08:26:43 --startdatetime 2016-08-22T08:28:00 --delay 1 --endMP 204:233317 --enddatetime 2016-08-22T09:08:05 --enforcementcount 0</v>
      </c>
    </row>
    <row r="52" spans="1:34" s="1" customFormat="1" x14ac:dyDescent="0.25">
      <c r="A52" s="40" t="s">
        <v>426</v>
      </c>
      <c r="B52" s="7">
        <v>4010</v>
      </c>
      <c r="C52" s="25" t="s">
        <v>114</v>
      </c>
      <c r="D52" s="25" t="s">
        <v>387</v>
      </c>
      <c r="E52" s="16">
        <v>42604.390949074077</v>
      </c>
      <c r="F52" s="16">
        <v>42604.391932870371</v>
      </c>
      <c r="G52" s="7">
        <v>1</v>
      </c>
      <c r="H52" s="16" t="s">
        <v>132</v>
      </c>
      <c r="I52" s="16">
        <v>42604.420729166668</v>
      </c>
      <c r="J52" s="7">
        <v>0</v>
      </c>
      <c r="K52" s="140" t="str">
        <f t="shared" si="0"/>
        <v>4009/4010</v>
      </c>
      <c r="L52" s="25" t="str">
        <f>VLOOKUP(A52,'Trips&amp;Operators'!$C$1:$E$10000,3,FALSE)</f>
        <v>STARKS</v>
      </c>
      <c r="M52" s="6">
        <f t="shared" si="1"/>
        <v>2.8796296297514345E-2</v>
      </c>
      <c r="N52" s="7">
        <f t="shared" si="20"/>
        <v>41.466666668420658</v>
      </c>
      <c r="O52" s="7"/>
      <c r="P52" s="7"/>
      <c r="Q52" s="26"/>
      <c r="R52" s="26"/>
      <c r="S52" s="38">
        <f t="shared" si="17"/>
        <v>1</v>
      </c>
      <c r="T52" s="53" t="str">
        <f t="shared" si="4"/>
        <v>Southbound</v>
      </c>
      <c r="U52" s="13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08:22:58-0600',mode:absolute,to:'2016-08-22 11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2" s="55" t="str">
        <f t="shared" si="6"/>
        <v>N</v>
      </c>
      <c r="X52" s="127">
        <f t="shared" si="18"/>
        <v>1</v>
      </c>
      <c r="Y52" s="70">
        <f t="shared" si="8"/>
        <v>23.3</v>
      </c>
      <c r="Z52" s="70">
        <f t="shared" si="19"/>
        <v>1.5800000000000002E-2</v>
      </c>
      <c r="AA52" s="70">
        <f t="shared" si="10"/>
        <v>23.284200000000002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11"/>
        <v>0140-22</v>
      </c>
      <c r="AE52" s="103" t="str">
        <f t="shared" si="12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52" s="100" t="str">
        <f t="shared" si="13"/>
        <v>"C:\Program Files (x86)\AstroGrep\AstroGrep.exe" /spath="%USERPROFILE%\AppData\Local\Temp\OnboardLogs" /stypes="*4010*20160822*"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4" t="str">
        <f t="shared" si="16"/>
        <v>"%USERPROFILE%\Documents\GitHub\eaglep3\Utilities\RefineRTDCRunTimes.py" --tripid 140-22 --locoid 4010 --swversion DE.1.0.7.0 --startMP 204:233000 --initTime 2016-08-22T09:22:58 --startdatetime 2016-08-22T09:24:23 --delay 1 --endMP 204:158 --enddatetime 2016-08-22T10:05:51 --enforcementcount 0</v>
      </c>
    </row>
    <row r="53" spans="1:34" s="1" customFormat="1" x14ac:dyDescent="0.25">
      <c r="A53" s="40" t="s">
        <v>427</v>
      </c>
      <c r="B53" s="7">
        <v>4007</v>
      </c>
      <c r="C53" s="25" t="s">
        <v>114</v>
      </c>
      <c r="D53" s="25" t="s">
        <v>428</v>
      </c>
      <c r="E53" s="16">
        <v>42604.363587962966</v>
      </c>
      <c r="F53" s="16">
        <v>42604.364953703705</v>
      </c>
      <c r="G53" s="7">
        <v>1</v>
      </c>
      <c r="H53" s="16" t="s">
        <v>160</v>
      </c>
      <c r="I53" s="16">
        <v>42604.389976851853</v>
      </c>
      <c r="J53" s="7">
        <v>0</v>
      </c>
      <c r="K53" s="140" t="str">
        <f t="shared" si="0"/>
        <v>4007/4008</v>
      </c>
      <c r="L53" s="25" t="str">
        <f>VLOOKUP(A53,'Trips&amp;Operators'!$C$1:$E$10000,3,FALSE)</f>
        <v>KILLION</v>
      </c>
      <c r="M53" s="6">
        <f t="shared" si="1"/>
        <v>2.5023148147738539E-2</v>
      </c>
      <c r="N53" s="7">
        <f t="shared" si="20"/>
        <v>36.033333332743496</v>
      </c>
      <c r="O53" s="7"/>
      <c r="P53" s="7"/>
      <c r="Q53" s="26"/>
      <c r="R53" s="26"/>
      <c r="S53" s="38">
        <f t="shared" si="17"/>
        <v>1</v>
      </c>
      <c r="T53" s="53" t="str">
        <f t="shared" si="4"/>
        <v>NorthBound</v>
      </c>
      <c r="U53" s="13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07:43:34-0600',mode:absolute,to:'2016-08-22 10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53" s="55" t="str">
        <f t="shared" si="6"/>
        <v>N</v>
      </c>
      <c r="X53" s="127">
        <f t="shared" si="18"/>
        <v>1</v>
      </c>
      <c r="Y53" s="70">
        <f t="shared" si="8"/>
        <v>0.05</v>
      </c>
      <c r="Z53" s="70">
        <f t="shared" si="19"/>
        <v>23.3291</v>
      </c>
      <c r="AA53" s="70">
        <f t="shared" si="10"/>
        <v>23.2791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11"/>
        <v>0141-22</v>
      </c>
      <c r="AE53" s="103" t="str">
        <f t="shared" si="12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53" s="100" t="str">
        <f t="shared" si="13"/>
        <v>"C:\Program Files (x86)\AstroGrep\AstroGrep.exe" /spath="%USERPROFILE%\AppData\Local\Temp\OnboardLogs" /stypes="*4007*20160822*"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4" t="str">
        <f t="shared" si="16"/>
        <v>"%USERPROFILE%\Documents\GitHub\eaglep3\Utilities\RefineRTDCRunTimes.py" --tripid 141-22 --locoid 4007 --swversion DE.1.0.7.0 --startMP 204:500 --initTime 2016-08-22T08:43:34 --startdatetime 2016-08-22T08:45:32 --delay 1 --endMP 204:233291 --enddatetime 2016-08-22T09:21:34 --enforcementcount 0</v>
      </c>
    </row>
    <row r="54" spans="1:34" s="1" customFormat="1" x14ac:dyDescent="0.25">
      <c r="A54" s="40" t="s">
        <v>341</v>
      </c>
      <c r="B54" s="7">
        <v>4008</v>
      </c>
      <c r="C54" s="25" t="s">
        <v>114</v>
      </c>
      <c r="D54" s="25" t="s">
        <v>162</v>
      </c>
      <c r="E54" s="16">
        <v>42604.396574074075</v>
      </c>
      <c r="F54" s="16">
        <v>42604.397407407407</v>
      </c>
      <c r="G54" s="7">
        <v>1</v>
      </c>
      <c r="H54" s="16" t="s">
        <v>133</v>
      </c>
      <c r="I54" s="16">
        <v>42604.431111111109</v>
      </c>
      <c r="J54" s="7">
        <v>0</v>
      </c>
      <c r="K54" s="140" t="str">
        <f t="shared" si="0"/>
        <v>4007/4008</v>
      </c>
      <c r="L54" s="25" t="str">
        <f>VLOOKUP(A54,'Trips&amp;Operators'!$C$1:$E$10000,3,FALSE)</f>
        <v>KILLION</v>
      </c>
      <c r="M54" s="6">
        <f t="shared" si="1"/>
        <v>3.3703703702485655E-2</v>
      </c>
      <c r="N54" s="7">
        <f t="shared" si="20"/>
        <v>48.533333331579342</v>
      </c>
      <c r="O54" s="7"/>
      <c r="P54" s="7"/>
      <c r="Q54" s="26"/>
      <c r="R54" s="26"/>
      <c r="S54" s="38">
        <f t="shared" si="17"/>
        <v>1</v>
      </c>
      <c r="T54" s="53" t="str">
        <f t="shared" si="4"/>
        <v>Southbound</v>
      </c>
      <c r="U54" s="13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08:31:04-0600',mode:absolute,to:'2016-08-22 11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4" s="55" t="str">
        <f t="shared" si="6"/>
        <v>N</v>
      </c>
      <c r="X54" s="127">
        <f t="shared" si="18"/>
        <v>1</v>
      </c>
      <c r="Y54" s="70">
        <f t="shared" si="8"/>
        <v>23.296500000000002</v>
      </c>
      <c r="Z54" s="70">
        <f t="shared" si="19"/>
        <v>1.47E-2</v>
      </c>
      <c r="AA54" s="70">
        <f t="shared" si="10"/>
        <v>23.2818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11"/>
        <v>0142-22</v>
      </c>
      <c r="AE54" s="103" t="str">
        <f t="shared" si="12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54" s="100" t="str">
        <f t="shared" si="13"/>
        <v>"C:\Program Files (x86)\AstroGrep\AstroGrep.exe" /spath="%USERPROFILE%\AppData\Local\Temp\OnboardLogs" /stypes="*4008*20160822*"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4" t="str">
        <f t="shared" si="16"/>
        <v>"%USERPROFILE%\Documents\GitHub\eaglep3\Utilities\RefineRTDCRunTimes.py" --tripid 142-22 --locoid 4008 --swversion DE.1.0.7.0 --startMP 204:232965 --initTime 2016-08-22T09:31:04 --startdatetime 2016-08-22T09:32:16 --delay 1 --endMP 204:147 --enddatetime 2016-08-22T10:20:48 --enforcementcount 0</v>
      </c>
    </row>
    <row r="55" spans="1:34" s="1" customFormat="1" x14ac:dyDescent="0.25">
      <c r="A55" s="40" t="s">
        <v>429</v>
      </c>
      <c r="B55" s="7">
        <v>4014</v>
      </c>
      <c r="C55" s="25" t="s">
        <v>114</v>
      </c>
      <c r="D55" s="25" t="s">
        <v>140</v>
      </c>
      <c r="E55" s="16">
        <v>42604.373379629629</v>
      </c>
      <c r="F55" s="16">
        <v>42604.374247685184</v>
      </c>
      <c r="G55" s="7">
        <v>1</v>
      </c>
      <c r="H55" s="16" t="s">
        <v>430</v>
      </c>
      <c r="I55" s="16">
        <v>42604.402071759258</v>
      </c>
      <c r="J55" s="7">
        <v>0</v>
      </c>
      <c r="K55" s="140" t="str">
        <f t="shared" si="0"/>
        <v>4013/4014</v>
      </c>
      <c r="L55" s="25" t="str">
        <f>VLOOKUP(A55,'Trips&amp;Operators'!$C$1:$E$10000,3,FALSE)</f>
        <v>MALAVE</v>
      </c>
      <c r="M55" s="6">
        <f t="shared" si="1"/>
        <v>2.7824074073578231E-2</v>
      </c>
      <c r="N55" s="7">
        <f t="shared" si="20"/>
        <v>40.066666665952653</v>
      </c>
      <c r="O55" s="7"/>
      <c r="P55" s="7"/>
      <c r="Q55" s="26"/>
      <c r="R55" s="26"/>
      <c r="S55" s="38">
        <f t="shared" si="17"/>
        <v>1</v>
      </c>
      <c r="T55" s="53" t="str">
        <f t="shared" si="4"/>
        <v>NorthBound</v>
      </c>
      <c r="U55" s="13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07:57:40-0600',mode:absolute,to:'2016-08-22 10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5" s="55" t="str">
        <f t="shared" si="6"/>
        <v>N</v>
      </c>
      <c r="X55" s="127">
        <f t="shared" si="18"/>
        <v>1</v>
      </c>
      <c r="Y55" s="70">
        <f t="shared" si="8"/>
        <v>4.6899999999999997E-2</v>
      </c>
      <c r="Z55" s="70">
        <f t="shared" si="19"/>
        <v>23.328099999999999</v>
      </c>
      <c r="AA55" s="70">
        <f t="shared" si="10"/>
        <v>23.281199999999998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11"/>
        <v>0143-22</v>
      </c>
      <c r="AE55" s="103" t="str">
        <f t="shared" si="12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55" s="100" t="str">
        <f t="shared" si="13"/>
        <v>"C:\Program Files (x86)\AstroGrep\AstroGrep.exe" /spath="%USERPROFILE%\AppData\Local\Temp\OnboardLogs" /stypes="*4014*20160822*"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4" t="str">
        <f t="shared" si="16"/>
        <v>"%USERPROFILE%\Documents\GitHub\eaglep3\Utilities\RefineRTDCRunTimes.py" --tripid 143-22 --locoid 4014 --swversion DE.1.0.7.0 --startMP 204:469 --initTime 2016-08-22T08:57:40 --startdatetime 2016-08-22T08:58:55 --delay 1 --endMP 204:233281 --enddatetime 2016-08-22T09:38:59 --enforcementcount 0</v>
      </c>
    </row>
    <row r="56" spans="1:34" s="1" customFormat="1" x14ac:dyDescent="0.25">
      <c r="A56" s="40" t="s">
        <v>431</v>
      </c>
      <c r="B56" s="7">
        <v>4013</v>
      </c>
      <c r="C56" s="25" t="s">
        <v>114</v>
      </c>
      <c r="D56" s="25" t="s">
        <v>391</v>
      </c>
      <c r="E56" s="16">
        <v>42604.412511574075</v>
      </c>
      <c r="F56" s="16">
        <v>42604.413495370369</v>
      </c>
      <c r="G56" s="7">
        <v>1</v>
      </c>
      <c r="H56" s="16" t="s">
        <v>432</v>
      </c>
      <c r="I56" s="16">
        <v>42604.434502314813</v>
      </c>
      <c r="J56" s="7">
        <v>0</v>
      </c>
      <c r="K56" s="140" t="str">
        <f t="shared" si="0"/>
        <v>4013/4014</v>
      </c>
      <c r="L56" s="25" t="str">
        <f>VLOOKUP(A56,'Trips&amp;Operators'!$C$1:$E$10000,3,FALSE)</f>
        <v>MALAVE</v>
      </c>
      <c r="M56" s="6">
        <f t="shared" si="1"/>
        <v>2.1006944443797693E-2</v>
      </c>
      <c r="N56" s="7"/>
      <c r="O56" s="7"/>
      <c r="P56" s="7">
        <f>24*60*SUM($M56:$M56)</f>
        <v>30.249999999068677</v>
      </c>
      <c r="Q56" s="26"/>
      <c r="R56" s="26" t="s">
        <v>197</v>
      </c>
      <c r="S56" s="38">
        <f t="shared" si="17"/>
        <v>0.75</v>
      </c>
      <c r="T56" s="53" t="str">
        <f t="shared" si="4"/>
        <v>Southbound</v>
      </c>
      <c r="U56" s="13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9</v>
      </c>
      <c r="V5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08:54:01-0600',mode:absolute,to:'2016-08-22 11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6" s="55" t="str">
        <f t="shared" si="6"/>
        <v>Y</v>
      </c>
      <c r="X56" s="127">
        <f t="shared" si="18"/>
        <v>1</v>
      </c>
      <c r="Y56" s="70">
        <f t="shared" si="8"/>
        <v>23.297699999999999</v>
      </c>
      <c r="Z56" s="70">
        <f t="shared" si="19"/>
        <v>3.6707999999999998</v>
      </c>
      <c r="AA56" s="70">
        <f t="shared" si="10"/>
        <v>19.626899999999999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11"/>
        <v>0144-22</v>
      </c>
      <c r="AE56" s="103" t="str">
        <f t="shared" si="12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56" s="100" t="str">
        <f t="shared" si="13"/>
        <v>"C:\Program Files (x86)\AstroGrep\AstroGrep.exe" /spath="%USERPROFILE%\AppData\Local\Temp\OnboardLogs" /stypes="*4013*20160822*"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4" t="str">
        <f t="shared" si="16"/>
        <v>"%USERPROFILE%\Documents\GitHub\eaglep3\Utilities\RefineRTDCRunTimes.py" --tripid 144-22 --locoid 4013 --swversion DE.1.0.7.0 --startMP 204:232977 --initTime 2016-08-22T09:54:01 --startdatetime 2016-08-22T09:55:26 --delay 1 --endMP 204:36708 --enddatetime 2016-08-22T10:25:41 --enforcementcount 0</v>
      </c>
    </row>
    <row r="57" spans="1:34" s="1" customFormat="1" x14ac:dyDescent="0.25">
      <c r="A57" s="40" t="s">
        <v>433</v>
      </c>
      <c r="B57" s="7">
        <v>4038</v>
      </c>
      <c r="C57" s="25" t="s">
        <v>114</v>
      </c>
      <c r="D57" s="25" t="s">
        <v>434</v>
      </c>
      <c r="E57" s="16">
        <v>42604.3827662037</v>
      </c>
      <c r="F57" s="16">
        <v>42604.384039351855</v>
      </c>
      <c r="G57" s="7">
        <v>1</v>
      </c>
      <c r="H57" s="16" t="s">
        <v>201</v>
      </c>
      <c r="I57" s="16">
        <v>42604.411874999998</v>
      </c>
      <c r="J57" s="7">
        <v>0</v>
      </c>
      <c r="K57" s="140" t="str">
        <f t="shared" si="0"/>
        <v>4037/4038</v>
      </c>
      <c r="L57" s="25" t="str">
        <f>VLOOKUP(A57,'Trips&amp;Operators'!$C$1:$E$10000,3,FALSE)</f>
        <v>ACKERMAN</v>
      </c>
      <c r="M57" s="6">
        <f t="shared" si="1"/>
        <v>2.7835648143081926E-2</v>
      </c>
      <c r="N57" s="7">
        <f t="shared" ref="N57:N67" si="21">24*60*SUM($M57:$M57)</f>
        <v>40.083333326037973</v>
      </c>
      <c r="O57" s="7"/>
      <c r="P57" s="7"/>
      <c r="Q57" s="26"/>
      <c r="R57" s="26"/>
      <c r="S57" s="38">
        <f t="shared" si="17"/>
        <v>1</v>
      </c>
      <c r="T57" s="53" t="str">
        <f t="shared" si="4"/>
        <v>NorthBound</v>
      </c>
      <c r="U57" s="13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08:11:11-0600',mode:absolute,to:'2016-08-22 10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7" s="55" t="str">
        <f t="shared" si="6"/>
        <v>N</v>
      </c>
      <c r="X57" s="127">
        <f t="shared" si="18"/>
        <v>1</v>
      </c>
      <c r="Y57" s="70">
        <f t="shared" si="8"/>
        <v>4.3799999999999999E-2</v>
      </c>
      <c r="Z57" s="70">
        <f t="shared" si="19"/>
        <v>23.331399999999999</v>
      </c>
      <c r="AA57" s="70">
        <f t="shared" si="10"/>
        <v>23.287599999999998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11"/>
        <v>0145-22</v>
      </c>
      <c r="AE57" s="103" t="str">
        <f t="shared" si="12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57" s="100" t="str">
        <f t="shared" si="13"/>
        <v>"C:\Program Files (x86)\AstroGrep\AstroGrep.exe" /spath="%USERPROFILE%\AppData\Local\Temp\OnboardLogs" /stypes="*4038*20160822*"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4" t="str">
        <f t="shared" si="16"/>
        <v>"%USERPROFILE%\Documents\GitHub\eaglep3\Utilities\RefineRTDCRunTimes.py" --tripid 145-22 --locoid 4038 --swversion DE.1.0.7.0 --startMP 204:438 --initTime 2016-08-22T09:11:11 --startdatetime 2016-08-22T09:13:01 --delay 1 --endMP 204:233314 --enddatetime 2016-08-22T09:53:06 --enforcementcount 0</v>
      </c>
    </row>
    <row r="58" spans="1:34" s="1" customFormat="1" x14ac:dyDescent="0.25">
      <c r="A58" s="40" t="s">
        <v>435</v>
      </c>
      <c r="B58" s="7">
        <v>4037</v>
      </c>
      <c r="C58" s="25" t="s">
        <v>114</v>
      </c>
      <c r="D58" s="25" t="s">
        <v>203</v>
      </c>
      <c r="E58" s="16">
        <v>42604.415555555555</v>
      </c>
      <c r="F58" s="16">
        <v>42604.416724537034</v>
      </c>
      <c r="G58" s="7">
        <v>1</v>
      </c>
      <c r="H58" s="16" t="s">
        <v>161</v>
      </c>
      <c r="I58" s="16">
        <v>42604.452523148146</v>
      </c>
      <c r="J58" s="7">
        <v>0</v>
      </c>
      <c r="K58" s="140" t="str">
        <f t="shared" si="0"/>
        <v>4037/4038</v>
      </c>
      <c r="L58" s="25" t="str">
        <f>VLOOKUP(A58,'Trips&amp;Operators'!$C$1:$E$10000,3,FALSE)</f>
        <v>ACKERMAN</v>
      </c>
      <c r="M58" s="6">
        <f t="shared" si="1"/>
        <v>3.5798611112113576E-2</v>
      </c>
      <c r="N58" s="7">
        <f t="shared" si="21"/>
        <v>51.55000000144355</v>
      </c>
      <c r="O58" s="7"/>
      <c r="P58" s="7"/>
      <c r="Q58" s="26"/>
      <c r="R58" s="26"/>
      <c r="S58" s="38">
        <f t="shared" si="17"/>
        <v>1</v>
      </c>
      <c r="T58" s="53" t="str">
        <f t="shared" si="4"/>
        <v>Southbound</v>
      </c>
      <c r="U58" s="13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08:58:24-0600',mode:absolute,to:'2016-08-22 11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8" s="55" t="str">
        <f t="shared" si="6"/>
        <v>N</v>
      </c>
      <c r="X58" s="127">
        <f t="shared" si="18"/>
        <v>1</v>
      </c>
      <c r="Y58" s="70">
        <f t="shared" si="8"/>
        <v>23.297999999999998</v>
      </c>
      <c r="Z58" s="70">
        <f t="shared" si="19"/>
        <v>1.54E-2</v>
      </c>
      <c r="AA58" s="70">
        <f t="shared" si="10"/>
        <v>23.282599999999999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11"/>
        <v>0146-22</v>
      </c>
      <c r="AE58" s="103" t="str">
        <f t="shared" si="12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58" s="100" t="str">
        <f t="shared" si="13"/>
        <v>"C:\Program Files (x86)\AstroGrep\AstroGrep.exe" /spath="%USERPROFILE%\AppData\Local\Temp\OnboardLogs" /stypes="*4037*20160822*"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4" t="str">
        <f t="shared" si="16"/>
        <v>"%USERPROFILE%\Documents\GitHub\eaglep3\Utilities\RefineRTDCRunTimes.py" --tripid 146-22 --locoid 4037 --swversion DE.1.0.7.0 --startMP 204:232980 --initTime 2016-08-22T09:58:24 --startdatetime 2016-08-22T10:00:05 --delay 1 --endMP 204:154 --enddatetime 2016-08-22T10:51:38 --enforcementcount 0</v>
      </c>
    </row>
    <row r="59" spans="1:34" s="1" customFormat="1" x14ac:dyDescent="0.25">
      <c r="A59" s="40" t="s">
        <v>436</v>
      </c>
      <c r="B59" s="7">
        <v>4018</v>
      </c>
      <c r="C59" s="25" t="s">
        <v>114</v>
      </c>
      <c r="D59" s="25" t="s">
        <v>141</v>
      </c>
      <c r="E59" s="16">
        <v>42604.39267361111</v>
      </c>
      <c r="F59" s="16">
        <v>42604.393865740742</v>
      </c>
      <c r="G59" s="7">
        <v>1</v>
      </c>
      <c r="H59" s="16" t="s">
        <v>265</v>
      </c>
      <c r="I59" s="16">
        <v>42604.421446759261</v>
      </c>
      <c r="J59" s="7">
        <v>0</v>
      </c>
      <c r="K59" s="140" t="str">
        <f t="shared" si="0"/>
        <v>4017/4018</v>
      </c>
      <c r="L59" s="25" t="str">
        <f>VLOOKUP(A59,'Trips&amp;Operators'!$C$1:$E$10000,3,FALSE)</f>
        <v>CLARK</v>
      </c>
      <c r="M59" s="6">
        <f t="shared" si="1"/>
        <v>2.7581018519413192E-2</v>
      </c>
      <c r="N59" s="7">
        <f t="shared" si="21"/>
        <v>39.716666667954996</v>
      </c>
      <c r="O59" s="7"/>
      <c r="P59" s="7"/>
      <c r="Q59" s="26"/>
      <c r="R59" s="26"/>
      <c r="S59" s="38">
        <f t="shared" si="17"/>
        <v>1</v>
      </c>
      <c r="T59" s="53" t="str">
        <f t="shared" si="4"/>
        <v>NorthBound</v>
      </c>
      <c r="U59" s="13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08:25:27-0600',mode:absolute,to:'2016-08-22 11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9" s="55" t="str">
        <f t="shared" si="6"/>
        <v>N</v>
      </c>
      <c r="X59" s="127">
        <f t="shared" si="18"/>
        <v>1</v>
      </c>
      <c r="Y59" s="70">
        <f t="shared" si="8"/>
        <v>4.58E-2</v>
      </c>
      <c r="Z59" s="70">
        <f t="shared" si="19"/>
        <v>23.3306</v>
      </c>
      <c r="AA59" s="70">
        <f t="shared" si="10"/>
        <v>23.284800000000001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11"/>
        <v>0147-22</v>
      </c>
      <c r="AE59" s="103" t="str">
        <f t="shared" si="12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59" s="100" t="str">
        <f t="shared" si="13"/>
        <v>"C:\Program Files (x86)\AstroGrep\AstroGrep.exe" /spath="%USERPROFILE%\AppData\Local\Temp\OnboardLogs" /stypes="*4018*20160822*"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4" t="str">
        <f t="shared" si="16"/>
        <v>"%USERPROFILE%\Documents\GitHub\eaglep3\Utilities\RefineRTDCRunTimes.py" --tripid 147-22 --locoid 4018 --swversion DE.1.0.7.0 --startMP 204:458 --initTime 2016-08-22T09:25:27 --startdatetime 2016-08-22T09:27:10 --delay 1 --endMP 204:233306 --enddatetime 2016-08-22T10:06:53 --enforcementcount 0</v>
      </c>
    </row>
    <row r="60" spans="1:34" s="1" customFormat="1" x14ac:dyDescent="0.25">
      <c r="A60" s="40" t="s">
        <v>437</v>
      </c>
      <c r="B60" s="7">
        <v>4017</v>
      </c>
      <c r="C60" s="25" t="s">
        <v>114</v>
      </c>
      <c r="D60" s="25" t="s">
        <v>198</v>
      </c>
      <c r="E60" s="16">
        <v>42604.430636574078</v>
      </c>
      <c r="F60" s="16">
        <v>42604.431446759256</v>
      </c>
      <c r="G60" s="7">
        <v>1</v>
      </c>
      <c r="H60" s="16" t="s">
        <v>438</v>
      </c>
      <c r="I60" s="16">
        <v>42604.465937499997</v>
      </c>
      <c r="J60" s="7">
        <v>0</v>
      </c>
      <c r="K60" s="140" t="str">
        <f t="shared" si="0"/>
        <v>4017/4018</v>
      </c>
      <c r="L60" s="25" t="str">
        <f>VLOOKUP(A60,'Trips&amp;Operators'!$C$1:$E$10000,3,FALSE)</f>
        <v>CLARK</v>
      </c>
      <c r="M60" s="6">
        <f t="shared" si="1"/>
        <v>3.4490740741603076E-2</v>
      </c>
      <c r="N60" s="7">
        <f t="shared" si="21"/>
        <v>49.66666666790843</v>
      </c>
      <c r="O60" s="7"/>
      <c r="P60" s="7"/>
      <c r="Q60" s="26"/>
      <c r="R60" s="26"/>
      <c r="S60" s="38">
        <f t="shared" si="17"/>
        <v>1</v>
      </c>
      <c r="T60" s="53" t="str">
        <f t="shared" si="4"/>
        <v>Southbound</v>
      </c>
      <c r="U60" s="13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09:20:07-0600',mode:absolute,to:'2016-08-22 12:10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5" t="str">
        <f t="shared" si="6"/>
        <v>N</v>
      </c>
      <c r="X60" s="127">
        <f t="shared" si="18"/>
        <v>1</v>
      </c>
      <c r="Y60" s="70">
        <f t="shared" si="8"/>
        <v>23.299099999999999</v>
      </c>
      <c r="Z60" s="70">
        <f t="shared" si="19"/>
        <v>1.61E-2</v>
      </c>
      <c r="AA60" s="70">
        <f t="shared" si="10"/>
        <v>23.282999999999998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11"/>
        <v>0148-22</v>
      </c>
      <c r="AE60" s="103" t="str">
        <f t="shared" si="12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60" s="100" t="str">
        <f t="shared" si="13"/>
        <v>"C:\Program Files (x86)\AstroGrep\AstroGrep.exe" /spath="%USERPROFILE%\AppData\Local\Temp\OnboardLogs" /stypes="*4017*20160822*"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4" t="str">
        <f t="shared" si="16"/>
        <v>"%USERPROFILE%\Documents\GitHub\eaglep3\Utilities\RefineRTDCRunTimes.py" --tripid 148-22 --locoid 4017 --swversion DE.1.0.7.0 --startMP 204:232991 --initTime 2016-08-22T10:20:07 --startdatetime 2016-08-22T10:21:17 --delay 1 --endMP 204:161 --enddatetime 2016-08-22T11:10:57 --enforcementcount 0</v>
      </c>
    </row>
    <row r="61" spans="1:34" s="1" customFormat="1" x14ac:dyDescent="0.25">
      <c r="A61" s="40" t="s">
        <v>439</v>
      </c>
      <c r="B61" s="7">
        <v>4020</v>
      </c>
      <c r="C61" s="25" t="s">
        <v>114</v>
      </c>
      <c r="D61" s="25" t="s">
        <v>137</v>
      </c>
      <c r="E61" s="16">
        <v>42604.401493055557</v>
      </c>
      <c r="F61" s="16">
        <v>42604.402268518519</v>
      </c>
      <c r="G61" s="7">
        <v>1</v>
      </c>
      <c r="H61" s="16" t="s">
        <v>272</v>
      </c>
      <c r="I61" s="16">
        <v>42604.433055555557</v>
      </c>
      <c r="J61" s="7">
        <v>0</v>
      </c>
      <c r="K61" s="140" t="str">
        <f t="shared" si="0"/>
        <v>4019/4020</v>
      </c>
      <c r="L61" s="25" t="str">
        <f>VLOOKUP(A61,'Trips&amp;Operators'!$C$1:$E$10000,3,FALSE)</f>
        <v>SPECTOR</v>
      </c>
      <c r="M61" s="6">
        <f t="shared" si="1"/>
        <v>3.0787037037953269E-2</v>
      </c>
      <c r="N61" s="7">
        <f t="shared" si="21"/>
        <v>44.333333334652707</v>
      </c>
      <c r="O61" s="7"/>
      <c r="P61" s="7"/>
      <c r="Q61" s="26"/>
      <c r="R61" s="26"/>
      <c r="S61" s="38">
        <f t="shared" si="17"/>
        <v>1</v>
      </c>
      <c r="T61" s="53" t="str">
        <f t="shared" si="4"/>
        <v>NorthBound</v>
      </c>
      <c r="U61" s="13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08:38:09-0600',mode:absolute,to:'2016-08-22 11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1" s="55" t="str">
        <f t="shared" si="6"/>
        <v>N</v>
      </c>
      <c r="X61" s="127">
        <f t="shared" si="18"/>
        <v>1</v>
      </c>
      <c r="Y61" s="70">
        <f t="shared" si="8"/>
        <v>4.4900000000000002E-2</v>
      </c>
      <c r="Z61" s="70">
        <f t="shared" si="19"/>
        <v>23.331099999999999</v>
      </c>
      <c r="AA61" s="70">
        <f t="shared" si="10"/>
        <v>23.286200000000001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11"/>
        <v>0149-22</v>
      </c>
      <c r="AE61" s="103" t="str">
        <f t="shared" si="12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61" s="100" t="str">
        <f t="shared" si="13"/>
        <v>"C:\Program Files (x86)\AstroGrep\AstroGrep.exe" /spath="%USERPROFILE%\AppData\Local\Temp\OnboardLogs" /stypes="*4020*20160822*"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4" t="str">
        <f t="shared" si="16"/>
        <v>"%USERPROFILE%\Documents\GitHub\eaglep3\Utilities\RefineRTDCRunTimes.py" --tripid 149-22 --locoid 4020 --swversion DE.1.0.7.0 --startMP 204:449 --initTime 2016-08-22T09:38:09 --startdatetime 2016-08-22T09:39:16 --delay 1 --endMP 204:233311 --enddatetime 2016-08-22T10:23:36 --enforcementcount 0</v>
      </c>
    </row>
    <row r="62" spans="1:34" s="1" customFormat="1" x14ac:dyDescent="0.25">
      <c r="A62" s="40" t="s">
        <v>343</v>
      </c>
      <c r="B62" s="7">
        <v>4019</v>
      </c>
      <c r="C62" s="25" t="s">
        <v>114</v>
      </c>
      <c r="D62" s="25" t="s">
        <v>211</v>
      </c>
      <c r="E62" s="16">
        <v>42604.438854166663</v>
      </c>
      <c r="F62" s="16">
        <v>42604.43959490741</v>
      </c>
      <c r="G62" s="7">
        <v>1</v>
      </c>
      <c r="H62" s="16" t="s">
        <v>269</v>
      </c>
      <c r="I62" s="16">
        <v>42604.477361111109</v>
      </c>
      <c r="J62" s="7">
        <v>0</v>
      </c>
      <c r="K62" s="140" t="str">
        <f t="shared" si="0"/>
        <v>4019/4020</v>
      </c>
      <c r="L62" s="25" t="str">
        <f>VLOOKUP(A62,'Trips&amp;Operators'!$C$1:$E$10000,3,FALSE)</f>
        <v>SPECTOR</v>
      </c>
      <c r="M62" s="6">
        <f t="shared" si="1"/>
        <v>3.7766203698993195E-2</v>
      </c>
      <c r="N62" s="7">
        <f t="shared" si="21"/>
        <v>54.383333326550201</v>
      </c>
      <c r="O62" s="7"/>
      <c r="P62" s="7"/>
      <c r="Q62" s="26"/>
      <c r="R62" s="26"/>
      <c r="S62" s="38">
        <f t="shared" si="17"/>
        <v>1</v>
      </c>
      <c r="T62" s="53" t="str">
        <f t="shared" si="4"/>
        <v>Southbound</v>
      </c>
      <c r="U62" s="13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09:31:57-0600',mode:absolute,to:'2016-08-22 12:27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62" s="55" t="str">
        <f t="shared" si="6"/>
        <v>N</v>
      </c>
      <c r="X62" s="127">
        <f t="shared" si="18"/>
        <v>1</v>
      </c>
      <c r="Y62" s="70">
        <f t="shared" si="8"/>
        <v>23.298200000000001</v>
      </c>
      <c r="Z62" s="70">
        <f t="shared" si="19"/>
        <v>1.3599999999999999E-2</v>
      </c>
      <c r="AA62" s="70">
        <f t="shared" si="10"/>
        <v>23.284600000000001</v>
      </c>
      <c r="AB62" s="67">
        <f>VLOOKUP(A62,Enforcements!$C$7:$J$24,8,0)</f>
        <v>109135</v>
      </c>
      <c r="AC62" s="63" t="str">
        <f>VLOOKUP(A62,Enforcements!$C$7:$E$24,3,0)</f>
        <v>GRADE CROSSING</v>
      </c>
      <c r="AD62" s="64" t="str">
        <f t="shared" si="11"/>
        <v>0150-22</v>
      </c>
      <c r="AE62" s="103" t="str">
        <f t="shared" si="12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62" s="100" t="str">
        <f t="shared" si="13"/>
        <v>"C:\Program Files (x86)\AstroGrep\AstroGrep.exe" /spath="%USERPROFILE%\AppData\Local\Temp\OnboardLogs" /stypes="*4019*20160822*"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4" t="str">
        <f t="shared" si="16"/>
        <v>"%USERPROFILE%\Documents\GitHub\eaglep3\Utilities\RefineRTDCRunTimes.py" --tripid 150-22 --locoid 4019 --swversion DE.1.0.7.0 --startMP 204:232982 --initTime 2016-08-22T10:31:57 --startdatetime 2016-08-22T10:33:01 --delay 1 --endMP 204:136 --enddatetime 2016-08-22T11:27:24 --enforcementcount 0</v>
      </c>
    </row>
    <row r="63" spans="1:34" s="1" customFormat="1" x14ac:dyDescent="0.25">
      <c r="A63" s="40" t="s">
        <v>440</v>
      </c>
      <c r="B63" s="7">
        <v>4044</v>
      </c>
      <c r="C63" s="25" t="s">
        <v>114</v>
      </c>
      <c r="D63" s="25" t="s">
        <v>441</v>
      </c>
      <c r="E63" s="16">
        <v>42604.410636574074</v>
      </c>
      <c r="F63" s="16">
        <v>42604.411481481482</v>
      </c>
      <c r="G63" s="7">
        <v>1</v>
      </c>
      <c r="H63" s="16" t="s">
        <v>217</v>
      </c>
      <c r="I63" s="16">
        <v>42604.443958333337</v>
      </c>
      <c r="J63" s="7">
        <v>0</v>
      </c>
      <c r="K63" s="140" t="str">
        <f t="shared" si="0"/>
        <v>4043/4044</v>
      </c>
      <c r="L63" s="25" t="str">
        <f>VLOOKUP(A63,'Trips&amp;Operators'!$C$1:$E$10000,3,FALSE)</f>
        <v>YORK</v>
      </c>
      <c r="M63" s="6">
        <f t="shared" si="1"/>
        <v>3.2476851854880806E-2</v>
      </c>
      <c r="N63" s="7">
        <f t="shared" si="21"/>
        <v>46.766666671028361</v>
      </c>
      <c r="O63" s="7"/>
      <c r="P63" s="7"/>
      <c r="Q63" s="26"/>
      <c r="R63" s="26"/>
      <c r="S63" s="38">
        <f t="shared" si="17"/>
        <v>1</v>
      </c>
      <c r="T63" s="53" t="str">
        <f t="shared" si="4"/>
        <v>NorthBound</v>
      </c>
      <c r="U63" s="13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08:51:19-0600',mode:absolute,to:'2016-08-22 11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3" s="55" t="str">
        <f t="shared" si="6"/>
        <v>N</v>
      </c>
      <c r="X63" s="127">
        <f t="shared" si="18"/>
        <v>1</v>
      </c>
      <c r="Y63" s="70">
        <f t="shared" si="8"/>
        <v>4.8000000000000001E-2</v>
      </c>
      <c r="Z63" s="70">
        <f t="shared" si="19"/>
        <v>23.329699999999999</v>
      </c>
      <c r="AA63" s="70">
        <f t="shared" si="10"/>
        <v>23.281700000000001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11"/>
        <v>0151-22</v>
      </c>
      <c r="AE63" s="103" t="str">
        <f t="shared" si="12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63" s="100" t="str">
        <f t="shared" si="13"/>
        <v>"C:\Program Files (x86)\AstroGrep\AstroGrep.exe" /spath="%USERPROFILE%\AppData\Local\Temp\OnboardLogs" /stypes="*4044*20160822*"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4" t="str">
        <f t="shared" si="16"/>
        <v>"%USERPROFILE%\Documents\GitHub\eaglep3\Utilities\RefineRTDCRunTimes.py" --tripid 151-22 --locoid 4044 --swversion DE.1.0.7.0 --startMP 204:480 --initTime 2016-08-22T09:51:19 --startdatetime 2016-08-22T09:52:32 --delay 1 --endMP 204:233297 --enddatetime 2016-08-22T10:39:18 --enforcementcount 0</v>
      </c>
    </row>
    <row r="64" spans="1:34" s="1" customFormat="1" x14ac:dyDescent="0.25">
      <c r="A64" s="40" t="s">
        <v>442</v>
      </c>
      <c r="B64" s="7">
        <v>4043</v>
      </c>
      <c r="C64" s="25" t="s">
        <v>114</v>
      </c>
      <c r="D64" s="25" t="s">
        <v>391</v>
      </c>
      <c r="E64" s="16">
        <v>42604.444849537038</v>
      </c>
      <c r="F64" s="16">
        <v>42604.445625</v>
      </c>
      <c r="G64" s="7">
        <v>1</v>
      </c>
      <c r="H64" s="16" t="s">
        <v>157</v>
      </c>
      <c r="I64" s="16">
        <v>42604.484097222223</v>
      </c>
      <c r="J64" s="7">
        <v>0</v>
      </c>
      <c r="K64" s="140" t="str">
        <f t="shared" si="0"/>
        <v>4043/4044</v>
      </c>
      <c r="L64" s="25" t="str">
        <f>VLOOKUP(A64,'Trips&amp;Operators'!$C$1:$E$10000,3,FALSE)</f>
        <v>YORK</v>
      </c>
      <c r="M64" s="6">
        <f t="shared" si="1"/>
        <v>3.8472222222480923E-2</v>
      </c>
      <c r="N64" s="7">
        <f t="shared" si="21"/>
        <v>55.400000000372529</v>
      </c>
      <c r="O64" s="7"/>
      <c r="P64" s="7"/>
      <c r="Q64" s="26"/>
      <c r="R64" s="26"/>
      <c r="S64" s="38">
        <f t="shared" si="17"/>
        <v>1</v>
      </c>
      <c r="T64" s="53" t="str">
        <f t="shared" si="4"/>
        <v>Southbound</v>
      </c>
      <c r="U64" s="13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09:40:35-0600',mode:absolute,to:'2016-08-22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4" s="55" t="str">
        <f t="shared" si="6"/>
        <v>N</v>
      </c>
      <c r="X64" s="127">
        <f t="shared" si="18"/>
        <v>1</v>
      </c>
      <c r="Y64" s="70">
        <f t="shared" si="8"/>
        <v>23.297699999999999</v>
      </c>
      <c r="Z64" s="70">
        <f t="shared" si="19"/>
        <v>1.5599999999999999E-2</v>
      </c>
      <c r="AA64" s="70">
        <f t="shared" si="10"/>
        <v>23.2821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11"/>
        <v>0152-22</v>
      </c>
      <c r="AE64" s="103" t="str">
        <f t="shared" si="12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64" s="100" t="str">
        <f t="shared" si="13"/>
        <v>"C:\Program Files (x86)\AstroGrep\AstroGrep.exe" /spath="%USERPROFILE%\AppData\Local\Temp\OnboardLogs" /stypes="*4043*20160822*"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4" t="str">
        <f t="shared" si="16"/>
        <v>"%USERPROFILE%\Documents\GitHub\eaglep3\Utilities\RefineRTDCRunTimes.py" --tripid 152-22 --locoid 4043 --swversion DE.1.0.7.0 --startMP 204:232977 --initTime 2016-08-22T10:40:35 --startdatetime 2016-08-22T10:41:42 --delay 1 --endMP 204:156 --enddatetime 2016-08-22T11:37:06 --enforcementcount 0</v>
      </c>
    </row>
    <row r="65" spans="1:34" s="1" customFormat="1" x14ac:dyDescent="0.25">
      <c r="A65" s="40" t="s">
        <v>342</v>
      </c>
      <c r="B65" s="7">
        <v>4009</v>
      </c>
      <c r="C65" s="25" t="s">
        <v>114</v>
      </c>
      <c r="D65" s="25" t="s">
        <v>110</v>
      </c>
      <c r="E65" s="16">
        <v>42604.423344907409</v>
      </c>
      <c r="F65" s="16">
        <v>42604.423981481479</v>
      </c>
      <c r="G65" s="7">
        <v>0</v>
      </c>
      <c r="H65" s="16" t="s">
        <v>202</v>
      </c>
      <c r="I65" s="16">
        <v>42604.455185185187</v>
      </c>
      <c r="J65" s="7">
        <v>0</v>
      </c>
      <c r="K65" s="140" t="str">
        <f t="shared" si="0"/>
        <v>4009/4010</v>
      </c>
      <c r="L65" s="25" t="str">
        <f>VLOOKUP(A65,'Trips&amp;Operators'!$C$1:$E$10000,3,FALSE)</f>
        <v>STARKS</v>
      </c>
      <c r="M65" s="6">
        <f t="shared" si="1"/>
        <v>3.1203703707433306E-2</v>
      </c>
      <c r="N65" s="7">
        <f t="shared" si="21"/>
        <v>44.93333333870396</v>
      </c>
      <c r="O65" s="7"/>
      <c r="P65" s="7"/>
      <c r="Q65" s="26"/>
      <c r="R65" s="26"/>
      <c r="S65" s="38">
        <f t="shared" si="17"/>
        <v>1</v>
      </c>
      <c r="T65" s="53" t="str">
        <f t="shared" si="4"/>
        <v>NorthBound</v>
      </c>
      <c r="U65" s="13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09:09:37-0600',mode:absolute,to:'2016-08-22 11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5" s="55" t="str">
        <f t="shared" si="6"/>
        <v>N</v>
      </c>
      <c r="X65" s="127">
        <f t="shared" si="18"/>
        <v>1</v>
      </c>
      <c r="Y65" s="70">
        <f t="shared" si="8"/>
        <v>4.6199999999999998E-2</v>
      </c>
      <c r="Z65" s="70">
        <f t="shared" si="19"/>
        <v>23.329899999999999</v>
      </c>
      <c r="AA65" s="70">
        <f t="shared" si="10"/>
        <v>23.2837</v>
      </c>
      <c r="AB65" s="67">
        <f>VLOOKUP(A65,Enforcements!$C$7:$J$24,8,0)</f>
        <v>222090</v>
      </c>
      <c r="AC65" s="63" t="str">
        <f>VLOOKUP(A65,Enforcements!$C$7:$E$24,3,0)</f>
        <v>PERMANENT SPEED RESTRICTION</v>
      </c>
      <c r="AD65" s="64" t="str">
        <f t="shared" si="11"/>
        <v>0153-22</v>
      </c>
      <c r="AE65" s="103" t="str">
        <f t="shared" si="12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65" s="100" t="str">
        <f t="shared" si="13"/>
        <v>"C:\Program Files (x86)\AstroGrep\AstroGrep.exe" /spath="%USERPROFILE%\AppData\Local\Temp\OnboardLogs" /stypes="*4009*20160822*"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4" t="str">
        <f t="shared" si="16"/>
        <v>"%USERPROFILE%\Documents\GitHub\eaglep3\Utilities\RefineRTDCRunTimes.py" --tripid 153-22 --locoid 4009 --swversion DE.1.0.7.0 --startMP 204:462 --initTime 2016-08-22T10:09:37 --startdatetime 2016-08-22T10:10:32 --delay 0 --endMP 204:233299 --enddatetime 2016-08-22T10:55:28 --enforcementcount 0</v>
      </c>
    </row>
    <row r="66" spans="1:34" s="1" customFormat="1" x14ac:dyDescent="0.25">
      <c r="A66" s="40" t="s">
        <v>443</v>
      </c>
      <c r="B66" s="7">
        <v>4010</v>
      </c>
      <c r="C66" s="25" t="s">
        <v>114</v>
      </c>
      <c r="D66" s="25" t="s">
        <v>284</v>
      </c>
      <c r="E66" s="16">
        <v>42604.462256944447</v>
      </c>
      <c r="F66" s="16">
        <v>42604.463113425925</v>
      </c>
      <c r="G66" s="7">
        <v>1</v>
      </c>
      <c r="H66" s="16" t="s">
        <v>194</v>
      </c>
      <c r="I66" s="16">
        <v>42604.497060185182</v>
      </c>
      <c r="J66" s="7">
        <v>0</v>
      </c>
      <c r="K66" s="140" t="str">
        <f t="shared" si="0"/>
        <v>4009/4010</v>
      </c>
      <c r="L66" s="25" t="str">
        <f>VLOOKUP(A66,'Trips&amp;Operators'!$C$1:$E$10000,3,FALSE)</f>
        <v>STARKS</v>
      </c>
      <c r="M66" s="6">
        <f t="shared" si="1"/>
        <v>3.3946759256650694E-2</v>
      </c>
      <c r="N66" s="7">
        <f t="shared" si="21"/>
        <v>48.883333329576999</v>
      </c>
      <c r="O66" s="7"/>
      <c r="P66" s="7"/>
      <c r="Q66" s="26"/>
      <c r="R66" s="26"/>
      <c r="S66" s="38">
        <f t="shared" si="17"/>
        <v>1</v>
      </c>
      <c r="T66" s="53" t="str">
        <f t="shared" si="4"/>
        <v>Southbound</v>
      </c>
      <c r="U66" s="13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10:05:39-0600',mode:absolute,to:'2016-08-22 12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6" s="55" t="str">
        <f t="shared" si="6"/>
        <v>N</v>
      </c>
      <c r="X66" s="127">
        <f t="shared" si="18"/>
        <v>1</v>
      </c>
      <c r="Y66" s="70">
        <f t="shared" si="8"/>
        <v>23.296299999999999</v>
      </c>
      <c r="Z66" s="70">
        <f t="shared" si="19"/>
        <v>1.41E-2</v>
      </c>
      <c r="AA66" s="70">
        <f t="shared" si="10"/>
        <v>23.2822</v>
      </c>
      <c r="AB66" s="67" t="e">
        <f>VLOOKUP(A66,Enforcements!$C$7:$J$24,8,0)</f>
        <v>#N/A</v>
      </c>
      <c r="AC66" s="63" t="e">
        <f>VLOOKUP(A66,Enforcements!$C$7:$E$24,3,0)</f>
        <v>#N/A</v>
      </c>
      <c r="AD66" s="64" t="str">
        <f t="shared" si="11"/>
        <v>0154-22</v>
      </c>
      <c r="AE66" s="103" t="str">
        <f t="shared" si="12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66" s="100" t="str">
        <f t="shared" si="13"/>
        <v>"C:\Program Files (x86)\AstroGrep\AstroGrep.exe" /spath="%USERPROFILE%\AppData\Local\Temp\OnboardLogs" /stypes="*4010*20160822*"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4" t="str">
        <f t="shared" si="16"/>
        <v>"%USERPROFILE%\Documents\GitHub\eaglep3\Utilities\RefineRTDCRunTimes.py" --tripid 154-22 --locoid 4010 --swversion DE.1.0.7.0 --startMP 204:232963 --initTime 2016-08-22T11:05:39 --startdatetime 2016-08-22T11:06:53 --delay 1 --endMP 204:141 --enddatetime 2016-08-22T11:55:46 --enforcementcount 0</v>
      </c>
    </row>
    <row r="67" spans="1:34" s="1" customFormat="1" x14ac:dyDescent="0.25">
      <c r="A67" s="40" t="s">
        <v>444</v>
      </c>
      <c r="B67" s="7">
        <v>4007</v>
      </c>
      <c r="C67" s="25" t="s">
        <v>114</v>
      </c>
      <c r="D67" s="25" t="s">
        <v>445</v>
      </c>
      <c r="E67" s="16">
        <v>42604.433819444443</v>
      </c>
      <c r="F67" s="16">
        <v>42604.43545138889</v>
      </c>
      <c r="G67" s="7">
        <v>2</v>
      </c>
      <c r="H67" s="16" t="s">
        <v>227</v>
      </c>
      <c r="I67" s="16">
        <v>42604.466412037036</v>
      </c>
      <c r="J67" s="7">
        <v>0</v>
      </c>
      <c r="K67" s="140" t="str">
        <f t="shared" si="0"/>
        <v>4007/4008</v>
      </c>
      <c r="L67" s="25" t="str">
        <f>VLOOKUP(A67,'Trips&amp;Operators'!$C$1:$E$10000,3,FALSE)</f>
        <v>DAVIS</v>
      </c>
      <c r="M67" s="6">
        <f t="shared" si="1"/>
        <v>3.0960648145992309E-2</v>
      </c>
      <c r="N67" s="7">
        <f t="shared" si="21"/>
        <v>44.583333330228925</v>
      </c>
      <c r="O67" s="7"/>
      <c r="P67" s="7"/>
      <c r="Q67" s="26"/>
      <c r="R67" s="26"/>
      <c r="S67" s="38">
        <f t="shared" si="17"/>
        <v>1</v>
      </c>
      <c r="T67" s="53" t="str">
        <f t="shared" si="4"/>
        <v>NorthBound</v>
      </c>
      <c r="U67" s="13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09:24:42-0600',mode:absolute,to:'2016-08-22 12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7" s="55" t="str">
        <f t="shared" si="6"/>
        <v>N</v>
      </c>
      <c r="X67" s="127">
        <f t="shared" si="18"/>
        <v>1</v>
      </c>
      <c r="Y67" s="70">
        <f t="shared" si="8"/>
        <v>4.3099999999999999E-2</v>
      </c>
      <c r="Z67" s="70">
        <f t="shared" si="19"/>
        <v>23.3308</v>
      </c>
      <c r="AA67" s="70">
        <f t="shared" si="10"/>
        <v>23.287700000000001</v>
      </c>
      <c r="AB67" s="67" t="e">
        <f>VLOOKUP(A67,Enforcements!$C$7:$J$24,8,0)</f>
        <v>#N/A</v>
      </c>
      <c r="AC67" s="63" t="e">
        <f>VLOOKUP(A67,Enforcements!$C$7:$E$24,3,0)</f>
        <v>#N/A</v>
      </c>
      <c r="AD67" s="64" t="str">
        <f t="shared" si="11"/>
        <v>0155-22</v>
      </c>
      <c r="AE67" s="103" t="str">
        <f t="shared" si="12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67" s="100" t="str">
        <f t="shared" si="13"/>
        <v>"C:\Program Files (x86)\AstroGrep\AstroGrep.exe" /spath="%USERPROFILE%\AppData\Local\Temp\OnboardLogs" /stypes="*4007*20160822*"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4" t="str">
        <f t="shared" si="16"/>
        <v>"%USERPROFILE%\Documents\GitHub\eaglep3\Utilities\RefineRTDCRunTimes.py" --tripid 155-22 --locoid 4007 --swversion DE.1.0.7.0 --startMP 204:431 --initTime 2016-08-22T10:24:42 --startdatetime 2016-08-22T10:27:03 --delay 2 --endMP 204:233308 --enddatetime 2016-08-22T11:11:38 --enforcementcount 0</v>
      </c>
    </row>
    <row r="68" spans="1:34" x14ac:dyDescent="0.25">
      <c r="A68" s="40" t="s">
        <v>446</v>
      </c>
      <c r="B68" s="7">
        <v>4008</v>
      </c>
      <c r="C68" s="25" t="s">
        <v>114</v>
      </c>
      <c r="D68" s="25" t="s">
        <v>447</v>
      </c>
      <c r="E68" s="16">
        <v>42604.488553240742</v>
      </c>
      <c r="F68" s="16">
        <v>42604.489398148151</v>
      </c>
      <c r="G68" s="7">
        <v>1</v>
      </c>
      <c r="H68" s="16" t="s">
        <v>90</v>
      </c>
      <c r="I68" s="16">
        <v>42604.506886574076</v>
      </c>
      <c r="J68" s="7">
        <v>0</v>
      </c>
      <c r="K68" s="140" t="str">
        <f t="shared" si="0"/>
        <v>4007/4008</v>
      </c>
      <c r="L68" s="25" t="str">
        <f>VLOOKUP(A68,'Trips&amp;Operators'!$C$1:$E$10000,3,FALSE)</f>
        <v>DAVIS</v>
      </c>
      <c r="M68" s="6">
        <f t="shared" si="1"/>
        <v>1.7488425924966577E-2</v>
      </c>
      <c r="N68" s="7"/>
      <c r="O68" s="7"/>
      <c r="P68" s="7">
        <f>24*60*SUM($M67:$M68)</f>
        <v>69.766666662180796</v>
      </c>
      <c r="Q68" s="26"/>
      <c r="R68" s="26" t="s">
        <v>665</v>
      </c>
      <c r="S68" s="38">
        <f t="shared" si="17"/>
        <v>1</v>
      </c>
      <c r="T68" s="53" t="str">
        <f t="shared" si="4"/>
        <v>Southbound</v>
      </c>
      <c r="U68" s="13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10:43:31-0600',mode:absolute,to:'2016-08-22 13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8" s="55" t="str">
        <f t="shared" si="6"/>
        <v>Y</v>
      </c>
      <c r="X68" s="127">
        <f t="shared" si="18"/>
        <v>1</v>
      </c>
      <c r="Y68" s="70">
        <f t="shared" si="8"/>
        <v>12.786300000000001</v>
      </c>
      <c r="Z68" s="70">
        <f t="shared" si="19"/>
        <v>1.43E-2</v>
      </c>
      <c r="AA68" s="70">
        <f t="shared" si="10"/>
        <v>12.772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11"/>
        <v>0156-22</v>
      </c>
      <c r="AE68" s="103" t="str">
        <f t="shared" si="12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68" s="100" t="str">
        <f t="shared" si="13"/>
        <v>"C:\Program Files (x86)\AstroGrep\AstroGrep.exe" /spath="%USERPROFILE%\AppData\Local\Temp\OnboardLogs" /stypes="*4008*20160822*"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4" t="str">
        <f t="shared" si="16"/>
        <v>"%USERPROFILE%\Documents\GitHub\eaglep3\Utilities\RefineRTDCRunTimes.py" --tripid 156-22 --locoid 4008 --swversion DE.1.0.7.0 --startMP 204:127863 --initTime 2016-08-22T11:43:31 --startdatetime 2016-08-22T11:44:44 --delay 1 --endMP 204:143 --enddatetime 2016-08-22T12:09:55 --enforcementcount 0</v>
      </c>
    </row>
    <row r="69" spans="1:34" s="1" customFormat="1" x14ac:dyDescent="0.25">
      <c r="A69" s="40" t="s">
        <v>446</v>
      </c>
      <c r="B69" s="7">
        <v>4008</v>
      </c>
      <c r="C69" s="25" t="s">
        <v>114</v>
      </c>
      <c r="D69" s="25" t="s">
        <v>391</v>
      </c>
      <c r="E69" s="16">
        <v>42604.47111111111</v>
      </c>
      <c r="F69" s="16">
        <v>42604.472754629627</v>
      </c>
      <c r="G69" s="7">
        <v>2</v>
      </c>
      <c r="H69" s="16" t="s">
        <v>448</v>
      </c>
      <c r="I69" s="16">
        <v>42604.482766203706</v>
      </c>
      <c r="J69" s="7">
        <v>0</v>
      </c>
      <c r="K69" s="140" t="str">
        <f t="shared" si="0"/>
        <v>4007/4008</v>
      </c>
      <c r="L69" s="25" t="str">
        <f>VLOOKUP(A69,'Trips&amp;Operators'!$C$1:$E$10000,3,FALSE)</f>
        <v>DAVIS</v>
      </c>
      <c r="M69" s="6">
        <f t="shared" si="1"/>
        <v>1.0011574078816921E-2</v>
      </c>
      <c r="N69" s="7"/>
      <c r="O69" s="7"/>
      <c r="P69" s="7"/>
      <c r="Q69" s="26"/>
      <c r="R69" s="26"/>
      <c r="S69" s="38"/>
      <c r="T69" s="53" t="str">
        <f t="shared" si="4"/>
        <v>Southbound</v>
      </c>
      <c r="U69" s="13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10:18:24-0600',mode:absolute,to:'2016-08-22 12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9" s="55" t="str">
        <f t="shared" si="6"/>
        <v>Y</v>
      </c>
      <c r="X69" s="127">
        <f t="shared" si="18"/>
        <v>0</v>
      </c>
      <c r="Y69" s="70">
        <f t="shared" si="8"/>
        <v>23.297699999999999</v>
      </c>
      <c r="Z69" s="70">
        <f t="shared" si="19"/>
        <v>15.794600000000001</v>
      </c>
      <c r="AA69" s="70">
        <f t="shared" si="10"/>
        <v>7.5030999999999981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11"/>
        <v>0156-22</v>
      </c>
      <c r="AE69" s="103" t="str">
        <f t="shared" si="12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69" s="100" t="str">
        <f t="shared" si="13"/>
        <v>"C:\Program Files (x86)\AstroGrep\AstroGrep.exe" /spath="%USERPROFILE%\AppData\Local\Temp\OnboardLogs" /stypes="*4008*20160822*"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4" t="str">
        <f t="shared" si="16"/>
        <v>"%USERPROFILE%\Documents\GitHub\eaglep3\Utilities\RefineRTDCRunTimes.py" --tripid 156-22 --locoid 4008 --swversion DE.1.0.7.0 --startMP 204:232977 --initTime 2016-08-22T11:18:24 --startdatetime 2016-08-22T11:20:46 --delay 2 --endMP 204:157946 --enddatetime 2016-08-22T11:35:11 --enforcementcount 0</v>
      </c>
    </row>
    <row r="70" spans="1:34" s="1" customFormat="1" x14ac:dyDescent="0.25">
      <c r="A70" s="40" t="s">
        <v>449</v>
      </c>
      <c r="B70" s="7">
        <v>4014</v>
      </c>
      <c r="C70" s="25" t="s">
        <v>114</v>
      </c>
      <c r="D70" s="25" t="s">
        <v>450</v>
      </c>
      <c r="E70" s="16">
        <v>42604.447453703702</v>
      </c>
      <c r="F70" s="16">
        <v>42604.448379629626</v>
      </c>
      <c r="G70" s="7">
        <v>1</v>
      </c>
      <c r="H70" s="16" t="s">
        <v>413</v>
      </c>
      <c r="I70" s="16">
        <v>42604.476597222223</v>
      </c>
      <c r="J70" s="7">
        <v>0</v>
      </c>
      <c r="K70" s="140" t="str">
        <f t="shared" si="0"/>
        <v>4013/4014</v>
      </c>
      <c r="L70" s="25" t="str">
        <f>VLOOKUP(A70,'Trips&amp;Operators'!$C$1:$E$10000,3,FALSE)</f>
        <v>MALAVE</v>
      </c>
      <c r="M70" s="6">
        <f t="shared" si="1"/>
        <v>2.8217592596774921E-2</v>
      </c>
      <c r="N70" s="7">
        <f t="shared" ref="N70:N92" si="22">24*60*SUM($M70:$M70)</f>
        <v>40.633333339355886</v>
      </c>
      <c r="O70" s="7"/>
      <c r="P70" s="7"/>
      <c r="Q70" s="26"/>
      <c r="R70" s="26"/>
      <c r="S70" s="38">
        <f t="shared" ref="S70:S101" si="23">SUM(U70:U70)/IF(AG70="EC",12,1)</f>
        <v>1</v>
      </c>
      <c r="T70" s="53" t="str">
        <f t="shared" si="4"/>
        <v>NorthBound</v>
      </c>
      <c r="U70" s="13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09:44:20-0600',mode:absolute,to:'2016-08-22 12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0" s="55" t="str">
        <f t="shared" si="6"/>
        <v>N</v>
      </c>
      <c r="X70" s="127">
        <f t="shared" si="18"/>
        <v>1</v>
      </c>
      <c r="Y70" s="70">
        <f t="shared" si="8"/>
        <v>4.7500000000000001E-2</v>
      </c>
      <c r="Z70" s="70">
        <f t="shared" si="19"/>
        <v>23.3278</v>
      </c>
      <c r="AA70" s="70">
        <f t="shared" si="10"/>
        <v>23.2803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11"/>
        <v>0157-22</v>
      </c>
      <c r="AE70" s="103" t="str">
        <f t="shared" si="12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70" s="100" t="str">
        <f t="shared" si="13"/>
        <v>"C:\Program Files (x86)\AstroGrep\AstroGrep.exe" /spath="%USERPROFILE%\AppData\Local\Temp\OnboardLogs" /stypes="*4014*20160822*" /stext=" 17:.+((SYSTEM_STATE.+slice.+state.+changed )|(ment ac)|(system.+state.+changed )|(\|lc)|(penalty)|(\[timeout)|(PRM\|1\|D)|(kpr)|(kdp))" /e /r /s</v>
      </c>
      <c r="AG70" s="1" t="str">
        <f t="shared" si="14"/>
        <v>EC</v>
      </c>
      <c r="AH70" s="104" t="str">
        <f t="shared" si="16"/>
        <v>"%USERPROFILE%\Documents\GitHub\eaglep3\Utilities\RefineRTDCRunTimes.py" --tripid 157-22 --locoid 4014 --swversion DE.1.0.7.0 --startMP 204:475 --initTime 2016-08-22T10:44:20 --startdatetime 2016-08-22T10:45:40 --delay 1 --endMP 204:233278 --enddatetime 2016-08-22T11:26:18 --enforcementcount 0</v>
      </c>
    </row>
    <row r="71" spans="1:34" s="1" customFormat="1" x14ac:dyDescent="0.25">
      <c r="A71" s="40" t="s">
        <v>346</v>
      </c>
      <c r="B71" s="7">
        <v>4013</v>
      </c>
      <c r="C71" s="25" t="s">
        <v>114</v>
      </c>
      <c r="D71" s="25" t="s">
        <v>320</v>
      </c>
      <c r="E71" s="16">
        <v>42604.485636574071</v>
      </c>
      <c r="F71" s="16">
        <v>42604.487013888887</v>
      </c>
      <c r="G71" s="7">
        <v>1</v>
      </c>
      <c r="H71" s="16" t="s">
        <v>209</v>
      </c>
      <c r="I71" s="16">
        <v>42604.522499999999</v>
      </c>
      <c r="J71" s="7">
        <v>0</v>
      </c>
      <c r="K71" s="140" t="str">
        <f t="shared" si="0"/>
        <v>4013/4014</v>
      </c>
      <c r="L71" s="25" t="str">
        <f>VLOOKUP(A71,'Trips&amp;Operators'!$C$1:$E$10000,3,FALSE)</f>
        <v>MALAVE</v>
      </c>
      <c r="M71" s="6">
        <f t="shared" si="1"/>
        <v>3.5486111111822538E-2</v>
      </c>
      <c r="N71" s="7">
        <f t="shared" si="22"/>
        <v>51.100000001024455</v>
      </c>
      <c r="O71" s="7"/>
      <c r="P71" s="7"/>
      <c r="Q71" s="26"/>
      <c r="R71" s="26"/>
      <c r="S71" s="38">
        <f t="shared" si="23"/>
        <v>1</v>
      </c>
      <c r="T71" s="53" t="str">
        <f t="shared" si="4"/>
        <v>Southbound</v>
      </c>
      <c r="U71" s="13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10:39:19-0600',mode:absolute,to:'2016-08-22 13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1" s="55" t="str">
        <f t="shared" si="6"/>
        <v>N</v>
      </c>
      <c r="X71" s="127">
        <f t="shared" si="18"/>
        <v>1</v>
      </c>
      <c r="Y71" s="70">
        <f t="shared" si="8"/>
        <v>23.2959</v>
      </c>
      <c r="Z71" s="70">
        <f t="shared" si="19"/>
        <v>1.4500000000000001E-2</v>
      </c>
      <c r="AA71" s="70">
        <f t="shared" si="10"/>
        <v>23.281399999999998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11"/>
        <v>0158-22</v>
      </c>
      <c r="AE71" s="103" t="str">
        <f t="shared" si="12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71" s="100" t="str">
        <f t="shared" si="13"/>
        <v>"C:\Program Files (x86)\AstroGrep\AstroGrep.exe" /spath="%USERPROFILE%\AppData\Local\Temp\OnboardLogs" /stypes="*4013*20160822*" /stext=" 18:.+((SYSTEM_STATE.+slice.+state.+changed )|(ment ac)|(system.+state.+changed )|(\|lc)|(penalty)|(\[timeout)|(PRM\|1\|D)|(kpr)|(kdp))" /e /r /s</v>
      </c>
      <c r="AG71" s="1" t="str">
        <f t="shared" si="14"/>
        <v>EC</v>
      </c>
      <c r="AH71" s="104" t="str">
        <f t="shared" si="16"/>
        <v>"%USERPROFILE%\Documents\GitHub\eaglep3\Utilities\RefineRTDCRunTimes.py" --tripid 158-22 --locoid 4013 --swversion DE.1.0.7.0 --startMP 204:232959 --initTime 2016-08-22T11:39:19 --startdatetime 2016-08-22T11:41:18 --delay 1 --endMP 204:145 --enddatetime 2016-08-22T12:32:24 --enforcementcount 0</v>
      </c>
    </row>
    <row r="72" spans="1:34" x14ac:dyDescent="0.25">
      <c r="A72" s="40" t="s">
        <v>451</v>
      </c>
      <c r="B72" s="7">
        <v>4038</v>
      </c>
      <c r="C72" s="25" t="s">
        <v>114</v>
      </c>
      <c r="D72" s="25" t="s">
        <v>134</v>
      </c>
      <c r="E72" s="16">
        <v>42604.455289351848</v>
      </c>
      <c r="F72" s="16">
        <v>42604.456956018519</v>
      </c>
      <c r="G72" s="7">
        <v>2</v>
      </c>
      <c r="H72" s="16" t="s">
        <v>452</v>
      </c>
      <c r="I72" s="16">
        <v>42604.492025462961</v>
      </c>
      <c r="J72" s="7">
        <v>0</v>
      </c>
      <c r="K72" s="140" t="str">
        <f t="shared" si="0"/>
        <v>4037/4038</v>
      </c>
      <c r="L72" s="25" t="str">
        <f>VLOOKUP(A72,'Trips&amp;Operators'!$C$1:$E$10000,3,FALSE)</f>
        <v>STEWART</v>
      </c>
      <c r="M72" s="6">
        <f t="shared" si="1"/>
        <v>3.5069444442342501E-2</v>
      </c>
      <c r="N72" s="7">
        <f t="shared" si="22"/>
        <v>50.499999996973202</v>
      </c>
      <c r="O72" s="7"/>
      <c r="P72" s="7"/>
      <c r="Q72" s="26"/>
      <c r="R72" s="26"/>
      <c r="S72" s="38">
        <f t="shared" si="23"/>
        <v>1</v>
      </c>
      <c r="T72" s="53" t="str">
        <f t="shared" si="4"/>
        <v>NorthBound</v>
      </c>
      <c r="U72" s="13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09:55:37-0600',mode:absolute,to:'2016-08-22 12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2" s="55" t="str">
        <f t="shared" si="6"/>
        <v>N</v>
      </c>
      <c r="X72" s="127">
        <f t="shared" si="18"/>
        <v>1</v>
      </c>
      <c r="Y72" s="70">
        <f t="shared" si="8"/>
        <v>4.53E-2</v>
      </c>
      <c r="Z72" s="70">
        <f t="shared" si="19"/>
        <v>23.334399999999999</v>
      </c>
      <c r="AA72" s="70">
        <f t="shared" si="10"/>
        <v>23.289099999999998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11"/>
        <v>0159-22</v>
      </c>
      <c r="AE72" s="103" t="str">
        <f t="shared" si="12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72" s="100" t="str">
        <f t="shared" si="13"/>
        <v>"C:\Program Files (x86)\AstroGrep\AstroGrep.exe" /spath="%USERPROFILE%\AppData\Local\Temp\OnboardLogs" /stypes="*4038*20160822*" /stext=" 17:.+((SYSTEM_STATE.+slice.+state.+changed )|(ment ac)|(system.+state.+changed )|(\|lc)|(penalty)|(\[timeout)|(PRM\|1\|D)|(kpr)|(kdp))" /e /r /s</v>
      </c>
      <c r="AG72" s="1" t="str">
        <f t="shared" si="14"/>
        <v>EC</v>
      </c>
      <c r="AH72" s="104" t="str">
        <f t="shared" si="16"/>
        <v>"%USERPROFILE%\Documents\GitHub\eaglep3\Utilities\RefineRTDCRunTimes.py" --tripid 159-22 --locoid 4038 --swversion DE.1.0.7.0 --startMP 204:453 --initTime 2016-08-22T10:55:37 --startdatetime 2016-08-22T10:58:01 --delay 2 --endMP 204:233344 --enddatetime 2016-08-22T11:48:31 --enforcementcount 0</v>
      </c>
    </row>
    <row r="73" spans="1:34" s="24" customFormat="1" x14ac:dyDescent="0.25">
      <c r="A73" s="40" t="s">
        <v>453</v>
      </c>
      <c r="B73" s="7">
        <v>4037</v>
      </c>
      <c r="C73" s="25" t="s">
        <v>114</v>
      </c>
      <c r="D73" s="25" t="s">
        <v>302</v>
      </c>
      <c r="E73" s="16">
        <v>42604.496122685188</v>
      </c>
      <c r="F73" s="16">
        <v>42604.49728009259</v>
      </c>
      <c r="G73" s="7">
        <v>1</v>
      </c>
      <c r="H73" s="16" t="s">
        <v>90</v>
      </c>
      <c r="I73" s="16">
        <v>42604.536481481482</v>
      </c>
      <c r="J73" s="7">
        <v>0</v>
      </c>
      <c r="K73" s="140" t="str">
        <f t="shared" si="0"/>
        <v>4037/4038</v>
      </c>
      <c r="L73" s="25" t="str">
        <f>VLOOKUP(A73,'Trips&amp;Operators'!$C$1:$E$10000,3,FALSE)</f>
        <v>STEWART</v>
      </c>
      <c r="M73" s="6">
        <f t="shared" si="1"/>
        <v>3.9201388892251998E-2</v>
      </c>
      <c r="N73" s="7">
        <f t="shared" si="22"/>
        <v>56.450000004842877</v>
      </c>
      <c r="O73" s="7"/>
      <c r="P73" s="7"/>
      <c r="Q73" s="26"/>
      <c r="R73" s="26"/>
      <c r="S73" s="38">
        <f t="shared" si="23"/>
        <v>1</v>
      </c>
      <c r="T73" s="53" t="str">
        <f t="shared" si="4"/>
        <v>Southbound</v>
      </c>
      <c r="U73" s="13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10:54:25-0600',mode:absolute,to:'2016-08-22 13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3" s="55" t="str">
        <f t="shared" si="6"/>
        <v>N</v>
      </c>
      <c r="X73" s="127">
        <f t="shared" si="18"/>
        <v>1</v>
      </c>
      <c r="Y73" s="70">
        <f t="shared" si="8"/>
        <v>23.301500000000001</v>
      </c>
      <c r="Z73" s="70">
        <f t="shared" si="19"/>
        <v>1.43E-2</v>
      </c>
      <c r="AA73" s="70">
        <f t="shared" si="10"/>
        <v>23.287200000000002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11"/>
        <v>0160-22</v>
      </c>
      <c r="AE73" s="103" t="str">
        <f t="shared" si="12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73" s="100" t="str">
        <f t="shared" si="13"/>
        <v>"C:\Program Files (x86)\AstroGrep\AstroGrep.exe" /spath="%USERPROFILE%\AppData\Local\Temp\OnboardLogs" /stypes="*4037*20160822*" /stext=" 18:.+((SYSTEM_STATE.+slice.+state.+changed )|(ment ac)|(system.+state.+changed )|(\|lc)|(penalty)|(\[timeout)|(PRM\|1\|D)|(kpr)|(kdp))" /e /r /s</v>
      </c>
      <c r="AG73" s="1" t="str">
        <f t="shared" si="14"/>
        <v>EC</v>
      </c>
      <c r="AH73" s="104" t="str">
        <f t="shared" si="16"/>
        <v>"%USERPROFILE%\Documents\GitHub\eaglep3\Utilities\RefineRTDCRunTimes.py" --tripid 160-22 --locoid 4037 --swversion DE.1.0.7.0 --startMP 204:233015 --initTime 2016-08-22T11:54:25 --startdatetime 2016-08-22T11:56:05 --delay 1 --endMP 204:143 --enddatetime 2016-08-22T12:52:32 --enforcementcount 0</v>
      </c>
    </row>
    <row r="74" spans="1:34" x14ac:dyDescent="0.25">
      <c r="A74" s="40" t="s">
        <v>454</v>
      </c>
      <c r="B74" s="7">
        <v>4018</v>
      </c>
      <c r="C74" s="25" t="s">
        <v>114</v>
      </c>
      <c r="D74" s="25" t="s">
        <v>159</v>
      </c>
      <c r="E74" s="16">
        <v>42604.467291666668</v>
      </c>
      <c r="F74" s="16">
        <v>42604.468194444446</v>
      </c>
      <c r="G74" s="7">
        <v>1</v>
      </c>
      <c r="H74" s="16" t="s">
        <v>321</v>
      </c>
      <c r="I74" s="16">
        <v>42604.496006944442</v>
      </c>
      <c r="J74" s="7">
        <v>0</v>
      </c>
      <c r="K74" s="140" t="str">
        <f t="shared" si="0"/>
        <v>4017/4018</v>
      </c>
      <c r="L74" s="25" t="str">
        <f>VLOOKUP(A74,'Trips&amp;Operators'!$C$1:$E$10000,3,FALSE)</f>
        <v>BARTLETT</v>
      </c>
      <c r="M74" s="6">
        <f t="shared" si="1"/>
        <v>2.7812499996798579E-2</v>
      </c>
      <c r="N74" s="7">
        <f t="shared" si="22"/>
        <v>40.049999995389953</v>
      </c>
      <c r="O74" s="7"/>
      <c r="P74" s="7"/>
      <c r="Q74" s="26"/>
      <c r="R74" s="26"/>
      <c r="S74" s="38">
        <f t="shared" si="23"/>
        <v>1</v>
      </c>
      <c r="T74" s="53" t="str">
        <f t="shared" si="4"/>
        <v>NorthBound</v>
      </c>
      <c r="U74" s="13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10:12:54-0600',mode:absolute,to:'2016-08-22 12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4" s="55" t="str">
        <f t="shared" si="6"/>
        <v>N</v>
      </c>
      <c r="X74" s="127">
        <f t="shared" si="18"/>
        <v>1</v>
      </c>
      <c r="Y74" s="70">
        <f t="shared" si="8"/>
        <v>4.5100000000000001E-2</v>
      </c>
      <c r="Z74" s="70">
        <f t="shared" si="19"/>
        <v>23.3339</v>
      </c>
      <c r="AA74" s="70">
        <f t="shared" si="10"/>
        <v>23.288799999999998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11"/>
        <v>0161-22</v>
      </c>
      <c r="AE74" s="103" t="str">
        <f t="shared" si="12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74" s="100" t="str">
        <f t="shared" si="13"/>
        <v>"C:\Program Files (x86)\AstroGrep\AstroGrep.exe" /spath="%USERPROFILE%\AppData\Local\Temp\OnboardLogs" /stypes="*4018*20160822*" /stext=" 17:.+((SYSTEM_STATE.+slice.+state.+changed )|(ment ac)|(system.+state.+changed )|(\|lc)|(penalty)|(\[timeout)|(PRM\|1\|D)|(kpr)|(kdp))" /e /r /s</v>
      </c>
      <c r="AG74" s="1" t="str">
        <f t="shared" si="14"/>
        <v>EC</v>
      </c>
      <c r="AH74" s="104" t="str">
        <f t="shared" si="16"/>
        <v>"%USERPROFILE%\Documents\GitHub\eaglep3\Utilities\RefineRTDCRunTimes.py" --tripid 161-22 --locoid 4018 --swversion DE.1.0.7.0 --startMP 204:451 --initTime 2016-08-22T11:12:54 --startdatetime 2016-08-22T11:14:12 --delay 1 --endMP 204:233339 --enddatetime 2016-08-22T11:54:15 --enforcementcount 0</v>
      </c>
    </row>
    <row r="75" spans="1:34" x14ac:dyDescent="0.25">
      <c r="A75" s="40" t="s">
        <v>455</v>
      </c>
      <c r="B75" s="7">
        <v>4017</v>
      </c>
      <c r="C75" s="25" t="s">
        <v>114</v>
      </c>
      <c r="D75" s="25" t="s">
        <v>456</v>
      </c>
      <c r="E75" s="16">
        <v>42604.497777777775</v>
      </c>
      <c r="F75" s="16">
        <v>42604.498749999999</v>
      </c>
      <c r="G75" s="7">
        <v>1</v>
      </c>
      <c r="H75" s="16" t="s">
        <v>457</v>
      </c>
      <c r="I75" s="16">
        <v>42604.540694444448</v>
      </c>
      <c r="J75" s="7">
        <v>0</v>
      </c>
      <c r="K75" s="140" t="str">
        <f t="shared" si="0"/>
        <v>4017/4018</v>
      </c>
      <c r="L75" s="25" t="str">
        <f>VLOOKUP(A75,'Trips&amp;Operators'!$C$1:$E$10000,3,FALSE)</f>
        <v>BARTLETT</v>
      </c>
      <c r="M75" s="6">
        <f t="shared" si="1"/>
        <v>4.1944444448745344E-2</v>
      </c>
      <c r="N75" s="7">
        <f t="shared" si="22"/>
        <v>60.400000006193295</v>
      </c>
      <c r="O75" s="7"/>
      <c r="P75" s="7"/>
      <c r="Q75" s="26"/>
      <c r="R75" s="26"/>
      <c r="S75" s="38">
        <f t="shared" si="23"/>
        <v>1</v>
      </c>
      <c r="T75" s="53" t="str">
        <f t="shared" si="4"/>
        <v>Southbound</v>
      </c>
      <c r="U75" s="13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10:56:48-0600',mode:absolute,to:'2016-08-22 13:58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5" s="55" t="str">
        <f t="shared" si="6"/>
        <v>N</v>
      </c>
      <c r="X75" s="127">
        <f t="shared" si="18"/>
        <v>1</v>
      </c>
      <c r="Y75" s="70">
        <f t="shared" si="8"/>
        <v>23.302299999999999</v>
      </c>
      <c r="Z75" s="70">
        <f t="shared" si="19"/>
        <v>3.2500000000000001E-2</v>
      </c>
      <c r="AA75" s="70">
        <f t="shared" si="10"/>
        <v>23.2698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11"/>
        <v>0162-22</v>
      </c>
      <c r="AE75" s="103" t="str">
        <f t="shared" si="12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75" s="100" t="str">
        <f t="shared" si="13"/>
        <v>"C:\Program Files (x86)\AstroGrep\AstroGrep.exe" /spath="%USERPROFILE%\AppData\Local\Temp\OnboardLogs" /stypes="*4017*20160822*"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4" t="str">
        <f t="shared" si="16"/>
        <v>"%USERPROFILE%\Documents\GitHub\eaglep3\Utilities\RefineRTDCRunTimes.py" --tripid 162-22 --locoid 4017 --swversion DE.1.0.7.0 --startMP 204:233023 --initTime 2016-08-22T11:56:48 --startdatetime 2016-08-22T11:58:12 --delay 1 --endMP 204:325 --enddatetime 2016-08-22T12:58:36 --enforcementcount 0</v>
      </c>
    </row>
    <row r="76" spans="1:34" x14ac:dyDescent="0.25">
      <c r="A76" s="40" t="s">
        <v>458</v>
      </c>
      <c r="B76" s="7">
        <v>4020</v>
      </c>
      <c r="C76" s="25" t="s">
        <v>114</v>
      </c>
      <c r="D76" s="25" t="s">
        <v>159</v>
      </c>
      <c r="E76" s="16">
        <v>42604.478576388887</v>
      </c>
      <c r="F76" s="16">
        <v>42604.480682870373</v>
      </c>
      <c r="G76" s="7">
        <v>3</v>
      </c>
      <c r="H76" s="16" t="s">
        <v>459</v>
      </c>
      <c r="I76" s="16">
        <v>42604.50849537037</v>
      </c>
      <c r="J76" s="7">
        <v>0</v>
      </c>
      <c r="K76" s="140" t="str">
        <f t="shared" si="0"/>
        <v>4019/4020</v>
      </c>
      <c r="L76" s="25" t="str">
        <f>VLOOKUP(A76,'Trips&amp;Operators'!$C$1:$E$10000,3,FALSE)</f>
        <v>ROBINSON</v>
      </c>
      <c r="M76" s="6">
        <f t="shared" si="1"/>
        <v>2.7812499996798579E-2</v>
      </c>
      <c r="N76" s="7">
        <f t="shared" si="22"/>
        <v>40.049999995389953</v>
      </c>
      <c r="O76" s="7"/>
      <c r="P76" s="7"/>
      <c r="Q76" s="26"/>
      <c r="R76" s="26"/>
      <c r="S76" s="38">
        <f t="shared" si="23"/>
        <v>1</v>
      </c>
      <c r="T76" s="53" t="str">
        <f t="shared" si="4"/>
        <v>NorthBound</v>
      </c>
      <c r="U76" s="13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0" t="str">
        <f t="shared" si="5"/>
        <v>https://search-rtdc-monitor-bjffxe2xuh6vdkpspy63sjmuny.us-east-1.es.amazonaws.com/_plugin/kibana/#/discover/Steve-Slow-Train-Analysis-(2080s-and-2083s)?_g=(refreshInterval:(display:Off,section:0,value:0),time:(from:'2016-08-22 10:29:09-0600',mode:absolute,to:'2016-08-22 13:12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6" s="55" t="str">
        <f t="shared" si="6"/>
        <v>N</v>
      </c>
      <c r="X76" s="127">
        <f t="shared" si="18"/>
        <v>1</v>
      </c>
      <c r="Y76" s="70">
        <f t="shared" si="8"/>
        <v>4.5100000000000001E-2</v>
      </c>
      <c r="Z76" s="70">
        <f t="shared" si="19"/>
        <v>23.3325</v>
      </c>
      <c r="AA76" s="70">
        <f t="shared" si="10"/>
        <v>23.287399999999998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11"/>
        <v>0163-22</v>
      </c>
      <c r="AE76" s="103" t="str">
        <f t="shared" si="12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76" s="100" t="str">
        <f t="shared" si="13"/>
        <v>"C:\Program Files (x86)\AstroGrep\AstroGrep.exe" /spath="%USERPROFILE%\AppData\Local\Temp\OnboardLogs" /stypes="*4020*20160822*"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4" t="str">
        <f t="shared" si="16"/>
        <v>"%USERPROFILE%\Documents\GitHub\eaglep3\Utilities\RefineRTDCRunTimes.py" --tripid 163-22 --locoid 4020 --swversion DE.1.0.7.0 --startMP 204:451 --initTime 2016-08-22T11:29:09 --startdatetime 2016-08-22T11:32:11 --delay 3 --endMP 204:233325 --enddatetime 2016-08-22T12:12:14 --enforcementcount 0</v>
      </c>
    </row>
    <row r="77" spans="1:34" s="24" customFormat="1" x14ac:dyDescent="0.25">
      <c r="A77" s="40" t="s">
        <v>460</v>
      </c>
      <c r="B77" s="7">
        <v>4019</v>
      </c>
      <c r="C77" s="25" t="s">
        <v>114</v>
      </c>
      <c r="D77" s="25" t="s">
        <v>300</v>
      </c>
      <c r="E77" s="16">
        <v>42604.511388888888</v>
      </c>
      <c r="F77" s="16">
        <v>42604.512615740743</v>
      </c>
      <c r="G77" s="7">
        <v>1</v>
      </c>
      <c r="H77" s="16" t="s">
        <v>157</v>
      </c>
      <c r="I77" s="16">
        <v>42604.549837962964</v>
      </c>
      <c r="J77" s="7">
        <v>0</v>
      </c>
      <c r="K77" s="140" t="str">
        <f t="shared" ref="K77:K140" si="24">IF(ISEVEN(B77),(B77-1)&amp;"/"&amp;B77,B77&amp;"/"&amp;(B77+1))</f>
        <v>4019/4020</v>
      </c>
      <c r="L77" s="25" t="str">
        <f>VLOOKUP(A77,'Trips&amp;Operators'!$C$1:$E$10000,3,FALSE)</f>
        <v>ROBINSON</v>
      </c>
      <c r="M77" s="6">
        <f t="shared" ref="M77:M140" si="25">I77-F77</f>
        <v>3.722222222131677E-2</v>
      </c>
      <c r="N77" s="7">
        <f t="shared" si="22"/>
        <v>53.599999998696148</v>
      </c>
      <c r="O77" s="7"/>
      <c r="P77" s="7"/>
      <c r="Q77" s="26"/>
      <c r="R77" s="26"/>
      <c r="S77" s="38">
        <f t="shared" si="23"/>
        <v>1</v>
      </c>
      <c r="T77" s="53" t="str">
        <f t="shared" ref="T77:T140" si="26">IF(ISEVEN(LEFT(AD77,4)),"Southbound","NorthBound")</f>
        <v>Southbound</v>
      </c>
      <c r="U77" s="13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0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https://search-rtdc-monitor-bjffxe2xuh6vdkpspy63sjmuny.us-east-1.es.amazonaws.com/_plugin/kibana/#/discover/Steve-Slow-Train-Analysis-(2080s-and-2083s)?_g=(refreshInterval:(display:Off,section:0,value:0),time:(from:'2016-08-22 11:16:24-0600',mode:absolute,to:'2016-08-22 14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7" s="55" t="str">
        <f t="shared" ref="W77:W140" si="28">IF(AA77&lt;IF(AG77="EC",23,5.65),"Y","N")</f>
        <v>N</v>
      </c>
      <c r="X77" s="127">
        <f t="shared" ref="X77:X90" si="29">VALUE(LEFT(AD77,4))-VALUE(LEFT(AD76,4))</f>
        <v>1</v>
      </c>
      <c r="Y77" s="70">
        <f t="shared" ref="Y77:Y140" si="30">RIGHT(D77,LEN(D77)-4)/10000</f>
        <v>23.300599999999999</v>
      </c>
      <c r="Z77" s="70">
        <f t="shared" ref="Z77:Z108" si="31">RIGHT(H77,LEN(H77)-4)/10000</f>
        <v>1.5599999999999999E-2</v>
      </c>
      <c r="AA77" s="70">
        <f t="shared" ref="AA77:AA140" si="32">ABS(Z77-Y77)</f>
        <v>23.285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ref="AD77:AD140" si="33">IF(LEN(A77)=6,"0"&amp;A77,A77)</f>
        <v>0164-22</v>
      </c>
      <c r="AE77" s="103" t="str">
        <f t="shared" ref="AE77:AE140" si="3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77" s="100" t="str">
        <f t="shared" ref="AF77:AF140" si="35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/stypes="*4019*20160822*" /stext=" 19:.+((SYSTEM_STATE.+slice.+state.+changed )|(ment ac)|(system.+state.+changed )|(\|lc)|(penalty)|(\[timeout)|(PRM\|1\|D)|(kpr)|(kdp))"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104" t="str">
        <f t="shared" si="16"/>
        <v>"%USERPROFILE%\Documents\GitHub\eaglep3\Utilities\RefineRTDCRunTimes.py" --tripid 164-22 --locoid 4019 --swversion DE.1.0.7.0 --startMP 204:233006 --initTime 2016-08-22T12:16:24 --startdatetime 2016-08-22T12:18:10 --delay 1 --endMP 204:156 --enddatetime 2016-08-22T13:11:46 --enforcementcount 0</v>
      </c>
    </row>
    <row r="78" spans="1:34" x14ac:dyDescent="0.25">
      <c r="A78" s="40" t="s">
        <v>347</v>
      </c>
      <c r="B78" s="7">
        <v>4044</v>
      </c>
      <c r="C78" s="25" t="s">
        <v>114</v>
      </c>
      <c r="D78" s="25" t="s">
        <v>264</v>
      </c>
      <c r="E78" s="16">
        <v>42604.487083333333</v>
      </c>
      <c r="F78" s="16">
        <v>42604.488159722219</v>
      </c>
      <c r="G78" s="7">
        <v>1</v>
      </c>
      <c r="H78" s="16" t="s">
        <v>231</v>
      </c>
      <c r="I78" s="16">
        <v>42604.520914351851</v>
      </c>
      <c r="J78" s="7">
        <v>0</v>
      </c>
      <c r="K78" s="140" t="str">
        <f t="shared" si="24"/>
        <v>4043/4044</v>
      </c>
      <c r="L78" s="25" t="str">
        <f>VLOOKUP(A78,'Trips&amp;Operators'!$C$1:$E$10000,3,FALSE)</f>
        <v>BEAM</v>
      </c>
      <c r="M78" s="6">
        <f t="shared" si="25"/>
        <v>3.2754629632108845E-2</v>
      </c>
      <c r="N78" s="7">
        <f t="shared" si="22"/>
        <v>47.166666670236737</v>
      </c>
      <c r="O78" s="7"/>
      <c r="P78" s="7"/>
      <c r="Q78" s="26"/>
      <c r="R78" s="26"/>
      <c r="S78" s="38">
        <f t="shared" si="23"/>
        <v>1</v>
      </c>
      <c r="T78" s="53" t="str">
        <f t="shared" si="26"/>
        <v>NorthBound</v>
      </c>
      <c r="U78" s="13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10:41:24-0600',mode:absolute,to:'2016-08-22 13:30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8" s="55" t="str">
        <f t="shared" si="28"/>
        <v>N</v>
      </c>
      <c r="X78" s="127">
        <f t="shared" si="29"/>
        <v>1</v>
      </c>
      <c r="Y78" s="70">
        <f t="shared" si="30"/>
        <v>4.7300000000000002E-2</v>
      </c>
      <c r="Z78" s="70">
        <f t="shared" si="31"/>
        <v>23.328800000000001</v>
      </c>
      <c r="AA78" s="70">
        <f t="shared" si="32"/>
        <v>23.281500000000001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33"/>
        <v>0165-22</v>
      </c>
      <c r="AE78" s="103" t="str">
        <f t="shared" si="34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78" s="100" t="str">
        <f t="shared" si="35"/>
        <v>"C:\Program Files (x86)\AstroGrep\AstroGrep.exe" /spath="%USERPROFILE%\AppData\Local\Temp\OnboardLogs" /stypes="*4044*20160822*" /stext=" 18:.+((SYSTEM_STATE.+slice.+state.+changed )|(ment ac)|(system.+state.+changed )|(\|lc)|(penalty)|(\[timeout)|(PRM\|1\|D)|(kpr)|(kdp))" /e /r /s</v>
      </c>
      <c r="AG78" s="1" t="str">
        <f t="shared" si="36"/>
        <v>EC</v>
      </c>
      <c r="AH78" s="104" t="str">
        <f t="shared" ref="AH78:AH140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165-22 --locoid 4044 --swversion DE.1.0.7.0 --startMP 204:473 --initTime 2016-08-22T11:41:24 --startdatetime 2016-08-22T11:42:57 --delay 1 --endMP 204:233288 --enddatetime 2016-08-22T12:30:07 --enforcementcount 0</v>
      </c>
    </row>
    <row r="79" spans="1:34" x14ac:dyDescent="0.25">
      <c r="A79" s="40" t="s">
        <v>461</v>
      </c>
      <c r="B79" s="7">
        <v>4043</v>
      </c>
      <c r="C79" s="25" t="s">
        <v>114</v>
      </c>
      <c r="D79" s="25" t="s">
        <v>200</v>
      </c>
      <c r="E79" s="16">
        <v>42604.524722222224</v>
      </c>
      <c r="F79" s="16">
        <v>42604.525543981479</v>
      </c>
      <c r="G79" s="7">
        <v>1</v>
      </c>
      <c r="H79" s="16" t="s">
        <v>157</v>
      </c>
      <c r="I79" s="16">
        <v>42604.560081018521</v>
      </c>
      <c r="J79" s="7">
        <v>0</v>
      </c>
      <c r="K79" s="140" t="str">
        <f t="shared" si="24"/>
        <v>4043/4044</v>
      </c>
      <c r="L79" s="25" t="str">
        <f>VLOOKUP(A79,'Trips&amp;Operators'!$C$1:$E$10000,3,FALSE)</f>
        <v>BEAM</v>
      </c>
      <c r="M79" s="6">
        <f t="shared" si="25"/>
        <v>3.4537037041445728E-2</v>
      </c>
      <c r="N79" s="7">
        <f t="shared" si="22"/>
        <v>49.733333339681849</v>
      </c>
      <c r="O79" s="7"/>
      <c r="P79" s="7"/>
      <c r="Q79" s="26"/>
      <c r="R79" s="26"/>
      <c r="S79" s="38">
        <f t="shared" si="23"/>
        <v>1</v>
      </c>
      <c r="T79" s="53" t="str">
        <f t="shared" si="26"/>
        <v>Southbound</v>
      </c>
      <c r="U79" s="13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11:35:36-0600',mode:absolute,to:'2016-08-22 14:26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9" s="55" t="str">
        <f t="shared" si="28"/>
        <v>N</v>
      </c>
      <c r="X79" s="127">
        <f t="shared" si="29"/>
        <v>1</v>
      </c>
      <c r="Y79" s="70">
        <f t="shared" si="30"/>
        <v>23.2973</v>
      </c>
      <c r="Z79" s="70">
        <f t="shared" si="31"/>
        <v>1.5599999999999999E-2</v>
      </c>
      <c r="AA79" s="70">
        <f t="shared" si="32"/>
        <v>23.281700000000001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33"/>
        <v>0166-22</v>
      </c>
      <c r="AE79" s="103" t="str">
        <f t="shared" si="34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79" s="100" t="str">
        <f t="shared" si="35"/>
        <v>"C:\Program Files (x86)\AstroGrep\AstroGrep.exe" /spath="%USERPROFILE%\AppData\Local\Temp\OnboardLogs" /stypes="*4043*20160822*" /stext=" 19:.+((SYSTEM_STATE.+slice.+state.+changed )|(ment ac)|(system.+state.+changed )|(\|lc)|(penalty)|(\[timeout)|(PRM\|1\|D)|(kpr)|(kdp))" /e /r /s</v>
      </c>
      <c r="AG79" s="1" t="str">
        <f t="shared" si="36"/>
        <v>EC</v>
      </c>
      <c r="AH79" s="104" t="str">
        <f t="shared" si="37"/>
        <v>"%USERPROFILE%\Documents\GitHub\eaglep3\Utilities\RefineRTDCRunTimes.py" --tripid 166-22 --locoid 4043 --swversion DE.1.0.7.0 --startMP 204:232973 --initTime 2016-08-22T12:35:36 --startdatetime 2016-08-22T12:36:47 --delay 1 --endMP 204:156 --enddatetime 2016-08-22T13:26:31 --enforcementcount 0</v>
      </c>
    </row>
    <row r="80" spans="1:34" x14ac:dyDescent="0.25">
      <c r="A80" s="40" t="s">
        <v>462</v>
      </c>
      <c r="B80" s="7">
        <v>4009</v>
      </c>
      <c r="C80" s="25" t="s">
        <v>114</v>
      </c>
      <c r="D80" s="25" t="s">
        <v>159</v>
      </c>
      <c r="E80" s="16">
        <v>42604.498425925929</v>
      </c>
      <c r="F80" s="16">
        <v>42604.499918981484</v>
      </c>
      <c r="G80" s="7">
        <v>2</v>
      </c>
      <c r="H80" s="16" t="s">
        <v>185</v>
      </c>
      <c r="I80" s="16">
        <v>42604.527268518519</v>
      </c>
      <c r="J80" s="7">
        <v>0</v>
      </c>
      <c r="K80" s="140" t="str">
        <f t="shared" si="24"/>
        <v>4009/4010</v>
      </c>
      <c r="L80" s="25" t="str">
        <f>VLOOKUP(A80,'Trips&amp;Operators'!$C$1:$E$10000,3,FALSE)</f>
        <v>DE LA ROSA</v>
      </c>
      <c r="M80" s="6">
        <f t="shared" si="25"/>
        <v>2.7349537034751847E-2</v>
      </c>
      <c r="N80" s="7">
        <f t="shared" si="22"/>
        <v>39.38333333004266</v>
      </c>
      <c r="O80" s="7"/>
      <c r="P80" s="7"/>
      <c r="Q80" s="26"/>
      <c r="R80" s="26"/>
      <c r="S80" s="38">
        <f t="shared" si="23"/>
        <v>1</v>
      </c>
      <c r="T80" s="53" t="str">
        <f t="shared" si="26"/>
        <v>NorthBound</v>
      </c>
      <c r="U80" s="13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10:57:44-0600',mode:absolute,to:'2016-08-22 13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0" s="55" t="str">
        <f t="shared" si="28"/>
        <v>N</v>
      </c>
      <c r="X80" s="127">
        <f t="shared" si="29"/>
        <v>1</v>
      </c>
      <c r="Y80" s="70">
        <f t="shared" si="30"/>
        <v>4.5100000000000001E-2</v>
      </c>
      <c r="Z80" s="70">
        <f t="shared" si="31"/>
        <v>23.329499999999999</v>
      </c>
      <c r="AA80" s="70">
        <f t="shared" si="32"/>
        <v>23.284399999999998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33"/>
        <v>0167-22</v>
      </c>
      <c r="AE80" s="103" t="str">
        <f t="shared" si="34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80" s="100" t="str">
        <f t="shared" si="35"/>
        <v>"C:\Program Files (x86)\AstroGrep\AstroGrep.exe" /spath="%USERPROFILE%\AppData\Local\Temp\OnboardLogs" /stypes="*4009*20160822*" /stext=" 18:.+((SYSTEM_STATE.+slice.+state.+changed )|(ment ac)|(system.+state.+changed )|(\|lc)|(penalty)|(\[timeout)|(PRM\|1\|D)|(kpr)|(kdp))" /e /r /s</v>
      </c>
      <c r="AG80" s="1" t="str">
        <f t="shared" si="36"/>
        <v>EC</v>
      </c>
      <c r="AH80" s="104" t="str">
        <f t="shared" si="37"/>
        <v>"%USERPROFILE%\Documents\GitHub\eaglep3\Utilities\RefineRTDCRunTimes.py" --tripid 167-22 --locoid 4009 --swversion DE.1.0.7.0 --startMP 204:451 --initTime 2016-08-22T11:57:44 --startdatetime 2016-08-22T11:59:53 --delay 2 --endMP 204:233295 --enddatetime 2016-08-22T12:39:16 --enforcementcount 0</v>
      </c>
    </row>
    <row r="81" spans="1:34" x14ac:dyDescent="0.25">
      <c r="A81" s="40" t="s">
        <v>463</v>
      </c>
      <c r="B81" s="7">
        <v>4010</v>
      </c>
      <c r="C81" s="25" t="s">
        <v>114</v>
      </c>
      <c r="D81" s="25" t="s">
        <v>283</v>
      </c>
      <c r="E81" s="16">
        <v>42604.534131944441</v>
      </c>
      <c r="F81" s="16">
        <v>42604.535381944443</v>
      </c>
      <c r="G81" s="7">
        <v>1</v>
      </c>
      <c r="H81" s="16" t="s">
        <v>90</v>
      </c>
      <c r="I81" s="16">
        <v>42604.56627314815</v>
      </c>
      <c r="J81" s="7">
        <v>0</v>
      </c>
      <c r="K81" s="140" t="str">
        <f t="shared" si="24"/>
        <v>4009/4010</v>
      </c>
      <c r="L81" s="25" t="str">
        <f>VLOOKUP(A81,'Trips&amp;Operators'!$C$1:$E$10000,3,FALSE)</f>
        <v>DE LA ROSA</v>
      </c>
      <c r="M81" s="6">
        <f t="shared" si="25"/>
        <v>3.0891203707142267E-2</v>
      </c>
      <c r="N81" s="7">
        <f t="shared" si="22"/>
        <v>44.483333338284865</v>
      </c>
      <c r="O81" s="7"/>
      <c r="P81" s="7"/>
      <c r="Q81" s="26"/>
      <c r="R81" s="26"/>
      <c r="S81" s="38">
        <f t="shared" si="23"/>
        <v>1</v>
      </c>
      <c r="T81" s="53" t="str">
        <f t="shared" si="26"/>
        <v>Southbound</v>
      </c>
      <c r="U81" s="13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11:49:09-0600',mode:absolute,to:'2016-08-22 14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1" s="55" t="str">
        <f t="shared" si="28"/>
        <v>N</v>
      </c>
      <c r="X81" s="127">
        <f t="shared" si="29"/>
        <v>1</v>
      </c>
      <c r="Y81" s="70">
        <f t="shared" si="30"/>
        <v>23.298500000000001</v>
      </c>
      <c r="Z81" s="70">
        <f t="shared" si="31"/>
        <v>1.43E-2</v>
      </c>
      <c r="AA81" s="70">
        <f t="shared" si="32"/>
        <v>23.284200000000002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33"/>
        <v>0168-22</v>
      </c>
      <c r="AE81" s="103" t="str">
        <f t="shared" si="34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81" s="100" t="str">
        <f t="shared" si="35"/>
        <v>"C:\Program Files (x86)\AstroGrep\AstroGrep.exe" /spath="%USERPROFILE%\AppData\Local\Temp\OnboardLogs" /stypes="*4010*20160822*" /stext=" 19:.+((SYSTEM_STATE.+slice.+state.+changed )|(ment ac)|(system.+state.+changed )|(\|lc)|(penalty)|(\[timeout)|(PRM\|1\|D)|(kpr)|(kdp))" /e /r /s</v>
      </c>
      <c r="AG81" s="1" t="str">
        <f t="shared" si="36"/>
        <v>EC</v>
      </c>
      <c r="AH81" s="104" t="str">
        <f t="shared" si="37"/>
        <v>"%USERPROFILE%\Documents\GitHub\eaglep3\Utilities\RefineRTDCRunTimes.py" --tripid 168-22 --locoid 4010 --swversion DE.1.0.7.0 --startMP 204:232985 --initTime 2016-08-22T12:49:09 --startdatetime 2016-08-22T12:50:57 --delay 1 --endMP 204:143 --enddatetime 2016-08-22T13:35:26 --enforcementcount 0</v>
      </c>
    </row>
    <row r="82" spans="1:34" x14ac:dyDescent="0.25">
      <c r="A82" s="40" t="s">
        <v>349</v>
      </c>
      <c r="B82" s="7">
        <v>4007</v>
      </c>
      <c r="C82" s="25" t="s">
        <v>114</v>
      </c>
      <c r="D82" s="25" t="s">
        <v>137</v>
      </c>
      <c r="E82" s="16">
        <v>42604.511967592596</v>
      </c>
      <c r="F82" s="16">
        <v>42604.51321759259</v>
      </c>
      <c r="G82" s="7">
        <v>1</v>
      </c>
      <c r="H82" s="16" t="s">
        <v>202</v>
      </c>
      <c r="I82" s="16">
        <v>42604.541828703703</v>
      </c>
      <c r="J82" s="7">
        <v>0</v>
      </c>
      <c r="K82" s="140" t="str">
        <f t="shared" si="24"/>
        <v>4007/4008</v>
      </c>
      <c r="L82" s="25" t="str">
        <f>VLOOKUP(A82,'Trips&amp;Operators'!$C$1:$E$10000,3,FALSE)</f>
        <v>HELVIE</v>
      </c>
      <c r="M82" s="6">
        <f t="shared" si="25"/>
        <v>2.8611111112695653E-2</v>
      </c>
      <c r="N82" s="7">
        <f t="shared" si="22"/>
        <v>41.20000000228174</v>
      </c>
      <c r="O82" s="7"/>
      <c r="P82" s="7"/>
      <c r="Q82" s="26"/>
      <c r="R82" s="26"/>
      <c r="S82" s="38">
        <f t="shared" si="23"/>
        <v>1</v>
      </c>
      <c r="T82" s="53" t="str">
        <f t="shared" si="26"/>
        <v>NorthBound</v>
      </c>
      <c r="U82" s="13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11:17:14-0600',mode:absolute,to:'2016-08-22 14:00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82" s="55" t="str">
        <f t="shared" si="28"/>
        <v>N</v>
      </c>
      <c r="X82" s="127">
        <f t="shared" si="29"/>
        <v>1</v>
      </c>
      <c r="Y82" s="70">
        <f t="shared" si="30"/>
        <v>4.4900000000000002E-2</v>
      </c>
      <c r="Z82" s="70">
        <f t="shared" si="31"/>
        <v>23.329899999999999</v>
      </c>
      <c r="AA82" s="70">
        <f t="shared" si="32"/>
        <v>23.285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33"/>
        <v>0169-22</v>
      </c>
      <c r="AE82" s="103" t="str">
        <f t="shared" si="34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82" s="100" t="str">
        <f t="shared" si="35"/>
        <v>"C:\Program Files (x86)\AstroGrep\AstroGrep.exe" /spath="%USERPROFILE%\AppData\Local\Temp\OnboardLogs" /stypes="*4007*20160822*" /stext=" 19:.+((SYSTEM_STATE.+slice.+state.+changed )|(ment ac)|(system.+state.+changed )|(\|lc)|(penalty)|(\[timeout)|(PRM\|1\|D)|(kpr)|(kdp))" /e /r /s</v>
      </c>
      <c r="AG82" s="1" t="str">
        <f t="shared" si="36"/>
        <v>EC</v>
      </c>
      <c r="AH82" s="104" t="str">
        <f t="shared" si="37"/>
        <v>"%USERPROFILE%\Documents\GitHub\eaglep3\Utilities\RefineRTDCRunTimes.py" --tripid 169-22 --locoid 4007 --swversion DE.1.0.7.0 --startMP 204:449 --initTime 2016-08-22T12:17:14 --startdatetime 2016-08-22T12:19:02 --delay 1 --endMP 204:233299 --enddatetime 2016-08-22T13:00:14 --enforcementcount 0</v>
      </c>
    </row>
    <row r="83" spans="1:34" x14ac:dyDescent="0.25">
      <c r="A83" s="40" t="s">
        <v>350</v>
      </c>
      <c r="B83" s="7">
        <v>4008</v>
      </c>
      <c r="C83" s="25" t="s">
        <v>114</v>
      </c>
      <c r="D83" s="25" t="s">
        <v>228</v>
      </c>
      <c r="E83" s="16">
        <v>42604.543645833335</v>
      </c>
      <c r="F83" s="16">
        <v>42604.544965277775</v>
      </c>
      <c r="G83" s="7">
        <v>1</v>
      </c>
      <c r="H83" s="16" t="s">
        <v>464</v>
      </c>
      <c r="I83" s="16">
        <v>42604.580949074072</v>
      </c>
      <c r="J83" s="7">
        <v>0</v>
      </c>
      <c r="K83" s="140" t="str">
        <f t="shared" si="24"/>
        <v>4007/4008</v>
      </c>
      <c r="L83" s="25" t="str">
        <f>VLOOKUP(A83,'Trips&amp;Operators'!$C$1:$E$10000,3,FALSE)</f>
        <v>HELVIE</v>
      </c>
      <c r="M83" s="6">
        <f t="shared" si="25"/>
        <v>3.5983796296932269E-2</v>
      </c>
      <c r="N83" s="7">
        <f t="shared" si="22"/>
        <v>51.816666667582467</v>
      </c>
      <c r="O83" s="7"/>
      <c r="P83" s="7"/>
      <c r="Q83" s="26"/>
      <c r="R83" s="26"/>
      <c r="S83" s="38">
        <f t="shared" si="23"/>
        <v>1</v>
      </c>
      <c r="T83" s="53" t="str">
        <f t="shared" si="26"/>
        <v>Southbound</v>
      </c>
      <c r="U83" s="13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12:02:51-0600',mode:absolute,to:'2016-08-22 14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83" s="55" t="str">
        <f t="shared" si="28"/>
        <v>N</v>
      </c>
      <c r="X83" s="127">
        <f t="shared" si="29"/>
        <v>1</v>
      </c>
      <c r="Y83" s="70">
        <f t="shared" si="30"/>
        <v>23.2971</v>
      </c>
      <c r="Z83" s="70">
        <f t="shared" si="31"/>
        <v>1.32E-2</v>
      </c>
      <c r="AA83" s="70">
        <f t="shared" si="32"/>
        <v>23.283899999999999</v>
      </c>
      <c r="AB83" s="67">
        <f>VLOOKUP(A83,Enforcements!$C$7:$J$24,8,0)</f>
        <v>109135</v>
      </c>
      <c r="AC83" s="63" t="str">
        <f>VLOOKUP(A83,Enforcements!$C$7:$E$24,3,0)</f>
        <v>GRADE CROSSING</v>
      </c>
      <c r="AD83" s="64" t="str">
        <f t="shared" si="33"/>
        <v>0170-22</v>
      </c>
      <c r="AE83" s="103" t="str">
        <f t="shared" si="34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83" s="100" t="str">
        <f t="shared" si="35"/>
        <v>"C:\Program Files (x86)\AstroGrep\AstroGrep.exe" /spath="%USERPROFILE%\AppData\Local\Temp\OnboardLogs" /stypes="*4008*20160822*" /stext=" 19:.+((SYSTEM_STATE.+slice.+state.+changed )|(ment ac)|(system.+state.+changed )|(\|lc)|(penalty)|(\[timeout)|(PRM\|1\|D)|(kpr)|(kdp))" /e /r /s</v>
      </c>
      <c r="AG83" s="1" t="str">
        <f t="shared" si="36"/>
        <v>EC</v>
      </c>
      <c r="AH83" s="104" t="str">
        <f t="shared" si="37"/>
        <v>"%USERPROFILE%\Documents\GitHub\eaglep3\Utilities\RefineRTDCRunTimes.py" --tripid 170-22 --locoid 4008 --swversion DE.1.0.7.0 --startMP 204:232971 --initTime 2016-08-22T13:02:51 --startdatetime 2016-08-22T13:04:45 --delay 1 --endMP 204:132 --enddatetime 2016-08-22T13:56:34 --enforcementcount 0</v>
      </c>
    </row>
    <row r="84" spans="1:34" s="24" customFormat="1" x14ac:dyDescent="0.25">
      <c r="A84" s="40" t="s">
        <v>465</v>
      </c>
      <c r="B84" s="7">
        <v>4014</v>
      </c>
      <c r="C84" s="25" t="s">
        <v>114</v>
      </c>
      <c r="D84" s="25" t="s">
        <v>418</v>
      </c>
      <c r="E84" s="16">
        <v>42604.524004629631</v>
      </c>
      <c r="F84" s="16">
        <v>42604.525914351849</v>
      </c>
      <c r="G84" s="7">
        <v>2</v>
      </c>
      <c r="H84" s="16" t="s">
        <v>217</v>
      </c>
      <c r="I84" s="16">
        <v>42604.553472222222</v>
      </c>
      <c r="J84" s="7">
        <v>0</v>
      </c>
      <c r="K84" s="140" t="str">
        <f t="shared" si="24"/>
        <v>4013/4014</v>
      </c>
      <c r="L84" s="25" t="str">
        <f>VLOOKUP(A84,'Trips&amp;Operators'!$C$1:$E$10000,3,FALSE)</f>
        <v>STRICKLAND</v>
      </c>
      <c r="M84" s="6">
        <f t="shared" si="25"/>
        <v>2.7557870373129845E-2</v>
      </c>
      <c r="N84" s="7">
        <f t="shared" si="22"/>
        <v>39.683333337306976</v>
      </c>
      <c r="O84" s="7"/>
      <c r="P84" s="7"/>
      <c r="Q84" s="26"/>
      <c r="R84" s="26"/>
      <c r="S84" s="38">
        <f t="shared" si="23"/>
        <v>1</v>
      </c>
      <c r="T84" s="53" t="str">
        <f t="shared" si="26"/>
        <v>NorthBound</v>
      </c>
      <c r="U84" s="13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11:34:34-0600',mode:absolute,to:'2016-08-22 14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4" s="55" t="str">
        <f t="shared" si="28"/>
        <v>N</v>
      </c>
      <c r="X84" s="127">
        <f t="shared" si="29"/>
        <v>1</v>
      </c>
      <c r="Y84" s="70">
        <f t="shared" si="30"/>
        <v>4.8399999999999999E-2</v>
      </c>
      <c r="Z84" s="70">
        <f t="shared" si="31"/>
        <v>23.329699999999999</v>
      </c>
      <c r="AA84" s="70">
        <f t="shared" si="32"/>
        <v>23.281299999999998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33"/>
        <v>0171-22</v>
      </c>
      <c r="AE84" s="103" t="str">
        <f t="shared" si="34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84" s="100" t="str">
        <f t="shared" si="35"/>
        <v>"C:\Program Files (x86)\AstroGrep\AstroGrep.exe" /spath="%USERPROFILE%\AppData\Local\Temp\OnboardLogs" /stypes="*4014*20160822*" /stext=" 19:.+((SYSTEM_STATE.+slice.+state.+changed )|(ment ac)|(system.+state.+changed )|(\|lc)|(penalty)|(\[timeout)|(PRM\|1\|D)|(kpr)|(kdp))" /e /r /s</v>
      </c>
      <c r="AG84" s="1" t="str">
        <f t="shared" si="36"/>
        <v>EC</v>
      </c>
      <c r="AH84" s="104" t="str">
        <f t="shared" si="37"/>
        <v>"%USERPROFILE%\Documents\GitHub\eaglep3\Utilities\RefineRTDCRunTimes.py" --tripid 171-22 --locoid 4014 --swversion DE.1.0.7.0 --startMP 204:484 --initTime 2016-08-22T12:34:34 --startdatetime 2016-08-22T12:37:19 --delay 2 --endMP 204:233297 --enddatetime 2016-08-22T13:17:00 --enforcementcount 0</v>
      </c>
    </row>
    <row r="85" spans="1:34" s="24" customFormat="1" x14ac:dyDescent="0.25">
      <c r="A85" s="40" t="s">
        <v>352</v>
      </c>
      <c r="B85" s="7">
        <v>4013</v>
      </c>
      <c r="C85" s="25" t="s">
        <v>114</v>
      </c>
      <c r="D85" s="25" t="s">
        <v>280</v>
      </c>
      <c r="E85" s="16">
        <v>42604.555011574077</v>
      </c>
      <c r="F85" s="16">
        <v>42604.556331018517</v>
      </c>
      <c r="G85" s="7">
        <v>1</v>
      </c>
      <c r="H85" s="16" t="s">
        <v>438</v>
      </c>
      <c r="I85" s="16">
        <v>42604.58934027778</v>
      </c>
      <c r="J85" s="7">
        <v>0</v>
      </c>
      <c r="K85" s="140" t="str">
        <f t="shared" si="24"/>
        <v>4013/4014</v>
      </c>
      <c r="L85" s="25" t="str">
        <f>VLOOKUP(A85,'Trips&amp;Operators'!$C$1:$E$10000,3,FALSE)</f>
        <v>STRICKLAND</v>
      </c>
      <c r="M85" s="6">
        <f t="shared" si="25"/>
        <v>3.3009259263053536E-2</v>
      </c>
      <c r="N85" s="7">
        <f t="shared" si="22"/>
        <v>47.533333338797092</v>
      </c>
      <c r="O85" s="7"/>
      <c r="P85" s="7"/>
      <c r="Q85" s="26"/>
      <c r="R85" s="26"/>
      <c r="S85" s="38">
        <f t="shared" si="23"/>
        <v>1</v>
      </c>
      <c r="T85" s="53" t="str">
        <f t="shared" si="26"/>
        <v>Southbound</v>
      </c>
      <c r="U85" s="13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12:19:13-0600',mode:absolute,to:'2016-08-22 15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5" s="55" t="str">
        <f t="shared" si="28"/>
        <v>N</v>
      </c>
      <c r="X85" s="127">
        <f t="shared" si="29"/>
        <v>1</v>
      </c>
      <c r="Y85" s="70">
        <f t="shared" si="30"/>
        <v>23.297899999999998</v>
      </c>
      <c r="Z85" s="70">
        <f t="shared" si="31"/>
        <v>1.61E-2</v>
      </c>
      <c r="AA85" s="70">
        <f t="shared" si="32"/>
        <v>23.281799999999997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33"/>
        <v>0172-22</v>
      </c>
      <c r="AE85" s="103" t="str">
        <f t="shared" si="34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85" s="100" t="str">
        <f t="shared" si="35"/>
        <v>"C:\Program Files (x86)\AstroGrep\AstroGrep.exe" /spath="%USERPROFILE%\AppData\Local\Temp\OnboardLogs" /stypes="*4013*20160822*" /stext=" 20:.+((SYSTEM_STATE.+slice.+state.+changed )|(ment ac)|(system.+state.+changed )|(\|lc)|(penalty)|(\[timeout)|(PRM\|1\|D)|(kpr)|(kdp))" /e /r /s</v>
      </c>
      <c r="AG85" s="1" t="str">
        <f t="shared" si="36"/>
        <v>EC</v>
      </c>
      <c r="AH85" s="104" t="str">
        <f t="shared" si="37"/>
        <v>"%USERPROFILE%\Documents\GitHub\eaglep3\Utilities\RefineRTDCRunTimes.py" --tripid 172-22 --locoid 4013 --swversion DE.1.0.7.0 --startMP 204:232979 --initTime 2016-08-22T13:19:13 --startdatetime 2016-08-22T13:21:07 --delay 1 --endMP 204:161 --enddatetime 2016-08-22T14:08:39 --enforcementcount 0</v>
      </c>
    </row>
    <row r="86" spans="1:34" s="24" customFormat="1" x14ac:dyDescent="0.25">
      <c r="A86" s="40" t="s">
        <v>466</v>
      </c>
      <c r="B86" s="7">
        <v>4038</v>
      </c>
      <c r="C86" s="25" t="s">
        <v>114</v>
      </c>
      <c r="D86" s="25" t="s">
        <v>144</v>
      </c>
      <c r="E86" s="16">
        <v>42604.538043981483</v>
      </c>
      <c r="F86" s="16">
        <v>42604.539143518516</v>
      </c>
      <c r="G86" s="7">
        <v>1</v>
      </c>
      <c r="H86" s="16" t="s">
        <v>271</v>
      </c>
      <c r="I86" s="16">
        <v>42604.565821759257</v>
      </c>
      <c r="J86" s="7">
        <v>0</v>
      </c>
      <c r="K86" s="140" t="str">
        <f t="shared" si="24"/>
        <v>4037/4038</v>
      </c>
      <c r="L86" s="25" t="str">
        <f>VLOOKUP(A86,'Trips&amp;Operators'!$C$1:$E$10000,3,FALSE)</f>
        <v>STEWART</v>
      </c>
      <c r="M86" s="6">
        <f t="shared" si="25"/>
        <v>2.6678240741603076E-2</v>
      </c>
      <c r="N86" s="7">
        <f t="shared" si="22"/>
        <v>38.41666666790843</v>
      </c>
      <c r="O86" s="7"/>
      <c r="P86" s="7"/>
      <c r="Q86" s="26"/>
      <c r="R86" s="26"/>
      <c r="S86" s="38">
        <f t="shared" si="23"/>
        <v>1</v>
      </c>
      <c r="T86" s="53" t="str">
        <f t="shared" si="26"/>
        <v>NorthBound</v>
      </c>
      <c r="U86" s="13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11:54:47-0600',mode:absolute,to:'2016-08-22 14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6" s="55" t="str">
        <f t="shared" si="28"/>
        <v>N</v>
      </c>
      <c r="X86" s="127">
        <f t="shared" si="29"/>
        <v>1</v>
      </c>
      <c r="Y86" s="70">
        <f t="shared" si="30"/>
        <v>4.5699999999999998E-2</v>
      </c>
      <c r="Z86" s="70">
        <f t="shared" si="31"/>
        <v>23.328199999999999</v>
      </c>
      <c r="AA86" s="70">
        <f t="shared" si="32"/>
        <v>23.282499999999999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33"/>
        <v>0173-22</v>
      </c>
      <c r="AE86" s="103" t="str">
        <f t="shared" si="34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86" s="100" t="str">
        <f t="shared" si="35"/>
        <v>"C:\Program Files (x86)\AstroGrep\AstroGrep.exe" /spath="%USERPROFILE%\AppData\Local\Temp\OnboardLogs" /stypes="*4038*20160822*" /stext=" 19:.+((SYSTEM_STATE.+slice.+state.+changed )|(ment ac)|(system.+state.+changed )|(\|lc)|(penalty)|(\[timeout)|(PRM\|1\|D)|(kpr)|(kdp))" /e /r /s</v>
      </c>
      <c r="AG86" s="1" t="str">
        <f t="shared" si="36"/>
        <v>EC</v>
      </c>
      <c r="AH86" s="104" t="str">
        <f t="shared" si="37"/>
        <v>"%USERPROFILE%\Documents\GitHub\eaglep3\Utilities\RefineRTDCRunTimes.py" --tripid 173-22 --locoid 4038 --swversion DE.1.0.7.0 --startMP 204:457 --initTime 2016-08-22T12:54:47 --startdatetime 2016-08-22T12:56:22 --delay 1 --endMP 204:233282 --enddatetime 2016-08-22T13:34:47 --enforcementcount 0</v>
      </c>
    </row>
    <row r="87" spans="1:34" x14ac:dyDescent="0.25">
      <c r="A87" s="40" t="s">
        <v>353</v>
      </c>
      <c r="B87" s="7">
        <v>4037</v>
      </c>
      <c r="C87" s="25" t="s">
        <v>114</v>
      </c>
      <c r="D87" s="25" t="s">
        <v>467</v>
      </c>
      <c r="E87" s="16">
        <v>42604.56759259259</v>
      </c>
      <c r="F87" s="16">
        <v>42604.568761574075</v>
      </c>
      <c r="G87" s="7">
        <v>1</v>
      </c>
      <c r="H87" s="16" t="s">
        <v>468</v>
      </c>
      <c r="I87" s="16">
        <v>42604.60659722222</v>
      </c>
      <c r="J87" s="7">
        <v>0</v>
      </c>
      <c r="K87" s="140" t="str">
        <f t="shared" si="24"/>
        <v>4037/4038</v>
      </c>
      <c r="L87" s="25" t="str">
        <f>VLOOKUP(A87,'Trips&amp;Operators'!$C$1:$E$10000,3,FALSE)</f>
        <v>STEWART</v>
      </c>
      <c r="M87" s="6">
        <f t="shared" si="25"/>
        <v>3.7835648145119194E-2</v>
      </c>
      <c r="N87" s="7">
        <f t="shared" si="22"/>
        <v>54.483333328971639</v>
      </c>
      <c r="O87" s="7"/>
      <c r="P87" s="7"/>
      <c r="Q87" s="26"/>
      <c r="R87" s="26"/>
      <c r="S87" s="38">
        <f t="shared" si="23"/>
        <v>1</v>
      </c>
      <c r="T87" s="53" t="str">
        <f t="shared" si="26"/>
        <v>Southbound</v>
      </c>
      <c r="U87" s="13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12:37:20-0600',mode:absolute,to:'2016-08-22 15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7" s="55" t="str">
        <f t="shared" si="28"/>
        <v>N</v>
      </c>
      <c r="X87" s="127">
        <f t="shared" si="29"/>
        <v>1</v>
      </c>
      <c r="Y87" s="70">
        <f t="shared" si="30"/>
        <v>23.296900000000001</v>
      </c>
      <c r="Z87" s="70">
        <f t="shared" si="31"/>
        <v>2.7400000000000001E-2</v>
      </c>
      <c r="AA87" s="70">
        <f t="shared" si="32"/>
        <v>23.269500000000001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33"/>
        <v>0174-22</v>
      </c>
      <c r="AE87" s="103" t="str">
        <f t="shared" si="34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87" s="100" t="str">
        <f t="shared" si="35"/>
        <v>"C:\Program Files (x86)\AstroGrep\AstroGrep.exe" /spath="%USERPROFILE%\AppData\Local\Temp\OnboardLogs" /stypes="*4037*20160822*" /stext=" 20:.+((SYSTEM_STATE.+slice.+state.+changed )|(ment ac)|(system.+state.+changed )|(\|lc)|(penalty)|(\[timeout)|(PRM\|1\|D)|(kpr)|(kdp))" /e /r /s</v>
      </c>
      <c r="AG87" s="1" t="str">
        <f t="shared" si="36"/>
        <v>EC</v>
      </c>
      <c r="AH87" s="104" t="str">
        <f t="shared" si="37"/>
        <v>"%USERPROFILE%\Documents\GitHub\eaglep3\Utilities\RefineRTDCRunTimes.py" --tripid 174-22 --locoid 4037 --swversion DE.1.0.7.0 --startMP 204:232969 --initTime 2016-08-22T13:37:20 --startdatetime 2016-08-22T13:39:01 --delay 1 --endMP 204:274 --enddatetime 2016-08-22T14:33:30 --enforcementcount 0</v>
      </c>
    </row>
    <row r="88" spans="1:34" s="24" customFormat="1" x14ac:dyDescent="0.25">
      <c r="A88" s="40" t="s">
        <v>469</v>
      </c>
      <c r="B88" s="7">
        <v>4018</v>
      </c>
      <c r="C88" s="25" t="s">
        <v>114</v>
      </c>
      <c r="D88" s="25" t="s">
        <v>470</v>
      </c>
      <c r="E88" s="16">
        <v>42604.542037037034</v>
      </c>
      <c r="F88" s="16">
        <v>42604.542870370373</v>
      </c>
      <c r="G88" s="7">
        <v>1</v>
      </c>
      <c r="H88" s="16" t="s">
        <v>286</v>
      </c>
      <c r="I88" s="16">
        <v>42604.574826388889</v>
      </c>
      <c r="J88" s="7">
        <v>0</v>
      </c>
      <c r="K88" s="140" t="str">
        <f t="shared" si="24"/>
        <v>4017/4018</v>
      </c>
      <c r="L88" s="25" t="str">
        <f>VLOOKUP(A88,'Trips&amp;Operators'!$C$1:$E$10000,3,FALSE)</f>
        <v>BARTLETT</v>
      </c>
      <c r="M88" s="6">
        <f t="shared" si="25"/>
        <v>3.195601851621177E-2</v>
      </c>
      <c r="N88" s="7">
        <f t="shared" si="22"/>
        <v>46.016666663344949</v>
      </c>
      <c r="O88" s="7"/>
      <c r="P88" s="7"/>
      <c r="Q88" s="26"/>
      <c r="R88" s="26"/>
      <c r="S88" s="38">
        <f t="shared" si="23"/>
        <v>1</v>
      </c>
      <c r="T88" s="53" t="str">
        <f t="shared" si="26"/>
        <v>NorthBound</v>
      </c>
      <c r="U88" s="13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12:00:32-0600',mode:absolute,to:'2016-08-22 14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8" s="55" t="str">
        <f t="shared" si="28"/>
        <v>N</v>
      </c>
      <c r="X88" s="127">
        <f t="shared" si="29"/>
        <v>1</v>
      </c>
      <c r="Y88" s="70">
        <f t="shared" si="30"/>
        <v>6.5699999999999995E-2</v>
      </c>
      <c r="Z88" s="70">
        <f t="shared" si="31"/>
        <v>23.335100000000001</v>
      </c>
      <c r="AA88" s="70">
        <f t="shared" si="32"/>
        <v>23.269400000000001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33"/>
        <v>0175-22</v>
      </c>
      <c r="AE88" s="103" t="str">
        <f t="shared" si="34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88" s="100" t="str">
        <f t="shared" si="35"/>
        <v>"C:\Program Files (x86)\AstroGrep\AstroGrep.exe" /spath="%USERPROFILE%\AppData\Local\Temp\OnboardLogs" /stypes="*4018*20160822*" /stext=" 19:.+((SYSTEM_STATE.+slice.+state.+changed )|(ment ac)|(system.+state.+changed )|(\|lc)|(penalty)|(\[timeout)|(PRM\|1\|D)|(kpr)|(kdp))" /e /r /s</v>
      </c>
      <c r="AG88" s="1" t="str">
        <f t="shared" si="36"/>
        <v>EC</v>
      </c>
      <c r="AH88" s="104" t="str">
        <f t="shared" si="37"/>
        <v>"%USERPROFILE%\Documents\GitHub\eaglep3\Utilities\RefineRTDCRunTimes.py" --tripid 175-22 --locoid 4018 --swversion DE.1.0.7.0 --startMP 204:657 --initTime 2016-08-22T13:00:32 --startdatetime 2016-08-22T13:01:44 --delay 1 --endMP 204:233351 --enddatetime 2016-08-22T13:47:45 --enforcementcount 0</v>
      </c>
    </row>
    <row r="89" spans="1:34" x14ac:dyDescent="0.25">
      <c r="A89" s="40" t="s">
        <v>471</v>
      </c>
      <c r="B89" s="7">
        <v>4017</v>
      </c>
      <c r="C89" s="25" t="s">
        <v>114</v>
      </c>
      <c r="D89" s="25" t="s">
        <v>301</v>
      </c>
      <c r="E89" s="16">
        <v>42604.578668981485</v>
      </c>
      <c r="F89" s="16">
        <v>42604.579664351855</v>
      </c>
      <c r="G89" s="7">
        <v>1</v>
      </c>
      <c r="H89" s="16" t="s">
        <v>157</v>
      </c>
      <c r="I89" s="16">
        <v>42604.610266203701</v>
      </c>
      <c r="J89" s="7">
        <v>0</v>
      </c>
      <c r="K89" s="140" t="str">
        <f t="shared" si="24"/>
        <v>4017/4018</v>
      </c>
      <c r="L89" s="25" t="str">
        <f>VLOOKUP(A89,'Trips&amp;Operators'!$C$1:$E$10000,3,FALSE)</f>
        <v>BARTLETT</v>
      </c>
      <c r="M89" s="6">
        <f t="shared" si="25"/>
        <v>3.0601851845858619E-2</v>
      </c>
      <c r="N89" s="7">
        <f t="shared" si="22"/>
        <v>44.066666658036411</v>
      </c>
      <c r="O89" s="7"/>
      <c r="P89" s="7"/>
      <c r="Q89" s="26"/>
      <c r="R89" s="26"/>
      <c r="S89" s="38">
        <f t="shared" si="23"/>
        <v>1</v>
      </c>
      <c r="T89" s="53" t="str">
        <f t="shared" si="26"/>
        <v>Southbound</v>
      </c>
      <c r="U89" s="13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12:53:17-0600',mode:absolute,to:'2016-08-22 15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9" s="55" t="str">
        <f t="shared" si="28"/>
        <v>N</v>
      </c>
      <c r="X89" s="127">
        <f t="shared" si="29"/>
        <v>1</v>
      </c>
      <c r="Y89" s="70">
        <f t="shared" si="30"/>
        <v>23.303799999999999</v>
      </c>
      <c r="Z89" s="70">
        <f t="shared" si="31"/>
        <v>1.5599999999999999E-2</v>
      </c>
      <c r="AA89" s="70">
        <f t="shared" si="32"/>
        <v>23.2882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33"/>
        <v>0176-22</v>
      </c>
      <c r="AE89" s="103" t="str">
        <f t="shared" si="34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89" s="100" t="str">
        <f t="shared" si="35"/>
        <v>"C:\Program Files (x86)\AstroGrep\AstroGrep.exe" /spath="%USERPROFILE%\AppData\Local\Temp\OnboardLogs" /stypes="*4017*20160822*" /stext=" 20:.+((SYSTEM_STATE.+slice.+state.+changed )|(ment ac)|(system.+state.+changed )|(\|lc)|(penalty)|(\[timeout)|(PRM\|1\|D)|(kpr)|(kdp))" /e /r /s</v>
      </c>
      <c r="AG89" s="1" t="str">
        <f t="shared" si="36"/>
        <v>EC</v>
      </c>
      <c r="AH89" s="104" t="str">
        <f t="shared" si="37"/>
        <v>"%USERPROFILE%\Documents\GitHub\eaglep3\Utilities\RefineRTDCRunTimes.py" --tripid 176-22 --locoid 4017 --swversion DE.1.0.7.0 --startMP 204:233038 --initTime 2016-08-22T13:53:17 --startdatetime 2016-08-22T13:54:43 --delay 1 --endMP 204:156 --enddatetime 2016-08-22T14:38:47 --enforcementcount 0</v>
      </c>
    </row>
    <row r="90" spans="1:34" s="24" customFormat="1" x14ac:dyDescent="0.25">
      <c r="A90" s="40" t="s">
        <v>472</v>
      </c>
      <c r="B90" s="7">
        <v>4020</v>
      </c>
      <c r="C90" s="25" t="s">
        <v>114</v>
      </c>
      <c r="D90" s="25" t="s">
        <v>134</v>
      </c>
      <c r="E90" s="16">
        <v>42604.550821759258</v>
      </c>
      <c r="F90" s="16">
        <v>42604.551863425928</v>
      </c>
      <c r="G90" s="7">
        <v>1</v>
      </c>
      <c r="H90" s="16" t="s">
        <v>382</v>
      </c>
      <c r="I90" s="16">
        <v>42604.585046296299</v>
      </c>
      <c r="J90" s="7">
        <v>0</v>
      </c>
      <c r="K90" s="140" t="str">
        <f t="shared" si="24"/>
        <v>4019/4020</v>
      </c>
      <c r="L90" s="25" t="str">
        <f>VLOOKUP(A90,'Trips&amp;Operators'!$C$1:$E$10000,3,FALSE)</f>
        <v>ROBINSON</v>
      </c>
      <c r="M90" s="6">
        <f t="shared" si="25"/>
        <v>3.3182870371092577E-2</v>
      </c>
      <c r="N90" s="7">
        <f t="shared" si="22"/>
        <v>47.78333333437331</v>
      </c>
      <c r="O90" s="7"/>
      <c r="P90" s="7"/>
      <c r="Q90" s="26"/>
      <c r="R90" s="26"/>
      <c r="S90" s="38">
        <f t="shared" si="23"/>
        <v>1</v>
      </c>
      <c r="T90" s="53" t="str">
        <f t="shared" si="26"/>
        <v>NorthBound</v>
      </c>
      <c r="U90" s="13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12:13:11-0600',mode:absolute,to:'2016-08-22 15:02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0" s="55" t="str">
        <f t="shared" si="28"/>
        <v>N</v>
      </c>
      <c r="X90" s="127">
        <f t="shared" si="29"/>
        <v>1</v>
      </c>
      <c r="Y90" s="70">
        <f t="shared" si="30"/>
        <v>4.53E-2</v>
      </c>
      <c r="Z90" s="70">
        <f t="shared" si="31"/>
        <v>23.331199999999999</v>
      </c>
      <c r="AA90" s="70">
        <f t="shared" si="32"/>
        <v>23.285899999999998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33"/>
        <v>0177-22</v>
      </c>
      <c r="AE90" s="103" t="str">
        <f t="shared" si="34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90" s="100" t="str">
        <f t="shared" si="35"/>
        <v>"C:\Program Files (x86)\AstroGrep\AstroGrep.exe" /spath="%USERPROFILE%\AppData\Local\Temp\OnboardLogs" /stypes="*4020*20160822*" /stext=" 20:.+((SYSTEM_STATE.+slice.+state.+changed )|(ment ac)|(system.+state.+changed )|(\|lc)|(penalty)|(\[timeout)|(PRM\|1\|D)|(kpr)|(kdp))" /e /r /s</v>
      </c>
      <c r="AG90" s="1" t="str">
        <f t="shared" si="36"/>
        <v>EC</v>
      </c>
      <c r="AH90" s="104" t="str">
        <f t="shared" si="37"/>
        <v>"%USERPROFILE%\Documents\GitHub\eaglep3\Utilities\RefineRTDCRunTimes.py" --tripid 177-22 --locoid 4020 --swversion DE.1.0.7.0 --startMP 204:453 --initTime 2016-08-22T13:13:11 --startdatetime 2016-08-22T13:14:41 --delay 1 --endMP 204:233312 --enddatetime 2016-08-22T14:02:28 --enforcementcount 0</v>
      </c>
    </row>
    <row r="91" spans="1:34" x14ac:dyDescent="0.25">
      <c r="A91" s="40" t="s">
        <v>473</v>
      </c>
      <c r="B91" s="7">
        <v>4019</v>
      </c>
      <c r="C91" s="25" t="s">
        <v>114</v>
      </c>
      <c r="D91" s="25" t="s">
        <v>279</v>
      </c>
      <c r="E91" s="16">
        <v>42604.589108796295</v>
      </c>
      <c r="F91" s="16">
        <v>42604.590011574073</v>
      </c>
      <c r="G91" s="7">
        <v>1</v>
      </c>
      <c r="H91" s="16" t="s">
        <v>394</v>
      </c>
      <c r="I91" s="16">
        <v>42604.622881944444</v>
      </c>
      <c r="J91" s="7">
        <v>0</v>
      </c>
      <c r="K91" s="140" t="str">
        <f t="shared" si="24"/>
        <v>4019/4020</v>
      </c>
      <c r="L91" s="25" t="str">
        <f>VLOOKUP(A91,'Trips&amp;Operators'!$C$1:$E$10000,3,FALSE)</f>
        <v>ROBINSON</v>
      </c>
      <c r="M91" s="6">
        <f t="shared" si="25"/>
        <v>3.2870370370801538E-2</v>
      </c>
      <c r="N91" s="7">
        <f t="shared" si="22"/>
        <v>47.333333333954215</v>
      </c>
      <c r="O91" s="7"/>
      <c r="P91" s="7"/>
      <c r="Q91" s="26"/>
      <c r="R91" s="26"/>
      <c r="S91" s="38">
        <f t="shared" si="23"/>
        <v>1</v>
      </c>
      <c r="T91" s="53" t="str">
        <f t="shared" si="26"/>
        <v>Southbound</v>
      </c>
      <c r="U91" s="13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13:08:19-0600',mode:absolute,to:'2016-08-22 15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1" s="55" t="str">
        <f t="shared" si="28"/>
        <v>N</v>
      </c>
      <c r="X91" s="127">
        <f t="shared" ref="X91:X99" si="38">VALUE(LEFT(AD91,4))-VALUE(LEFT(AD90,4))</f>
        <v>1</v>
      </c>
      <c r="Y91" s="70">
        <f t="shared" si="30"/>
        <v>23.2988</v>
      </c>
      <c r="Z91" s="70">
        <f t="shared" si="31"/>
        <v>1.3899999999999999E-2</v>
      </c>
      <c r="AA91" s="70">
        <f t="shared" si="32"/>
        <v>23.2849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33"/>
        <v>0178-22</v>
      </c>
      <c r="AE91" s="103" t="str">
        <f t="shared" si="34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91" s="100" t="str">
        <f t="shared" si="35"/>
        <v>"C:\Program Files (x86)\AstroGrep\AstroGrep.exe" /spath="%USERPROFILE%\AppData\Local\Temp\OnboardLogs" /stypes="*4019*20160822*" /stext=" 20:.+((SYSTEM_STATE.+slice.+state.+changed )|(ment ac)|(system.+state.+changed )|(\|lc)|(penalty)|(\[timeout)|(PRM\|1\|D)|(kpr)|(kdp))" /e /r /s</v>
      </c>
      <c r="AG91" s="1" t="str">
        <f t="shared" si="36"/>
        <v>EC</v>
      </c>
      <c r="AH91" s="104" t="str">
        <f t="shared" si="37"/>
        <v>"%USERPROFILE%\Documents\GitHub\eaglep3\Utilities\RefineRTDCRunTimes.py" --tripid 178-22 --locoid 4019 --swversion DE.1.0.7.0 --startMP 204:232988 --initTime 2016-08-22T14:08:19 --startdatetime 2016-08-22T14:09:37 --delay 1 --endMP 204:139 --enddatetime 2016-08-22T14:56:57 --enforcementcount 0</v>
      </c>
    </row>
    <row r="92" spans="1:34" s="24" customFormat="1" x14ac:dyDescent="0.25">
      <c r="A92" s="40" t="s">
        <v>351</v>
      </c>
      <c r="B92" s="7">
        <v>4044</v>
      </c>
      <c r="C92" s="25" t="s">
        <v>114</v>
      </c>
      <c r="D92" s="25" t="s">
        <v>208</v>
      </c>
      <c r="E92" s="16">
        <v>42604.561851851853</v>
      </c>
      <c r="F92" s="16">
        <v>42604.56459490741</v>
      </c>
      <c r="G92" s="7">
        <v>3</v>
      </c>
      <c r="H92" s="16" t="s">
        <v>229</v>
      </c>
      <c r="I92" s="16">
        <v>42604.595486111109</v>
      </c>
      <c r="J92" s="7">
        <v>0</v>
      </c>
      <c r="K92" s="140" t="str">
        <f t="shared" si="24"/>
        <v>4043/4044</v>
      </c>
      <c r="L92" s="25" t="str">
        <f>VLOOKUP(A92,'Trips&amp;Operators'!$C$1:$E$10000,3,FALSE)</f>
        <v>BEAM</v>
      </c>
      <c r="M92" s="6">
        <f t="shared" si="25"/>
        <v>3.089120369986631E-2</v>
      </c>
      <c r="N92" s="7">
        <f t="shared" si="22"/>
        <v>44.483333327807486</v>
      </c>
      <c r="O92" s="7"/>
      <c r="P92" s="7"/>
      <c r="Q92" s="26"/>
      <c r="R92" s="26"/>
      <c r="S92" s="38">
        <f t="shared" si="23"/>
        <v>1</v>
      </c>
      <c r="T92" s="53" t="str">
        <f t="shared" si="26"/>
        <v>NorthBound</v>
      </c>
      <c r="U92" s="13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12:29:04-0600',mode:absolute,to:'2016-08-22 15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2" s="55" t="str">
        <f t="shared" si="28"/>
        <v>N</v>
      </c>
      <c r="X92" s="127">
        <f t="shared" si="38"/>
        <v>1</v>
      </c>
      <c r="Y92" s="70">
        <f t="shared" si="30"/>
        <v>4.4400000000000002E-2</v>
      </c>
      <c r="Z92" s="70">
        <f t="shared" si="31"/>
        <v>23.329799999999999</v>
      </c>
      <c r="AA92" s="70">
        <f t="shared" si="32"/>
        <v>23.285399999999999</v>
      </c>
      <c r="AB92" s="67">
        <f>VLOOKUP(A92,Enforcements!$C$7:$J$24,8,0)</f>
        <v>53155</v>
      </c>
      <c r="AC92" s="63" t="str">
        <f>VLOOKUP(A92,Enforcements!$C$7:$E$24,3,0)</f>
        <v>GRADE CROSSING</v>
      </c>
      <c r="AD92" s="64" t="str">
        <f t="shared" si="33"/>
        <v>0179-22</v>
      </c>
      <c r="AE92" s="103" t="str">
        <f t="shared" si="34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92" s="100" t="str">
        <f t="shared" si="35"/>
        <v>"C:\Program Files (x86)\AstroGrep\AstroGrep.exe" /spath="%USERPROFILE%\AppData\Local\Temp\OnboardLogs" /stypes="*4044*20160822*" /stext=" 20:.+((SYSTEM_STATE.+slice.+state.+changed )|(ment ac)|(system.+state.+changed )|(\|lc)|(penalty)|(\[timeout)|(PRM\|1\|D)|(kpr)|(kdp))" /e /r /s</v>
      </c>
      <c r="AG92" s="1" t="str">
        <f t="shared" si="36"/>
        <v>EC</v>
      </c>
      <c r="AH92" s="104" t="str">
        <f t="shared" si="37"/>
        <v>"%USERPROFILE%\Documents\GitHub\eaglep3\Utilities\RefineRTDCRunTimes.py" --tripid 179-22 --locoid 4044 --swversion DE.1.0.7.0 --startMP 204:444 --initTime 2016-08-22T13:29:04 --startdatetime 2016-08-22T13:33:01 --delay 3 --endMP 204:233298 --enddatetime 2016-08-22T14:17:30 --enforcementcount 0</v>
      </c>
    </row>
    <row r="93" spans="1:34" s="24" customFormat="1" x14ac:dyDescent="0.25">
      <c r="A93" s="40" t="s">
        <v>474</v>
      </c>
      <c r="B93" s="7">
        <v>4043</v>
      </c>
      <c r="C93" s="25" t="s">
        <v>114</v>
      </c>
      <c r="D93" s="25" t="s">
        <v>475</v>
      </c>
      <c r="E93" s="16">
        <v>42604.612824074073</v>
      </c>
      <c r="F93" s="16">
        <v>42604.613877314812</v>
      </c>
      <c r="G93" s="7">
        <v>1</v>
      </c>
      <c r="H93" s="16" t="s">
        <v>209</v>
      </c>
      <c r="I93" s="16">
        <v>42604.631145833337</v>
      </c>
      <c r="J93" s="7">
        <v>0</v>
      </c>
      <c r="K93" s="140" t="str">
        <f t="shared" si="24"/>
        <v>4043/4044</v>
      </c>
      <c r="L93" s="25" t="str">
        <f>VLOOKUP(A93,'Trips&amp;Operators'!$C$1:$E$10000,3,FALSE)</f>
        <v>BEAM</v>
      </c>
      <c r="M93" s="6">
        <f t="shared" si="25"/>
        <v>1.7268518524360843E-2</v>
      </c>
      <c r="N93" s="7"/>
      <c r="O93" s="7"/>
      <c r="P93" s="7">
        <f>24*60*SUM($M93:$M93)</f>
        <v>24.866666675079614</v>
      </c>
      <c r="Q93" s="26"/>
      <c r="R93" s="26" t="s">
        <v>197</v>
      </c>
      <c r="S93" s="38">
        <f t="shared" si="23"/>
        <v>1</v>
      </c>
      <c r="T93" s="53" t="str">
        <f t="shared" si="26"/>
        <v>Southbound</v>
      </c>
      <c r="U93" s="13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13:42:28-0600',mode:absolute,to:'2016-08-22 16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3" s="55" t="str">
        <f t="shared" si="28"/>
        <v>Y</v>
      </c>
      <c r="X93" s="127">
        <f t="shared" si="38"/>
        <v>1</v>
      </c>
      <c r="Y93" s="70">
        <f t="shared" si="30"/>
        <v>12.786099999999999</v>
      </c>
      <c r="Z93" s="70">
        <f t="shared" si="31"/>
        <v>1.4500000000000001E-2</v>
      </c>
      <c r="AA93" s="70">
        <f t="shared" si="32"/>
        <v>12.771599999999999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33"/>
        <v>0180-22</v>
      </c>
      <c r="AE93" s="103" t="str">
        <f t="shared" si="34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93" s="100" t="str">
        <f t="shared" si="35"/>
        <v>"C:\Program Files (x86)\AstroGrep\AstroGrep.exe" /spath="%USERPROFILE%\AppData\Local\Temp\OnboardLogs" /stypes="*4043*20160822*" /stext=" 21:.+((SYSTEM_STATE.+slice.+state.+changed )|(ment ac)|(system.+state.+changed )|(\|lc)|(penalty)|(\[timeout)|(PRM\|1\|D)|(kpr)|(kdp))" /e /r /s</v>
      </c>
      <c r="AG93" s="1" t="str">
        <f t="shared" si="36"/>
        <v>EC</v>
      </c>
      <c r="AH93" s="104" t="str">
        <f t="shared" si="37"/>
        <v>"%USERPROFILE%\Documents\GitHub\eaglep3\Utilities\RefineRTDCRunTimes.py" --tripid 180-22 --locoid 4043 --swversion DE.1.0.7.0 --startMP 204:127861 --initTime 2016-08-22T14:42:28 --startdatetime 2016-08-22T14:43:59 --delay 1 --endMP 204:145 --enddatetime 2016-08-22T15:08:51 --enforcementcount 0</v>
      </c>
    </row>
    <row r="94" spans="1:34" s="24" customFormat="1" x14ac:dyDescent="0.25">
      <c r="A94" s="40" t="s">
        <v>476</v>
      </c>
      <c r="B94" s="7">
        <v>4009</v>
      </c>
      <c r="C94" s="25" t="s">
        <v>114</v>
      </c>
      <c r="D94" s="25" t="s">
        <v>137</v>
      </c>
      <c r="E94" s="16">
        <v>42604.569386574076</v>
      </c>
      <c r="F94" s="16">
        <v>42604.570729166669</v>
      </c>
      <c r="G94" s="7">
        <v>1</v>
      </c>
      <c r="H94" s="16" t="s">
        <v>217</v>
      </c>
      <c r="I94" s="16">
        <v>42604.602199074077</v>
      </c>
      <c r="J94" s="7">
        <v>0</v>
      </c>
      <c r="K94" s="140" t="str">
        <f t="shared" si="24"/>
        <v>4009/4010</v>
      </c>
      <c r="L94" s="25" t="str">
        <f>VLOOKUP(A94,'Trips&amp;Operators'!$C$1:$E$10000,3,FALSE)</f>
        <v>DE LA ROSA</v>
      </c>
      <c r="M94" s="6">
        <f t="shared" si="25"/>
        <v>3.1469907407881692E-2</v>
      </c>
      <c r="N94" s="7">
        <f t="shared" ref="N94:N112" si="39">24*60*SUM($M94:$M94)</f>
        <v>45.316666667349637</v>
      </c>
      <c r="O94" s="7"/>
      <c r="P94" s="7"/>
      <c r="Q94" s="26"/>
      <c r="R94" s="26"/>
      <c r="S94" s="38">
        <f t="shared" si="23"/>
        <v>1</v>
      </c>
      <c r="T94" s="53" t="str">
        <f t="shared" si="26"/>
        <v>NorthBound</v>
      </c>
      <c r="U94" s="13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12:39:55-0600',mode:absolute,to:'2016-08-22 15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4" s="55" t="str">
        <f t="shared" si="28"/>
        <v>N</v>
      </c>
      <c r="X94" s="127">
        <f t="shared" si="38"/>
        <v>1</v>
      </c>
      <c r="Y94" s="70">
        <f t="shared" si="30"/>
        <v>4.4900000000000002E-2</v>
      </c>
      <c r="Z94" s="70">
        <f t="shared" si="31"/>
        <v>23.329699999999999</v>
      </c>
      <c r="AA94" s="70">
        <f t="shared" si="32"/>
        <v>23.284800000000001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33"/>
        <v>0181-22</v>
      </c>
      <c r="AE94" s="103" t="str">
        <f t="shared" si="34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94" s="100" t="str">
        <f t="shared" si="35"/>
        <v>"C:\Program Files (x86)\AstroGrep\AstroGrep.exe" /spath="%USERPROFILE%\AppData\Local\Temp\OnboardLogs" /stypes="*4009*20160822*" /stext=" 20:.+((SYSTEM_STATE.+slice.+state.+changed )|(ment ac)|(system.+state.+changed )|(\|lc)|(penalty)|(\[timeout)|(PRM\|1\|D)|(kpr)|(kdp))" /e /r /s</v>
      </c>
      <c r="AG94" s="1" t="str">
        <f t="shared" si="36"/>
        <v>EC</v>
      </c>
      <c r="AH94" s="104" t="str">
        <f t="shared" si="37"/>
        <v>"%USERPROFILE%\Documents\GitHub\eaglep3\Utilities\RefineRTDCRunTimes.py" --tripid 181-22 --locoid 4009 --swversion DE.1.0.7.0 --startMP 204:449 --initTime 2016-08-22T13:39:55 --startdatetime 2016-08-22T13:41:51 --delay 1 --endMP 204:233297 --enddatetime 2016-08-22T14:27:10 --enforcementcount 0</v>
      </c>
    </row>
    <row r="95" spans="1:34" s="24" customFormat="1" x14ac:dyDescent="0.25">
      <c r="A95" s="40" t="s">
        <v>477</v>
      </c>
      <c r="B95" s="7">
        <v>4010</v>
      </c>
      <c r="C95" s="25" t="s">
        <v>114</v>
      </c>
      <c r="D95" s="25" t="s">
        <v>266</v>
      </c>
      <c r="E95" s="16">
        <v>42604.605173611111</v>
      </c>
      <c r="F95" s="16">
        <v>42604.606030092589</v>
      </c>
      <c r="G95" s="7">
        <v>1</v>
      </c>
      <c r="H95" s="16" t="s">
        <v>218</v>
      </c>
      <c r="I95" s="16">
        <v>42604.640150462961</v>
      </c>
      <c r="J95" s="7">
        <v>0</v>
      </c>
      <c r="K95" s="140" t="str">
        <f t="shared" si="24"/>
        <v>4009/4010</v>
      </c>
      <c r="L95" s="25" t="str">
        <f>VLOOKUP(A95,'Trips&amp;Operators'!$C$1:$E$10000,3,FALSE)</f>
        <v>DE LA ROSA</v>
      </c>
      <c r="M95" s="6">
        <f t="shared" si="25"/>
        <v>3.4120370371965691E-2</v>
      </c>
      <c r="N95" s="7">
        <f t="shared" si="39"/>
        <v>49.133333335630596</v>
      </c>
      <c r="O95" s="7"/>
      <c r="P95" s="7"/>
      <c r="Q95" s="26"/>
      <c r="R95" s="26"/>
      <c r="S95" s="38">
        <f t="shared" si="23"/>
        <v>1</v>
      </c>
      <c r="T95" s="53" t="str">
        <f t="shared" si="26"/>
        <v>Southbound</v>
      </c>
      <c r="U95" s="13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13:31:27-0600',mode:absolute,to:'2016-08-22 16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5" s="55" t="str">
        <f t="shared" si="28"/>
        <v>N</v>
      </c>
      <c r="X95" s="127">
        <f t="shared" si="38"/>
        <v>1</v>
      </c>
      <c r="Y95" s="70">
        <f t="shared" si="30"/>
        <v>23.297799999999999</v>
      </c>
      <c r="Z95" s="70">
        <f t="shared" si="31"/>
        <v>1.6E-2</v>
      </c>
      <c r="AA95" s="70">
        <f t="shared" si="32"/>
        <v>23.2818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33"/>
        <v>0182-22</v>
      </c>
      <c r="AE95" s="103" t="str">
        <f t="shared" si="34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95" s="100" t="str">
        <f t="shared" si="35"/>
        <v>"C:\Program Files (x86)\AstroGrep\AstroGrep.exe" /spath="%USERPROFILE%\AppData\Local\Temp\OnboardLogs" /stypes="*4010*20160822*" /stext=" 21:.+((SYSTEM_STATE.+slice.+state.+changed )|(ment ac)|(system.+state.+changed )|(\|lc)|(penalty)|(\[timeout)|(PRM\|1\|D)|(kpr)|(kdp))" /e /r /s</v>
      </c>
      <c r="AG95" s="1" t="str">
        <f t="shared" si="36"/>
        <v>EC</v>
      </c>
      <c r="AH95" s="104" t="str">
        <f t="shared" si="37"/>
        <v>"%USERPROFILE%\Documents\GitHub\eaglep3\Utilities\RefineRTDCRunTimes.py" --tripid 182-22 --locoid 4010 --swversion DE.1.0.7.0 --startMP 204:232978 --initTime 2016-08-22T14:31:27 --startdatetime 2016-08-22T14:32:41 --delay 1 --endMP 204:160 --enddatetime 2016-08-22T15:21:49 --enforcementcount 0</v>
      </c>
    </row>
    <row r="96" spans="1:34" s="24" customFormat="1" x14ac:dyDescent="0.25">
      <c r="A96" s="40" t="s">
        <v>478</v>
      </c>
      <c r="B96" s="7">
        <v>4007</v>
      </c>
      <c r="C96" s="25" t="s">
        <v>114</v>
      </c>
      <c r="D96" s="25" t="s">
        <v>434</v>
      </c>
      <c r="E96" s="16">
        <v>42604.582233796296</v>
      </c>
      <c r="F96" s="16">
        <v>42604.583171296297</v>
      </c>
      <c r="G96" s="7">
        <v>1</v>
      </c>
      <c r="H96" s="16" t="s">
        <v>152</v>
      </c>
      <c r="I96" s="16">
        <v>42604.610810185186</v>
      </c>
      <c r="J96" s="7">
        <v>0</v>
      </c>
      <c r="K96" s="140" t="str">
        <f t="shared" si="24"/>
        <v>4007/4008</v>
      </c>
      <c r="L96" s="25" t="str">
        <f>VLOOKUP(A96,'Trips&amp;Operators'!$C$1:$E$10000,3,FALSE)</f>
        <v>HELVIE</v>
      </c>
      <c r="M96" s="6">
        <f t="shared" si="25"/>
        <v>2.7638888888759539E-2</v>
      </c>
      <c r="N96" s="7">
        <f t="shared" si="39"/>
        <v>39.799999999813735</v>
      </c>
      <c r="O96" s="7"/>
      <c r="P96" s="7"/>
      <c r="Q96" s="26"/>
      <c r="R96" s="26"/>
      <c r="S96" s="38">
        <f t="shared" si="23"/>
        <v>1</v>
      </c>
      <c r="T96" s="53" t="str">
        <f t="shared" si="26"/>
        <v>NorthBound</v>
      </c>
      <c r="U96" s="13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12:58:25-0600',mode:absolute,to:'2016-08-22 15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6" s="55" t="str">
        <f t="shared" si="28"/>
        <v>N</v>
      </c>
      <c r="X96" s="127">
        <f t="shared" si="38"/>
        <v>1</v>
      </c>
      <c r="Y96" s="70">
        <f t="shared" si="30"/>
        <v>4.3799999999999999E-2</v>
      </c>
      <c r="Z96" s="70">
        <f t="shared" si="31"/>
        <v>23.33</v>
      </c>
      <c r="AA96" s="70">
        <f t="shared" si="32"/>
        <v>23.286199999999997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33"/>
        <v>0183-22</v>
      </c>
      <c r="AE96" s="103" t="str">
        <f t="shared" si="34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96" s="100" t="str">
        <f t="shared" si="35"/>
        <v>"C:\Program Files (x86)\AstroGrep\AstroGrep.exe" /spath="%USERPROFILE%\AppData\Local\Temp\OnboardLogs" /stypes="*4007*20160822*" /stext=" 20:.+((SYSTEM_STATE.+slice.+state.+changed )|(ment ac)|(system.+state.+changed )|(\|lc)|(penalty)|(\[timeout)|(PRM\|1\|D)|(kpr)|(kdp))" /e /r /s</v>
      </c>
      <c r="AG96" s="1" t="str">
        <f t="shared" si="36"/>
        <v>EC</v>
      </c>
      <c r="AH96" s="104" t="str">
        <f t="shared" si="37"/>
        <v>"%USERPROFILE%\Documents\GitHub\eaglep3\Utilities\RefineRTDCRunTimes.py" --tripid 183-22 --locoid 4007 --swversion DE.1.0.7.0 --startMP 204:438 --initTime 2016-08-22T13:58:25 --startdatetime 2016-08-22T13:59:46 --delay 1 --endMP 204:233300 --enddatetime 2016-08-22T14:39:34 --enforcementcount 0</v>
      </c>
    </row>
    <row r="97" spans="1:34" s="24" customFormat="1" x14ac:dyDescent="0.25">
      <c r="A97" s="40" t="s">
        <v>479</v>
      </c>
      <c r="B97" s="7">
        <v>4008</v>
      </c>
      <c r="C97" s="25" t="s">
        <v>114</v>
      </c>
      <c r="D97" s="25" t="s">
        <v>158</v>
      </c>
      <c r="E97" s="16">
        <v>42604.618495370371</v>
      </c>
      <c r="F97" s="16">
        <v>42604.619444444441</v>
      </c>
      <c r="G97" s="7">
        <v>1</v>
      </c>
      <c r="H97" s="16" t="s">
        <v>132</v>
      </c>
      <c r="I97" s="16">
        <v>42604.648761574077</v>
      </c>
      <c r="J97" s="7">
        <v>0</v>
      </c>
      <c r="K97" s="140" t="str">
        <f t="shared" si="24"/>
        <v>4007/4008</v>
      </c>
      <c r="L97" s="25" t="str">
        <f>VLOOKUP(A97,'Trips&amp;Operators'!$C$1:$E$10000,3,FALSE)</f>
        <v>HELVIE</v>
      </c>
      <c r="M97" s="6">
        <f t="shared" si="25"/>
        <v>2.9317129636183381E-2</v>
      </c>
      <c r="N97" s="7">
        <f t="shared" si="39"/>
        <v>42.216666676104069</v>
      </c>
      <c r="O97" s="7"/>
      <c r="P97" s="7"/>
      <c r="Q97" s="26"/>
      <c r="R97" s="26"/>
      <c r="S97" s="38">
        <f t="shared" si="23"/>
        <v>1</v>
      </c>
      <c r="T97" s="53" t="str">
        <f t="shared" si="26"/>
        <v>Southbound</v>
      </c>
      <c r="U97" s="13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13:50:38-0600',mode:absolute,to:'2016-08-22 16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7" s="55" t="str">
        <f t="shared" si="28"/>
        <v>N</v>
      </c>
      <c r="X97" s="127">
        <f t="shared" si="38"/>
        <v>1</v>
      </c>
      <c r="Y97" s="70">
        <f t="shared" si="30"/>
        <v>23.298100000000002</v>
      </c>
      <c r="Z97" s="70">
        <f t="shared" si="31"/>
        <v>1.5800000000000002E-2</v>
      </c>
      <c r="AA97" s="70">
        <f t="shared" si="32"/>
        <v>23.282300000000003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33"/>
        <v>0184-22</v>
      </c>
      <c r="AE97" s="103" t="str">
        <f t="shared" si="34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97" s="100" t="str">
        <f t="shared" si="35"/>
        <v>"C:\Program Files (x86)\AstroGrep\AstroGrep.exe" /spath="%USERPROFILE%\AppData\Local\Temp\OnboardLogs" /stypes="*4008*20160822*" /stext=" 21:.+((SYSTEM_STATE.+slice.+state.+changed )|(ment ac)|(system.+state.+changed )|(\|lc)|(penalty)|(\[timeout)|(PRM\|1\|D)|(kpr)|(kdp))" /e /r /s</v>
      </c>
      <c r="AG97" s="1" t="str">
        <f t="shared" si="36"/>
        <v>EC</v>
      </c>
      <c r="AH97" s="104" t="str">
        <f t="shared" si="37"/>
        <v>"%USERPROFILE%\Documents\GitHub\eaglep3\Utilities\RefineRTDCRunTimes.py" --tripid 184-22 --locoid 4008 --swversion DE.1.0.7.0 --startMP 204:232981 --initTime 2016-08-22T14:50:38 --startdatetime 2016-08-22T14:52:00 --delay 1 --endMP 204:158 --enddatetime 2016-08-22T15:34:13 --enforcementcount 0</v>
      </c>
    </row>
    <row r="98" spans="1:34" x14ac:dyDescent="0.25">
      <c r="A98" s="40" t="s">
        <v>480</v>
      </c>
      <c r="B98" s="7">
        <v>4014</v>
      </c>
      <c r="C98" s="25" t="s">
        <v>114</v>
      </c>
      <c r="D98" s="25" t="s">
        <v>288</v>
      </c>
      <c r="E98" s="16">
        <v>42604.59070601852</v>
      </c>
      <c r="F98" s="16">
        <v>42604.591840277775</v>
      </c>
      <c r="G98" s="7">
        <v>1</v>
      </c>
      <c r="H98" s="16" t="s">
        <v>268</v>
      </c>
      <c r="I98" s="16">
        <v>42604.621145833335</v>
      </c>
      <c r="J98" s="7">
        <v>0</v>
      </c>
      <c r="K98" s="140" t="str">
        <f t="shared" si="24"/>
        <v>4013/4014</v>
      </c>
      <c r="L98" s="25" t="str">
        <f>VLOOKUP(A98,'Trips&amp;Operators'!$C$1:$E$10000,3,FALSE)</f>
        <v>STRICKLAND</v>
      </c>
      <c r="M98" s="6">
        <f t="shared" si="25"/>
        <v>2.9305555559403729E-2</v>
      </c>
      <c r="N98" s="7">
        <f t="shared" si="39"/>
        <v>42.200000005541369</v>
      </c>
      <c r="O98" s="7"/>
      <c r="P98" s="7"/>
      <c r="Q98" s="26"/>
      <c r="R98" s="26"/>
      <c r="S98" s="38">
        <f t="shared" si="23"/>
        <v>1</v>
      </c>
      <c r="T98" s="53" t="str">
        <f t="shared" si="26"/>
        <v>NorthBound</v>
      </c>
      <c r="U98" s="13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13:10:37-0600',mode:absolute,to:'2016-08-22 15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8" s="55" t="str">
        <f t="shared" si="28"/>
        <v>N</v>
      </c>
      <c r="X98" s="127">
        <f t="shared" si="38"/>
        <v>1</v>
      </c>
      <c r="Y98" s="70">
        <f t="shared" si="30"/>
        <v>4.3499999999999997E-2</v>
      </c>
      <c r="Z98" s="70">
        <f t="shared" si="31"/>
        <v>23.330300000000001</v>
      </c>
      <c r="AA98" s="70">
        <f t="shared" si="32"/>
        <v>23.286799999999999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33"/>
        <v>0185-22</v>
      </c>
      <c r="AE98" s="103" t="str">
        <f t="shared" si="34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98" s="100" t="str">
        <f t="shared" si="35"/>
        <v>"C:\Program Files (x86)\AstroGrep\AstroGrep.exe" /spath="%USERPROFILE%\AppData\Local\Temp\OnboardLogs" /stypes="*4014*20160822*" /stext=" 20:.+((SYSTEM_STATE.+slice.+state.+changed )|(ment ac)|(system.+state.+changed )|(\|lc)|(penalty)|(\[timeout)|(PRM\|1\|D)|(kpr)|(kdp))" /e /r /s</v>
      </c>
      <c r="AG98" s="1" t="str">
        <f t="shared" si="36"/>
        <v>EC</v>
      </c>
      <c r="AH98" s="104" t="str">
        <f t="shared" si="37"/>
        <v>"%USERPROFILE%\Documents\GitHub\eaglep3\Utilities\RefineRTDCRunTimes.py" --tripid 185-22 --locoid 4014 --swversion DE.1.0.7.0 --startMP 204:435 --initTime 2016-08-22T14:10:37 --startdatetime 2016-08-22T14:12:15 --delay 1 --endMP 204:233303 --enddatetime 2016-08-22T14:54:27 --enforcementcount 0</v>
      </c>
    </row>
    <row r="99" spans="1:34" s="24" customFormat="1" x14ac:dyDescent="0.25">
      <c r="A99" s="40" t="s">
        <v>355</v>
      </c>
      <c r="B99" s="7">
        <v>4013</v>
      </c>
      <c r="C99" s="25" t="s">
        <v>114</v>
      </c>
      <c r="D99" s="25" t="s">
        <v>262</v>
      </c>
      <c r="E99" s="16">
        <v>42604.628680555557</v>
      </c>
      <c r="F99" s="16">
        <v>42604.629606481481</v>
      </c>
      <c r="G99" s="7">
        <v>1</v>
      </c>
      <c r="H99" s="16" t="s">
        <v>209</v>
      </c>
      <c r="I99" s="16">
        <v>42604.660868055558</v>
      </c>
      <c r="J99" s="7">
        <v>0</v>
      </c>
      <c r="K99" s="140" t="str">
        <f t="shared" si="24"/>
        <v>4013/4014</v>
      </c>
      <c r="L99" s="25" t="str">
        <f>VLOOKUP(A99,'Trips&amp;Operators'!$C$1:$E$10000,3,FALSE)</f>
        <v>STRICKLAND</v>
      </c>
      <c r="M99" s="6">
        <f t="shared" si="25"/>
        <v>3.1261574076779652E-2</v>
      </c>
      <c r="N99" s="7">
        <f t="shared" si="39"/>
        <v>45.016666670562699</v>
      </c>
      <c r="O99" s="7"/>
      <c r="P99" s="7"/>
      <c r="Q99" s="26"/>
      <c r="R99" s="26"/>
      <c r="S99" s="38">
        <f t="shared" si="23"/>
        <v>1</v>
      </c>
      <c r="T99" s="53" t="str">
        <f t="shared" si="26"/>
        <v>Southbound</v>
      </c>
      <c r="U99" s="13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14:05:18-0600',mode:absolute,to:'2016-08-22 16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99" s="55" t="str">
        <f t="shared" si="28"/>
        <v>N</v>
      </c>
      <c r="X99" s="127">
        <f t="shared" si="38"/>
        <v>1</v>
      </c>
      <c r="Y99" s="70">
        <f t="shared" si="30"/>
        <v>23.2986</v>
      </c>
      <c r="Z99" s="70">
        <f t="shared" si="31"/>
        <v>1.4500000000000001E-2</v>
      </c>
      <c r="AA99" s="70">
        <f t="shared" si="32"/>
        <v>23.284099999999999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33"/>
        <v>0186-22</v>
      </c>
      <c r="AE99" s="103" t="str">
        <f t="shared" si="34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99" s="100" t="str">
        <f t="shared" si="35"/>
        <v>"C:\Program Files (x86)\AstroGrep\AstroGrep.exe" /spath="%USERPROFILE%\AppData\Local\Temp\OnboardLogs" /stypes="*4013*20160822*" /stext=" 21:.+((SYSTEM_STATE.+slice.+state.+changed )|(ment ac)|(system.+state.+changed )|(\|lc)|(penalty)|(\[timeout)|(PRM\|1\|D)|(kpr)|(kdp))" /e /r /s</v>
      </c>
      <c r="AG99" s="1" t="str">
        <f t="shared" si="36"/>
        <v>EC</v>
      </c>
      <c r="AH99" s="104" t="str">
        <f t="shared" si="37"/>
        <v>"%USERPROFILE%\Documents\GitHub\eaglep3\Utilities\RefineRTDCRunTimes.py" --tripid 186-22 --locoid 4013 --swversion DE.1.0.7.0 --startMP 204:232986 --initTime 2016-08-22T15:05:18 --startdatetime 2016-08-22T15:06:38 --delay 1 --endMP 204:145 --enddatetime 2016-08-22T15:51:39 --enforcementcount 0</v>
      </c>
    </row>
    <row r="100" spans="1:34" x14ac:dyDescent="0.25">
      <c r="A100" s="40" t="s">
        <v>356</v>
      </c>
      <c r="B100" s="7">
        <v>4038</v>
      </c>
      <c r="C100" s="25" t="s">
        <v>114</v>
      </c>
      <c r="D100" s="25" t="s">
        <v>481</v>
      </c>
      <c r="E100" s="16">
        <v>42604.608391203707</v>
      </c>
      <c r="F100" s="16">
        <v>42604.609375</v>
      </c>
      <c r="G100" s="7">
        <v>1</v>
      </c>
      <c r="H100" s="16" t="s">
        <v>135</v>
      </c>
      <c r="I100" s="16">
        <v>42604.637662037036</v>
      </c>
      <c r="J100" s="7">
        <v>0</v>
      </c>
      <c r="K100" s="140" t="str">
        <f t="shared" si="24"/>
        <v>4037/4038</v>
      </c>
      <c r="L100" s="25" t="str">
        <f>VLOOKUP(A100,'Trips&amp;Operators'!$C$1:$E$10000,3,FALSE)</f>
        <v>STEWART</v>
      </c>
      <c r="M100" s="6">
        <f t="shared" si="25"/>
        <v>2.8287037035624962E-2</v>
      </c>
      <c r="N100" s="7">
        <f t="shared" si="39"/>
        <v>40.733333331299946</v>
      </c>
      <c r="O100" s="7"/>
      <c r="P100" s="7"/>
      <c r="Q100" s="26"/>
      <c r="R100" s="26"/>
      <c r="S100" s="38">
        <f t="shared" si="23"/>
        <v>1</v>
      </c>
      <c r="T100" s="53" t="str">
        <f t="shared" si="26"/>
        <v>NorthBound</v>
      </c>
      <c r="U100" s="13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13:36:05-0600',mode:absolute,to:'2016-08-22 16:18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0" s="55" t="str">
        <f t="shared" si="28"/>
        <v>N</v>
      </c>
      <c r="X100" s="127">
        <f t="shared" ref="X100:X112" si="40">VALUE(LEFT(AD100,4))-VALUE(LEFT(AD99,4))</f>
        <v>1</v>
      </c>
      <c r="Y100" s="70">
        <f t="shared" si="30"/>
        <v>5.5500000000000001E-2</v>
      </c>
      <c r="Z100" s="70">
        <f t="shared" si="31"/>
        <v>23.328900000000001</v>
      </c>
      <c r="AA100" s="70">
        <f t="shared" si="32"/>
        <v>23.273400000000002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33"/>
        <v>0187-22</v>
      </c>
      <c r="AE100" s="103" t="str">
        <f t="shared" si="34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100" s="100" t="str">
        <f t="shared" si="35"/>
        <v>"C:\Program Files (x86)\AstroGrep\AstroGrep.exe" /spath="%USERPROFILE%\AppData\Local\Temp\OnboardLogs" /stypes="*4038*20160822*" /stext=" 21:.+((SYSTEM_STATE.+slice.+state.+changed )|(ment ac)|(system.+state.+changed )|(\|lc)|(penalty)|(\[timeout)|(PRM\|1\|D)|(kpr)|(kdp))" /e /r /s</v>
      </c>
      <c r="AG100" s="1" t="str">
        <f t="shared" si="36"/>
        <v>EC</v>
      </c>
      <c r="AH100" s="104" t="str">
        <f t="shared" si="37"/>
        <v>"%USERPROFILE%\Documents\GitHub\eaglep3\Utilities\RefineRTDCRunTimes.py" --tripid 187-22 --locoid 4038 --swversion DE.1.0.7.0 --startMP 204:555 --initTime 2016-08-22T14:36:05 --startdatetime 2016-08-22T14:37:30 --delay 1 --endMP 204:233289 --enddatetime 2016-08-22T15:18:14 --enforcementcount 0</v>
      </c>
    </row>
    <row r="101" spans="1:34" x14ac:dyDescent="0.25">
      <c r="A101" s="40" t="s">
        <v>482</v>
      </c>
      <c r="B101" s="7">
        <v>4037</v>
      </c>
      <c r="C101" s="25" t="s">
        <v>114</v>
      </c>
      <c r="D101" s="25" t="s">
        <v>483</v>
      </c>
      <c r="E101" s="16">
        <v>42604.641296296293</v>
      </c>
      <c r="F101" s="16">
        <v>42604.642060185186</v>
      </c>
      <c r="G101" s="7">
        <v>1</v>
      </c>
      <c r="H101" s="16" t="s">
        <v>218</v>
      </c>
      <c r="I101" s="16">
        <v>42604.674699074072</v>
      </c>
      <c r="J101" s="7">
        <v>0</v>
      </c>
      <c r="K101" s="140" t="str">
        <f t="shared" si="24"/>
        <v>4037/4038</v>
      </c>
      <c r="L101" s="25" t="str">
        <f>VLOOKUP(A101,'Trips&amp;Operators'!$C$1:$E$10000,3,FALSE)</f>
        <v>STEWART</v>
      </c>
      <c r="M101" s="6">
        <f t="shared" si="25"/>
        <v>3.2638888886140194E-2</v>
      </c>
      <c r="N101" s="7">
        <f t="shared" si="39"/>
        <v>46.999999996041879</v>
      </c>
      <c r="O101" s="7"/>
      <c r="P101" s="7"/>
      <c r="Q101" s="26"/>
      <c r="R101" s="26"/>
      <c r="S101" s="38">
        <f t="shared" si="23"/>
        <v>1</v>
      </c>
      <c r="T101" s="53" t="str">
        <f t="shared" si="26"/>
        <v>Southbound</v>
      </c>
      <c r="U101" s="13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14:23:28-0600',mode:absolute,to:'2016-08-22 17:11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1" s="55" t="str">
        <f t="shared" si="28"/>
        <v>N</v>
      </c>
      <c r="X101" s="127">
        <f t="shared" si="40"/>
        <v>1</v>
      </c>
      <c r="Y101" s="70">
        <f t="shared" si="30"/>
        <v>23.2972</v>
      </c>
      <c r="Z101" s="70">
        <f t="shared" si="31"/>
        <v>1.6E-2</v>
      </c>
      <c r="AA101" s="70">
        <f t="shared" si="32"/>
        <v>23.281200000000002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33"/>
        <v>0188-22</v>
      </c>
      <c r="AE101" s="103" t="str">
        <f t="shared" si="34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101" s="100" t="str">
        <f t="shared" si="35"/>
        <v>"C:\Program Files (x86)\AstroGrep\AstroGrep.exe" /spath="%USERPROFILE%\AppData\Local\Temp\OnboardLogs" /stypes="*4037*20160822*" /stext=" 22:.+((SYSTEM_STATE.+slice.+state.+changed )|(ment ac)|(system.+state.+changed )|(\|lc)|(penalty)|(\[timeout)|(PRM\|1\|D)|(kpr)|(kdp))" /e /r /s</v>
      </c>
      <c r="AG101" s="1" t="str">
        <f t="shared" si="36"/>
        <v>EC</v>
      </c>
      <c r="AH101" s="104" t="str">
        <f t="shared" si="37"/>
        <v>"%USERPROFILE%\Documents\GitHub\eaglep3\Utilities\RefineRTDCRunTimes.py" --tripid 188-22 --locoid 4037 --swversion DE.1.0.7.0 --startMP 204:232972 --initTime 2016-08-22T15:23:28 --startdatetime 2016-08-22T15:24:34 --delay 1 --endMP 204:160 --enddatetime 2016-08-22T16:11:34 --enforcementcount 0</v>
      </c>
    </row>
    <row r="102" spans="1:34" s="24" customFormat="1" x14ac:dyDescent="0.25">
      <c r="A102" s="40" t="s">
        <v>484</v>
      </c>
      <c r="B102" s="7">
        <v>4018</v>
      </c>
      <c r="C102" s="25" t="s">
        <v>114</v>
      </c>
      <c r="D102" s="25" t="s">
        <v>260</v>
      </c>
      <c r="E102" s="16">
        <v>42604.61142361111</v>
      </c>
      <c r="F102" s="16">
        <v>42604.612256944441</v>
      </c>
      <c r="G102" s="7">
        <v>1</v>
      </c>
      <c r="H102" s="16" t="s">
        <v>188</v>
      </c>
      <c r="I102" s="16">
        <v>42604.640706018516</v>
      </c>
      <c r="J102" s="7">
        <v>0</v>
      </c>
      <c r="K102" s="140" t="str">
        <f t="shared" si="24"/>
        <v>4017/4018</v>
      </c>
      <c r="L102" s="25" t="str">
        <f>VLOOKUP(A102,'Trips&amp;Operators'!$C$1:$E$10000,3,FALSE)</f>
        <v>BARTLETT</v>
      </c>
      <c r="M102" s="6">
        <f t="shared" si="25"/>
        <v>2.8449074074160308E-2</v>
      </c>
      <c r="N102" s="7">
        <f t="shared" si="39"/>
        <v>40.966666666790843</v>
      </c>
      <c r="O102" s="7"/>
      <c r="P102" s="7"/>
      <c r="Q102" s="26"/>
      <c r="R102" s="26"/>
      <c r="S102" s="38">
        <f t="shared" ref="S102:S133" si="41">SUM(U102:U102)/IF(AG102="EC",12,1)</f>
        <v>1</v>
      </c>
      <c r="T102" s="53" t="str">
        <f t="shared" si="26"/>
        <v>NorthBound</v>
      </c>
      <c r="U102" s="13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13:40:27-0600',mode:absolute,to:'2016-08-22 16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2" s="55" t="str">
        <f t="shared" si="28"/>
        <v>N</v>
      </c>
      <c r="X102" s="127">
        <f t="shared" si="40"/>
        <v>1</v>
      </c>
      <c r="Y102" s="70">
        <f t="shared" si="30"/>
        <v>4.6600000000000003E-2</v>
      </c>
      <c r="Z102" s="70">
        <f t="shared" si="31"/>
        <v>23.330500000000001</v>
      </c>
      <c r="AA102" s="70">
        <f t="shared" si="32"/>
        <v>23.283899999999999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33"/>
        <v>0189-22</v>
      </c>
      <c r="AE102" s="103" t="str">
        <f t="shared" si="34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102" s="100" t="str">
        <f t="shared" si="35"/>
        <v>"C:\Program Files (x86)\AstroGrep\AstroGrep.exe" /spath="%USERPROFILE%\AppData\Local\Temp\OnboardLogs" /stypes="*4018*20160822*" /stext=" 21:.+((SYSTEM_STATE.+slice.+state.+changed )|(ment ac)|(system.+state.+changed )|(\|lc)|(penalty)|(\[timeout)|(PRM\|1\|D)|(kpr)|(kdp))" /e /r /s</v>
      </c>
      <c r="AG102" s="1" t="str">
        <f t="shared" si="36"/>
        <v>EC</v>
      </c>
      <c r="AH102" s="104" t="str">
        <f t="shared" si="37"/>
        <v>"%USERPROFILE%\Documents\GitHub\eaglep3\Utilities\RefineRTDCRunTimes.py" --tripid 189-22 --locoid 4018 --swversion DE.1.0.7.0 --startMP 204:466 --initTime 2016-08-22T14:40:27 --startdatetime 2016-08-22T14:41:39 --delay 1 --endMP 204:233305 --enddatetime 2016-08-22T15:22:37 --enforcementcount 0</v>
      </c>
    </row>
    <row r="103" spans="1:34" x14ac:dyDescent="0.25">
      <c r="A103" s="40" t="s">
        <v>485</v>
      </c>
      <c r="B103" s="7">
        <v>4017</v>
      </c>
      <c r="C103" s="25" t="s">
        <v>114</v>
      </c>
      <c r="D103" s="25" t="s">
        <v>211</v>
      </c>
      <c r="E103" s="16">
        <v>42604.642638888887</v>
      </c>
      <c r="F103" s="16">
        <v>42604.643495370372</v>
      </c>
      <c r="G103" s="7">
        <v>1</v>
      </c>
      <c r="H103" s="16" t="s">
        <v>157</v>
      </c>
      <c r="I103" s="16">
        <v>42604.681307870371</v>
      </c>
      <c r="J103" s="7">
        <v>0</v>
      </c>
      <c r="K103" s="140" t="str">
        <f t="shared" si="24"/>
        <v>4017/4018</v>
      </c>
      <c r="L103" s="25" t="str">
        <f>VLOOKUP(A103,'Trips&amp;Operators'!$C$1:$E$10000,3,FALSE)</f>
        <v>BARTLETT</v>
      </c>
      <c r="M103" s="6">
        <f t="shared" si="25"/>
        <v>3.7812499998835847E-2</v>
      </c>
      <c r="N103" s="7">
        <f t="shared" si="39"/>
        <v>54.449999998323619</v>
      </c>
      <c r="O103" s="7"/>
      <c r="P103" s="7"/>
      <c r="Q103" s="26"/>
      <c r="R103" s="26"/>
      <c r="S103" s="38">
        <f t="shared" si="41"/>
        <v>1</v>
      </c>
      <c r="T103" s="53" t="str">
        <f t="shared" si="26"/>
        <v>Southbound</v>
      </c>
      <c r="U103" s="13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14:25:24-0600',mode:absolute,to:'2016-08-22 17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3" s="55" t="str">
        <f t="shared" si="28"/>
        <v>N</v>
      </c>
      <c r="X103" s="127">
        <f t="shared" si="40"/>
        <v>1</v>
      </c>
      <c r="Y103" s="70">
        <f t="shared" si="30"/>
        <v>23.298200000000001</v>
      </c>
      <c r="Z103" s="70">
        <f t="shared" si="31"/>
        <v>1.5599999999999999E-2</v>
      </c>
      <c r="AA103" s="70">
        <f t="shared" si="32"/>
        <v>23.282600000000002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33"/>
        <v>0190-22</v>
      </c>
      <c r="AE103" s="103" t="str">
        <f t="shared" si="34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103" s="100" t="str">
        <f t="shared" si="35"/>
        <v>"C:\Program Files (x86)\AstroGrep\AstroGrep.exe" /spath="%USERPROFILE%\AppData\Local\Temp\OnboardLogs" /stypes="*4017*20160822*" /stext=" 22:.+((SYSTEM_STATE.+slice.+state.+changed )|(ment ac)|(system.+state.+changed )|(\|lc)|(penalty)|(\[timeout)|(PRM\|1\|D)|(kpr)|(kdp))" /e /r /s</v>
      </c>
      <c r="AG103" s="1" t="str">
        <f t="shared" si="36"/>
        <v>EC</v>
      </c>
      <c r="AH103" s="104" t="str">
        <f t="shared" si="37"/>
        <v>"%USERPROFILE%\Documents\GitHub\eaglep3\Utilities\RefineRTDCRunTimes.py" --tripid 190-22 --locoid 4017 --swversion DE.1.0.7.0 --startMP 204:232982 --initTime 2016-08-22T15:25:24 --startdatetime 2016-08-22T15:26:38 --delay 1 --endMP 204:156 --enddatetime 2016-08-22T16:21:05 --enforcementcount 0</v>
      </c>
    </row>
    <row r="104" spans="1:34" x14ac:dyDescent="0.25">
      <c r="A104" s="40" t="s">
        <v>486</v>
      </c>
      <c r="B104" s="7">
        <v>4020</v>
      </c>
      <c r="C104" s="25" t="s">
        <v>114</v>
      </c>
      <c r="D104" s="25" t="s">
        <v>445</v>
      </c>
      <c r="E104" s="16">
        <v>42604.623969907407</v>
      </c>
      <c r="F104" s="16">
        <v>42604.6249537037</v>
      </c>
      <c r="G104" s="7">
        <v>1</v>
      </c>
      <c r="H104" s="16" t="s">
        <v>160</v>
      </c>
      <c r="I104" s="16">
        <v>42604.651898148149</v>
      </c>
      <c r="J104" s="7">
        <v>0</v>
      </c>
      <c r="K104" s="140" t="str">
        <f t="shared" si="24"/>
        <v>4019/4020</v>
      </c>
      <c r="L104" s="25" t="str">
        <f>VLOOKUP(A104,'Trips&amp;Operators'!$C$1:$E$10000,3,FALSE)</f>
        <v>ROBINSON</v>
      </c>
      <c r="M104" s="6">
        <f t="shared" si="25"/>
        <v>2.694444444932742E-2</v>
      </c>
      <c r="N104" s="7">
        <f t="shared" si="39"/>
        <v>38.800000007031485</v>
      </c>
      <c r="O104" s="7"/>
      <c r="P104" s="7"/>
      <c r="Q104" s="26"/>
      <c r="R104" s="26"/>
      <c r="S104" s="38">
        <f t="shared" si="41"/>
        <v>1</v>
      </c>
      <c r="T104" s="53" t="str">
        <f t="shared" si="26"/>
        <v>NorthBound</v>
      </c>
      <c r="U104" s="13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13:58:31-0600',mode:absolute,to:'2016-08-22 16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4" s="55" t="str">
        <f t="shared" si="28"/>
        <v>N</v>
      </c>
      <c r="X104" s="127">
        <f t="shared" si="40"/>
        <v>1</v>
      </c>
      <c r="Y104" s="70">
        <f t="shared" si="30"/>
        <v>4.3099999999999999E-2</v>
      </c>
      <c r="Z104" s="70">
        <f t="shared" si="31"/>
        <v>23.3291</v>
      </c>
      <c r="AA104" s="70">
        <f t="shared" si="32"/>
        <v>23.286000000000001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33"/>
        <v>0191-22</v>
      </c>
      <c r="AE104" s="103" t="str">
        <f t="shared" si="34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04" s="100" t="str">
        <f t="shared" si="35"/>
        <v>"C:\Program Files (x86)\AstroGrep\AstroGrep.exe" /spath="%USERPROFILE%\AppData\Local\Temp\OnboardLogs" /stypes="*4020*20160822*" /stext=" 21:.+((SYSTEM_STATE.+slice.+state.+changed )|(ment ac)|(system.+state.+changed )|(\|lc)|(penalty)|(\[timeout)|(PRM\|1\|D)|(kpr)|(kdp))" /e /r /s</v>
      </c>
      <c r="AG104" s="1" t="str">
        <f t="shared" si="36"/>
        <v>EC</v>
      </c>
      <c r="AH104" s="104" t="str">
        <f t="shared" si="37"/>
        <v>"%USERPROFILE%\Documents\GitHub\eaglep3\Utilities\RefineRTDCRunTimes.py" --tripid 191-22 --locoid 4020 --swversion DE.1.0.7.0 --startMP 204:431 --initTime 2016-08-22T14:58:31 --startdatetime 2016-08-22T14:59:56 --delay 1 --endMP 204:233291 --enddatetime 2016-08-22T15:38:44 --enforcementcount 0</v>
      </c>
    </row>
    <row r="105" spans="1:34" x14ac:dyDescent="0.25">
      <c r="A105" s="40" t="s">
        <v>487</v>
      </c>
      <c r="B105" s="7">
        <v>4019</v>
      </c>
      <c r="C105" s="25" t="s">
        <v>114</v>
      </c>
      <c r="D105" s="25" t="s">
        <v>263</v>
      </c>
      <c r="E105" s="16">
        <v>42604.658356481479</v>
      </c>
      <c r="F105" s="16">
        <v>42604.659375000003</v>
      </c>
      <c r="G105" s="7">
        <v>1</v>
      </c>
      <c r="H105" s="16" t="s">
        <v>90</v>
      </c>
      <c r="I105" s="16">
        <v>42604.691620370373</v>
      </c>
      <c r="J105" s="7">
        <v>0</v>
      </c>
      <c r="K105" s="140" t="str">
        <f t="shared" si="24"/>
        <v>4019/4020</v>
      </c>
      <c r="L105" s="25" t="str">
        <f>VLOOKUP(A105,'Trips&amp;Operators'!$C$1:$E$10000,3,FALSE)</f>
        <v>ROBINSON</v>
      </c>
      <c r="M105" s="6">
        <f t="shared" si="25"/>
        <v>3.2245370370219462E-2</v>
      </c>
      <c r="N105" s="7">
        <f t="shared" si="39"/>
        <v>46.433333333116025</v>
      </c>
      <c r="O105" s="7"/>
      <c r="P105" s="7"/>
      <c r="Q105" s="26"/>
      <c r="R105" s="26"/>
      <c r="S105" s="38">
        <f t="shared" si="41"/>
        <v>1</v>
      </c>
      <c r="T105" s="53" t="str">
        <f t="shared" si="26"/>
        <v>Southbound</v>
      </c>
      <c r="U105" s="13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14:48:02-0600',mode:absolute,to:'2016-08-22 17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5" s="55" t="str">
        <f t="shared" si="28"/>
        <v>N</v>
      </c>
      <c r="X105" s="127">
        <f t="shared" si="40"/>
        <v>1</v>
      </c>
      <c r="Y105" s="70">
        <f t="shared" si="30"/>
        <v>23.298300000000001</v>
      </c>
      <c r="Z105" s="70">
        <f t="shared" si="31"/>
        <v>1.43E-2</v>
      </c>
      <c r="AA105" s="70">
        <f t="shared" si="32"/>
        <v>23.284000000000002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33"/>
        <v>0192-22</v>
      </c>
      <c r="AE105" s="103" t="str">
        <f t="shared" si="34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105" s="100" t="str">
        <f t="shared" si="35"/>
        <v>"C:\Program Files (x86)\AstroGrep\AstroGrep.exe" /spath="%USERPROFILE%\AppData\Local\Temp\OnboardLogs" /stypes="*4019*20160822*" /stext=" 22:.+((SYSTEM_STATE.+slice.+state.+changed )|(ment ac)|(system.+state.+changed )|(\|lc)|(penalty)|(\[timeout)|(PRM\|1\|D)|(kpr)|(kdp))" /e /r /s</v>
      </c>
      <c r="AG105" s="1" t="str">
        <f t="shared" si="36"/>
        <v>EC</v>
      </c>
      <c r="AH105" s="104" t="str">
        <f t="shared" si="37"/>
        <v>"%USERPROFILE%\Documents\GitHub\eaglep3\Utilities\RefineRTDCRunTimes.py" --tripid 192-22 --locoid 4019 --swversion DE.1.0.7.0 --startMP 204:232983 --initTime 2016-08-22T15:48:02 --startdatetime 2016-08-22T15:49:30 --delay 1 --endMP 204:143 --enddatetime 2016-08-22T16:35:56 --enforcementcount 0</v>
      </c>
    </row>
    <row r="106" spans="1:34" x14ac:dyDescent="0.25">
      <c r="A106" s="40" t="s">
        <v>488</v>
      </c>
      <c r="B106" s="7">
        <v>4044</v>
      </c>
      <c r="C106" s="25" t="s">
        <v>114</v>
      </c>
      <c r="D106" s="25" t="s">
        <v>186</v>
      </c>
      <c r="E106" s="16">
        <v>42604.633217592593</v>
      </c>
      <c r="F106" s="16">
        <v>42604.634108796294</v>
      </c>
      <c r="G106" s="7">
        <v>1</v>
      </c>
      <c r="H106" s="16" t="s">
        <v>382</v>
      </c>
      <c r="I106" s="16">
        <v>42604.660891203705</v>
      </c>
      <c r="J106" s="7">
        <v>0</v>
      </c>
      <c r="K106" s="140" t="str">
        <f t="shared" si="24"/>
        <v>4043/4044</v>
      </c>
      <c r="L106" s="25" t="str">
        <f>VLOOKUP(A106,'Trips&amp;Operators'!$C$1:$E$10000,3,FALSE)</f>
        <v>BEAM</v>
      </c>
      <c r="M106" s="6">
        <f t="shared" si="25"/>
        <v>2.6782407410792075E-2</v>
      </c>
      <c r="N106" s="7">
        <f t="shared" si="39"/>
        <v>38.566666671540588</v>
      </c>
      <c r="O106" s="7"/>
      <c r="P106" s="7"/>
      <c r="Q106" s="26"/>
      <c r="R106" s="26"/>
      <c r="S106" s="38">
        <f t="shared" si="41"/>
        <v>1</v>
      </c>
      <c r="T106" s="53" t="str">
        <f t="shared" si="26"/>
        <v>NorthBound</v>
      </c>
      <c r="U106" s="13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14:11:50-0600',mode:absolute,to:'2016-08-22 16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6" s="55" t="str">
        <f t="shared" si="28"/>
        <v>N</v>
      </c>
      <c r="X106" s="127">
        <f t="shared" si="40"/>
        <v>1</v>
      </c>
      <c r="Y106" s="70">
        <f t="shared" si="30"/>
        <v>4.4600000000000001E-2</v>
      </c>
      <c r="Z106" s="70">
        <f t="shared" si="31"/>
        <v>23.331199999999999</v>
      </c>
      <c r="AA106" s="70">
        <f t="shared" si="32"/>
        <v>23.2866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33"/>
        <v>0193-22</v>
      </c>
      <c r="AE106" s="103" t="str">
        <f t="shared" si="34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106" s="100" t="str">
        <f t="shared" si="35"/>
        <v>"C:\Program Files (x86)\AstroGrep\AstroGrep.exe" /spath="%USERPROFILE%\AppData\Local\Temp\OnboardLogs" /stypes="*4044*20160822*" /stext=" 21:.+((SYSTEM_STATE.+slice.+state.+changed )|(ment ac)|(system.+state.+changed )|(\|lc)|(penalty)|(\[timeout)|(PRM\|1\|D)|(kpr)|(kdp))" /e /r /s</v>
      </c>
      <c r="AG106" s="1" t="str">
        <f t="shared" si="36"/>
        <v>EC</v>
      </c>
      <c r="AH106" s="104" t="str">
        <f t="shared" si="37"/>
        <v>"%USERPROFILE%\Documents\GitHub\eaglep3\Utilities\RefineRTDCRunTimes.py" --tripid 193-22 --locoid 4044 --swversion DE.1.0.7.0 --startMP 204:446 --initTime 2016-08-22T15:11:50 --startdatetime 2016-08-22T15:13:07 --delay 1 --endMP 204:233312 --enddatetime 2016-08-22T15:51:41 --enforcementcount 0</v>
      </c>
    </row>
    <row r="107" spans="1:34" x14ac:dyDescent="0.25">
      <c r="A107" s="40" t="s">
        <v>489</v>
      </c>
      <c r="B107" s="7">
        <v>4043</v>
      </c>
      <c r="C107" s="25" t="s">
        <v>114</v>
      </c>
      <c r="D107" s="25" t="s">
        <v>261</v>
      </c>
      <c r="E107" s="16">
        <v>42604.671331018515</v>
      </c>
      <c r="F107" s="16">
        <v>42604.672349537039</v>
      </c>
      <c r="G107" s="7">
        <v>1</v>
      </c>
      <c r="H107" s="16" t="s">
        <v>209</v>
      </c>
      <c r="I107" s="16">
        <v>42604.70212962963</v>
      </c>
      <c r="J107" s="7">
        <v>0</v>
      </c>
      <c r="K107" s="140" t="str">
        <f t="shared" si="24"/>
        <v>4043/4044</v>
      </c>
      <c r="L107" s="25" t="str">
        <f>VLOOKUP(A107,'Trips&amp;Operators'!$C$1:$E$10000,3,FALSE)</f>
        <v>BEAM</v>
      </c>
      <c r="M107" s="6">
        <f t="shared" si="25"/>
        <v>2.9780092590954155E-2</v>
      </c>
      <c r="N107" s="7">
        <f t="shared" si="39"/>
        <v>42.883333330973983</v>
      </c>
      <c r="O107" s="7"/>
      <c r="P107" s="7"/>
      <c r="Q107" s="26"/>
      <c r="R107" s="26"/>
      <c r="S107" s="38">
        <f t="shared" si="41"/>
        <v>1</v>
      </c>
      <c r="T107" s="53" t="str">
        <f t="shared" si="26"/>
        <v>Southbound</v>
      </c>
      <c r="U107" s="13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15:06:43-0600',mode:absolute,to:'2016-08-22 17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7" s="55" t="str">
        <f t="shared" si="28"/>
        <v>N</v>
      </c>
      <c r="X107" s="127">
        <f t="shared" si="40"/>
        <v>1</v>
      </c>
      <c r="Y107" s="70">
        <f t="shared" si="30"/>
        <v>23.299199999999999</v>
      </c>
      <c r="Z107" s="70">
        <f t="shared" si="31"/>
        <v>1.4500000000000001E-2</v>
      </c>
      <c r="AA107" s="70">
        <f t="shared" si="32"/>
        <v>23.284699999999997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33"/>
        <v>0194-22</v>
      </c>
      <c r="AE107" s="103" t="str">
        <f t="shared" si="34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107" s="100" t="str">
        <f t="shared" si="35"/>
        <v>"C:\Program Files (x86)\AstroGrep\AstroGrep.exe" /spath="%USERPROFILE%\AppData\Local\Temp\OnboardLogs" /stypes="*4043*20160822*" /stext=" 22:.+((SYSTEM_STATE.+slice.+state.+changed )|(ment ac)|(system.+state.+changed )|(\|lc)|(penalty)|(\[timeout)|(PRM\|1\|D)|(kpr)|(kdp))" /e /r /s</v>
      </c>
      <c r="AG107" s="1" t="str">
        <f t="shared" si="36"/>
        <v>EC</v>
      </c>
      <c r="AH107" s="104" t="str">
        <f t="shared" si="37"/>
        <v>"%USERPROFILE%\Documents\GitHub\eaglep3\Utilities\RefineRTDCRunTimes.py" --tripid 194-22 --locoid 4043 --swversion DE.1.0.7.0 --startMP 204:232992 --initTime 2016-08-22T16:06:43 --startdatetime 2016-08-22T16:08:11 --delay 1 --endMP 204:145 --enddatetime 2016-08-22T16:51:04 --enforcementcount 0</v>
      </c>
    </row>
    <row r="108" spans="1:34" x14ac:dyDescent="0.25">
      <c r="A108" s="40" t="s">
        <v>490</v>
      </c>
      <c r="B108" s="7">
        <v>4009</v>
      </c>
      <c r="C108" s="25" t="s">
        <v>114</v>
      </c>
      <c r="D108" s="25" t="s">
        <v>186</v>
      </c>
      <c r="E108" s="16">
        <v>42604.642291666663</v>
      </c>
      <c r="F108" s="16">
        <v>42604.643391203703</v>
      </c>
      <c r="G108" s="7">
        <v>1</v>
      </c>
      <c r="H108" s="16" t="s">
        <v>219</v>
      </c>
      <c r="I108" s="16">
        <v>42604.670729166668</v>
      </c>
      <c r="J108" s="7">
        <v>0</v>
      </c>
      <c r="K108" s="140" t="str">
        <f t="shared" si="24"/>
        <v>4009/4010</v>
      </c>
      <c r="L108" s="25" t="str">
        <f>VLOOKUP(A108,'Trips&amp;Operators'!$C$1:$E$10000,3,FALSE)</f>
        <v>DE LA ROSA</v>
      </c>
      <c r="M108" s="6">
        <f t="shared" si="25"/>
        <v>2.7337962965248153E-2</v>
      </c>
      <c r="N108" s="7">
        <f t="shared" si="39"/>
        <v>39.36666666995734</v>
      </c>
      <c r="O108" s="7"/>
      <c r="P108" s="7"/>
      <c r="Q108" s="26"/>
      <c r="R108" s="26"/>
      <c r="S108" s="38">
        <f t="shared" si="41"/>
        <v>1</v>
      </c>
      <c r="T108" s="53" t="str">
        <f t="shared" si="26"/>
        <v>NorthBound</v>
      </c>
      <c r="U108" s="13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14:24:54-0600',mode:absolute,to:'2016-08-22 17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8" s="55" t="str">
        <f t="shared" si="28"/>
        <v>N</v>
      </c>
      <c r="X108" s="127">
        <f t="shared" si="40"/>
        <v>1</v>
      </c>
      <c r="Y108" s="70">
        <f t="shared" si="30"/>
        <v>4.4600000000000001E-2</v>
      </c>
      <c r="Z108" s="70">
        <f t="shared" si="31"/>
        <v>23.3293</v>
      </c>
      <c r="AA108" s="70">
        <f t="shared" si="32"/>
        <v>23.284700000000001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33"/>
        <v>0195-22</v>
      </c>
      <c r="AE108" s="103" t="str">
        <f t="shared" si="34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108" s="100" t="str">
        <f t="shared" si="35"/>
        <v>"C:\Program Files (x86)\AstroGrep\AstroGrep.exe" /spath="%USERPROFILE%\AppData\Local\Temp\OnboardLogs" /stypes="*4009*20160822*" /stext=" 22:.+((SYSTEM_STATE.+slice.+state.+changed )|(ment ac)|(system.+state.+changed )|(\|lc)|(penalty)|(\[timeout)|(PRM\|1\|D)|(kpr)|(kdp))" /e /r /s</v>
      </c>
      <c r="AG108" s="1" t="str">
        <f t="shared" si="36"/>
        <v>EC</v>
      </c>
      <c r="AH108" s="104" t="str">
        <f t="shared" si="37"/>
        <v>"%USERPROFILE%\Documents\GitHub\eaglep3\Utilities\RefineRTDCRunTimes.py" --tripid 195-22 --locoid 4009 --swversion DE.1.0.7.0 --startMP 204:446 --initTime 2016-08-22T15:24:54 --startdatetime 2016-08-22T15:26:29 --delay 1 --endMP 204:233293 --enddatetime 2016-08-22T16:05:51 --enforcementcount 0</v>
      </c>
    </row>
    <row r="109" spans="1:34" s="24" customFormat="1" x14ac:dyDescent="0.25">
      <c r="A109" s="40" t="s">
        <v>491</v>
      </c>
      <c r="B109" s="7">
        <v>4010</v>
      </c>
      <c r="C109" s="25" t="s">
        <v>114</v>
      </c>
      <c r="D109" s="25" t="s">
        <v>280</v>
      </c>
      <c r="E109" s="16">
        <v>42604.681018518517</v>
      </c>
      <c r="F109" s="16">
        <v>42604.682175925926</v>
      </c>
      <c r="G109" s="7">
        <v>1</v>
      </c>
      <c r="H109" s="16" t="s">
        <v>138</v>
      </c>
      <c r="I109" s="16">
        <v>42604.712673611109</v>
      </c>
      <c r="J109" s="7">
        <v>0</v>
      </c>
      <c r="K109" s="140" t="str">
        <f t="shared" si="24"/>
        <v>4009/4010</v>
      </c>
      <c r="L109" s="25" t="str">
        <f>VLOOKUP(A109,'Trips&amp;Operators'!$C$1:$E$10000,3,FALSE)</f>
        <v>DE LA ROSA</v>
      </c>
      <c r="M109" s="6">
        <f t="shared" si="25"/>
        <v>3.0497685183945578E-2</v>
      </c>
      <c r="N109" s="7">
        <f t="shared" si="39"/>
        <v>43.916666664881632</v>
      </c>
      <c r="O109" s="7"/>
      <c r="P109" s="7"/>
      <c r="Q109" s="26"/>
      <c r="R109" s="26"/>
      <c r="S109" s="38">
        <f t="shared" si="41"/>
        <v>1</v>
      </c>
      <c r="T109" s="53" t="str">
        <f t="shared" si="26"/>
        <v>Southbound</v>
      </c>
      <c r="U109" s="13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15:20:40-0600',mode:absolute,to:'2016-08-22 18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9" s="55" t="str">
        <f t="shared" si="28"/>
        <v>N</v>
      </c>
      <c r="X109" s="127">
        <f t="shared" si="40"/>
        <v>1</v>
      </c>
      <c r="Y109" s="70">
        <f t="shared" si="30"/>
        <v>23.297899999999998</v>
      </c>
      <c r="Z109" s="70">
        <f t="shared" ref="Z109:Z140" si="42">RIGHT(H109,LEN(H109)-4)/10000</f>
        <v>1.49E-2</v>
      </c>
      <c r="AA109" s="70">
        <f t="shared" si="32"/>
        <v>23.282999999999998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33"/>
        <v>0196-22</v>
      </c>
      <c r="AE109" s="103" t="str">
        <f t="shared" si="34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109" s="100" t="str">
        <f t="shared" si="35"/>
        <v>"C:\Program Files (x86)\AstroGrep\AstroGrep.exe" /spath="%USERPROFILE%\AppData\Local\Temp\OnboardLogs" /stypes="*4010*20160822*" /stext=" 23:.+((SYSTEM_STATE.+slice.+state.+changed )|(ment ac)|(system.+state.+changed )|(\|lc)|(penalty)|(\[timeout)|(PRM\|1\|D)|(kpr)|(kdp))" /e /r /s</v>
      </c>
      <c r="AG109" s="1" t="str">
        <f t="shared" si="36"/>
        <v>EC</v>
      </c>
      <c r="AH109" s="104" t="str">
        <f t="shared" si="37"/>
        <v>"%USERPROFILE%\Documents\GitHub\eaglep3\Utilities\RefineRTDCRunTimes.py" --tripid 196-22 --locoid 4010 --swversion DE.1.0.7.0 --startMP 204:232979 --initTime 2016-08-22T16:20:40 --startdatetime 2016-08-22T16:22:20 --delay 1 --endMP 204:149 --enddatetime 2016-08-22T17:06:15 --enforcementcount 0</v>
      </c>
    </row>
    <row r="110" spans="1:34" s="24" customFormat="1" x14ac:dyDescent="0.25">
      <c r="A110" s="40" t="s">
        <v>492</v>
      </c>
      <c r="B110" s="7">
        <v>4007</v>
      </c>
      <c r="C110" s="25" t="s">
        <v>114</v>
      </c>
      <c r="D110" s="25" t="s">
        <v>140</v>
      </c>
      <c r="E110" s="16">
        <v>42604.649675925924</v>
      </c>
      <c r="F110" s="16">
        <v>42604.650925925926</v>
      </c>
      <c r="G110" s="7">
        <v>1</v>
      </c>
      <c r="H110" s="16" t="s">
        <v>303</v>
      </c>
      <c r="I110" s="16">
        <v>42604.682800925926</v>
      </c>
      <c r="J110" s="7">
        <v>0</v>
      </c>
      <c r="K110" s="140" t="str">
        <f t="shared" si="24"/>
        <v>4007/4008</v>
      </c>
      <c r="L110" s="25" t="str">
        <f>VLOOKUP(A110,'Trips&amp;Operators'!$C$1:$E$10000,3,FALSE)</f>
        <v>HELVIE</v>
      </c>
      <c r="M110" s="6">
        <f t="shared" si="25"/>
        <v>3.1875000000582077E-2</v>
      </c>
      <c r="N110" s="7">
        <f t="shared" si="39"/>
        <v>45.90000000083819</v>
      </c>
      <c r="O110" s="7"/>
      <c r="P110" s="7"/>
      <c r="Q110" s="26"/>
      <c r="R110" s="26"/>
      <c r="S110" s="38">
        <f t="shared" si="41"/>
        <v>1</v>
      </c>
      <c r="T110" s="53" t="str">
        <f t="shared" si="26"/>
        <v>NorthBound</v>
      </c>
      <c r="U110" s="13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14:35:32-0600',mode:absolute,to:'2016-08-22 17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0" s="55" t="str">
        <f t="shared" si="28"/>
        <v>N</v>
      </c>
      <c r="X110" s="127">
        <f t="shared" si="40"/>
        <v>1</v>
      </c>
      <c r="Y110" s="70">
        <f t="shared" si="30"/>
        <v>4.6899999999999997E-2</v>
      </c>
      <c r="Z110" s="70">
        <f t="shared" si="42"/>
        <v>23.3324</v>
      </c>
      <c r="AA110" s="70">
        <f t="shared" si="32"/>
        <v>23.285499999999999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33"/>
        <v>0197-22</v>
      </c>
      <c r="AE110" s="103" t="str">
        <f t="shared" si="34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110" s="100" t="str">
        <f t="shared" si="35"/>
        <v>"C:\Program Files (x86)\AstroGrep\AstroGrep.exe" /spath="%USERPROFILE%\AppData\Local\Temp\OnboardLogs" /stypes="*4007*20160822*" /stext=" 22:.+((SYSTEM_STATE.+slice.+state.+changed )|(ment ac)|(system.+state.+changed )|(\|lc)|(penalty)|(\[timeout)|(PRM\|1\|D)|(kpr)|(kdp))" /e /r /s</v>
      </c>
      <c r="AG110" s="1" t="str">
        <f t="shared" si="36"/>
        <v>EC</v>
      </c>
      <c r="AH110" s="104" t="str">
        <f t="shared" si="37"/>
        <v>"%USERPROFILE%\Documents\GitHub\eaglep3\Utilities\RefineRTDCRunTimes.py" --tripid 197-22 --locoid 4007 --swversion DE.1.0.7.0 --startMP 204:469 --initTime 2016-08-22T15:35:32 --startdatetime 2016-08-22T15:37:20 --delay 1 --endMP 204:233324 --enddatetime 2016-08-22T16:23:14 --enforcementcount 0</v>
      </c>
    </row>
    <row r="111" spans="1:34" s="24" customFormat="1" x14ac:dyDescent="0.25">
      <c r="A111" s="40" t="s">
        <v>493</v>
      </c>
      <c r="B111" s="7">
        <v>4008</v>
      </c>
      <c r="C111" s="25" t="s">
        <v>114</v>
      </c>
      <c r="D111" s="25" t="s">
        <v>494</v>
      </c>
      <c r="E111" s="16">
        <v>42604.688564814816</v>
      </c>
      <c r="F111" s="16">
        <v>42604.689988425926</v>
      </c>
      <c r="G111" s="7">
        <v>2</v>
      </c>
      <c r="H111" s="16" t="s">
        <v>209</v>
      </c>
      <c r="I111" s="16">
        <v>42604.724444444444</v>
      </c>
      <c r="J111" s="7">
        <v>0</v>
      </c>
      <c r="K111" s="140" t="str">
        <f t="shared" si="24"/>
        <v>4007/4008</v>
      </c>
      <c r="L111" s="25" t="str">
        <f>VLOOKUP(A111,'Trips&amp;Operators'!$C$1:$E$10000,3,FALSE)</f>
        <v>HELVIE</v>
      </c>
      <c r="M111" s="6">
        <f t="shared" si="25"/>
        <v>3.4456018518540077E-2</v>
      </c>
      <c r="N111" s="7">
        <f t="shared" si="39"/>
        <v>49.616666666697711</v>
      </c>
      <c r="O111" s="7"/>
      <c r="P111" s="7"/>
      <c r="Q111" s="26"/>
      <c r="R111" s="26"/>
      <c r="S111" s="38">
        <f t="shared" si="41"/>
        <v>1</v>
      </c>
      <c r="T111" s="53" t="str">
        <f t="shared" si="26"/>
        <v>Southbound</v>
      </c>
      <c r="U111" s="13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15:31:32-0600',mode:absolute,to:'2016-08-22 18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1" s="55" t="str">
        <f t="shared" si="28"/>
        <v>N</v>
      </c>
      <c r="X111" s="127">
        <f t="shared" si="40"/>
        <v>1</v>
      </c>
      <c r="Y111" s="70">
        <f t="shared" si="30"/>
        <v>23.3005</v>
      </c>
      <c r="Z111" s="70">
        <f t="shared" si="42"/>
        <v>1.4500000000000001E-2</v>
      </c>
      <c r="AA111" s="70">
        <f t="shared" si="32"/>
        <v>23.285999999999998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33"/>
        <v>0198-22</v>
      </c>
      <c r="AE111" s="103" t="str">
        <f t="shared" si="34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111" s="100" t="str">
        <f t="shared" si="35"/>
        <v>"C:\Program Files (x86)\AstroGrep\AstroGrep.exe" /spath="%USERPROFILE%\AppData\Local\Temp\OnboardLogs" /stypes="*4008*20160822*" /stext=" 23:.+((SYSTEM_STATE.+slice.+state.+changed )|(ment ac)|(system.+state.+changed )|(\|lc)|(penalty)|(\[timeout)|(PRM\|1\|D)|(kpr)|(kdp))" /e /r /s</v>
      </c>
      <c r="AG111" s="1" t="str">
        <f t="shared" si="36"/>
        <v>EC</v>
      </c>
      <c r="AH111" s="104" t="str">
        <f t="shared" si="37"/>
        <v>"%USERPROFILE%\Documents\GitHub\eaglep3\Utilities\RefineRTDCRunTimes.py" --tripid 198-22 --locoid 4008 --swversion DE.1.0.7.0 --startMP 204:233005 --initTime 2016-08-22T16:31:32 --startdatetime 2016-08-22T16:33:35 --delay 2 --endMP 204:145 --enddatetime 2016-08-22T17:23:12 --enforcementcount 0</v>
      </c>
    </row>
    <row r="112" spans="1:34" s="24" customFormat="1" x14ac:dyDescent="0.25">
      <c r="A112" s="40" t="s">
        <v>495</v>
      </c>
      <c r="B112" s="7">
        <v>4014</v>
      </c>
      <c r="C112" s="25" t="s">
        <v>114</v>
      </c>
      <c r="D112" s="25" t="s">
        <v>144</v>
      </c>
      <c r="E112" s="16">
        <v>42604.662569444445</v>
      </c>
      <c r="F112" s="16">
        <v>42604.663877314815</v>
      </c>
      <c r="G112" s="7">
        <v>1</v>
      </c>
      <c r="H112" s="16" t="s">
        <v>219</v>
      </c>
      <c r="I112" s="16">
        <v>42604.694328703707</v>
      </c>
      <c r="J112" s="7">
        <v>0</v>
      </c>
      <c r="K112" s="140" t="str">
        <f t="shared" si="24"/>
        <v>4013/4014</v>
      </c>
      <c r="L112" s="25" t="str">
        <f>VLOOKUP(A112,'Trips&amp;Operators'!$C$1:$E$10000,3,FALSE)</f>
        <v>STRICKLAND</v>
      </c>
      <c r="M112" s="6">
        <f t="shared" si="25"/>
        <v>3.0451388891378883E-2</v>
      </c>
      <c r="N112" s="7">
        <f t="shared" si="39"/>
        <v>43.850000003585592</v>
      </c>
      <c r="O112" s="7"/>
      <c r="P112" s="7"/>
      <c r="Q112" s="26"/>
      <c r="R112" s="26"/>
      <c r="S112" s="38">
        <f t="shared" si="41"/>
        <v>1</v>
      </c>
      <c r="T112" s="53" t="str">
        <f t="shared" si="26"/>
        <v>NorthBound</v>
      </c>
      <c r="U112" s="13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14:54:06-0600',mode:absolute,to:'2016-08-22 17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2" s="55" t="str">
        <f t="shared" si="28"/>
        <v>N</v>
      </c>
      <c r="X112" s="127">
        <f t="shared" si="40"/>
        <v>1</v>
      </c>
      <c r="Y112" s="70">
        <f t="shared" si="30"/>
        <v>4.5699999999999998E-2</v>
      </c>
      <c r="Z112" s="70">
        <f t="shared" si="42"/>
        <v>23.3293</v>
      </c>
      <c r="AA112" s="70">
        <f t="shared" si="32"/>
        <v>23.2836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33"/>
        <v>0199-22</v>
      </c>
      <c r="AE112" s="103" t="str">
        <f t="shared" si="34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112" s="100" t="str">
        <f t="shared" si="35"/>
        <v>"C:\Program Files (x86)\AstroGrep\AstroGrep.exe" /spath="%USERPROFILE%\AppData\Local\Temp\OnboardLogs" /stypes="*4014*20160822*" /stext=" 22:.+((SYSTEM_STATE.+slice.+state.+changed )|(ment ac)|(system.+state.+changed )|(\|lc)|(penalty)|(\[timeout)|(PRM\|1\|D)|(kpr)|(kdp))" /e /r /s</v>
      </c>
      <c r="AG112" s="1" t="str">
        <f t="shared" si="36"/>
        <v>EC</v>
      </c>
      <c r="AH112" s="104" t="str">
        <f t="shared" si="37"/>
        <v>"%USERPROFILE%\Documents\GitHub\eaglep3\Utilities\RefineRTDCRunTimes.py" --tripid 199-22 --locoid 4014 --swversion DE.1.0.7.0 --startMP 204:457 --initTime 2016-08-22T15:54:06 --startdatetime 2016-08-22T15:55:59 --delay 1 --endMP 204:233293 --enddatetime 2016-08-22T16:39:50 --enforcementcount 0</v>
      </c>
    </row>
    <row r="113" spans="1:34" s="24" customFormat="1" x14ac:dyDescent="0.25">
      <c r="A113" s="40" t="s">
        <v>666</v>
      </c>
      <c r="B113" s="7">
        <v>4013</v>
      </c>
      <c r="C113" s="25" t="s">
        <v>114</v>
      </c>
      <c r="D113" s="25" t="s">
        <v>144</v>
      </c>
      <c r="E113" s="16">
        <v>42604.662569444445</v>
      </c>
      <c r="F113" s="16">
        <v>42604.663877314815</v>
      </c>
      <c r="G113" s="7">
        <v>1</v>
      </c>
      <c r="H113" s="16" t="s">
        <v>219</v>
      </c>
      <c r="I113" s="16">
        <v>42604.694328703707</v>
      </c>
      <c r="J113" s="7">
        <v>0</v>
      </c>
      <c r="K113" s="140" t="str">
        <f t="shared" si="24"/>
        <v>4013/4014</v>
      </c>
      <c r="L113" s="25" t="e">
        <f>VLOOKUP(A113,'Trips&amp;Operators'!$C$1:$E$10000,3,FALSE)</f>
        <v>#N/A</v>
      </c>
      <c r="M113" s="6">
        <f t="shared" si="25"/>
        <v>3.0451388891378883E-2</v>
      </c>
      <c r="N113" s="7"/>
      <c r="O113" s="7"/>
      <c r="P113" s="7">
        <v>1</v>
      </c>
      <c r="Q113" s="26"/>
      <c r="R113" s="26" t="s">
        <v>322</v>
      </c>
      <c r="S113" s="38">
        <f t="shared" si="41"/>
        <v>0</v>
      </c>
      <c r="T113" s="53" t="str">
        <f t="shared" si="26"/>
        <v>Southbound</v>
      </c>
      <c r="U113" s="13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14:54:06-0600',mode:absolute,to:'2016-08-22 17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3" s="55" t="str">
        <f t="shared" si="28"/>
        <v>N</v>
      </c>
      <c r="X113" s="127">
        <f t="shared" ref="X113:X117" si="43">VALUE(LEFT(AD113,4))-VALUE(LEFT(AD112,4))</f>
        <v>1</v>
      </c>
      <c r="Y113" s="70">
        <f t="shared" si="30"/>
        <v>4.5699999999999998E-2</v>
      </c>
      <c r="Z113" s="70">
        <f t="shared" si="42"/>
        <v>23.3293</v>
      </c>
      <c r="AA113" s="70">
        <f t="shared" si="32"/>
        <v>23.2836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33"/>
        <v>0200-22</v>
      </c>
      <c r="AE113" s="103" t="str">
        <f t="shared" si="34"/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AF113" s="100" t="str">
        <f t="shared" si="35"/>
        <v>"C:\Program Files (x86)\AstroGrep\AstroGrep.exe" /spath="%USERPROFILE%\AppData\Local\Temp\OnboardLogs" /stypes="*4013*20160822*" /stext=" 22:.+((SYSTEM_STATE.+slice.+state.+changed )|(ment ac)|(system.+state.+changed )|(\|lc)|(penalty)|(\[timeout)|(PRM\|1\|D)|(kpr)|(kdp))" /e /r /s</v>
      </c>
      <c r="AG113" s="1" t="str">
        <f t="shared" si="36"/>
        <v>EC</v>
      </c>
      <c r="AH113" s="104" t="str">
        <f t="shared" ref="AH113" si="44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</f>
        <v>"%USERPROFILE%\Documents\GitHub\eaglep3\Utilities\RefineRTDCRunTimes.py" --tripid 200-22 --locoid 4013 --swversion DE.1.0.7.0 --startMP 204:457 --initTime 2016-08-22T15:54:06 --startdatetime 2016-08-22T15:55:59 --delay 1 --endMP 204:233293 --enddatetime 2016-08-22T16:39:50 --enforcementcount 0</v>
      </c>
    </row>
    <row r="114" spans="1:34" x14ac:dyDescent="0.25">
      <c r="A114" s="40" t="s">
        <v>358</v>
      </c>
      <c r="B114" s="7">
        <v>4038</v>
      </c>
      <c r="C114" s="25" t="s">
        <v>114</v>
      </c>
      <c r="D114" s="25" t="s">
        <v>134</v>
      </c>
      <c r="E114" s="16">
        <v>42604.674039351848</v>
      </c>
      <c r="F114" s="16">
        <v>42604.674872685187</v>
      </c>
      <c r="G114" s="7">
        <v>1</v>
      </c>
      <c r="H114" s="16" t="s">
        <v>496</v>
      </c>
      <c r="I114" s="16">
        <v>42604.704201388886</v>
      </c>
      <c r="J114" s="7">
        <v>0</v>
      </c>
      <c r="K114" s="140" t="str">
        <f t="shared" si="24"/>
        <v>4037/4038</v>
      </c>
      <c r="L114" s="25" t="str">
        <f>VLOOKUP(A114,'Trips&amp;Operators'!$C$1:$E$10000,3,FALSE)</f>
        <v>STEWART</v>
      </c>
      <c r="M114" s="6">
        <f t="shared" si="25"/>
        <v>2.9328703698411118E-2</v>
      </c>
      <c r="N114" s="7">
        <f t="shared" ref="N114:N145" si="45">24*60*SUM($M114:$M114)</f>
        <v>42.23333332571201</v>
      </c>
      <c r="O114" s="7"/>
      <c r="P114" s="7"/>
      <c r="Q114" s="26"/>
      <c r="R114" s="26"/>
      <c r="S114" s="38">
        <f t="shared" si="41"/>
        <v>1</v>
      </c>
      <c r="T114" s="53" t="str">
        <f t="shared" si="26"/>
        <v>NorthBound</v>
      </c>
      <c r="U114" s="13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15:10:37-0600',mode:absolute,to:'2016-08-22 17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4" s="55" t="str">
        <f t="shared" si="28"/>
        <v>N</v>
      </c>
      <c r="X114" s="127">
        <f t="shared" si="43"/>
        <v>1</v>
      </c>
      <c r="Y114" s="70">
        <f t="shared" si="30"/>
        <v>4.53E-2</v>
      </c>
      <c r="Z114" s="70">
        <f t="shared" si="42"/>
        <v>23.326799999999999</v>
      </c>
      <c r="AA114" s="70">
        <f t="shared" si="32"/>
        <v>23.281499999999998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33"/>
        <v>0201-22</v>
      </c>
      <c r="AE114" s="103" t="str">
        <f t="shared" si="34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114" s="100" t="str">
        <f t="shared" si="35"/>
        <v>"C:\Program Files (x86)\AstroGrep\AstroGrep.exe" /spath="%USERPROFILE%\AppData\Local\Temp\OnboardLogs" /stypes="*4038*20160822*" /stext=" 22:.+((SYSTEM_STATE.+slice.+state.+changed )|(ment ac)|(system.+state.+changed )|(\|lc)|(penalty)|(\[timeout)|(PRM\|1\|D)|(kpr)|(kdp))" /e /r /s</v>
      </c>
      <c r="AG114" s="1" t="str">
        <f t="shared" si="36"/>
        <v>EC</v>
      </c>
      <c r="AH114" s="104" t="str">
        <f t="shared" si="37"/>
        <v>"%USERPROFILE%\Documents\GitHub\eaglep3\Utilities\RefineRTDCRunTimes.py" --tripid 201-22 --locoid 4038 --swversion DE.1.0.7.0 --startMP 204:453 --initTime 2016-08-22T16:10:37 --startdatetime 2016-08-22T16:11:49 --delay 1 --endMP 204:233268 --enddatetime 2016-08-22T16:54:03 --enforcementcount 0</v>
      </c>
    </row>
    <row r="115" spans="1:34" x14ac:dyDescent="0.25">
      <c r="A115" s="40" t="s">
        <v>497</v>
      </c>
      <c r="B115" s="7">
        <v>4037</v>
      </c>
      <c r="C115" s="25" t="s">
        <v>114</v>
      </c>
      <c r="D115" s="25" t="s">
        <v>289</v>
      </c>
      <c r="E115" s="16">
        <v>42604.707187499997</v>
      </c>
      <c r="F115" s="16">
        <v>42604.708113425928</v>
      </c>
      <c r="G115" s="7">
        <v>1</v>
      </c>
      <c r="H115" s="16" t="s">
        <v>161</v>
      </c>
      <c r="I115" s="16">
        <v>42604.743819444448</v>
      </c>
      <c r="J115" s="7">
        <v>0</v>
      </c>
      <c r="K115" s="140" t="str">
        <f t="shared" si="24"/>
        <v>4037/4038</v>
      </c>
      <c r="L115" s="25" t="str">
        <f>VLOOKUP(A115,'Trips&amp;Operators'!$C$1:$E$10000,3,FALSE)</f>
        <v>STEWART</v>
      </c>
      <c r="M115" s="6">
        <f t="shared" si="25"/>
        <v>3.570601851970423E-2</v>
      </c>
      <c r="N115" s="7">
        <f t="shared" si="45"/>
        <v>51.416666668374091</v>
      </c>
      <c r="O115" s="7"/>
      <c r="P115" s="7"/>
      <c r="Q115" s="26"/>
      <c r="R115" s="26"/>
      <c r="S115" s="38">
        <f t="shared" si="41"/>
        <v>1</v>
      </c>
      <c r="T115" s="53" t="str">
        <f t="shared" si="26"/>
        <v>Southbound</v>
      </c>
      <c r="U115" s="13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15:58:21-0600',mode:absolute,to:'2016-08-22 18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5" s="55" t="str">
        <f t="shared" si="28"/>
        <v>N</v>
      </c>
      <c r="X115" s="127">
        <f t="shared" si="43"/>
        <v>1</v>
      </c>
      <c r="Y115" s="70">
        <f t="shared" si="30"/>
        <v>23.294</v>
      </c>
      <c r="Z115" s="70">
        <f t="shared" si="42"/>
        <v>1.54E-2</v>
      </c>
      <c r="AA115" s="70">
        <f t="shared" si="32"/>
        <v>23.278600000000001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33"/>
        <v>0202-22</v>
      </c>
      <c r="AE115" s="103" t="str">
        <f t="shared" si="34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115" s="100" t="str">
        <f t="shared" si="35"/>
        <v>"C:\Program Files (x86)\AstroGrep\AstroGrep.exe" /spath="%USERPROFILE%\AppData\Local\Temp\OnboardLogs" /stypes="*4037*20160822*" /stext=" 23:.+((SYSTEM_STATE.+slice.+state.+changed )|(ment ac)|(system.+state.+changed )|(\|lc)|(penalty)|(\[timeout)|(PRM\|1\|D)|(kpr)|(kdp))" /e /r /s</v>
      </c>
      <c r="AG115" s="1" t="str">
        <f t="shared" si="36"/>
        <v>EC</v>
      </c>
      <c r="AH115" s="104" t="str">
        <f t="shared" si="37"/>
        <v>"%USERPROFILE%\Documents\GitHub\eaglep3\Utilities\RefineRTDCRunTimes.py" --tripid 202-22 --locoid 4037 --swversion DE.1.0.7.0 --startMP 204:232940 --initTime 2016-08-22T16:58:21 --startdatetime 2016-08-22T16:59:41 --delay 1 --endMP 204:154 --enddatetime 2016-08-22T17:51:06 --enforcementcount 0</v>
      </c>
    </row>
    <row r="116" spans="1:34" s="24" customFormat="1" x14ac:dyDescent="0.25">
      <c r="A116" s="40" t="s">
        <v>498</v>
      </c>
      <c r="B116" s="7">
        <v>4018</v>
      </c>
      <c r="C116" s="25" t="s">
        <v>114</v>
      </c>
      <c r="D116" s="25" t="s">
        <v>141</v>
      </c>
      <c r="E116" s="16">
        <v>42604.683518518519</v>
      </c>
      <c r="F116" s="16">
        <v>42604.68440972222</v>
      </c>
      <c r="G116" s="7">
        <v>1</v>
      </c>
      <c r="H116" s="16" t="s">
        <v>145</v>
      </c>
      <c r="I116" s="16">
        <v>42604.714016203703</v>
      </c>
      <c r="J116" s="7">
        <v>0</v>
      </c>
      <c r="K116" s="140" t="str">
        <f t="shared" si="24"/>
        <v>4017/4018</v>
      </c>
      <c r="L116" s="25" t="str">
        <f>VLOOKUP(A116,'Trips&amp;Operators'!$C$1:$E$10000,3,FALSE)</f>
        <v>BARTLETT</v>
      </c>
      <c r="M116" s="6">
        <f t="shared" si="25"/>
        <v>2.9606481482915115E-2</v>
      </c>
      <c r="N116" s="7">
        <f t="shared" si="45"/>
        <v>42.633333335397765</v>
      </c>
      <c r="O116" s="7"/>
      <c r="P116" s="7"/>
      <c r="Q116" s="26"/>
      <c r="R116" s="26"/>
      <c r="S116" s="38">
        <f t="shared" si="41"/>
        <v>1</v>
      </c>
      <c r="T116" s="53" t="str">
        <f t="shared" si="26"/>
        <v>NorthBound</v>
      </c>
      <c r="U116" s="13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15:24:16-0600',mode:absolute,to:'2016-08-22 18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6" s="55" t="str">
        <f t="shared" si="28"/>
        <v>N</v>
      </c>
      <c r="X116" s="127">
        <f t="shared" si="43"/>
        <v>1</v>
      </c>
      <c r="Y116" s="70">
        <f t="shared" si="30"/>
        <v>4.58E-2</v>
      </c>
      <c r="Z116" s="70">
        <f t="shared" si="42"/>
        <v>23.331</v>
      </c>
      <c r="AA116" s="70">
        <f t="shared" si="32"/>
        <v>23.2852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33"/>
        <v>0203-22</v>
      </c>
      <c r="AE116" s="103" t="str">
        <f t="shared" si="34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116" s="100" t="str">
        <f t="shared" si="35"/>
        <v>"C:\Program Files (x86)\AstroGrep\AstroGrep.exe" /spath="%USERPROFILE%\AppData\Local\Temp\OnboardLogs" /stypes="*4018*20160822*" /stext=" 23:.+((SYSTEM_STATE.+slice.+state.+changed )|(ment ac)|(system.+state.+changed )|(\|lc)|(penalty)|(\[timeout)|(PRM\|1\|D)|(kpr)|(kdp))" /e /r /s</v>
      </c>
      <c r="AG116" s="1" t="str">
        <f t="shared" si="36"/>
        <v>EC</v>
      </c>
      <c r="AH116" s="104" t="str">
        <f t="shared" si="37"/>
        <v>"%USERPROFILE%\Documents\GitHub\eaglep3\Utilities\RefineRTDCRunTimes.py" --tripid 203-22 --locoid 4018 --swversion DE.1.0.7.0 --startMP 204:458 --initTime 2016-08-22T16:24:16 --startdatetime 2016-08-22T16:25:33 --delay 1 --endMP 204:233310 --enddatetime 2016-08-22T17:08:11 --enforcementcount 0</v>
      </c>
    </row>
    <row r="117" spans="1:34" x14ac:dyDescent="0.25">
      <c r="A117" s="40" t="s">
        <v>361</v>
      </c>
      <c r="B117" s="7">
        <v>4017</v>
      </c>
      <c r="C117" s="25" t="s">
        <v>114</v>
      </c>
      <c r="D117" s="25" t="s">
        <v>300</v>
      </c>
      <c r="E117" s="16">
        <v>42604.71733796296</v>
      </c>
      <c r="F117" s="16">
        <v>42604.718692129631</v>
      </c>
      <c r="G117" s="7">
        <v>1</v>
      </c>
      <c r="H117" s="16" t="s">
        <v>499</v>
      </c>
      <c r="I117" s="16">
        <v>42604.75409722222</v>
      </c>
      <c r="J117" s="7">
        <v>0</v>
      </c>
      <c r="K117" s="140" t="str">
        <f t="shared" si="24"/>
        <v>4017/4018</v>
      </c>
      <c r="L117" s="25" t="str">
        <f>VLOOKUP(A117,'Trips&amp;Operators'!$C$1:$E$10000,3,FALSE)</f>
        <v>BARTLETT</v>
      </c>
      <c r="M117" s="6">
        <f t="shared" si="25"/>
        <v>3.5405092588916887E-2</v>
      </c>
      <c r="N117" s="7">
        <f t="shared" si="45"/>
        <v>50.983333328040317</v>
      </c>
      <c r="O117" s="7"/>
      <c r="P117" s="7"/>
      <c r="Q117" s="26"/>
      <c r="R117" s="26"/>
      <c r="S117" s="38">
        <f t="shared" si="41"/>
        <v>1</v>
      </c>
      <c r="T117" s="53" t="str">
        <f t="shared" si="26"/>
        <v>Southbound</v>
      </c>
      <c r="U117" s="13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16:12:58-0600',mode:absolute,to:'2016-08-22 19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7" s="55" t="str">
        <f t="shared" si="28"/>
        <v>N</v>
      </c>
      <c r="X117" s="127">
        <f t="shared" si="43"/>
        <v>1</v>
      </c>
      <c r="Y117" s="70">
        <f t="shared" si="30"/>
        <v>23.300599999999999</v>
      </c>
      <c r="Z117" s="70">
        <f t="shared" si="42"/>
        <v>2.58E-2</v>
      </c>
      <c r="AA117" s="70">
        <f t="shared" si="32"/>
        <v>23.274799999999999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33"/>
        <v>0204-22</v>
      </c>
      <c r="AE117" s="103" t="str">
        <f t="shared" si="34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117" s="100" t="str">
        <f t="shared" si="35"/>
        <v>"C:\Program Files (x86)\AstroGrep\AstroGrep.exe" /spath="%USERPROFILE%\AppData\Local\Temp\OnboardLogs" /stypes="*4017*20160823*" /stext=" 00:.+((SYSTEM_STATE.+slice.+state.+changed )|(ment ac)|(system.+state.+changed )|(\|lc)|(penalty)|(\[timeout)|(PRM\|1\|D)|(kpr)|(kdp))" /e /r /s</v>
      </c>
      <c r="AG117" s="1" t="str">
        <f t="shared" si="36"/>
        <v>EC</v>
      </c>
      <c r="AH117" s="104" t="str">
        <f t="shared" si="37"/>
        <v>"%USERPROFILE%\Documents\GitHub\eaglep3\Utilities\RefineRTDCRunTimes.py" --tripid 204-22 --locoid 4017 --swversion DE.1.0.7.0 --startMP 204:233006 --initTime 2016-08-22T17:12:58 --startdatetime 2016-08-22T17:14:55 --delay 1 --endMP 204:258 --enddatetime 2016-08-22T18:05:54 --enforcementcount 0</v>
      </c>
    </row>
    <row r="118" spans="1:34" x14ac:dyDescent="0.25">
      <c r="A118" s="40" t="s">
        <v>500</v>
      </c>
      <c r="B118" s="7">
        <v>4020</v>
      </c>
      <c r="C118" s="25" t="s">
        <v>114</v>
      </c>
      <c r="D118" s="25" t="s">
        <v>144</v>
      </c>
      <c r="E118" s="16">
        <v>42604.693368055552</v>
      </c>
      <c r="F118" s="16">
        <v>42604.694212962961</v>
      </c>
      <c r="G118" s="7">
        <v>1</v>
      </c>
      <c r="H118" s="16" t="s">
        <v>201</v>
      </c>
      <c r="I118" s="16">
        <v>42604.723622685182</v>
      </c>
      <c r="J118" s="7">
        <v>0</v>
      </c>
      <c r="K118" s="140" t="str">
        <f t="shared" si="24"/>
        <v>4019/4020</v>
      </c>
      <c r="L118" s="25" t="str">
        <f>VLOOKUP(A118,'Trips&amp;Operators'!$C$1:$E$10000,3,FALSE)</f>
        <v>ROBINSON</v>
      </c>
      <c r="M118" s="6">
        <f t="shared" si="25"/>
        <v>2.940972222131677E-2</v>
      </c>
      <c r="N118" s="7">
        <f t="shared" si="45"/>
        <v>42.349999998696148</v>
      </c>
      <c r="O118" s="7"/>
      <c r="P118" s="7"/>
      <c r="Q118" s="26"/>
      <c r="R118" s="26"/>
      <c r="S118" s="38">
        <f t="shared" si="41"/>
        <v>1</v>
      </c>
      <c r="T118" s="53" t="str">
        <f t="shared" si="26"/>
        <v>NorthBound</v>
      </c>
      <c r="U118" s="13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15:38:27-0600',mode:absolute,to:'2016-08-22 18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8" s="55" t="str">
        <f t="shared" si="28"/>
        <v>N</v>
      </c>
      <c r="X118" s="127">
        <f t="shared" ref="X118:X149" si="46">VALUE(LEFT(AD118,4))-VALUE(LEFT(AD117,4))</f>
        <v>1</v>
      </c>
      <c r="Y118" s="70">
        <f t="shared" si="30"/>
        <v>4.5699999999999998E-2</v>
      </c>
      <c r="Z118" s="70">
        <f t="shared" si="42"/>
        <v>23.331399999999999</v>
      </c>
      <c r="AA118" s="70">
        <f t="shared" si="32"/>
        <v>23.285699999999999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33"/>
        <v>0205-22</v>
      </c>
      <c r="AE118" s="103" t="str">
        <f t="shared" si="34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18" s="100" t="str">
        <f t="shared" si="35"/>
        <v>"C:\Program Files (x86)\AstroGrep\AstroGrep.exe" /spath="%USERPROFILE%\AppData\Local\Temp\OnboardLogs" /stypes="*4020*20160822*" /stext=" 23:.+((SYSTEM_STATE.+slice.+state.+changed )|(ment ac)|(system.+state.+changed )|(\|lc)|(penalty)|(\[timeout)|(PRM\|1\|D)|(kpr)|(kdp))" /e /r /s</v>
      </c>
      <c r="AG118" s="1" t="str">
        <f t="shared" si="36"/>
        <v>EC</v>
      </c>
      <c r="AH118" s="104" t="str">
        <f t="shared" si="37"/>
        <v>"%USERPROFILE%\Documents\GitHub\eaglep3\Utilities\RefineRTDCRunTimes.py" --tripid 205-22 --locoid 4020 --swversion DE.1.0.7.0 --startMP 204:457 --initTime 2016-08-22T16:38:27 --startdatetime 2016-08-22T16:39:40 --delay 1 --endMP 204:233314 --enddatetime 2016-08-22T17:22:01 --enforcementcount 0</v>
      </c>
    </row>
    <row r="119" spans="1:34" x14ac:dyDescent="0.25">
      <c r="A119" s="40" t="s">
        <v>501</v>
      </c>
      <c r="B119" s="7">
        <v>4019</v>
      </c>
      <c r="C119" s="25" t="s">
        <v>114</v>
      </c>
      <c r="D119" s="25" t="s">
        <v>225</v>
      </c>
      <c r="E119" s="16">
        <v>42604.731770833336</v>
      </c>
      <c r="F119" s="16">
        <v>42604.732627314814</v>
      </c>
      <c r="G119" s="7">
        <v>1</v>
      </c>
      <c r="H119" s="16" t="s">
        <v>218</v>
      </c>
      <c r="I119" s="16">
        <v>42604.76525462963</v>
      </c>
      <c r="J119" s="7">
        <v>0</v>
      </c>
      <c r="K119" s="140" t="str">
        <f t="shared" si="24"/>
        <v>4019/4020</v>
      </c>
      <c r="L119" s="25" t="str">
        <f>VLOOKUP(A119,'Trips&amp;Operators'!$C$1:$E$10000,3,FALSE)</f>
        <v>ROBINSON</v>
      </c>
      <c r="M119" s="6">
        <f t="shared" si="25"/>
        <v>3.2627314816636499E-2</v>
      </c>
      <c r="N119" s="7">
        <f t="shared" si="45"/>
        <v>46.983333335956559</v>
      </c>
      <c r="O119" s="7"/>
      <c r="P119" s="7"/>
      <c r="Q119" s="26"/>
      <c r="R119" s="26"/>
      <c r="S119" s="38">
        <f t="shared" si="41"/>
        <v>1</v>
      </c>
      <c r="T119" s="53" t="str">
        <f t="shared" si="26"/>
        <v>Southbound</v>
      </c>
      <c r="U119" s="13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16:33:45-0600',mode:absolute,to:'2016-08-22 19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9" s="55" t="str">
        <f t="shared" si="28"/>
        <v>N</v>
      </c>
      <c r="X119" s="127">
        <f t="shared" si="46"/>
        <v>1</v>
      </c>
      <c r="Y119" s="70">
        <f t="shared" si="30"/>
        <v>23.297499999999999</v>
      </c>
      <c r="Z119" s="70">
        <f t="shared" si="42"/>
        <v>1.6E-2</v>
      </c>
      <c r="AA119" s="70">
        <f t="shared" si="32"/>
        <v>23.281500000000001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33"/>
        <v>0206-22</v>
      </c>
      <c r="AE119" s="103" t="str">
        <f t="shared" si="34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119" s="100" t="str">
        <f t="shared" si="35"/>
        <v>"C:\Program Files (x86)\AstroGrep\AstroGrep.exe" /spath="%USERPROFILE%\AppData\Local\Temp\OnboardLogs" /stypes="*4019*20160823*" /stext=" 00:.+((SYSTEM_STATE.+slice.+state.+changed )|(ment ac)|(system.+state.+changed )|(\|lc)|(penalty)|(\[timeout)|(PRM\|1\|D)|(kpr)|(kdp))" /e /r /s</v>
      </c>
      <c r="AG119" s="1" t="str">
        <f t="shared" si="36"/>
        <v>EC</v>
      </c>
      <c r="AH119" s="104" t="str">
        <f t="shared" si="37"/>
        <v>"%USERPROFILE%\Documents\GitHub\eaglep3\Utilities\RefineRTDCRunTimes.py" --tripid 206-22 --locoid 4019 --swversion DE.1.0.7.0 --startMP 204:232975 --initTime 2016-08-22T17:33:45 --startdatetime 2016-08-22T17:34:59 --delay 1 --endMP 204:160 --enddatetime 2016-08-22T18:21:58 --enforcementcount 0</v>
      </c>
    </row>
    <row r="120" spans="1:34" x14ac:dyDescent="0.25">
      <c r="A120" s="40" t="s">
        <v>502</v>
      </c>
      <c r="B120" s="7">
        <v>4044</v>
      </c>
      <c r="C120" s="25" t="s">
        <v>114</v>
      </c>
      <c r="D120" s="25" t="s">
        <v>126</v>
      </c>
      <c r="E120" s="16">
        <v>42604.705937500003</v>
      </c>
      <c r="F120" s="16">
        <v>42604.706863425927</v>
      </c>
      <c r="G120" s="7">
        <v>1</v>
      </c>
      <c r="H120" s="16" t="s">
        <v>265</v>
      </c>
      <c r="I120" s="16">
        <v>42604.733206018522</v>
      </c>
      <c r="J120" s="7">
        <v>0</v>
      </c>
      <c r="K120" s="140" t="str">
        <f t="shared" si="24"/>
        <v>4043/4044</v>
      </c>
      <c r="L120" s="25" t="str">
        <f>VLOOKUP(A120,'Trips&amp;Operators'!$C$1:$E$10000,3,FALSE)</f>
        <v>BEAM</v>
      </c>
      <c r="M120" s="6">
        <f t="shared" si="25"/>
        <v>2.6342592595028691E-2</v>
      </c>
      <c r="N120" s="7">
        <f t="shared" si="45"/>
        <v>37.933333336841315</v>
      </c>
      <c r="O120" s="7"/>
      <c r="P120" s="7"/>
      <c r="Q120" s="26"/>
      <c r="R120" s="26"/>
      <c r="S120" s="38">
        <f t="shared" si="41"/>
        <v>1</v>
      </c>
      <c r="T120" s="53" t="str">
        <f t="shared" si="26"/>
        <v>NorthBound</v>
      </c>
      <c r="U120" s="13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15:56:33-0600',mode:absolute,to:'2016-08-22 18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0" s="55" t="str">
        <f t="shared" si="28"/>
        <v>N</v>
      </c>
      <c r="X120" s="127">
        <f t="shared" si="46"/>
        <v>1</v>
      </c>
      <c r="Y120" s="70">
        <f t="shared" si="30"/>
        <v>4.5499999999999999E-2</v>
      </c>
      <c r="Z120" s="70">
        <f t="shared" si="42"/>
        <v>23.3306</v>
      </c>
      <c r="AA120" s="70">
        <f t="shared" si="32"/>
        <v>23.2851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33"/>
        <v>0207-22</v>
      </c>
      <c r="AE120" s="103" t="str">
        <f t="shared" si="34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120" s="100" t="str">
        <f t="shared" si="35"/>
        <v>"C:\Program Files (x86)\AstroGrep\AstroGrep.exe" /spath="%USERPROFILE%\AppData\Local\Temp\OnboardLogs" /stypes="*4044*20160822*" /stext=" 23:.+((SYSTEM_STATE.+slice.+state.+changed )|(ment ac)|(system.+state.+changed )|(\|lc)|(penalty)|(\[timeout)|(PRM\|1\|D)|(kpr)|(kdp))" /e /r /s</v>
      </c>
      <c r="AG120" s="1" t="str">
        <f t="shared" si="36"/>
        <v>EC</v>
      </c>
      <c r="AH120" s="104" t="str">
        <f t="shared" si="37"/>
        <v>"%USERPROFILE%\Documents\GitHub\eaglep3\Utilities\RefineRTDCRunTimes.py" --tripid 207-22 --locoid 4044 --swversion DE.1.0.7.0 --startMP 204:455 --initTime 2016-08-22T16:56:33 --startdatetime 2016-08-22T16:57:53 --delay 1 --endMP 204:233306 --enddatetime 2016-08-22T17:35:49 --enforcementcount 0</v>
      </c>
    </row>
    <row r="121" spans="1:34" x14ac:dyDescent="0.25">
      <c r="A121" s="40" t="s">
        <v>362</v>
      </c>
      <c r="B121" s="7">
        <v>4043</v>
      </c>
      <c r="C121" s="25" t="s">
        <v>114</v>
      </c>
      <c r="D121" s="25" t="s">
        <v>416</v>
      </c>
      <c r="E121" s="16">
        <v>42604.741215277776</v>
      </c>
      <c r="F121" s="16">
        <v>42604.741990740738</v>
      </c>
      <c r="G121" s="7">
        <v>1</v>
      </c>
      <c r="H121" s="16" t="s">
        <v>209</v>
      </c>
      <c r="I121" s="16">
        <v>42604.774224537039</v>
      </c>
      <c r="J121" s="7">
        <v>0</v>
      </c>
      <c r="K121" s="140" t="str">
        <f t="shared" si="24"/>
        <v>4043/4044</v>
      </c>
      <c r="L121" s="25" t="str">
        <f>VLOOKUP(A121,'Trips&amp;Operators'!$C$1:$E$10000,3,FALSE)</f>
        <v>BEAM</v>
      </c>
      <c r="M121" s="6">
        <f t="shared" si="25"/>
        <v>3.2233796300715767E-2</v>
      </c>
      <c r="N121" s="7">
        <f t="shared" si="45"/>
        <v>46.416666673030704</v>
      </c>
      <c r="O121" s="7"/>
      <c r="P121" s="7"/>
      <c r="Q121" s="26"/>
      <c r="R121" s="26"/>
      <c r="S121" s="38">
        <f t="shared" si="41"/>
        <v>1</v>
      </c>
      <c r="T121" s="53" t="str">
        <f t="shared" si="26"/>
        <v>Southbound</v>
      </c>
      <c r="U121" s="13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16:47:21-0600',mode:absolute,to:'2016-08-22 19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1" s="55" t="str">
        <f t="shared" si="28"/>
        <v>N</v>
      </c>
      <c r="X121" s="127">
        <f t="shared" si="46"/>
        <v>1</v>
      </c>
      <c r="Y121" s="70">
        <f t="shared" si="30"/>
        <v>23.299800000000001</v>
      </c>
      <c r="Z121" s="70">
        <f t="shared" si="42"/>
        <v>1.4500000000000001E-2</v>
      </c>
      <c r="AA121" s="70">
        <f t="shared" si="32"/>
        <v>23.285299999999999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33"/>
        <v>0208-22</v>
      </c>
      <c r="AE121" s="103" t="str">
        <f t="shared" si="34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121" s="100" t="str">
        <f t="shared" si="35"/>
        <v>"C:\Program Files (x86)\AstroGrep\AstroGrep.exe" /spath="%USERPROFILE%\AppData\Local\Temp\OnboardLogs" /stypes="*4043*20160823*" /stext=" 00:.+((SYSTEM_STATE.+slice.+state.+changed )|(ment ac)|(system.+state.+changed )|(\|lc)|(penalty)|(\[timeout)|(PRM\|1\|D)|(kpr)|(kdp))" /e /r /s</v>
      </c>
      <c r="AG121" s="1" t="str">
        <f t="shared" si="36"/>
        <v>EC</v>
      </c>
      <c r="AH121" s="104" t="str">
        <f t="shared" si="37"/>
        <v>"%USERPROFILE%\Documents\GitHub\eaglep3\Utilities\RefineRTDCRunTimes.py" --tripid 208-22 --locoid 4043 --swversion DE.1.0.7.0 --startMP 204:232998 --initTime 2016-08-22T17:47:21 --startdatetime 2016-08-22T17:48:28 --delay 1 --endMP 204:145 --enddatetime 2016-08-22T18:34:53 --enforcementcount 0</v>
      </c>
    </row>
    <row r="122" spans="1:34" s="24" customFormat="1" x14ac:dyDescent="0.25">
      <c r="A122" s="40" t="s">
        <v>503</v>
      </c>
      <c r="B122" s="7">
        <v>4009</v>
      </c>
      <c r="C122" s="25" t="s">
        <v>114</v>
      </c>
      <c r="D122" s="25" t="s">
        <v>134</v>
      </c>
      <c r="E122" s="16">
        <v>42604.716550925928</v>
      </c>
      <c r="F122" s="16">
        <v>42604.717719907407</v>
      </c>
      <c r="G122" s="7">
        <v>1</v>
      </c>
      <c r="H122" s="16" t="s">
        <v>188</v>
      </c>
      <c r="I122" s="16">
        <v>42604.744942129626</v>
      </c>
      <c r="J122" s="7">
        <v>0</v>
      </c>
      <c r="K122" s="140" t="str">
        <f t="shared" si="24"/>
        <v>4009/4010</v>
      </c>
      <c r="L122" s="25" t="str">
        <f>VLOOKUP(A122,'Trips&amp;Operators'!$C$1:$E$10000,3,FALSE)</f>
        <v>LEVERE</v>
      </c>
      <c r="M122" s="6">
        <f t="shared" si="25"/>
        <v>2.7222222219279502E-2</v>
      </c>
      <c r="N122" s="7">
        <f t="shared" si="45"/>
        <v>39.199999995762482</v>
      </c>
      <c r="O122" s="7"/>
      <c r="P122" s="7"/>
      <c r="Q122" s="26"/>
      <c r="R122" s="26"/>
      <c r="S122" s="38">
        <f t="shared" si="41"/>
        <v>1</v>
      </c>
      <c r="T122" s="53" t="str">
        <f t="shared" si="26"/>
        <v>NorthBound</v>
      </c>
      <c r="U122" s="13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16:11:50-0600',mode:absolute,to:'2016-08-22 18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2" s="55" t="str">
        <f t="shared" si="28"/>
        <v>N</v>
      </c>
      <c r="X122" s="127">
        <f t="shared" si="46"/>
        <v>1</v>
      </c>
      <c r="Y122" s="70">
        <f t="shared" si="30"/>
        <v>4.53E-2</v>
      </c>
      <c r="Z122" s="70">
        <f t="shared" si="42"/>
        <v>23.330500000000001</v>
      </c>
      <c r="AA122" s="70">
        <f t="shared" si="32"/>
        <v>23.2852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33"/>
        <v>0209-22</v>
      </c>
      <c r="AE122" s="103" t="str">
        <f t="shared" si="34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122" s="100" t="str">
        <f t="shared" si="35"/>
        <v>"C:\Program Files (x86)\AstroGrep\AstroGrep.exe" /spath="%USERPROFILE%\AppData\Local\Temp\OnboardLogs" /stypes="*4009*20160822*" /stext=" 23:.+((SYSTEM_STATE.+slice.+state.+changed )|(ment ac)|(system.+state.+changed )|(\|lc)|(penalty)|(\[timeout)|(PRM\|1\|D)|(kpr)|(kdp))" /e /r /s</v>
      </c>
      <c r="AG122" s="1" t="str">
        <f t="shared" si="36"/>
        <v>EC</v>
      </c>
      <c r="AH122" s="104" t="str">
        <f t="shared" si="37"/>
        <v>"%USERPROFILE%\Documents\GitHub\eaglep3\Utilities\RefineRTDCRunTimes.py" --tripid 209-22 --locoid 4009 --swversion DE.1.0.7.0 --startMP 204:453 --initTime 2016-08-22T17:11:50 --startdatetime 2016-08-22T17:13:31 --delay 1 --endMP 204:233305 --enddatetime 2016-08-22T17:52:43 --enforcementcount 0</v>
      </c>
    </row>
    <row r="123" spans="1:34" s="24" customFormat="1" x14ac:dyDescent="0.25">
      <c r="A123" s="40" t="s">
        <v>504</v>
      </c>
      <c r="B123" s="7">
        <v>4010</v>
      </c>
      <c r="C123" s="25" t="s">
        <v>114</v>
      </c>
      <c r="D123" s="25" t="s">
        <v>279</v>
      </c>
      <c r="E123" s="16">
        <v>42604.75167824074</v>
      </c>
      <c r="F123" s="16">
        <v>42604.752812500003</v>
      </c>
      <c r="G123" s="7">
        <v>1</v>
      </c>
      <c r="H123" s="16" t="s">
        <v>156</v>
      </c>
      <c r="I123" s="16">
        <v>42604.785416666666</v>
      </c>
      <c r="J123" s="7">
        <v>0</v>
      </c>
      <c r="K123" s="140" t="str">
        <f t="shared" si="24"/>
        <v>4009/4010</v>
      </c>
      <c r="L123" s="25" t="str">
        <f>VLOOKUP(A123,'Trips&amp;Operators'!$C$1:$E$10000,3,FALSE)</f>
        <v>LEVERE</v>
      </c>
      <c r="M123" s="6">
        <f t="shared" si="25"/>
        <v>3.2604166663077194E-2</v>
      </c>
      <c r="N123" s="7">
        <f t="shared" si="45"/>
        <v>46.94999999483116</v>
      </c>
      <c r="O123" s="7"/>
      <c r="P123" s="7"/>
      <c r="Q123" s="26"/>
      <c r="R123" s="26"/>
      <c r="S123" s="38">
        <f t="shared" si="41"/>
        <v>1</v>
      </c>
      <c r="T123" s="53" t="str">
        <f t="shared" si="26"/>
        <v>Southbound</v>
      </c>
      <c r="U123" s="13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17:02:25-0600',mode:absolute,to:'2016-08-22 19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3" s="55" t="str">
        <f t="shared" si="28"/>
        <v>N</v>
      </c>
      <c r="X123" s="127">
        <f t="shared" si="46"/>
        <v>1</v>
      </c>
      <c r="Y123" s="70">
        <f t="shared" si="30"/>
        <v>23.2988</v>
      </c>
      <c r="Z123" s="70">
        <f t="shared" si="42"/>
        <v>1.4999999999999999E-2</v>
      </c>
      <c r="AA123" s="70">
        <f t="shared" si="32"/>
        <v>23.283799999999999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33"/>
        <v>0210-22</v>
      </c>
      <c r="AE123" s="103" t="str">
        <f t="shared" si="34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123" s="100" t="str">
        <f t="shared" si="35"/>
        <v>"C:\Program Files (x86)\AstroGrep\AstroGrep.exe" /spath="%USERPROFILE%\AppData\Local\Temp\OnboardLogs" /stypes="*4010*20160823*" /stext=" 00:.+((SYSTEM_STATE.+slice.+state.+changed )|(ment ac)|(system.+state.+changed )|(\|lc)|(penalty)|(\[timeout)|(PRM\|1\|D)|(kpr)|(kdp))" /e /r /s</v>
      </c>
      <c r="AG123" s="1" t="str">
        <f t="shared" si="36"/>
        <v>EC</v>
      </c>
      <c r="AH123" s="104" t="str">
        <f t="shared" si="37"/>
        <v>"%USERPROFILE%\Documents\GitHub\eaglep3\Utilities\RefineRTDCRunTimes.py" --tripid 210-22 --locoid 4010 --swversion DE.1.0.7.0 --startMP 204:232988 --initTime 2016-08-22T18:02:25 --startdatetime 2016-08-22T18:04:03 --delay 1 --endMP 204:150 --enddatetime 2016-08-22T18:51:00 --enforcementcount 0</v>
      </c>
    </row>
    <row r="124" spans="1:34" x14ac:dyDescent="0.25">
      <c r="A124" s="40" t="s">
        <v>505</v>
      </c>
      <c r="B124" s="7">
        <v>4007</v>
      </c>
      <c r="C124" s="25" t="s">
        <v>114</v>
      </c>
      <c r="D124" s="25" t="s">
        <v>141</v>
      </c>
      <c r="E124" s="16">
        <v>42604.7265162037</v>
      </c>
      <c r="F124" s="16">
        <v>42604.727777777778</v>
      </c>
      <c r="G124" s="7">
        <v>1</v>
      </c>
      <c r="H124" s="16" t="s">
        <v>229</v>
      </c>
      <c r="I124" s="16">
        <v>42604.754814814813</v>
      </c>
      <c r="J124" s="7">
        <v>0</v>
      </c>
      <c r="K124" s="140" t="str">
        <f t="shared" si="24"/>
        <v>4007/4008</v>
      </c>
      <c r="L124" s="25" t="str">
        <f>VLOOKUP(A124,'Trips&amp;Operators'!$C$1:$E$10000,3,FALSE)</f>
        <v>DE LA ROSA</v>
      </c>
      <c r="M124" s="6">
        <f t="shared" si="25"/>
        <v>2.7037037034460809E-2</v>
      </c>
      <c r="N124" s="7">
        <f t="shared" si="45"/>
        <v>38.933333329623565</v>
      </c>
      <c r="O124" s="7"/>
      <c r="P124" s="7"/>
      <c r="Q124" s="26"/>
      <c r="R124" s="26"/>
      <c r="S124" s="38">
        <f t="shared" si="41"/>
        <v>1</v>
      </c>
      <c r="T124" s="53" t="str">
        <f t="shared" si="26"/>
        <v>NorthBound</v>
      </c>
      <c r="U124" s="13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16:26:11-0600',mode:absolute,to:'2016-08-22 19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24" s="55" t="str">
        <f t="shared" si="28"/>
        <v>N</v>
      </c>
      <c r="X124" s="127">
        <f t="shared" si="46"/>
        <v>1</v>
      </c>
      <c r="Y124" s="70">
        <f t="shared" si="30"/>
        <v>4.58E-2</v>
      </c>
      <c r="Z124" s="70">
        <f t="shared" si="42"/>
        <v>23.329799999999999</v>
      </c>
      <c r="AA124" s="70">
        <f t="shared" si="32"/>
        <v>23.283999999999999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33"/>
        <v>0211-22</v>
      </c>
      <c r="AE124" s="103" t="str">
        <f t="shared" si="34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124" s="100" t="str">
        <f t="shared" si="35"/>
        <v>"C:\Program Files (x86)\AstroGrep\AstroGrep.exe" /spath="%USERPROFILE%\AppData\Local\Temp\OnboardLogs" /stypes="*4007*20160823*" /stext=" 00:.+((SYSTEM_STATE.+slice.+state.+changed )|(ment ac)|(system.+state.+changed )|(\|lc)|(penalty)|(\[timeout)|(PRM\|1\|D)|(kpr)|(kdp))" /e /r /s</v>
      </c>
      <c r="AG124" s="1" t="str">
        <f t="shared" si="36"/>
        <v>EC</v>
      </c>
      <c r="AH124" s="104" t="str">
        <f t="shared" si="37"/>
        <v>"%USERPROFILE%\Documents\GitHub\eaglep3\Utilities\RefineRTDCRunTimes.py" --tripid 211-22 --locoid 4007 --swversion DE.1.0.7.0 --startMP 204:458 --initTime 2016-08-22T17:26:11 --startdatetime 2016-08-22T17:28:00 --delay 1 --endMP 204:233298 --enddatetime 2016-08-22T18:06:56 --enforcementcount 0</v>
      </c>
    </row>
    <row r="125" spans="1:34" x14ac:dyDescent="0.25">
      <c r="A125" s="40" t="s">
        <v>506</v>
      </c>
      <c r="B125" s="7">
        <v>4008</v>
      </c>
      <c r="C125" s="25" t="s">
        <v>114</v>
      </c>
      <c r="D125" s="25" t="s">
        <v>158</v>
      </c>
      <c r="E125" s="16">
        <v>42604.765613425923</v>
      </c>
      <c r="F125" s="16">
        <v>42604.766689814816</v>
      </c>
      <c r="G125" s="7">
        <v>1</v>
      </c>
      <c r="H125" s="16" t="s">
        <v>209</v>
      </c>
      <c r="I125" s="16">
        <v>42604.795578703706</v>
      </c>
      <c r="J125" s="7">
        <v>0</v>
      </c>
      <c r="K125" s="140" t="str">
        <f t="shared" si="24"/>
        <v>4007/4008</v>
      </c>
      <c r="L125" s="25" t="str">
        <f>VLOOKUP(A125,'Trips&amp;Operators'!$C$1:$E$10000,3,FALSE)</f>
        <v>DE LA ROSA</v>
      </c>
      <c r="M125" s="6">
        <f t="shared" si="25"/>
        <v>2.8888888889923692E-2</v>
      </c>
      <c r="N125" s="7">
        <f t="shared" si="45"/>
        <v>41.600000001490116</v>
      </c>
      <c r="O125" s="7"/>
      <c r="P125" s="7"/>
      <c r="Q125" s="26"/>
      <c r="R125" s="26"/>
      <c r="S125" s="38">
        <f t="shared" si="41"/>
        <v>1</v>
      </c>
      <c r="T125" s="53" t="str">
        <f t="shared" si="26"/>
        <v>Southbound</v>
      </c>
      <c r="U125" s="13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17:22:29-0600',mode:absolute,to:'2016-08-22 20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25" s="55" t="str">
        <f t="shared" si="28"/>
        <v>N</v>
      </c>
      <c r="X125" s="127">
        <f t="shared" si="46"/>
        <v>1</v>
      </c>
      <c r="Y125" s="70">
        <f t="shared" si="30"/>
        <v>23.298100000000002</v>
      </c>
      <c r="Z125" s="70">
        <f t="shared" si="42"/>
        <v>1.4500000000000001E-2</v>
      </c>
      <c r="AA125" s="70">
        <f t="shared" si="32"/>
        <v>23.2836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33"/>
        <v>0212-22</v>
      </c>
      <c r="AE125" s="103" t="str">
        <f t="shared" si="34"/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AF125" s="100" t="str">
        <f t="shared" si="35"/>
        <v>"C:\Program Files (x86)\AstroGrep\AstroGrep.exe" /spath="%USERPROFILE%\AppData\Local\Temp\OnboardLogs" /stypes="*4008*20160823*" /stext=" 01:.+((SYSTEM_STATE.+slice.+state.+changed )|(ment ac)|(system.+state.+changed )|(\|lc)|(penalty)|(\[timeout)|(PRM\|1\|D)|(kpr)|(kdp))" /e /r /s</v>
      </c>
      <c r="AG125" s="1" t="str">
        <f t="shared" si="36"/>
        <v>EC</v>
      </c>
      <c r="AH125" s="104" t="str">
        <f t="shared" si="37"/>
        <v>"%USERPROFILE%\Documents\GitHub\eaglep3\Utilities\RefineRTDCRunTimes.py" --tripid 212-22 --locoid 4008 --swversion DE.1.0.7.0 --startMP 204:232981 --initTime 2016-08-22T18:22:29 --startdatetime 2016-08-22T18:24:02 --delay 1 --endMP 204:145 --enddatetime 2016-08-22T19:05:38 --enforcementcount 0</v>
      </c>
    </row>
    <row r="126" spans="1:34" s="24" customFormat="1" x14ac:dyDescent="0.25">
      <c r="A126" s="40" t="s">
        <v>360</v>
      </c>
      <c r="B126" s="7">
        <v>4027</v>
      </c>
      <c r="C126" s="25" t="s">
        <v>114</v>
      </c>
      <c r="D126" s="25" t="s">
        <v>137</v>
      </c>
      <c r="E126" s="16">
        <v>42604.733969907407</v>
      </c>
      <c r="F126" s="16">
        <v>42604.734942129631</v>
      </c>
      <c r="G126" s="7">
        <v>1</v>
      </c>
      <c r="H126" s="16" t="s">
        <v>294</v>
      </c>
      <c r="I126" s="16">
        <v>42604.765277777777</v>
      </c>
      <c r="J126" s="7">
        <v>0</v>
      </c>
      <c r="K126" s="140" t="str">
        <f t="shared" si="24"/>
        <v>4027/4028</v>
      </c>
      <c r="L126" s="25" t="str">
        <f>VLOOKUP(A126,'Trips&amp;Operators'!$C$1:$E$10000,3,FALSE)</f>
        <v>NEWELL</v>
      </c>
      <c r="M126" s="6">
        <f t="shared" si="25"/>
        <v>3.0335648145410232E-2</v>
      </c>
      <c r="N126" s="7">
        <f t="shared" si="45"/>
        <v>43.683333329390734</v>
      </c>
      <c r="O126" s="7"/>
      <c r="P126" s="7"/>
      <c r="Q126" s="26"/>
      <c r="R126" s="26"/>
      <c r="S126" s="38">
        <f t="shared" si="41"/>
        <v>1</v>
      </c>
      <c r="T126" s="53" t="str">
        <f t="shared" si="26"/>
        <v>NorthBound</v>
      </c>
      <c r="U126" s="13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16:36:55-0600',mode:absolute,to:'2016-08-22 19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6" s="55" t="str">
        <f t="shared" si="28"/>
        <v>N</v>
      </c>
      <c r="X126" s="127">
        <f t="shared" si="46"/>
        <v>1</v>
      </c>
      <c r="Y126" s="70">
        <f t="shared" si="30"/>
        <v>4.4900000000000002E-2</v>
      </c>
      <c r="Z126" s="70">
        <f t="shared" si="42"/>
        <v>23.327200000000001</v>
      </c>
      <c r="AA126" s="70">
        <f t="shared" si="32"/>
        <v>23.282300000000003</v>
      </c>
      <c r="AB126" s="67">
        <f>VLOOKUP(A126,Enforcements!$C$7:$J$24,8,0)</f>
        <v>4677</v>
      </c>
      <c r="AC126" s="63" t="str">
        <f>VLOOKUP(A126,Enforcements!$C$7:$E$24,3,0)</f>
        <v>PERMANENT SPEED RESTRICTION</v>
      </c>
      <c r="AD126" s="64" t="str">
        <f t="shared" si="33"/>
        <v>0213-22</v>
      </c>
      <c r="AE126" s="103" t="str">
        <f t="shared" si="34"/>
        <v>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 &amp; 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</v>
      </c>
      <c r="AF126" s="100" t="str">
        <f t="shared" si="35"/>
        <v>"C:\Program Files (x86)\AstroGrep\AstroGrep.exe" /spath="%USERPROFILE%\AppData\Local\Temp\OnboardLogs" /stypes="*4027*20160823*" /stext=" 00:.+((SYSTEM_STATE.+slice.+state.+changed )|(ment ac)|(system.+state.+changed )|(\|lc)|(penalty)|(\[timeout)|(PRM\|1\|D)|(kpr)|(kdp))" /e /r /s</v>
      </c>
      <c r="AG126" s="1" t="str">
        <f t="shared" si="36"/>
        <v>EC</v>
      </c>
      <c r="AH126" s="104" t="str">
        <f t="shared" si="37"/>
        <v>"%USERPROFILE%\Documents\GitHub\eaglep3\Utilities\RefineRTDCRunTimes.py" --tripid 213-22 --locoid 4027 --swversion DE.1.0.7.0 --startMP 204:449 --initTime 2016-08-22T17:36:55 --startdatetime 2016-08-22T17:38:19 --delay 1 --endMP 204:233272 --enddatetime 2016-08-22T18:22:00 --enforcementcount 0</v>
      </c>
    </row>
    <row r="127" spans="1:34" x14ac:dyDescent="0.25">
      <c r="A127" s="40" t="s">
        <v>366</v>
      </c>
      <c r="B127" s="7">
        <v>4028</v>
      </c>
      <c r="C127" s="25" t="s">
        <v>114</v>
      </c>
      <c r="D127" s="25" t="s">
        <v>230</v>
      </c>
      <c r="E127" s="16">
        <v>42604.766932870371</v>
      </c>
      <c r="F127" s="16">
        <v>42604.76798611111</v>
      </c>
      <c r="G127" s="7">
        <v>1</v>
      </c>
      <c r="H127" s="16" t="s">
        <v>305</v>
      </c>
      <c r="I127" s="16">
        <v>42604.80605324074</v>
      </c>
      <c r="J127" s="7">
        <v>0</v>
      </c>
      <c r="K127" s="140" t="str">
        <f t="shared" si="24"/>
        <v>4027/4028</v>
      </c>
      <c r="L127" s="25" t="str">
        <f>VLOOKUP(A127,'Trips&amp;Operators'!$C$1:$E$10000,3,FALSE)</f>
        <v>NEWELL</v>
      </c>
      <c r="M127" s="6">
        <f t="shared" si="25"/>
        <v>3.8067129629780538E-2</v>
      </c>
      <c r="N127" s="7">
        <f t="shared" si="45"/>
        <v>54.816666666883975</v>
      </c>
      <c r="O127" s="7"/>
      <c r="P127" s="7"/>
      <c r="Q127" s="26"/>
      <c r="R127" s="26"/>
      <c r="S127" s="38">
        <f t="shared" si="41"/>
        <v>1</v>
      </c>
      <c r="T127" s="53" t="str">
        <f t="shared" si="26"/>
        <v>Southbound</v>
      </c>
      <c r="U127" s="13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17:24:23-0600',mode:absolute,to:'2016-08-22 20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7" s="55" t="str">
        <f t="shared" si="28"/>
        <v>N</v>
      </c>
      <c r="X127" s="127">
        <f t="shared" si="46"/>
        <v>1</v>
      </c>
      <c r="Y127" s="70">
        <f t="shared" si="30"/>
        <v>23.296700000000001</v>
      </c>
      <c r="Z127" s="70">
        <f t="shared" si="42"/>
        <v>1.7399999999999999E-2</v>
      </c>
      <c r="AA127" s="70">
        <f t="shared" si="32"/>
        <v>23.279300000000003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33"/>
        <v>0214-22</v>
      </c>
      <c r="AE127" s="103" t="str">
        <f t="shared" si="34"/>
        <v>aws s3 cp s3://rtdc.mdm.uploadarchive/RTDC4028/2016-08-22/ "%USERPROFILE%\AppData\Local\Temp\OnboardLogs"\RTDC4028\2016-08-22 --recursive &amp; "%USERPROFILE%\Documents\GitHub\mrs-test-scripts\Headless Mode &amp; Sideloading\WalkAndUnGZ.bat" "%USERPROFILE%\AppData\Local\Temp\OnboardLogs"\RTDC4028\2016-08-22 &amp; 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</v>
      </c>
      <c r="AF127" s="100" t="str">
        <f t="shared" si="35"/>
        <v>"C:\Program Files (x86)\AstroGrep\AstroGrep.exe" /spath="%USERPROFILE%\AppData\Local\Temp\OnboardLogs" /stypes="*4028*20160823*" /stext=" 01:.+((SYSTEM_STATE.+slice.+state.+changed )|(ment ac)|(system.+state.+changed )|(\|lc)|(penalty)|(\[timeout)|(PRM\|1\|D)|(kpr)|(kdp))" /e /r /s</v>
      </c>
      <c r="AG127" s="1" t="str">
        <f t="shared" si="36"/>
        <v>EC</v>
      </c>
      <c r="AH127" s="104" t="str">
        <f t="shared" si="37"/>
        <v>"%USERPROFILE%\Documents\GitHub\eaglep3\Utilities\RefineRTDCRunTimes.py" --tripid 214-22 --locoid 4028 --swversion DE.1.0.7.0 --startMP 204:232967 --initTime 2016-08-22T18:24:23 --startdatetime 2016-08-22T18:25:54 --delay 1 --endMP 204:174 --enddatetime 2016-08-22T19:20:43 --enforcementcount 0</v>
      </c>
    </row>
    <row r="128" spans="1:34" x14ac:dyDescent="0.25">
      <c r="A128" s="40" t="s">
        <v>507</v>
      </c>
      <c r="B128" s="7">
        <v>4038</v>
      </c>
      <c r="C128" s="25" t="s">
        <v>114</v>
      </c>
      <c r="D128" s="25" t="s">
        <v>260</v>
      </c>
      <c r="E128" s="16">
        <v>42604.745613425926</v>
      </c>
      <c r="F128" s="16">
        <v>42604.747627314813</v>
      </c>
      <c r="G128" s="7">
        <v>2</v>
      </c>
      <c r="H128" s="16" t="s">
        <v>219</v>
      </c>
      <c r="I128" s="16">
        <v>42604.776770833334</v>
      </c>
      <c r="J128" s="7">
        <v>0</v>
      </c>
      <c r="K128" s="140" t="str">
        <f t="shared" si="24"/>
        <v>4037/4038</v>
      </c>
      <c r="L128" s="25" t="str">
        <f>VLOOKUP(A128,'Trips&amp;Operators'!$C$1:$E$10000,3,FALSE)</f>
        <v>STRICKLAND</v>
      </c>
      <c r="M128" s="6">
        <f t="shared" si="25"/>
        <v>2.9143518520868383E-2</v>
      </c>
      <c r="N128" s="7">
        <f t="shared" si="45"/>
        <v>41.966666670050472</v>
      </c>
      <c r="O128" s="7"/>
      <c r="P128" s="7"/>
      <c r="Q128" s="26"/>
      <c r="R128" s="26"/>
      <c r="S128" s="38">
        <f t="shared" si="41"/>
        <v>1</v>
      </c>
      <c r="T128" s="53" t="str">
        <f t="shared" si="26"/>
        <v>NorthBound</v>
      </c>
      <c r="U128" s="13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16:53:41-0600',mode:absolute,to:'2016-08-22 19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8" s="55" t="str">
        <f t="shared" si="28"/>
        <v>N</v>
      </c>
      <c r="X128" s="127">
        <f t="shared" si="46"/>
        <v>1</v>
      </c>
      <c r="Y128" s="70">
        <f t="shared" si="30"/>
        <v>4.6600000000000003E-2</v>
      </c>
      <c r="Z128" s="70">
        <f t="shared" si="42"/>
        <v>23.3293</v>
      </c>
      <c r="AA128" s="70">
        <f t="shared" si="32"/>
        <v>23.282699999999998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33"/>
        <v>0215-22</v>
      </c>
      <c r="AE128" s="103" t="str">
        <f t="shared" si="34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128" s="100" t="str">
        <f t="shared" si="35"/>
        <v>"C:\Program Files (x86)\AstroGrep\AstroGrep.exe" /spath="%USERPROFILE%\AppData\Local\Temp\OnboardLogs" /stypes="*4038*20160823*" /stext=" 00:.+((SYSTEM_STATE.+slice.+state.+changed )|(ment ac)|(system.+state.+changed )|(\|lc)|(penalty)|(\[timeout)|(PRM\|1\|D)|(kpr)|(kdp))" /e /r /s</v>
      </c>
      <c r="AG128" s="1" t="str">
        <f t="shared" si="36"/>
        <v>EC</v>
      </c>
      <c r="AH128" s="104" t="str">
        <f t="shared" si="37"/>
        <v>"%USERPROFILE%\Documents\GitHub\eaglep3\Utilities\RefineRTDCRunTimes.py" --tripid 215-22 --locoid 4038 --swversion DE.1.0.7.0 --startMP 204:466 --initTime 2016-08-22T17:53:41 --startdatetime 2016-08-22T17:56:35 --delay 2 --endMP 204:233293 --enddatetime 2016-08-22T18:38:33 --enforcementcount 0</v>
      </c>
    </row>
    <row r="129" spans="1:34" x14ac:dyDescent="0.25">
      <c r="A129" s="40" t="s">
        <v>364</v>
      </c>
      <c r="B129" s="7">
        <v>4037</v>
      </c>
      <c r="C129" s="25" t="s">
        <v>114</v>
      </c>
      <c r="D129" s="25" t="s">
        <v>263</v>
      </c>
      <c r="E129" s="16">
        <v>42604.784907407404</v>
      </c>
      <c r="F129" s="16">
        <v>42604.786041666666</v>
      </c>
      <c r="G129" s="7">
        <v>1</v>
      </c>
      <c r="H129" s="16" t="s">
        <v>277</v>
      </c>
      <c r="I129" s="16">
        <v>42604.823298611111</v>
      </c>
      <c r="J129" s="7">
        <v>0</v>
      </c>
      <c r="K129" s="140" t="str">
        <f t="shared" si="24"/>
        <v>4037/4038</v>
      </c>
      <c r="L129" s="25" t="str">
        <f>VLOOKUP(A129,'Trips&amp;Operators'!$C$1:$E$10000,3,FALSE)</f>
        <v>STRICKLAND</v>
      </c>
      <c r="M129" s="6">
        <f t="shared" si="25"/>
        <v>3.7256944444379769E-2</v>
      </c>
      <c r="N129" s="7">
        <f t="shared" si="45"/>
        <v>53.649999999906868</v>
      </c>
      <c r="O129" s="7"/>
      <c r="P129" s="7"/>
      <c r="Q129" s="26"/>
      <c r="R129" s="26"/>
      <c r="S129" s="38">
        <f t="shared" si="41"/>
        <v>1</v>
      </c>
      <c r="T129" s="53" t="str">
        <f t="shared" si="26"/>
        <v>Southbound</v>
      </c>
      <c r="U129" s="13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17:50:16-0600',mode:absolute,to:'2016-08-22 20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9" s="55" t="str">
        <f t="shared" si="28"/>
        <v>N</v>
      </c>
      <c r="X129" s="127">
        <f t="shared" si="46"/>
        <v>1</v>
      </c>
      <c r="Y129" s="70">
        <f t="shared" si="30"/>
        <v>23.298300000000001</v>
      </c>
      <c r="Z129" s="70">
        <f t="shared" si="42"/>
        <v>1.6500000000000001E-2</v>
      </c>
      <c r="AA129" s="70">
        <f t="shared" si="32"/>
        <v>23.2818</v>
      </c>
      <c r="AB129" s="67">
        <f>VLOOKUP(A129,Enforcements!$C$7:$J$24,8,0)</f>
        <v>119716</v>
      </c>
      <c r="AC129" s="63" t="str">
        <f>VLOOKUP(A129,Enforcements!$C$7:$E$24,3,0)</f>
        <v>PERMANENT SPEED RESTRICTION</v>
      </c>
      <c r="AD129" s="64" t="str">
        <f t="shared" si="33"/>
        <v>0216-22</v>
      </c>
      <c r="AE129" s="103" t="str">
        <f t="shared" si="34"/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AF129" s="100" t="str">
        <f t="shared" si="35"/>
        <v>"C:\Program Files (x86)\AstroGrep\AstroGrep.exe" /spath="%USERPROFILE%\AppData\Local\Temp\OnboardLogs" /stypes="*4037*20160823*" /stext=" 01:.+((SYSTEM_STATE.+slice.+state.+changed )|(ment ac)|(system.+state.+changed )|(\|lc)|(penalty)|(\[timeout)|(PRM\|1\|D)|(kpr)|(kdp))" /e /r /s</v>
      </c>
      <c r="AG129" s="1" t="str">
        <f t="shared" si="36"/>
        <v>EC</v>
      </c>
      <c r="AH129" s="104" t="str">
        <f t="shared" si="37"/>
        <v>"%USERPROFILE%\Documents\GitHub\eaglep3\Utilities\RefineRTDCRunTimes.py" --tripid 216-22 --locoid 4037 --swversion DE.1.0.7.0 --startMP 204:232983 --initTime 2016-08-22T18:50:16 --startdatetime 2016-08-22T18:51:54 --delay 1 --endMP 204:165 --enddatetime 2016-08-22T19:45:33 --enforcementcount 0</v>
      </c>
    </row>
    <row r="130" spans="1:34" x14ac:dyDescent="0.25">
      <c r="A130" s="40" t="s">
        <v>508</v>
      </c>
      <c r="B130" s="7">
        <v>4018</v>
      </c>
      <c r="C130" s="25" t="s">
        <v>114</v>
      </c>
      <c r="D130" s="25" t="s">
        <v>481</v>
      </c>
      <c r="E130" s="16">
        <v>42604.760046296295</v>
      </c>
      <c r="F130" s="16">
        <v>42604.761365740742</v>
      </c>
      <c r="G130" s="7">
        <v>1</v>
      </c>
      <c r="H130" s="16" t="s">
        <v>282</v>
      </c>
      <c r="I130" s="16">
        <v>42604.787152777775</v>
      </c>
      <c r="J130" s="7">
        <v>0</v>
      </c>
      <c r="K130" s="140" t="str">
        <f t="shared" si="24"/>
        <v>4017/4018</v>
      </c>
      <c r="L130" s="25" t="str">
        <f>VLOOKUP(A130,'Trips&amp;Operators'!$C$1:$E$10000,3,FALSE)</f>
        <v>CHANDLER</v>
      </c>
      <c r="M130" s="6">
        <f t="shared" si="25"/>
        <v>2.5787037033296656E-2</v>
      </c>
      <c r="N130" s="7">
        <f t="shared" si="45"/>
        <v>37.133333327947184</v>
      </c>
      <c r="O130" s="7"/>
      <c r="P130" s="7"/>
      <c r="Q130" s="26"/>
      <c r="R130" s="26"/>
      <c r="S130" s="38">
        <f t="shared" si="41"/>
        <v>1</v>
      </c>
      <c r="T130" s="53" t="str">
        <f t="shared" si="26"/>
        <v>NorthBound</v>
      </c>
      <c r="U130" s="13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17:14:28-0600',mode:absolute,to:'2016-08-22 19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0" s="55" t="str">
        <f t="shared" si="28"/>
        <v>N</v>
      </c>
      <c r="X130" s="127">
        <f t="shared" si="46"/>
        <v>1</v>
      </c>
      <c r="Y130" s="70">
        <f t="shared" si="30"/>
        <v>5.5500000000000001E-2</v>
      </c>
      <c r="Z130" s="70">
        <f t="shared" si="42"/>
        <v>23.3307</v>
      </c>
      <c r="AA130" s="70">
        <f t="shared" si="32"/>
        <v>23.275200000000002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33"/>
        <v>0217-22</v>
      </c>
      <c r="AE130" s="103" t="str">
        <f t="shared" si="34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130" s="100" t="str">
        <f t="shared" si="35"/>
        <v>"C:\Program Files (x86)\AstroGrep\AstroGrep.exe" /spath="%USERPROFILE%\AppData\Local\Temp\OnboardLogs" /stypes="*4018*20160823*" /stext=" 00:.+((SYSTEM_STATE.+slice.+state.+changed )|(ment ac)|(system.+state.+changed )|(\|lc)|(penalty)|(\[timeout)|(PRM\|1\|D)|(kpr)|(kdp))" /e /r /s</v>
      </c>
      <c r="AG130" s="1" t="str">
        <f t="shared" si="36"/>
        <v>EC</v>
      </c>
      <c r="AH130" s="104" t="str">
        <f t="shared" si="37"/>
        <v>"%USERPROFILE%\Documents\GitHub\eaglep3\Utilities\RefineRTDCRunTimes.py" --tripid 217-22 --locoid 4018 --swversion DE.1.0.7.0 --startMP 204:555 --initTime 2016-08-22T18:14:28 --startdatetime 2016-08-22T18:16:22 --delay 1 --endMP 204:233307 --enddatetime 2016-08-22T18:53:30 --enforcementcount 0</v>
      </c>
    </row>
    <row r="131" spans="1:34" x14ac:dyDescent="0.25">
      <c r="A131" s="40" t="s">
        <v>367</v>
      </c>
      <c r="B131" s="7">
        <v>4017</v>
      </c>
      <c r="C131" s="25" t="s">
        <v>114</v>
      </c>
      <c r="D131" s="25" t="s">
        <v>136</v>
      </c>
      <c r="E131" s="16">
        <v>42604.798263888886</v>
      </c>
      <c r="F131" s="16">
        <v>42604.799097222225</v>
      </c>
      <c r="G131" s="7">
        <v>1</v>
      </c>
      <c r="H131" s="16" t="s">
        <v>509</v>
      </c>
      <c r="I131" s="16">
        <v>42604.832939814813</v>
      </c>
      <c r="J131" s="7">
        <v>0</v>
      </c>
      <c r="K131" s="140" t="str">
        <f t="shared" si="24"/>
        <v>4017/4018</v>
      </c>
      <c r="L131" s="25" t="str">
        <f>VLOOKUP(A131,'Trips&amp;Operators'!$C$1:$E$10000,3,FALSE)</f>
        <v>CHANDLER</v>
      </c>
      <c r="M131" s="6">
        <f t="shared" si="25"/>
        <v>3.3842592587461695E-2</v>
      </c>
      <c r="N131" s="7">
        <f t="shared" si="45"/>
        <v>48.733333325944841</v>
      </c>
      <c r="O131" s="7"/>
      <c r="P131" s="7"/>
      <c r="Q131" s="26"/>
      <c r="R131" s="26"/>
      <c r="S131" s="38">
        <f t="shared" si="41"/>
        <v>1</v>
      </c>
      <c r="T131" s="53" t="str">
        <f t="shared" si="26"/>
        <v>Southbound</v>
      </c>
      <c r="U131" s="13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18:09:30-0600',mode:absolute,to:'2016-08-22 20:59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1" s="55" t="str">
        <f t="shared" si="28"/>
        <v>N</v>
      </c>
      <c r="X131" s="127">
        <f t="shared" si="46"/>
        <v>1</v>
      </c>
      <c r="Y131" s="70">
        <f t="shared" si="30"/>
        <v>23.299399999999999</v>
      </c>
      <c r="Z131" s="70">
        <f t="shared" si="42"/>
        <v>1.9199999999999998E-2</v>
      </c>
      <c r="AA131" s="70">
        <f t="shared" si="32"/>
        <v>23.280199999999997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33"/>
        <v>0218-22</v>
      </c>
      <c r="AE131" s="103" t="str">
        <f t="shared" si="34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131" s="100" t="str">
        <f t="shared" si="35"/>
        <v>"C:\Program Files (x86)\AstroGrep\AstroGrep.exe" /spath="%USERPROFILE%\AppData\Local\Temp\OnboardLogs" /stypes="*4017*20160823*" /stext=" 01:.+((SYSTEM_STATE.+slice.+state.+changed )|(ment ac)|(system.+state.+changed )|(\|lc)|(penalty)|(\[timeout)|(PRM\|1\|D)|(kpr)|(kdp))" /e /r /s</v>
      </c>
      <c r="AG131" s="1" t="str">
        <f t="shared" si="36"/>
        <v>EC</v>
      </c>
      <c r="AH131" s="104" t="str">
        <f t="shared" si="37"/>
        <v>"%USERPROFILE%\Documents\GitHub\eaglep3\Utilities\RefineRTDCRunTimes.py" --tripid 218-22 --locoid 4017 --swversion DE.1.0.7.0 --startMP 204:232994 --initTime 2016-08-22T19:09:30 --startdatetime 2016-08-22T19:10:42 --delay 1 --endMP 204:192 --enddatetime 2016-08-22T19:59:26 --enforcementcount 0</v>
      </c>
    </row>
    <row r="132" spans="1:34" s="24" customFormat="1" x14ac:dyDescent="0.25">
      <c r="A132" s="40" t="s">
        <v>363</v>
      </c>
      <c r="B132" s="7">
        <v>4020</v>
      </c>
      <c r="C132" s="25" t="s">
        <v>114</v>
      </c>
      <c r="D132" s="25" t="s">
        <v>270</v>
      </c>
      <c r="E132" s="16">
        <v>42604.768321759257</v>
      </c>
      <c r="F132" s="16">
        <v>42604.769363425927</v>
      </c>
      <c r="G132" s="7">
        <v>1</v>
      </c>
      <c r="H132" s="16" t="s">
        <v>510</v>
      </c>
      <c r="I132" s="16">
        <v>42604.797349537039</v>
      </c>
      <c r="J132" s="7">
        <v>0</v>
      </c>
      <c r="K132" s="140" t="str">
        <f t="shared" si="24"/>
        <v>4019/4020</v>
      </c>
      <c r="L132" s="25" t="str">
        <f>VLOOKUP(A132,'Trips&amp;Operators'!$C$1:$E$10000,3,FALSE)</f>
        <v>OUN</v>
      </c>
      <c r="M132" s="6">
        <f t="shared" si="25"/>
        <v>2.7986111112113576E-2</v>
      </c>
      <c r="N132" s="7">
        <f t="shared" si="45"/>
        <v>40.30000000144355</v>
      </c>
      <c r="O132" s="7"/>
      <c r="P132" s="7"/>
      <c r="Q132" s="26"/>
      <c r="R132" s="26"/>
      <c r="S132" s="38">
        <f t="shared" si="41"/>
        <v>1</v>
      </c>
      <c r="T132" s="53" t="str">
        <f t="shared" si="26"/>
        <v>NorthBound</v>
      </c>
      <c r="U132" s="13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17:26:23-0600',mode:absolute,to:'2016-08-22 20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2" s="55" t="str">
        <f t="shared" si="28"/>
        <v>N</v>
      </c>
      <c r="X132" s="127">
        <f t="shared" si="46"/>
        <v>1</v>
      </c>
      <c r="Y132" s="70">
        <f t="shared" si="30"/>
        <v>4.82E-2</v>
      </c>
      <c r="Z132" s="70">
        <f t="shared" si="42"/>
        <v>23.334900000000001</v>
      </c>
      <c r="AA132" s="70">
        <f t="shared" si="32"/>
        <v>23.2867</v>
      </c>
      <c r="AB132" s="67">
        <f>VLOOKUP(A132,Enforcements!$C$7:$J$24,8,0)</f>
        <v>20338</v>
      </c>
      <c r="AC132" s="63" t="str">
        <f>VLOOKUP(A132,Enforcements!$C$7:$E$24,3,0)</f>
        <v>PERMANENT SPEED RESTRICTION</v>
      </c>
      <c r="AD132" s="64" t="str">
        <f t="shared" si="33"/>
        <v>0219-22</v>
      </c>
      <c r="AE132" s="103" t="str">
        <f t="shared" si="34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32" s="100" t="str">
        <f t="shared" si="35"/>
        <v>"C:\Program Files (x86)\AstroGrep\AstroGrep.exe" /spath="%USERPROFILE%\AppData\Local\Temp\OnboardLogs" /stypes="*4020*20160823*" /stext=" 01:.+((SYSTEM_STATE.+slice.+state.+changed )|(ment ac)|(system.+state.+changed )|(\|lc)|(penalty)|(\[timeout)|(PRM\|1\|D)|(kpr)|(kdp))" /e /r /s</v>
      </c>
      <c r="AG132" s="1" t="str">
        <f t="shared" si="36"/>
        <v>EC</v>
      </c>
      <c r="AH132" s="104" t="str">
        <f t="shared" si="37"/>
        <v>"%USERPROFILE%\Documents\GitHub\eaglep3\Utilities\RefineRTDCRunTimes.py" --tripid 219-22 --locoid 4020 --swversion DE.1.0.7.0 --startMP 204:482 --initTime 2016-08-22T18:26:23 --startdatetime 2016-08-22T18:27:53 --delay 1 --endMP 204:233349 --enddatetime 2016-08-22T19:08:11 --enforcementcount 0</v>
      </c>
    </row>
    <row r="133" spans="1:34" x14ac:dyDescent="0.25">
      <c r="A133" s="40" t="s">
        <v>511</v>
      </c>
      <c r="B133" s="7">
        <v>4019</v>
      </c>
      <c r="C133" s="25" t="s">
        <v>114</v>
      </c>
      <c r="D133" s="25" t="s">
        <v>512</v>
      </c>
      <c r="E133" s="16">
        <v>42604.804212962961</v>
      </c>
      <c r="F133" s="16">
        <v>42604.805092592593</v>
      </c>
      <c r="G133" s="7">
        <v>1</v>
      </c>
      <c r="H133" s="16" t="s">
        <v>133</v>
      </c>
      <c r="I133" s="16">
        <v>42604.837511574071</v>
      </c>
      <c r="J133" s="7">
        <v>0</v>
      </c>
      <c r="K133" s="140" t="str">
        <f t="shared" si="24"/>
        <v>4019/4020</v>
      </c>
      <c r="L133" s="25" t="str">
        <f>VLOOKUP(A133,'Trips&amp;Operators'!$C$1:$E$10000,3,FALSE)</f>
        <v>OUN</v>
      </c>
      <c r="M133" s="6">
        <f t="shared" si="25"/>
        <v>3.2418981478258502E-2</v>
      </c>
      <c r="N133" s="7">
        <f t="shared" si="45"/>
        <v>46.683333328692243</v>
      </c>
      <c r="O133" s="7"/>
      <c r="P133" s="7"/>
      <c r="Q133" s="26"/>
      <c r="R133" s="26"/>
      <c r="S133" s="38">
        <f t="shared" si="41"/>
        <v>1</v>
      </c>
      <c r="T133" s="53" t="str">
        <f t="shared" si="26"/>
        <v>Southbound</v>
      </c>
      <c r="U133" s="13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18:18:04-0600',mode:absolute,to:'2016-08-22 21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3" s="55" t="str">
        <f t="shared" si="28"/>
        <v>N</v>
      </c>
      <c r="X133" s="127">
        <f t="shared" si="46"/>
        <v>1</v>
      </c>
      <c r="Y133" s="70">
        <f t="shared" si="30"/>
        <v>23.301300000000001</v>
      </c>
      <c r="Z133" s="70">
        <f t="shared" si="42"/>
        <v>1.47E-2</v>
      </c>
      <c r="AA133" s="70">
        <f t="shared" si="32"/>
        <v>23.2866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33"/>
        <v>0220-22</v>
      </c>
      <c r="AE133" s="103" t="str">
        <f t="shared" si="34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133" s="100" t="str">
        <f t="shared" si="35"/>
        <v>"C:\Program Files (x86)\AstroGrep\AstroGrep.exe" /spath="%USERPROFILE%\AppData\Local\Temp\OnboardLogs" /stypes="*4019*20160823*" /stext=" 02:.+((SYSTEM_STATE.+slice.+state.+changed )|(ment ac)|(system.+state.+changed )|(\|lc)|(penalty)|(\[timeout)|(PRM\|1\|D)|(kpr)|(kdp))" /e /r /s</v>
      </c>
      <c r="AG133" s="1" t="str">
        <f t="shared" si="36"/>
        <v>EC</v>
      </c>
      <c r="AH133" s="104" t="str">
        <f t="shared" si="37"/>
        <v>"%USERPROFILE%\Documents\GitHub\eaglep3\Utilities\RefineRTDCRunTimes.py" --tripid 220-22 --locoid 4019 --swversion DE.1.0.7.0 --startMP 204:233013 --initTime 2016-08-22T19:18:04 --startdatetime 2016-08-22T19:19:20 --delay 1 --endMP 204:147 --enddatetime 2016-08-22T20:06:01 --enforcementcount 0</v>
      </c>
    </row>
    <row r="134" spans="1:34" s="24" customFormat="1" x14ac:dyDescent="0.25">
      <c r="A134" s="40" t="s">
        <v>365</v>
      </c>
      <c r="B134" s="7">
        <v>4009</v>
      </c>
      <c r="C134" s="25" t="s">
        <v>114</v>
      </c>
      <c r="D134" s="25" t="s">
        <v>259</v>
      </c>
      <c r="E134" s="16">
        <v>42604.787048611113</v>
      </c>
      <c r="F134" s="16">
        <v>42604.788194444445</v>
      </c>
      <c r="G134" s="7">
        <v>1</v>
      </c>
      <c r="H134" s="16" t="s">
        <v>294</v>
      </c>
      <c r="I134" s="16">
        <v>42604.825590277775</v>
      </c>
      <c r="J134" s="7">
        <v>0</v>
      </c>
      <c r="K134" s="140" t="str">
        <f t="shared" si="24"/>
        <v>4009/4010</v>
      </c>
      <c r="L134" s="25" t="str">
        <f>VLOOKUP(A134,'Trips&amp;Operators'!$C$1:$E$10000,3,FALSE)</f>
        <v>LEVERE</v>
      </c>
      <c r="M134" s="6">
        <f t="shared" si="25"/>
        <v>3.739583332935581E-2</v>
      </c>
      <c r="N134" s="7">
        <f t="shared" si="45"/>
        <v>53.849999994272366</v>
      </c>
      <c r="O134" s="7"/>
      <c r="P134" s="7"/>
      <c r="Q134" s="26"/>
      <c r="R134" s="26"/>
      <c r="S134" s="38">
        <f t="shared" ref="S134:S165" si="47">SUM(U134:U134)/IF(AG134="EC",12,1)</f>
        <v>1</v>
      </c>
      <c r="T134" s="53" t="str">
        <f t="shared" si="26"/>
        <v>NorthBound</v>
      </c>
      <c r="U134" s="13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17:53:21-0600',mode:absolute,to:'2016-08-22 20:48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4" s="55" t="str">
        <f t="shared" si="28"/>
        <v>N</v>
      </c>
      <c r="X134" s="127">
        <f t="shared" si="46"/>
        <v>1</v>
      </c>
      <c r="Y134" s="70">
        <f t="shared" si="30"/>
        <v>4.5999999999999999E-2</v>
      </c>
      <c r="Z134" s="70">
        <f t="shared" si="42"/>
        <v>23.327200000000001</v>
      </c>
      <c r="AA134" s="70">
        <f t="shared" si="32"/>
        <v>23.281200000000002</v>
      </c>
      <c r="AB134" s="67">
        <f>VLOOKUP(A134,Enforcements!$C$7:$J$24,8,0)</f>
        <v>20338</v>
      </c>
      <c r="AC134" s="63" t="str">
        <f>VLOOKUP(A134,Enforcements!$C$7:$E$24,3,0)</f>
        <v>PERMANENT SPEED RESTRICTION</v>
      </c>
      <c r="AD134" s="64" t="str">
        <f t="shared" si="33"/>
        <v>0221-22</v>
      </c>
      <c r="AE134" s="103" t="str">
        <f t="shared" si="34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134" s="100" t="str">
        <f t="shared" si="35"/>
        <v>"C:\Program Files (x86)\AstroGrep\AstroGrep.exe" /spath="%USERPROFILE%\AppData\Local\Temp\OnboardLogs" /stypes="*4009*20160823*" /stext=" 01:.+((SYSTEM_STATE.+slice.+state.+changed )|(ment ac)|(system.+state.+changed )|(\|lc)|(penalty)|(\[timeout)|(PRM\|1\|D)|(kpr)|(kdp))" /e /r /s</v>
      </c>
      <c r="AG134" s="1" t="str">
        <f t="shared" si="36"/>
        <v>EC</v>
      </c>
      <c r="AH134" s="104" t="str">
        <f t="shared" si="37"/>
        <v>"%USERPROFILE%\Documents\GitHub\eaglep3\Utilities\RefineRTDCRunTimes.py" --tripid 221-22 --locoid 4009 --swversion DE.1.0.7.0 --startMP 204:460 --initTime 2016-08-22T18:53:21 --startdatetime 2016-08-22T18:55:00 --delay 1 --endMP 204:233272 --enddatetime 2016-08-22T19:48:51 --enforcementcount 0</v>
      </c>
    </row>
    <row r="135" spans="1:34" x14ac:dyDescent="0.25">
      <c r="A135" s="40" t="s">
        <v>368</v>
      </c>
      <c r="B135" s="7">
        <v>4010</v>
      </c>
      <c r="C135" s="25" t="s">
        <v>114</v>
      </c>
      <c r="D135" s="25" t="s">
        <v>513</v>
      </c>
      <c r="E135" s="16">
        <v>42604.827256944445</v>
      </c>
      <c r="F135" s="16">
        <v>42604.828425925924</v>
      </c>
      <c r="G135" s="7">
        <v>1</v>
      </c>
      <c r="H135" s="16" t="s">
        <v>514</v>
      </c>
      <c r="I135" s="16">
        <v>42604.859351851854</v>
      </c>
      <c r="J135" s="7">
        <v>0</v>
      </c>
      <c r="K135" s="140" t="str">
        <f t="shared" si="24"/>
        <v>4009/4010</v>
      </c>
      <c r="L135" s="25" t="str">
        <f>VLOOKUP(A135,'Trips&amp;Operators'!$C$1:$E$10000,3,FALSE)</f>
        <v>LEVERE</v>
      </c>
      <c r="M135" s="6">
        <f t="shared" si="25"/>
        <v>3.0925925930205267E-2</v>
      </c>
      <c r="N135" s="7">
        <f t="shared" si="45"/>
        <v>44.533333339495584</v>
      </c>
      <c r="O135" s="7"/>
      <c r="P135" s="7"/>
      <c r="Q135" s="26"/>
      <c r="R135" s="26"/>
      <c r="S135" s="38">
        <f t="shared" si="47"/>
        <v>1</v>
      </c>
      <c r="T135" s="53" t="str">
        <f t="shared" si="26"/>
        <v>Southbound</v>
      </c>
      <c r="U135" s="13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18:51:15-0600',mode:absolute,to:'2016-08-22 21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5" s="55" t="str">
        <f t="shared" si="28"/>
        <v>N</v>
      </c>
      <c r="X135" s="127">
        <f t="shared" si="46"/>
        <v>1</v>
      </c>
      <c r="Y135" s="70">
        <f t="shared" si="30"/>
        <v>23.296199999999999</v>
      </c>
      <c r="Z135" s="70">
        <f t="shared" si="42"/>
        <v>2.1600000000000001E-2</v>
      </c>
      <c r="AA135" s="70">
        <f t="shared" si="32"/>
        <v>23.2746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33"/>
        <v>0222-22</v>
      </c>
      <c r="AE135" s="103" t="str">
        <f t="shared" si="34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135" s="100" t="str">
        <f t="shared" si="35"/>
        <v>"C:\Program Files (x86)\AstroGrep\AstroGrep.exe" /spath="%USERPROFILE%\AppData\Local\Temp\OnboardLogs" /stypes="*4010*20160823*" /stext=" 02:.+((SYSTEM_STATE.+slice.+state.+changed )|(ment ac)|(system.+state.+changed )|(\|lc)|(penalty)|(\[timeout)|(PRM\|1\|D)|(kpr)|(kdp))" /e /r /s</v>
      </c>
      <c r="AG135" s="1" t="str">
        <f t="shared" si="36"/>
        <v>EC</v>
      </c>
      <c r="AH135" s="104" t="str">
        <f t="shared" si="37"/>
        <v>"%USERPROFILE%\Documents\GitHub\eaglep3\Utilities\RefineRTDCRunTimes.py" --tripid 222-22 --locoid 4010 --swversion DE.1.0.7.0 --startMP 204:232962 --initTime 2016-08-22T19:51:15 --startdatetime 2016-08-22T19:52:56 --delay 1 --endMP 204:216 --enddatetime 2016-08-22T20:37:28 --enforcementcount 0</v>
      </c>
    </row>
    <row r="136" spans="1:34" x14ac:dyDescent="0.25">
      <c r="A136" s="40" t="s">
        <v>515</v>
      </c>
      <c r="B136" s="7">
        <v>4027</v>
      </c>
      <c r="C136" s="25" t="s">
        <v>114</v>
      </c>
      <c r="D136" s="25" t="s">
        <v>418</v>
      </c>
      <c r="E136" s="16">
        <v>42604.807881944442</v>
      </c>
      <c r="F136" s="16">
        <v>42604.809282407405</v>
      </c>
      <c r="G136" s="7">
        <v>2</v>
      </c>
      <c r="H136" s="16" t="s">
        <v>304</v>
      </c>
      <c r="I136" s="16">
        <v>42604.837500000001</v>
      </c>
      <c r="J136" s="7">
        <v>0</v>
      </c>
      <c r="K136" s="140" t="str">
        <f t="shared" si="24"/>
        <v>4027/4028</v>
      </c>
      <c r="L136" s="25" t="str">
        <f>VLOOKUP(A136,'Trips&amp;Operators'!$C$1:$E$10000,3,FALSE)</f>
        <v>NEWELL</v>
      </c>
      <c r="M136" s="6">
        <f t="shared" si="25"/>
        <v>2.8217592596774921E-2</v>
      </c>
      <c r="N136" s="7">
        <f t="shared" si="45"/>
        <v>40.633333339355886</v>
      </c>
      <c r="O136" s="7"/>
      <c r="P136" s="7"/>
      <c r="Q136" s="26"/>
      <c r="R136" s="26"/>
      <c r="S136" s="38">
        <f t="shared" si="47"/>
        <v>1</v>
      </c>
      <c r="T136" s="53" t="str">
        <f t="shared" si="26"/>
        <v>NorthBound</v>
      </c>
      <c r="U136" s="13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18:23:21-0600',mode:absolute,to:'2016-08-22 21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6" s="55" t="str">
        <f t="shared" si="28"/>
        <v>N</v>
      </c>
      <c r="X136" s="127">
        <f t="shared" si="46"/>
        <v>1</v>
      </c>
      <c r="Y136" s="70">
        <f t="shared" si="30"/>
        <v>4.8399999999999999E-2</v>
      </c>
      <c r="Z136" s="70">
        <f t="shared" si="42"/>
        <v>23.332699999999999</v>
      </c>
      <c r="AA136" s="70">
        <f t="shared" si="32"/>
        <v>23.284299999999998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33"/>
        <v>0223-22</v>
      </c>
      <c r="AE136" s="103" t="str">
        <f t="shared" si="34"/>
        <v>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 &amp; 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</v>
      </c>
      <c r="AF136" s="100" t="str">
        <f t="shared" si="35"/>
        <v>"C:\Program Files (x86)\AstroGrep\AstroGrep.exe" /spath="%USERPROFILE%\AppData\Local\Temp\OnboardLogs" /stypes="*4027*20160823*" /stext=" 02:.+((SYSTEM_STATE.+slice.+state.+changed )|(ment ac)|(system.+state.+changed )|(\|lc)|(penalty)|(\[timeout)|(PRM\|1\|D)|(kpr)|(kdp))" /e /r /s</v>
      </c>
      <c r="AG136" s="1" t="str">
        <f t="shared" si="36"/>
        <v>EC</v>
      </c>
      <c r="AH136" s="104" t="str">
        <f t="shared" si="37"/>
        <v>"%USERPROFILE%\Documents\GitHub\eaglep3\Utilities\RefineRTDCRunTimes.py" --tripid 223-22 --locoid 4027 --swversion DE.1.0.7.0 --startMP 204:484 --initTime 2016-08-22T19:23:21 --startdatetime 2016-08-22T19:25:22 --delay 2 --endMP 204:233327 --enddatetime 2016-08-22T20:06:00 --enforcementcount 0</v>
      </c>
    </row>
    <row r="137" spans="1:34" x14ac:dyDescent="0.25">
      <c r="A137" s="40" t="s">
        <v>516</v>
      </c>
      <c r="B137" s="7">
        <v>4028</v>
      </c>
      <c r="C137" s="25" t="s">
        <v>114</v>
      </c>
      <c r="D137" s="25" t="s">
        <v>517</v>
      </c>
      <c r="E137" s="16">
        <v>42604.846377314818</v>
      </c>
      <c r="F137" s="16">
        <v>42604.847754629627</v>
      </c>
      <c r="G137" s="7">
        <v>1</v>
      </c>
      <c r="H137" s="16" t="s">
        <v>209</v>
      </c>
      <c r="I137" s="16">
        <v>42604.878263888888</v>
      </c>
      <c r="J137" s="7">
        <v>0</v>
      </c>
      <c r="K137" s="140" t="str">
        <f t="shared" si="24"/>
        <v>4027/4028</v>
      </c>
      <c r="L137" s="25" t="str">
        <f>VLOOKUP(A137,'Trips&amp;Operators'!$C$1:$E$10000,3,FALSE)</f>
        <v>NEWELL</v>
      </c>
      <c r="M137" s="6">
        <f t="shared" si="25"/>
        <v>3.050925926072523E-2</v>
      </c>
      <c r="N137" s="7">
        <f t="shared" si="45"/>
        <v>43.933333335444331</v>
      </c>
      <c r="O137" s="7"/>
      <c r="P137" s="7"/>
      <c r="Q137" s="26"/>
      <c r="R137" s="26"/>
      <c r="S137" s="38">
        <f t="shared" si="47"/>
        <v>1</v>
      </c>
      <c r="T137" s="53" t="str">
        <f t="shared" si="26"/>
        <v>Southbound</v>
      </c>
      <c r="U137" s="13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19:18:47-0600',mode:absolute,to:'2016-08-22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37" s="55" t="str">
        <f t="shared" si="28"/>
        <v>N</v>
      </c>
      <c r="X137" s="127">
        <f t="shared" si="46"/>
        <v>1</v>
      </c>
      <c r="Y137" s="70">
        <f t="shared" si="30"/>
        <v>23.300999999999998</v>
      </c>
      <c r="Z137" s="70">
        <f t="shared" si="42"/>
        <v>1.4500000000000001E-2</v>
      </c>
      <c r="AA137" s="70">
        <f t="shared" si="32"/>
        <v>23.286499999999997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33"/>
        <v>0224-22</v>
      </c>
      <c r="AE137" s="103" t="str">
        <f t="shared" si="34"/>
        <v>aws s3 cp s3://rtdc.mdm.uploadarchive/RTDC4028/2016-08-22/ "%USERPROFILE%\AppData\Local\Temp\OnboardLogs"\RTDC4028\2016-08-22 --recursive &amp; "%USERPROFILE%\Documents\GitHub\mrs-test-scripts\Headless Mode &amp; Sideloading\WalkAndUnGZ.bat" "%USERPROFILE%\AppData\Local\Temp\OnboardLogs"\RTDC4028\2016-08-22 &amp; 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</v>
      </c>
      <c r="AF137" s="100" t="str">
        <f t="shared" si="35"/>
        <v>"C:\Program Files (x86)\AstroGrep\AstroGrep.exe" /spath="%USERPROFILE%\AppData\Local\Temp\OnboardLogs" /stypes="*4028*20160823*" /stext=" 03:.+((SYSTEM_STATE.+slice.+state.+changed )|(ment ac)|(system.+state.+changed )|(\|lc)|(penalty)|(\[timeout)|(PRM\|1\|D)|(kpr)|(kdp))" /e /r /s</v>
      </c>
      <c r="AG137" s="1" t="str">
        <f t="shared" si="36"/>
        <v>EC</v>
      </c>
      <c r="AH137" s="104" t="str">
        <f t="shared" si="37"/>
        <v>"%USERPROFILE%\Documents\GitHub\eaglep3\Utilities\RefineRTDCRunTimes.py" --tripid 224-22 --locoid 4028 --swversion DE.1.0.7.0 --startMP 204:233010 --initTime 2016-08-22T20:18:47 --startdatetime 2016-08-22T20:20:46 --delay 1 --endMP 204:145 --enddatetime 2016-08-22T21:04:42 --enforcementcount 0</v>
      </c>
    </row>
    <row r="138" spans="1:34" x14ac:dyDescent="0.25">
      <c r="A138" s="40" t="s">
        <v>518</v>
      </c>
      <c r="B138" s="7">
        <v>4018</v>
      </c>
      <c r="C138" s="25" t="s">
        <v>114</v>
      </c>
      <c r="D138" s="25" t="s">
        <v>421</v>
      </c>
      <c r="E138" s="16">
        <v>42604.834502314814</v>
      </c>
      <c r="F138" s="16">
        <v>42604.835486111115</v>
      </c>
      <c r="G138" s="7">
        <v>1</v>
      </c>
      <c r="H138" s="16" t="s">
        <v>285</v>
      </c>
      <c r="I138" s="16">
        <v>42604.865659722222</v>
      </c>
      <c r="J138" s="7">
        <v>0</v>
      </c>
      <c r="K138" s="140" t="str">
        <f t="shared" si="24"/>
        <v>4017/4018</v>
      </c>
      <c r="L138" s="25" t="str">
        <f>VLOOKUP(A138,'Trips&amp;Operators'!$C$1:$E$10000,3,FALSE)</f>
        <v>CHANDLER</v>
      </c>
      <c r="M138" s="6">
        <f t="shared" si="25"/>
        <v>3.0173611106874887E-2</v>
      </c>
      <c r="N138" s="7">
        <f t="shared" si="45"/>
        <v>43.449999993899837</v>
      </c>
      <c r="O138" s="7"/>
      <c r="P138" s="7"/>
      <c r="Q138" s="26"/>
      <c r="R138" s="26"/>
      <c r="S138" s="38">
        <f t="shared" si="47"/>
        <v>1</v>
      </c>
      <c r="T138" s="53" t="str">
        <f t="shared" si="26"/>
        <v>NorthBound</v>
      </c>
      <c r="U138" s="13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19:01:41-0600',mode:absolute,to:'2016-08-22 21:46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8" s="55" t="str">
        <f t="shared" si="28"/>
        <v>N</v>
      </c>
      <c r="X138" s="127">
        <f t="shared" si="46"/>
        <v>1</v>
      </c>
      <c r="Y138" s="70">
        <f t="shared" si="30"/>
        <v>4.9799999999999997E-2</v>
      </c>
      <c r="Z138" s="70">
        <f t="shared" si="42"/>
        <v>23.330400000000001</v>
      </c>
      <c r="AA138" s="70">
        <f t="shared" si="32"/>
        <v>23.2806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33"/>
        <v>0225-22</v>
      </c>
      <c r="AE138" s="103" t="str">
        <f t="shared" si="34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138" s="100" t="str">
        <f t="shared" si="35"/>
        <v>"C:\Program Files (x86)\AstroGrep\AstroGrep.exe" /spath="%USERPROFILE%\AppData\Local\Temp\OnboardLogs" /stypes="*4018*20160823*" /stext=" 02:.+((SYSTEM_STATE.+slice.+state.+changed )|(ment ac)|(system.+state.+changed )|(\|lc)|(penalty)|(\[timeout)|(PRM\|1\|D)|(kpr)|(kdp))" /e /r /s</v>
      </c>
      <c r="AG138" s="1" t="str">
        <f t="shared" si="36"/>
        <v>EC</v>
      </c>
      <c r="AH138" s="104" t="str">
        <f t="shared" si="37"/>
        <v>"%USERPROFILE%\Documents\GitHub\eaglep3\Utilities\RefineRTDCRunTimes.py" --tripid 225-22 --locoid 4018 --swversion DE.1.0.7.0 --startMP 204:498 --initTime 2016-08-22T20:01:41 --startdatetime 2016-08-22T20:03:06 --delay 1 --endMP 204:233304 --enddatetime 2016-08-22T20:46:33 --enforcementcount 0</v>
      </c>
    </row>
    <row r="139" spans="1:34" x14ac:dyDescent="0.25">
      <c r="A139" s="40" t="s">
        <v>370</v>
      </c>
      <c r="B139" s="7">
        <v>4017</v>
      </c>
      <c r="C139" s="25" t="s">
        <v>114</v>
      </c>
      <c r="D139" s="25" t="s">
        <v>519</v>
      </c>
      <c r="E139" s="16">
        <v>42604.872048611112</v>
      </c>
      <c r="F139" s="16">
        <v>42604.873090277775</v>
      </c>
      <c r="G139" s="7">
        <v>1</v>
      </c>
      <c r="H139" s="16" t="s">
        <v>396</v>
      </c>
      <c r="I139" s="16">
        <v>42604.901724537034</v>
      </c>
      <c r="J139" s="7">
        <v>0</v>
      </c>
      <c r="K139" s="140" t="str">
        <f t="shared" si="24"/>
        <v>4017/4018</v>
      </c>
      <c r="L139" s="25" t="str">
        <f>VLOOKUP(A139,'Trips&amp;Operators'!$C$1:$E$10000,3,FALSE)</f>
        <v>CHANDLER</v>
      </c>
      <c r="M139" s="6">
        <f t="shared" si="25"/>
        <v>2.8634259258979E-2</v>
      </c>
      <c r="N139" s="7">
        <f t="shared" si="45"/>
        <v>41.23333333292976</v>
      </c>
      <c r="O139" s="7"/>
      <c r="P139" s="7"/>
      <c r="Q139" s="26"/>
      <c r="R139" s="26"/>
      <c r="S139" s="38">
        <f t="shared" si="47"/>
        <v>1</v>
      </c>
      <c r="T139" s="53" t="str">
        <f t="shared" si="26"/>
        <v>Southbound</v>
      </c>
      <c r="U139" s="13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19:55:45-0600',mode:absolute,to:'2016-08-22 22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9" s="55" t="str">
        <f t="shared" si="28"/>
        <v>N</v>
      </c>
      <c r="X139" s="127">
        <f t="shared" si="46"/>
        <v>1</v>
      </c>
      <c r="Y139" s="70">
        <f t="shared" si="30"/>
        <v>23.258299999999998</v>
      </c>
      <c r="Z139" s="70">
        <f t="shared" si="42"/>
        <v>1.6299999999999999E-2</v>
      </c>
      <c r="AA139" s="70">
        <f t="shared" si="32"/>
        <v>23.241999999999997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33"/>
        <v>0226-22</v>
      </c>
      <c r="AE139" s="103" t="str">
        <f t="shared" si="34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139" s="100" t="str">
        <f t="shared" si="35"/>
        <v>"C:\Program Files (x86)\AstroGrep\AstroGrep.exe" /spath="%USERPROFILE%\AppData\Local\Temp\OnboardLogs" /stypes="*4017*20160823*" /stext=" 03:.+((SYSTEM_STATE.+slice.+state.+changed )|(ment ac)|(system.+state.+changed )|(\|lc)|(penalty)|(\[timeout)|(PRM\|1\|D)|(kpr)|(kdp))" /e /r /s</v>
      </c>
      <c r="AG139" s="1" t="str">
        <f t="shared" si="36"/>
        <v>EC</v>
      </c>
      <c r="AH139" s="104" t="str">
        <f t="shared" si="37"/>
        <v>"%USERPROFILE%\Documents\GitHub\eaglep3\Utilities\RefineRTDCRunTimes.py" --tripid 226-22 --locoid 4017 --swversion DE.1.0.7.0 --startMP 204:232583 --initTime 2016-08-22T20:55:45 --startdatetime 2016-08-22T20:57:15 --delay 1 --endMP 204:163 --enddatetime 2016-08-22T21:38:29 --enforcementcount 0</v>
      </c>
    </row>
    <row r="140" spans="1:34" s="24" customFormat="1" x14ac:dyDescent="0.25">
      <c r="A140" s="40" t="s">
        <v>520</v>
      </c>
      <c r="B140" s="7">
        <v>4020</v>
      </c>
      <c r="C140" s="25" t="s">
        <v>114</v>
      </c>
      <c r="D140" s="25" t="s">
        <v>159</v>
      </c>
      <c r="E140" s="16">
        <v>42604.84814814815</v>
      </c>
      <c r="F140" s="16">
        <v>42604.849143518521</v>
      </c>
      <c r="G140" s="7">
        <v>1</v>
      </c>
      <c r="H140" s="16" t="s">
        <v>219</v>
      </c>
      <c r="I140" s="16">
        <v>42604.880069444444</v>
      </c>
      <c r="J140" s="7">
        <v>0</v>
      </c>
      <c r="K140" s="140" t="str">
        <f t="shared" si="24"/>
        <v>4019/4020</v>
      </c>
      <c r="L140" s="25" t="str">
        <f>VLOOKUP(A140,'Trips&amp;Operators'!$C$1:$E$10000,3,FALSE)</f>
        <v>OUN</v>
      </c>
      <c r="M140" s="6">
        <f t="shared" si="25"/>
        <v>3.0925925922929309E-2</v>
      </c>
      <c r="N140" s="7">
        <f t="shared" si="45"/>
        <v>44.533333329018205</v>
      </c>
      <c r="O140" s="7"/>
      <c r="P140" s="7"/>
      <c r="Q140" s="26"/>
      <c r="R140" s="26"/>
      <c r="S140" s="38">
        <f t="shared" si="47"/>
        <v>1</v>
      </c>
      <c r="T140" s="53" t="str">
        <f t="shared" si="26"/>
        <v>NorthBound</v>
      </c>
      <c r="U140" s="13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0" t="str">
        <f t="shared" si="27"/>
        <v>https://search-rtdc-monitor-bjffxe2xuh6vdkpspy63sjmuny.us-east-1.es.amazonaws.com/_plugin/kibana/#/discover/Steve-Slow-Train-Analysis-(2080s-and-2083s)?_g=(refreshInterval:(display:Off,section:0,value:0),time:(from:'2016-08-22 19:21:20-0600',mode:absolute,to:'2016-08-22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0" s="55" t="str">
        <f t="shared" si="28"/>
        <v>N</v>
      </c>
      <c r="X140" s="127">
        <f t="shared" si="46"/>
        <v>1</v>
      </c>
      <c r="Y140" s="70">
        <f t="shared" si="30"/>
        <v>4.5100000000000001E-2</v>
      </c>
      <c r="Z140" s="70">
        <f t="shared" si="42"/>
        <v>23.3293</v>
      </c>
      <c r="AA140" s="70">
        <f t="shared" si="32"/>
        <v>23.284199999999998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33"/>
        <v>0227-22</v>
      </c>
      <c r="AE140" s="103" t="str">
        <f t="shared" si="34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40" s="100" t="str">
        <f t="shared" si="35"/>
        <v>"C:\Program Files (x86)\AstroGrep\AstroGrep.exe" /spath="%USERPROFILE%\AppData\Local\Temp\OnboardLogs" /stypes="*4020*20160823*" /stext=" 03:.+((SYSTEM_STATE.+slice.+state.+changed )|(ment ac)|(system.+state.+changed )|(\|lc)|(penalty)|(\[timeout)|(PRM\|1\|D)|(kpr)|(kdp))" /e /r /s</v>
      </c>
      <c r="AG140" s="1" t="str">
        <f t="shared" si="36"/>
        <v>EC</v>
      </c>
      <c r="AH140" s="104" t="str">
        <f t="shared" si="37"/>
        <v>"%USERPROFILE%\Documents\GitHub\eaglep3\Utilities\RefineRTDCRunTimes.py" --tripid 227-22 --locoid 4020 --swversion DE.1.0.7.0 --startMP 204:451 --initTime 2016-08-22T20:21:20 --startdatetime 2016-08-22T20:22:46 --delay 1 --endMP 204:233293 --enddatetime 2016-08-22T21:07:18 --enforcementcount 0</v>
      </c>
    </row>
    <row r="141" spans="1:34" x14ac:dyDescent="0.25">
      <c r="A141" s="40" t="s">
        <v>521</v>
      </c>
      <c r="B141" s="7">
        <v>4019</v>
      </c>
      <c r="C141" s="25" t="s">
        <v>114</v>
      </c>
      <c r="D141" s="25" t="s">
        <v>513</v>
      </c>
      <c r="E141" s="16">
        <v>42604.890023148146</v>
      </c>
      <c r="F141" s="16">
        <v>42604.890844907408</v>
      </c>
      <c r="G141" s="7">
        <v>1</v>
      </c>
      <c r="H141" s="16" t="s">
        <v>209</v>
      </c>
      <c r="I141" s="16">
        <v>42604.922858796293</v>
      </c>
      <c r="J141" s="7">
        <v>0</v>
      </c>
      <c r="K141" s="140" t="str">
        <f t="shared" ref="K141:K204" si="48">IF(ISEVEN(B141),(B141-1)&amp;"/"&amp;B141,B141&amp;"/"&amp;(B141+1))</f>
        <v>4019/4020</v>
      </c>
      <c r="L141" s="25" t="str">
        <f>VLOOKUP(A141,'Trips&amp;Operators'!$C$1:$E$10000,3,FALSE)</f>
        <v>OUN</v>
      </c>
      <c r="M141" s="6">
        <f t="shared" ref="M141:M204" si="49">I141-F141</f>
        <v>3.2013888885558117E-2</v>
      </c>
      <c r="N141" s="7">
        <f t="shared" si="45"/>
        <v>46.099999995203689</v>
      </c>
      <c r="O141" s="7"/>
      <c r="P141" s="7"/>
      <c r="Q141" s="26"/>
      <c r="R141" s="26"/>
      <c r="S141" s="38">
        <f t="shared" si="47"/>
        <v>1</v>
      </c>
      <c r="T141" s="53" t="str">
        <f t="shared" ref="T141:T204" si="50">IF(ISEVEN(LEFT(AD141,4)),"Southbound","NorthBound")</f>
        <v>Southbound</v>
      </c>
      <c r="U141" s="13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0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https://search-rtdc-monitor-bjffxe2xuh6vdkpspy63sjmuny.us-east-1.es.amazonaws.com/_plugin/kibana/#/discover/Steve-Slow-Train-Analysis-(2080s-and-2083s)?_g=(refreshInterval:(display:Off,section:0,value:0),time:(from:'2016-08-22 20:21:38-0600',mode:absolute,to:'2016-08-22 23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1" s="55" t="str">
        <f t="shared" ref="W141:W204" si="52">IF(AA141&lt;IF(AG141="EC",23,5.65),"Y","N")</f>
        <v>N</v>
      </c>
      <c r="X141" s="127">
        <f t="shared" si="46"/>
        <v>1</v>
      </c>
      <c r="Y141" s="70">
        <f t="shared" ref="Y141:Y204" si="53">RIGHT(D141,LEN(D141)-4)/10000</f>
        <v>23.296199999999999</v>
      </c>
      <c r="Z141" s="70">
        <f t="shared" ref="Z141:Z156" si="54">RIGHT(H141,LEN(H141)-4)/10000</f>
        <v>1.4500000000000001E-2</v>
      </c>
      <c r="AA141" s="70">
        <f t="shared" ref="AA141:AA204" si="55">ABS(Z141-Y141)</f>
        <v>23.281699999999997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ref="AD141:AD204" si="56">IF(LEN(A141)=6,"0"&amp;A141,A141)</f>
        <v>0228-22</v>
      </c>
      <c r="AE141" s="103" t="str">
        <f t="shared" ref="AE141:AE204" si="5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141" s="100" t="str">
        <f t="shared" ref="AF141:AF204" si="58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/stypes="*4019*20160823*" /stext=" 04:.+((SYSTEM_STATE.+slice.+state.+changed )|(ment ac)|(system.+state.+changed )|(\|lc)|(penalty)|(\[timeout)|(PRM\|1\|D)|(kpr)|(kdp))"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104" t="str">
        <f t="shared" ref="AH141:AH204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</f>
        <v>"%USERPROFILE%\Documents\GitHub\eaglep3\Utilities\RefineRTDCRunTimes.py" --tripid 228-22 --locoid 4019 --swversion DE.1.0.7.0 --startMP 204:232962 --initTime 2016-08-22T21:21:38 --startdatetime 2016-08-22T21:22:49 --delay 1 --endMP 204:145 --enddatetime 2016-08-22T22:08:55 --enforcementcount 0</v>
      </c>
    </row>
    <row r="142" spans="1:34" x14ac:dyDescent="0.25">
      <c r="A142" s="40" t="s">
        <v>522</v>
      </c>
      <c r="B142" s="7">
        <v>4009</v>
      </c>
      <c r="C142" s="25" t="s">
        <v>114</v>
      </c>
      <c r="D142" s="25" t="s">
        <v>523</v>
      </c>
      <c r="E142" s="16">
        <v>42604.871342592596</v>
      </c>
      <c r="F142" s="16">
        <v>42604.872349537036</v>
      </c>
      <c r="G142" s="7">
        <v>1</v>
      </c>
      <c r="H142" s="16" t="s">
        <v>229</v>
      </c>
      <c r="I142" s="16">
        <v>42604.902962962966</v>
      </c>
      <c r="J142" s="7">
        <v>0</v>
      </c>
      <c r="K142" s="140" t="str">
        <f t="shared" si="48"/>
        <v>4009/4010</v>
      </c>
      <c r="L142" s="25" t="str">
        <f>VLOOKUP(A142,'Trips&amp;Operators'!$C$1:$E$10000,3,FALSE)</f>
        <v>LEVERE</v>
      </c>
      <c r="M142" s="6">
        <f t="shared" si="49"/>
        <v>3.0613425929914229E-2</v>
      </c>
      <c r="N142" s="7">
        <f t="shared" si="45"/>
        <v>44.083333339076489</v>
      </c>
      <c r="O142" s="7"/>
      <c r="P142" s="7"/>
      <c r="Q142" s="26"/>
      <c r="R142" s="26"/>
      <c r="S142" s="38">
        <f t="shared" si="47"/>
        <v>1</v>
      </c>
      <c r="T142" s="53" t="str">
        <f t="shared" si="50"/>
        <v>NorthBound</v>
      </c>
      <c r="U142" s="13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19:54:44-0600',mode:absolute,to:'2016-08-22 22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2" s="55" t="str">
        <f t="shared" si="52"/>
        <v>N</v>
      </c>
      <c r="X142" s="127">
        <f t="shared" si="46"/>
        <v>1</v>
      </c>
      <c r="Y142" s="70">
        <f t="shared" si="53"/>
        <v>5.1900000000000002E-2</v>
      </c>
      <c r="Z142" s="70">
        <f t="shared" si="54"/>
        <v>23.329799999999999</v>
      </c>
      <c r="AA142" s="70">
        <f t="shared" si="55"/>
        <v>23.277899999999999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56"/>
        <v>0229-22</v>
      </c>
      <c r="AE142" s="103" t="str">
        <f t="shared" si="57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142" s="100" t="str">
        <f t="shared" si="58"/>
        <v>"C:\Program Files (x86)\AstroGrep\AstroGrep.exe" /spath="%USERPROFILE%\AppData\Local\Temp\OnboardLogs" /stypes="*4009*20160823*" /stext=" 03:.+((SYSTEM_STATE.+slice.+state.+changed )|(ment ac)|(system.+state.+changed )|(\|lc)|(penalty)|(\[timeout)|(PRM\|1\|D)|(kpr)|(kdp))" /e /r /s</v>
      </c>
      <c r="AG142" s="1" t="str">
        <f t="shared" si="59"/>
        <v>EC</v>
      </c>
      <c r="AH142" s="104" t="str">
        <f t="shared" si="60"/>
        <v>"%USERPROFILE%\Documents\GitHub\eaglep3\Utilities\RefineRTDCRunTimes.py" --tripid 229-22 --locoid 4009 --swversion DE.1.0.7.0 --startMP 204:519 --initTime 2016-08-22T20:54:44 --startdatetime 2016-08-22T20:56:11 --delay 1 --endMP 204:233298 --enddatetime 2016-08-22T21:40:16 --enforcementcount 0</v>
      </c>
    </row>
    <row r="143" spans="1:34" x14ac:dyDescent="0.25">
      <c r="A143" s="40" t="s">
        <v>524</v>
      </c>
      <c r="B143" s="7">
        <v>4010</v>
      </c>
      <c r="C143" s="25" t="s">
        <v>114</v>
      </c>
      <c r="D143" s="25" t="s">
        <v>263</v>
      </c>
      <c r="E143" s="16">
        <v>42604.910185185188</v>
      </c>
      <c r="F143" s="16">
        <v>42604.911168981482</v>
      </c>
      <c r="G143" s="7">
        <v>1</v>
      </c>
      <c r="H143" s="16" t="s">
        <v>509</v>
      </c>
      <c r="I143" s="16">
        <v>42604.942187499997</v>
      </c>
      <c r="J143" s="7">
        <v>0</v>
      </c>
      <c r="K143" s="140" t="str">
        <f t="shared" si="48"/>
        <v>4009/4010</v>
      </c>
      <c r="L143" s="25" t="str">
        <f>VLOOKUP(A143,'Trips&amp;Operators'!$C$1:$E$10000,3,FALSE)</f>
        <v>LEVERE</v>
      </c>
      <c r="M143" s="6">
        <f t="shared" si="49"/>
        <v>3.1018518515338656E-2</v>
      </c>
      <c r="N143" s="7">
        <f t="shared" si="45"/>
        <v>44.666666662087664</v>
      </c>
      <c r="O143" s="7"/>
      <c r="P143" s="7"/>
      <c r="Q143" s="26"/>
      <c r="R143" s="26"/>
      <c r="S143" s="38">
        <f t="shared" si="47"/>
        <v>1</v>
      </c>
      <c r="T143" s="53" t="str">
        <f t="shared" si="50"/>
        <v>Southbound</v>
      </c>
      <c r="U143" s="13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20:50:40-0600',mode:absolute,to:'2016-08-22 23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3" s="55" t="str">
        <f t="shared" si="52"/>
        <v>N</v>
      </c>
      <c r="X143" s="127">
        <f t="shared" si="46"/>
        <v>1</v>
      </c>
      <c r="Y143" s="70">
        <f t="shared" si="53"/>
        <v>23.298300000000001</v>
      </c>
      <c r="Z143" s="70">
        <f t="shared" si="54"/>
        <v>1.9199999999999998E-2</v>
      </c>
      <c r="AA143" s="70">
        <f t="shared" si="55"/>
        <v>23.2791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56"/>
        <v>0230-22</v>
      </c>
      <c r="AE143" s="103" t="str">
        <f t="shared" si="57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143" s="100" t="str">
        <f t="shared" si="58"/>
        <v>"C:\Program Files (x86)\AstroGrep\AstroGrep.exe" /spath="%USERPROFILE%\AppData\Local\Temp\OnboardLogs" /stypes="*4010*20160823*" /stext=" 04:.+((SYSTEM_STATE.+slice.+state.+changed )|(ment ac)|(system.+state.+changed )|(\|lc)|(penalty)|(\[timeout)|(PRM\|1\|D)|(kpr)|(kdp))" /e /r /s</v>
      </c>
      <c r="AG143" s="1" t="str">
        <f t="shared" si="59"/>
        <v>EC</v>
      </c>
      <c r="AH143" s="104" t="str">
        <f t="shared" si="60"/>
        <v>"%USERPROFILE%\Documents\GitHub\eaglep3\Utilities\RefineRTDCRunTimes.py" --tripid 230-22 --locoid 4010 --swversion DE.1.0.7.0 --startMP 204:232983 --initTime 2016-08-22T21:50:40 --startdatetime 2016-08-22T21:52:05 --delay 1 --endMP 204:192 --enddatetime 2016-08-22T22:36:45 --enforcementcount 0</v>
      </c>
    </row>
    <row r="144" spans="1:34" x14ac:dyDescent="0.25">
      <c r="A144" s="40" t="s">
        <v>525</v>
      </c>
      <c r="B144" s="7">
        <v>4027</v>
      </c>
      <c r="C144" s="25" t="s">
        <v>114</v>
      </c>
      <c r="D144" s="25" t="s">
        <v>210</v>
      </c>
      <c r="E144" s="16">
        <v>42604.879745370374</v>
      </c>
      <c r="F144" s="16">
        <v>42604.89135416667</v>
      </c>
      <c r="G144" s="7">
        <v>16</v>
      </c>
      <c r="H144" s="16" t="s">
        <v>221</v>
      </c>
      <c r="I144" s="16">
        <v>42604.921631944446</v>
      </c>
      <c r="J144" s="7">
        <v>0</v>
      </c>
      <c r="K144" s="140" t="str">
        <f t="shared" si="48"/>
        <v>4027/4028</v>
      </c>
      <c r="L144" s="25" t="str">
        <f>VLOOKUP(A144,'Trips&amp;Operators'!$C$1:$E$10000,3,FALSE)</f>
        <v>NEWELL</v>
      </c>
      <c r="M144" s="6">
        <f t="shared" si="49"/>
        <v>3.0277777776063886E-2</v>
      </c>
      <c r="N144" s="7">
        <f t="shared" si="45"/>
        <v>43.599999997531995</v>
      </c>
      <c r="O144" s="7"/>
      <c r="P144" s="7"/>
      <c r="Q144" s="26"/>
      <c r="R144" s="26"/>
      <c r="S144" s="38">
        <f t="shared" si="47"/>
        <v>1</v>
      </c>
      <c r="T144" s="53" t="str">
        <f t="shared" si="50"/>
        <v>NorthBound</v>
      </c>
      <c r="U144" s="13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20:06:50-0600',mode:absolute,to:'2016-08-22 23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44" s="55" t="str">
        <f t="shared" si="52"/>
        <v>N</v>
      </c>
      <c r="X144" s="127">
        <f t="shared" si="46"/>
        <v>1</v>
      </c>
      <c r="Y144" s="70">
        <f t="shared" si="53"/>
        <v>4.4699999999999997E-2</v>
      </c>
      <c r="Z144" s="70">
        <f t="shared" si="54"/>
        <v>23.3323</v>
      </c>
      <c r="AA144" s="70">
        <f t="shared" si="55"/>
        <v>23.287600000000001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56"/>
        <v>0231-22</v>
      </c>
      <c r="AE144" s="103" t="str">
        <f t="shared" si="57"/>
        <v>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 &amp; 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</v>
      </c>
      <c r="AF144" s="100" t="str">
        <f t="shared" si="58"/>
        <v>"C:\Program Files (x86)\AstroGrep\AstroGrep.exe" /spath="%USERPROFILE%\AppData\Local\Temp\OnboardLogs" /stypes="*4027*20160823*" /stext=" 04:.+((SYSTEM_STATE.+slice.+state.+changed )|(ment ac)|(system.+state.+changed )|(\|lc)|(penalty)|(\[timeout)|(PRM\|1\|D)|(kpr)|(kdp))" /e /r /s</v>
      </c>
      <c r="AG144" s="1" t="str">
        <f t="shared" si="59"/>
        <v>EC</v>
      </c>
      <c r="AH144" s="104" t="str">
        <f t="shared" si="60"/>
        <v>"%USERPROFILE%\Documents\GitHub\eaglep3\Utilities\RefineRTDCRunTimes.py" --tripid 231-22 --locoid 4027 --swversion DE.1.0.7.0 --startMP 204:447 --initTime 2016-08-22T21:06:50 --startdatetime 2016-08-22T21:23:33 --delay 16 --endMP 204:233323 --enddatetime 2016-08-22T22:07:09 --enforcementcount 0</v>
      </c>
    </row>
    <row r="145" spans="1:34" x14ac:dyDescent="0.25">
      <c r="A145" s="40" t="s">
        <v>526</v>
      </c>
      <c r="B145" s="7">
        <v>4028</v>
      </c>
      <c r="C145" s="25" t="s">
        <v>114</v>
      </c>
      <c r="D145" s="25" t="s">
        <v>527</v>
      </c>
      <c r="E145" s="16">
        <v>42604.923113425924</v>
      </c>
      <c r="F145" s="16">
        <v>42604.923888888887</v>
      </c>
      <c r="G145" s="7">
        <v>1</v>
      </c>
      <c r="H145" s="16" t="s">
        <v>133</v>
      </c>
      <c r="I145" s="16">
        <v>42604.962592592594</v>
      </c>
      <c r="J145" s="7">
        <v>0</v>
      </c>
      <c r="K145" s="140" t="str">
        <f t="shared" si="48"/>
        <v>4027/4028</v>
      </c>
      <c r="L145" s="25" t="str">
        <f>VLOOKUP(A145,'Trips&amp;Operators'!$C$1:$E$10000,3,FALSE)</f>
        <v>NEWELL</v>
      </c>
      <c r="M145" s="6">
        <f t="shared" si="49"/>
        <v>3.8703703707142267E-2</v>
      </c>
      <c r="N145" s="7">
        <f t="shared" si="45"/>
        <v>55.733333338284865</v>
      </c>
      <c r="O145" s="7"/>
      <c r="P145" s="7"/>
      <c r="Q145" s="26"/>
      <c r="R145" s="26"/>
      <c r="S145" s="38">
        <f t="shared" si="47"/>
        <v>1</v>
      </c>
      <c r="T145" s="53" t="str">
        <f t="shared" si="50"/>
        <v>Southbound</v>
      </c>
      <c r="U145" s="13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21:09:17-0600',mode:absolute,to:'2016-08-23 00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5" s="55" t="str">
        <f t="shared" si="52"/>
        <v>N</v>
      </c>
      <c r="X145" s="127">
        <f t="shared" si="46"/>
        <v>1</v>
      </c>
      <c r="Y145" s="70">
        <f t="shared" si="53"/>
        <v>23.3017</v>
      </c>
      <c r="Z145" s="70">
        <f t="shared" si="54"/>
        <v>1.47E-2</v>
      </c>
      <c r="AA145" s="70">
        <f t="shared" si="55"/>
        <v>23.286999999999999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56"/>
        <v>0232-22</v>
      </c>
      <c r="AE145" s="103" t="str">
        <f t="shared" si="57"/>
        <v>aws s3 cp s3://rtdc.mdm.uploadarchive/RTDC4028/2016-08-22/ "%USERPROFILE%\AppData\Local\Temp\OnboardLogs"\RTDC4028\2016-08-22 --recursive &amp; "%USERPROFILE%\Documents\GitHub\mrs-test-scripts\Headless Mode &amp; Sideloading\WalkAndUnGZ.bat" "%USERPROFILE%\AppData\Local\Temp\OnboardLogs"\RTDC4028\2016-08-22 &amp; 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</v>
      </c>
      <c r="AF145" s="100" t="str">
        <f t="shared" si="58"/>
        <v>"C:\Program Files (x86)\AstroGrep\AstroGrep.exe" /spath="%USERPROFILE%\AppData\Local\Temp\OnboardLogs" /stypes="*4028*20160823*" /stext=" 05:.+((SYSTEM_STATE.+slice.+state.+changed )|(ment ac)|(system.+state.+changed )|(\|lc)|(penalty)|(\[timeout)|(PRM\|1\|D)|(kpr)|(kdp))" /e /r /s</v>
      </c>
      <c r="AG145" s="1" t="str">
        <f t="shared" si="59"/>
        <v>EC</v>
      </c>
      <c r="AH145" s="104" t="str">
        <f t="shared" si="60"/>
        <v>"%USERPROFILE%\Documents\GitHub\eaglep3\Utilities\RefineRTDCRunTimes.py" --tripid 232-22 --locoid 4028 --swversion DE.1.0.7.0 --startMP 204:233017 --initTime 2016-08-22T22:09:17 --startdatetime 2016-08-22T22:10:24 --delay 1 --endMP 204:147 --enddatetime 2016-08-22T23:06:08 --enforcementcount 0</v>
      </c>
    </row>
    <row r="146" spans="1:34" x14ac:dyDescent="0.25">
      <c r="A146" s="40" t="s">
        <v>528</v>
      </c>
      <c r="B146" s="7">
        <v>4018</v>
      </c>
      <c r="C146" s="25" t="s">
        <v>114</v>
      </c>
      <c r="D146" s="25" t="s">
        <v>208</v>
      </c>
      <c r="E146" s="16">
        <v>42604.914537037039</v>
      </c>
      <c r="F146" s="16">
        <v>42604.915613425925</v>
      </c>
      <c r="G146" s="7">
        <v>1</v>
      </c>
      <c r="H146" s="16" t="s">
        <v>529</v>
      </c>
      <c r="I146" s="16">
        <v>42604.943136574075</v>
      </c>
      <c r="J146" s="7">
        <v>0</v>
      </c>
      <c r="K146" s="140" t="str">
        <f t="shared" si="48"/>
        <v>4017/4018</v>
      </c>
      <c r="L146" s="25" t="str">
        <f>VLOOKUP(A146,'Trips&amp;Operators'!$C$1:$E$10000,3,FALSE)</f>
        <v>CHANDLER</v>
      </c>
      <c r="M146" s="6">
        <f t="shared" si="49"/>
        <v>2.7523148150066845E-2</v>
      </c>
      <c r="N146" s="7">
        <f t="shared" ref="N146:N177" si="61">24*60*SUM($M146:$M146)</f>
        <v>39.633333336096257</v>
      </c>
      <c r="O146" s="7"/>
      <c r="P146" s="7"/>
      <c r="Q146" s="26"/>
      <c r="R146" s="26"/>
      <c r="S146" s="38">
        <f t="shared" si="47"/>
        <v>1</v>
      </c>
      <c r="T146" s="53" t="str">
        <f t="shared" si="50"/>
        <v>NorthBound</v>
      </c>
      <c r="U146" s="13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20:56:56-0600',mode:absolute,to:'2016-08-22 23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6" s="55" t="str">
        <f t="shared" si="52"/>
        <v>N</v>
      </c>
      <c r="X146" s="127">
        <f t="shared" si="46"/>
        <v>1</v>
      </c>
      <c r="Y146" s="70">
        <f t="shared" si="53"/>
        <v>4.4400000000000002E-2</v>
      </c>
      <c r="Z146" s="70">
        <f t="shared" si="54"/>
        <v>23.324300000000001</v>
      </c>
      <c r="AA146" s="70">
        <f t="shared" si="55"/>
        <v>23.279900000000001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56"/>
        <v>0233-22</v>
      </c>
      <c r="AE146" s="103" t="str">
        <f t="shared" si="57"/>
        <v>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 &amp; 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</v>
      </c>
      <c r="AF146" s="100" t="str">
        <f t="shared" si="58"/>
        <v>"C:\Program Files (x86)\AstroGrep\AstroGrep.exe" /spath="%USERPROFILE%\AppData\Local\Temp\OnboardLogs" /stypes="*4018*20160823*" /stext=" 04:.+((SYSTEM_STATE.+slice.+state.+changed )|(ment ac)|(system.+state.+changed )|(\|lc)|(penalty)|(\[timeout)|(PRM\|1\|D)|(kpr)|(kdp))" /e /r /s</v>
      </c>
      <c r="AG146" s="1" t="str">
        <f t="shared" si="59"/>
        <v>EC</v>
      </c>
      <c r="AH146" s="104" t="str">
        <f t="shared" si="60"/>
        <v>"%USERPROFILE%\Documents\GitHub\eaglep3\Utilities\RefineRTDCRunTimes.py" --tripid 233-22 --locoid 4018 --swversion DE.1.0.7.0 --startMP 204:444 --initTime 2016-08-22T21:56:56 --startdatetime 2016-08-22T21:58:29 --delay 1 --endMP 204:233243 --enddatetime 2016-08-22T22:38:07 --enforcementcount 0</v>
      </c>
    </row>
    <row r="147" spans="1:34" x14ac:dyDescent="0.25">
      <c r="A147" s="40" t="s">
        <v>530</v>
      </c>
      <c r="B147" s="7">
        <v>4017</v>
      </c>
      <c r="C147" s="25" t="s">
        <v>114</v>
      </c>
      <c r="D147" s="25" t="s">
        <v>391</v>
      </c>
      <c r="E147" s="16">
        <v>42604.953900462962</v>
      </c>
      <c r="F147" s="16">
        <v>42604.954768518517</v>
      </c>
      <c r="G147" s="7">
        <v>1</v>
      </c>
      <c r="H147" s="16" t="s">
        <v>218</v>
      </c>
      <c r="I147" s="16">
        <v>42604.984675925924</v>
      </c>
      <c r="J147" s="7">
        <v>0</v>
      </c>
      <c r="K147" s="140" t="str">
        <f t="shared" si="48"/>
        <v>4017/4018</v>
      </c>
      <c r="L147" s="25" t="str">
        <f>VLOOKUP(A147,'Trips&amp;Operators'!$C$1:$E$10000,3,FALSE)</f>
        <v>CHANDLER</v>
      </c>
      <c r="M147" s="6">
        <f t="shared" si="49"/>
        <v>2.9907407406426501E-2</v>
      </c>
      <c r="N147" s="7">
        <f t="shared" si="61"/>
        <v>43.066666665254161</v>
      </c>
      <c r="O147" s="7"/>
      <c r="P147" s="7"/>
      <c r="Q147" s="26"/>
      <c r="R147" s="26"/>
      <c r="S147" s="38">
        <f t="shared" si="47"/>
        <v>1</v>
      </c>
      <c r="T147" s="53" t="str">
        <f t="shared" si="50"/>
        <v>Southbound</v>
      </c>
      <c r="U147" s="13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21:53:37-0600',mode:absolute,to:'2016-08-23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7" s="55" t="str">
        <f t="shared" si="52"/>
        <v>N</v>
      </c>
      <c r="X147" s="127">
        <f t="shared" si="46"/>
        <v>1</v>
      </c>
      <c r="Y147" s="70">
        <f t="shared" si="53"/>
        <v>23.297699999999999</v>
      </c>
      <c r="Z147" s="70">
        <f t="shared" si="54"/>
        <v>1.6E-2</v>
      </c>
      <c r="AA147" s="70">
        <f t="shared" si="55"/>
        <v>23.281700000000001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56"/>
        <v>0234-22</v>
      </c>
      <c r="AE147" s="103" t="str">
        <f t="shared" si="57"/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AF147" s="100" t="str">
        <f t="shared" si="58"/>
        <v>"C:\Program Files (x86)\AstroGrep\AstroGrep.exe" /spath="%USERPROFILE%\AppData\Local\Temp\OnboardLogs" /stypes="*4017*20160823*" /stext=" 05:.+((SYSTEM_STATE.+slice.+state.+changed )|(ment ac)|(system.+state.+changed )|(\|lc)|(penalty)|(\[timeout)|(PRM\|1\|D)|(kpr)|(kdp))" /e /r /s</v>
      </c>
      <c r="AG147" s="1" t="str">
        <f t="shared" si="59"/>
        <v>EC</v>
      </c>
      <c r="AH147" s="104" t="str">
        <f t="shared" si="60"/>
        <v>"%USERPROFILE%\Documents\GitHub\eaglep3\Utilities\RefineRTDCRunTimes.py" --tripid 234-22 --locoid 4017 --swversion DE.1.0.7.0 --startMP 204:232977 --initTime 2016-08-22T22:53:37 --startdatetime 2016-08-22T22:54:52 --delay 1 --endMP 204:160 --enddatetime 2016-08-22T23:37:56 --enforcementcount 0</v>
      </c>
    </row>
    <row r="148" spans="1:34" x14ac:dyDescent="0.25">
      <c r="A148" s="40" t="s">
        <v>531</v>
      </c>
      <c r="B148" s="7">
        <v>4020</v>
      </c>
      <c r="C148" s="25" t="s">
        <v>114</v>
      </c>
      <c r="D148" s="25" t="s">
        <v>137</v>
      </c>
      <c r="E148" s="16">
        <v>42604.931134259263</v>
      </c>
      <c r="F148" s="16">
        <v>42604.932222222225</v>
      </c>
      <c r="G148" s="7">
        <v>1</v>
      </c>
      <c r="H148" s="16" t="s">
        <v>185</v>
      </c>
      <c r="I148" s="16">
        <v>42604.963229166664</v>
      </c>
      <c r="J148" s="7">
        <v>0</v>
      </c>
      <c r="K148" s="140" t="str">
        <f t="shared" si="48"/>
        <v>4019/4020</v>
      </c>
      <c r="L148" s="25" t="str">
        <f>VLOOKUP(A148,'Trips&amp;Operators'!$C$1:$E$10000,3,FALSE)</f>
        <v>OUN</v>
      </c>
      <c r="M148" s="6">
        <f t="shared" si="49"/>
        <v>3.1006944438559003E-2</v>
      </c>
      <c r="N148" s="7">
        <f t="shared" si="61"/>
        <v>44.649999991524965</v>
      </c>
      <c r="O148" s="7"/>
      <c r="P148" s="7"/>
      <c r="Q148" s="26"/>
      <c r="R148" s="26"/>
      <c r="S148" s="38">
        <f t="shared" si="47"/>
        <v>1</v>
      </c>
      <c r="T148" s="53" t="str">
        <f t="shared" si="50"/>
        <v>NorthBound</v>
      </c>
      <c r="U148" s="13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21:20:50-0600',mode:absolute,to:'2016-08-23 00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8" s="55" t="str">
        <f t="shared" si="52"/>
        <v>N</v>
      </c>
      <c r="X148" s="127">
        <f t="shared" si="46"/>
        <v>1</v>
      </c>
      <c r="Y148" s="70">
        <f t="shared" si="53"/>
        <v>4.4900000000000002E-2</v>
      </c>
      <c r="Z148" s="70">
        <f t="shared" si="54"/>
        <v>23.329499999999999</v>
      </c>
      <c r="AA148" s="70">
        <f t="shared" si="55"/>
        <v>23.284600000000001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56"/>
        <v>0235-22</v>
      </c>
      <c r="AE148" s="103" t="str">
        <f t="shared" si="57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48" s="100" t="str">
        <f t="shared" si="58"/>
        <v>"C:\Program Files (x86)\AstroGrep\AstroGrep.exe" /spath="%USERPROFILE%\AppData\Local\Temp\OnboardLogs" /stypes="*4020*20160823*" /stext=" 05:.+((SYSTEM_STATE.+slice.+state.+changed )|(ment ac)|(system.+state.+changed )|(\|lc)|(penalty)|(\[timeout)|(PRM\|1\|D)|(kpr)|(kdp))" /e /r /s</v>
      </c>
      <c r="AG148" s="1" t="str">
        <f t="shared" si="59"/>
        <v>EC</v>
      </c>
      <c r="AH148" s="104" t="str">
        <f t="shared" si="60"/>
        <v>"%USERPROFILE%\Documents\GitHub\eaglep3\Utilities\RefineRTDCRunTimes.py" --tripid 235-22 --locoid 4020 --swversion DE.1.0.7.0 --startMP 204:449 --initTime 2016-08-22T22:20:50 --startdatetime 2016-08-22T22:22:24 --delay 1 --endMP 204:233295 --enddatetime 2016-08-22T23:07:03 --enforcementcount 0</v>
      </c>
    </row>
    <row r="149" spans="1:34" x14ac:dyDescent="0.25">
      <c r="A149" s="40" t="s">
        <v>532</v>
      </c>
      <c r="B149" s="7">
        <v>4019</v>
      </c>
      <c r="C149" s="25" t="s">
        <v>114</v>
      </c>
      <c r="D149" s="25" t="s">
        <v>200</v>
      </c>
      <c r="E149" s="16">
        <v>42604.971620370372</v>
      </c>
      <c r="F149" s="16">
        <v>42604.972453703704</v>
      </c>
      <c r="G149" s="7">
        <v>1</v>
      </c>
      <c r="H149" s="16" t="s">
        <v>138</v>
      </c>
      <c r="I149" s="16">
        <v>42605.00917824074</v>
      </c>
      <c r="J149" s="7">
        <v>0</v>
      </c>
      <c r="K149" s="140" t="str">
        <f t="shared" si="48"/>
        <v>4019/4020</v>
      </c>
      <c r="L149" s="25" t="str">
        <f>VLOOKUP(A149,'Trips&amp;Operators'!$C$1:$E$10000,3,FALSE)</f>
        <v>OUN</v>
      </c>
      <c r="M149" s="6">
        <f t="shared" si="49"/>
        <v>3.6724537036207039E-2</v>
      </c>
      <c r="N149" s="7">
        <f t="shared" si="61"/>
        <v>52.883333332138136</v>
      </c>
      <c r="O149" s="7"/>
      <c r="P149" s="7"/>
      <c r="Q149" s="26"/>
      <c r="R149" s="26"/>
      <c r="S149" s="38">
        <f t="shared" si="47"/>
        <v>1</v>
      </c>
      <c r="T149" s="53" t="str">
        <f t="shared" si="50"/>
        <v>Southbound</v>
      </c>
      <c r="U149" s="13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22:19:08-0600',mode:absolute,to:'2016-08-23 01:13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9" s="55" t="str">
        <f t="shared" si="52"/>
        <v>N</v>
      </c>
      <c r="X149" s="127">
        <f t="shared" si="46"/>
        <v>1</v>
      </c>
      <c r="Y149" s="70">
        <f t="shared" si="53"/>
        <v>23.2973</v>
      </c>
      <c r="Z149" s="70">
        <f t="shared" si="54"/>
        <v>1.49E-2</v>
      </c>
      <c r="AA149" s="70">
        <f t="shared" si="55"/>
        <v>23.282399999999999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56"/>
        <v>0236-22</v>
      </c>
      <c r="AE149" s="103" t="str">
        <f t="shared" si="57"/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AF149" s="100" t="str">
        <f t="shared" si="58"/>
        <v>"C:\Program Files (x86)\AstroGrep\AstroGrep.exe" /spath="%USERPROFILE%\AppData\Local\Temp\OnboardLogs" /stypes="*4019*20160823*" /stext=" 06:.+((SYSTEM_STATE.+slice.+state.+changed )|(ment ac)|(system.+state.+changed )|(\|lc)|(penalty)|(\[timeout)|(PRM\|1\|D)|(kpr)|(kdp))" /e /r /s</v>
      </c>
      <c r="AG149" s="1" t="str">
        <f t="shared" si="59"/>
        <v>EC</v>
      </c>
      <c r="AH149" s="104" t="str">
        <f t="shared" si="60"/>
        <v>"%USERPROFILE%\Documents\GitHub\eaglep3\Utilities\RefineRTDCRunTimes.py" --tripid 236-22 --locoid 4019 --swversion DE.1.0.7.0 --startMP 204:232973 --initTime 2016-08-22T23:19:08 --startdatetime 2016-08-22T23:20:20 --delay 1 --endMP 204:149 --enddatetime 2016-08-23T00:13:13 --enforcementcount 0</v>
      </c>
    </row>
    <row r="150" spans="1:34" x14ac:dyDescent="0.25">
      <c r="A150" s="40" t="s">
        <v>533</v>
      </c>
      <c r="B150" s="7">
        <v>4009</v>
      </c>
      <c r="C150" s="25" t="s">
        <v>114</v>
      </c>
      <c r="D150" s="25" t="s">
        <v>110</v>
      </c>
      <c r="E150" s="16">
        <v>42604.95517361111</v>
      </c>
      <c r="F150" s="16">
        <v>42604.956365740742</v>
      </c>
      <c r="G150" s="7">
        <v>1</v>
      </c>
      <c r="H150" s="16" t="s">
        <v>220</v>
      </c>
      <c r="I150" s="16">
        <v>42604.987291666665</v>
      </c>
      <c r="J150" s="7">
        <v>0</v>
      </c>
      <c r="K150" s="140" t="str">
        <f t="shared" si="48"/>
        <v>4009/4010</v>
      </c>
      <c r="L150" s="25" t="str">
        <f>VLOOKUP(A150,'Trips&amp;Operators'!$C$1:$E$10000,3,FALSE)</f>
        <v>LEVERE</v>
      </c>
      <c r="M150" s="6">
        <f t="shared" si="49"/>
        <v>3.0925925922929309E-2</v>
      </c>
      <c r="N150" s="7">
        <f t="shared" si="61"/>
        <v>44.533333329018205</v>
      </c>
      <c r="O150" s="7"/>
      <c r="P150" s="7"/>
      <c r="Q150" s="26"/>
      <c r="R150" s="26"/>
      <c r="S150" s="38">
        <f t="shared" si="47"/>
        <v>1</v>
      </c>
      <c r="T150" s="53" t="str">
        <f t="shared" si="50"/>
        <v>NorthBound</v>
      </c>
      <c r="U150" s="13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21:55:27-0600',mode:absolute,to:'2016-08-23 00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0" s="55" t="str">
        <f t="shared" si="52"/>
        <v>N</v>
      </c>
      <c r="X150" s="127">
        <f t="shared" ref="X150:X181" si="62">VALUE(LEFT(AD150,4))-VALUE(LEFT(AD149,4))</f>
        <v>1</v>
      </c>
      <c r="Y150" s="70">
        <f t="shared" si="53"/>
        <v>4.6199999999999998E-2</v>
      </c>
      <c r="Z150" s="70">
        <f t="shared" si="54"/>
        <v>23.328399999999998</v>
      </c>
      <c r="AA150" s="70">
        <f t="shared" si="55"/>
        <v>23.2822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56"/>
        <v>0237-22</v>
      </c>
      <c r="AE150" s="103" t="str">
        <f t="shared" si="57"/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AF150" s="100" t="str">
        <f t="shared" si="58"/>
        <v>"C:\Program Files (x86)\AstroGrep\AstroGrep.exe" /spath="%USERPROFILE%\AppData\Local\Temp\OnboardLogs" /stypes="*4009*20160823*" /stext=" 05:.+((SYSTEM_STATE.+slice.+state.+changed )|(ment ac)|(system.+state.+changed )|(\|lc)|(penalty)|(\[timeout)|(PRM\|1\|D)|(kpr)|(kdp))" /e /r /s</v>
      </c>
      <c r="AG150" s="1" t="str">
        <f t="shared" si="59"/>
        <v>EC</v>
      </c>
      <c r="AH150" s="104" t="str">
        <f t="shared" si="60"/>
        <v>"%USERPROFILE%\Documents\GitHub\eaglep3\Utilities\RefineRTDCRunTimes.py" --tripid 237-22 --locoid 4009 --swversion DE.1.0.7.0 --startMP 204:462 --initTime 2016-08-22T22:55:27 --startdatetime 2016-08-22T22:57:10 --delay 1 --endMP 204:233284 --enddatetime 2016-08-22T23:41:42 --enforcementcount 0</v>
      </c>
    </row>
    <row r="151" spans="1:34" x14ac:dyDescent="0.25">
      <c r="A151" s="40" t="s">
        <v>534</v>
      </c>
      <c r="B151" s="7">
        <v>4010</v>
      </c>
      <c r="C151" s="25" t="s">
        <v>114</v>
      </c>
      <c r="D151" s="25" t="s">
        <v>320</v>
      </c>
      <c r="E151" s="16">
        <v>42604.995011574072</v>
      </c>
      <c r="F151" s="16">
        <v>42604.996168981481</v>
      </c>
      <c r="G151" s="7">
        <v>1</v>
      </c>
      <c r="H151" s="16" t="s">
        <v>535</v>
      </c>
      <c r="I151" s="16">
        <v>42605.034328703703</v>
      </c>
      <c r="J151" s="7">
        <v>0</v>
      </c>
      <c r="K151" s="140" t="str">
        <f t="shared" si="48"/>
        <v>4009/4010</v>
      </c>
      <c r="L151" s="25" t="str">
        <f>VLOOKUP(A151,'Trips&amp;Operators'!$C$1:$E$10000,3,FALSE)</f>
        <v>LEVERE</v>
      </c>
      <c r="M151" s="6">
        <f t="shared" si="49"/>
        <v>3.8159722222189885E-2</v>
      </c>
      <c r="N151" s="7">
        <f t="shared" si="61"/>
        <v>54.949999999953434</v>
      </c>
      <c r="O151" s="7"/>
      <c r="P151" s="7"/>
      <c r="Q151" s="26"/>
      <c r="R151" s="26"/>
      <c r="S151" s="38">
        <f t="shared" si="47"/>
        <v>1</v>
      </c>
      <c r="T151" s="53" t="str">
        <f t="shared" si="50"/>
        <v>Southbound</v>
      </c>
      <c r="U151" s="13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22:52:49-0600',mode:absolute,to:'2016-08-23 01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1" s="55" t="str">
        <f t="shared" si="52"/>
        <v>N</v>
      </c>
      <c r="X151" s="127">
        <f t="shared" si="62"/>
        <v>1</v>
      </c>
      <c r="Y151" s="70">
        <f t="shared" si="53"/>
        <v>23.2959</v>
      </c>
      <c r="Z151" s="70">
        <f t="shared" si="54"/>
        <v>1.5299999999999999E-2</v>
      </c>
      <c r="AA151" s="70">
        <f t="shared" si="55"/>
        <v>23.2806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56"/>
        <v>0238-22</v>
      </c>
      <c r="AE151" s="103" t="str">
        <f t="shared" si="57"/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AF151" s="100" t="str">
        <f t="shared" si="58"/>
        <v>"C:\Program Files (x86)\AstroGrep\AstroGrep.exe" /spath="%USERPROFILE%\AppData\Local\Temp\OnboardLogs" /stypes="*4010*20160823*" /stext=" 06:.+((SYSTEM_STATE.+slice.+state.+changed )|(ment ac)|(system.+state.+changed )|(\|lc)|(penalty)|(\[timeout)|(PRM\|1\|D)|(kpr)|(kdp))" /e /r /s</v>
      </c>
      <c r="AG151" s="1" t="str">
        <f t="shared" si="59"/>
        <v>EC</v>
      </c>
      <c r="AH151" s="104" t="str">
        <f t="shared" si="60"/>
        <v>"%USERPROFILE%\Documents\GitHub\eaglep3\Utilities\RefineRTDCRunTimes.py" --tripid 238-22 --locoid 4010 --swversion DE.1.0.7.0 --startMP 204:232959 --initTime 2016-08-22T23:52:49 --startdatetime 2016-08-22T23:54:29 --delay 1 --endMP 204:153 --enddatetime 2016-08-23T00:49:26 --enforcementcount 0</v>
      </c>
    </row>
    <row r="152" spans="1:34" x14ac:dyDescent="0.25">
      <c r="A152" s="40" t="s">
        <v>371</v>
      </c>
      <c r="B152" s="7">
        <v>4027</v>
      </c>
      <c r="C152" s="25" t="s">
        <v>114</v>
      </c>
      <c r="D152" s="25" t="s">
        <v>144</v>
      </c>
      <c r="E152" s="16">
        <v>42604.963969907411</v>
      </c>
      <c r="F152" s="16">
        <v>42604.965231481481</v>
      </c>
      <c r="G152" s="7">
        <v>1</v>
      </c>
      <c r="H152" s="16" t="s">
        <v>282</v>
      </c>
      <c r="I152" s="16">
        <v>42605.008761574078</v>
      </c>
      <c r="J152" s="7">
        <v>0</v>
      </c>
      <c r="K152" s="140" t="str">
        <f t="shared" si="48"/>
        <v>4027/4028</v>
      </c>
      <c r="L152" s="25" t="str">
        <f>VLOOKUP(A152,'Trips&amp;Operators'!$C$1:$E$10000,3,FALSE)</f>
        <v>NEWELL</v>
      </c>
      <c r="M152" s="6">
        <f t="shared" si="49"/>
        <v>4.3530092596483883E-2</v>
      </c>
      <c r="N152" s="7">
        <f t="shared" si="61"/>
        <v>62.683333338936791</v>
      </c>
      <c r="O152" s="7"/>
      <c r="P152" s="7"/>
      <c r="Q152" s="26"/>
      <c r="R152" s="26"/>
      <c r="S152" s="38">
        <f t="shared" si="47"/>
        <v>1</v>
      </c>
      <c r="T152" s="53" t="str">
        <f t="shared" si="50"/>
        <v>NorthBound</v>
      </c>
      <c r="U152" s="13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22:08:07-0600',mode:absolute,to:'2016-08-23 01:12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2" s="55" t="str">
        <f t="shared" si="52"/>
        <v>N</v>
      </c>
      <c r="X152" s="127">
        <f t="shared" si="62"/>
        <v>1</v>
      </c>
      <c r="Y152" s="70">
        <f t="shared" si="53"/>
        <v>4.5699999999999998E-2</v>
      </c>
      <c r="Z152" s="70">
        <f t="shared" si="54"/>
        <v>23.3307</v>
      </c>
      <c r="AA152" s="70">
        <f t="shared" si="55"/>
        <v>23.285</v>
      </c>
      <c r="AB152" s="67">
        <f>VLOOKUP(A152,Enforcements!$C$7:$J$24,8,0)</f>
        <v>17867</v>
      </c>
      <c r="AC152" s="63" t="str">
        <f>VLOOKUP(A152,Enforcements!$C$7:$E$24,3,0)</f>
        <v>PERMANENT SPEED RESTRICTION</v>
      </c>
      <c r="AD152" s="64" t="str">
        <f t="shared" si="56"/>
        <v>0239-22</v>
      </c>
      <c r="AE152" s="103" t="str">
        <f t="shared" si="57"/>
        <v>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 &amp; 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</v>
      </c>
      <c r="AF152" s="100" t="str">
        <f t="shared" si="58"/>
        <v>"C:\Program Files (x86)\AstroGrep\AstroGrep.exe" /spath="%USERPROFILE%\AppData\Local\Temp\OnboardLogs" /stypes="*4027*20160823*" /stext=" 06:.+((SYSTEM_STATE.+slice.+state.+changed )|(ment ac)|(system.+state.+changed )|(\|lc)|(penalty)|(\[timeout)|(PRM\|1\|D)|(kpr)|(kdp))" /e /r /s</v>
      </c>
      <c r="AG152" s="1" t="str">
        <f t="shared" si="59"/>
        <v>EC</v>
      </c>
      <c r="AH152" s="104" t="str">
        <f t="shared" si="60"/>
        <v>"%USERPROFILE%\Documents\GitHub\eaglep3\Utilities\RefineRTDCRunTimes.py" --tripid 239-22 --locoid 4027 --swversion DE.1.0.7.0 --startMP 204:457 --initTime 2016-08-22T23:08:07 --startdatetime 2016-08-22T23:09:56 --delay 1 --endMP 204:233307 --enddatetime 2016-08-23T00:12:37 --enforcementcount 0</v>
      </c>
    </row>
    <row r="153" spans="1:34" x14ac:dyDescent="0.25">
      <c r="A153" s="40" t="s">
        <v>372</v>
      </c>
      <c r="B153" s="7">
        <v>4028</v>
      </c>
      <c r="C153" s="25" t="s">
        <v>114</v>
      </c>
      <c r="D153" s="25" t="s">
        <v>199</v>
      </c>
      <c r="E153" s="16">
        <v>42605.010405092595</v>
      </c>
      <c r="F153" s="16">
        <v>42605.011157407411</v>
      </c>
      <c r="G153" s="7">
        <v>1</v>
      </c>
      <c r="H153" s="16" t="s">
        <v>536</v>
      </c>
      <c r="I153" s="16">
        <v>42605.049224537041</v>
      </c>
      <c r="J153" s="7">
        <v>0</v>
      </c>
      <c r="K153" s="140" t="str">
        <f t="shared" si="48"/>
        <v>4027/4028</v>
      </c>
      <c r="L153" s="25" t="str">
        <f>VLOOKUP(A153,'Trips&amp;Operators'!$C$1:$E$10000,3,FALSE)</f>
        <v>NEWELL</v>
      </c>
      <c r="M153" s="6">
        <f t="shared" si="49"/>
        <v>3.8067129629780538E-2</v>
      </c>
      <c r="N153" s="7">
        <f t="shared" si="61"/>
        <v>54.816666666883975</v>
      </c>
      <c r="O153" s="7"/>
      <c r="P153" s="7"/>
      <c r="Q153" s="26"/>
      <c r="R153" s="26"/>
      <c r="S153" s="38">
        <f t="shared" si="47"/>
        <v>1</v>
      </c>
      <c r="T153" s="53" t="str">
        <f t="shared" si="50"/>
        <v>Southbound</v>
      </c>
      <c r="U153" s="13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23:14:59-0600',mode:absolute,to:'2016-08-23 02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3" s="55" t="str">
        <f t="shared" si="52"/>
        <v>N</v>
      </c>
      <c r="X153" s="127">
        <f t="shared" si="62"/>
        <v>1</v>
      </c>
      <c r="Y153" s="70">
        <f t="shared" si="53"/>
        <v>23.298999999999999</v>
      </c>
      <c r="Z153" s="70">
        <f t="shared" si="54"/>
        <v>1.8200000000000001E-2</v>
      </c>
      <c r="AA153" s="70">
        <f t="shared" si="55"/>
        <v>23.280799999999999</v>
      </c>
      <c r="AB153" s="67">
        <f>VLOOKUP(A153,Enforcements!$C$7:$J$24,8,0)</f>
        <v>109135</v>
      </c>
      <c r="AC153" s="63" t="str">
        <f>VLOOKUP(A153,Enforcements!$C$7:$E$24,3,0)</f>
        <v>GRADE CROSSING</v>
      </c>
      <c r="AD153" s="64" t="str">
        <f t="shared" si="56"/>
        <v>0240-22</v>
      </c>
      <c r="AE153" s="103" t="str">
        <f t="shared" si="57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153" s="100" t="str">
        <f t="shared" si="58"/>
        <v>"C:\Program Files (x86)\AstroGrep\AstroGrep.exe" /spath="%USERPROFILE%\AppData\Local\Temp\OnboardLogs" /stypes="*4028*20160823*" /stext=" 07:.+((SYSTEM_STATE.+slice.+state.+changed )|(ment ac)|(system.+state.+changed )|(\|lc)|(penalty)|(\[timeout)|(PRM\|1\|D)|(kpr)|(kdp))" /e /r /s</v>
      </c>
      <c r="AG153" s="1" t="str">
        <f t="shared" si="59"/>
        <v>EC</v>
      </c>
      <c r="AH153" s="104" t="str">
        <f t="shared" si="60"/>
        <v>"%USERPROFILE%\Documents\GitHub\eaglep3\Utilities\RefineRTDCRunTimes.py" --tripid 240-22 --locoid 4028 --swversion DE.1.0.7.0 --startMP 204:232990 --initTime 2016-08-23T00:14:59 --startdatetime 2016-08-23T00:16:04 --delay 1 --endMP 204:182 --enddatetime 2016-08-23T01:10:53 --enforcementcount 0</v>
      </c>
    </row>
    <row r="154" spans="1:34" x14ac:dyDescent="0.25">
      <c r="A154" s="40" t="s">
        <v>537</v>
      </c>
      <c r="B154" s="7">
        <v>4018</v>
      </c>
      <c r="C154" s="25" t="s">
        <v>114</v>
      </c>
      <c r="D154" s="25" t="s">
        <v>418</v>
      </c>
      <c r="E154" s="16">
        <v>42604.996550925927</v>
      </c>
      <c r="F154" s="16">
        <v>42605.000185185185</v>
      </c>
      <c r="G154" s="7">
        <v>5</v>
      </c>
      <c r="H154" s="16" t="s">
        <v>135</v>
      </c>
      <c r="I154" s="16">
        <v>42605.030092592591</v>
      </c>
      <c r="J154" s="7">
        <v>0</v>
      </c>
      <c r="K154" s="140" t="str">
        <f t="shared" si="48"/>
        <v>4017/4018</v>
      </c>
      <c r="L154" s="25" t="str">
        <f>VLOOKUP(A154,'Trips&amp;Operators'!$C$1:$E$10000,3,FALSE)</f>
        <v>CHANDLER</v>
      </c>
      <c r="M154" s="6">
        <f t="shared" si="49"/>
        <v>2.9907407406426501E-2</v>
      </c>
      <c r="N154" s="7">
        <f t="shared" si="61"/>
        <v>43.066666665254161</v>
      </c>
      <c r="O154" s="7"/>
      <c r="P154" s="7"/>
      <c r="Q154" s="26"/>
      <c r="R154" s="26"/>
      <c r="S154" s="38">
        <f t="shared" si="47"/>
        <v>1</v>
      </c>
      <c r="T154" s="53" t="str">
        <f t="shared" si="50"/>
        <v>NorthBound</v>
      </c>
      <c r="U154" s="13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22:55:02-0600',mode:absolute,to:'2016-08-23 01:43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54" s="55" t="str">
        <f t="shared" si="52"/>
        <v>N</v>
      </c>
      <c r="X154" s="127">
        <f t="shared" si="62"/>
        <v>1</v>
      </c>
      <c r="Y154" s="70">
        <f t="shared" si="53"/>
        <v>4.8399999999999999E-2</v>
      </c>
      <c r="Z154" s="70">
        <f t="shared" si="54"/>
        <v>23.328900000000001</v>
      </c>
      <c r="AA154" s="70">
        <f t="shared" si="55"/>
        <v>23.2805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56"/>
        <v>0241-22</v>
      </c>
      <c r="AE154" s="103" t="str">
        <f t="shared" si="57"/>
        <v>aws s3 cp s3://rtdc.mdm.uploadarchive/RTDC4018/2016-08-23/ "%USERPROFILE%\AppData\Local\Temp\OnboardLogs"\RTDC4018\2016-08-23 --recursive &amp; "%USERPROFILE%\Documents\GitHub\mrs-test-scripts\Headless Mode &amp; Sideloading\WalkAndUnGZ.bat" "%USERPROFILE%\AppData\Local\Temp\OnboardLogs"\RTDC4018\2016-08-23 &amp; aws s3 cp s3://rtdc.mdm.uploadarchive/RTDC4018/2016-08-24/ "%USERPROFILE%\AppData\Local\Temp\OnboardLogs"\RTDC4018\2016-08-24 --recursive &amp; "%USERPROFILE%\Documents\GitHub\mrs-test-scripts\Headless Mode &amp; Sideloading\WalkAndUnGZ.bat" "%USERPROFILE%\AppData\Local\Temp\OnboardLogs"\RTDC4018\2016-08-24</v>
      </c>
      <c r="AF154" s="100" t="str">
        <f t="shared" si="58"/>
        <v>"C:\Program Files (x86)\AstroGrep\AstroGrep.exe" /spath="%USERPROFILE%\AppData\Local\Temp\OnboardLogs" /stypes="*4018*20160823*" /stext=" 06:.+((SYSTEM_STATE.+slice.+state.+changed )|(ment ac)|(system.+state.+changed )|(\|lc)|(penalty)|(\[timeout)|(PRM\|1\|D)|(kpr)|(kdp))" /e /r /s</v>
      </c>
      <c r="AG154" s="1" t="str">
        <f t="shared" si="59"/>
        <v>EC</v>
      </c>
      <c r="AH154" s="104" t="str">
        <f t="shared" si="60"/>
        <v>"%USERPROFILE%\Documents\GitHub\eaglep3\Utilities\RefineRTDCRunTimes.py" --tripid 241-22 --locoid 4018 --swversion DE.1.0.7.0 --startMP 204:484 --initTime 2016-08-22T23:55:02 --startdatetime 2016-08-23T00:00:16 --delay 5 --endMP 204:233289 --enddatetime 2016-08-23T00:43:20 --enforcementcount 0</v>
      </c>
    </row>
    <row r="155" spans="1:34" x14ac:dyDescent="0.25">
      <c r="A155" s="40" t="s">
        <v>538</v>
      </c>
      <c r="B155" s="7">
        <v>4017</v>
      </c>
      <c r="C155" s="25" t="s">
        <v>114</v>
      </c>
      <c r="D155" s="25" t="s">
        <v>162</v>
      </c>
      <c r="E155" s="16">
        <v>42605.037719907406</v>
      </c>
      <c r="F155" s="16">
        <v>42605.038553240738</v>
      </c>
      <c r="G155" s="7">
        <v>1</v>
      </c>
      <c r="H155" s="16" t="s">
        <v>539</v>
      </c>
      <c r="I155" s="16">
        <v>42605.070104166669</v>
      </c>
      <c r="J155" s="7">
        <v>0</v>
      </c>
      <c r="K155" s="140" t="str">
        <f t="shared" si="48"/>
        <v>4017/4018</v>
      </c>
      <c r="L155" s="25" t="str">
        <f>VLOOKUP(A155,'Trips&amp;Operators'!$C$1:$E$10000,3,FALSE)</f>
        <v>CHANDLER</v>
      </c>
      <c r="M155" s="6">
        <f t="shared" si="49"/>
        <v>3.1550925930787344E-2</v>
      </c>
      <c r="N155" s="7">
        <f t="shared" si="61"/>
        <v>45.433333340333775</v>
      </c>
      <c r="O155" s="7"/>
      <c r="P155" s="7"/>
      <c r="Q155" s="26"/>
      <c r="R155" s="26"/>
      <c r="S155" s="38">
        <f t="shared" si="47"/>
        <v>1</v>
      </c>
      <c r="T155" s="53" t="str">
        <f t="shared" si="50"/>
        <v>Southbound</v>
      </c>
      <c r="U155" s="13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23:54:19-0600',mode:absolute,to:'2016-08-23 02:40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55" s="55" t="str">
        <f t="shared" si="52"/>
        <v>N</v>
      </c>
      <c r="X155" s="127">
        <f t="shared" si="62"/>
        <v>1</v>
      </c>
      <c r="Y155" s="70">
        <f t="shared" si="53"/>
        <v>23.296500000000002</v>
      </c>
      <c r="Z155" s="70">
        <f t="shared" si="54"/>
        <v>1.37E-2</v>
      </c>
      <c r="AA155" s="70">
        <f t="shared" si="55"/>
        <v>23.282800000000002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56"/>
        <v>0242-22</v>
      </c>
      <c r="AE155" s="103" t="str">
        <f t="shared" si="57"/>
        <v>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 &amp; aws s3 cp s3://rtdc.mdm.uploadarchive/RTDC4017/2016-08-24/ "%USERPROFILE%\AppData\Local\Temp\OnboardLogs"\RTDC4017\2016-08-24 --recursive &amp; "%USERPROFILE%\Documents\GitHub\mrs-test-scripts\Headless Mode &amp; Sideloading\WalkAndUnGZ.bat" "%USERPROFILE%\AppData\Local\Temp\OnboardLogs"\RTDC4017\2016-08-24</v>
      </c>
      <c r="AF155" s="100" t="str">
        <f t="shared" si="58"/>
        <v>"C:\Program Files (x86)\AstroGrep\AstroGrep.exe" /spath="%USERPROFILE%\AppData\Local\Temp\OnboardLogs" /stypes="*4017*20160823*" /stext=" 07:.+((SYSTEM_STATE.+slice.+state.+changed )|(ment ac)|(system.+state.+changed )|(\|lc)|(penalty)|(\[timeout)|(PRM\|1\|D)|(kpr)|(kdp))" /e /r /s</v>
      </c>
      <c r="AG155" s="1" t="str">
        <f t="shared" si="59"/>
        <v>EC</v>
      </c>
      <c r="AH155" s="104" t="str">
        <f t="shared" si="60"/>
        <v>"%USERPROFILE%\Documents\GitHub\eaglep3\Utilities\RefineRTDCRunTimes.py" --tripid 242-22 --locoid 4017 --swversion DE.1.0.7.0 --startMP 204:232965 --initTime 2016-08-23T00:54:19 --startdatetime 2016-08-23T00:55:31 --delay 1 --endMP 204:137 --enddatetime 2016-08-23T01:40:57 --enforcementcount 0</v>
      </c>
    </row>
    <row r="156" spans="1:34" x14ac:dyDescent="0.25">
      <c r="A156" s="40" t="s">
        <v>540</v>
      </c>
      <c r="B156" s="7">
        <v>4020</v>
      </c>
      <c r="C156" s="25" t="s">
        <v>114</v>
      </c>
      <c r="D156" s="25" t="s">
        <v>144</v>
      </c>
      <c r="E156" s="16">
        <v>42605.016608796293</v>
      </c>
      <c r="F156" s="16">
        <v>42605.017534722225</v>
      </c>
      <c r="G156" s="7">
        <v>1</v>
      </c>
      <c r="H156" s="16" t="s">
        <v>226</v>
      </c>
      <c r="I156" s="16">
        <v>42605.048159722224</v>
      </c>
      <c r="J156" s="7">
        <v>0</v>
      </c>
      <c r="K156" s="140" t="str">
        <f t="shared" si="48"/>
        <v>4019/4020</v>
      </c>
      <c r="L156" s="25" t="str">
        <f>VLOOKUP(A156,'Trips&amp;Operators'!$C$1:$E$10000,3,FALSE)</f>
        <v>OUN</v>
      </c>
      <c r="M156" s="6">
        <f t="shared" si="49"/>
        <v>3.0624999999417923E-2</v>
      </c>
      <c r="N156" s="7">
        <f t="shared" si="61"/>
        <v>44.09999999916181</v>
      </c>
      <c r="O156" s="7"/>
      <c r="P156" s="7"/>
      <c r="Q156" s="26"/>
      <c r="R156" s="26"/>
      <c r="S156" s="38">
        <f t="shared" si="47"/>
        <v>1</v>
      </c>
      <c r="T156" s="53" t="str">
        <f t="shared" si="50"/>
        <v>NorthBound</v>
      </c>
      <c r="U156" s="13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23:23:55-0600',mode:absolute,to:'2016-08-23 02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6" s="55" t="str">
        <f t="shared" si="52"/>
        <v>N</v>
      </c>
      <c r="X156" s="127">
        <f t="shared" si="62"/>
        <v>1</v>
      </c>
      <c r="Y156" s="70">
        <f t="shared" si="53"/>
        <v>4.5699999999999998E-2</v>
      </c>
      <c r="Z156" s="70">
        <f t="shared" si="54"/>
        <v>23.328600000000002</v>
      </c>
      <c r="AA156" s="70">
        <f t="shared" si="55"/>
        <v>23.282900000000001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56"/>
        <v>0243-22</v>
      </c>
      <c r="AE156" s="103" t="str">
        <f t="shared" si="57"/>
        <v>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 &amp; aws s3 cp s3://rtdc.mdm.uploadarchive/RTDC4020/2016-08-24/ "%USERPROFILE%\AppData\Local\Temp\OnboardLogs"\RTDC4020\2016-08-24 --recursive &amp; "%USERPROFILE%\Documents\GitHub\mrs-test-scripts\Headless Mode &amp; Sideloading\WalkAndUnGZ.bat" "%USERPROFILE%\AppData\Local\Temp\OnboardLogs"\RTDC4020\2016-08-24</v>
      </c>
      <c r="AF156" s="100" t="str">
        <f t="shared" si="58"/>
        <v>"C:\Program Files (x86)\AstroGrep\AstroGrep.exe" /spath="%USERPROFILE%\AppData\Local\Temp\OnboardLogs" /stypes="*4020*20160823*" /stext=" 07:.+((SYSTEM_STATE.+slice.+state.+changed )|(ment ac)|(system.+state.+changed )|(\|lc)|(penalty)|(\[timeout)|(PRM\|1\|D)|(kpr)|(kdp))" /e /r /s</v>
      </c>
      <c r="AG156" s="1" t="str">
        <f t="shared" si="59"/>
        <v>EC</v>
      </c>
      <c r="AH156" s="104" t="str">
        <f t="shared" si="60"/>
        <v>"%USERPROFILE%\Documents\GitHub\eaglep3\Utilities\RefineRTDCRunTimes.py" --tripid 243-22 --locoid 4020 --swversion DE.1.0.7.0 --startMP 204:457 --initTime 2016-08-23T00:23:55 --startdatetime 2016-08-23T00:25:15 --delay 1 --endMP 204:233286 --enddatetime 2016-08-23T01:09:21 --enforcementcount 0</v>
      </c>
    </row>
    <row r="157" spans="1:34" x14ac:dyDescent="0.25">
      <c r="A157" s="40" t="s">
        <v>541</v>
      </c>
      <c r="B157" s="7">
        <v>4019</v>
      </c>
      <c r="C157" s="25" t="s">
        <v>114</v>
      </c>
      <c r="D157" s="25" t="s">
        <v>228</v>
      </c>
      <c r="E157" s="16">
        <v>42605.055532407408</v>
      </c>
      <c r="F157" s="16">
        <v>42605.057071759256</v>
      </c>
      <c r="G157" s="7">
        <v>2</v>
      </c>
      <c r="H157" s="16">
        <v>8.5361111111111114</v>
      </c>
      <c r="I157" s="16">
        <v>42605.08630787037</v>
      </c>
      <c r="J157" s="7">
        <v>0</v>
      </c>
      <c r="K157" s="140" t="str">
        <f t="shared" si="48"/>
        <v>4019/4020</v>
      </c>
      <c r="L157" s="25" t="str">
        <f>VLOOKUP(A157,'Trips&amp;Operators'!$C$1:$E$10000,3,FALSE)</f>
        <v>OUN</v>
      </c>
      <c r="M157" s="6">
        <f t="shared" si="49"/>
        <v>2.923611111327773E-2</v>
      </c>
      <c r="N157" s="7">
        <f t="shared" si="61"/>
        <v>42.100000003119931</v>
      </c>
      <c r="O157" s="7"/>
      <c r="P157" s="7"/>
      <c r="Q157" s="26"/>
      <c r="R157" s="26"/>
      <c r="S157" s="38">
        <f t="shared" si="47"/>
        <v>1</v>
      </c>
      <c r="T157" s="53" t="str">
        <f t="shared" si="50"/>
        <v>Southbound</v>
      </c>
      <c r="U157" s="13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https://search-rtdc-monitor-bjffxe2xuh6vdkpspy63sjmuny.us-east-1.es.amazonaws.com/_plugin/kibana/#/discover/Steve-Slow-Train-Analysis-(2080s-and-2083s)?_g=(refreshInterval:(display:Off,section:0,value:0),time:(from:'2016-08-23 00:19:58-0600',mode:absolute,to:'2016-08-23 03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7" s="55" t="str">
        <f t="shared" si="52"/>
        <v>N</v>
      </c>
      <c r="X157" s="127">
        <f t="shared" si="62"/>
        <v>1</v>
      </c>
      <c r="Y157" s="70">
        <f t="shared" si="53"/>
        <v>23.2971</v>
      </c>
      <c r="Z157" s="70">
        <v>0.01</v>
      </c>
      <c r="AA157" s="70">
        <f t="shared" si="55"/>
        <v>23.287099999999999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56"/>
        <v>0244-22</v>
      </c>
      <c r="AE157" s="103" t="str">
        <f t="shared" si="57"/>
        <v>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 &amp; aws s3 cp s3://rtdc.mdm.uploadarchive/RTDC4019/2016-08-24/ "%USERPROFILE%\AppData\Local\Temp\OnboardLogs"\RTDC4019\2016-08-24 --recursive &amp; "%USERPROFILE%\Documents\GitHub\mrs-test-scripts\Headless Mode &amp; Sideloading\WalkAndUnGZ.bat" "%USERPROFILE%\AppData\Local\Temp\OnboardLogs"\RTDC4019\2016-08-24</v>
      </c>
      <c r="AF157" s="100" t="str">
        <f t="shared" si="58"/>
        <v>"C:\Program Files (x86)\AstroGrep\AstroGrep.exe" /spath="%USERPROFILE%\AppData\Local\Temp\OnboardLogs" /stypes="*4019*20160823*" /stext=" 08:.+((SYSTEM_STATE.+slice.+state.+changed )|(ment ac)|(system.+state.+changed )|(\|lc)|(penalty)|(\[timeout)|(PRM\|1\|D)|(kpr)|(kdp))" /e /r /s</v>
      </c>
      <c r="AG157" s="1" t="str">
        <f t="shared" si="59"/>
        <v>EC</v>
      </c>
      <c r="AH157" s="104" t="str">
        <f t="shared" si="60"/>
        <v>"%USERPROFILE%\Documents\GitHub\eaglep3\Utilities\RefineRTDCRunTimes.py" --tripid 244-22 --locoid 4019 --swversion DE.1.0.7.0 --startMP 204:232971 --initTime 2016-08-23T01:19:58 --startdatetime 2016-08-23T01:22:11 --delay 2 --endMP 8.53611111111111 --enddatetime 2016-08-23T02:04:17 --enforcementcount 0</v>
      </c>
    </row>
    <row r="158" spans="1:34" x14ac:dyDescent="0.25">
      <c r="A158" s="40" t="s">
        <v>553</v>
      </c>
      <c r="B158" s="7">
        <v>4001</v>
      </c>
      <c r="C158" s="25" t="s">
        <v>114</v>
      </c>
      <c r="D158" s="25" t="s">
        <v>554</v>
      </c>
      <c r="E158" s="16">
        <v>42604.215763888889</v>
      </c>
      <c r="F158" s="16">
        <v>42604.21671296296</v>
      </c>
      <c r="G158" s="7">
        <v>1</v>
      </c>
      <c r="H158" s="16" t="s">
        <v>555</v>
      </c>
      <c r="I158" s="16">
        <v>42604.226967592593</v>
      </c>
      <c r="J158" s="7">
        <v>0</v>
      </c>
      <c r="K158" s="140" t="str">
        <f t="shared" si="48"/>
        <v>4001/4002</v>
      </c>
      <c r="L158" s="25" t="str">
        <f>VLOOKUP(A158,'Trips&amp;Operators'!$C$1:$E$10000,3,FALSE)</f>
        <v>DAVIS</v>
      </c>
      <c r="M158" s="6">
        <f t="shared" si="49"/>
        <v>1.025462963298196E-2</v>
      </c>
      <c r="N158" s="7">
        <f t="shared" si="61"/>
        <v>14.766666671494022</v>
      </c>
      <c r="O158" s="7"/>
      <c r="P158" s="7"/>
      <c r="Q158" s="26"/>
      <c r="R158" s="26"/>
      <c r="S158" s="38">
        <f t="shared" si="47"/>
        <v>1</v>
      </c>
      <c r="T158" s="53" t="str">
        <f t="shared" si="50"/>
        <v>Southbound</v>
      </c>
      <c r="U158" s="13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04:10:42-0600',mode:absolute,to:'2016-08-22 06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8" s="55" t="str">
        <f t="shared" si="52"/>
        <v>N</v>
      </c>
      <c r="X158" s="127">
        <f t="shared" si="62"/>
        <v>556</v>
      </c>
      <c r="Y158" s="70">
        <f t="shared" si="53"/>
        <v>5.8604000000000003</v>
      </c>
      <c r="Z158" s="70">
        <f t="shared" ref="Z158:Z189" si="63">RIGHT(H158,LEN(H158)-4)/10000</f>
        <v>6.4899999999999999E-2</v>
      </c>
      <c r="AA158" s="70">
        <f t="shared" si="55"/>
        <v>5.7955000000000005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56"/>
        <v>0800-22</v>
      </c>
      <c r="AE158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58" s="100" t="str">
        <f t="shared" si="58"/>
        <v>"C:\Program Files (x86)\AstroGrep\AstroGrep.exe" /spath="%USERPROFILE%\AppData\Local\Temp\OnboardLogs" /stypes="*4001*20160822*" /stext=" 11:.+((SYSTEM_STATE.+slice.+state.+changed )|(ment ac)|(system.+state.+changed )|(\|lc)|(penalty)|(\[timeout)|(PRM\|1\|D)|(kpr)|(kdp))" /e /r /s</v>
      </c>
      <c r="AG158" s="1" t="str">
        <f t="shared" si="59"/>
        <v>NW</v>
      </c>
      <c r="AH158" s="104" t="str">
        <f t="shared" si="60"/>
        <v>"%USERPROFILE%\Documents\GitHub\eaglep3\Utilities\RefineRTDCRunTimes.py" --tripid 800-22 --locoid 4001 --swversion DE.1.0.7.0 --startMP 300:58604 --initTime 2016-08-22T05:10:42 --startdatetime 2016-08-22T05:12:04 --delay 1 --endMP 204:649 --enddatetime 2016-08-22T05:26:50 --enforcementcount 0</v>
      </c>
    </row>
    <row r="159" spans="1:34" x14ac:dyDescent="0.25">
      <c r="A159" s="40" t="s">
        <v>326</v>
      </c>
      <c r="B159" s="7">
        <v>4002</v>
      </c>
      <c r="C159" s="25" t="s">
        <v>114</v>
      </c>
      <c r="D159" s="25" t="s">
        <v>556</v>
      </c>
      <c r="E159" s="16">
        <v>42604.236886574072</v>
      </c>
      <c r="F159" s="16">
        <v>42604.237754629627</v>
      </c>
      <c r="G159" s="7">
        <v>1</v>
      </c>
      <c r="H159" s="16" t="s">
        <v>290</v>
      </c>
      <c r="I159" s="16">
        <v>42604.255567129629</v>
      </c>
      <c r="J159" s="7">
        <v>0</v>
      </c>
      <c r="K159" s="140" t="str">
        <f t="shared" si="48"/>
        <v>4001/4002</v>
      </c>
      <c r="L159" s="25" t="str">
        <f>VLOOKUP(A159,'Trips&amp;Operators'!$C$1:$E$10000,3,FALSE)</f>
        <v>DAVIS</v>
      </c>
      <c r="M159" s="6">
        <f t="shared" si="49"/>
        <v>1.7812500002037268E-2</v>
      </c>
      <c r="N159" s="7">
        <f t="shared" si="61"/>
        <v>25.650000002933666</v>
      </c>
      <c r="O159" s="7"/>
      <c r="P159" s="7"/>
      <c r="Q159" s="26"/>
      <c r="R159" s="26"/>
      <c r="S159" s="38">
        <f t="shared" si="47"/>
        <v>1</v>
      </c>
      <c r="T159" s="53" t="str">
        <f t="shared" si="50"/>
        <v>NorthBound</v>
      </c>
      <c r="U159" s="13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04:41:07-0600',mode:absolute,to:'2016-08-22 07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9" s="55" t="str">
        <f t="shared" si="52"/>
        <v>N</v>
      </c>
      <c r="X159" s="127">
        <f t="shared" si="62"/>
        <v>1</v>
      </c>
      <c r="Y159" s="70">
        <f t="shared" si="53"/>
        <v>9.4600000000000004E-2</v>
      </c>
      <c r="Z159" s="70">
        <f t="shared" si="63"/>
        <v>5.8921999999999999</v>
      </c>
      <c r="AA159" s="70">
        <f t="shared" si="55"/>
        <v>5.7976000000000001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56"/>
        <v>0801-22</v>
      </c>
      <c r="AE159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59" s="100" t="str">
        <f t="shared" si="58"/>
        <v>"C:\Program Files (x86)\AstroGrep\AstroGrep.exe" /spath="%USERPROFILE%\AppData\Local\Temp\OnboardLogs" /stypes="*4002*20160822*" /stext=" 12:.+((SYSTEM_STATE.+slice.+state.+changed )|(ment ac)|(system.+state.+changed )|(\|lc)|(penalty)|(\[timeout)|(PRM\|1\|D)|(kpr)|(kdp))" /e /r /s</v>
      </c>
      <c r="AG159" s="1" t="str">
        <f t="shared" si="59"/>
        <v>NW</v>
      </c>
      <c r="AH159" s="104" t="str">
        <f t="shared" si="60"/>
        <v>"%USERPROFILE%\Documents\GitHub\eaglep3\Utilities\RefineRTDCRunTimes.py" --tripid 801-22 --locoid 4002 --swversion DE.1.0.7.0 --startMP 204:946 --initTime 2016-08-22T05:41:07 --startdatetime 2016-08-22T05:42:22 --delay 1 --endMP 300:58922 --enddatetime 2016-08-22T06:08:01 --enforcementcount 0</v>
      </c>
    </row>
    <row r="160" spans="1:34" x14ac:dyDescent="0.25">
      <c r="A160" s="40" t="s">
        <v>328</v>
      </c>
      <c r="B160" s="7">
        <v>4001</v>
      </c>
      <c r="C160" s="25" t="s">
        <v>114</v>
      </c>
      <c r="D160" s="25" t="s">
        <v>250</v>
      </c>
      <c r="E160" s="16">
        <v>42604.256388888891</v>
      </c>
      <c r="F160" s="16">
        <v>42604.257060185184</v>
      </c>
      <c r="G160" s="7">
        <v>0</v>
      </c>
      <c r="H160" s="16" t="s">
        <v>470</v>
      </c>
      <c r="I160" s="16">
        <v>42604.26803240741</v>
      </c>
      <c r="J160" s="7">
        <v>0</v>
      </c>
      <c r="K160" s="140" t="str">
        <f t="shared" si="48"/>
        <v>4001/4002</v>
      </c>
      <c r="L160" s="25" t="str">
        <f>VLOOKUP(A160,'Trips&amp;Operators'!$C$1:$E$10000,3,FALSE)</f>
        <v>DAVIS</v>
      </c>
      <c r="M160" s="6">
        <f t="shared" si="49"/>
        <v>1.0972222225973383E-2</v>
      </c>
      <c r="N160" s="7">
        <f t="shared" si="61"/>
        <v>15.800000005401671</v>
      </c>
      <c r="O160" s="7"/>
      <c r="P160" s="7"/>
      <c r="Q160" s="26"/>
      <c r="R160" s="26"/>
      <c r="S160" s="38">
        <f t="shared" si="47"/>
        <v>1</v>
      </c>
      <c r="T160" s="53" t="str">
        <f t="shared" si="50"/>
        <v>Southbound</v>
      </c>
      <c r="U160" s="13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05:09:12-0600',mode:absolute,to:'2016-08-22 07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0" s="55" t="str">
        <f t="shared" si="52"/>
        <v>N</v>
      </c>
      <c r="X160" s="127">
        <f t="shared" si="62"/>
        <v>1</v>
      </c>
      <c r="Y160" s="70">
        <f t="shared" si="53"/>
        <v>5.8611000000000004</v>
      </c>
      <c r="Z160" s="70">
        <f t="shared" si="63"/>
        <v>6.5699999999999995E-2</v>
      </c>
      <c r="AA160" s="70">
        <f t="shared" si="55"/>
        <v>5.7954000000000008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56"/>
        <v>0802-22</v>
      </c>
      <c r="AE160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60" s="100" t="str">
        <f t="shared" si="58"/>
        <v>"C:\Program Files (x86)\AstroGrep\AstroGrep.exe" /spath="%USERPROFILE%\AppData\Local\Temp\OnboardLogs" /stypes="*4001*20160822*" /stext=" 12:.+((SYSTEM_STATE.+slice.+state.+changed )|(ment ac)|(system.+state.+changed )|(\|lc)|(penalty)|(\[timeout)|(PRM\|1\|D)|(kpr)|(kdp))" /e /r /s</v>
      </c>
      <c r="AG160" s="1" t="str">
        <f t="shared" si="59"/>
        <v>NW</v>
      </c>
      <c r="AH160" s="104" t="str">
        <f t="shared" si="60"/>
        <v>"%USERPROFILE%\Documents\GitHub\eaglep3\Utilities\RefineRTDCRunTimes.py" --tripid 802-22 --locoid 4001 --swversion DE.1.0.7.0 --startMP 300:58611 --initTime 2016-08-22T06:09:12 --startdatetime 2016-08-22T06:10:10 --delay 0 --endMP 204:657 --enddatetime 2016-08-22T06:25:58 --enforcementcount 0</v>
      </c>
    </row>
    <row r="161" spans="1:34" x14ac:dyDescent="0.25">
      <c r="A161" s="40" t="s">
        <v>557</v>
      </c>
      <c r="B161" s="7">
        <v>4042</v>
      </c>
      <c r="C161" s="25" t="s">
        <v>114</v>
      </c>
      <c r="D161" s="25" t="s">
        <v>558</v>
      </c>
      <c r="E161" s="16">
        <v>42604.258368055554</v>
      </c>
      <c r="F161" s="16">
        <v>42604.260555555556</v>
      </c>
      <c r="G161" s="7">
        <v>3</v>
      </c>
      <c r="H161" s="16" t="s">
        <v>559</v>
      </c>
      <c r="I161" s="16">
        <v>42604.274224537039</v>
      </c>
      <c r="J161" s="7">
        <v>0</v>
      </c>
      <c r="K161" s="140" t="str">
        <f t="shared" si="48"/>
        <v>4041/4042</v>
      </c>
      <c r="L161" s="25" t="str">
        <f>VLOOKUP(A161,'Trips&amp;Operators'!$C$1:$E$10000,3,FALSE)</f>
        <v>ROCHA</v>
      </c>
      <c r="M161" s="6">
        <f t="shared" si="49"/>
        <v>1.3668981482624076E-2</v>
      </c>
      <c r="N161" s="7">
        <f t="shared" si="61"/>
        <v>19.68333333497867</v>
      </c>
      <c r="O161" s="7"/>
      <c r="P161" s="7"/>
      <c r="Q161" s="26"/>
      <c r="R161" s="26"/>
      <c r="S161" s="38">
        <f t="shared" si="47"/>
        <v>1</v>
      </c>
      <c r="T161" s="53" t="str">
        <f t="shared" si="50"/>
        <v>NorthBound</v>
      </c>
      <c r="U161" s="13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05:12:03-0600',mode:absolute,to:'2016-08-22 07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1" s="55" t="str">
        <f t="shared" si="52"/>
        <v>N</v>
      </c>
      <c r="X161" s="127">
        <f t="shared" si="62"/>
        <v>1</v>
      </c>
      <c r="Y161" s="70">
        <f t="shared" si="53"/>
        <v>8.9499999999999996E-2</v>
      </c>
      <c r="Z161" s="70">
        <f t="shared" si="63"/>
        <v>5.8994999999999997</v>
      </c>
      <c r="AA161" s="70">
        <f t="shared" si="55"/>
        <v>5.81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56"/>
        <v>0803-22</v>
      </c>
      <c r="AE161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61" s="100" t="str">
        <f t="shared" si="58"/>
        <v>"C:\Program Files (x86)\AstroGrep\AstroGrep.exe" /spath="%USERPROFILE%\AppData\Local\Temp\OnboardLogs" /stypes="*4042*20160822*" /stext=" 12:.+((SYSTEM_STATE.+slice.+state.+changed )|(ment ac)|(system.+state.+changed )|(\|lc)|(penalty)|(\[timeout)|(PRM\|1\|D)|(kpr)|(kdp))" /e /r /s</v>
      </c>
      <c r="AG161" s="1" t="str">
        <f t="shared" si="59"/>
        <v>NW</v>
      </c>
      <c r="AH161" s="104" t="str">
        <f t="shared" si="60"/>
        <v>"%USERPROFILE%\Documents\GitHub\eaglep3\Utilities\RefineRTDCRunTimes.py" --tripid 803-22 --locoid 4042 --swversion DE.1.0.7.0 --startMP 204:895 --initTime 2016-08-22T06:12:03 --startdatetime 2016-08-22T06:15:12 --delay 3 --endMP 300:58995 --enddatetime 2016-08-22T06:34:53 --enforcementcount 0</v>
      </c>
    </row>
    <row r="162" spans="1:34" x14ac:dyDescent="0.25">
      <c r="A162" s="40" t="s">
        <v>330</v>
      </c>
      <c r="B162" s="7">
        <v>4041</v>
      </c>
      <c r="C162" s="25" t="s">
        <v>114</v>
      </c>
      <c r="D162" s="25" t="s">
        <v>560</v>
      </c>
      <c r="E162" s="16">
        <v>42604.275208333333</v>
      </c>
      <c r="F162" s="16">
        <v>42604.276307870372</v>
      </c>
      <c r="G162" s="7">
        <v>1</v>
      </c>
      <c r="H162" s="16" t="s">
        <v>561</v>
      </c>
      <c r="I162" s="16">
        <v>42604.288252314815</v>
      </c>
      <c r="J162" s="7">
        <v>0</v>
      </c>
      <c r="K162" s="140" t="str">
        <f t="shared" si="48"/>
        <v>4041/4042</v>
      </c>
      <c r="L162" s="25" t="str">
        <f>VLOOKUP(A162,'Trips&amp;Operators'!$C$1:$E$10000,3,FALSE)</f>
        <v>ROCHA</v>
      </c>
      <c r="M162" s="6">
        <f t="shared" si="49"/>
        <v>1.1944444442633539E-2</v>
      </c>
      <c r="N162" s="7">
        <f t="shared" si="61"/>
        <v>17.199999997392297</v>
      </c>
      <c r="O162" s="7"/>
      <c r="P162" s="7"/>
      <c r="Q162" s="26"/>
      <c r="R162" s="26"/>
      <c r="S162" s="38">
        <f t="shared" si="47"/>
        <v>1</v>
      </c>
      <c r="T162" s="53" t="str">
        <f t="shared" si="50"/>
        <v>Southbound</v>
      </c>
      <c r="U162" s="13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05:36:18-0600',mode:absolute,to:'2016-08-22 07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2" s="55" t="str">
        <f t="shared" si="52"/>
        <v>N</v>
      </c>
      <c r="X162" s="127">
        <f t="shared" si="62"/>
        <v>1</v>
      </c>
      <c r="Y162" s="70">
        <f t="shared" si="53"/>
        <v>5.8682999999999996</v>
      </c>
      <c r="Z162" s="70">
        <f t="shared" si="63"/>
        <v>6.1400000000000003E-2</v>
      </c>
      <c r="AA162" s="70">
        <f t="shared" si="55"/>
        <v>5.8068999999999997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56"/>
        <v>0804-22</v>
      </c>
      <c r="AE162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62" s="100" t="str">
        <f t="shared" si="58"/>
        <v>"C:\Program Files (x86)\AstroGrep\AstroGrep.exe" /spath="%USERPROFILE%\AppData\Local\Temp\OnboardLogs" /stypes="*4041*20160822*" /stext=" 12:.+((SYSTEM_STATE.+slice.+state.+changed )|(ment ac)|(system.+state.+changed )|(\|lc)|(penalty)|(\[timeout)|(PRM\|1\|D)|(kpr)|(kdp))" /e /r /s</v>
      </c>
      <c r="AG162" s="1" t="str">
        <f t="shared" si="59"/>
        <v>NW</v>
      </c>
      <c r="AH162" s="104" t="str">
        <f t="shared" si="60"/>
        <v>"%USERPROFILE%\Documents\GitHub\eaglep3\Utilities\RefineRTDCRunTimes.py" --tripid 804-22 --locoid 4041 --swversion DE.1.0.7.0 --startMP 300:58683 --initTime 2016-08-22T06:36:18 --startdatetime 2016-08-22T06:37:53 --delay 1 --endMP 204:614 --enddatetime 2016-08-22T06:55:05 --enforcementcount 0</v>
      </c>
    </row>
    <row r="163" spans="1:34" x14ac:dyDescent="0.25">
      <c r="A163" s="40" t="s">
        <v>562</v>
      </c>
      <c r="B163" s="7">
        <v>4002</v>
      </c>
      <c r="C163" s="25" t="s">
        <v>114</v>
      </c>
      <c r="D163" s="25" t="s">
        <v>292</v>
      </c>
      <c r="E163" s="16">
        <v>42604.279826388891</v>
      </c>
      <c r="F163" s="16">
        <v>42604.280624999999</v>
      </c>
      <c r="G163" s="7">
        <v>1</v>
      </c>
      <c r="H163" s="16" t="s">
        <v>267</v>
      </c>
      <c r="I163" s="16">
        <v>42604.295231481483</v>
      </c>
      <c r="J163" s="7">
        <v>0</v>
      </c>
      <c r="K163" s="140" t="str">
        <f t="shared" si="48"/>
        <v>4001/4002</v>
      </c>
      <c r="L163" s="25" t="str">
        <f>VLOOKUP(A163,'Trips&amp;Operators'!$C$1:$E$10000,3,FALSE)</f>
        <v>DAVIS</v>
      </c>
      <c r="M163" s="6">
        <f t="shared" si="49"/>
        <v>1.4606481483497191E-2</v>
      </c>
      <c r="N163" s="7">
        <f t="shared" si="61"/>
        <v>21.033333336235955</v>
      </c>
      <c r="O163" s="7"/>
      <c r="P163" s="7"/>
      <c r="Q163" s="26"/>
      <c r="R163" s="26"/>
      <c r="S163" s="38">
        <f t="shared" si="47"/>
        <v>1</v>
      </c>
      <c r="T163" s="53" t="str">
        <f t="shared" si="50"/>
        <v>NorthBound</v>
      </c>
      <c r="U163" s="13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05:42:57-0600',mode:absolute,to:'2016-08-22 08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3" s="55" t="str">
        <f t="shared" si="52"/>
        <v>N</v>
      </c>
      <c r="X163" s="127">
        <f t="shared" si="62"/>
        <v>1</v>
      </c>
      <c r="Y163" s="70">
        <f t="shared" si="53"/>
        <v>9.4100000000000003E-2</v>
      </c>
      <c r="Z163" s="70">
        <f t="shared" si="63"/>
        <v>5.8933</v>
      </c>
      <c r="AA163" s="70">
        <f t="shared" si="55"/>
        <v>5.7991999999999999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56"/>
        <v>0805-22</v>
      </c>
      <c r="AE163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63" s="100" t="str">
        <f t="shared" si="58"/>
        <v>"C:\Program Files (x86)\AstroGrep\AstroGrep.exe" /spath="%USERPROFILE%\AppData\Local\Temp\OnboardLogs" /stypes="*4002*20160822*" /stext=" 13:.+((SYSTEM_STATE.+slice.+state.+changed )|(ment ac)|(system.+state.+changed )|(\|lc)|(penalty)|(\[timeout)|(PRM\|1\|D)|(kpr)|(kdp))" /e /r /s</v>
      </c>
      <c r="AG163" s="1" t="str">
        <f t="shared" si="59"/>
        <v>NW</v>
      </c>
      <c r="AH163" s="104" t="str">
        <f t="shared" si="60"/>
        <v>"%USERPROFILE%\Documents\GitHub\eaglep3\Utilities\RefineRTDCRunTimes.py" --tripid 805-22 --locoid 4002 --swversion DE.1.0.7.0 --startMP 204:941 --initTime 2016-08-22T06:42:57 --startdatetime 2016-08-22T06:44:06 --delay 1 --endMP 300:58933 --enddatetime 2016-08-22T07:05:08 --enforcementcount 0</v>
      </c>
    </row>
    <row r="164" spans="1:34" x14ac:dyDescent="0.25">
      <c r="A164" s="40" t="s">
        <v>563</v>
      </c>
      <c r="B164" s="7">
        <v>4001</v>
      </c>
      <c r="C164" s="25" t="s">
        <v>114</v>
      </c>
      <c r="D164" s="25" t="s">
        <v>291</v>
      </c>
      <c r="E164" s="16">
        <v>42604.295960648145</v>
      </c>
      <c r="F164" s="16">
        <v>42604.296817129631</v>
      </c>
      <c r="G164" s="7">
        <v>1</v>
      </c>
      <c r="H164" s="16" t="s">
        <v>564</v>
      </c>
      <c r="I164" s="16">
        <v>42604.309467592589</v>
      </c>
      <c r="J164" s="7">
        <v>0</v>
      </c>
      <c r="K164" s="140" t="str">
        <f t="shared" si="48"/>
        <v>4001/4002</v>
      </c>
      <c r="L164" s="25" t="str">
        <f>VLOOKUP(A164,'Trips&amp;Operators'!$C$1:$E$10000,3,FALSE)</f>
        <v>DAVIS</v>
      </c>
      <c r="M164" s="6">
        <f t="shared" si="49"/>
        <v>1.265046295884531E-2</v>
      </c>
      <c r="N164" s="7">
        <f t="shared" si="61"/>
        <v>18.216666660737246</v>
      </c>
      <c r="O164" s="7"/>
      <c r="P164" s="7"/>
      <c r="Q164" s="26"/>
      <c r="R164" s="26"/>
      <c r="S164" s="38">
        <f t="shared" si="47"/>
        <v>1</v>
      </c>
      <c r="T164" s="53" t="str">
        <f t="shared" si="50"/>
        <v>Southbound</v>
      </c>
      <c r="U164" s="13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06:06:11-0600',mode:absolute,to:'2016-08-22 08:25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4" s="55" t="str">
        <f t="shared" si="52"/>
        <v>N</v>
      </c>
      <c r="X164" s="127">
        <f t="shared" si="62"/>
        <v>1</v>
      </c>
      <c r="Y164" s="70">
        <f t="shared" si="53"/>
        <v>5.8613</v>
      </c>
      <c r="Z164" s="70">
        <f t="shared" si="63"/>
        <v>6.2600000000000003E-2</v>
      </c>
      <c r="AA164" s="70">
        <f t="shared" si="55"/>
        <v>5.7987000000000002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56"/>
        <v>0806-22</v>
      </c>
      <c r="AE164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64" s="100" t="str">
        <f t="shared" si="58"/>
        <v>"C:\Program Files (x86)\AstroGrep\AstroGrep.exe" /spath="%USERPROFILE%\AppData\Local\Temp\OnboardLogs" /stypes="*4001*20160822*" /stext=" 13:.+((SYSTEM_STATE.+slice.+state.+changed )|(ment ac)|(system.+state.+changed )|(\|lc)|(penalty)|(\[timeout)|(PRM\|1\|D)|(kpr)|(kdp))" /e /r /s</v>
      </c>
      <c r="AG164" s="1" t="str">
        <f t="shared" si="59"/>
        <v>NW</v>
      </c>
      <c r="AH164" s="104" t="str">
        <f t="shared" si="60"/>
        <v>"%USERPROFILE%\Documents\GitHub\eaglep3\Utilities\RefineRTDCRunTimes.py" --tripid 806-22 --locoid 4001 --swversion DE.1.0.7.0 --startMP 300:58613 --initTime 2016-08-22T07:06:11 --startdatetime 2016-08-22T07:07:25 --delay 1 --endMP 204:626 --enddatetime 2016-08-22T07:25:38 --enforcementcount 0</v>
      </c>
    </row>
    <row r="165" spans="1:34" x14ac:dyDescent="0.25">
      <c r="A165" s="40" t="s">
        <v>565</v>
      </c>
      <c r="B165" s="7">
        <v>4042</v>
      </c>
      <c r="C165" s="25" t="s">
        <v>114</v>
      </c>
      <c r="D165" s="25" t="s">
        <v>566</v>
      </c>
      <c r="E165" s="16">
        <v>42604.303912037038</v>
      </c>
      <c r="F165" s="16">
        <v>42604.304780092592</v>
      </c>
      <c r="G165" s="7">
        <v>1</v>
      </c>
      <c r="H165" s="16" t="s">
        <v>567</v>
      </c>
      <c r="I165" s="16">
        <v>42604.316516203704</v>
      </c>
      <c r="J165" s="7">
        <v>0</v>
      </c>
      <c r="K165" s="140" t="str">
        <f t="shared" si="48"/>
        <v>4041/4042</v>
      </c>
      <c r="L165" s="25" t="str">
        <f>VLOOKUP(A165,'Trips&amp;Operators'!$C$1:$E$10000,3,FALSE)</f>
        <v>ROCHA</v>
      </c>
      <c r="M165" s="6">
        <f t="shared" si="49"/>
        <v>1.17361111115315E-2</v>
      </c>
      <c r="N165" s="7">
        <f t="shared" si="61"/>
        <v>16.90000000060536</v>
      </c>
      <c r="O165" s="7"/>
      <c r="P165" s="7"/>
      <c r="Q165" s="26"/>
      <c r="R165" s="26"/>
      <c r="S165" s="38">
        <f t="shared" si="47"/>
        <v>1</v>
      </c>
      <c r="T165" s="53" t="str">
        <f t="shared" si="50"/>
        <v>NorthBound</v>
      </c>
      <c r="U165" s="13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06:17:38-0600',mode:absolute,to:'2016-08-22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5" s="55" t="str">
        <f t="shared" si="52"/>
        <v>N</v>
      </c>
      <c r="X165" s="127">
        <f t="shared" si="62"/>
        <v>1</v>
      </c>
      <c r="Y165" s="70">
        <f t="shared" si="53"/>
        <v>9.0899999999999995E-2</v>
      </c>
      <c r="Z165" s="70">
        <f t="shared" si="63"/>
        <v>5.8987999999999996</v>
      </c>
      <c r="AA165" s="70">
        <f t="shared" si="55"/>
        <v>5.8078999999999992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56"/>
        <v>0807-22</v>
      </c>
      <c r="AE165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65" s="100" t="str">
        <f t="shared" si="58"/>
        <v>"C:\Program Files (x86)\AstroGrep\AstroGrep.exe" /spath="%USERPROFILE%\AppData\Local\Temp\OnboardLogs" /stypes="*4042*20160822*" /stext=" 13:.+((SYSTEM_STATE.+slice.+state.+changed )|(ment ac)|(system.+state.+changed )|(\|lc)|(penalty)|(\[timeout)|(PRM\|1\|D)|(kpr)|(kdp))" /e /r /s</v>
      </c>
      <c r="AG165" s="1" t="str">
        <f t="shared" si="59"/>
        <v>NW</v>
      </c>
      <c r="AH165" s="104" t="str">
        <f t="shared" si="60"/>
        <v>"%USERPROFILE%\Documents\GitHub\eaglep3\Utilities\RefineRTDCRunTimes.py" --tripid 807-22 --locoid 4042 --swversion DE.1.0.7.0 --startMP 204:909 --initTime 2016-08-22T07:17:38 --startdatetime 2016-08-22T07:18:53 --delay 1 --endMP 300:58988 --enddatetime 2016-08-22T07:35:47 --enforcementcount 0</v>
      </c>
    </row>
    <row r="166" spans="1:34" x14ac:dyDescent="0.25">
      <c r="A166" s="40" t="s">
        <v>568</v>
      </c>
      <c r="B166" s="7">
        <v>4041</v>
      </c>
      <c r="C166" s="25" t="s">
        <v>114</v>
      </c>
      <c r="D166" s="25" t="s">
        <v>569</v>
      </c>
      <c r="E166" s="16">
        <v>42604.318113425928</v>
      </c>
      <c r="F166" s="16">
        <v>42604.318912037037</v>
      </c>
      <c r="G166" s="7">
        <v>1</v>
      </c>
      <c r="H166" s="16" t="s">
        <v>570</v>
      </c>
      <c r="I166" s="16">
        <v>42604.330370370371</v>
      </c>
      <c r="J166" s="7">
        <v>0</v>
      </c>
      <c r="K166" s="140" t="str">
        <f t="shared" si="48"/>
        <v>4041/4042</v>
      </c>
      <c r="L166" s="25" t="str">
        <f>VLOOKUP(A166,'Trips&amp;Operators'!$C$1:$E$10000,3,FALSE)</f>
        <v>ROCHA</v>
      </c>
      <c r="M166" s="6">
        <f t="shared" si="49"/>
        <v>1.1458333334303461E-2</v>
      </c>
      <c r="N166" s="7">
        <f t="shared" si="61"/>
        <v>16.500000001396984</v>
      </c>
      <c r="O166" s="7"/>
      <c r="P166" s="7"/>
      <c r="Q166" s="26"/>
      <c r="R166" s="26"/>
      <c r="S166" s="38">
        <f t="shared" ref="S166:S197" si="64">SUM(U166:U166)/IF(AG166="EC",12,1)</f>
        <v>1</v>
      </c>
      <c r="T166" s="53" t="str">
        <f t="shared" si="50"/>
        <v>Southbound</v>
      </c>
      <c r="U166" s="13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06:38:05-0600',mode:absolute,to:'2016-08-22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6" s="55" t="str">
        <f t="shared" si="52"/>
        <v>N</v>
      </c>
      <c r="X166" s="127">
        <f t="shared" si="62"/>
        <v>1</v>
      </c>
      <c r="Y166" s="70">
        <f t="shared" si="53"/>
        <v>5.8688000000000002</v>
      </c>
      <c r="Z166" s="70">
        <f t="shared" si="63"/>
        <v>6.4199999999999993E-2</v>
      </c>
      <c r="AA166" s="70">
        <f t="shared" si="55"/>
        <v>5.8046000000000006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56"/>
        <v>0808-22</v>
      </c>
      <c r="AE166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66" s="100" t="str">
        <f t="shared" si="58"/>
        <v>"C:\Program Files (x86)\AstroGrep\AstroGrep.exe" /spath="%USERPROFILE%\AppData\Local\Temp\OnboardLogs" /stypes="*4041*20160822*" /stext=" 13:.+((SYSTEM_STATE.+slice.+state.+changed )|(ment ac)|(system.+state.+changed )|(\|lc)|(penalty)|(\[timeout)|(PRM\|1\|D)|(kpr)|(kdp))" /e /r /s</v>
      </c>
      <c r="AG166" s="1" t="str">
        <f t="shared" si="59"/>
        <v>NW</v>
      </c>
      <c r="AH166" s="104" t="str">
        <f t="shared" si="60"/>
        <v>"%USERPROFILE%\Documents\GitHub\eaglep3\Utilities\RefineRTDCRunTimes.py" --tripid 808-22 --locoid 4041 --swversion DE.1.0.7.0 --startMP 300:58688 --initTime 2016-08-22T07:38:05 --startdatetime 2016-08-22T07:39:14 --delay 1 --endMP 204:642 --enddatetime 2016-08-22T07:55:44 --enforcementcount 0</v>
      </c>
    </row>
    <row r="167" spans="1:34" s="24" customFormat="1" x14ac:dyDescent="0.25">
      <c r="A167" s="40" t="s">
        <v>571</v>
      </c>
      <c r="B167" s="7">
        <v>4002</v>
      </c>
      <c r="C167" s="25" t="s">
        <v>114</v>
      </c>
      <c r="D167" s="25" t="s">
        <v>572</v>
      </c>
      <c r="E167" s="16">
        <v>42604.321747685186</v>
      </c>
      <c r="F167" s="16">
        <v>42604.322557870371</v>
      </c>
      <c r="G167" s="7">
        <v>1</v>
      </c>
      <c r="H167" s="16" t="s">
        <v>573</v>
      </c>
      <c r="I167" s="16">
        <v>42604.337025462963</v>
      </c>
      <c r="J167" s="7">
        <v>0</v>
      </c>
      <c r="K167" s="140" t="str">
        <f t="shared" si="48"/>
        <v>4001/4002</v>
      </c>
      <c r="L167" s="25" t="str">
        <f>VLOOKUP(A167,'Trips&amp;Operators'!$C$1:$E$10000,3,FALSE)</f>
        <v>DAVIS</v>
      </c>
      <c r="M167" s="6">
        <f t="shared" si="49"/>
        <v>1.4467592591245193E-2</v>
      </c>
      <c r="N167" s="7">
        <f t="shared" si="61"/>
        <v>20.833333331393078</v>
      </c>
      <c r="O167" s="7"/>
      <c r="P167" s="7"/>
      <c r="Q167" s="26"/>
      <c r="R167" s="26"/>
      <c r="S167" s="38">
        <f t="shared" si="64"/>
        <v>1</v>
      </c>
      <c r="T167" s="53" t="str">
        <f t="shared" si="50"/>
        <v>NorthBound</v>
      </c>
      <c r="U167" s="13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06:43:19-0600',mode:absolute,to:'2016-08-22 09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7" s="55" t="str">
        <f t="shared" si="52"/>
        <v>N</v>
      </c>
      <c r="X167" s="127">
        <f t="shared" si="62"/>
        <v>1</v>
      </c>
      <c r="Y167" s="70">
        <f t="shared" si="53"/>
        <v>9.3200000000000005E-2</v>
      </c>
      <c r="Z167" s="70">
        <f t="shared" si="63"/>
        <v>5.8925999999999998</v>
      </c>
      <c r="AA167" s="70">
        <f t="shared" si="55"/>
        <v>5.7993999999999994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56"/>
        <v>0809-22</v>
      </c>
      <c r="AE167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67" s="100" t="str">
        <f t="shared" si="58"/>
        <v>"C:\Program Files (x86)\AstroGrep\AstroGrep.exe" /spath="%USERPROFILE%\AppData\Local\Temp\OnboardLogs" /stypes="*4002*20160822*" /stext=" 14:.+((SYSTEM_STATE.+slice.+state.+changed )|(ment ac)|(system.+state.+changed )|(\|lc)|(penalty)|(\[timeout)|(PRM\|1\|D)|(kpr)|(kdp))" /e /r /s</v>
      </c>
      <c r="AG167" s="1" t="str">
        <f t="shared" si="59"/>
        <v>NW</v>
      </c>
      <c r="AH167" s="104" t="str">
        <f t="shared" si="60"/>
        <v>"%USERPROFILE%\Documents\GitHub\eaglep3\Utilities\RefineRTDCRunTimes.py" --tripid 809-22 --locoid 4002 --swversion DE.1.0.7.0 --startMP 204:932 --initTime 2016-08-22T07:43:19 --startdatetime 2016-08-22T07:44:29 --delay 1 --endMP 300:58926 --enddatetime 2016-08-22T08:05:19 --enforcementcount 0</v>
      </c>
    </row>
    <row r="168" spans="1:34" x14ac:dyDescent="0.25">
      <c r="A168" s="40" t="s">
        <v>574</v>
      </c>
      <c r="B168" s="7">
        <v>4001</v>
      </c>
      <c r="C168" s="25" t="s">
        <v>114</v>
      </c>
      <c r="D168" s="25" t="s">
        <v>575</v>
      </c>
      <c r="E168" s="16">
        <v>42604.337789351855</v>
      </c>
      <c r="F168" s="16">
        <v>42604.338587962964</v>
      </c>
      <c r="G168" s="7">
        <v>1</v>
      </c>
      <c r="H168" s="16" t="s">
        <v>576</v>
      </c>
      <c r="I168" s="16">
        <v>42604.351840277777</v>
      </c>
      <c r="J168" s="7">
        <v>0</v>
      </c>
      <c r="K168" s="140" t="str">
        <f t="shared" si="48"/>
        <v>4001/4002</v>
      </c>
      <c r="L168" s="25" t="str">
        <f>VLOOKUP(A168,'Trips&amp;Operators'!$C$1:$E$10000,3,FALSE)</f>
        <v>DAVIS</v>
      </c>
      <c r="M168" s="6">
        <f t="shared" si="49"/>
        <v>1.3252314813144039E-2</v>
      </c>
      <c r="N168" s="7">
        <f t="shared" si="61"/>
        <v>19.083333330927417</v>
      </c>
      <c r="O168" s="7"/>
      <c r="P168" s="7"/>
      <c r="Q168" s="26"/>
      <c r="R168" s="26"/>
      <c r="S168" s="38">
        <f t="shared" si="64"/>
        <v>1</v>
      </c>
      <c r="T168" s="53" t="str">
        <f t="shared" si="50"/>
        <v>Southbound</v>
      </c>
      <c r="U168" s="13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07:06:25-0600',mode:absolute,to:'2016-08-22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8" s="55" t="str">
        <f t="shared" si="52"/>
        <v>N</v>
      </c>
      <c r="X168" s="127">
        <f t="shared" si="62"/>
        <v>1</v>
      </c>
      <c r="Y168" s="70">
        <f t="shared" si="53"/>
        <v>5.86</v>
      </c>
      <c r="Z168" s="70">
        <f t="shared" si="63"/>
        <v>6.3600000000000004E-2</v>
      </c>
      <c r="AA168" s="70">
        <f t="shared" si="55"/>
        <v>5.7964000000000002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56"/>
        <v>0810-22</v>
      </c>
      <c r="AE168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68" s="100" t="str">
        <f t="shared" si="58"/>
        <v>"C:\Program Files (x86)\AstroGrep\AstroGrep.exe" /spath="%USERPROFILE%\AppData\Local\Temp\OnboardLogs" /stypes="*4001*20160822*" /stext=" 14:.+((SYSTEM_STATE.+slice.+state.+changed )|(ment ac)|(system.+state.+changed )|(\|lc)|(penalty)|(\[timeout)|(PRM\|1\|D)|(kpr)|(kdp))" /e /r /s</v>
      </c>
      <c r="AG168" s="1" t="str">
        <f t="shared" si="59"/>
        <v>NW</v>
      </c>
      <c r="AH168" s="104" t="str">
        <f t="shared" si="60"/>
        <v>"%USERPROFILE%\Documents\GitHub\eaglep3\Utilities\RefineRTDCRunTimes.py" --tripid 810-22 --locoid 4001 --swversion DE.1.0.7.0 --startMP 300:58600 --initTime 2016-08-22T08:06:25 --startdatetime 2016-08-22T08:07:34 --delay 1 --endMP 204:636 --enddatetime 2016-08-22T08:26:39 --enforcementcount 0</v>
      </c>
    </row>
    <row r="169" spans="1:34" x14ac:dyDescent="0.25">
      <c r="A169" s="40" t="s">
        <v>577</v>
      </c>
      <c r="B169" s="7">
        <v>4042</v>
      </c>
      <c r="C169" s="25" t="s">
        <v>114</v>
      </c>
      <c r="D169" s="25" t="s">
        <v>578</v>
      </c>
      <c r="E169" s="16">
        <v>42604.347916666666</v>
      </c>
      <c r="F169" s="16">
        <v>42604.348657407405</v>
      </c>
      <c r="G169" s="7">
        <v>1</v>
      </c>
      <c r="H169" s="16" t="s">
        <v>579</v>
      </c>
      <c r="I169" s="16">
        <v>42604.358495370368</v>
      </c>
      <c r="J169" s="7">
        <v>0</v>
      </c>
      <c r="K169" s="140" t="str">
        <f t="shared" si="48"/>
        <v>4041/4042</v>
      </c>
      <c r="L169" s="25" t="str">
        <f>VLOOKUP(A169,'Trips&amp;Operators'!$C$1:$E$10000,3,FALSE)</f>
        <v>ROCHA</v>
      </c>
      <c r="M169" s="6">
        <f t="shared" si="49"/>
        <v>9.8379629635019228E-3</v>
      </c>
      <c r="N169" s="7">
        <f t="shared" si="61"/>
        <v>14.166666667442769</v>
      </c>
      <c r="O169" s="7"/>
      <c r="P169" s="7"/>
      <c r="Q169" s="26"/>
      <c r="R169" s="26"/>
      <c r="S169" s="38">
        <f t="shared" si="64"/>
        <v>1</v>
      </c>
      <c r="T169" s="53" t="str">
        <f t="shared" si="50"/>
        <v>NorthBound</v>
      </c>
      <c r="U169" s="13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07:21:00-0600',mode:absolute,to:'2016-08-22 09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9" s="55" t="str">
        <f t="shared" si="52"/>
        <v>N</v>
      </c>
      <c r="X169" s="127">
        <f t="shared" si="62"/>
        <v>1</v>
      </c>
      <c r="Y169" s="70">
        <f t="shared" si="53"/>
        <v>9.3899999999999997E-2</v>
      </c>
      <c r="Z169" s="70">
        <f t="shared" si="63"/>
        <v>5.8959999999999999</v>
      </c>
      <c r="AA169" s="70">
        <f t="shared" si="55"/>
        <v>5.8021000000000003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56"/>
        <v>0811-22</v>
      </c>
      <c r="AE169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69" s="100" t="str">
        <f t="shared" si="58"/>
        <v>"C:\Program Files (x86)\AstroGrep\AstroGrep.exe" /spath="%USERPROFILE%\AppData\Local\Temp\OnboardLogs" /stypes="*4042*20160822*" /stext=" 14:.+((SYSTEM_STATE.+slice.+state.+changed )|(ment ac)|(system.+state.+changed )|(\|lc)|(penalty)|(\[timeout)|(PRM\|1\|D)|(kpr)|(kdp))" /e /r /s</v>
      </c>
      <c r="AG169" s="1" t="str">
        <f t="shared" si="59"/>
        <v>NW</v>
      </c>
      <c r="AH169" s="104" t="str">
        <f t="shared" si="60"/>
        <v>"%USERPROFILE%\Documents\GitHub\eaglep3\Utilities\RefineRTDCRunTimes.py" --tripid 811-22 --locoid 4042 --swversion DE.1.0.7.0 --startMP 204:939 --initTime 2016-08-22T08:21:00 --startdatetime 2016-08-22T08:22:04 --delay 1 --endMP 300:58960 --enddatetime 2016-08-22T08:36:14 --enforcementcount 0</v>
      </c>
    </row>
    <row r="170" spans="1:34" x14ac:dyDescent="0.25">
      <c r="A170" s="40" t="s">
        <v>338</v>
      </c>
      <c r="B170" s="7">
        <v>4041</v>
      </c>
      <c r="C170" s="25" t="s">
        <v>114</v>
      </c>
      <c r="D170" s="25" t="s">
        <v>580</v>
      </c>
      <c r="E170" s="16">
        <v>42604.359675925924</v>
      </c>
      <c r="F170" s="16">
        <v>42604.360393518517</v>
      </c>
      <c r="G170" s="7">
        <v>1</v>
      </c>
      <c r="H170" s="16" t="s">
        <v>581</v>
      </c>
      <c r="I170" s="16">
        <v>42604.372094907405</v>
      </c>
      <c r="J170" s="7">
        <v>0</v>
      </c>
      <c r="K170" s="140" t="str">
        <f t="shared" si="48"/>
        <v>4041/4042</v>
      </c>
      <c r="L170" s="25" t="str">
        <f>VLOOKUP(A170,'Trips&amp;Operators'!$C$1:$E$10000,3,FALSE)</f>
        <v>ROCHA</v>
      </c>
      <c r="M170" s="6">
        <f t="shared" si="49"/>
        <v>1.17013888884685E-2</v>
      </c>
      <c r="N170" s="7">
        <f t="shared" si="61"/>
        <v>16.84999999939464</v>
      </c>
      <c r="O170" s="7"/>
      <c r="P170" s="7"/>
      <c r="Q170" s="26"/>
      <c r="R170" s="26"/>
      <c r="S170" s="38">
        <f t="shared" si="64"/>
        <v>1</v>
      </c>
      <c r="T170" s="53" t="str">
        <f t="shared" si="50"/>
        <v>Southbound</v>
      </c>
      <c r="U170" s="13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07:37:56-0600',mode:absolute,to:'2016-08-22 09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0" s="55" t="str">
        <f t="shared" si="52"/>
        <v>N</v>
      </c>
      <c r="X170" s="127">
        <f t="shared" si="62"/>
        <v>1</v>
      </c>
      <c r="Y170" s="70">
        <f t="shared" si="53"/>
        <v>5.8651</v>
      </c>
      <c r="Z170" s="70">
        <f t="shared" si="63"/>
        <v>9.7600000000000006E-2</v>
      </c>
      <c r="AA170" s="70">
        <f t="shared" si="55"/>
        <v>5.7675000000000001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56"/>
        <v>0812-22</v>
      </c>
      <c r="AE170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70" s="100" t="str">
        <f t="shared" si="58"/>
        <v>"C:\Program Files (x86)\AstroGrep\AstroGrep.exe" /spath="%USERPROFILE%\AppData\Local\Temp\OnboardLogs" /stypes="*4041*20160822*" /stext=" 14:.+((SYSTEM_STATE.+slice.+state.+changed )|(ment ac)|(system.+state.+changed )|(\|lc)|(penalty)|(\[timeout)|(PRM\|1\|D)|(kpr)|(kdp))" /e /r /s</v>
      </c>
      <c r="AG170" s="1" t="str">
        <f t="shared" si="59"/>
        <v>NW</v>
      </c>
      <c r="AH170" s="104" t="str">
        <f t="shared" si="60"/>
        <v>"%USERPROFILE%\Documents\GitHub\eaglep3\Utilities\RefineRTDCRunTimes.py" --tripid 812-22 --locoid 4041 --swversion DE.1.0.7.0 --startMP 300:58651 --initTime 2016-08-22T08:37:56 --startdatetime 2016-08-22T08:38:58 --delay 1 --endMP 204:976 --enddatetime 2016-08-22T08:55:49 --enforcementcount 0</v>
      </c>
    </row>
    <row r="171" spans="1:34" s="24" customFormat="1" x14ac:dyDescent="0.25">
      <c r="A171" s="40" t="s">
        <v>340</v>
      </c>
      <c r="B171" s="7">
        <v>4042</v>
      </c>
      <c r="C171" s="25" t="s">
        <v>114</v>
      </c>
      <c r="D171" s="25" t="s">
        <v>582</v>
      </c>
      <c r="E171" s="16">
        <v>42604.385509259257</v>
      </c>
      <c r="F171" s="16">
        <v>42604.386689814812</v>
      </c>
      <c r="G171" s="7">
        <v>1</v>
      </c>
      <c r="H171" s="16" t="s">
        <v>583</v>
      </c>
      <c r="I171" s="16">
        <v>42604.40011574074</v>
      </c>
      <c r="J171" s="7">
        <v>0</v>
      </c>
      <c r="K171" s="140" t="str">
        <f t="shared" si="48"/>
        <v>4041/4042</v>
      </c>
      <c r="L171" s="25" t="str">
        <f>VLOOKUP(A171,'Trips&amp;Operators'!$C$1:$E$10000,3,FALSE)</f>
        <v>ROCHA</v>
      </c>
      <c r="M171" s="6">
        <f t="shared" si="49"/>
        <v>1.3425925928459037E-2</v>
      </c>
      <c r="N171" s="7">
        <f t="shared" si="61"/>
        <v>19.333333336981013</v>
      </c>
      <c r="O171" s="7"/>
      <c r="P171" s="7"/>
      <c r="Q171" s="26"/>
      <c r="R171" s="26"/>
      <c r="S171" s="38">
        <f t="shared" si="64"/>
        <v>1</v>
      </c>
      <c r="T171" s="53" t="str">
        <f t="shared" si="50"/>
        <v>NorthBound</v>
      </c>
      <c r="U171" s="13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08:15:08-0600',mode:absolute,to:'2016-08-22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1" s="55" t="str">
        <f t="shared" si="52"/>
        <v>N</v>
      </c>
      <c r="X171" s="127">
        <f t="shared" si="62"/>
        <v>1</v>
      </c>
      <c r="Y171" s="70">
        <f t="shared" si="53"/>
        <v>8.8700000000000001E-2</v>
      </c>
      <c r="Z171" s="70">
        <f t="shared" si="63"/>
        <v>5.8982000000000001</v>
      </c>
      <c r="AA171" s="70">
        <f t="shared" si="55"/>
        <v>5.8094999999999999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56"/>
        <v>0813-22</v>
      </c>
      <c r="AE171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71" s="100" t="str">
        <f t="shared" si="58"/>
        <v>"C:\Program Files (x86)\AstroGrep\AstroGrep.exe" /spath="%USERPROFILE%\AppData\Local\Temp\OnboardLogs" /stypes="*4042*20160822*" /stext=" 15:.+((SYSTEM_STATE.+slice.+state.+changed )|(ment ac)|(system.+state.+changed )|(\|lc)|(penalty)|(\[timeout)|(PRM\|1\|D)|(kpr)|(kdp))" /e /r /s</v>
      </c>
      <c r="AG171" s="1" t="str">
        <f t="shared" si="59"/>
        <v>NW</v>
      </c>
      <c r="AH171" s="104" t="str">
        <f t="shared" si="60"/>
        <v>"%USERPROFILE%\Documents\GitHub\eaglep3\Utilities\RefineRTDCRunTimes.py" --tripid 813-22 --locoid 4042 --swversion DE.1.0.7.0 --startMP 204:887 --initTime 2016-08-22T09:15:08 --startdatetime 2016-08-22T09:16:50 --delay 1 --endMP 300:58982 --enddatetime 2016-08-22T09:36:10 --enforcementcount 0</v>
      </c>
    </row>
    <row r="172" spans="1:34" s="24" customFormat="1" x14ac:dyDescent="0.25">
      <c r="A172" s="40" t="s">
        <v>584</v>
      </c>
      <c r="B172" s="7">
        <v>4041</v>
      </c>
      <c r="C172" s="25" t="s">
        <v>114</v>
      </c>
      <c r="D172" s="25" t="s">
        <v>585</v>
      </c>
      <c r="E172" s="16">
        <v>42604.40121527778</v>
      </c>
      <c r="F172" s="16">
        <v>42604.40216435185</v>
      </c>
      <c r="G172" s="7">
        <v>1</v>
      </c>
      <c r="H172" s="16" t="s">
        <v>586</v>
      </c>
      <c r="I172" s="16">
        <v>42604.41300925926</v>
      </c>
      <c r="J172" s="7">
        <v>0</v>
      </c>
      <c r="K172" s="140" t="str">
        <f t="shared" si="48"/>
        <v>4041/4042</v>
      </c>
      <c r="L172" s="25" t="str">
        <f>VLOOKUP(A172,'Trips&amp;Operators'!$C$1:$E$10000,3,FALSE)</f>
        <v>ROCHA</v>
      </c>
      <c r="M172" s="6">
        <f t="shared" si="49"/>
        <v>1.0844907410501037E-2</v>
      </c>
      <c r="N172" s="7">
        <f t="shared" si="61"/>
        <v>15.616666671121493</v>
      </c>
      <c r="O172" s="7"/>
      <c r="P172" s="7"/>
      <c r="Q172" s="26"/>
      <c r="R172" s="26"/>
      <c r="S172" s="38">
        <f t="shared" si="64"/>
        <v>1</v>
      </c>
      <c r="T172" s="53" t="str">
        <f t="shared" si="50"/>
        <v>Southbound</v>
      </c>
      <c r="U172" s="13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08:37:45-0600',mode:absolute,to:'2016-08-22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2" s="55" t="str">
        <f t="shared" si="52"/>
        <v>N</v>
      </c>
      <c r="X172" s="127">
        <f t="shared" si="62"/>
        <v>1</v>
      </c>
      <c r="Y172" s="70">
        <f t="shared" si="53"/>
        <v>5.8677000000000001</v>
      </c>
      <c r="Z172" s="70">
        <f t="shared" si="63"/>
        <v>6.9099999999999995E-2</v>
      </c>
      <c r="AA172" s="70">
        <f t="shared" si="55"/>
        <v>5.7986000000000004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56"/>
        <v>0814-22</v>
      </c>
      <c r="AE172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72" s="100" t="str">
        <f t="shared" si="58"/>
        <v>"C:\Program Files (x86)\AstroGrep\AstroGrep.exe" /spath="%USERPROFILE%\AppData\Local\Temp\OnboardLogs" /stypes="*4041*20160822*" /stext=" 15:.+((SYSTEM_STATE.+slice.+state.+changed )|(ment ac)|(system.+state.+changed )|(\|lc)|(penalty)|(\[timeout)|(PRM\|1\|D)|(kpr)|(kdp))" /e /r /s</v>
      </c>
      <c r="AG172" s="1" t="str">
        <f t="shared" si="59"/>
        <v>NW</v>
      </c>
      <c r="AH172" s="104" t="str">
        <f t="shared" si="60"/>
        <v>"%USERPROFILE%\Documents\GitHub\eaglep3\Utilities\RefineRTDCRunTimes.py" --tripid 814-22 --locoid 4041 --swversion DE.1.0.7.0 --startMP 300:58677 --initTime 2016-08-22T09:37:45 --startdatetime 2016-08-22T09:39:07 --delay 1 --endMP 204:691 --enddatetime 2016-08-22T09:54:44 --enforcementcount 0</v>
      </c>
    </row>
    <row r="173" spans="1:34" s="24" customFormat="1" x14ac:dyDescent="0.25">
      <c r="A173" s="40" t="s">
        <v>587</v>
      </c>
      <c r="B173" s="7">
        <v>4042</v>
      </c>
      <c r="C173" s="25" t="s">
        <v>114</v>
      </c>
      <c r="D173" s="25" t="s">
        <v>588</v>
      </c>
      <c r="E173" s="16">
        <v>42604.431689814817</v>
      </c>
      <c r="F173" s="16">
        <v>42604.432557870372</v>
      </c>
      <c r="G173" s="7">
        <v>1</v>
      </c>
      <c r="H173" s="16" t="s">
        <v>589</v>
      </c>
      <c r="I173" s="16">
        <v>42604.442361111112</v>
      </c>
      <c r="J173" s="7">
        <v>0</v>
      </c>
      <c r="K173" s="140" t="str">
        <f t="shared" si="48"/>
        <v>4041/4042</v>
      </c>
      <c r="L173" s="25" t="str">
        <f>VLOOKUP(A173,'Trips&amp;Operators'!$C$1:$E$10000,3,FALSE)</f>
        <v>ROCHA</v>
      </c>
      <c r="M173" s="6">
        <f t="shared" si="49"/>
        <v>9.8032407404389232E-3</v>
      </c>
      <c r="N173" s="7">
        <f t="shared" si="61"/>
        <v>14.116666666232049</v>
      </c>
      <c r="O173" s="7"/>
      <c r="P173" s="7"/>
      <c r="Q173" s="26"/>
      <c r="R173" s="26"/>
      <c r="S173" s="38">
        <f t="shared" si="64"/>
        <v>1</v>
      </c>
      <c r="T173" s="53" t="str">
        <f t="shared" si="50"/>
        <v>NorthBound</v>
      </c>
      <c r="U173" s="13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09:21:38-0600',mode:absolute,to:'2016-08-22 11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3" s="55" t="str">
        <f t="shared" si="52"/>
        <v>N</v>
      </c>
      <c r="X173" s="127">
        <f t="shared" si="62"/>
        <v>1</v>
      </c>
      <c r="Y173" s="70">
        <f t="shared" si="53"/>
        <v>9.8100000000000007E-2</v>
      </c>
      <c r="Z173" s="70">
        <f t="shared" si="63"/>
        <v>5.8998999999999997</v>
      </c>
      <c r="AA173" s="70">
        <f t="shared" si="55"/>
        <v>5.8018000000000001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56"/>
        <v>0815-22</v>
      </c>
      <c r="AE173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73" s="100" t="str">
        <f t="shared" si="58"/>
        <v>"C:\Program Files (x86)\AstroGrep\AstroGrep.exe" /spath="%USERPROFILE%\AppData\Local\Temp\OnboardLogs" /stypes="*4042*20160822*" /stext=" 16:.+((SYSTEM_STATE.+slice.+state.+changed )|(ment ac)|(system.+state.+changed )|(\|lc)|(penalty)|(\[timeout)|(PRM\|1\|D)|(kpr)|(kdp))" /e /r /s</v>
      </c>
      <c r="AG173" s="1" t="str">
        <f t="shared" si="59"/>
        <v>NW</v>
      </c>
      <c r="AH173" s="104" t="str">
        <f t="shared" si="60"/>
        <v>"%USERPROFILE%\Documents\GitHub\eaglep3\Utilities\RefineRTDCRunTimes.py" --tripid 815-22 --locoid 4042 --swversion DE.1.0.7.0 --startMP 204:981 --initTime 2016-08-22T10:21:38 --startdatetime 2016-08-22T10:22:53 --delay 1 --endMP 300:58999 --enddatetime 2016-08-22T10:37:00 --enforcementcount 0</v>
      </c>
    </row>
    <row r="174" spans="1:34" s="24" customFormat="1" x14ac:dyDescent="0.25">
      <c r="A174" s="40" t="s">
        <v>590</v>
      </c>
      <c r="B174" s="7">
        <v>4041</v>
      </c>
      <c r="C174" s="25" t="s">
        <v>114</v>
      </c>
      <c r="D174" s="25" t="s">
        <v>569</v>
      </c>
      <c r="E174" s="16">
        <v>42604.443067129629</v>
      </c>
      <c r="F174" s="16">
        <v>42604.443981481483</v>
      </c>
      <c r="G174" s="7">
        <v>1</v>
      </c>
      <c r="H174" s="16" t="s">
        <v>591</v>
      </c>
      <c r="I174" s="16">
        <v>42604.455474537041</v>
      </c>
      <c r="J174" s="7">
        <v>0</v>
      </c>
      <c r="K174" s="140" t="str">
        <f t="shared" si="48"/>
        <v>4041/4042</v>
      </c>
      <c r="L174" s="25" t="str">
        <f>VLOOKUP(A174,'Trips&amp;Operators'!$C$1:$E$10000,3,FALSE)</f>
        <v>ROCHA</v>
      </c>
      <c r="M174" s="6">
        <f t="shared" si="49"/>
        <v>1.1493055557366461E-2</v>
      </c>
      <c r="N174" s="7">
        <f t="shared" si="61"/>
        <v>16.550000002607703</v>
      </c>
      <c r="O174" s="7"/>
      <c r="P174" s="7"/>
      <c r="Q174" s="26"/>
      <c r="R174" s="26"/>
      <c r="S174" s="38">
        <f t="shared" si="64"/>
        <v>1</v>
      </c>
      <c r="T174" s="53" t="str">
        <f t="shared" si="50"/>
        <v>Southbound</v>
      </c>
      <c r="U174" s="13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09:38:01-0600',mode:absolute,to:'2016-08-22 11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4" s="55" t="str">
        <f t="shared" si="52"/>
        <v>N</v>
      </c>
      <c r="X174" s="127">
        <f t="shared" si="62"/>
        <v>1</v>
      </c>
      <c r="Y174" s="70">
        <f t="shared" si="53"/>
        <v>5.8688000000000002</v>
      </c>
      <c r="Z174" s="70">
        <f t="shared" si="63"/>
        <v>6.5000000000000002E-2</v>
      </c>
      <c r="AA174" s="70">
        <f t="shared" si="55"/>
        <v>5.8037999999999998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56"/>
        <v>0816-22</v>
      </c>
      <c r="AE174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74" s="100" t="str">
        <f t="shared" si="58"/>
        <v>"C:\Program Files (x86)\AstroGrep\AstroGrep.exe" /spath="%USERPROFILE%\AppData\Local\Temp\OnboardLogs" /stypes="*4041*20160822*" /stext=" 16:.+((SYSTEM_STATE.+slice.+state.+changed )|(ment ac)|(system.+state.+changed )|(\|lc)|(penalty)|(\[timeout)|(PRM\|1\|D)|(kpr)|(kdp))" /e /r /s</v>
      </c>
      <c r="AG174" s="1" t="str">
        <f t="shared" si="59"/>
        <v>NW</v>
      </c>
      <c r="AH174" s="104" t="str">
        <f t="shared" si="60"/>
        <v>"%USERPROFILE%\Documents\GitHub\eaglep3\Utilities\RefineRTDCRunTimes.py" --tripid 816-22 --locoid 4041 --swversion DE.1.0.7.0 --startMP 300:58688 --initTime 2016-08-22T10:38:01 --startdatetime 2016-08-22T10:39:20 --delay 1 --endMP 204:650 --enddatetime 2016-08-22T10:55:53 --enforcementcount 0</v>
      </c>
    </row>
    <row r="175" spans="1:34" x14ac:dyDescent="0.25">
      <c r="A175" s="40" t="s">
        <v>344</v>
      </c>
      <c r="B175" s="7">
        <v>4042</v>
      </c>
      <c r="C175" s="25" t="s">
        <v>114</v>
      </c>
      <c r="D175" s="25" t="s">
        <v>588</v>
      </c>
      <c r="E175" s="16">
        <v>42604.46597222222</v>
      </c>
      <c r="F175" s="16">
        <v>42604.468206018515</v>
      </c>
      <c r="G175" s="7">
        <v>3</v>
      </c>
      <c r="H175" s="16" t="s">
        <v>567</v>
      </c>
      <c r="I175" s="16">
        <v>42604.484444444446</v>
      </c>
      <c r="J175" s="7">
        <v>0</v>
      </c>
      <c r="K175" s="140" t="str">
        <f t="shared" si="48"/>
        <v>4041/4042</v>
      </c>
      <c r="L175" s="25" t="str">
        <f>VLOOKUP(A175,'Trips&amp;Operators'!$C$1:$E$10000,3,FALSE)</f>
        <v>ROCHA</v>
      </c>
      <c r="M175" s="6">
        <f t="shared" si="49"/>
        <v>1.6238425931078382E-2</v>
      </c>
      <c r="N175" s="7">
        <f t="shared" si="61"/>
        <v>23.38333334075287</v>
      </c>
      <c r="O175" s="7"/>
      <c r="P175" s="7"/>
      <c r="Q175" s="26"/>
      <c r="R175" s="26"/>
      <c r="S175" s="38">
        <f t="shared" si="64"/>
        <v>1</v>
      </c>
      <c r="T175" s="53" t="str">
        <f t="shared" si="50"/>
        <v>NorthBound</v>
      </c>
      <c r="U175" s="13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10:11:00-0600',mode:absolute,to:'2016-08-22 12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5" s="55" t="str">
        <f t="shared" si="52"/>
        <v>N</v>
      </c>
      <c r="X175" s="127">
        <f t="shared" si="62"/>
        <v>1</v>
      </c>
      <c r="Y175" s="70">
        <f t="shared" si="53"/>
        <v>9.8100000000000007E-2</v>
      </c>
      <c r="Z175" s="70">
        <f t="shared" si="63"/>
        <v>5.8987999999999996</v>
      </c>
      <c r="AA175" s="70">
        <f t="shared" si="55"/>
        <v>5.8007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56"/>
        <v>0817-22</v>
      </c>
      <c r="AE175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75" s="100" t="str">
        <f t="shared" si="58"/>
        <v>"C:\Program Files (x86)\AstroGrep\AstroGrep.exe" /spath="%USERPROFILE%\AppData\Local\Temp\OnboardLogs" /stypes="*4042*20160822*" /stext=" 17:.+((SYSTEM_STATE.+slice.+state.+changed )|(ment ac)|(system.+state.+changed )|(\|lc)|(penalty)|(\[timeout)|(PRM\|1\|D)|(kpr)|(kdp))" /e /r /s</v>
      </c>
      <c r="AG175" s="1" t="str">
        <f t="shared" si="59"/>
        <v>NW</v>
      </c>
      <c r="AH175" s="104" t="str">
        <f t="shared" si="60"/>
        <v>"%USERPROFILE%\Documents\GitHub\eaglep3\Utilities\RefineRTDCRunTimes.py" --tripid 817-22 --locoid 4042 --swversion DE.1.0.7.0 --startMP 204:981 --initTime 2016-08-22T11:11:00 --startdatetime 2016-08-22T11:14:13 --delay 3 --endMP 300:58988 --enddatetime 2016-08-22T11:37:36 --enforcementcount 0</v>
      </c>
    </row>
    <row r="176" spans="1:34" x14ac:dyDescent="0.25">
      <c r="A176" s="40" t="s">
        <v>345</v>
      </c>
      <c r="B176" s="7">
        <v>4041</v>
      </c>
      <c r="C176" s="25" t="s">
        <v>114</v>
      </c>
      <c r="D176" s="25" t="s">
        <v>592</v>
      </c>
      <c r="E176" s="16">
        <v>42604.48542824074</v>
      </c>
      <c r="F176" s="16">
        <v>42604.486296296294</v>
      </c>
      <c r="G176" s="7">
        <v>1</v>
      </c>
      <c r="H176" s="16" t="s">
        <v>593</v>
      </c>
      <c r="I176" s="16">
        <v>42604.496539351851</v>
      </c>
      <c r="J176" s="7">
        <v>0</v>
      </c>
      <c r="K176" s="140" t="str">
        <f t="shared" si="48"/>
        <v>4041/4042</v>
      </c>
      <c r="L176" s="25" t="str">
        <f>VLOOKUP(A176,'Trips&amp;Operators'!$C$1:$E$10000,3,FALSE)</f>
        <v>ROCHA</v>
      </c>
      <c r="M176" s="6">
        <f t="shared" si="49"/>
        <v>1.0243055556202307E-2</v>
      </c>
      <c r="N176" s="7">
        <f t="shared" si="61"/>
        <v>14.750000000931323</v>
      </c>
      <c r="O176" s="7"/>
      <c r="P176" s="7"/>
      <c r="Q176" s="26"/>
      <c r="R176" s="26"/>
      <c r="S176" s="38">
        <f t="shared" si="64"/>
        <v>1</v>
      </c>
      <c r="T176" s="53" t="str">
        <f t="shared" si="50"/>
        <v>Southbound</v>
      </c>
      <c r="U176" s="13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10:39:01-0600',mode:absolute,to:'2016-08-22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6" s="55" t="str">
        <f t="shared" si="52"/>
        <v>N</v>
      </c>
      <c r="X176" s="127">
        <f t="shared" si="62"/>
        <v>1</v>
      </c>
      <c r="Y176" s="70">
        <f t="shared" si="53"/>
        <v>5.8674999999999997</v>
      </c>
      <c r="Z176" s="70">
        <f t="shared" si="63"/>
        <v>7.3099999999999998E-2</v>
      </c>
      <c r="AA176" s="70">
        <f t="shared" si="55"/>
        <v>5.7943999999999996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56"/>
        <v>0818-22</v>
      </c>
      <c r="AE176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76" s="100" t="str">
        <f t="shared" si="58"/>
        <v>"C:\Program Files (x86)\AstroGrep\AstroGrep.exe" /spath="%USERPROFILE%\AppData\Local\Temp\OnboardLogs" /stypes="*4041*20160822*" /stext=" 17:.+((SYSTEM_STATE.+slice.+state.+changed )|(ment ac)|(system.+state.+changed )|(\|lc)|(penalty)|(\[timeout)|(PRM\|1\|D)|(kpr)|(kdp))" /e /r /s</v>
      </c>
      <c r="AG176" s="1" t="str">
        <f t="shared" si="59"/>
        <v>NW</v>
      </c>
      <c r="AH176" s="104" t="str">
        <f t="shared" si="60"/>
        <v>"%USERPROFILE%\Documents\GitHub\eaglep3\Utilities\RefineRTDCRunTimes.py" --tripid 818-22 --locoid 4041 --swversion DE.1.0.7.0 --startMP 300:58675 --initTime 2016-08-22T11:39:01 --startdatetime 2016-08-22T11:40:16 --delay 1 --endMP 204:731 --enddatetime 2016-08-22T11:55:01 --enforcementcount 0</v>
      </c>
    </row>
    <row r="177" spans="1:34" s="24" customFormat="1" x14ac:dyDescent="0.25">
      <c r="A177" s="40" t="s">
        <v>348</v>
      </c>
      <c r="B177" s="7">
        <v>4042</v>
      </c>
      <c r="C177" s="25" t="s">
        <v>114</v>
      </c>
      <c r="D177" s="25" t="s">
        <v>295</v>
      </c>
      <c r="E177" s="16">
        <v>42604.513275462959</v>
      </c>
      <c r="F177" s="16">
        <v>42604.514328703706</v>
      </c>
      <c r="G177" s="7">
        <v>1</v>
      </c>
      <c r="H177" s="16" t="s">
        <v>594</v>
      </c>
      <c r="I177" s="16">
        <v>42604.52416666667</v>
      </c>
      <c r="J177" s="7">
        <v>0</v>
      </c>
      <c r="K177" s="140" t="str">
        <f t="shared" si="48"/>
        <v>4041/4042</v>
      </c>
      <c r="L177" s="25" t="str">
        <f>VLOOKUP(A177,'Trips&amp;Operators'!$C$1:$E$10000,3,FALSE)</f>
        <v>ROCHA</v>
      </c>
      <c r="M177" s="6">
        <f t="shared" si="49"/>
        <v>9.8379629635019228E-3</v>
      </c>
      <c r="N177" s="7">
        <f t="shared" si="61"/>
        <v>14.166666667442769</v>
      </c>
      <c r="O177" s="7"/>
      <c r="P177" s="7"/>
      <c r="Q177" s="26"/>
      <c r="R177" s="26"/>
      <c r="S177" s="38">
        <f t="shared" si="64"/>
        <v>1</v>
      </c>
      <c r="T177" s="53" t="str">
        <f t="shared" si="50"/>
        <v>NorthBound</v>
      </c>
      <c r="U177" s="13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11:19:07-0600',mode:absolute,to:'2016-08-22 13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7" s="55" t="str">
        <f t="shared" si="52"/>
        <v>N</v>
      </c>
      <c r="X177" s="127">
        <f t="shared" si="62"/>
        <v>1</v>
      </c>
      <c r="Y177" s="70">
        <f t="shared" si="53"/>
        <v>0.1037</v>
      </c>
      <c r="Z177" s="70">
        <f t="shared" si="63"/>
        <v>5.9001000000000001</v>
      </c>
      <c r="AA177" s="70">
        <f t="shared" si="55"/>
        <v>5.7964000000000002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56"/>
        <v>0819-22</v>
      </c>
      <c r="AE177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77" s="100" t="str">
        <f t="shared" si="58"/>
        <v>"C:\Program Files (x86)\AstroGrep\AstroGrep.exe" /spath="%USERPROFILE%\AppData\Local\Temp\OnboardLogs" /stypes="*4042*20160822*" /stext=" 18:.+((SYSTEM_STATE.+slice.+state.+changed )|(ment ac)|(system.+state.+changed )|(\|lc)|(penalty)|(\[timeout)|(PRM\|1\|D)|(kpr)|(kdp))" /e /r /s</v>
      </c>
      <c r="AG177" s="1" t="str">
        <f t="shared" si="59"/>
        <v>NW</v>
      </c>
      <c r="AH177" s="104" t="str">
        <f t="shared" si="60"/>
        <v>"%USERPROFILE%\Documents\GitHub\eaglep3\Utilities\RefineRTDCRunTimes.py" --tripid 819-22 --locoid 4042 --swversion DE.1.0.7.0 --startMP 204:1037 --initTime 2016-08-22T12:19:07 --startdatetime 2016-08-22T12:20:38 --delay 1 --endMP 300:59001 --enddatetime 2016-08-22T12:34:48 --enforcementcount 0</v>
      </c>
    </row>
    <row r="178" spans="1:34" s="24" customFormat="1" x14ac:dyDescent="0.25">
      <c r="A178" s="40" t="s">
        <v>595</v>
      </c>
      <c r="B178" s="7">
        <v>4041</v>
      </c>
      <c r="C178" s="25" t="s">
        <v>114</v>
      </c>
      <c r="D178" s="25" t="s">
        <v>596</v>
      </c>
      <c r="E178" s="16">
        <v>42604.525312500002</v>
      </c>
      <c r="F178" s="16">
        <v>42604.526354166665</v>
      </c>
      <c r="G178" s="7">
        <v>1</v>
      </c>
      <c r="H178" s="16" t="s">
        <v>597</v>
      </c>
      <c r="I178" s="16">
        <v>42604.580555555556</v>
      </c>
      <c r="J178" s="7">
        <v>0</v>
      </c>
      <c r="K178" s="140" t="str">
        <f t="shared" si="48"/>
        <v>4041/4042</v>
      </c>
      <c r="L178" s="25" t="str">
        <f>VLOOKUP(A178,'Trips&amp;Operators'!$C$1:$E$10000,3,FALSE)</f>
        <v>ROCHA</v>
      </c>
      <c r="M178" s="6">
        <f t="shared" si="49"/>
        <v>5.4201388891669922E-2</v>
      </c>
      <c r="N178" s="7">
        <f t="shared" ref="N178:N209" si="65">24*60*SUM($M178:$M178)</f>
        <v>78.050000004004687</v>
      </c>
      <c r="O178" s="7"/>
      <c r="P178" s="7"/>
      <c r="Q178" s="26"/>
      <c r="R178" s="26"/>
      <c r="S178" s="38">
        <f t="shared" si="64"/>
        <v>1</v>
      </c>
      <c r="T178" s="53" t="str">
        <f t="shared" si="50"/>
        <v>Southbound</v>
      </c>
      <c r="U178" s="13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11:36:27-0600',mode:absolute,to:'2016-08-22 14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8" s="55" t="str">
        <f t="shared" si="52"/>
        <v>N</v>
      </c>
      <c r="X178" s="127">
        <f t="shared" si="62"/>
        <v>1</v>
      </c>
      <c r="Y178" s="70">
        <f t="shared" si="53"/>
        <v>5.8685</v>
      </c>
      <c r="Z178" s="70">
        <f t="shared" si="63"/>
        <v>6.8500000000000005E-2</v>
      </c>
      <c r="AA178" s="70">
        <f t="shared" si="55"/>
        <v>5.8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56"/>
        <v>0820-22</v>
      </c>
      <c r="AE178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78" s="100" t="str">
        <f t="shared" si="58"/>
        <v>"C:\Program Files (x86)\AstroGrep\AstroGrep.exe" /spath="%USERPROFILE%\AppData\Local\Temp\OnboardLogs" /stypes="*4041*20160822*" /stext=" 19:.+((SYSTEM_STATE.+slice.+state.+changed )|(ment ac)|(system.+state.+changed )|(\|lc)|(penalty)|(\[timeout)|(PRM\|1\|D)|(kpr)|(kdp))" /e /r /s</v>
      </c>
      <c r="AG178" s="1" t="str">
        <f t="shared" si="59"/>
        <v>NW</v>
      </c>
      <c r="AH178" s="104" t="str">
        <f t="shared" si="60"/>
        <v>"%USERPROFILE%\Documents\GitHub\eaglep3\Utilities\RefineRTDCRunTimes.py" --tripid 820-22 --locoid 4041 --swversion DE.1.0.7.0 --startMP 300:58685 --initTime 2016-08-22T12:36:27 --startdatetime 2016-08-22T12:37:57 --delay 1 --endMP 204:685 --enddatetime 2016-08-22T13:56:00 --enforcementcount 0</v>
      </c>
    </row>
    <row r="179" spans="1:34" x14ac:dyDescent="0.25">
      <c r="A179" s="40" t="s">
        <v>598</v>
      </c>
      <c r="B179" s="7">
        <v>4042</v>
      </c>
      <c r="C179" s="25" t="s">
        <v>114</v>
      </c>
      <c r="D179" s="25" t="s">
        <v>599</v>
      </c>
      <c r="E179" s="16">
        <v>42604.547905092593</v>
      </c>
      <c r="F179" s="16">
        <v>42604.549756944441</v>
      </c>
      <c r="G179" s="7">
        <v>2</v>
      </c>
      <c r="H179" s="16" t="s">
        <v>600</v>
      </c>
      <c r="I179" s="16">
        <v>42604.565659722219</v>
      </c>
      <c r="J179" s="7">
        <v>0</v>
      </c>
      <c r="K179" s="140" t="str">
        <f t="shared" si="48"/>
        <v>4041/4042</v>
      </c>
      <c r="L179" s="25" t="str">
        <f>VLOOKUP(A179,'Trips&amp;Operators'!$C$1:$E$10000,3,FALSE)</f>
        <v>ISHMAEL</v>
      </c>
      <c r="M179" s="6">
        <f t="shared" si="49"/>
        <v>1.5902777777228039E-2</v>
      </c>
      <c r="N179" s="7">
        <f t="shared" si="65"/>
        <v>22.899999999208376</v>
      </c>
      <c r="O179" s="7"/>
      <c r="P179" s="7"/>
      <c r="Q179" s="26"/>
      <c r="R179" s="26"/>
      <c r="S179" s="38">
        <f t="shared" si="64"/>
        <v>1</v>
      </c>
      <c r="T179" s="53" t="str">
        <f t="shared" si="50"/>
        <v>NorthBound</v>
      </c>
      <c r="U179" s="13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12:08:59-0600',mode:absolute,to:'2016-08-22 14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9" s="55" t="str">
        <f t="shared" si="52"/>
        <v>N</v>
      </c>
      <c r="X179" s="127">
        <f t="shared" si="62"/>
        <v>1</v>
      </c>
      <c r="Y179" s="70">
        <f t="shared" si="53"/>
        <v>8.8800000000000004E-2</v>
      </c>
      <c r="Z179" s="70">
        <f t="shared" si="63"/>
        <v>5.8924000000000003</v>
      </c>
      <c r="AA179" s="70">
        <f t="shared" si="55"/>
        <v>5.8036000000000003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56"/>
        <v>0821-22</v>
      </c>
      <c r="AE179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79" s="100" t="str">
        <f t="shared" si="58"/>
        <v>"C:\Program Files (x86)\AstroGrep\AstroGrep.exe" /spath="%USERPROFILE%\AppData\Local\Temp\OnboardLogs" /stypes="*4042*20160822*" /stext=" 19:.+((SYSTEM_STATE.+slice.+state.+changed )|(ment ac)|(system.+state.+changed )|(\|lc)|(penalty)|(\[timeout)|(PRM\|1\|D)|(kpr)|(kdp))" /e /r /s</v>
      </c>
      <c r="AG179" s="1" t="str">
        <f t="shared" si="59"/>
        <v>NW</v>
      </c>
      <c r="AH179" s="104" t="str">
        <f t="shared" si="60"/>
        <v>"%USERPROFILE%\Documents\GitHub\eaglep3\Utilities\RefineRTDCRunTimes.py" --tripid 821-22 --locoid 4042 --swversion DE.1.0.7.0 --startMP 204:888 --initTime 2016-08-22T13:08:59 --startdatetime 2016-08-22T13:11:39 --delay 2 --endMP 300:58924 --enddatetime 2016-08-22T13:34:33 --enforcementcount 0</v>
      </c>
    </row>
    <row r="180" spans="1:34" x14ac:dyDescent="0.25">
      <c r="A180" s="40" t="s">
        <v>601</v>
      </c>
      <c r="B180" s="7">
        <v>4041</v>
      </c>
      <c r="C180" s="25" t="s">
        <v>114</v>
      </c>
      <c r="D180" s="25" t="s">
        <v>602</v>
      </c>
      <c r="E180" s="16">
        <v>42604.567245370374</v>
      </c>
      <c r="F180" s="16">
        <v>42604.568472222221</v>
      </c>
      <c r="G180" s="7">
        <v>1</v>
      </c>
      <c r="H180" s="16" t="s">
        <v>597</v>
      </c>
      <c r="I180" s="16">
        <v>42604.580555555556</v>
      </c>
      <c r="J180" s="7">
        <v>0</v>
      </c>
      <c r="K180" s="140" t="str">
        <f t="shared" si="48"/>
        <v>4041/4042</v>
      </c>
      <c r="L180" s="25" t="str">
        <f>VLOOKUP(A180,'Trips&amp;Operators'!$C$1:$E$10000,3,FALSE)</f>
        <v>ISHMAEL</v>
      </c>
      <c r="M180" s="6">
        <f t="shared" si="49"/>
        <v>1.2083333334885538E-2</v>
      </c>
      <c r="N180" s="7">
        <f t="shared" si="65"/>
        <v>17.400000002235174</v>
      </c>
      <c r="O180" s="7"/>
      <c r="P180" s="7"/>
      <c r="Q180" s="26"/>
      <c r="R180" s="26"/>
      <c r="S180" s="38">
        <f t="shared" si="64"/>
        <v>1</v>
      </c>
      <c r="T180" s="53" t="str">
        <f t="shared" si="50"/>
        <v>Southbound</v>
      </c>
      <c r="U180" s="13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12:36:50-0600',mode:absolute,to:'2016-08-22 14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0" s="55" t="str">
        <f t="shared" si="52"/>
        <v>N</v>
      </c>
      <c r="X180" s="127">
        <f t="shared" si="62"/>
        <v>1</v>
      </c>
      <c r="Y180" s="70">
        <f t="shared" si="53"/>
        <v>5.8605999999999998</v>
      </c>
      <c r="Z180" s="70">
        <f t="shared" si="63"/>
        <v>6.8500000000000005E-2</v>
      </c>
      <c r="AA180" s="70">
        <f t="shared" si="55"/>
        <v>5.7920999999999996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56"/>
        <v>0822-22</v>
      </c>
      <c r="AE180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80" s="100" t="str">
        <f t="shared" si="58"/>
        <v>"C:\Program Files (x86)\AstroGrep\AstroGrep.exe" /spath="%USERPROFILE%\AppData\Local\Temp\OnboardLogs" /stypes="*4041*20160822*" /stext=" 19:.+((SYSTEM_STATE.+slice.+state.+changed )|(ment ac)|(system.+state.+changed )|(\|lc)|(penalty)|(\[timeout)|(PRM\|1\|D)|(kpr)|(kdp))" /e /r /s</v>
      </c>
      <c r="AG180" s="1" t="str">
        <f t="shared" si="59"/>
        <v>NW</v>
      </c>
      <c r="AH180" s="104" t="str">
        <f t="shared" si="60"/>
        <v>"%USERPROFILE%\Documents\GitHub\eaglep3\Utilities\RefineRTDCRunTimes.py" --tripid 822-22 --locoid 4041 --swversion DE.1.0.7.0 --startMP 300:58606 --initTime 2016-08-22T13:36:50 --startdatetime 2016-08-22T13:38:36 --delay 1 --endMP 204:685 --enddatetime 2016-08-22T13:56:00 --enforcementcount 0</v>
      </c>
    </row>
    <row r="181" spans="1:34" s="24" customFormat="1" x14ac:dyDescent="0.25">
      <c r="A181" s="40" t="s">
        <v>603</v>
      </c>
      <c r="B181" s="7">
        <v>4042</v>
      </c>
      <c r="C181" s="25" t="s">
        <v>114</v>
      </c>
      <c r="D181" s="25" t="s">
        <v>604</v>
      </c>
      <c r="E181" s="16">
        <v>42604.591215277775</v>
      </c>
      <c r="F181" s="16">
        <v>42604.592256944445</v>
      </c>
      <c r="G181" s="7">
        <v>1</v>
      </c>
      <c r="H181" s="16" t="s">
        <v>290</v>
      </c>
      <c r="I181" s="16">
        <v>42604.607731481483</v>
      </c>
      <c r="J181" s="7">
        <v>0</v>
      </c>
      <c r="K181" s="140" t="str">
        <f t="shared" si="48"/>
        <v>4041/4042</v>
      </c>
      <c r="L181" s="25" t="str">
        <f>VLOOKUP(A181,'Trips&amp;Operators'!$C$1:$E$10000,3,FALSE)</f>
        <v>ISHMAEL</v>
      </c>
      <c r="M181" s="6">
        <f t="shared" si="49"/>
        <v>1.5474537038244307E-2</v>
      </c>
      <c r="N181" s="7">
        <f t="shared" si="65"/>
        <v>22.283333335071802</v>
      </c>
      <c r="O181" s="7"/>
      <c r="P181" s="7"/>
      <c r="Q181" s="26"/>
      <c r="R181" s="26"/>
      <c r="S181" s="38">
        <f t="shared" si="64"/>
        <v>1</v>
      </c>
      <c r="T181" s="53" t="str">
        <f t="shared" si="50"/>
        <v>NorthBound</v>
      </c>
      <c r="U181" s="13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13:11:21-0600',mode:absolute,to:'2016-08-22 15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1" s="55" t="str">
        <f t="shared" si="52"/>
        <v>N</v>
      </c>
      <c r="X181" s="127">
        <f t="shared" si="62"/>
        <v>1</v>
      </c>
      <c r="Y181" s="70">
        <f t="shared" si="53"/>
        <v>9.6699999999999994E-2</v>
      </c>
      <c r="Z181" s="70">
        <f t="shared" si="63"/>
        <v>5.8921999999999999</v>
      </c>
      <c r="AA181" s="70">
        <f t="shared" si="55"/>
        <v>5.7954999999999997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56"/>
        <v>0823-22</v>
      </c>
      <c r="AE181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81" s="100" t="str">
        <f t="shared" si="58"/>
        <v>"C:\Program Files (x86)\AstroGrep\AstroGrep.exe" /spath="%USERPROFILE%\AppData\Local\Temp\OnboardLogs" /stypes="*4042*20160822*" /stext=" 20:.+((SYSTEM_STATE.+slice.+state.+changed )|(ment ac)|(system.+state.+changed )|(\|lc)|(penalty)|(\[timeout)|(PRM\|1\|D)|(kpr)|(kdp))" /e /r /s</v>
      </c>
      <c r="AG181" s="1" t="str">
        <f t="shared" si="59"/>
        <v>NW</v>
      </c>
      <c r="AH181" s="104" t="str">
        <f t="shared" si="60"/>
        <v>"%USERPROFILE%\Documents\GitHub\eaglep3\Utilities\RefineRTDCRunTimes.py" --tripid 823-22 --locoid 4042 --swversion DE.1.0.7.0 --startMP 204:967 --initTime 2016-08-22T14:11:21 --startdatetime 2016-08-22T14:12:51 --delay 1 --endMP 300:58922 --enddatetime 2016-08-22T14:35:08 --enforcementcount 0</v>
      </c>
    </row>
    <row r="182" spans="1:34" x14ac:dyDescent="0.25">
      <c r="A182" s="40" t="s">
        <v>354</v>
      </c>
      <c r="B182" s="7">
        <v>4041</v>
      </c>
      <c r="C182" s="25" t="s">
        <v>114</v>
      </c>
      <c r="D182" s="25" t="s">
        <v>602</v>
      </c>
      <c r="E182" s="16">
        <v>42604.608784722222</v>
      </c>
      <c r="F182" s="16">
        <v>42604.609548611108</v>
      </c>
      <c r="G182" s="7">
        <v>1</v>
      </c>
      <c r="H182" s="16" t="s">
        <v>586</v>
      </c>
      <c r="I182" s="16">
        <v>42604.622731481482</v>
      </c>
      <c r="J182" s="7">
        <v>0</v>
      </c>
      <c r="K182" s="140" t="str">
        <f t="shared" si="48"/>
        <v>4041/4042</v>
      </c>
      <c r="L182" s="25" t="str">
        <f>VLOOKUP(A182,'Trips&amp;Operators'!$C$1:$E$10000,3,FALSE)</f>
        <v>ISHMAEL</v>
      </c>
      <c r="M182" s="6">
        <f t="shared" si="49"/>
        <v>1.3182870374293998E-2</v>
      </c>
      <c r="N182" s="7">
        <f t="shared" si="65"/>
        <v>18.983333338983357</v>
      </c>
      <c r="O182" s="7"/>
      <c r="P182" s="7"/>
      <c r="Q182" s="26"/>
      <c r="R182" s="26"/>
      <c r="S182" s="38">
        <f t="shared" si="64"/>
        <v>1</v>
      </c>
      <c r="T182" s="53" t="str">
        <f t="shared" si="50"/>
        <v>Southbound</v>
      </c>
      <c r="U182" s="13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13:36:39-0600',mode:absolute,to:'2016-08-22 15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2" s="55" t="str">
        <f t="shared" si="52"/>
        <v>N</v>
      </c>
      <c r="X182" s="127">
        <f t="shared" ref="X182:X215" si="66">VALUE(LEFT(AD182,4))-VALUE(LEFT(AD181,4))</f>
        <v>1</v>
      </c>
      <c r="Y182" s="70">
        <f t="shared" si="53"/>
        <v>5.8605999999999998</v>
      </c>
      <c r="Z182" s="70">
        <f t="shared" si="63"/>
        <v>6.9099999999999995E-2</v>
      </c>
      <c r="AA182" s="70">
        <f t="shared" si="55"/>
        <v>5.7915000000000001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56"/>
        <v>0824-22</v>
      </c>
      <c r="AE182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82" s="100" t="str">
        <f t="shared" si="58"/>
        <v>"C:\Program Files (x86)\AstroGrep\AstroGrep.exe" /spath="%USERPROFILE%\AppData\Local\Temp\OnboardLogs" /stypes="*4041*20160822*" /stext=" 20:.+((SYSTEM_STATE.+slice.+state.+changed )|(ment ac)|(system.+state.+changed )|(\|lc)|(penalty)|(\[timeout)|(PRM\|1\|D)|(kpr)|(kdp))" /e /r /s</v>
      </c>
      <c r="AG182" s="1" t="str">
        <f t="shared" si="59"/>
        <v>NW</v>
      </c>
      <c r="AH182" s="104" t="str">
        <f t="shared" si="60"/>
        <v>"%USERPROFILE%\Documents\GitHub\eaglep3\Utilities\RefineRTDCRunTimes.py" --tripid 824-22 --locoid 4041 --swversion DE.1.0.7.0 --startMP 300:58606 --initTime 2016-08-22T14:36:39 --startdatetime 2016-08-22T14:37:45 --delay 1 --endMP 204:691 --enddatetime 2016-08-22T14:56:44 --enforcementcount 0</v>
      </c>
    </row>
    <row r="183" spans="1:34" x14ac:dyDescent="0.25">
      <c r="A183" s="40" t="s">
        <v>605</v>
      </c>
      <c r="B183" s="7">
        <v>4042</v>
      </c>
      <c r="C183" s="25" t="s">
        <v>114</v>
      </c>
      <c r="D183" s="25" t="s">
        <v>606</v>
      </c>
      <c r="E183" s="16">
        <v>42604.632488425923</v>
      </c>
      <c r="F183" s="16">
        <v>42604.633576388886</v>
      </c>
      <c r="G183" s="7">
        <v>1</v>
      </c>
      <c r="H183" s="16" t="s">
        <v>607</v>
      </c>
      <c r="I183" s="16">
        <v>42604.649872685186</v>
      </c>
      <c r="J183" s="7">
        <v>0</v>
      </c>
      <c r="K183" s="140" t="str">
        <f t="shared" si="48"/>
        <v>4041/4042</v>
      </c>
      <c r="L183" s="25" t="str">
        <f>VLOOKUP(A183,'Trips&amp;Operators'!$C$1:$E$10000,3,FALSE)</f>
        <v>ISHMAEL</v>
      </c>
      <c r="M183" s="6">
        <f t="shared" si="49"/>
        <v>1.6296296300424729E-2</v>
      </c>
      <c r="N183" s="7">
        <f t="shared" si="65"/>
        <v>23.466666672611609</v>
      </c>
      <c r="O183" s="7"/>
      <c r="P183" s="7"/>
      <c r="Q183" s="26"/>
      <c r="R183" s="26"/>
      <c r="S183" s="38">
        <f t="shared" si="64"/>
        <v>1</v>
      </c>
      <c r="T183" s="53" t="str">
        <f t="shared" si="50"/>
        <v>NorthBound</v>
      </c>
      <c r="U183" s="13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14:10:47-0600',mode:absolute,to:'2016-08-22 16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3" s="55" t="str">
        <f t="shared" si="52"/>
        <v>N</v>
      </c>
      <c r="X183" s="127">
        <f t="shared" si="66"/>
        <v>1</v>
      </c>
      <c r="Y183" s="70">
        <f t="shared" si="53"/>
        <v>9.9000000000000005E-2</v>
      </c>
      <c r="Z183" s="70">
        <f t="shared" si="63"/>
        <v>5.8917999999999999</v>
      </c>
      <c r="AA183" s="70">
        <f t="shared" si="55"/>
        <v>5.7927999999999997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56"/>
        <v>0825-22</v>
      </c>
      <c r="AE183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83" s="100" t="str">
        <f t="shared" si="58"/>
        <v>"C:\Program Files (x86)\AstroGrep\AstroGrep.exe" /spath="%USERPROFILE%\AppData\Local\Temp\OnboardLogs" /stypes="*4042*20160822*" /stext=" 21:.+((SYSTEM_STATE.+slice.+state.+changed )|(ment ac)|(system.+state.+changed )|(\|lc)|(penalty)|(\[timeout)|(PRM\|1\|D)|(kpr)|(kdp))" /e /r /s</v>
      </c>
      <c r="AG183" s="1" t="str">
        <f t="shared" si="59"/>
        <v>NW</v>
      </c>
      <c r="AH183" s="104" t="str">
        <f t="shared" si="60"/>
        <v>"%USERPROFILE%\Documents\GitHub\eaglep3\Utilities\RefineRTDCRunTimes.py" --tripid 825-22 --locoid 4042 --swversion DE.1.0.7.0 --startMP 204:990 --initTime 2016-08-22T15:10:47 --startdatetime 2016-08-22T15:12:21 --delay 1 --endMP 300:58918 --enddatetime 2016-08-22T15:35:49 --enforcementcount 0</v>
      </c>
    </row>
    <row r="184" spans="1:34" x14ac:dyDescent="0.25">
      <c r="A184" s="40" t="s">
        <v>608</v>
      </c>
      <c r="B184" s="7">
        <v>4041</v>
      </c>
      <c r="C184" s="25" t="s">
        <v>114</v>
      </c>
      <c r="D184" s="25" t="s">
        <v>293</v>
      </c>
      <c r="E184" s="16">
        <v>42604.650983796295</v>
      </c>
      <c r="F184" s="16">
        <v>42604.651666666665</v>
      </c>
      <c r="G184" s="7">
        <v>0</v>
      </c>
      <c r="H184" s="16" t="s">
        <v>609</v>
      </c>
      <c r="I184" s="16">
        <v>42604.663657407407</v>
      </c>
      <c r="J184" s="7">
        <v>0</v>
      </c>
      <c r="K184" s="140" t="str">
        <f t="shared" si="48"/>
        <v>4041/4042</v>
      </c>
      <c r="L184" s="25" t="str">
        <f>VLOOKUP(A184,'Trips&amp;Operators'!$C$1:$E$10000,3,FALSE)</f>
        <v>ISHMAEL</v>
      </c>
      <c r="M184" s="6">
        <f t="shared" si="49"/>
        <v>1.1990740742476191E-2</v>
      </c>
      <c r="N184" s="7">
        <f t="shared" si="65"/>
        <v>17.266666669165716</v>
      </c>
      <c r="O184" s="7"/>
      <c r="P184" s="7"/>
      <c r="Q184" s="26"/>
      <c r="R184" s="26"/>
      <c r="S184" s="38">
        <f t="shared" si="64"/>
        <v>1</v>
      </c>
      <c r="T184" s="53" t="str">
        <f t="shared" si="50"/>
        <v>Southbound</v>
      </c>
      <c r="U184" s="13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14:37:25-0600',mode:absolute,to:'2016-08-22 16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4" s="55" t="str">
        <f t="shared" si="52"/>
        <v>N</v>
      </c>
      <c r="X184" s="127">
        <f t="shared" si="66"/>
        <v>1</v>
      </c>
      <c r="Y184" s="70">
        <f t="shared" si="53"/>
        <v>5.8616999999999999</v>
      </c>
      <c r="Z184" s="70">
        <f t="shared" si="63"/>
        <v>6.7799999999999999E-2</v>
      </c>
      <c r="AA184" s="70">
        <f t="shared" si="55"/>
        <v>5.7938999999999998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56"/>
        <v>0826-22</v>
      </c>
      <c r="AE184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84" s="100" t="str">
        <f t="shared" si="58"/>
        <v>"C:\Program Files (x86)\AstroGrep\AstroGrep.exe" /spath="%USERPROFILE%\AppData\Local\Temp\OnboardLogs" /stypes="*4041*20160822*" /stext=" 21:.+((SYSTEM_STATE.+slice.+state.+changed )|(ment ac)|(system.+state.+changed )|(\|lc)|(penalty)|(\[timeout)|(PRM\|1\|D)|(kpr)|(kdp))" /e /r /s</v>
      </c>
      <c r="AG184" s="1" t="str">
        <f t="shared" si="59"/>
        <v>NW</v>
      </c>
      <c r="AH184" s="104" t="str">
        <f t="shared" si="60"/>
        <v>"%USERPROFILE%\Documents\GitHub\eaglep3\Utilities\RefineRTDCRunTimes.py" --tripid 826-22 --locoid 4041 --swversion DE.1.0.7.0 --startMP 300:58617 --initTime 2016-08-22T15:37:25 --startdatetime 2016-08-22T15:38:24 --delay 0 --endMP 204:678 --enddatetime 2016-08-22T15:55:40 --enforcementcount 0</v>
      </c>
    </row>
    <row r="185" spans="1:34" x14ac:dyDescent="0.25">
      <c r="A185" s="40" t="s">
        <v>610</v>
      </c>
      <c r="B185" s="7">
        <v>4002</v>
      </c>
      <c r="C185" s="25" t="s">
        <v>114</v>
      </c>
      <c r="D185" s="25" t="s">
        <v>299</v>
      </c>
      <c r="E185" s="16">
        <v>42604.656770833331</v>
      </c>
      <c r="F185" s="16">
        <v>42604.66065972222</v>
      </c>
      <c r="G185" s="7">
        <v>5</v>
      </c>
      <c r="H185" s="16" t="s">
        <v>247</v>
      </c>
      <c r="I185" s="16">
        <v>42604.671493055554</v>
      </c>
      <c r="J185" s="7">
        <v>0</v>
      </c>
      <c r="K185" s="140" t="str">
        <f t="shared" si="48"/>
        <v>4001/4002</v>
      </c>
      <c r="L185" s="25" t="str">
        <f>VLOOKUP(A185,'Trips&amp;Operators'!$C$1:$E$10000,3,FALSE)</f>
        <v>HAITHCOX</v>
      </c>
      <c r="M185" s="6">
        <f t="shared" si="49"/>
        <v>1.0833333333721384E-2</v>
      </c>
      <c r="N185" s="7">
        <f t="shared" si="65"/>
        <v>15.600000000558794</v>
      </c>
      <c r="O185" s="7"/>
      <c r="P185" s="7"/>
      <c r="Q185" s="26"/>
      <c r="R185" s="26"/>
      <c r="S185" s="38">
        <f t="shared" si="64"/>
        <v>1</v>
      </c>
      <c r="T185" s="53" t="str">
        <f t="shared" si="50"/>
        <v>NorthBound</v>
      </c>
      <c r="U185" s="13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14:45:45-0600',mode:absolute,to:'2016-08-22 17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85" s="55" t="str">
        <f t="shared" si="52"/>
        <v>N</v>
      </c>
      <c r="X185" s="127">
        <f t="shared" si="66"/>
        <v>1</v>
      </c>
      <c r="Y185" s="70">
        <f t="shared" si="53"/>
        <v>0.1</v>
      </c>
      <c r="Z185" s="70">
        <f t="shared" si="63"/>
        <v>5.8939000000000004</v>
      </c>
      <c r="AA185" s="70">
        <f t="shared" si="55"/>
        <v>5.7939000000000007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56"/>
        <v>0827-22</v>
      </c>
      <c r="AE185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85" s="100" t="str">
        <f t="shared" si="58"/>
        <v>"C:\Program Files (x86)\AstroGrep\AstroGrep.exe" /spath="%USERPROFILE%\AppData\Local\Temp\OnboardLogs" /stypes="*4002*20160822*" /stext=" 22:.+((SYSTEM_STATE.+slice.+state.+changed )|(ment ac)|(system.+state.+changed )|(\|lc)|(penalty)|(\[timeout)|(PRM\|1\|D)|(kpr)|(kdp))" /e /r /s</v>
      </c>
      <c r="AG185" s="1" t="str">
        <f t="shared" si="59"/>
        <v>NW</v>
      </c>
      <c r="AH185" s="104" t="str">
        <f t="shared" si="60"/>
        <v>"%USERPROFILE%\Documents\GitHub\eaglep3\Utilities\RefineRTDCRunTimes.py" --tripid 827-22 --locoid 4002 --swversion DE.1.0.7.0 --startMP 204:1000 --initTime 2016-08-22T15:45:45 --startdatetime 2016-08-22T15:51:21 --delay 5 --endMP 300:58939 --enddatetime 2016-08-22T16:06:57 --enforcementcount 0</v>
      </c>
    </row>
    <row r="186" spans="1:34" x14ac:dyDescent="0.25">
      <c r="A186" s="40" t="s">
        <v>357</v>
      </c>
      <c r="B186" s="7">
        <v>4001</v>
      </c>
      <c r="C186" s="25" t="s">
        <v>114</v>
      </c>
      <c r="D186" s="25" t="s">
        <v>248</v>
      </c>
      <c r="E186" s="16">
        <v>42604.672476851854</v>
      </c>
      <c r="F186" s="16">
        <v>42604.673587962963</v>
      </c>
      <c r="G186" s="7">
        <v>1</v>
      </c>
      <c r="H186" s="16" t="s">
        <v>611</v>
      </c>
      <c r="I186" s="16">
        <v>42604.685185185182</v>
      </c>
      <c r="J186" s="7">
        <v>0</v>
      </c>
      <c r="K186" s="140" t="str">
        <f t="shared" si="48"/>
        <v>4001/4002</v>
      </c>
      <c r="L186" s="25" t="str">
        <f>VLOOKUP(A186,'Trips&amp;Operators'!$C$1:$E$10000,3,FALSE)</f>
        <v>HAITHCOX</v>
      </c>
      <c r="M186" s="6">
        <f t="shared" si="49"/>
        <v>1.1597222219279502E-2</v>
      </c>
      <c r="N186" s="7">
        <f t="shared" si="65"/>
        <v>16.699999995762482</v>
      </c>
      <c r="O186" s="7"/>
      <c r="P186" s="7"/>
      <c r="Q186" s="26"/>
      <c r="R186" s="26"/>
      <c r="S186" s="38">
        <f t="shared" si="64"/>
        <v>1</v>
      </c>
      <c r="T186" s="53" t="str">
        <f t="shared" si="50"/>
        <v>Southbound</v>
      </c>
      <c r="U186" s="13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15:08:22-0600',mode:absolute,to:'2016-08-22 17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86" s="55" t="str">
        <f t="shared" si="52"/>
        <v>N</v>
      </c>
      <c r="X186" s="127">
        <f t="shared" si="66"/>
        <v>1</v>
      </c>
      <c r="Y186" s="70">
        <f t="shared" si="53"/>
        <v>5.8619000000000003</v>
      </c>
      <c r="Z186" s="70">
        <f t="shared" si="63"/>
        <v>6.9800000000000001E-2</v>
      </c>
      <c r="AA186" s="70">
        <f t="shared" si="55"/>
        <v>5.7921000000000005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56"/>
        <v>0828-22</v>
      </c>
      <c r="AE186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86" s="100" t="str">
        <f t="shared" si="58"/>
        <v>"C:\Program Files (x86)\AstroGrep\AstroGrep.exe" /spath="%USERPROFILE%\AppData\Local\Temp\OnboardLogs" /stypes="*4001*20160822*" /stext=" 22:.+((SYSTEM_STATE.+slice.+state.+changed )|(ment ac)|(system.+state.+changed )|(\|lc)|(penalty)|(\[timeout)|(PRM\|1\|D)|(kpr)|(kdp))" /e /r /s</v>
      </c>
      <c r="AG186" s="1" t="str">
        <f t="shared" si="59"/>
        <v>NW</v>
      </c>
      <c r="AH186" s="104" t="str">
        <f t="shared" si="60"/>
        <v>"%USERPROFILE%\Documents\GitHub\eaglep3\Utilities\RefineRTDCRunTimes.py" --tripid 828-22 --locoid 4001 --swversion DE.1.0.7.0 --startMP 300:58619 --initTime 2016-08-22T16:08:22 --startdatetime 2016-08-22T16:09:58 --delay 1 --endMP 204:698 --enddatetime 2016-08-22T16:26:40 --enforcementcount 0</v>
      </c>
    </row>
    <row r="187" spans="1:34" x14ac:dyDescent="0.25">
      <c r="A187" s="40" t="s">
        <v>612</v>
      </c>
      <c r="B187" s="7">
        <v>4042</v>
      </c>
      <c r="C187" s="25" t="s">
        <v>114</v>
      </c>
      <c r="D187" s="25" t="s">
        <v>613</v>
      </c>
      <c r="E187" s="16">
        <v>42604.676145833335</v>
      </c>
      <c r="F187" s="16">
        <v>42604.676932870374</v>
      </c>
      <c r="G187" s="7">
        <v>1</v>
      </c>
      <c r="H187" s="16" t="s">
        <v>614</v>
      </c>
      <c r="I187" s="16">
        <v>42604.691192129627</v>
      </c>
      <c r="J187" s="7">
        <v>0</v>
      </c>
      <c r="K187" s="140" t="str">
        <f t="shared" si="48"/>
        <v>4041/4042</v>
      </c>
      <c r="L187" s="25" t="str">
        <f>VLOOKUP(A187,'Trips&amp;Operators'!$C$1:$E$10000,3,FALSE)</f>
        <v>ISHMAEL</v>
      </c>
      <c r="M187" s="6">
        <f t="shared" si="49"/>
        <v>1.4259259252867196E-2</v>
      </c>
      <c r="N187" s="7">
        <f t="shared" si="65"/>
        <v>20.533333324128762</v>
      </c>
      <c r="O187" s="7"/>
      <c r="P187" s="7"/>
      <c r="Q187" s="26"/>
      <c r="R187" s="26"/>
      <c r="S187" s="38">
        <f t="shared" si="64"/>
        <v>1</v>
      </c>
      <c r="T187" s="53" t="str">
        <f t="shared" si="50"/>
        <v>NorthBound</v>
      </c>
      <c r="U187" s="13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15:13:39-0600',mode:absolute,to:'2016-08-22 17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7" s="55" t="str">
        <f t="shared" si="52"/>
        <v>N</v>
      </c>
      <c r="X187" s="127">
        <f t="shared" si="66"/>
        <v>1</v>
      </c>
      <c r="Y187" s="70">
        <f t="shared" si="53"/>
        <v>9.7100000000000006E-2</v>
      </c>
      <c r="Z187" s="70">
        <f t="shared" si="63"/>
        <v>5.8916000000000004</v>
      </c>
      <c r="AA187" s="70">
        <f t="shared" si="55"/>
        <v>5.7945000000000002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56"/>
        <v>0829-22</v>
      </c>
      <c r="AE187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87" s="100" t="str">
        <f t="shared" si="58"/>
        <v>"C:\Program Files (x86)\AstroGrep\AstroGrep.exe" /spath="%USERPROFILE%\AppData\Local\Temp\OnboardLogs" /stypes="*4042*20160822*" /stext=" 22:.+((SYSTEM_STATE.+slice.+state.+changed )|(ment ac)|(system.+state.+changed )|(\|lc)|(penalty)|(\[timeout)|(PRM\|1\|D)|(kpr)|(kdp))" /e /r /s</v>
      </c>
      <c r="AG187" s="1" t="str">
        <f t="shared" si="59"/>
        <v>NW</v>
      </c>
      <c r="AH187" s="104" t="str">
        <f t="shared" si="60"/>
        <v>"%USERPROFILE%\Documents\GitHub\eaglep3\Utilities\RefineRTDCRunTimes.py" --tripid 829-22 --locoid 4042 --swversion DE.1.0.7.0 --startMP 204:971 --initTime 2016-08-22T16:13:39 --startdatetime 2016-08-22T16:14:47 --delay 1 --endMP 300:58916 --enddatetime 2016-08-22T16:35:19 --enforcementcount 0</v>
      </c>
    </row>
    <row r="188" spans="1:34" x14ac:dyDescent="0.25">
      <c r="A188" s="40" t="s">
        <v>615</v>
      </c>
      <c r="B188" s="7">
        <v>4041</v>
      </c>
      <c r="C188" s="25" t="s">
        <v>114</v>
      </c>
      <c r="D188" s="25" t="s">
        <v>616</v>
      </c>
      <c r="E188" s="16">
        <v>42604.692291666666</v>
      </c>
      <c r="F188" s="16">
        <v>42604.693043981482</v>
      </c>
      <c r="G188" s="7">
        <v>1</v>
      </c>
      <c r="H188" s="16" t="s">
        <v>611</v>
      </c>
      <c r="I188" s="16">
        <v>42604.705555555556</v>
      </c>
      <c r="J188" s="7">
        <v>0</v>
      </c>
      <c r="K188" s="140" t="str">
        <f t="shared" si="48"/>
        <v>4041/4042</v>
      </c>
      <c r="L188" s="25" t="str">
        <f>VLOOKUP(A188,'Trips&amp;Operators'!$C$1:$E$10000,3,FALSE)</f>
        <v>ISHMAEL</v>
      </c>
      <c r="M188" s="6">
        <f t="shared" si="49"/>
        <v>1.2511574073869269E-2</v>
      </c>
      <c r="N188" s="7">
        <f t="shared" si="65"/>
        <v>18.016666666371748</v>
      </c>
      <c r="O188" s="7"/>
      <c r="P188" s="7"/>
      <c r="Q188" s="26"/>
      <c r="R188" s="26"/>
      <c r="S188" s="38">
        <f t="shared" si="64"/>
        <v>1</v>
      </c>
      <c r="T188" s="53" t="str">
        <f t="shared" si="50"/>
        <v>Southbound</v>
      </c>
      <c r="U188" s="13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15:36:54-0600',mode:absolute,to:'2016-08-22 17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8" s="55" t="str">
        <f t="shared" si="52"/>
        <v>N</v>
      </c>
      <c r="X188" s="127">
        <f t="shared" si="66"/>
        <v>1</v>
      </c>
      <c r="Y188" s="70">
        <f t="shared" si="53"/>
        <v>5.8596000000000004</v>
      </c>
      <c r="Z188" s="70">
        <f t="shared" si="63"/>
        <v>6.9800000000000001E-2</v>
      </c>
      <c r="AA188" s="70">
        <f t="shared" si="55"/>
        <v>5.7898000000000005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56"/>
        <v>0830-22</v>
      </c>
      <c r="AE188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88" s="100" t="str">
        <f t="shared" si="58"/>
        <v>"C:\Program Files (x86)\AstroGrep\AstroGrep.exe" /spath="%USERPROFILE%\AppData\Local\Temp\OnboardLogs" /stypes="*4041*20160822*" /stext=" 22:.+((SYSTEM_STATE.+slice.+state.+changed )|(ment ac)|(system.+state.+changed )|(\|lc)|(penalty)|(\[timeout)|(PRM\|1\|D)|(kpr)|(kdp))" /e /r /s</v>
      </c>
      <c r="AG188" s="1" t="str">
        <f t="shared" si="59"/>
        <v>NW</v>
      </c>
      <c r="AH188" s="104" t="str">
        <f t="shared" si="60"/>
        <v>"%USERPROFILE%\Documents\GitHub\eaglep3\Utilities\RefineRTDCRunTimes.py" --tripid 830-22 --locoid 4041 --swversion DE.1.0.7.0 --startMP 300:58596 --initTime 2016-08-22T16:36:54 --startdatetime 2016-08-22T16:37:59 --delay 1 --endMP 204:698 --enddatetime 2016-08-22T16:56:00 --enforcementcount 0</v>
      </c>
    </row>
    <row r="189" spans="1:34" x14ac:dyDescent="0.25">
      <c r="A189" s="40" t="s">
        <v>617</v>
      </c>
      <c r="B189" s="7">
        <v>4002</v>
      </c>
      <c r="C189" s="25" t="s">
        <v>114</v>
      </c>
      <c r="D189" s="25" t="s">
        <v>618</v>
      </c>
      <c r="E189" s="16">
        <v>42604.698217592595</v>
      </c>
      <c r="F189" s="16">
        <v>42604.699155092596</v>
      </c>
      <c r="G189" s="7">
        <v>1</v>
      </c>
      <c r="H189" s="16" t="s">
        <v>296</v>
      </c>
      <c r="I189" s="16">
        <v>42604.712766203702</v>
      </c>
      <c r="J189" s="7">
        <v>0</v>
      </c>
      <c r="K189" s="140" t="str">
        <f t="shared" si="48"/>
        <v>4001/4002</v>
      </c>
      <c r="L189" s="25" t="str">
        <f>VLOOKUP(A189,'Trips&amp;Operators'!$C$1:$E$10000,3,FALSE)</f>
        <v>HAITHCOX</v>
      </c>
      <c r="M189" s="6">
        <f t="shared" si="49"/>
        <v>1.3611111106001772E-2</v>
      </c>
      <c r="N189" s="7">
        <f t="shared" si="65"/>
        <v>19.599999992642552</v>
      </c>
      <c r="O189" s="7"/>
      <c r="P189" s="7"/>
      <c r="Q189" s="26"/>
      <c r="R189" s="26"/>
      <c r="S189" s="38">
        <f t="shared" si="64"/>
        <v>1</v>
      </c>
      <c r="T189" s="53" t="str">
        <f t="shared" si="50"/>
        <v>NorthBound</v>
      </c>
      <c r="U189" s="13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15:45:26-0600',mode:absolute,to:'2016-08-22 18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89" s="55" t="str">
        <f t="shared" si="52"/>
        <v>N</v>
      </c>
      <c r="X189" s="127">
        <f t="shared" si="66"/>
        <v>1</v>
      </c>
      <c r="Y189" s="70">
        <f t="shared" si="53"/>
        <v>9.8799999999999999E-2</v>
      </c>
      <c r="Z189" s="70">
        <f t="shared" si="63"/>
        <v>5.8935000000000004</v>
      </c>
      <c r="AA189" s="70">
        <f t="shared" si="55"/>
        <v>5.7947000000000006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56"/>
        <v>0831-22</v>
      </c>
      <c r="AE189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89" s="100" t="str">
        <f t="shared" si="58"/>
        <v>"C:\Program Files (x86)\AstroGrep\AstroGrep.exe" /spath="%USERPROFILE%\AppData\Local\Temp\OnboardLogs" /stypes="*4002*20160822*" /stext=" 23:.+((SYSTEM_STATE.+slice.+state.+changed )|(ment ac)|(system.+state.+changed )|(\|lc)|(penalty)|(\[timeout)|(PRM\|1\|D)|(kpr)|(kdp))" /e /r /s</v>
      </c>
      <c r="AG189" s="1" t="str">
        <f t="shared" si="59"/>
        <v>NW</v>
      </c>
      <c r="AH189" s="104" t="str">
        <f t="shared" si="60"/>
        <v>"%USERPROFILE%\Documents\GitHub\eaglep3\Utilities\RefineRTDCRunTimes.py" --tripid 831-22 --locoid 4002 --swversion DE.1.0.7.0 --startMP 204:988 --initTime 2016-08-22T16:45:26 --startdatetime 2016-08-22T16:46:47 --delay 1 --endMP 300:58935 --enddatetime 2016-08-22T17:06:23 --enforcementcount 0</v>
      </c>
    </row>
    <row r="190" spans="1:34" x14ac:dyDescent="0.25">
      <c r="A190" s="40" t="s">
        <v>359</v>
      </c>
      <c r="B190" s="7">
        <v>4001</v>
      </c>
      <c r="C190" s="25" t="s">
        <v>114</v>
      </c>
      <c r="D190" s="25" t="s">
        <v>291</v>
      </c>
      <c r="E190" s="16">
        <v>42604.713761574072</v>
      </c>
      <c r="F190" s="16">
        <v>42604.714780092596</v>
      </c>
      <c r="G190" s="7">
        <v>1</v>
      </c>
      <c r="H190" s="16" t="s">
        <v>619</v>
      </c>
      <c r="I190" s="16">
        <v>42604.726631944446</v>
      </c>
      <c r="J190" s="7">
        <v>0</v>
      </c>
      <c r="K190" s="140" t="str">
        <f t="shared" si="48"/>
        <v>4001/4002</v>
      </c>
      <c r="L190" s="25" t="str">
        <f>VLOOKUP(A190,'Trips&amp;Operators'!$C$1:$E$10000,3,FALSE)</f>
        <v>HAITHCOX</v>
      </c>
      <c r="M190" s="6">
        <f t="shared" si="49"/>
        <v>1.1851851850224193E-2</v>
      </c>
      <c r="N190" s="7">
        <f t="shared" si="65"/>
        <v>17.066666664322838</v>
      </c>
      <c r="O190" s="7"/>
      <c r="P190" s="7"/>
      <c r="Q190" s="26"/>
      <c r="R190" s="26"/>
      <c r="S190" s="38">
        <f t="shared" si="64"/>
        <v>1</v>
      </c>
      <c r="T190" s="53" t="str">
        <f t="shared" si="50"/>
        <v>Southbound</v>
      </c>
      <c r="U190" s="13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16:07:49-0600',mode:absolute,to:'2016-08-22 18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0" s="55" t="str">
        <f t="shared" si="52"/>
        <v>N</v>
      </c>
      <c r="X190" s="127">
        <f t="shared" si="66"/>
        <v>1</v>
      </c>
      <c r="Y190" s="70">
        <f t="shared" si="53"/>
        <v>5.8613</v>
      </c>
      <c r="Z190" s="70">
        <f t="shared" ref="Z190:Z215" si="67">RIGHT(H190,LEN(H190)-4)/10000</f>
        <v>6.8000000000000005E-2</v>
      </c>
      <c r="AA190" s="70">
        <f t="shared" si="55"/>
        <v>5.7933000000000003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56"/>
        <v>0832-22</v>
      </c>
      <c r="AE190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90" s="100" t="str">
        <f t="shared" si="58"/>
        <v>"C:\Program Files (x86)\AstroGrep\AstroGrep.exe" /spath="%USERPROFILE%\AppData\Local\Temp\OnboardLogs" /stypes="*4001*20160822*" /stext=" 23:.+((SYSTEM_STATE.+slice.+state.+changed )|(ment ac)|(system.+state.+changed )|(\|lc)|(penalty)|(\[timeout)|(PRM\|1\|D)|(kpr)|(kdp))" /e /r /s</v>
      </c>
      <c r="AG190" s="1" t="str">
        <f t="shared" si="59"/>
        <v>NW</v>
      </c>
      <c r="AH190" s="104" t="str">
        <f t="shared" si="60"/>
        <v>"%USERPROFILE%\Documents\GitHub\eaglep3\Utilities\RefineRTDCRunTimes.py" --tripid 832-22 --locoid 4001 --swversion DE.1.0.7.0 --startMP 300:58613 --initTime 2016-08-22T17:07:49 --startdatetime 2016-08-22T17:09:17 --delay 1 --endMP 204:680 --enddatetime 2016-08-22T17:26:21 --enforcementcount 0</v>
      </c>
    </row>
    <row r="191" spans="1:34" x14ac:dyDescent="0.25">
      <c r="A191" s="40" t="s">
        <v>620</v>
      </c>
      <c r="B191" s="7">
        <v>4042</v>
      </c>
      <c r="C191" s="25" t="s">
        <v>114</v>
      </c>
      <c r="D191" s="25" t="s">
        <v>613</v>
      </c>
      <c r="E191" s="16">
        <v>42604.718194444446</v>
      </c>
      <c r="F191" s="16">
        <v>42604.719305555554</v>
      </c>
      <c r="G191" s="7">
        <v>1</v>
      </c>
      <c r="H191" s="16" t="s">
        <v>600</v>
      </c>
      <c r="I191" s="16">
        <v>42604.733171296299</v>
      </c>
      <c r="J191" s="7">
        <v>0</v>
      </c>
      <c r="K191" s="140" t="str">
        <f t="shared" si="48"/>
        <v>4041/4042</v>
      </c>
      <c r="L191" s="25" t="str">
        <f>VLOOKUP(A191,'Trips&amp;Operators'!$C$1:$E$10000,3,FALSE)</f>
        <v>ISHMAEL</v>
      </c>
      <c r="M191" s="6">
        <f t="shared" si="49"/>
        <v>1.3865740744222421E-2</v>
      </c>
      <c r="N191" s="7">
        <f t="shared" si="65"/>
        <v>19.966666671680287</v>
      </c>
      <c r="O191" s="7"/>
      <c r="P191" s="7"/>
      <c r="Q191" s="26"/>
      <c r="R191" s="26"/>
      <c r="S191" s="38">
        <f t="shared" si="64"/>
        <v>1</v>
      </c>
      <c r="T191" s="53" t="str">
        <f t="shared" si="50"/>
        <v>NorthBound</v>
      </c>
      <c r="U191" s="13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16:14:12-0600',mode:absolute,to:'2016-08-22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1" s="55" t="str">
        <f t="shared" si="52"/>
        <v>N</v>
      </c>
      <c r="X191" s="127">
        <f t="shared" si="66"/>
        <v>1</v>
      </c>
      <c r="Y191" s="70">
        <f t="shared" si="53"/>
        <v>9.7100000000000006E-2</v>
      </c>
      <c r="Z191" s="70">
        <f t="shared" si="67"/>
        <v>5.8924000000000003</v>
      </c>
      <c r="AA191" s="70">
        <f t="shared" si="55"/>
        <v>5.7953000000000001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56"/>
        <v>0833-22</v>
      </c>
      <c r="AE191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91" s="100" t="str">
        <f t="shared" si="58"/>
        <v>"C:\Program Files (x86)\AstroGrep\AstroGrep.exe" /spath="%USERPROFILE%\AppData\Local\Temp\OnboardLogs" /stypes="*4042*20160822*" /stext=" 23:.+((SYSTEM_STATE.+slice.+state.+changed )|(ment ac)|(system.+state.+changed )|(\|lc)|(penalty)|(\[timeout)|(PRM\|1\|D)|(kpr)|(kdp))" /e /r /s</v>
      </c>
      <c r="AG191" s="1" t="str">
        <f t="shared" si="59"/>
        <v>NW</v>
      </c>
      <c r="AH191" s="104" t="str">
        <f t="shared" si="60"/>
        <v>"%USERPROFILE%\Documents\GitHub\eaglep3\Utilities\RefineRTDCRunTimes.py" --tripid 833-22 --locoid 4042 --swversion DE.1.0.7.0 --startMP 204:971 --initTime 2016-08-22T17:14:12 --startdatetime 2016-08-22T17:15:48 --delay 1 --endMP 300:58924 --enddatetime 2016-08-22T17:35:46 --enforcementcount 0</v>
      </c>
    </row>
    <row r="192" spans="1:34" x14ac:dyDescent="0.25">
      <c r="A192" s="40" t="s">
        <v>621</v>
      </c>
      <c r="B192" s="7">
        <v>4041</v>
      </c>
      <c r="C192" s="25" t="s">
        <v>114</v>
      </c>
      <c r="D192" s="25" t="s">
        <v>622</v>
      </c>
      <c r="E192" s="16">
        <v>42604.734432870369</v>
      </c>
      <c r="F192" s="16">
        <v>42604.735312500001</v>
      </c>
      <c r="G192" s="7">
        <v>1</v>
      </c>
      <c r="H192" s="16" t="s">
        <v>623</v>
      </c>
      <c r="I192" s="16">
        <v>42604.746805555558</v>
      </c>
      <c r="J192" s="7">
        <v>0</v>
      </c>
      <c r="K192" s="140" t="str">
        <f t="shared" si="48"/>
        <v>4041/4042</v>
      </c>
      <c r="L192" s="25" t="str">
        <f>VLOOKUP(A192,'Trips&amp;Operators'!$C$1:$E$10000,3,FALSE)</f>
        <v>ISHMAEL</v>
      </c>
      <c r="M192" s="6">
        <f t="shared" si="49"/>
        <v>1.1493055557366461E-2</v>
      </c>
      <c r="N192" s="7">
        <f t="shared" si="65"/>
        <v>16.550000002607703</v>
      </c>
      <c r="O192" s="7"/>
      <c r="P192" s="7"/>
      <c r="Q192" s="26"/>
      <c r="R192" s="26"/>
      <c r="S192" s="38">
        <f t="shared" si="64"/>
        <v>1</v>
      </c>
      <c r="T192" s="53" t="str">
        <f t="shared" si="50"/>
        <v>Southbound</v>
      </c>
      <c r="U192" s="13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16:37:35-0600',mode:absolute,to:'2016-08-22 18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2" s="55" t="str">
        <f t="shared" si="52"/>
        <v>N</v>
      </c>
      <c r="X192" s="127">
        <f t="shared" si="66"/>
        <v>1</v>
      </c>
      <c r="Y192" s="70">
        <f t="shared" si="53"/>
        <v>5.8592000000000004</v>
      </c>
      <c r="Z192" s="70">
        <f t="shared" si="67"/>
        <v>6.8199999999999997E-2</v>
      </c>
      <c r="AA192" s="70">
        <f t="shared" si="55"/>
        <v>5.7910000000000004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56"/>
        <v>0834-22</v>
      </c>
      <c r="AE192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92" s="100" t="str">
        <f t="shared" si="58"/>
        <v>"C:\Program Files (x86)\AstroGrep\AstroGrep.exe" /spath="%USERPROFILE%\AppData\Local\Temp\OnboardLogs" /stypes="*4041*20160822*" /stext=" 23:.+((SYSTEM_STATE.+slice.+state.+changed )|(ment ac)|(system.+state.+changed )|(\|lc)|(penalty)|(\[timeout)|(PRM\|1\|D)|(kpr)|(kdp))" /e /r /s</v>
      </c>
      <c r="AG192" s="1" t="str">
        <f t="shared" si="59"/>
        <v>NW</v>
      </c>
      <c r="AH192" s="104" t="str">
        <f t="shared" si="60"/>
        <v>"%USERPROFILE%\Documents\GitHub\eaglep3\Utilities\RefineRTDCRunTimes.py" --tripid 834-22 --locoid 4041 --swversion DE.1.0.7.0 --startMP 300:58592 --initTime 2016-08-22T17:37:35 --startdatetime 2016-08-22T17:38:51 --delay 1 --endMP 204:682 --enddatetime 2016-08-22T17:55:24 --enforcementcount 0</v>
      </c>
    </row>
    <row r="193" spans="1:34" x14ac:dyDescent="0.25">
      <c r="A193" s="40" t="s">
        <v>624</v>
      </c>
      <c r="B193" s="7">
        <v>4002</v>
      </c>
      <c r="C193" s="25" t="s">
        <v>114</v>
      </c>
      <c r="D193" s="25" t="s">
        <v>625</v>
      </c>
      <c r="E193" s="16">
        <v>42604.738518518519</v>
      </c>
      <c r="F193" s="16">
        <v>42604.740381944444</v>
      </c>
      <c r="G193" s="7">
        <v>2</v>
      </c>
      <c r="H193" s="16" t="s">
        <v>626</v>
      </c>
      <c r="I193" s="16">
        <v>42604.754340277781</v>
      </c>
      <c r="J193" s="7">
        <v>0</v>
      </c>
      <c r="K193" s="140" t="str">
        <f t="shared" si="48"/>
        <v>4001/4002</v>
      </c>
      <c r="L193" s="25" t="str">
        <f>VLOOKUP(A193,'Trips&amp;Operators'!$C$1:$E$10000,3,FALSE)</f>
        <v>HAITHCOX</v>
      </c>
      <c r="M193" s="6">
        <f t="shared" si="49"/>
        <v>1.3958333336631767E-2</v>
      </c>
      <c r="N193" s="7">
        <f t="shared" si="65"/>
        <v>20.100000004749745</v>
      </c>
      <c r="O193" s="7"/>
      <c r="P193" s="7"/>
      <c r="Q193" s="26"/>
      <c r="R193" s="26"/>
      <c r="S193" s="38">
        <f t="shared" si="64"/>
        <v>1</v>
      </c>
      <c r="T193" s="53" t="str">
        <f t="shared" si="50"/>
        <v>NorthBound</v>
      </c>
      <c r="U193" s="13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16:43:28-0600',mode:absolute,to:'2016-08-22 19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3" s="55" t="str">
        <f t="shared" si="52"/>
        <v>N</v>
      </c>
      <c r="X193" s="127">
        <f t="shared" si="66"/>
        <v>1</v>
      </c>
      <c r="Y193" s="70">
        <f t="shared" si="53"/>
        <v>9.69E-2</v>
      </c>
      <c r="Z193" s="70">
        <f t="shared" si="67"/>
        <v>5.8945999999999996</v>
      </c>
      <c r="AA193" s="70">
        <f t="shared" si="55"/>
        <v>5.7976999999999999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56"/>
        <v>0835-22</v>
      </c>
      <c r="AE193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93" s="100" t="str">
        <f t="shared" si="58"/>
        <v>"C:\Program Files (x86)\AstroGrep\AstroGrep.exe" /spath="%USERPROFILE%\AppData\Local\Temp\OnboardLogs" /stypes="*4002*20160823*" /stext=" 00:.+((SYSTEM_STATE.+slice.+state.+changed )|(ment ac)|(system.+state.+changed )|(\|lc)|(penalty)|(\[timeout)|(PRM\|1\|D)|(kpr)|(kdp))" /e /r /s</v>
      </c>
      <c r="AG193" s="1" t="str">
        <f t="shared" si="59"/>
        <v>NW</v>
      </c>
      <c r="AH193" s="104" t="str">
        <f t="shared" si="60"/>
        <v>"%USERPROFILE%\Documents\GitHub\eaglep3\Utilities\RefineRTDCRunTimes.py" --tripid 835-22 --locoid 4002 --swversion DE.1.0.7.0 --startMP 204:969 --initTime 2016-08-22T17:43:28 --startdatetime 2016-08-22T17:46:09 --delay 2 --endMP 300:58946 --enddatetime 2016-08-22T18:06:15 --enforcementcount 0</v>
      </c>
    </row>
    <row r="194" spans="1:34" x14ac:dyDescent="0.25">
      <c r="A194" s="40" t="s">
        <v>627</v>
      </c>
      <c r="B194" s="7">
        <v>4001</v>
      </c>
      <c r="C194" s="25" t="s">
        <v>114</v>
      </c>
      <c r="D194" s="25" t="s">
        <v>319</v>
      </c>
      <c r="E194" s="16">
        <v>42604.755555555559</v>
      </c>
      <c r="F194" s="16">
        <v>42604.756319444445</v>
      </c>
      <c r="G194" s="7">
        <v>1</v>
      </c>
      <c r="H194" s="16" t="s">
        <v>619</v>
      </c>
      <c r="I194" s="16">
        <v>42604.769699074073</v>
      </c>
      <c r="J194" s="7">
        <v>0</v>
      </c>
      <c r="K194" s="140" t="str">
        <f t="shared" si="48"/>
        <v>4001/4002</v>
      </c>
      <c r="L194" s="25" t="str">
        <f>VLOOKUP(A194,'Trips&amp;Operators'!$C$1:$E$10000,3,FALSE)</f>
        <v>HAITHCOX</v>
      </c>
      <c r="M194" s="6">
        <f t="shared" si="49"/>
        <v>1.3379629628616385E-2</v>
      </c>
      <c r="N194" s="7">
        <f t="shared" si="65"/>
        <v>19.266666665207595</v>
      </c>
      <c r="O194" s="7"/>
      <c r="P194" s="7"/>
      <c r="Q194" s="26"/>
      <c r="R194" s="26"/>
      <c r="S194" s="38">
        <f t="shared" si="64"/>
        <v>1</v>
      </c>
      <c r="T194" s="53" t="str">
        <f t="shared" si="50"/>
        <v>Southbound</v>
      </c>
      <c r="U194" s="13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17:08:00-0600',mode:absolute,to:'2016-08-22 19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4" s="55" t="str">
        <f t="shared" si="52"/>
        <v>N</v>
      </c>
      <c r="X194" s="127">
        <f t="shared" si="66"/>
        <v>1</v>
      </c>
      <c r="Y194" s="70">
        <f t="shared" si="53"/>
        <v>5.8635999999999999</v>
      </c>
      <c r="Z194" s="70">
        <f t="shared" si="67"/>
        <v>6.8000000000000005E-2</v>
      </c>
      <c r="AA194" s="70">
        <f t="shared" si="55"/>
        <v>5.7956000000000003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56"/>
        <v>0836-22</v>
      </c>
      <c r="AE194" s="103" t="str">
        <f t="shared" si="5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194" s="100" t="str">
        <f t="shared" si="58"/>
        <v>"C:\Program Files (x86)\AstroGrep\AstroGrep.exe" /spath="%USERPROFILE%\AppData\Local\Temp\OnboardLogs" /stypes="*4001*20160823*" /stext=" 00:.+((SYSTEM_STATE.+slice.+state.+changed )|(ment ac)|(system.+state.+changed )|(\|lc)|(penalty)|(\[timeout)|(PRM\|1\|D)|(kpr)|(kdp))" /e /r /s</v>
      </c>
      <c r="AG194" s="1" t="str">
        <f t="shared" si="59"/>
        <v>NW</v>
      </c>
      <c r="AH194" s="104" t="str">
        <f t="shared" si="60"/>
        <v>"%USERPROFILE%\Documents\GitHub\eaglep3\Utilities\RefineRTDCRunTimes.py" --tripid 836-22 --locoid 4001 --swversion DE.1.0.7.0 --startMP 300:58636 --initTime 2016-08-22T18:08:00 --startdatetime 2016-08-22T18:09:06 --delay 1 --endMP 204:680 --enddatetime 2016-08-22T18:28:22 --enforcementcount 0</v>
      </c>
    </row>
    <row r="195" spans="1:34" x14ac:dyDescent="0.25">
      <c r="A195" s="40" t="s">
        <v>628</v>
      </c>
      <c r="B195" s="7">
        <v>4042</v>
      </c>
      <c r="C195" s="25" t="s">
        <v>114</v>
      </c>
      <c r="D195" s="25" t="s">
        <v>629</v>
      </c>
      <c r="E195" s="16">
        <v>42604.760717592595</v>
      </c>
      <c r="F195" s="16">
        <v>42604.761770833335</v>
      </c>
      <c r="G195" s="7">
        <v>1</v>
      </c>
      <c r="H195" s="16" t="s">
        <v>614</v>
      </c>
      <c r="I195" s="16">
        <v>42604.775046296294</v>
      </c>
      <c r="J195" s="7">
        <v>0</v>
      </c>
      <c r="K195" s="140" t="str">
        <f t="shared" si="48"/>
        <v>4041/4042</v>
      </c>
      <c r="L195" s="25" t="str">
        <f>VLOOKUP(A195,'Trips&amp;Operators'!$C$1:$E$10000,3,FALSE)</f>
        <v>ISHMAEL</v>
      </c>
      <c r="M195" s="6">
        <f t="shared" si="49"/>
        <v>1.3275462959427387E-2</v>
      </c>
      <c r="N195" s="7">
        <f t="shared" si="65"/>
        <v>19.116666661575437</v>
      </c>
      <c r="O195" s="7"/>
      <c r="P195" s="7"/>
      <c r="Q195" s="26"/>
      <c r="R195" s="26"/>
      <c r="S195" s="38">
        <f t="shared" si="64"/>
        <v>1</v>
      </c>
      <c r="T195" s="53" t="str">
        <f t="shared" si="50"/>
        <v>NorthBound</v>
      </c>
      <c r="U195" s="13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17:15:26-0600',mode:absolute,to:'2016-08-22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5" s="55" t="str">
        <f t="shared" si="52"/>
        <v>N</v>
      </c>
      <c r="X195" s="127">
        <f t="shared" si="66"/>
        <v>1</v>
      </c>
      <c r="Y195" s="70">
        <f t="shared" si="53"/>
        <v>9.6500000000000002E-2</v>
      </c>
      <c r="Z195" s="70">
        <f t="shared" si="67"/>
        <v>5.8916000000000004</v>
      </c>
      <c r="AA195" s="70">
        <f t="shared" si="55"/>
        <v>5.7951000000000006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56"/>
        <v>0837-22</v>
      </c>
      <c r="AE195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95" s="100" t="str">
        <f t="shared" si="58"/>
        <v>"C:\Program Files (x86)\AstroGrep\AstroGrep.exe" /spath="%USERPROFILE%\AppData\Local\Temp\OnboardLogs" /stypes="*4042*20160823*" /stext=" 00:.+((SYSTEM_STATE.+slice.+state.+changed )|(ment ac)|(system.+state.+changed )|(\|lc)|(penalty)|(\[timeout)|(PRM\|1\|D)|(kpr)|(kdp))" /e /r /s</v>
      </c>
      <c r="AG195" s="1" t="str">
        <f t="shared" si="59"/>
        <v>NW</v>
      </c>
      <c r="AH195" s="104" t="str">
        <f t="shared" si="60"/>
        <v>"%USERPROFILE%\Documents\GitHub\eaglep3\Utilities\RefineRTDCRunTimes.py" --tripid 837-22 --locoid 4042 --swversion DE.1.0.7.0 --startMP 204:965 --initTime 2016-08-22T18:15:26 --startdatetime 2016-08-22T18:16:57 --delay 1 --endMP 300:58916 --enddatetime 2016-08-22T18:36:04 --enforcementcount 0</v>
      </c>
    </row>
    <row r="196" spans="1:34" x14ac:dyDescent="0.25">
      <c r="A196" s="40" t="s">
        <v>630</v>
      </c>
      <c r="B196" s="7">
        <v>4041</v>
      </c>
      <c r="C196" s="25" t="s">
        <v>114</v>
      </c>
      <c r="D196" s="25" t="s">
        <v>631</v>
      </c>
      <c r="E196" s="16">
        <v>42604.776006944441</v>
      </c>
      <c r="F196" s="16">
        <v>42604.776817129627</v>
      </c>
      <c r="G196" s="7">
        <v>1</v>
      </c>
      <c r="H196" s="16" t="s">
        <v>619</v>
      </c>
      <c r="I196" s="16">
        <v>42604.788622685184</v>
      </c>
      <c r="J196" s="7">
        <v>0</v>
      </c>
      <c r="K196" s="140" t="str">
        <f t="shared" si="48"/>
        <v>4041/4042</v>
      </c>
      <c r="L196" s="25" t="str">
        <f>VLOOKUP(A196,'Trips&amp;Operators'!$C$1:$E$10000,3,FALSE)</f>
        <v>ISHMAEL</v>
      </c>
      <c r="M196" s="6">
        <f t="shared" si="49"/>
        <v>1.1805555557657499E-2</v>
      </c>
      <c r="N196" s="7">
        <f t="shared" si="65"/>
        <v>17.000000003026798</v>
      </c>
      <c r="O196" s="7"/>
      <c r="P196" s="7"/>
      <c r="Q196" s="26"/>
      <c r="R196" s="26"/>
      <c r="S196" s="38">
        <f t="shared" si="64"/>
        <v>1</v>
      </c>
      <c r="T196" s="53" t="str">
        <f t="shared" si="50"/>
        <v>Southbound</v>
      </c>
      <c r="U196" s="13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17:37:27-0600',mode:absolute,to:'2016-08-22 19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6" s="55" t="str">
        <f t="shared" si="52"/>
        <v>N</v>
      </c>
      <c r="X196" s="127">
        <f t="shared" si="66"/>
        <v>1</v>
      </c>
      <c r="Y196" s="70">
        <f t="shared" si="53"/>
        <v>5.8609</v>
      </c>
      <c r="Z196" s="70">
        <f t="shared" si="67"/>
        <v>6.8000000000000005E-2</v>
      </c>
      <c r="AA196" s="70">
        <f t="shared" si="55"/>
        <v>5.7929000000000004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56"/>
        <v>0838-22</v>
      </c>
      <c r="AE196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96" s="100" t="str">
        <f t="shared" si="58"/>
        <v>"C:\Program Files (x86)\AstroGrep\AstroGrep.exe" /spath="%USERPROFILE%\AppData\Local\Temp\OnboardLogs" /stypes="*4041*20160823*" /stext=" 00:.+((SYSTEM_STATE.+slice.+state.+changed )|(ment ac)|(system.+state.+changed )|(\|lc)|(penalty)|(\[timeout)|(PRM\|1\|D)|(kpr)|(kdp))" /e /r /s</v>
      </c>
      <c r="AG196" s="1" t="str">
        <f t="shared" si="59"/>
        <v>NW</v>
      </c>
      <c r="AH196" s="104" t="str">
        <f t="shared" si="60"/>
        <v>"%USERPROFILE%\Documents\GitHub\eaglep3\Utilities\RefineRTDCRunTimes.py" --tripid 838-22 --locoid 4041 --swversion DE.1.0.7.0 --startMP 300:58609 --initTime 2016-08-22T18:37:27 --startdatetime 2016-08-22T18:38:37 --delay 1 --endMP 204:680 --enddatetime 2016-08-22T18:55:37 --enforcementcount 0</v>
      </c>
    </row>
    <row r="197" spans="1:34" x14ac:dyDescent="0.25">
      <c r="A197" s="40" t="s">
        <v>632</v>
      </c>
      <c r="B197" s="7">
        <v>4002</v>
      </c>
      <c r="C197" s="25" t="s">
        <v>114</v>
      </c>
      <c r="D197" s="25" t="s">
        <v>613</v>
      </c>
      <c r="E197" s="16">
        <v>42604.779467592591</v>
      </c>
      <c r="F197" s="16">
        <v>42604.780173611114</v>
      </c>
      <c r="G197" s="7">
        <v>1</v>
      </c>
      <c r="H197" s="16" t="s">
        <v>249</v>
      </c>
      <c r="I197" s="16">
        <v>42604.795798611114</v>
      </c>
      <c r="J197" s="7">
        <v>0</v>
      </c>
      <c r="K197" s="140" t="str">
        <f t="shared" si="48"/>
        <v>4001/4002</v>
      </c>
      <c r="L197" s="25" t="str">
        <f>VLOOKUP(A197,'Trips&amp;Operators'!$C$1:$E$10000,3,FALSE)</f>
        <v>HAITHCOX</v>
      </c>
      <c r="M197" s="6">
        <f t="shared" si="49"/>
        <v>1.5625E-2</v>
      </c>
      <c r="N197" s="7">
        <f t="shared" si="65"/>
        <v>22.5</v>
      </c>
      <c r="O197" s="7"/>
      <c r="P197" s="7"/>
      <c r="Q197" s="26"/>
      <c r="R197" s="26"/>
      <c r="S197" s="38">
        <f t="shared" si="64"/>
        <v>1</v>
      </c>
      <c r="T197" s="53" t="str">
        <f t="shared" si="50"/>
        <v>NorthBound</v>
      </c>
      <c r="U197" s="13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17:42:26-0600',mode:absolute,to:'2016-08-22 20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7" s="55" t="str">
        <f t="shared" si="52"/>
        <v>N</v>
      </c>
      <c r="X197" s="127">
        <f t="shared" si="66"/>
        <v>1</v>
      </c>
      <c r="Y197" s="70">
        <f t="shared" si="53"/>
        <v>9.7100000000000006E-2</v>
      </c>
      <c r="Z197" s="70">
        <f t="shared" si="67"/>
        <v>5.8928000000000003</v>
      </c>
      <c r="AA197" s="70">
        <f t="shared" si="55"/>
        <v>5.7957000000000001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56"/>
        <v>0839-22</v>
      </c>
      <c r="AE197" s="103" t="str">
        <f t="shared" si="5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197" s="100" t="str">
        <f t="shared" si="58"/>
        <v>"C:\Program Files (x86)\AstroGrep\AstroGrep.exe" /spath="%USERPROFILE%\AppData\Local\Temp\OnboardLogs" /stypes="*4002*20160823*" /stext=" 01:.+((SYSTEM_STATE.+slice.+state.+changed )|(ment ac)|(system.+state.+changed )|(\|lc)|(penalty)|(\[timeout)|(PRM\|1\|D)|(kpr)|(kdp))" /e /r /s</v>
      </c>
      <c r="AG197" s="1" t="str">
        <f t="shared" si="59"/>
        <v>NW</v>
      </c>
      <c r="AH197" s="104" t="str">
        <f t="shared" si="60"/>
        <v>"%USERPROFILE%\Documents\GitHub\eaglep3\Utilities\RefineRTDCRunTimes.py" --tripid 839-22 --locoid 4002 --swversion DE.1.0.7.0 --startMP 204:971 --initTime 2016-08-22T18:42:26 --startdatetime 2016-08-22T18:43:27 --delay 1 --endMP 300:58928 --enddatetime 2016-08-22T19:05:57 --enforcementcount 0</v>
      </c>
    </row>
    <row r="198" spans="1:34" x14ac:dyDescent="0.25">
      <c r="A198" s="40" t="s">
        <v>633</v>
      </c>
      <c r="B198" s="7">
        <v>4041</v>
      </c>
      <c r="C198" s="25" t="s">
        <v>114</v>
      </c>
      <c r="D198" s="25" t="s">
        <v>631</v>
      </c>
      <c r="E198" s="16">
        <v>42604.817094907405</v>
      </c>
      <c r="F198" s="16">
        <v>42604.817870370367</v>
      </c>
      <c r="G198" s="7">
        <v>1</v>
      </c>
      <c r="H198" s="16" t="s">
        <v>634</v>
      </c>
      <c r="I198" s="16">
        <v>42604.830185185187</v>
      </c>
      <c r="J198" s="7">
        <v>0</v>
      </c>
      <c r="K198" s="140" t="str">
        <f t="shared" si="48"/>
        <v>4041/4042</v>
      </c>
      <c r="L198" s="25" t="str">
        <f>VLOOKUP(A198,'Trips&amp;Operators'!$C$1:$E$10000,3,FALSE)</f>
        <v>ISHMAEL</v>
      </c>
      <c r="M198" s="6">
        <f t="shared" si="49"/>
        <v>1.2314814819546882E-2</v>
      </c>
      <c r="N198" s="7">
        <f t="shared" si="65"/>
        <v>17.73333334014751</v>
      </c>
      <c r="O198" s="7"/>
      <c r="P198" s="7"/>
      <c r="Q198" s="26"/>
      <c r="R198" s="26"/>
      <c r="S198" s="38">
        <f t="shared" ref="S198:S215" si="68">SUM(U198:U198)/IF(AG198="EC",12,1)</f>
        <v>1</v>
      </c>
      <c r="T198" s="53" t="str">
        <f t="shared" si="50"/>
        <v>Southbound</v>
      </c>
      <c r="U198" s="13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18:36:37-0600',mode:absolute,to:'2016-08-22 20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8" s="55" t="str">
        <f t="shared" si="52"/>
        <v>N</v>
      </c>
      <c r="X198" s="127">
        <f t="shared" si="66"/>
        <v>1</v>
      </c>
      <c r="Y198" s="70">
        <f t="shared" si="53"/>
        <v>5.8609</v>
      </c>
      <c r="Z198" s="70">
        <f t="shared" si="67"/>
        <v>6.7299999999999999E-2</v>
      </c>
      <c r="AA198" s="70">
        <f t="shared" si="55"/>
        <v>5.7935999999999996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56"/>
        <v>0840-22</v>
      </c>
      <c r="AE198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198" s="100" t="str">
        <f t="shared" si="58"/>
        <v>"C:\Program Files (x86)\AstroGrep\AstroGrep.exe" /spath="%USERPROFILE%\AppData\Local\Temp\OnboardLogs" /stypes="*4041*20160823*" /stext=" 01:.+((SYSTEM_STATE.+slice.+state.+changed )|(ment ac)|(system.+state.+changed )|(\|lc)|(penalty)|(\[timeout)|(PRM\|1\|D)|(kpr)|(kdp))" /e /r /s</v>
      </c>
      <c r="AG198" s="1" t="str">
        <f t="shared" si="59"/>
        <v>NW</v>
      </c>
      <c r="AH198" s="104" t="str">
        <f t="shared" si="60"/>
        <v>"%USERPROFILE%\Documents\GitHub\eaglep3\Utilities\RefineRTDCRunTimes.py" --tripid 840-22 --locoid 4041 --swversion DE.1.0.7.0 --startMP 300:58609 --initTime 2016-08-22T19:36:37 --startdatetime 2016-08-22T19:37:44 --delay 1 --endMP 204:673 --enddatetime 2016-08-22T19:55:28 --enforcementcount 0</v>
      </c>
    </row>
    <row r="199" spans="1:34" x14ac:dyDescent="0.25">
      <c r="A199" s="40" t="s">
        <v>635</v>
      </c>
      <c r="B199" s="7">
        <v>4042</v>
      </c>
      <c r="C199" s="25" t="s">
        <v>114</v>
      </c>
      <c r="D199" s="25" t="s">
        <v>613</v>
      </c>
      <c r="E199" s="16">
        <v>42604.802349537036</v>
      </c>
      <c r="F199" s="16">
        <v>42604.80327546296</v>
      </c>
      <c r="G199" s="7">
        <v>1</v>
      </c>
      <c r="H199" s="16" t="s">
        <v>296</v>
      </c>
      <c r="I199" s="16">
        <v>42604.81621527778</v>
      </c>
      <c r="J199" s="7">
        <v>0</v>
      </c>
      <c r="K199" s="140" t="str">
        <f t="shared" si="48"/>
        <v>4041/4042</v>
      </c>
      <c r="L199" s="25" t="str">
        <f>VLOOKUP(A199,'Trips&amp;Operators'!$C$1:$E$10000,3,FALSE)</f>
        <v>ISHMAEL</v>
      </c>
      <c r="M199" s="6">
        <f t="shared" si="49"/>
        <v>1.2939814820128959E-2</v>
      </c>
      <c r="N199" s="7">
        <f t="shared" si="65"/>
        <v>18.6333333409857</v>
      </c>
      <c r="O199" s="7"/>
      <c r="P199" s="7"/>
      <c r="Q199" s="26"/>
      <c r="R199" s="26"/>
      <c r="S199" s="38">
        <f t="shared" si="68"/>
        <v>1</v>
      </c>
      <c r="T199" s="53" t="str">
        <f t="shared" si="50"/>
        <v>NorthBound</v>
      </c>
      <c r="U199" s="13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18:15:23-0600',mode:absolute,to:'2016-08-22 20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9" s="55" t="str">
        <f t="shared" si="52"/>
        <v>N</v>
      </c>
      <c r="X199" s="127">
        <f t="shared" si="66"/>
        <v>1</v>
      </c>
      <c r="Y199" s="70">
        <f t="shared" si="53"/>
        <v>9.7100000000000006E-2</v>
      </c>
      <c r="Z199" s="70">
        <f t="shared" si="67"/>
        <v>5.8935000000000004</v>
      </c>
      <c r="AA199" s="70">
        <f t="shared" si="55"/>
        <v>5.7964000000000002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56"/>
        <v>0841-22</v>
      </c>
      <c r="AE199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199" s="100" t="str">
        <f t="shared" si="58"/>
        <v>"C:\Program Files (x86)\AstroGrep\AstroGrep.exe" /spath="%USERPROFILE%\AppData\Local\Temp\OnboardLogs" /stypes="*4042*20160823*" /stext=" 01:.+((SYSTEM_STATE.+slice.+state.+changed )|(ment ac)|(system.+state.+changed )|(\|lc)|(penalty)|(\[timeout)|(PRM\|1\|D)|(kpr)|(kdp))" /e /r /s</v>
      </c>
      <c r="AG199" s="1" t="str">
        <f t="shared" si="59"/>
        <v>NW</v>
      </c>
      <c r="AH199" s="104" t="str">
        <f t="shared" si="60"/>
        <v>"%USERPROFILE%\Documents\GitHub\eaglep3\Utilities\RefineRTDCRunTimes.py" --tripid 841-22 --locoid 4042 --swversion DE.1.0.7.0 --startMP 204:971 --initTime 2016-08-22T19:15:23 --startdatetime 2016-08-22T19:16:43 --delay 1 --endMP 300:58935 --enddatetime 2016-08-22T19:35:21 --enforcementcount 0</v>
      </c>
    </row>
    <row r="200" spans="1:34" x14ac:dyDescent="0.25">
      <c r="A200" s="40" t="s">
        <v>369</v>
      </c>
      <c r="B200" s="7">
        <v>4041</v>
      </c>
      <c r="C200" s="25" t="s">
        <v>114</v>
      </c>
      <c r="D200" s="25" t="s">
        <v>636</v>
      </c>
      <c r="E200" s="16">
        <v>42604.858749999999</v>
      </c>
      <c r="F200" s="16">
        <v>42604.859525462962</v>
      </c>
      <c r="G200" s="7">
        <v>1</v>
      </c>
      <c r="H200" s="16" t="s">
        <v>637</v>
      </c>
      <c r="I200" s="16">
        <v>42604.875324074077</v>
      </c>
      <c r="J200" s="7">
        <v>0</v>
      </c>
      <c r="K200" s="140" t="str">
        <f t="shared" si="48"/>
        <v>4041/4042</v>
      </c>
      <c r="L200" s="25" t="str">
        <f>VLOOKUP(A200,'Trips&amp;Operators'!$C$1:$E$10000,3,FALSE)</f>
        <v>ISHMAEL</v>
      </c>
      <c r="M200" s="6">
        <f t="shared" si="49"/>
        <v>1.5798611115314998E-2</v>
      </c>
      <c r="N200" s="7">
        <f t="shared" si="65"/>
        <v>22.750000006053597</v>
      </c>
      <c r="O200" s="7"/>
      <c r="P200" s="7"/>
      <c r="Q200" s="26"/>
      <c r="R200" s="26"/>
      <c r="S200" s="38">
        <f t="shared" si="68"/>
        <v>1</v>
      </c>
      <c r="T200" s="53" t="str">
        <f t="shared" si="50"/>
        <v>Southbound</v>
      </c>
      <c r="U200" s="13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19:36:36-0600',mode:absolute,to:'2016-08-22 22:00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0" s="55" t="str">
        <f t="shared" si="52"/>
        <v>N</v>
      </c>
      <c r="X200" s="127">
        <f t="shared" si="66"/>
        <v>1</v>
      </c>
      <c r="Y200" s="70">
        <f t="shared" si="53"/>
        <v>5.8608000000000002</v>
      </c>
      <c r="Z200" s="70">
        <f t="shared" si="67"/>
        <v>6.9599999999999995E-2</v>
      </c>
      <c r="AA200" s="70">
        <f t="shared" si="55"/>
        <v>5.7911999999999999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56"/>
        <v>0842-22</v>
      </c>
      <c r="AE200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200" s="100" t="str">
        <f t="shared" si="58"/>
        <v>"C:\Program Files (x86)\AstroGrep\AstroGrep.exe" /spath="%USERPROFILE%\AppData\Local\Temp\OnboardLogs" /stypes="*4041*20160823*" /stext=" 03:.+((SYSTEM_STATE.+slice.+state.+changed )|(ment ac)|(system.+state.+changed )|(\|lc)|(penalty)|(\[timeout)|(PRM\|1\|D)|(kpr)|(kdp))" /e /r /s</v>
      </c>
      <c r="AG200" s="1" t="str">
        <f t="shared" si="59"/>
        <v>NW</v>
      </c>
      <c r="AH200" s="104" t="str">
        <f t="shared" si="60"/>
        <v>"%USERPROFILE%\Documents\GitHub\eaglep3\Utilities\RefineRTDCRunTimes.py" --tripid 842-22 --locoid 4041 --swversion DE.1.0.7.0 --startMP 300:58608 --initTime 2016-08-22T20:36:36 --startdatetime 2016-08-22T20:37:43 --delay 1 --endMP 204:696 --enddatetime 2016-08-22T21:00:28 --enforcementcount 0</v>
      </c>
    </row>
    <row r="201" spans="1:34" x14ac:dyDescent="0.25">
      <c r="A201" s="40" t="s">
        <v>638</v>
      </c>
      <c r="B201" s="7">
        <v>4042</v>
      </c>
      <c r="C201" s="25" t="s">
        <v>114</v>
      </c>
      <c r="D201" s="25" t="s">
        <v>625</v>
      </c>
      <c r="E201" s="16">
        <v>42604.839884259258</v>
      </c>
      <c r="F201" s="16">
        <v>42604.840648148151</v>
      </c>
      <c r="G201" s="7">
        <v>1</v>
      </c>
      <c r="H201" s="16" t="s">
        <v>607</v>
      </c>
      <c r="I201" s="16">
        <v>42604.857719907406</v>
      </c>
      <c r="J201" s="7">
        <v>0</v>
      </c>
      <c r="K201" s="140" t="str">
        <f t="shared" si="48"/>
        <v>4041/4042</v>
      </c>
      <c r="L201" s="25" t="str">
        <f>VLOOKUP(A201,'Trips&amp;Operators'!$C$1:$E$10000,3,FALSE)</f>
        <v>ISHMAEL</v>
      </c>
      <c r="M201" s="6">
        <f t="shared" si="49"/>
        <v>1.707175925548654E-2</v>
      </c>
      <c r="N201" s="7">
        <f t="shared" si="65"/>
        <v>24.583333327900618</v>
      </c>
      <c r="O201" s="7"/>
      <c r="P201" s="7"/>
      <c r="Q201" s="26"/>
      <c r="R201" s="26"/>
      <c r="S201" s="38">
        <f t="shared" si="68"/>
        <v>1</v>
      </c>
      <c r="T201" s="53" t="str">
        <f t="shared" si="50"/>
        <v>NorthBound</v>
      </c>
      <c r="U201" s="13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19:09:26-0600',mode:absolute,to:'2016-08-22 21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1" s="55" t="str">
        <f t="shared" si="52"/>
        <v>N</v>
      </c>
      <c r="X201" s="127">
        <f t="shared" si="66"/>
        <v>1</v>
      </c>
      <c r="Y201" s="70">
        <f t="shared" si="53"/>
        <v>9.69E-2</v>
      </c>
      <c r="Z201" s="70">
        <f t="shared" si="67"/>
        <v>5.8917999999999999</v>
      </c>
      <c r="AA201" s="70">
        <f t="shared" si="55"/>
        <v>5.7949000000000002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56"/>
        <v>0843-22</v>
      </c>
      <c r="AE201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201" s="100" t="str">
        <f t="shared" si="58"/>
        <v>"C:\Program Files (x86)\AstroGrep\AstroGrep.exe" /spath="%USERPROFILE%\AppData\Local\Temp\OnboardLogs" /stypes="*4042*20160823*" /stext=" 02:.+((SYSTEM_STATE.+slice.+state.+changed )|(ment ac)|(system.+state.+changed )|(\|lc)|(penalty)|(\[timeout)|(PRM\|1\|D)|(kpr)|(kdp))" /e /r /s</v>
      </c>
      <c r="AG201" s="1" t="str">
        <f t="shared" si="59"/>
        <v>NW</v>
      </c>
      <c r="AH201" s="104" t="str">
        <f t="shared" si="60"/>
        <v>"%USERPROFILE%\Documents\GitHub\eaglep3\Utilities\RefineRTDCRunTimes.py" --tripid 843-22 --locoid 4042 --swversion DE.1.0.7.0 --startMP 204:969 --initTime 2016-08-22T20:09:26 --startdatetime 2016-08-22T20:10:32 --delay 1 --endMP 300:58918 --enddatetime 2016-08-22T20:35:07 --enforcementcount 0</v>
      </c>
    </row>
    <row r="202" spans="1:34" x14ac:dyDescent="0.25">
      <c r="A202" s="40" t="s">
        <v>639</v>
      </c>
      <c r="B202" s="7">
        <v>4041</v>
      </c>
      <c r="C202" s="25" t="s">
        <v>114</v>
      </c>
      <c r="D202" s="25" t="s">
        <v>248</v>
      </c>
      <c r="E202" s="16">
        <v>42604.901423611111</v>
      </c>
      <c r="F202" s="16">
        <v>42604.902719907404</v>
      </c>
      <c r="G202" s="7">
        <v>1</v>
      </c>
      <c r="H202" s="16" t="s">
        <v>640</v>
      </c>
      <c r="I202" s="16">
        <v>42604.9141087963</v>
      </c>
      <c r="J202" s="7">
        <v>0</v>
      </c>
      <c r="K202" s="140" t="str">
        <f t="shared" si="48"/>
        <v>4041/4042</v>
      </c>
      <c r="L202" s="25" t="str">
        <f>VLOOKUP(A202,'Trips&amp;Operators'!$C$1:$E$10000,3,FALSE)</f>
        <v>HAITHCOX</v>
      </c>
      <c r="M202" s="6">
        <f t="shared" si="49"/>
        <v>1.138888889545342E-2</v>
      </c>
      <c r="N202" s="7">
        <f t="shared" si="65"/>
        <v>16.400000009452924</v>
      </c>
      <c r="O202" s="7"/>
      <c r="P202" s="7"/>
      <c r="Q202" s="26"/>
      <c r="R202" s="26"/>
      <c r="S202" s="38">
        <f t="shared" si="68"/>
        <v>1</v>
      </c>
      <c r="T202" s="53" t="str">
        <f t="shared" si="50"/>
        <v>Southbound</v>
      </c>
      <c r="U202" s="13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20:38:03-0600',mode:absolute,to:'2016-08-22 22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2" s="55" t="str">
        <f t="shared" si="52"/>
        <v>N</v>
      </c>
      <c r="X202" s="127">
        <f t="shared" si="66"/>
        <v>1</v>
      </c>
      <c r="Y202" s="70">
        <f t="shared" si="53"/>
        <v>5.8619000000000003</v>
      </c>
      <c r="Z202" s="70">
        <f t="shared" si="67"/>
        <v>7.0300000000000001E-2</v>
      </c>
      <c r="AA202" s="70">
        <f t="shared" si="55"/>
        <v>5.7916000000000007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56"/>
        <v>0844-22</v>
      </c>
      <c r="AE202" s="103" t="str">
        <f t="shared" si="5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202" s="100" t="str">
        <f t="shared" si="58"/>
        <v>"C:\Program Files (x86)\AstroGrep\AstroGrep.exe" /spath="%USERPROFILE%\AppData\Local\Temp\OnboardLogs" /stypes="*4041*20160823*" /stext=" 03:.+((SYSTEM_STATE.+slice.+state.+changed )|(ment ac)|(system.+state.+changed )|(\|lc)|(penalty)|(\[timeout)|(PRM\|1\|D)|(kpr)|(kdp))" /e /r /s</v>
      </c>
      <c r="AG202" s="1" t="str">
        <f t="shared" si="59"/>
        <v>NW</v>
      </c>
      <c r="AH202" s="104" t="str">
        <f t="shared" si="60"/>
        <v>"%USERPROFILE%\Documents\GitHub\eaglep3\Utilities\RefineRTDCRunTimes.py" --tripid 844-22 --locoid 4041 --swversion DE.1.0.7.0 --startMP 300:58619 --initTime 2016-08-22T21:38:03 --startdatetime 2016-08-22T21:39:55 --delay 1 --endMP 204:703 --enddatetime 2016-08-22T21:56:19 --enforcementcount 0</v>
      </c>
    </row>
    <row r="203" spans="1:34" x14ac:dyDescent="0.25">
      <c r="A203" s="40" t="s">
        <v>641</v>
      </c>
      <c r="B203" s="7">
        <v>4042</v>
      </c>
      <c r="C203" s="25" t="s">
        <v>114</v>
      </c>
      <c r="D203" s="25" t="s">
        <v>581</v>
      </c>
      <c r="E203" s="16">
        <v>42604.886099537034</v>
      </c>
      <c r="F203" s="16">
        <v>42604.887337962966</v>
      </c>
      <c r="G203" s="7">
        <v>1</v>
      </c>
      <c r="H203" s="16" t="s">
        <v>607</v>
      </c>
      <c r="I203" s="16">
        <v>42604.900335648148</v>
      </c>
      <c r="J203" s="7">
        <v>0</v>
      </c>
      <c r="K203" s="140" t="str">
        <f t="shared" si="48"/>
        <v>4041/4042</v>
      </c>
      <c r="L203" s="25" t="str">
        <f>VLOOKUP(A203,'Trips&amp;Operators'!$C$1:$E$10000,3,FALSE)</f>
        <v>HAITHCOX</v>
      </c>
      <c r="M203" s="6">
        <f t="shared" si="49"/>
        <v>1.2997685182199348E-2</v>
      </c>
      <c r="N203" s="7">
        <f t="shared" si="65"/>
        <v>18.716666662367061</v>
      </c>
      <c r="O203" s="7"/>
      <c r="P203" s="7"/>
      <c r="Q203" s="26"/>
      <c r="R203" s="26"/>
      <c r="S203" s="38">
        <f t="shared" si="68"/>
        <v>1</v>
      </c>
      <c r="T203" s="53" t="str">
        <f t="shared" si="50"/>
        <v>NorthBound</v>
      </c>
      <c r="U203" s="13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20:15:59-0600',mode:absolute,to:'2016-08-22 22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3" s="55" t="str">
        <f t="shared" si="52"/>
        <v>N</v>
      </c>
      <c r="X203" s="127">
        <f t="shared" si="66"/>
        <v>1</v>
      </c>
      <c r="Y203" s="70">
        <f t="shared" si="53"/>
        <v>9.7600000000000006E-2</v>
      </c>
      <c r="Z203" s="70">
        <f t="shared" si="67"/>
        <v>5.8917999999999999</v>
      </c>
      <c r="AA203" s="70">
        <f t="shared" si="55"/>
        <v>5.7942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56"/>
        <v>0845-22</v>
      </c>
      <c r="AE203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203" s="100" t="str">
        <f t="shared" si="58"/>
        <v>"C:\Program Files (x86)\AstroGrep\AstroGrep.exe" /spath="%USERPROFILE%\AppData\Local\Temp\OnboardLogs" /stypes="*4042*20160823*" /stext=" 03:.+((SYSTEM_STATE.+slice.+state.+changed )|(ment ac)|(system.+state.+changed )|(\|lc)|(penalty)|(\[timeout)|(PRM\|1\|D)|(kpr)|(kdp))" /e /r /s</v>
      </c>
      <c r="AG203" s="1" t="str">
        <f t="shared" si="59"/>
        <v>NW</v>
      </c>
      <c r="AH203" s="104" t="str">
        <f t="shared" si="60"/>
        <v>"%USERPROFILE%\Documents\GitHub\eaglep3\Utilities\RefineRTDCRunTimes.py" --tripid 845-22 --locoid 4042 --swversion DE.1.0.7.0 --startMP 204:976 --initTime 2016-08-22T21:15:59 --startdatetime 2016-08-22T21:17:46 --delay 1 --endMP 300:58918 --enddatetime 2016-08-22T21:36:29 --enforcementcount 0</v>
      </c>
    </row>
    <row r="204" spans="1:34" x14ac:dyDescent="0.25">
      <c r="A204" s="40" t="s">
        <v>642</v>
      </c>
      <c r="B204" s="7">
        <v>4042</v>
      </c>
      <c r="C204" s="25" t="s">
        <v>114</v>
      </c>
      <c r="D204" s="25" t="s">
        <v>613</v>
      </c>
      <c r="E204" s="16">
        <v>42604.927719907406</v>
      </c>
      <c r="F204" s="16">
        <v>42604.928900462961</v>
      </c>
      <c r="G204" s="7">
        <v>1</v>
      </c>
      <c r="H204" s="16" t="s">
        <v>297</v>
      </c>
      <c r="I204" s="16">
        <v>42604.942835648151</v>
      </c>
      <c r="J204" s="7">
        <v>0</v>
      </c>
      <c r="K204" s="140" t="str">
        <f t="shared" si="48"/>
        <v>4041/4042</v>
      </c>
      <c r="L204" s="25" t="str">
        <f>VLOOKUP(A204,'Trips&amp;Operators'!$C$1:$E$10000,3,FALSE)</f>
        <v>HAITHCOX</v>
      </c>
      <c r="M204" s="6">
        <f t="shared" si="49"/>
        <v>1.393518519034842E-2</v>
      </c>
      <c r="N204" s="7">
        <f t="shared" si="65"/>
        <v>20.066666674101725</v>
      </c>
      <c r="O204" s="7"/>
      <c r="P204" s="7"/>
      <c r="Q204" s="26"/>
      <c r="R204" s="26"/>
      <c r="S204" s="38">
        <f t="shared" si="68"/>
        <v>1</v>
      </c>
      <c r="T204" s="53" t="str">
        <f t="shared" si="50"/>
        <v>NorthBound</v>
      </c>
      <c r="U204" s="13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0" t="str">
        <f t="shared" si="51"/>
        <v>https://search-rtdc-monitor-bjffxe2xuh6vdkpspy63sjmuny.us-east-1.es.amazonaws.com/_plugin/kibana/#/discover/Steve-Slow-Train-Analysis-(2080s-and-2083s)?_g=(refreshInterval:(display:Off,section:0,value:0),time:(from:'2016-08-22 21:15:55-0600',mode:absolute,to:'2016-08-22 23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4" s="55" t="str">
        <f t="shared" si="52"/>
        <v>N</v>
      </c>
      <c r="X204" s="127">
        <f t="shared" si="66"/>
        <v>2</v>
      </c>
      <c r="Y204" s="70">
        <f t="shared" si="53"/>
        <v>9.7100000000000006E-2</v>
      </c>
      <c r="Z204" s="70">
        <f t="shared" si="67"/>
        <v>5.8940999999999999</v>
      </c>
      <c r="AA204" s="70">
        <f t="shared" si="55"/>
        <v>5.7969999999999997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56"/>
        <v>0847-22</v>
      </c>
      <c r="AE204" s="103" t="str">
        <f t="shared" si="57"/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AF204" s="100" t="str">
        <f t="shared" si="58"/>
        <v>"C:\Program Files (x86)\AstroGrep\AstroGrep.exe" /spath="%USERPROFILE%\AppData\Local\Temp\OnboardLogs" /stypes="*4042*20160823*" /stext=" 04:.+((SYSTEM_STATE.+slice.+state.+changed )|(ment ac)|(system.+state.+changed )|(\|lc)|(penalty)|(\[timeout)|(PRM\|1\|D)|(kpr)|(kdp))" /e /r /s</v>
      </c>
      <c r="AG204" s="1" t="str">
        <f t="shared" si="59"/>
        <v>NW</v>
      </c>
      <c r="AH204" s="104" t="str">
        <f t="shared" si="60"/>
        <v>"%USERPROFILE%\Documents\GitHub\eaglep3\Utilities\RefineRTDCRunTimes.py" --tripid 847-22 --locoid 4042 --swversion DE.1.0.7.0 --startMP 204:971 --initTime 2016-08-22T22:15:55 --startdatetime 2016-08-22T22:17:37 --delay 1 --endMP 300:58941 --enddatetime 2016-08-22T22:37:41 --enforcementcount 0</v>
      </c>
    </row>
    <row r="205" spans="1:34" x14ac:dyDescent="0.25">
      <c r="A205" s="40" t="s">
        <v>542</v>
      </c>
      <c r="B205" s="7">
        <v>4044</v>
      </c>
      <c r="C205" s="25" t="s">
        <v>114</v>
      </c>
      <c r="D205" s="25" t="s">
        <v>270</v>
      </c>
      <c r="E205" s="16">
        <v>42604.777743055558</v>
      </c>
      <c r="F205" s="16">
        <v>42604.778611111113</v>
      </c>
      <c r="G205" s="7">
        <v>1</v>
      </c>
      <c r="H205" s="16" t="s">
        <v>310</v>
      </c>
      <c r="I205" s="16">
        <v>42604.784409722219</v>
      </c>
      <c r="J205" s="7">
        <v>0</v>
      </c>
      <c r="K205" s="140" t="str">
        <f t="shared" ref="K205:K215" si="69">IF(ISEVEN(B205),(B205-1)&amp;"/"&amp;B205,B205&amp;"/"&amp;(B205+1))</f>
        <v>4043/4044</v>
      </c>
      <c r="L205" s="25" t="str">
        <f>VLOOKUP(A205,'Trips&amp;Operators'!$C$1:$E$10000,3,FALSE)</f>
        <v>BEAM</v>
      </c>
      <c r="M205" s="6">
        <f t="shared" ref="M205:M215" si="70">I205-F205</f>
        <v>5.798611106001772E-3</v>
      </c>
      <c r="N205" s="7">
        <f t="shared" si="65"/>
        <v>8.3499999926425517</v>
      </c>
      <c r="O205" s="7"/>
      <c r="P205" s="7"/>
      <c r="Q205" s="26"/>
      <c r="R205" s="26"/>
      <c r="S205" s="38">
        <f t="shared" si="68"/>
        <v>1</v>
      </c>
      <c r="T205" s="53" t="str">
        <f t="shared" ref="T205:T215" si="71">IF(ISEVEN(LEFT(AD205,4)),"Southbound","NorthBound")</f>
        <v>NorthBound</v>
      </c>
      <c r="U205" s="13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0" t="str">
        <f t="shared" ref="V205:V215" si="72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https://search-rtdc-monitor-bjffxe2xuh6vdkpspy63sjmuny.us-east-1.es.amazonaws.com/_plugin/kibana/#/discover/Steve-Slow-Train-Analysis-(2080s-and-2083s)?_g=(refreshInterval:(display:Off,section:0,value:0),time:(from:'2016-08-22 17:39:57-0600',mode:absolute,to:'2016-08-22 19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5" s="55" t="str">
        <f t="shared" ref="W205:W215" si="73">IF(AA205&lt;IF(AG205="EC",23,5.65),"Y","N")</f>
        <v>Y</v>
      </c>
      <c r="X205" s="127">
        <f t="shared" si="66"/>
        <v>-544</v>
      </c>
      <c r="Y205" s="70">
        <f t="shared" ref="Y205:Y215" si="74">RIGHT(D205,LEN(D205)-4)/10000</f>
        <v>4.82E-2</v>
      </c>
      <c r="Z205" s="70">
        <f t="shared" si="67"/>
        <v>2.3300999999999998</v>
      </c>
      <c r="AA205" s="70">
        <f t="shared" ref="AA205:AA215" si="75">ABS(Z205-Y205)</f>
        <v>2.2818999999999998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ref="AD205:AD215" si="76">IF(LEN(A205)=6,"0"&amp;A205,A205)</f>
        <v>0303-22</v>
      </c>
      <c r="AE205" s="103" t="str">
        <f t="shared" ref="AE205:AE215" si="77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205" s="100" t="str">
        <f t="shared" ref="AF205:AF215" si="78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/stypes="*4044*20160823*" /stext=" 00:.+((SYSTEM_STATE.+slice.+state.+changed )|(ment ac)|(system.+state.+changed )|(\|lc)|(penalty)|(\[timeout)|(PRM\|1\|D)|(kpr)|(kdp))" /e /r /s</v>
      </c>
      <c r="AG205" s="1" t="str">
        <f t="shared" ref="AG205:AG215" si="79">IFERROR(IF(VALUE(LEFT(AD205,2))&lt;=2,"EC",IF(OR(VALUE(LEFT(AD205,2))=8,VALUE(LEFT(AD205,2))=18),"NW","Other")),"Other")</f>
        <v>Other</v>
      </c>
      <c r="AH205" s="104" t="str">
        <f t="shared" ref="AH205:AH215" si="8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303-22 --locoid 4044 --swversion DE.1.0.7.0 --startMP 204:482 --initTime 2016-08-22T18:39:57 --startdatetime 2016-08-22T18:41:12 --delay 1 --endMP 300:23301 --enddatetime 2016-08-22T18:49:33 --enforcementcount 0</v>
      </c>
    </row>
    <row r="206" spans="1:34" x14ac:dyDescent="0.25">
      <c r="A206" s="40" t="s">
        <v>543</v>
      </c>
      <c r="B206" s="7">
        <v>4007</v>
      </c>
      <c r="C206" s="25" t="s">
        <v>114</v>
      </c>
      <c r="D206" s="25" t="s">
        <v>270</v>
      </c>
      <c r="E206" s="16">
        <v>42604.797847222224</v>
      </c>
      <c r="F206" s="16">
        <v>42604.798819444448</v>
      </c>
      <c r="G206" s="7">
        <v>1</v>
      </c>
      <c r="H206" s="16" t="s">
        <v>310</v>
      </c>
      <c r="I206" s="16">
        <v>42604.805625000001</v>
      </c>
      <c r="J206" s="7">
        <v>0</v>
      </c>
      <c r="K206" s="140" t="str">
        <f t="shared" si="69"/>
        <v>4007/4008</v>
      </c>
      <c r="L206" s="25" t="str">
        <f>VLOOKUP(A206,'Trips&amp;Operators'!$C$1:$E$10000,3,FALSE)</f>
        <v>DE LA ROSA</v>
      </c>
      <c r="M206" s="6">
        <f t="shared" si="70"/>
        <v>6.805555553000886E-3</v>
      </c>
      <c r="N206" s="7">
        <f t="shared" si="65"/>
        <v>9.7999999963212758</v>
      </c>
      <c r="O206" s="7"/>
      <c r="P206" s="7"/>
      <c r="Q206" s="26"/>
      <c r="R206" s="26"/>
      <c r="S206" s="38">
        <f t="shared" si="68"/>
        <v>1</v>
      </c>
      <c r="T206" s="53" t="str">
        <f t="shared" si="71"/>
        <v>NorthBound</v>
      </c>
      <c r="U206" s="13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18:08:54-0600',mode:absolute,to:'2016-08-22 20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6" s="55" t="str">
        <f t="shared" si="73"/>
        <v>Y</v>
      </c>
      <c r="X206" s="127">
        <f t="shared" si="66"/>
        <v>2</v>
      </c>
      <c r="Y206" s="70">
        <f t="shared" si="74"/>
        <v>4.82E-2</v>
      </c>
      <c r="Z206" s="70">
        <f t="shared" si="67"/>
        <v>2.3300999999999998</v>
      </c>
      <c r="AA206" s="70">
        <f t="shared" si="75"/>
        <v>2.2818999999999998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76"/>
        <v>0305-22</v>
      </c>
      <c r="AE206" s="103" t="str">
        <f t="shared" si="77"/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AF206" s="100" t="str">
        <f t="shared" si="78"/>
        <v>"C:\Program Files (x86)\AstroGrep\AstroGrep.exe" /spath="%USERPROFILE%\AppData\Local\Temp\OnboardLogs" /stypes="*4007*20160823*" /stext=" 01:.+((SYSTEM_STATE.+slice.+state.+changed )|(ment ac)|(system.+state.+changed )|(\|lc)|(penalty)|(\[timeout)|(PRM\|1\|D)|(kpr)|(kdp))" /e /r /s</v>
      </c>
      <c r="AG206" s="1" t="str">
        <f t="shared" si="79"/>
        <v>Other</v>
      </c>
      <c r="AH206" s="104" t="str">
        <f t="shared" si="80"/>
        <v>"%USERPROFILE%\Documents\GitHub\eaglep3\Utilities\RefineRTDCRunTimes.py" --tripid 305-22 --locoid 4007 --swversion DE.1.0.7.0 --startMP 204:482 --initTime 2016-08-22T19:08:54 --startdatetime 2016-08-22T19:10:18 --delay 1 --endMP 300:23301 --enddatetime 2016-08-22T19:20:06 --enforcementcount 0</v>
      </c>
    </row>
    <row r="207" spans="1:34" x14ac:dyDescent="0.25">
      <c r="A207" s="40" t="s">
        <v>544</v>
      </c>
      <c r="B207" s="7">
        <v>4038</v>
      </c>
      <c r="C207" s="25" t="s">
        <v>114</v>
      </c>
      <c r="D207" s="25" t="s">
        <v>142</v>
      </c>
      <c r="E207" s="16">
        <v>42604.824143518519</v>
      </c>
      <c r="F207" s="16">
        <v>42604.826377314814</v>
      </c>
      <c r="G207" s="7">
        <v>3</v>
      </c>
      <c r="H207" s="16" t="s">
        <v>545</v>
      </c>
      <c r="I207" s="16">
        <v>42604.832476851851</v>
      </c>
      <c r="J207" s="7">
        <v>0</v>
      </c>
      <c r="K207" s="140" t="str">
        <f t="shared" si="69"/>
        <v>4037/4038</v>
      </c>
      <c r="L207" s="25" t="str">
        <f>VLOOKUP(A207,'Trips&amp;Operators'!$C$1:$E$10000,3,FALSE)</f>
        <v>STRICKLAND</v>
      </c>
      <c r="M207" s="6">
        <f t="shared" si="70"/>
        <v>6.0995370367891155E-3</v>
      </c>
      <c r="N207" s="7">
        <f t="shared" si="65"/>
        <v>8.7833333329763263</v>
      </c>
      <c r="O207" s="7"/>
      <c r="P207" s="7"/>
      <c r="Q207" s="26"/>
      <c r="R207" s="26"/>
      <c r="S207" s="38">
        <f t="shared" si="68"/>
        <v>1</v>
      </c>
      <c r="T207" s="53" t="str">
        <f t="shared" si="71"/>
        <v>NorthBound</v>
      </c>
      <c r="U207" s="13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18:46:46-0600',mode:absolute,to:'2016-08-22 20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7" s="55" t="str">
        <f t="shared" si="73"/>
        <v>Y</v>
      </c>
      <c r="X207" s="127">
        <f t="shared" si="66"/>
        <v>2</v>
      </c>
      <c r="Y207" s="70">
        <f t="shared" si="74"/>
        <v>4.6699999999999998E-2</v>
      </c>
      <c r="Z207" s="70">
        <f t="shared" si="67"/>
        <v>2.3306</v>
      </c>
      <c r="AA207" s="70">
        <f t="shared" si="75"/>
        <v>2.2839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76"/>
        <v>0307-22</v>
      </c>
      <c r="AE207" s="103" t="str">
        <f t="shared" si="77"/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AF207" s="100" t="str">
        <f t="shared" si="78"/>
        <v>"C:\Program Files (x86)\AstroGrep\AstroGrep.exe" /spath="%USERPROFILE%\AppData\Local\Temp\OnboardLogs" /stypes="*4038*20160823*" /stext=" 01:.+((SYSTEM_STATE.+slice.+state.+changed )|(ment ac)|(system.+state.+changed )|(\|lc)|(penalty)|(\[timeout)|(PRM\|1\|D)|(kpr)|(kdp))" /e /r /s</v>
      </c>
      <c r="AG207" s="1" t="str">
        <f t="shared" si="79"/>
        <v>Other</v>
      </c>
      <c r="AH207" s="104" t="str">
        <f t="shared" si="80"/>
        <v>"%USERPROFILE%\Documents\GitHub\eaglep3\Utilities\RefineRTDCRunTimes.py" --tripid 307-22 --locoid 4038 --swversion DE.1.0.7.0 --startMP 204:467 --initTime 2016-08-22T19:46:46 --startdatetime 2016-08-22T19:49:59 --delay 3 --endMP 300:23306 --enddatetime 2016-08-22T19:58:46 --enforcementcount 0</v>
      </c>
    </row>
    <row r="208" spans="1:34" x14ac:dyDescent="0.25">
      <c r="A208" s="40" t="s">
        <v>546</v>
      </c>
      <c r="B208" s="7">
        <v>4027</v>
      </c>
      <c r="C208" s="25" t="s">
        <v>114</v>
      </c>
      <c r="D208" s="25" t="s">
        <v>547</v>
      </c>
      <c r="E208" s="16">
        <v>42605.050555555557</v>
      </c>
      <c r="F208" s="16">
        <v>42605.051458333335</v>
      </c>
      <c r="G208" s="7">
        <v>1</v>
      </c>
      <c r="H208" s="16" t="s">
        <v>223</v>
      </c>
      <c r="I208" s="16">
        <v>42605.057754629626</v>
      </c>
      <c r="J208" s="7">
        <v>0</v>
      </c>
      <c r="K208" s="140" t="str">
        <f t="shared" si="69"/>
        <v>4027/4028</v>
      </c>
      <c r="L208" s="25" t="str">
        <f>VLOOKUP(A208,'Trips&amp;Operators'!$C$1:$E$10000,3,FALSE)</f>
        <v>NEWELL</v>
      </c>
      <c r="M208" s="6">
        <f t="shared" si="70"/>
        <v>6.2962962911115028E-3</v>
      </c>
      <c r="N208" s="7">
        <f t="shared" si="65"/>
        <v>9.066666659200564</v>
      </c>
      <c r="O208" s="7"/>
      <c r="P208" s="7"/>
      <c r="Q208" s="26"/>
      <c r="R208" s="26"/>
      <c r="S208" s="38">
        <f t="shared" si="68"/>
        <v>1</v>
      </c>
      <c r="T208" s="53" t="str">
        <f t="shared" si="71"/>
        <v>NorthBound</v>
      </c>
      <c r="U208" s="13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https://search-rtdc-monitor-bjffxe2xuh6vdkpspy63sjmuny.us-east-1.es.amazonaws.com/_plugin/kibana/#/discover/Steve-Slow-Train-Analysis-(2080s-and-2083s)?_g=(refreshInterval:(display:Off,section:0,value:0),time:(from:'2016-08-23 00:12:48-0600',mode:absolute,to:'2016-08-23 02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8" s="55" t="str">
        <f t="shared" si="73"/>
        <v>Y</v>
      </c>
      <c r="X208" s="127">
        <f t="shared" si="66"/>
        <v>4</v>
      </c>
      <c r="Y208" s="70">
        <f t="shared" si="74"/>
        <v>4.4999999999999998E-2</v>
      </c>
      <c r="Z208" s="70">
        <f t="shared" si="67"/>
        <v>2.3308</v>
      </c>
      <c r="AA208" s="70">
        <f t="shared" si="75"/>
        <v>2.2858000000000001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76"/>
        <v>0311-22</v>
      </c>
      <c r="AE208" s="103" t="str">
        <f t="shared" si="77"/>
        <v>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 &amp; 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</v>
      </c>
      <c r="AF208" s="100" t="str">
        <f t="shared" si="78"/>
        <v>"C:\Program Files (x86)\AstroGrep\AstroGrep.exe" /spath="%USERPROFILE%\AppData\Local\Temp\OnboardLogs" /stypes="*4027*20160823*" /stext=" 07:.+((SYSTEM_STATE.+slice.+state.+changed )|(ment ac)|(system.+state.+changed )|(\|lc)|(penalty)|(\[timeout)|(PRM\|1\|D)|(kpr)|(kdp))" /e /r /s</v>
      </c>
      <c r="AG208" s="1" t="str">
        <f t="shared" si="79"/>
        <v>Other</v>
      </c>
      <c r="AH208" s="104" t="str">
        <f t="shared" si="80"/>
        <v>"%USERPROFILE%\Documents\GitHub\eaglep3\Utilities\RefineRTDCRunTimes.py" --tripid 311-22 --locoid 4027 --swversion DE.1.0.7.0 --startMP 204:450 --initTime 2016-08-23T01:12:48 --startdatetime 2016-08-23T01:14:06 --delay 1 --endMP 300:23308 --enddatetime 2016-08-23T01:23:10 --enforcementcount 0</v>
      </c>
    </row>
    <row r="209" spans="1:34" x14ac:dyDescent="0.25">
      <c r="A209" s="40" t="s">
        <v>311</v>
      </c>
      <c r="B209" s="7">
        <v>4025</v>
      </c>
      <c r="C209" s="25" t="s">
        <v>114</v>
      </c>
      <c r="D209" s="25" t="s">
        <v>110</v>
      </c>
      <c r="E209" s="16">
        <v>42604.090671296297</v>
      </c>
      <c r="F209" s="16">
        <v>42604.091643518521</v>
      </c>
      <c r="G209" s="7">
        <v>1</v>
      </c>
      <c r="H209" s="16" t="s">
        <v>312</v>
      </c>
      <c r="I209" s="16">
        <v>42604.09783564815</v>
      </c>
      <c r="J209" s="7">
        <v>0</v>
      </c>
      <c r="K209" s="140" t="str">
        <f t="shared" si="69"/>
        <v>4025/4026</v>
      </c>
      <c r="L209" s="25" t="str">
        <f>VLOOKUP(A209,'Trips&amp;Operators'!$C$1:$E$10000,3,FALSE)</f>
        <v>CHANDLER</v>
      </c>
      <c r="M209" s="6">
        <f t="shared" si="70"/>
        <v>6.1921296291984618E-3</v>
      </c>
      <c r="N209" s="7">
        <f t="shared" si="65"/>
        <v>8.916666666045785</v>
      </c>
      <c r="O209" s="7"/>
      <c r="P209" s="7"/>
      <c r="Q209" s="26"/>
      <c r="R209" s="26"/>
      <c r="S209" s="38">
        <f t="shared" si="68"/>
        <v>1</v>
      </c>
      <c r="T209" s="53" t="str">
        <f t="shared" si="71"/>
        <v>NorthBound</v>
      </c>
      <c r="U209" s="13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01:10:34-0600',mode:absolute,to:'2016-08-22 03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9" s="55" t="str">
        <f t="shared" si="73"/>
        <v>Y</v>
      </c>
      <c r="X209" s="127">
        <f t="shared" si="66"/>
        <v>4</v>
      </c>
      <c r="Y209" s="70">
        <f t="shared" si="74"/>
        <v>4.6199999999999998E-2</v>
      </c>
      <c r="Z209" s="70">
        <f t="shared" si="67"/>
        <v>2.2831000000000001</v>
      </c>
      <c r="AA209" s="70">
        <f t="shared" si="75"/>
        <v>2.2369000000000003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76"/>
        <v>0315-21</v>
      </c>
      <c r="AE209" s="103" t="str">
        <f t="shared" si="77"/>
        <v>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 &amp; aws s3 cp s3://rtdc.mdm.uploadarchive/RTDC4025/2016-08-23/ "%USERPROFILE%\AppData\Local\Temp\OnboardLogs"\RTDC4025\2016-08-23 --recursive &amp; "%USERPROFILE%\Documents\GitHub\mrs-test-scripts\Headless Mode &amp; Sideloading\WalkAndUnGZ.bat" "%USERPROFILE%\AppData\Local\Temp\OnboardLogs"\RTDC4025\2016-08-23</v>
      </c>
      <c r="AF209" s="100" t="str">
        <f t="shared" si="78"/>
        <v>"C:\Program Files (x86)\AstroGrep\AstroGrep.exe" /spath="%USERPROFILE%\AppData\Local\Temp\OnboardLogs" /stypes="*4025*20160822*" /stext=" 08:.+((SYSTEM_STATE.+slice.+state.+changed )|(ment ac)|(system.+state.+changed )|(\|lc)|(penalty)|(\[timeout)|(PRM\|1\|D)|(kpr)|(kdp))" /e /r /s</v>
      </c>
      <c r="AG209" s="1" t="str">
        <f t="shared" si="79"/>
        <v>Other</v>
      </c>
      <c r="AH209" s="104" t="str">
        <f t="shared" si="80"/>
        <v>"%USERPROFILE%\Documents\GitHub\eaglep3\Utilities\RefineRTDCRunTimes.py" --tripid 315-21 --locoid 4025 --swversion DE.1.0.7.0 --startMP 204:462 --initTime 2016-08-22T02:10:34 --startdatetime 2016-08-22T02:11:58 --delay 1 --endMP 300:22831 --enddatetime 2016-08-22T02:20:53 --enforcementcount 0</v>
      </c>
    </row>
    <row r="210" spans="1:34" x14ac:dyDescent="0.25">
      <c r="A210" s="40" t="s">
        <v>548</v>
      </c>
      <c r="B210" s="7">
        <v>4020</v>
      </c>
      <c r="C210" s="25" t="s">
        <v>114</v>
      </c>
      <c r="D210" s="25" t="s">
        <v>549</v>
      </c>
      <c r="E210" s="16">
        <v>42605.089259259257</v>
      </c>
      <c r="F210" s="16">
        <v>42605.089861111112</v>
      </c>
      <c r="G210" s="7">
        <v>0</v>
      </c>
      <c r="H210" s="16" t="s">
        <v>550</v>
      </c>
      <c r="I210" s="16">
        <v>42605.094710648147</v>
      </c>
      <c r="J210" s="7">
        <v>0</v>
      </c>
      <c r="K210" s="140" t="str">
        <f t="shared" si="69"/>
        <v>4019/4020</v>
      </c>
      <c r="L210" s="25" t="str">
        <f>VLOOKUP(A210,'Trips&amp;Operators'!$C$1:$E$10000,3,FALSE)</f>
        <v>OUN</v>
      </c>
      <c r="M210" s="6">
        <f t="shared" si="70"/>
        <v>4.8495370356249623E-3</v>
      </c>
      <c r="N210" s="7">
        <f t="shared" ref="N210:N215" si="81">24*60*SUM($M210:$M210)</f>
        <v>6.9833333312999457</v>
      </c>
      <c r="O210" s="7"/>
      <c r="P210" s="7"/>
      <c r="Q210" s="26"/>
      <c r="R210" s="26"/>
      <c r="S210" s="38">
        <f t="shared" si="68"/>
        <v>1</v>
      </c>
      <c r="T210" s="53" t="str">
        <f t="shared" si="71"/>
        <v>NorthBound</v>
      </c>
      <c r="U210" s="13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https://search-rtdc-monitor-bjffxe2xuh6vdkpspy63sjmuny.us-east-1.es.amazonaws.com/_plugin/kibana/#/discover/Steve-Slow-Train-Analysis-(2080s-and-2083s)?_g=(refreshInterval:(display:Off,section:0,value:0),time:(from:'2016-08-23 01:08:32-0600',mode:absolute,to:'2016-08-23 03:16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0" s="55" t="str">
        <f t="shared" si="73"/>
        <v>Y</v>
      </c>
      <c r="X210" s="127">
        <f t="shared" si="66"/>
        <v>0</v>
      </c>
      <c r="Y210" s="70">
        <f t="shared" si="74"/>
        <v>3.6999999999999998E-2</v>
      </c>
      <c r="Z210" s="70">
        <f t="shared" si="67"/>
        <v>2.3050999999999999</v>
      </c>
      <c r="AA210" s="70">
        <f t="shared" si="75"/>
        <v>2.2681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si="76"/>
        <v>0315-22</v>
      </c>
      <c r="AE210" s="103" t="str">
        <f t="shared" si="77"/>
        <v>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 &amp; aws s3 cp s3://rtdc.mdm.uploadarchive/RTDC4020/2016-08-24/ "%USERPROFILE%\AppData\Local\Temp\OnboardLogs"\RTDC4020\2016-08-24 --recursive &amp; "%USERPROFILE%\Documents\GitHub\mrs-test-scripts\Headless Mode &amp; Sideloading\WalkAndUnGZ.bat" "%USERPROFILE%\AppData\Local\Temp\OnboardLogs"\RTDC4020\2016-08-24</v>
      </c>
      <c r="AF210" s="100" t="str">
        <f t="shared" si="78"/>
        <v>"C:\Program Files (x86)\AstroGrep\AstroGrep.exe" /spath="%USERPROFILE%\AppData\Local\Temp\OnboardLogs" /stypes="*4020*20160823*" /stext=" 08:.+((SYSTEM_STATE.+slice.+state.+changed )|(ment ac)|(system.+state.+changed )|(\|lc)|(penalty)|(\[timeout)|(PRM\|1\|D)|(kpr)|(kdp))" /e /r /s</v>
      </c>
      <c r="AG210" s="1" t="str">
        <f t="shared" si="79"/>
        <v>Other</v>
      </c>
      <c r="AH210" s="104" t="str">
        <f t="shared" si="80"/>
        <v>"%USERPROFILE%\Documents\GitHub\eaglep3\Utilities\RefineRTDCRunTimes.py" --tripid 315-22 --locoid 4020 --swversion DE.1.0.7.0 --startMP 204:370 --initTime 2016-08-23T02:08:32 --startdatetime 2016-08-23T02:09:24 --delay 0 --endMP 300:23051 --enddatetime 2016-08-23T02:16:23 --enforcementcount 0</v>
      </c>
    </row>
    <row r="211" spans="1:34" x14ac:dyDescent="0.25">
      <c r="A211" s="40" t="s">
        <v>643</v>
      </c>
      <c r="B211" s="7">
        <v>4002</v>
      </c>
      <c r="C211" s="25" t="s">
        <v>114</v>
      </c>
      <c r="D211" s="25" t="s">
        <v>644</v>
      </c>
      <c r="E211" s="16">
        <v>42604.206782407404</v>
      </c>
      <c r="F211" s="16">
        <v>42604.207719907405</v>
      </c>
      <c r="G211" s="7">
        <v>1</v>
      </c>
      <c r="H211" s="16" t="s">
        <v>645</v>
      </c>
      <c r="I211" s="16">
        <v>42604.208414351851</v>
      </c>
      <c r="J211" s="7">
        <v>0</v>
      </c>
      <c r="K211" s="140" t="str">
        <f t="shared" si="69"/>
        <v>4001/4002</v>
      </c>
      <c r="L211" s="25" t="str">
        <f>VLOOKUP(A211,'Trips&amp;Operators'!$C$1:$E$10000,3,FALSE)</f>
        <v>DAVIS</v>
      </c>
      <c r="M211" s="6">
        <f t="shared" si="70"/>
        <v>6.944444467080757E-4</v>
      </c>
      <c r="N211" s="7">
        <f t="shared" si="81"/>
        <v>1.000000003259629</v>
      </c>
      <c r="O211" s="7"/>
      <c r="P211" s="7"/>
      <c r="Q211" s="26"/>
      <c r="R211" s="26"/>
      <c r="S211" s="38">
        <f t="shared" si="68"/>
        <v>0</v>
      </c>
      <c r="T211" s="53" t="str">
        <f t="shared" si="71"/>
        <v>NorthBound</v>
      </c>
      <c r="U211" s="13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03:57:46-0600',mode:absolute,to:'2016-08-22 06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1" s="55" t="str">
        <f t="shared" si="73"/>
        <v>Y</v>
      </c>
      <c r="X211" s="127">
        <f t="shared" si="66"/>
        <v>586</v>
      </c>
      <c r="Y211" s="70">
        <f t="shared" si="74"/>
        <v>2.8496999999999999</v>
      </c>
      <c r="Z211" s="70">
        <f t="shared" si="67"/>
        <v>2.8645</v>
      </c>
      <c r="AA211" s="70">
        <f t="shared" si="75"/>
        <v>1.4800000000000146E-2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76"/>
        <v>0901-22</v>
      </c>
      <c r="AE211" s="103" t="str">
        <f t="shared" si="7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211" s="100" t="str">
        <f t="shared" si="78"/>
        <v>"C:\Program Files (x86)\AstroGrep\AstroGrep.exe" /spath="%USERPROFILE%\AppData\Local\Temp\OnboardLogs" /stypes="*4002*20160822*" /stext=" 11:.+((SYSTEM_STATE.+slice.+state.+changed )|(ment ac)|(system.+state.+changed )|(\|lc)|(penalty)|(\[timeout)|(PRM\|1\|D)|(kpr)|(kdp))" /e /r /s</v>
      </c>
      <c r="AG211" s="1" t="str">
        <f t="shared" si="79"/>
        <v>Other</v>
      </c>
      <c r="AH211" s="104" t="str">
        <f t="shared" si="80"/>
        <v>"%USERPROFILE%\Documents\GitHub\eaglep3\Utilities\RefineRTDCRunTimes.py" --tripid 901-22 --locoid 4002 --swversion DE.1.0.7.0 --startMP 300:28497 --initTime 2016-08-22T04:57:46 --startdatetime 2016-08-22T04:59:07 --delay 1 --endMP 300:28645 --enddatetime 2016-08-22T05:00:07 --enforcementcount 0</v>
      </c>
    </row>
    <row r="212" spans="1:34" x14ac:dyDescent="0.25">
      <c r="A212" s="40" t="s">
        <v>646</v>
      </c>
      <c r="B212" s="7">
        <v>4002</v>
      </c>
      <c r="C212" s="25" t="s">
        <v>114</v>
      </c>
      <c r="D212" s="25" t="s">
        <v>647</v>
      </c>
      <c r="E212" s="16">
        <v>42604.354166666664</v>
      </c>
      <c r="F212" s="16">
        <v>42604.35497685185</v>
      </c>
      <c r="G212" s="7">
        <v>1</v>
      </c>
      <c r="H212" s="16" t="s">
        <v>647</v>
      </c>
      <c r="I212" s="16">
        <v>42604.355104166665</v>
      </c>
      <c r="J212" s="7">
        <v>0</v>
      </c>
      <c r="K212" s="140" t="str">
        <f t="shared" si="69"/>
        <v>4001/4002</v>
      </c>
      <c r="L212" s="25" t="str">
        <f>VLOOKUP(A212,'Trips&amp;Operators'!$C$1:$E$10000,3,FALSE)</f>
        <v>DAVIS</v>
      </c>
      <c r="M212" s="6">
        <f t="shared" si="70"/>
        <v>1.273148154723458E-4</v>
      </c>
      <c r="N212" s="7">
        <f t="shared" si="81"/>
        <v>0.18333333428017795</v>
      </c>
      <c r="O212" s="7"/>
      <c r="P212" s="7"/>
      <c r="Q212" s="26"/>
      <c r="R212" s="26"/>
      <c r="S212" s="38">
        <f t="shared" si="68"/>
        <v>0</v>
      </c>
      <c r="T212" s="53" t="str">
        <f t="shared" si="71"/>
        <v>NorthBound</v>
      </c>
      <c r="U212" s="13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07:30:00-0600',mode:absolute,to:'2016-08-22 09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2" s="55" t="str">
        <f t="shared" si="73"/>
        <v>Y</v>
      </c>
      <c r="X212" s="127">
        <f t="shared" si="66"/>
        <v>2</v>
      </c>
      <c r="Y212" s="70">
        <f t="shared" si="74"/>
        <v>9.3700000000000006E-2</v>
      </c>
      <c r="Z212" s="70">
        <f t="shared" si="67"/>
        <v>9.3700000000000006E-2</v>
      </c>
      <c r="AA212" s="70">
        <f t="shared" si="75"/>
        <v>0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76"/>
        <v>0903-22</v>
      </c>
      <c r="AE212" s="103" t="str">
        <f t="shared" si="77"/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AF212" s="100" t="str">
        <f t="shared" si="78"/>
        <v>"C:\Program Files (x86)\AstroGrep\AstroGrep.exe" /spath="%USERPROFILE%\AppData\Local\Temp\OnboardLogs" /stypes="*4002*20160822*" /stext=" 14:.+((SYSTEM_STATE.+slice.+state.+changed )|(ment ac)|(system.+state.+changed )|(\|lc)|(penalty)|(\[timeout)|(PRM\|1\|D)|(kpr)|(kdp))" /e /r /s</v>
      </c>
      <c r="AG212" s="1" t="str">
        <f t="shared" si="79"/>
        <v>Other</v>
      </c>
      <c r="AH212" s="104" t="str">
        <f t="shared" si="80"/>
        <v>"%USERPROFILE%\Documents\GitHub\eaglep3\Utilities\RefineRTDCRunTimes.py" --tripid 903-22 --locoid 4002 --swversion DE.1.0.7.0 --startMP 204:937 --initTime 2016-08-22T08:30:00 --startdatetime 2016-08-22T08:31:10 --delay 1 --endMP 204:937 --enddatetime 2016-08-22T08:31:21 --enforcementcount 0</v>
      </c>
    </row>
    <row r="213" spans="1:34" x14ac:dyDescent="0.25">
      <c r="A213" s="40" t="s">
        <v>648</v>
      </c>
      <c r="B213" s="7">
        <v>4001</v>
      </c>
      <c r="C213" s="25" t="s">
        <v>114</v>
      </c>
      <c r="D213" s="25" t="s">
        <v>554</v>
      </c>
      <c r="E213" s="16">
        <v>42604.796840277777</v>
      </c>
      <c r="F213" s="16">
        <v>42604.797719907408</v>
      </c>
      <c r="G213" s="7">
        <v>1</v>
      </c>
      <c r="H213" s="16" t="s">
        <v>649</v>
      </c>
      <c r="I213" s="16">
        <v>42604.802754629629</v>
      </c>
      <c r="J213" s="7">
        <v>0</v>
      </c>
      <c r="K213" s="140" t="str">
        <f t="shared" si="69"/>
        <v>4001/4002</v>
      </c>
      <c r="L213" s="25" t="str">
        <f>VLOOKUP(A213,'Trips&amp;Operators'!$C$1:$E$10000,3,FALSE)</f>
        <v>HAITHCOX</v>
      </c>
      <c r="M213" s="6">
        <f t="shared" si="70"/>
        <v>5.0347222204436548E-3</v>
      </c>
      <c r="N213" s="7">
        <f t="shared" si="81"/>
        <v>7.2499999974388629</v>
      </c>
      <c r="O213" s="7"/>
      <c r="P213" s="7"/>
      <c r="Q213" s="26"/>
      <c r="R213" s="26"/>
      <c r="S213" s="38">
        <f t="shared" si="68"/>
        <v>0</v>
      </c>
      <c r="T213" s="53" t="str">
        <f t="shared" si="71"/>
        <v>Southbound</v>
      </c>
      <c r="U213" s="13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18:07:27-0600',mode:absolute,to:'2016-08-22 20:15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13" s="55" t="str">
        <f t="shared" si="73"/>
        <v>Y</v>
      </c>
      <c r="X213" s="127">
        <f t="shared" si="66"/>
        <v>3</v>
      </c>
      <c r="Y213" s="70">
        <f t="shared" si="74"/>
        <v>5.8604000000000003</v>
      </c>
      <c r="Z213" s="70">
        <f t="shared" si="67"/>
        <v>2.8797000000000001</v>
      </c>
      <c r="AA213" s="70">
        <f t="shared" si="75"/>
        <v>2.9807000000000001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76"/>
        <v>0906-22</v>
      </c>
      <c r="AE213" s="103" t="str">
        <f t="shared" si="77"/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AF213" s="100" t="str">
        <f t="shared" si="78"/>
        <v>"C:\Program Files (x86)\AstroGrep\AstroGrep.exe" /spath="%USERPROFILE%\AppData\Local\Temp\OnboardLogs" /stypes="*4001*20160823*" /stext=" 01:.+((SYSTEM_STATE.+slice.+state.+changed )|(ment ac)|(system.+state.+changed )|(\|lc)|(penalty)|(\[timeout)|(PRM\|1\|D)|(kpr)|(kdp))" /e /r /s</v>
      </c>
      <c r="AG213" s="1" t="str">
        <f t="shared" si="79"/>
        <v>Other</v>
      </c>
      <c r="AH213" s="104" t="str">
        <f t="shared" si="80"/>
        <v>"%USERPROFILE%\Documents\GitHub\eaglep3\Utilities\RefineRTDCRunTimes.py" --tripid 906-22 --locoid 4001 --swversion DE.1.0.7.0 --startMP 300:58604 --initTime 2016-08-22T19:07:27 --startdatetime 2016-08-22T19:08:43 --delay 1 --endMP 300:28797 --enddatetime 2016-08-22T19:15:58 --enforcementcount 0</v>
      </c>
    </row>
    <row r="214" spans="1:34" x14ac:dyDescent="0.25">
      <c r="A214" s="40" t="s">
        <v>650</v>
      </c>
      <c r="B214" s="7">
        <v>4041</v>
      </c>
      <c r="C214" s="25" t="s">
        <v>114</v>
      </c>
      <c r="D214" s="25" t="s">
        <v>298</v>
      </c>
      <c r="E214" s="16">
        <v>42604.943692129629</v>
      </c>
      <c r="F214" s="16">
        <v>42604.944699074076</v>
      </c>
      <c r="G214" s="7">
        <v>1</v>
      </c>
      <c r="H214" s="16" t="s">
        <v>651</v>
      </c>
      <c r="I214" s="16">
        <v>42604.950891203705</v>
      </c>
      <c r="J214" s="7">
        <v>0</v>
      </c>
      <c r="K214" s="140" t="str">
        <f t="shared" si="69"/>
        <v>4041/4042</v>
      </c>
      <c r="L214" s="25" t="str">
        <f>VLOOKUP(A214,'Trips&amp;Operators'!$C$1:$E$10000,3,FALSE)</f>
        <v>HAITHCOX</v>
      </c>
      <c r="M214" s="6">
        <f t="shared" si="70"/>
        <v>6.1921296291984618E-3</v>
      </c>
      <c r="N214" s="7">
        <f t="shared" si="81"/>
        <v>8.916666666045785</v>
      </c>
      <c r="O214" s="7"/>
      <c r="P214" s="7"/>
      <c r="Q214" s="26"/>
      <c r="R214" s="26"/>
      <c r="S214" s="38">
        <f t="shared" si="68"/>
        <v>0</v>
      </c>
      <c r="T214" s="53" t="str">
        <f t="shared" si="71"/>
        <v>Southbound</v>
      </c>
      <c r="U214" s="13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21:38:55-0600',mode:absolute,to:'2016-08-22 23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14" s="55" t="str">
        <f t="shared" si="73"/>
        <v>Y</v>
      </c>
      <c r="X214" s="127">
        <f t="shared" si="66"/>
        <v>2</v>
      </c>
      <c r="Y214" s="70">
        <f t="shared" si="74"/>
        <v>5.8624000000000001</v>
      </c>
      <c r="Z214" s="70">
        <f t="shared" si="67"/>
        <v>2.1785999999999999</v>
      </c>
      <c r="AA214" s="70">
        <f t="shared" si="75"/>
        <v>3.6838000000000002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76"/>
        <v>0908-22</v>
      </c>
      <c r="AE214" s="103" t="str">
        <f t="shared" si="77"/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AF214" s="100" t="str">
        <f t="shared" si="78"/>
        <v>"C:\Program Files (x86)\AstroGrep\AstroGrep.exe" /spath="%USERPROFILE%\AppData\Local\Temp\OnboardLogs" /stypes="*4041*20160823*" /stext=" 04:.+((SYSTEM_STATE.+slice.+state.+changed )|(ment ac)|(system.+state.+changed )|(\|lc)|(penalty)|(\[timeout)|(PRM\|1\|D)|(kpr)|(kdp))" /e /r /s</v>
      </c>
      <c r="AG214" s="1" t="str">
        <f t="shared" si="79"/>
        <v>Other</v>
      </c>
      <c r="AH214" s="104" t="str">
        <f t="shared" si="80"/>
        <v>"%USERPROFILE%\Documents\GitHub\eaglep3\Utilities\RefineRTDCRunTimes.py" --tripid 908-22 --locoid 4041 --swversion DE.1.0.7.0 --startMP 300:58624 --initTime 2016-08-22T22:38:55 --startdatetime 2016-08-22T22:40:22 --delay 1 --endMP 300:21786 --enddatetime 2016-08-22T22:49:17 --enforcementcount 0</v>
      </c>
    </row>
    <row r="215" spans="1:34" x14ac:dyDescent="0.25">
      <c r="A215" s="40" t="s">
        <v>551</v>
      </c>
      <c r="B215" s="7">
        <v>4014</v>
      </c>
      <c r="C215" s="25" t="s">
        <v>114</v>
      </c>
      <c r="D215" s="25" t="s">
        <v>552</v>
      </c>
      <c r="E215" s="16">
        <v>42604.751192129632</v>
      </c>
      <c r="F215" s="16">
        <v>42604.753831018519</v>
      </c>
      <c r="G215" s="7">
        <v>3</v>
      </c>
      <c r="H215" s="16" t="s">
        <v>246</v>
      </c>
      <c r="I215" s="16">
        <v>42604.767557870371</v>
      </c>
      <c r="J215" s="7">
        <v>0</v>
      </c>
      <c r="K215" s="140" t="str">
        <f t="shared" si="69"/>
        <v>4013/4014</v>
      </c>
      <c r="L215" s="25" t="str">
        <f>VLOOKUP(A215,'Trips&amp;Operators'!$C$1:$E$10000,3,FALSE)</f>
        <v>STEWART</v>
      </c>
      <c r="M215" s="6">
        <f t="shared" si="70"/>
        <v>1.3726851851970423E-2</v>
      </c>
      <c r="N215" s="7">
        <f t="shared" si="81"/>
        <v>19.766666666837409</v>
      </c>
      <c r="O215" s="7"/>
      <c r="P215" s="7"/>
      <c r="Q215" s="26"/>
      <c r="R215" s="26"/>
      <c r="S215" s="38">
        <f t="shared" si="68"/>
        <v>0</v>
      </c>
      <c r="T215" s="53" t="e">
        <f t="shared" si="71"/>
        <v>#VALUE!</v>
      </c>
      <c r="U215" s="13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10" t="str">
        <f t="shared" si="72"/>
        <v>https://search-rtdc-monitor-bjffxe2xuh6vdkpspy63sjmuny.us-east-1.es.amazonaws.com/_plugin/kibana/#/discover/Steve-Slow-Train-Analysis-(2080s-and-2083s)?_g=(refreshInterval:(display:Off,section:0,value:0),time:(from:'2016-08-22 17:01:43-0600',mode:absolute,to:'2016-08-22 19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5" s="55" t="str">
        <f t="shared" si="73"/>
        <v>Y</v>
      </c>
      <c r="X215" s="127" t="e">
        <f t="shared" si="66"/>
        <v>#VALUE!</v>
      </c>
      <c r="Y215" s="70">
        <f t="shared" si="74"/>
        <v>0.14749999999999999</v>
      </c>
      <c r="Z215" s="70">
        <f t="shared" si="67"/>
        <v>2.3304</v>
      </c>
      <c r="AA215" s="70">
        <f t="shared" si="75"/>
        <v>2.1829000000000001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76"/>
        <v>63-22</v>
      </c>
      <c r="AE215" s="103" t="str">
        <f t="shared" si="77"/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AF215" s="100" t="str">
        <f t="shared" si="78"/>
        <v>"C:\Program Files (x86)\AstroGrep\AstroGrep.exe" /spath="%USERPROFILE%\AppData\Local\Temp\OnboardLogs" /stypes="*4014*20160823*" /stext=" 00:.+((SYSTEM_STATE.+slice.+state.+changed )|(ment ac)|(system.+state.+changed )|(\|lc)|(penalty)|(\[timeout)|(PRM\|1\|D)|(kpr)|(kdp))" /e /r /s</v>
      </c>
      <c r="AG215" s="1" t="str">
        <f t="shared" si="79"/>
        <v>Other</v>
      </c>
      <c r="AH215" s="104" t="str">
        <f t="shared" si="80"/>
        <v>"%USERPROFILE%\Documents\GitHub\eaglep3\Utilities\RefineRTDCRunTimes.py" --tripid 63-22 --locoid 4014 --swversion DE.1.0.7.0 --startMP 204:1475 --initTime 2016-08-22T18:01:43 --startdatetime 2016-08-22T18:05:31 --delay 3 --endMP 300:23304 --enddatetime 2016-08-22T18:25:17 --enforcementcount 0</v>
      </c>
    </row>
    <row r="216" spans="1:34" x14ac:dyDescent="0.25">
      <c r="A216" s="40"/>
      <c r="B216" s="7"/>
      <c r="C216" s="25"/>
      <c r="D216" s="25"/>
      <c r="E216" s="16"/>
      <c r="F216" s="16"/>
      <c r="G216" s="7"/>
      <c r="H216" s="16"/>
      <c r="I216" s="16"/>
      <c r="J216" s="7"/>
      <c r="K216" s="140"/>
      <c r="L216" s="25"/>
      <c r="M216" s="6"/>
      <c r="N216" s="7"/>
      <c r="O216" s="7"/>
      <c r="P216" s="7"/>
      <c r="Q216" s="26"/>
      <c r="R216" s="26"/>
      <c r="S216" s="38"/>
      <c r="T216" s="53"/>
      <c r="U216" s="133"/>
      <c r="V216" s="110"/>
      <c r="W216" s="55"/>
      <c r="X216" s="127"/>
      <c r="Y216" s="70"/>
      <c r="Z216" s="70"/>
      <c r="AA216" s="70"/>
      <c r="AB216" s="67"/>
      <c r="AC216" s="63"/>
      <c r="AD216" s="64"/>
      <c r="AE216" s="103"/>
      <c r="AF216" s="100"/>
      <c r="AG216" s="1"/>
    </row>
    <row r="217" spans="1:34" x14ac:dyDescent="0.25">
      <c r="A217" s="40"/>
      <c r="B217" s="7"/>
      <c r="C217" s="25"/>
      <c r="D217" s="25"/>
      <c r="E217" s="16"/>
      <c r="F217" s="16"/>
      <c r="G217" s="7"/>
      <c r="H217" s="16"/>
      <c r="I217" s="16"/>
      <c r="J217" s="7"/>
      <c r="K217" s="140"/>
      <c r="L217" s="25"/>
      <c r="M217" s="6"/>
      <c r="N217" s="7"/>
      <c r="O217" s="7"/>
      <c r="P217" s="7"/>
      <c r="Q217" s="26"/>
      <c r="R217" s="26"/>
      <c r="S217" s="38"/>
      <c r="T217" s="53"/>
      <c r="U217" s="133"/>
      <c r="V217" s="110"/>
      <c r="W217" s="55"/>
      <c r="X217" s="127"/>
      <c r="Y217" s="70"/>
      <c r="Z217" s="70"/>
      <c r="AA217" s="70"/>
      <c r="AB217" s="67"/>
      <c r="AC217" s="63"/>
      <c r="AD217" s="64"/>
      <c r="AE217" s="103"/>
      <c r="AF217" s="100"/>
      <c r="AG217" s="1"/>
    </row>
    <row r="218" spans="1:34" x14ac:dyDescent="0.25">
      <c r="A218" s="40"/>
      <c r="B218" s="7"/>
      <c r="C218" s="25"/>
      <c r="D218" s="25"/>
      <c r="E218" s="16"/>
      <c r="F218" s="16"/>
      <c r="G218" s="7"/>
      <c r="H218" s="16"/>
      <c r="I218" s="16"/>
      <c r="J218" s="7"/>
      <c r="K218" s="140"/>
      <c r="L218" s="25"/>
      <c r="M218" s="6"/>
      <c r="N218" s="7"/>
      <c r="O218" s="7"/>
      <c r="P218" s="7"/>
      <c r="Q218" s="26"/>
      <c r="R218" s="26"/>
      <c r="S218" s="38"/>
      <c r="T218" s="53"/>
      <c r="U218" s="133"/>
      <c r="V218" s="110"/>
      <c r="W218" s="55"/>
      <c r="X218" s="127"/>
      <c r="Y218" s="70"/>
      <c r="Z218" s="70"/>
      <c r="AA218" s="70"/>
      <c r="AB218" s="67"/>
      <c r="AC218" s="63"/>
      <c r="AD218" s="64"/>
      <c r="AE218" s="103"/>
      <c r="AF218" s="100"/>
      <c r="AG218" s="1"/>
    </row>
    <row r="219" spans="1:34" x14ac:dyDescent="0.25">
      <c r="A219" s="40"/>
      <c r="B219" s="7"/>
      <c r="C219" s="25"/>
      <c r="D219" s="25"/>
      <c r="E219" s="16"/>
      <c r="F219" s="16"/>
      <c r="G219" s="7"/>
      <c r="H219" s="16"/>
      <c r="I219" s="16"/>
      <c r="J219" s="7"/>
      <c r="K219" s="140"/>
      <c r="L219" s="25"/>
      <c r="M219" s="6"/>
      <c r="N219" s="7"/>
      <c r="O219" s="7"/>
      <c r="P219" s="7"/>
      <c r="Q219" s="26"/>
      <c r="R219" s="26"/>
      <c r="S219" s="38"/>
      <c r="T219" s="53"/>
      <c r="U219" s="133"/>
      <c r="V219" s="110"/>
      <c r="W219" s="55"/>
      <c r="X219" s="127"/>
      <c r="Y219" s="70"/>
      <c r="Z219" s="70"/>
      <c r="AA219" s="70"/>
      <c r="AB219" s="67"/>
      <c r="AC219" s="63"/>
      <c r="AD219" s="64"/>
      <c r="AE219" s="103"/>
      <c r="AF219" s="100"/>
      <c r="AG219" s="1"/>
    </row>
    <row r="220" spans="1:34" x14ac:dyDescent="0.25">
      <c r="A220" s="40"/>
      <c r="B220" s="7"/>
      <c r="C220" s="25"/>
      <c r="D220" s="25"/>
      <c r="E220" s="16"/>
      <c r="F220" s="16"/>
      <c r="G220" s="7"/>
      <c r="H220" s="16"/>
      <c r="I220" s="16"/>
      <c r="J220" s="7"/>
      <c r="K220" s="140"/>
      <c r="L220" s="25"/>
      <c r="M220" s="6"/>
      <c r="N220" s="7"/>
      <c r="O220" s="7"/>
      <c r="P220" s="7"/>
      <c r="Q220" s="26"/>
      <c r="R220" s="26"/>
      <c r="S220" s="38"/>
      <c r="T220" s="53"/>
      <c r="U220" s="133"/>
      <c r="V220" s="110"/>
      <c r="W220" s="55"/>
      <c r="X220" s="127"/>
      <c r="Y220" s="70"/>
      <c r="Z220" s="70"/>
      <c r="AA220" s="70"/>
      <c r="AB220" s="67"/>
      <c r="AC220" s="63"/>
      <c r="AD220" s="64"/>
      <c r="AE220" s="103"/>
      <c r="AF220" s="100"/>
      <c r="AG220" s="1"/>
    </row>
    <row r="221" spans="1:34" x14ac:dyDescent="0.25">
      <c r="A221" s="40"/>
      <c r="B221" s="7"/>
      <c r="C221" s="25"/>
      <c r="D221" s="25"/>
      <c r="E221" s="16"/>
      <c r="F221" s="16"/>
      <c r="G221" s="7"/>
      <c r="H221" s="16"/>
      <c r="I221" s="16"/>
      <c r="J221" s="7"/>
      <c r="K221" s="140"/>
      <c r="L221" s="25"/>
      <c r="M221" s="6"/>
      <c r="N221" s="7"/>
      <c r="O221" s="7"/>
      <c r="P221" s="7"/>
      <c r="Q221" s="26"/>
      <c r="R221" s="26"/>
      <c r="S221" s="38"/>
      <c r="T221" s="53"/>
      <c r="U221" s="133"/>
      <c r="V221" s="110"/>
      <c r="W221" s="55"/>
      <c r="X221" s="127"/>
      <c r="Y221" s="70"/>
      <c r="Z221" s="70"/>
      <c r="AA221" s="70"/>
      <c r="AB221" s="67"/>
      <c r="AC221" s="63"/>
      <c r="AD221" s="64"/>
      <c r="AE221" s="103"/>
      <c r="AF221" s="100"/>
      <c r="AG221" s="1"/>
    </row>
    <row r="222" spans="1:34" x14ac:dyDescent="0.25">
      <c r="A222" s="40"/>
      <c r="B222" s="7"/>
      <c r="C222" s="25"/>
      <c r="D222" s="25"/>
      <c r="E222" s="16"/>
      <c r="F222" s="16"/>
      <c r="G222" s="7"/>
      <c r="H222" s="16"/>
      <c r="I222" s="16"/>
      <c r="J222" s="7"/>
      <c r="K222" s="140"/>
      <c r="L222" s="25"/>
      <c r="M222" s="6"/>
      <c r="N222" s="7"/>
      <c r="O222" s="7"/>
      <c r="P222" s="7"/>
      <c r="Q222" s="26"/>
      <c r="R222" s="26"/>
      <c r="S222" s="38"/>
      <c r="T222" s="53"/>
      <c r="U222" s="133"/>
      <c r="V222" s="110"/>
      <c r="W222" s="55"/>
      <c r="X222" s="127"/>
      <c r="Y222" s="70"/>
      <c r="Z222" s="70"/>
      <c r="AA222" s="70"/>
      <c r="AB222" s="67"/>
      <c r="AC222" s="63"/>
      <c r="AD222" s="64"/>
      <c r="AE222" s="103"/>
      <c r="AF222" s="100"/>
      <c r="AG222" s="1"/>
    </row>
    <row r="223" spans="1:34" x14ac:dyDescent="0.25">
      <c r="A223" s="40"/>
      <c r="B223" s="7"/>
      <c r="C223" s="25"/>
      <c r="D223" s="25"/>
      <c r="E223" s="16"/>
      <c r="F223" s="16"/>
      <c r="G223" s="7"/>
      <c r="H223" s="16"/>
      <c r="I223" s="16"/>
      <c r="J223" s="7"/>
      <c r="K223" s="140"/>
      <c r="L223" s="25"/>
      <c r="M223" s="6"/>
      <c r="N223" s="7"/>
      <c r="O223" s="7"/>
      <c r="P223" s="7"/>
      <c r="Q223" s="26"/>
      <c r="R223" s="26"/>
      <c r="S223" s="38"/>
      <c r="T223" s="53"/>
      <c r="U223" s="133"/>
      <c r="V223" s="110"/>
      <c r="W223" s="55"/>
      <c r="X223" s="127"/>
      <c r="Y223" s="70"/>
      <c r="Z223" s="70"/>
      <c r="AA223" s="70"/>
      <c r="AB223" s="67"/>
      <c r="AC223" s="63"/>
      <c r="AD223" s="64"/>
      <c r="AE223" s="103"/>
      <c r="AF223" s="100"/>
      <c r="AG223" s="1"/>
    </row>
    <row r="224" spans="1:34" x14ac:dyDescent="0.25">
      <c r="A224" s="40"/>
      <c r="B224" s="7"/>
      <c r="C224" s="25"/>
      <c r="D224" s="25"/>
      <c r="E224" s="16"/>
      <c r="F224" s="16"/>
      <c r="G224" s="7"/>
      <c r="H224" s="16"/>
      <c r="I224" s="16"/>
      <c r="J224" s="7"/>
      <c r="K224" s="140"/>
      <c r="L224" s="25"/>
      <c r="M224" s="6"/>
      <c r="N224" s="7"/>
      <c r="O224" s="7"/>
      <c r="P224" s="7"/>
      <c r="Q224" s="26"/>
      <c r="R224" s="26"/>
      <c r="S224" s="38"/>
      <c r="T224" s="53"/>
      <c r="U224" s="133"/>
      <c r="V224" s="110"/>
      <c r="W224" s="55"/>
      <c r="X224" s="127"/>
      <c r="Y224" s="70"/>
      <c r="Z224" s="70"/>
      <c r="AA224" s="70"/>
      <c r="AB224" s="67"/>
      <c r="AC224" s="63"/>
      <c r="AD224" s="64"/>
      <c r="AE224" s="103"/>
      <c r="AF224" s="100"/>
      <c r="AG224" s="1"/>
    </row>
    <row r="225" spans="1:33" x14ac:dyDescent="0.25">
      <c r="A225" s="40"/>
      <c r="B225" s="7"/>
      <c r="C225" s="25"/>
      <c r="D225" s="25"/>
      <c r="E225" s="16"/>
      <c r="F225" s="16"/>
      <c r="G225" s="7"/>
      <c r="H225" s="16"/>
      <c r="I225" s="16"/>
      <c r="J225" s="7"/>
      <c r="K225" s="140"/>
      <c r="L225" s="25"/>
      <c r="M225" s="6"/>
      <c r="N225" s="7"/>
      <c r="O225" s="7"/>
      <c r="P225" s="7"/>
      <c r="Q225" s="26"/>
      <c r="R225" s="26"/>
      <c r="S225" s="38"/>
      <c r="T225" s="53"/>
      <c r="U225" s="133"/>
      <c r="V225" s="110"/>
      <c r="W225" s="55"/>
      <c r="X225" s="127"/>
      <c r="Y225" s="70"/>
      <c r="Z225" s="70"/>
      <c r="AA225" s="70"/>
      <c r="AB225" s="67"/>
      <c r="AC225" s="63"/>
      <c r="AD225" s="64"/>
      <c r="AE225" s="103"/>
      <c r="AF225" s="100"/>
      <c r="AG225" s="1"/>
    </row>
    <row r="226" spans="1:33" x14ac:dyDescent="0.25">
      <c r="A226" s="40"/>
      <c r="B226" s="7"/>
      <c r="C226" s="25"/>
      <c r="D226" s="25"/>
      <c r="E226" s="16"/>
      <c r="F226" s="16"/>
      <c r="G226" s="7"/>
      <c r="H226" s="16"/>
      <c r="I226" s="16"/>
      <c r="J226" s="7"/>
      <c r="K226" s="140"/>
      <c r="L226" s="25"/>
      <c r="M226" s="6"/>
      <c r="N226" s="7"/>
      <c r="O226" s="7"/>
      <c r="P226" s="7"/>
      <c r="Q226" s="26"/>
      <c r="R226" s="26"/>
      <c r="S226" s="38"/>
      <c r="T226" s="53"/>
      <c r="U226" s="133"/>
      <c r="V226" s="110"/>
      <c r="W226" s="55"/>
      <c r="X226" s="127"/>
      <c r="Y226" s="70"/>
      <c r="Z226" s="70"/>
      <c r="AA226" s="70"/>
      <c r="AB226" s="67"/>
      <c r="AC226" s="63"/>
      <c r="AD226" s="64"/>
      <c r="AE226" s="103"/>
      <c r="AF226" s="100"/>
      <c r="AG226" s="1"/>
    </row>
    <row r="227" spans="1:33" x14ac:dyDescent="0.25">
      <c r="A227" s="40"/>
      <c r="B227" s="7"/>
      <c r="C227" s="25"/>
      <c r="D227" s="25"/>
      <c r="E227" s="16"/>
      <c r="F227" s="16"/>
      <c r="G227" s="7"/>
      <c r="H227" s="16"/>
      <c r="I227" s="16"/>
      <c r="J227" s="7"/>
      <c r="K227" s="140"/>
      <c r="L227" s="25"/>
      <c r="M227" s="6"/>
      <c r="N227" s="7"/>
      <c r="O227" s="7"/>
      <c r="P227" s="7"/>
      <c r="Q227" s="26"/>
      <c r="R227" s="26"/>
      <c r="S227" s="38"/>
      <c r="T227" s="53"/>
      <c r="U227" s="133"/>
      <c r="V227" s="110"/>
      <c r="W227" s="55"/>
      <c r="X227" s="127"/>
      <c r="Y227" s="70"/>
      <c r="Z227" s="70"/>
      <c r="AA227" s="70"/>
      <c r="AB227" s="67"/>
      <c r="AC227" s="63"/>
      <c r="AD227" s="64"/>
      <c r="AE227" s="103"/>
      <c r="AF227" s="100"/>
      <c r="AG227" s="1"/>
    </row>
    <row r="228" spans="1:33" x14ac:dyDescent="0.25">
      <c r="A228" s="40"/>
      <c r="B228" s="7"/>
      <c r="C228" s="25"/>
      <c r="D228" s="25"/>
      <c r="E228" s="16"/>
      <c r="F228" s="16"/>
      <c r="G228" s="7"/>
      <c r="H228" s="16"/>
      <c r="I228" s="16"/>
      <c r="J228" s="7"/>
      <c r="K228" s="140"/>
      <c r="L228" s="25"/>
      <c r="M228" s="6"/>
      <c r="N228" s="7"/>
      <c r="O228" s="7"/>
      <c r="P228" s="7"/>
      <c r="Q228" s="26"/>
      <c r="R228" s="26"/>
      <c r="S228" s="38"/>
      <c r="T228" s="53"/>
      <c r="U228" s="133"/>
      <c r="V228" s="110"/>
      <c r="W228" s="55"/>
      <c r="X228" s="127"/>
      <c r="Y228" s="70"/>
      <c r="Z228" s="70"/>
      <c r="AA228" s="70"/>
      <c r="AB228" s="67"/>
      <c r="AC228" s="63"/>
      <c r="AD228" s="64"/>
      <c r="AE228" s="103"/>
      <c r="AF228" s="100"/>
      <c r="AG228" s="1"/>
    </row>
    <row r="229" spans="1:33" x14ac:dyDescent="0.25">
      <c r="A229" s="40"/>
      <c r="B229" s="7"/>
      <c r="C229" s="25"/>
      <c r="D229" s="25"/>
      <c r="E229" s="16"/>
      <c r="F229" s="16"/>
      <c r="G229" s="7"/>
      <c r="H229" s="16"/>
      <c r="I229" s="16"/>
      <c r="J229" s="7"/>
      <c r="K229" s="140"/>
      <c r="L229" s="25"/>
      <c r="M229" s="6"/>
      <c r="N229" s="7"/>
      <c r="O229" s="7"/>
      <c r="P229" s="7"/>
      <c r="Q229" s="26"/>
      <c r="R229" s="26"/>
      <c r="S229" s="38"/>
      <c r="T229" s="53"/>
      <c r="U229" s="133"/>
      <c r="V229" s="110"/>
      <c r="W229" s="55"/>
      <c r="X229" s="127"/>
      <c r="Y229" s="70"/>
      <c r="Z229" s="70"/>
      <c r="AA229" s="70"/>
      <c r="AB229" s="67"/>
      <c r="AC229" s="63"/>
      <c r="AD229" s="64"/>
      <c r="AE229" s="103"/>
      <c r="AF229" s="100"/>
      <c r="AG229" s="1"/>
    </row>
    <row r="230" spans="1:33" x14ac:dyDescent="0.25">
      <c r="A230" s="40"/>
      <c r="B230" s="7"/>
      <c r="C230" s="25"/>
      <c r="D230" s="25"/>
      <c r="E230" s="16"/>
      <c r="F230" s="16"/>
      <c r="G230" s="7"/>
      <c r="H230" s="16"/>
      <c r="I230" s="16"/>
      <c r="J230" s="7"/>
      <c r="K230" s="140"/>
      <c r="L230" s="25"/>
      <c r="M230" s="6"/>
      <c r="N230" s="7"/>
      <c r="O230" s="7"/>
      <c r="P230" s="7"/>
      <c r="Q230" s="26"/>
      <c r="R230" s="26"/>
      <c r="S230" s="38"/>
      <c r="T230" s="53"/>
      <c r="U230" s="133"/>
      <c r="V230" s="110"/>
      <c r="W230" s="55"/>
      <c r="X230" s="127"/>
      <c r="Y230" s="70"/>
      <c r="Z230" s="70"/>
      <c r="AA230" s="70"/>
      <c r="AB230" s="67"/>
      <c r="AC230" s="63"/>
      <c r="AD230" s="64"/>
      <c r="AE230" s="103"/>
      <c r="AF230" s="100"/>
      <c r="AG230" s="1"/>
    </row>
    <row r="231" spans="1:33" x14ac:dyDescent="0.25">
      <c r="A231" s="40"/>
      <c r="B231" s="7"/>
      <c r="C231" s="25"/>
      <c r="D231" s="25"/>
      <c r="E231" s="16"/>
      <c r="F231" s="16"/>
      <c r="G231" s="7"/>
      <c r="H231" s="16"/>
      <c r="I231" s="16"/>
      <c r="J231" s="7"/>
      <c r="K231" s="140"/>
      <c r="L231" s="25"/>
      <c r="M231" s="6"/>
      <c r="N231" s="7"/>
      <c r="O231" s="7"/>
      <c r="P231" s="7"/>
      <c r="Q231" s="26"/>
      <c r="R231" s="26"/>
      <c r="S231" s="38"/>
      <c r="T231" s="53"/>
      <c r="U231" s="133"/>
      <c r="V231" s="110"/>
      <c r="W231" s="55"/>
      <c r="X231" s="127"/>
      <c r="Y231" s="70"/>
      <c r="Z231" s="70"/>
      <c r="AA231" s="70"/>
      <c r="AB231" s="67"/>
      <c r="AC231" s="63"/>
      <c r="AD231" s="64"/>
      <c r="AE231" s="103"/>
      <c r="AF231" s="100"/>
      <c r="AG231" s="1"/>
    </row>
  </sheetData>
  <autoFilter ref="A12:AG23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1">
    <cfRule type="expression" dxfId="5" priority="235">
      <formula>$O13&gt;0</formula>
    </cfRule>
  </conditionalFormatting>
  <conditionalFormatting sqref="A13:S231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2"/>
  <sheetViews>
    <sheetView workbookViewId="0">
      <selection activeCell="N31" sqref="N31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1" customWidth="1"/>
    <col min="14" max="14" width="30.7109375" customWidth="1"/>
    <col min="15" max="15" width="5" hidden="1" customWidth="1"/>
    <col min="16" max="16" width="5.7109375" style="101" customWidth="1"/>
    <col min="17" max="17" width="5.7109375" style="114" customWidth="1"/>
    <col min="18" max="18" width="6" style="98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1"/>
      <c r="P1" s="101"/>
      <c r="Q1" s="114"/>
      <c r="R1" s="98"/>
      <c r="T1" s="51"/>
    </row>
    <row r="2" spans="1:22" s="24" customFormat="1" x14ac:dyDescent="0.25">
      <c r="A2" s="8"/>
      <c r="F2" s="2"/>
      <c r="G2" s="2"/>
      <c r="H2" s="2"/>
      <c r="J2" s="2"/>
      <c r="K2" s="141" t="s">
        <v>88</v>
      </c>
      <c r="L2" s="142"/>
      <c r="M2" s="143">
        <f>COUNTIF($M$7:$M$408,"=Y")</f>
        <v>1</v>
      </c>
      <c r="N2" s="144"/>
      <c r="P2" s="101"/>
      <c r="Q2" s="114"/>
      <c r="R2" s="98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5" t="s">
        <v>89</v>
      </c>
      <c r="L3" s="146"/>
      <c r="M3" s="147">
        <f>COUNTA($M$7:$M$408)-M2</f>
        <v>56</v>
      </c>
      <c r="N3" s="144"/>
      <c r="P3" s="101"/>
      <c r="Q3" s="114"/>
      <c r="R3" s="98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1"/>
      <c r="P4" s="101"/>
      <c r="Q4" s="114"/>
      <c r="R4" s="98"/>
      <c r="T4" s="51"/>
    </row>
    <row r="5" spans="1:22" s="12" customFormat="1" ht="15" customHeight="1" x14ac:dyDescent="0.25">
      <c r="A5" s="149" t="str">
        <f>"Eagle P3 Braking Events - "&amp;TEXT(Variables!$A$2,"YYYY-mm-dd")</f>
        <v>Eagle P3 Braking Events - 2016-08-22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3"/>
      <c r="P5" s="111"/>
      <c r="Q5" s="115"/>
      <c r="R5" s="118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38" t="s">
        <v>27</v>
      </c>
      <c r="N6" s="73" t="s">
        <v>24</v>
      </c>
      <c r="O6" s="53"/>
      <c r="P6" s="112" t="s">
        <v>102</v>
      </c>
      <c r="Q6" s="116" t="s">
        <v>61</v>
      </c>
      <c r="R6" s="119" t="s">
        <v>101</v>
      </c>
      <c r="S6" s="73" t="s">
        <v>96</v>
      </c>
      <c r="T6" s="75" t="s">
        <v>97</v>
      </c>
      <c r="U6" s="53" t="s">
        <v>109</v>
      </c>
      <c r="V6" s="53" t="s">
        <v>111</v>
      </c>
    </row>
    <row r="7" spans="1:22" s="1" customFormat="1" x14ac:dyDescent="0.25">
      <c r="A7" s="39">
        <v>42604.214247685188</v>
      </c>
      <c r="B7" s="34" t="s">
        <v>192</v>
      </c>
      <c r="C7" s="34" t="s">
        <v>325</v>
      </c>
      <c r="D7" s="34" t="s">
        <v>49</v>
      </c>
      <c r="E7" s="34" t="s">
        <v>190</v>
      </c>
      <c r="F7" s="50">
        <v>0</v>
      </c>
      <c r="G7" s="50">
        <v>236</v>
      </c>
      <c r="H7" s="50">
        <v>32876</v>
      </c>
      <c r="I7" s="34" t="s">
        <v>191</v>
      </c>
      <c r="J7" s="50">
        <v>33137</v>
      </c>
      <c r="K7" s="34" t="s">
        <v>52</v>
      </c>
      <c r="L7" s="96" t="str">
        <f>VLOOKUP(C7,'Trips&amp;Operators'!$C$1:$E$9999,3,0)</f>
        <v>STARKS</v>
      </c>
      <c r="M7" s="139" t="s">
        <v>87</v>
      </c>
      <c r="N7" s="10" t="s">
        <v>255</v>
      </c>
      <c r="O7" s="34"/>
      <c r="P7" s="113" t="str">
        <f>VLOOKUP(C7,'Train Runs'!$A$13:$AE$10006,31,0)</f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Q7" s="117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https://search-rtdc-monitor-bjffxe2xuh6vdkpspy63sjmuny.us-east-1.es.amazonaws.com/_plugin/kibana/#/discover/Steve-Slow-Train-Analysis-(2080s-and-2083s)?_g=(refreshInterval:(display:Off,section:0,value:0),time:(from:'2016-08-22 03:55:58-0600',mode:absolute,to:'2016-08-22 06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7" s="120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/stypes="*4009*201608221*" /stext=" 11:.+((SYSTEM_STATE.+slice.+state.+changed )|(ment ac)|(system.+state.+changed )|(\|lc)|(penalty)|(\[timeout)|(PRM\|1\|D)|(kpr)|(kdp))" /e /r /s</v>
      </c>
      <c r="S7" s="9" t="str">
        <f t="shared" ref="S7:S38" si="1">MID(B7,13,4)</f>
        <v>4009</v>
      </c>
      <c r="T7" s="39">
        <f t="shared" ref="T7:T38" si="2">A7+6/24</f>
        <v>42604.464247685188</v>
      </c>
      <c r="U7" s="53" t="str">
        <f t="shared" ref="U7:U38" si="3">IF(VALUE(LEFT(IF(LEN(C7)=6,"0"&amp;C7,C7),2))&lt;=2,"EC",IF(OR(VALUE(LEFT(IF(LEN(C7)=6,"0"&amp;C7,C7),2))=8,VALUE(LEFT(IF(LEN(C7)=6,"0"&amp;C7,C7),2))=18),"NW","Other"))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42604.401585648149</v>
      </c>
      <c r="B8" s="34" t="s">
        <v>189</v>
      </c>
      <c r="C8" s="34" t="s">
        <v>339</v>
      </c>
      <c r="D8" s="34" t="s">
        <v>49</v>
      </c>
      <c r="E8" s="34" t="s">
        <v>190</v>
      </c>
      <c r="F8" s="50">
        <v>0</v>
      </c>
      <c r="G8" s="50">
        <v>594</v>
      </c>
      <c r="H8" s="50">
        <v>45905</v>
      </c>
      <c r="I8" s="34" t="s">
        <v>191</v>
      </c>
      <c r="J8" s="50">
        <v>42961</v>
      </c>
      <c r="K8" s="34" t="s">
        <v>53</v>
      </c>
      <c r="L8" s="96" t="str">
        <f>VLOOKUP(C8,'Trips&amp;Operators'!$C$1:$E$9999,3,0)</f>
        <v>YORK</v>
      </c>
      <c r="M8" s="139" t="s">
        <v>87</v>
      </c>
      <c r="N8" s="10" t="s">
        <v>255</v>
      </c>
      <c r="O8" s="34"/>
      <c r="P8" s="113" t="str">
        <f>VLOOKUP(C8,'Train Runs'!$A$13:$AE$10006,31,0)</f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Q8" s="117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https://search-rtdc-monitor-bjffxe2xuh6vdkpspy63sjmuny.us-east-1.es.amazonaws.com/_plugin/kibana/#/discover/Steve-Slow-Train-Analysis-(2080s-and-2083s)?_g=(refreshInterval:(display:Off,section:0,value:0),time:(from:'2016-08-22 07:53:48-0600',mode:absolute,to:'2016-08-22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" s="120" t="str">
        <f t="shared" si="0"/>
        <v>"C:\Program Files (x86)\AstroGrep\AstroGrep.exe" /spath="%USERPROFILE%\AppData\Local\Temp\OnboardLogs" /stypes="*4043*201608221*" /stext=" 15:.+((SYSTEM_STATE.+slice.+state.+changed )|(ment ac)|(system.+state.+changed )|(\|lc)|(penalty)|(\[timeout)|(PRM\|1\|D)|(kpr)|(kdp))" /e /r /s</v>
      </c>
      <c r="S8" s="9" t="str">
        <f t="shared" si="1"/>
        <v>4043</v>
      </c>
      <c r="T8" s="39">
        <f t="shared" si="2"/>
        <v>42604.651585648149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42604.575069444443</v>
      </c>
      <c r="B9" s="34" t="s">
        <v>216</v>
      </c>
      <c r="C9" s="34" t="s">
        <v>351</v>
      </c>
      <c r="D9" s="34" t="s">
        <v>49</v>
      </c>
      <c r="E9" s="34" t="s">
        <v>190</v>
      </c>
      <c r="F9" s="50">
        <v>0</v>
      </c>
      <c r="G9" s="50">
        <v>264</v>
      </c>
      <c r="H9" s="50">
        <v>52113</v>
      </c>
      <c r="I9" s="34" t="s">
        <v>191</v>
      </c>
      <c r="J9" s="50">
        <v>53155</v>
      </c>
      <c r="K9" s="34" t="s">
        <v>52</v>
      </c>
      <c r="L9" s="96" t="str">
        <f>VLOOKUP(C9,'Trips&amp;Operators'!$C$1:$E$9999,3,0)</f>
        <v>BEAM</v>
      </c>
      <c r="M9" s="139" t="s">
        <v>87</v>
      </c>
      <c r="N9" s="10" t="s">
        <v>256</v>
      </c>
      <c r="O9" s="34"/>
      <c r="P9" s="113" t="str">
        <f>VLOOKUP(C9,'Train Runs'!$A$13:$AE$10006,31,0)</f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Q9" s="117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https://search-rtdc-monitor-bjffxe2xuh6vdkpspy63sjmuny.us-east-1.es.amazonaws.com/_plugin/kibana/#/discover/Steve-Slow-Train-Analysis-(2080s-and-2083s)?_g=(refreshInterval:(display:Off,section:0,value:0),time:(from:'2016-08-22 12:29:04-0600',mode:absolute,to:'2016-08-22 15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9" s="120" t="str">
        <f t="shared" si="0"/>
        <v>"C:\Program Files (x86)\AstroGrep\AstroGrep.exe" /spath="%USERPROFILE%\AppData\Local\Temp\OnboardLogs" /stypes="*4044*201608221*" /stext=" 19:.+((SYSTEM_STATE.+slice.+state.+changed )|(ment ac)|(system.+state.+changed )|(\|lc)|(penalty)|(\[timeout)|(PRM\|1\|D)|(kpr)|(kdp))" /e /r /s</v>
      </c>
      <c r="S9" s="9" t="str">
        <f t="shared" si="1"/>
        <v>4044</v>
      </c>
      <c r="T9" s="39">
        <f t="shared" si="2"/>
        <v>42604.825069444443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42604.323622685188</v>
      </c>
      <c r="B10" s="34" t="s">
        <v>155</v>
      </c>
      <c r="C10" s="34" t="s">
        <v>333</v>
      </c>
      <c r="D10" s="34" t="s">
        <v>49</v>
      </c>
      <c r="E10" s="34" t="s">
        <v>190</v>
      </c>
      <c r="F10" s="50">
        <v>370</v>
      </c>
      <c r="G10" s="50">
        <v>433</v>
      </c>
      <c r="H10" s="50">
        <v>62290</v>
      </c>
      <c r="I10" s="34" t="s">
        <v>191</v>
      </c>
      <c r="J10" s="50">
        <v>63069</v>
      </c>
      <c r="K10" s="34" t="s">
        <v>52</v>
      </c>
      <c r="L10" s="96" t="str">
        <f>VLOOKUP(C10,'Trips&amp;Operators'!$C$1:$E$9999,3,0)</f>
        <v>ACKERMAN</v>
      </c>
      <c r="M10" s="139" t="s">
        <v>87</v>
      </c>
      <c r="N10" s="10" t="s">
        <v>255</v>
      </c>
      <c r="O10" s="34"/>
      <c r="P10" s="113" t="str">
        <f>VLOOKUP(C10,'Train Runs'!$A$13:$AE$10006,31,0)</f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Q10" s="117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https://search-rtdc-monitor-bjffxe2xuh6vdkpspy63sjmuny.us-east-1.es.amazonaws.com/_plugin/kibana/#/discover/Steve-Slow-Train-Analysis-(2080s-and-2083s)?_g=(refreshInterval:(display:Off,section:0,value:0),time:(from:'2016-08-22 06:24:18-0600',mode:absolute,to:'2016-08-22 09:12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0" s="120" t="str">
        <f t="shared" si="0"/>
        <v>"C:\Program Files (x86)\AstroGrep\AstroGrep.exe" /spath="%USERPROFILE%\AppData\Local\Temp\OnboardLogs" /stypes="*4038*201608221*" /stext=" 13:.+((SYSTEM_STATE.+slice.+state.+changed )|(ment ac)|(system.+state.+changed )|(\|lc)|(penalty)|(\[timeout)|(PRM\|1\|D)|(kpr)|(kdp))" /e /r /s</v>
      </c>
      <c r="S10" s="9" t="str">
        <f t="shared" si="1"/>
        <v>4038</v>
      </c>
      <c r="T10" s="39">
        <f t="shared" si="2"/>
        <v>42604.573622685188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42604.460277777776</v>
      </c>
      <c r="B11" s="34" t="s">
        <v>181</v>
      </c>
      <c r="C11" s="34" t="s">
        <v>343</v>
      </c>
      <c r="D11" s="34" t="s">
        <v>49</v>
      </c>
      <c r="E11" s="34" t="s">
        <v>190</v>
      </c>
      <c r="F11" s="50">
        <v>0</v>
      </c>
      <c r="G11" s="50">
        <v>263</v>
      </c>
      <c r="H11" s="50">
        <v>109142</v>
      </c>
      <c r="I11" s="34" t="s">
        <v>191</v>
      </c>
      <c r="J11" s="50">
        <v>109135</v>
      </c>
      <c r="K11" s="34" t="s">
        <v>53</v>
      </c>
      <c r="L11" s="96" t="str">
        <f>VLOOKUP(C11,'Trips&amp;Operators'!$C$1:$E$9999,3,0)</f>
        <v>SPECTOR</v>
      </c>
      <c r="M11" s="139" t="s">
        <v>87</v>
      </c>
      <c r="N11" s="10" t="s">
        <v>255</v>
      </c>
      <c r="O11" s="34"/>
      <c r="P11" s="113" t="str">
        <f>VLOOKUP(C11,'Train Runs'!$A$13:$AE$10006,31,0)</f>
        <v>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 &amp; 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</v>
      </c>
      <c r="Q11" s="117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https://search-rtdc-monitor-bjffxe2xuh6vdkpspy63sjmuny.us-east-1.es.amazonaws.com/_plugin/kibana/#/discover/Steve-Slow-Train-Analysis-(2080s-and-2083s)?_g=(refreshInterval:(display:Off,section:0,value:0),time:(from:'2016-08-22 09:31:57-0600',mode:absolute,to:'2016-08-22 12:27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1" s="120" t="str">
        <f t="shared" si="0"/>
        <v>"C:\Program Files (x86)\AstroGrep\AstroGrep.exe" /spath="%USERPROFILE%\AppData\Local\Temp\OnboardLogs" /stypes="*4019*201608221*" /stext=" 17:.+((SYSTEM_STATE.+slice.+state.+changed )|(ment ac)|(system.+state.+changed )|(\|lc)|(penalty)|(\[timeout)|(PRM\|1\|D)|(kpr)|(kdp))" /e /r /s</v>
      </c>
      <c r="S11" s="9" t="str">
        <f t="shared" si="1"/>
        <v>4019</v>
      </c>
      <c r="T11" s="39">
        <f t="shared" si="2"/>
        <v>42604.710277777776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42604.561631944445</v>
      </c>
      <c r="B12" s="34" t="s">
        <v>179</v>
      </c>
      <c r="C12" s="34" t="s">
        <v>350</v>
      </c>
      <c r="D12" s="34" t="s">
        <v>112</v>
      </c>
      <c r="E12" s="34" t="s">
        <v>190</v>
      </c>
      <c r="F12" s="50">
        <v>0</v>
      </c>
      <c r="G12" s="50">
        <v>426</v>
      </c>
      <c r="H12" s="50">
        <v>109100</v>
      </c>
      <c r="I12" s="34" t="s">
        <v>191</v>
      </c>
      <c r="J12" s="50">
        <v>109135</v>
      </c>
      <c r="K12" s="34" t="s">
        <v>53</v>
      </c>
      <c r="L12" s="96" t="str">
        <f>VLOOKUP(C12,'Trips&amp;Operators'!$C$1:$E$9999,3,0)</f>
        <v>HELVIE</v>
      </c>
      <c r="M12" s="139" t="s">
        <v>87</v>
      </c>
      <c r="N12" s="10" t="s">
        <v>255</v>
      </c>
      <c r="O12" s="34"/>
      <c r="P12" s="113" t="str">
        <f>VLOOKUP(C12,'Train Runs'!$A$13:$AE$10006,31,0)</f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Q12" s="117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https://search-rtdc-monitor-bjffxe2xuh6vdkpspy63sjmuny.us-east-1.es.amazonaws.com/_plugin/kibana/#/discover/Steve-Slow-Train-Analysis-(2080s-and-2083s)?_g=(refreshInterval:(display:Off,section:0,value:0),time:(from:'2016-08-22 12:02:51-0600',mode:absolute,to:'2016-08-22 14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2" s="120" t="str">
        <f t="shared" si="0"/>
        <v>"C:\Program Files (x86)\AstroGrep\AstroGrep.exe" /spath="%USERPROFILE%\AppData\Local\Temp\OnboardLogs" /stypes="*4008*201608221*" /stext=" 19:.+((SYSTEM_STATE.+slice.+state.+changed )|(ment ac)|(system.+state.+changed )|(\|lc)|(penalty)|(\[timeout)|(PRM\|1\|D)|(kpr)|(kdp))" /e /r /s</v>
      </c>
      <c r="S12" s="9" t="str">
        <f t="shared" si="1"/>
        <v>4008</v>
      </c>
      <c r="T12" s="39">
        <f t="shared" si="2"/>
        <v>42604.811631944445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42605.033182870371</v>
      </c>
      <c r="B13" s="34" t="s">
        <v>153</v>
      </c>
      <c r="C13" s="34" t="s">
        <v>372</v>
      </c>
      <c r="D13" s="34" t="s">
        <v>49</v>
      </c>
      <c r="E13" s="34" t="s">
        <v>190</v>
      </c>
      <c r="F13" s="50">
        <v>0</v>
      </c>
      <c r="G13" s="50">
        <v>240</v>
      </c>
      <c r="H13" s="50">
        <v>110211</v>
      </c>
      <c r="I13" s="34" t="s">
        <v>191</v>
      </c>
      <c r="J13" s="50">
        <v>109135</v>
      </c>
      <c r="K13" s="34" t="s">
        <v>53</v>
      </c>
      <c r="L13" s="96" t="str">
        <f>VLOOKUP(C13,'Trips&amp;Operators'!$C$1:$E$9999,3,0)</f>
        <v>NEWELL</v>
      </c>
      <c r="M13" s="139" t="s">
        <v>87</v>
      </c>
      <c r="N13" s="10" t="s">
        <v>256</v>
      </c>
      <c r="O13" s="34"/>
      <c r="P13" s="113" t="str">
        <f>VLOOKUP(C13,'Train Runs'!$A$13:$AE$10006,31,0)</f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Q13" s="117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https://search-rtdc-monitor-bjffxe2xuh6vdkpspy63sjmuny.us-east-1.es.amazonaws.com/_plugin/kibana/#/discover/Steve-Slow-Train-Analysis-(2080s-and-2083s)?_g=(refreshInterval:(display:Off,section:0,value:0),time:(from:'2016-08-22 23:14:59-0600',mode:absolute,to:'2016-08-23 02:10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3" s="120" t="str">
        <f t="shared" si="0"/>
        <v>"C:\Program Files (x86)\AstroGrep\AstroGrep.exe" /spath="%USERPROFILE%\AppData\Local\Temp\OnboardLogs" /stypes="*4028*201608230*" /stext=" 06:.+((SYSTEM_STATE.+slice.+state.+changed )|(ment ac)|(system.+state.+changed )|(\|lc)|(penalty)|(\[timeout)|(PRM\|1\|D)|(kpr)|(kdp))" /e /r /s</v>
      </c>
      <c r="S13" s="9" t="str">
        <f t="shared" si="1"/>
        <v>4028</v>
      </c>
      <c r="T13" s="39">
        <f t="shared" si="2"/>
        <v>42605.283182870371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42604.741273148145</v>
      </c>
      <c r="B14" s="34" t="s">
        <v>94</v>
      </c>
      <c r="C14" s="34" t="s">
        <v>360</v>
      </c>
      <c r="D14" s="34" t="s">
        <v>112</v>
      </c>
      <c r="E14" s="34" t="s">
        <v>56</v>
      </c>
      <c r="F14" s="50">
        <v>200</v>
      </c>
      <c r="G14" s="50">
        <v>259</v>
      </c>
      <c r="H14" s="50">
        <v>5468</v>
      </c>
      <c r="I14" s="34" t="s">
        <v>57</v>
      </c>
      <c r="J14" s="50">
        <v>4677</v>
      </c>
      <c r="K14" s="34" t="s">
        <v>52</v>
      </c>
      <c r="L14" s="96" t="str">
        <f>VLOOKUP(C14,'Trips&amp;Operators'!$C$1:$E$9999,3,0)</f>
        <v>NEWELL</v>
      </c>
      <c r="M14" s="139" t="s">
        <v>87</v>
      </c>
      <c r="N14" s="10"/>
      <c r="O14" s="34"/>
      <c r="P14" s="113" t="str">
        <f>VLOOKUP(C14,'Train Runs'!$A$13:$AE$10006,31,0)</f>
        <v>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 &amp; 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</v>
      </c>
      <c r="Q14" s="117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https://search-rtdc-monitor-bjffxe2xuh6vdkpspy63sjmuny.us-east-1.es.amazonaws.com/_plugin/kibana/#/discover/Steve-Slow-Train-Analysis-(2080s-and-2083s)?_g=(refreshInterval:(display:Off,section:0,value:0),time:(from:'2016-08-22 16:36:55-0600',mode:absolute,to:'2016-08-22 19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4" s="120" t="str">
        <f t="shared" si="0"/>
        <v>"C:\Program Files (x86)\AstroGrep\AstroGrep.exe" /spath="%USERPROFILE%\AppData\Local\Temp\OnboardLogs" /stypes="*4027*201608222*" /stext=" 23:.+((SYSTEM_STATE.+slice.+state.+changed )|(ment ac)|(system.+state.+changed )|(\|lc)|(penalty)|(\[timeout)|(PRM\|1\|D)|(kpr)|(kdp))" /e /r /s</v>
      </c>
      <c r="S14" s="9" t="str">
        <f t="shared" si="1"/>
        <v>4027</v>
      </c>
      <c r="T14" s="39">
        <f t="shared" si="2"/>
        <v>42604.991273148145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42604.983842592592</v>
      </c>
      <c r="B15" s="34" t="s">
        <v>94</v>
      </c>
      <c r="C15" s="34" t="s">
        <v>371</v>
      </c>
      <c r="D15" s="34" t="s">
        <v>112</v>
      </c>
      <c r="E15" s="34" t="s">
        <v>56</v>
      </c>
      <c r="F15" s="50">
        <v>400</v>
      </c>
      <c r="G15" s="50">
        <v>450</v>
      </c>
      <c r="H15" s="50">
        <v>17920</v>
      </c>
      <c r="I15" s="34" t="s">
        <v>57</v>
      </c>
      <c r="J15" s="50">
        <v>17867</v>
      </c>
      <c r="K15" s="34" t="s">
        <v>52</v>
      </c>
      <c r="L15" s="96" t="str">
        <f>VLOOKUP(C15,'Trips&amp;Operators'!$C$1:$E$9999,3,0)</f>
        <v>NEWELL</v>
      </c>
      <c r="M15" s="139" t="s">
        <v>87</v>
      </c>
      <c r="N15" s="10"/>
      <c r="O15" s="34"/>
      <c r="P15" s="113" t="str">
        <f>VLOOKUP(C15,'Train Runs'!$A$13:$AE$10006,31,0)</f>
        <v>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 &amp; 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</v>
      </c>
      <c r="Q15" s="117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https://search-rtdc-monitor-bjffxe2xuh6vdkpspy63sjmuny.us-east-1.es.amazonaws.com/_plugin/kibana/#/discover/Steve-Slow-Train-Analysis-(2080s-and-2083s)?_g=(refreshInterval:(display:Off,section:0,value:0),time:(from:'2016-08-22 22:08:07-0600',mode:absolute,to:'2016-08-23 01:12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5" s="120" t="str">
        <f t="shared" si="0"/>
        <v>"C:\Program Files (x86)\AstroGrep\AstroGrep.exe" /spath="%USERPROFILE%\AppData\Local\Temp\OnboardLogs" /stypes="*4027*201608230*" /stext=" 05:.+((SYSTEM_STATE.+slice.+state.+changed )|(ment ac)|(system.+state.+changed )|(\|lc)|(penalty)|(\[timeout)|(PRM\|1\|D)|(kpr)|(kdp))" /e /r /s</v>
      </c>
      <c r="S15" s="9" t="str">
        <f t="shared" si="1"/>
        <v>4027</v>
      </c>
      <c r="T15" s="39">
        <f t="shared" si="2"/>
        <v>42605.233842592592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42604.775081018517</v>
      </c>
      <c r="B16" s="34" t="s">
        <v>180</v>
      </c>
      <c r="C16" s="34" t="s">
        <v>363</v>
      </c>
      <c r="D16" s="34" t="s">
        <v>112</v>
      </c>
      <c r="E16" s="34" t="s">
        <v>56</v>
      </c>
      <c r="F16" s="50">
        <v>300</v>
      </c>
      <c r="G16" s="50">
        <v>357</v>
      </c>
      <c r="H16" s="50">
        <v>21913</v>
      </c>
      <c r="I16" s="34" t="s">
        <v>57</v>
      </c>
      <c r="J16" s="50">
        <v>20338</v>
      </c>
      <c r="K16" s="34" t="s">
        <v>52</v>
      </c>
      <c r="L16" s="96" t="str">
        <f>VLOOKUP(C16,'Trips&amp;Operators'!$C$1:$E$9999,3,0)</f>
        <v>OUN</v>
      </c>
      <c r="M16" s="139" t="s">
        <v>87</v>
      </c>
      <c r="N16" s="10"/>
      <c r="O16" s="34"/>
      <c r="P16" s="113" t="str">
        <f>VLOOKUP(C16,'Train Runs'!$A$13:$AE$10006,31,0)</f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Q16" s="117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https://search-rtdc-monitor-bjffxe2xuh6vdkpspy63sjmuny.us-east-1.es.amazonaws.com/_plugin/kibana/#/discover/Steve-Slow-Train-Analysis-(2080s-and-2083s)?_g=(refreshInterval:(display:Off,section:0,value:0),time:(from:'2016-08-22 17:26:23-0600',mode:absolute,to:'2016-08-22 20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16" s="120" t="str">
        <f t="shared" si="0"/>
        <v>"C:\Program Files (x86)\AstroGrep\AstroGrep.exe" /spath="%USERPROFILE%\AppData\Local\Temp\OnboardLogs" /stypes="*4020*201608230*" /stext=" 00:.+((SYSTEM_STATE.+slice.+state.+changed )|(ment ac)|(system.+state.+changed )|(\|lc)|(penalty)|(\[timeout)|(PRM\|1\|D)|(kpr)|(kdp))" /e /r /s</v>
      </c>
      <c r="S16" s="9" t="str">
        <f t="shared" si="1"/>
        <v>4020</v>
      </c>
      <c r="T16" s="39">
        <f t="shared" si="2"/>
        <v>42605.025081018517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42604.7965625</v>
      </c>
      <c r="B17" s="34" t="s">
        <v>192</v>
      </c>
      <c r="C17" s="34" t="s">
        <v>365</v>
      </c>
      <c r="D17" s="34" t="s">
        <v>112</v>
      </c>
      <c r="E17" s="34" t="s">
        <v>56</v>
      </c>
      <c r="F17" s="50">
        <v>300</v>
      </c>
      <c r="G17" s="50">
        <v>353</v>
      </c>
      <c r="H17" s="50">
        <v>20810</v>
      </c>
      <c r="I17" s="34" t="s">
        <v>57</v>
      </c>
      <c r="J17" s="50">
        <v>20338</v>
      </c>
      <c r="K17" s="34" t="s">
        <v>52</v>
      </c>
      <c r="L17" s="96" t="str">
        <f>VLOOKUP(C17,'Trips&amp;Operators'!$C$1:$E$9999,3,0)</f>
        <v>LEVERE</v>
      </c>
      <c r="M17" s="139" t="s">
        <v>87</v>
      </c>
      <c r="N17" s="10"/>
      <c r="O17" s="34"/>
      <c r="P17" s="113" t="str">
        <f>VLOOKUP(C17,'Train Runs'!$A$13:$AE$10006,31,0)</f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Q17" s="117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https://search-rtdc-monitor-bjffxe2xuh6vdkpspy63sjmuny.us-east-1.es.amazonaws.com/_plugin/kibana/#/discover/Steve-Slow-Train-Analysis-(2080s-and-2083s)?_g=(refreshInterval:(display:Off,section:0,value:0),time:(from:'2016-08-22 17:53:21-0600',mode:absolute,to:'2016-08-22 20:48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7" s="120" t="str">
        <f t="shared" si="0"/>
        <v>"C:\Program Files (x86)\AstroGrep\AstroGrep.exe" /spath="%USERPROFILE%\AppData\Local\Temp\OnboardLogs" /stypes="*4009*201608230*" /stext=" 01:.+((SYSTEM_STATE.+slice.+state.+changed )|(ment ac)|(system.+state.+changed )|(\|lc)|(penalty)|(\[timeout)|(PRM\|1\|D)|(kpr)|(kdp))" /e /r /s</v>
      </c>
      <c r="S17" s="9" t="str">
        <f t="shared" si="1"/>
        <v>4009</v>
      </c>
      <c r="T17" s="39">
        <f t="shared" si="2"/>
        <v>42605.0465625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42604.318518518521</v>
      </c>
      <c r="B18" s="34" t="s">
        <v>113</v>
      </c>
      <c r="C18" s="34" t="s">
        <v>332</v>
      </c>
      <c r="D18" s="34" t="s">
        <v>49</v>
      </c>
      <c r="E18" s="34" t="s">
        <v>56</v>
      </c>
      <c r="F18" s="50">
        <v>400</v>
      </c>
      <c r="G18" s="50">
        <v>495</v>
      </c>
      <c r="H18" s="50">
        <v>115960</v>
      </c>
      <c r="I18" s="34" t="s">
        <v>57</v>
      </c>
      <c r="J18" s="50">
        <v>116838</v>
      </c>
      <c r="K18" s="34" t="s">
        <v>52</v>
      </c>
      <c r="L18" s="96" t="str">
        <f>VLOOKUP(C18,'Trips&amp;Operators'!$C$1:$E$9999,3,0)</f>
        <v>MALAVE</v>
      </c>
      <c r="M18" s="139" t="s">
        <v>87</v>
      </c>
      <c r="N18" s="10"/>
      <c r="O18" s="34"/>
      <c r="P18" s="113" t="str">
        <f>VLOOKUP(C18,'Train Runs'!$A$13:$AE$10006,31,0)</f>
        <v>aws s3 cp s3://rtdc.mdm.uploadarchive/RTDC4014/2016-08-22/ "%USERPROFILE%\AppData\Local\Temp\OnboardLogs"\RTDC4014\2016-08-22 --recursive &amp; "%USERPROFILE%\Documents\GitHub\mrs-test-scripts\Headless Mode &amp; Sideloading\WalkAndUnGZ.bat" "%USERPROFILE%\AppData\Local\Temp\OnboardLogs"\RTDC4014\2016-08-22 &amp; 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</v>
      </c>
      <c r="Q18" s="117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https://search-rtdc-monitor-bjffxe2xuh6vdkpspy63sjmuny.us-east-1.es.amazonaws.com/_plugin/kibana/#/discover/Steve-Slow-Train-Analysis-(2080s-and-2083s)?_g=(refreshInterval:(display:Off,section:0,value:0),time:(from:'2016-08-22 06:12:57-0600',mode:absolute,to:'2016-08-22 08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8" s="120" t="str">
        <f t="shared" si="0"/>
        <v>"C:\Program Files (x86)\AstroGrep\AstroGrep.exe" /spath="%USERPROFILE%\AppData\Local\Temp\OnboardLogs" /stypes="*4014*201608221*" /stext=" 13:.+((SYSTEM_STATE.+slice.+state.+changed )|(ment ac)|(system.+state.+changed )|(\|lc)|(penalty)|(\[timeout)|(PRM\|1\|D)|(kpr)|(kdp))" /e /r /s</v>
      </c>
      <c r="S18" s="9" t="str">
        <f t="shared" si="1"/>
        <v>4014</v>
      </c>
      <c r="T18" s="39">
        <f t="shared" si="2"/>
        <v>42604.568518518521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42604.369733796295</v>
      </c>
      <c r="B19" s="34" t="s">
        <v>192</v>
      </c>
      <c r="C19" s="34" t="s">
        <v>337</v>
      </c>
      <c r="D19" s="34" t="s">
        <v>49</v>
      </c>
      <c r="E19" s="34" t="s">
        <v>56</v>
      </c>
      <c r="F19" s="50">
        <v>400</v>
      </c>
      <c r="G19" s="50">
        <v>707</v>
      </c>
      <c r="H19" s="50">
        <v>112895</v>
      </c>
      <c r="I19" s="34" t="s">
        <v>57</v>
      </c>
      <c r="J19" s="50">
        <v>116838</v>
      </c>
      <c r="K19" s="34" t="s">
        <v>52</v>
      </c>
      <c r="L19" s="96" t="str">
        <f>VLOOKUP(C19,'Trips&amp;Operators'!$C$1:$E$9999,3,0)</f>
        <v>STARKS</v>
      </c>
      <c r="M19" s="139" t="s">
        <v>87</v>
      </c>
      <c r="N19" s="10"/>
      <c r="O19" s="34"/>
      <c r="P19" s="113" t="str">
        <f>VLOOKUP(C19,'Train Runs'!$A$13:$AE$10006,31,0)</f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Q19" s="117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https://search-rtdc-monitor-bjffxe2xuh6vdkpspy63sjmuny.us-east-1.es.amazonaws.com/_plugin/kibana/#/discover/Steve-Slow-Train-Analysis-(2080s-and-2083s)?_g=(refreshInterval:(display:Off,section:0,value:0),time:(from:'2016-08-22 07:26:43-0600',mode:absolute,to:'2016-08-22 10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9" s="120" t="str">
        <f t="shared" si="0"/>
        <v>"C:\Program Files (x86)\AstroGrep\AstroGrep.exe" /spath="%USERPROFILE%\AppData\Local\Temp\OnboardLogs" /stypes="*4009*201608221*" /stext=" 14:.+((SYSTEM_STATE.+slice.+state.+changed )|(ment ac)|(system.+state.+changed )|(\|lc)|(penalty)|(\[timeout)|(PRM\|1\|D)|(kpr)|(kdp))" /e /r /s</v>
      </c>
      <c r="S19" s="9" t="str">
        <f t="shared" si="1"/>
        <v>4009</v>
      </c>
      <c r="T19" s="39">
        <f t="shared" si="2"/>
        <v>42604.619733796295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42604.25922453704</v>
      </c>
      <c r="B20" s="34" t="s">
        <v>193</v>
      </c>
      <c r="C20" s="34" t="s">
        <v>327</v>
      </c>
      <c r="D20" s="34" t="s">
        <v>49</v>
      </c>
      <c r="E20" s="34" t="s">
        <v>56</v>
      </c>
      <c r="F20" s="50">
        <v>400</v>
      </c>
      <c r="G20" s="50">
        <v>483</v>
      </c>
      <c r="H20" s="50">
        <v>121103</v>
      </c>
      <c r="I20" s="34" t="s">
        <v>57</v>
      </c>
      <c r="J20" s="50">
        <v>119716</v>
      </c>
      <c r="K20" s="34" t="s">
        <v>53</v>
      </c>
      <c r="L20" s="96" t="str">
        <f>VLOOKUP(C20,'Trips&amp;Operators'!$C$1:$E$9999,3,0)</f>
        <v>STARKS</v>
      </c>
      <c r="M20" s="139" t="s">
        <v>87</v>
      </c>
      <c r="N20" s="10"/>
      <c r="O20" s="34"/>
      <c r="P20" s="113" t="str">
        <f>VLOOKUP(C20,'Train Runs'!$A$13:$AE$10006,31,0)</f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Q20" s="117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https://search-rtdc-monitor-bjffxe2xuh6vdkpspy63sjmuny.us-east-1.es.amazonaws.com/_plugin/kibana/#/discover/Steve-Slow-Train-Analysis-(2080s-and-2083s)?_g=(refreshInterval:(display:Off,section:0,value:0),time:(from:'2016-08-22 04:52:37-0600',mode:absolute,to:'2016-08-22 07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" s="120" t="str">
        <f t="shared" si="0"/>
        <v>"C:\Program Files (x86)\AstroGrep\AstroGrep.exe" /spath="%USERPROFILE%\AppData\Local\Temp\OnboardLogs" /stypes="*4010*201608221*" /stext=" 12:.+((SYSTEM_STATE.+slice.+state.+changed )|(ment ac)|(system.+state.+changed )|(\|lc)|(penalty)|(\[timeout)|(PRM\|1\|D)|(kpr)|(kdp))" /e /r /s</v>
      </c>
      <c r="S20" s="9" t="str">
        <f t="shared" si="1"/>
        <v>4010</v>
      </c>
      <c r="T20" s="39">
        <f t="shared" si="2"/>
        <v>42604.50922453704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42604.800995370373</v>
      </c>
      <c r="B21" s="34" t="s">
        <v>147</v>
      </c>
      <c r="C21" s="34" t="s">
        <v>364</v>
      </c>
      <c r="D21" s="34" t="s">
        <v>49</v>
      </c>
      <c r="E21" s="34" t="s">
        <v>56</v>
      </c>
      <c r="F21" s="50">
        <v>400</v>
      </c>
      <c r="G21" s="50">
        <v>487</v>
      </c>
      <c r="H21" s="50">
        <v>120969</v>
      </c>
      <c r="I21" s="34" t="s">
        <v>57</v>
      </c>
      <c r="J21" s="50">
        <v>119716</v>
      </c>
      <c r="K21" s="34" t="s">
        <v>53</v>
      </c>
      <c r="L21" s="96" t="str">
        <f>VLOOKUP(C21,'Trips&amp;Operators'!$C$1:$E$9999,3,0)</f>
        <v>STRICKLAND</v>
      </c>
      <c r="M21" s="139" t="s">
        <v>87</v>
      </c>
      <c r="N21" s="10"/>
      <c r="O21" s="34"/>
      <c r="P21" s="113" t="str">
        <f>VLOOKUP(C21,'Train Runs'!$A$13:$AE$10006,31,0)</f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Q21" s="117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https://search-rtdc-monitor-bjffxe2xuh6vdkpspy63sjmuny.us-east-1.es.amazonaws.com/_plugin/kibana/#/discover/Steve-Slow-Train-Analysis-(2080s-and-2083s)?_g=(refreshInterval:(display:Off,section:0,value:0),time:(from:'2016-08-22 17:50:16-0600',mode:absolute,to:'2016-08-22 20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" s="120" t="str">
        <f t="shared" si="0"/>
        <v>"C:\Program Files (x86)\AstroGrep\AstroGrep.exe" /spath="%USERPROFILE%\AppData\Local\Temp\OnboardLogs" /stypes="*4037*201608230*" /stext=" 01:.+((SYSTEM_STATE.+slice.+state.+changed )|(ment ac)|(system.+state.+changed )|(\|lc)|(penalty)|(\[timeout)|(PRM\|1\|D)|(kpr)|(kdp))" /e /r /s</v>
      </c>
      <c r="S21" s="9" t="str">
        <f t="shared" si="1"/>
        <v>4037</v>
      </c>
      <c r="T21" s="39">
        <f t="shared" si="2"/>
        <v>42605.050995370373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42604.796319444446</v>
      </c>
      <c r="B22" s="34" t="s">
        <v>147</v>
      </c>
      <c r="C22" s="34" t="s">
        <v>364</v>
      </c>
      <c r="D22" s="34" t="s">
        <v>49</v>
      </c>
      <c r="E22" s="34" t="s">
        <v>56</v>
      </c>
      <c r="F22" s="50">
        <v>450</v>
      </c>
      <c r="G22" s="50">
        <v>731</v>
      </c>
      <c r="H22" s="50">
        <v>160071</v>
      </c>
      <c r="I22" s="34" t="s">
        <v>57</v>
      </c>
      <c r="J22" s="50">
        <v>156300</v>
      </c>
      <c r="K22" s="34" t="s">
        <v>53</v>
      </c>
      <c r="L22" s="96" t="str">
        <f>VLOOKUP(C22,'Trips&amp;Operators'!$C$1:$E$9999,3,0)</f>
        <v>STRICKLAND</v>
      </c>
      <c r="M22" s="139" t="s">
        <v>87</v>
      </c>
      <c r="N22" s="10"/>
      <c r="O22" s="34"/>
      <c r="P22" s="113" t="str">
        <f>VLOOKUP(C22,'Train Runs'!$A$13:$AE$10006,31,0)</f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Q22" s="117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https://search-rtdc-monitor-bjffxe2xuh6vdkpspy63sjmuny.us-east-1.es.amazonaws.com/_plugin/kibana/#/discover/Steve-Slow-Train-Analysis-(2080s-and-2083s)?_g=(refreshInterval:(display:Off,section:0,value:0),time:(from:'2016-08-22 17:50:16-0600',mode:absolute,to:'2016-08-22 20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2" s="120" t="str">
        <f t="shared" si="0"/>
        <v>"C:\Program Files (x86)\AstroGrep\AstroGrep.exe" /spath="%USERPROFILE%\AppData\Local\Temp\OnboardLogs" /stypes="*4037*201608230*" /stext=" 01:.+((SYSTEM_STATE.+slice.+state.+changed )|(ment ac)|(system.+state.+changed )|(\|lc)|(penalty)|(\[timeout)|(PRM\|1\|D)|(kpr)|(kdp))" /e /r /s</v>
      </c>
      <c r="S22" s="9" t="str">
        <f t="shared" si="1"/>
        <v>4037</v>
      </c>
      <c r="T22" s="39">
        <f t="shared" si="2"/>
        <v>42605.046319444446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42604.452037037037</v>
      </c>
      <c r="B23" s="34" t="s">
        <v>192</v>
      </c>
      <c r="C23" s="34" t="s">
        <v>342</v>
      </c>
      <c r="D23" s="34" t="s">
        <v>49</v>
      </c>
      <c r="E23" s="34" t="s">
        <v>56</v>
      </c>
      <c r="F23" s="50">
        <v>550</v>
      </c>
      <c r="G23" s="50">
        <v>757</v>
      </c>
      <c r="H23" s="50">
        <v>218273</v>
      </c>
      <c r="I23" s="34" t="s">
        <v>57</v>
      </c>
      <c r="J23" s="50">
        <v>222090</v>
      </c>
      <c r="K23" s="34" t="s">
        <v>52</v>
      </c>
      <c r="L23" s="96" t="str">
        <f>VLOOKUP(C23,'Trips&amp;Operators'!$C$1:$E$9999,3,0)</f>
        <v>STARKS</v>
      </c>
      <c r="M23" s="139" t="s">
        <v>87</v>
      </c>
      <c r="N23" s="10"/>
      <c r="O23" s="34"/>
      <c r="P23" s="113" t="str">
        <f>VLOOKUP(C23,'Train Runs'!$A$13:$AE$10006,31,0)</f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Q23" s="117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https://search-rtdc-monitor-bjffxe2xuh6vdkpspy63sjmuny.us-east-1.es.amazonaws.com/_plugin/kibana/#/discover/Steve-Slow-Train-Analysis-(2080s-and-2083s)?_g=(refreshInterval:(display:Off,section:0,value:0),time:(from:'2016-08-22 09:09:37-0600',mode:absolute,to:'2016-08-22 11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3" s="120" t="str">
        <f t="shared" si="0"/>
        <v>"C:\Program Files (x86)\AstroGrep\AstroGrep.exe" /spath="%USERPROFILE%\AppData\Local\Temp\OnboardLogs" /stypes="*4009*201608221*" /stext=" 16:.+((SYSTEM_STATE.+slice.+state.+changed )|(ment ac)|(system.+state.+changed )|(\|lc)|(penalty)|(\[timeout)|(PRM\|1\|D)|(kpr)|(kdp))" /e /r /s</v>
      </c>
      <c r="S23" s="9" t="str">
        <f t="shared" si="1"/>
        <v>4009</v>
      </c>
      <c r="T23" s="39">
        <f t="shared" si="2"/>
        <v>42604.702037037037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42604.453287037039</v>
      </c>
      <c r="B24" s="34" t="s">
        <v>192</v>
      </c>
      <c r="C24" s="34" t="s">
        <v>342</v>
      </c>
      <c r="D24" s="34" t="s">
        <v>112</v>
      </c>
      <c r="E24" s="34" t="s">
        <v>56</v>
      </c>
      <c r="F24" s="50">
        <v>350</v>
      </c>
      <c r="G24" s="50">
        <v>401</v>
      </c>
      <c r="H24" s="50">
        <v>227150</v>
      </c>
      <c r="I24" s="34" t="s">
        <v>57</v>
      </c>
      <c r="J24" s="50">
        <v>224578</v>
      </c>
      <c r="K24" s="34" t="s">
        <v>52</v>
      </c>
      <c r="L24" s="96" t="str">
        <f>VLOOKUP(C24,'Trips&amp;Operators'!$C$1:$E$9999,3,0)</f>
        <v>STARKS</v>
      </c>
      <c r="M24" s="139" t="s">
        <v>87</v>
      </c>
      <c r="N24" s="10"/>
      <c r="O24" s="34"/>
      <c r="P24" s="113" t="str">
        <f>VLOOKUP(C24,'Train Runs'!$A$13:$AE$10006,31,0)</f>
        <v>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 &amp; 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</v>
      </c>
      <c r="Q24" s="117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https://search-rtdc-monitor-bjffxe2xuh6vdkpspy63sjmuny.us-east-1.es.amazonaws.com/_plugin/kibana/#/discover/Steve-Slow-Train-Analysis-(2080s-and-2083s)?_g=(refreshInterval:(display:Off,section:0,value:0),time:(from:'2016-08-22 09:09:37-0600',mode:absolute,to:'2016-08-22 11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4" s="120" t="str">
        <f t="shared" si="0"/>
        <v>"C:\Program Files (x86)\AstroGrep\AstroGrep.exe" /spath="%USERPROFILE%\AppData\Local\Temp\OnboardLogs" /stypes="*4009*201608221*" /stext=" 16:.+((SYSTEM_STATE.+slice.+state.+changed )|(ment ac)|(system.+state.+changed )|(\|lc)|(penalty)|(\[timeout)|(PRM\|1\|D)|(kpr)|(kdp))" /e /r /s</v>
      </c>
      <c r="S24" s="9" t="str">
        <f t="shared" si="1"/>
        <v>4009</v>
      </c>
      <c r="T24" s="39">
        <f t="shared" si="2"/>
        <v>42604.703287037039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42604.519270833334</v>
      </c>
      <c r="B25" s="34" t="s">
        <v>216</v>
      </c>
      <c r="C25" s="34" t="s">
        <v>347</v>
      </c>
      <c r="D25" s="34" t="s">
        <v>112</v>
      </c>
      <c r="E25" s="34" t="s">
        <v>56</v>
      </c>
      <c r="F25" s="50">
        <v>350</v>
      </c>
      <c r="G25" s="50">
        <v>400</v>
      </c>
      <c r="H25" s="50">
        <v>227457</v>
      </c>
      <c r="I25" s="34" t="s">
        <v>57</v>
      </c>
      <c r="J25" s="50">
        <v>224578</v>
      </c>
      <c r="K25" s="34" t="s">
        <v>52</v>
      </c>
      <c r="L25" s="96" t="str">
        <f>VLOOKUP(C25,'Trips&amp;Operators'!$C$1:$E$9999,3,0)</f>
        <v>BEAM</v>
      </c>
      <c r="M25" s="139" t="s">
        <v>87</v>
      </c>
      <c r="N25" s="10"/>
      <c r="O25" s="34"/>
      <c r="P25" s="113" t="str">
        <f>VLOOKUP(C25,'Train Runs'!$A$13:$AE$10006,31,0)</f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Q25" s="117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https://search-rtdc-monitor-bjffxe2xuh6vdkpspy63sjmuny.us-east-1.es.amazonaws.com/_plugin/kibana/#/discover/Steve-Slow-Train-Analysis-(2080s-and-2083s)?_g=(refreshInterval:(display:Off,section:0,value:0),time:(from:'2016-08-22 10:41:24-0600',mode:absolute,to:'2016-08-22 13:30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25" s="120" t="str">
        <f t="shared" si="0"/>
        <v>"C:\Program Files (x86)\AstroGrep\AstroGrep.exe" /spath="%USERPROFILE%\AppData\Local\Temp\OnboardLogs" /stypes="*4044*201608221*" /stext=" 18:.+((SYSTEM_STATE.+slice.+state.+changed )|(ment ac)|(system.+state.+changed )|(\|lc)|(penalty)|(\[timeout)|(PRM\|1\|D)|(kpr)|(kdp))" /e /r /s</v>
      </c>
      <c r="S25" s="9" t="str">
        <f t="shared" si="1"/>
        <v>4044</v>
      </c>
      <c r="T25" s="39">
        <f t="shared" si="2"/>
        <v>42604.769270833334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42604.405925925923</v>
      </c>
      <c r="B26" s="34" t="s">
        <v>179</v>
      </c>
      <c r="C26" s="34" t="s">
        <v>341</v>
      </c>
      <c r="D26" s="34" t="s">
        <v>112</v>
      </c>
      <c r="E26" s="34" t="s">
        <v>56</v>
      </c>
      <c r="F26" s="50">
        <v>350</v>
      </c>
      <c r="G26" s="50">
        <v>407</v>
      </c>
      <c r="H26" s="50">
        <v>225790</v>
      </c>
      <c r="I26" s="34" t="s">
        <v>57</v>
      </c>
      <c r="J26" s="50">
        <v>228668</v>
      </c>
      <c r="K26" s="34" t="s">
        <v>53</v>
      </c>
      <c r="L26" s="96" t="str">
        <f>VLOOKUP(C26,'Trips&amp;Operators'!$C$1:$E$9999,3,0)</f>
        <v>KILLION</v>
      </c>
      <c r="M26" s="139" t="s">
        <v>87</v>
      </c>
      <c r="N26" s="10"/>
      <c r="O26" s="34"/>
      <c r="P26" s="113" t="str">
        <f>VLOOKUP(C26,'Train Runs'!$A$13:$AE$10006,31,0)</f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Q26" s="117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https://search-rtdc-monitor-bjffxe2xuh6vdkpspy63sjmuny.us-east-1.es.amazonaws.com/_plugin/kibana/#/discover/Steve-Slow-Train-Analysis-(2080s-and-2083s)?_g=(refreshInterval:(display:Off,section:0,value:0),time:(from:'2016-08-22 08:31:04-0600',mode:absolute,to:'2016-08-22 11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6" s="120" t="str">
        <f t="shared" si="0"/>
        <v>"C:\Program Files (x86)\AstroGrep\AstroGrep.exe" /spath="%USERPROFILE%\AppData\Local\Temp\OnboardLogs" /stypes="*4008*201608221*" /stext=" 15:.+((SYSTEM_STATE.+slice.+state.+changed )|(ment ac)|(system.+state.+changed )|(\|lc)|(penalty)|(\[timeout)|(PRM\|1\|D)|(kpr)|(kdp))" /e /r /s</v>
      </c>
      <c r="S26" s="9" t="str">
        <f t="shared" si="1"/>
        <v>4008</v>
      </c>
      <c r="T26" s="39">
        <f t="shared" si="2"/>
        <v>42604.655925925923</v>
      </c>
      <c r="U26" s="53" t="str">
        <f t="shared" si="3"/>
        <v>EC</v>
      </c>
      <c r="V26" s="53" t="str">
        <f t="shared" si="4"/>
        <v>KEEP</v>
      </c>
      <c r="W26" s="24"/>
    </row>
    <row r="27" spans="1:24" x14ac:dyDescent="0.25">
      <c r="A27" s="39">
        <v>42604.353379629632</v>
      </c>
      <c r="B27" s="34" t="s">
        <v>147</v>
      </c>
      <c r="C27" s="34" t="s">
        <v>335</v>
      </c>
      <c r="D27" s="34" t="s">
        <v>112</v>
      </c>
      <c r="E27" s="34" t="s">
        <v>56</v>
      </c>
      <c r="F27" s="50">
        <v>350</v>
      </c>
      <c r="G27" s="50">
        <v>400</v>
      </c>
      <c r="H27" s="50">
        <v>224546</v>
      </c>
      <c r="I27" s="34" t="s">
        <v>57</v>
      </c>
      <c r="J27" s="50">
        <v>232107</v>
      </c>
      <c r="K27" s="34" t="s">
        <v>53</v>
      </c>
      <c r="L27" s="96" t="str">
        <f>VLOOKUP(C27,'Trips&amp;Operators'!$C$1:$E$9999,3,0)</f>
        <v>ACKERMAN</v>
      </c>
      <c r="M27" s="139" t="s">
        <v>87</v>
      </c>
      <c r="N27" s="10"/>
      <c r="O27" s="34"/>
      <c r="P27" s="113" t="str">
        <f>VLOOKUP(C27,'Train Runs'!$A$13:$AE$10006,31,0)</f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Q27" s="117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https://search-rtdc-monitor-bjffxe2xuh6vdkpspy63sjmuny.us-east-1.es.amazonaws.com/_plugin/kibana/#/discover/Steve-Slow-Train-Analysis-(2080s-and-2083s)?_g=(refreshInterval:(display:Off,section:0,value:0),time:(from:'2016-08-22 07:18:24-0600',mode:absolute,to:'2016-08-22 10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7" s="120" t="str">
        <f t="shared" si="0"/>
        <v>"C:\Program Files (x86)\AstroGrep\AstroGrep.exe" /spath="%USERPROFILE%\AppData\Local\Temp\OnboardLogs" /stypes="*4037*201608221*" /stext=" 14:.+((SYSTEM_STATE.+slice.+state.+changed )|(ment ac)|(system.+state.+changed )|(\|lc)|(penalty)|(\[timeout)|(PRM\|1\|D)|(kpr)|(kdp))" /e /r /s</v>
      </c>
      <c r="S27" s="9" t="str">
        <f t="shared" si="1"/>
        <v>4037</v>
      </c>
      <c r="T27" s="39">
        <f t="shared" si="2"/>
        <v>42604.603379629632</v>
      </c>
      <c r="U27" s="53" t="str">
        <f t="shared" si="3"/>
        <v>EC</v>
      </c>
      <c r="V27" s="53" t="str">
        <f t="shared" si="4"/>
        <v>KEEP</v>
      </c>
      <c r="W27" s="24"/>
      <c r="X27" s="24"/>
    </row>
    <row r="28" spans="1:24" x14ac:dyDescent="0.25">
      <c r="A28" s="39">
        <v>42604.330694444441</v>
      </c>
      <c r="B28" s="34" t="s">
        <v>193</v>
      </c>
      <c r="C28" s="34" t="s">
        <v>334</v>
      </c>
      <c r="D28" s="34" t="s">
        <v>49</v>
      </c>
      <c r="E28" s="34" t="s">
        <v>54</v>
      </c>
      <c r="F28" s="50">
        <v>0</v>
      </c>
      <c r="G28" s="50">
        <v>582</v>
      </c>
      <c r="H28" s="50">
        <v>131312</v>
      </c>
      <c r="I28" s="34" t="s">
        <v>55</v>
      </c>
      <c r="J28" s="50">
        <v>127587</v>
      </c>
      <c r="K28" s="34" t="s">
        <v>53</v>
      </c>
      <c r="L28" s="96" t="str">
        <f>VLOOKUP(C28,'Trips&amp;Operators'!$C$1:$E$9999,3,0)</f>
        <v>STARKS</v>
      </c>
      <c r="M28" s="139" t="s">
        <v>87</v>
      </c>
      <c r="N28" s="10" t="s">
        <v>323</v>
      </c>
      <c r="O28" s="34"/>
      <c r="P28" s="113" t="str">
        <f>VLOOKUP(C28,'Train Runs'!$A$13:$AE$10006,31,0)</f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Q28" s="117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https://search-rtdc-monitor-bjffxe2xuh6vdkpspy63sjmuny.us-east-1.es.amazonaws.com/_plugin/kibana/#/discover/Steve-Slow-Train-Analysis-(2080s-and-2083s)?_g=(refreshInterval:(display:Off,section:0,value:0),time:(from:'2016-08-22 06:40:42-0600',mode:absolute,to:'2016-08-22 09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8" s="120" t="str">
        <f t="shared" si="0"/>
        <v>"C:\Program Files (x86)\AstroGrep\AstroGrep.exe" /spath="%USERPROFILE%\AppData\Local\Temp\OnboardLogs" /stypes="*4010*201608221*" /stext=" 13:.+((SYSTEM_STATE.+slice.+state.+changed )|(ment ac)|(system.+state.+changed )|(\|lc)|(penalty)|(\[timeout)|(PRM\|1\|D)|(kpr)|(kdp))" /e /r /s</v>
      </c>
      <c r="S28" s="9" t="str">
        <f t="shared" si="1"/>
        <v>4010</v>
      </c>
      <c r="T28" s="39">
        <f t="shared" si="2"/>
        <v>42604.580694444441</v>
      </c>
      <c r="U28" s="53" t="str">
        <f t="shared" si="3"/>
        <v>EC</v>
      </c>
      <c r="V28" s="53" t="str">
        <f t="shared" si="4"/>
        <v>KEEP</v>
      </c>
      <c r="W28" s="24"/>
    </row>
    <row r="29" spans="1:24" ht="15" customHeight="1" x14ac:dyDescent="0.25">
      <c r="A29" s="39">
        <v>42604.391898148147</v>
      </c>
      <c r="B29" s="34" t="s">
        <v>189</v>
      </c>
      <c r="C29" s="34" t="s">
        <v>339</v>
      </c>
      <c r="D29" s="34" t="s">
        <v>49</v>
      </c>
      <c r="E29" s="34" t="s">
        <v>54</v>
      </c>
      <c r="F29" s="50">
        <v>0</v>
      </c>
      <c r="G29" s="50">
        <v>370</v>
      </c>
      <c r="H29" s="50">
        <v>129037</v>
      </c>
      <c r="I29" s="34" t="s">
        <v>55</v>
      </c>
      <c r="J29" s="50">
        <v>127587</v>
      </c>
      <c r="K29" s="34" t="s">
        <v>53</v>
      </c>
      <c r="L29" s="96" t="str">
        <f>VLOOKUP(C29,'Trips&amp;Operators'!$C$1:$E$9999,3,0)</f>
        <v>YORK</v>
      </c>
      <c r="M29" s="139" t="s">
        <v>87</v>
      </c>
      <c r="N29" s="10" t="s">
        <v>323</v>
      </c>
      <c r="O29" s="34"/>
      <c r="P29" s="113" t="str">
        <f>VLOOKUP(C29,'Train Runs'!$A$13:$AE$10006,31,0)</f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Q29" s="117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https://search-rtdc-monitor-bjffxe2xuh6vdkpspy63sjmuny.us-east-1.es.amazonaws.com/_plugin/kibana/#/discover/Steve-Slow-Train-Analysis-(2080s-and-2083s)?_g=(refreshInterval:(display:Off,section:0,value:0),time:(from:'2016-08-22 07:53:48-0600',mode:absolute,to:'2016-08-22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9" s="120" t="str">
        <f t="shared" si="0"/>
        <v>"C:\Program Files (x86)\AstroGrep\AstroGrep.exe" /spath="%USERPROFILE%\AppData\Local\Temp\OnboardLogs" /stypes="*4043*201608221*" /stext=" 15:.+((SYSTEM_STATE.+slice.+state.+changed )|(ment ac)|(system.+state.+changed )|(\|lc)|(penalty)|(\[timeout)|(PRM\|1\|D)|(kpr)|(kdp))" /e /r /s</v>
      </c>
      <c r="S29" s="9" t="str">
        <f t="shared" si="1"/>
        <v>4043</v>
      </c>
      <c r="T29" s="39">
        <f t="shared" si="2"/>
        <v>42604.641898148147</v>
      </c>
      <c r="U29" s="53" t="str">
        <f t="shared" si="3"/>
        <v>EC</v>
      </c>
      <c r="V29" s="53" t="str">
        <f t="shared" si="4"/>
        <v>KEEP</v>
      </c>
    </row>
    <row r="30" spans="1:24" x14ac:dyDescent="0.25">
      <c r="A30" s="39">
        <v>42604.756585648145</v>
      </c>
      <c r="B30" s="34" t="s">
        <v>189</v>
      </c>
      <c r="C30" s="34" t="s">
        <v>362</v>
      </c>
      <c r="D30" s="34" t="s">
        <v>49</v>
      </c>
      <c r="E30" s="34" t="s">
        <v>54</v>
      </c>
      <c r="F30" s="50">
        <v>0</v>
      </c>
      <c r="G30" s="50">
        <v>381</v>
      </c>
      <c r="H30" s="50">
        <v>129220</v>
      </c>
      <c r="I30" s="34" t="s">
        <v>55</v>
      </c>
      <c r="J30" s="50">
        <v>127587</v>
      </c>
      <c r="K30" s="34" t="s">
        <v>53</v>
      </c>
      <c r="L30" s="96" t="str">
        <f>VLOOKUP(C30,'Trips&amp;Operators'!$C$1:$E$9999,3,0)</f>
        <v>BEAM</v>
      </c>
      <c r="M30" s="139" t="s">
        <v>87</v>
      </c>
      <c r="N30" s="10" t="s">
        <v>323</v>
      </c>
      <c r="O30" s="34"/>
      <c r="P30" s="113" t="str">
        <f>VLOOKUP(C30,'Train Runs'!$A$13:$AE$10006,31,0)</f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Q30" s="117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https://search-rtdc-monitor-bjffxe2xuh6vdkpspy63sjmuny.us-east-1.es.amazonaws.com/_plugin/kibana/#/discover/Steve-Slow-Train-Analysis-(2080s-and-2083s)?_g=(refreshInterval:(display:Off,section:0,value:0),time:(from:'2016-08-22 16:47:21-0600',mode:absolute,to:'2016-08-22 19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0" s="120" t="str">
        <f t="shared" si="0"/>
        <v>"C:\Program Files (x86)\AstroGrep\AstroGrep.exe" /spath="%USERPROFILE%\AppData\Local\Temp\OnboardLogs" /stypes="*4043*201608230*" /stext=" 00:.+((SYSTEM_STATE.+slice.+state.+changed )|(ment ac)|(system.+state.+changed )|(\|lc)|(penalty)|(\[timeout)|(PRM\|1\|D)|(kpr)|(kdp))" /e /r /s</v>
      </c>
      <c r="S30" s="9" t="str">
        <f t="shared" si="1"/>
        <v>4043</v>
      </c>
      <c r="T30" s="39">
        <f t="shared" si="2"/>
        <v>42605.006585648145</v>
      </c>
      <c r="U30" s="53" t="str">
        <f t="shared" si="3"/>
        <v>EC</v>
      </c>
      <c r="V30" s="53" t="str">
        <f t="shared" si="4"/>
        <v>KEEP</v>
      </c>
    </row>
    <row r="31" spans="1:24" x14ac:dyDescent="0.25">
      <c r="A31" s="39">
        <v>42604.500127314815</v>
      </c>
      <c r="B31" s="34" t="s">
        <v>91</v>
      </c>
      <c r="C31" s="34" t="s">
        <v>346</v>
      </c>
      <c r="D31" s="34" t="s">
        <v>49</v>
      </c>
      <c r="E31" s="34" t="s">
        <v>54</v>
      </c>
      <c r="F31" s="50">
        <v>0</v>
      </c>
      <c r="G31" s="50">
        <v>129</v>
      </c>
      <c r="H31" s="50">
        <v>150221</v>
      </c>
      <c r="I31" s="34" t="s">
        <v>55</v>
      </c>
      <c r="J31" s="50">
        <v>149700</v>
      </c>
      <c r="K31" s="34" t="s">
        <v>53</v>
      </c>
      <c r="L31" s="96" t="str">
        <f>VLOOKUP(C31,'Trips&amp;Operators'!$C$1:$E$9999,3,0)</f>
        <v>MALAVE</v>
      </c>
      <c r="M31" s="139" t="s">
        <v>86</v>
      </c>
      <c r="N31" s="10" t="s">
        <v>667</v>
      </c>
      <c r="O31" s="34"/>
      <c r="P31" s="113" t="str">
        <f>VLOOKUP(C31,'Train Runs'!$A$13:$AE$10006,31,0)</f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Q31" s="117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https://search-rtdc-monitor-bjffxe2xuh6vdkpspy63sjmuny.us-east-1.es.amazonaws.com/_plugin/kibana/#/discover/Steve-Slow-Train-Analysis-(2080s-and-2083s)?_g=(refreshInterval:(display:Off,section:0,value:0),time:(from:'2016-08-22 10:39:19-0600',mode:absolute,to:'2016-08-22 13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1" s="120" t="str">
        <f t="shared" si="0"/>
        <v>"C:\Program Files (x86)\AstroGrep\AstroGrep.exe" /spath="%USERPROFILE%\AppData\Local\Temp\OnboardLogs" /stypes="*4013*201608221*" /stext=" 18:.+((SYSTEM_STATE.+slice.+state.+changed )|(ment ac)|(system.+state.+changed )|(\|lc)|(penalty)|(\[timeout)|(PRM\|1\|D)|(kpr)|(kdp))" /e /r /s</v>
      </c>
      <c r="S31" s="9" t="str">
        <f t="shared" si="1"/>
        <v>4013</v>
      </c>
      <c r="T31" s="39">
        <f t="shared" si="2"/>
        <v>42604.750127314815</v>
      </c>
      <c r="U31" s="53" t="str">
        <f t="shared" si="3"/>
        <v>EC</v>
      </c>
      <c r="V31" s="53" t="str">
        <f t="shared" si="4"/>
        <v>KEEP</v>
      </c>
    </row>
    <row r="32" spans="1:24" x14ac:dyDescent="0.25">
      <c r="A32" s="39">
        <v>42604.636828703704</v>
      </c>
      <c r="B32" s="34" t="s">
        <v>91</v>
      </c>
      <c r="C32" s="34" t="s">
        <v>355</v>
      </c>
      <c r="D32" s="34" t="s">
        <v>49</v>
      </c>
      <c r="E32" s="34" t="s">
        <v>54</v>
      </c>
      <c r="F32" s="50">
        <v>0</v>
      </c>
      <c r="G32" s="50">
        <v>581</v>
      </c>
      <c r="H32" s="50">
        <v>195843</v>
      </c>
      <c r="I32" s="34" t="s">
        <v>55</v>
      </c>
      <c r="J32" s="50">
        <v>191723</v>
      </c>
      <c r="K32" s="34" t="s">
        <v>53</v>
      </c>
      <c r="L32" s="96" t="str">
        <f>VLOOKUP(C32,'Trips&amp;Operators'!$C$1:$E$9999,3,0)</f>
        <v>STRICKLAND</v>
      </c>
      <c r="M32" s="139" t="s">
        <v>87</v>
      </c>
      <c r="N32" s="10" t="s">
        <v>258</v>
      </c>
      <c r="O32" s="34"/>
      <c r="P32" s="113" t="str">
        <f>VLOOKUP(C32,'Train Runs'!$A$13:$AE$10006,31,0)</f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Q32" s="117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https://search-rtdc-monitor-bjffxe2xuh6vdkpspy63sjmuny.us-east-1.es.amazonaws.com/_plugin/kibana/#/discover/Steve-Slow-Train-Analysis-(2080s-and-2083s)?_g=(refreshInterval:(display:Off,section:0,value:0),time:(from:'2016-08-22 14:05:18-0600',mode:absolute,to:'2016-08-22 16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2" s="120" t="str">
        <f t="shared" si="0"/>
        <v>"C:\Program Files (x86)\AstroGrep\AstroGrep.exe" /spath="%USERPROFILE%\AppData\Local\Temp\OnboardLogs" /stypes="*4013*201608222*" /stext=" 21:.+((SYSTEM_STATE.+slice.+state.+changed )|(ment ac)|(system.+state.+changed )|(\|lc)|(penalty)|(\[timeout)|(PRM\|1\|D)|(kpr)|(kdp))" /e /r /s</v>
      </c>
      <c r="S32" s="9" t="str">
        <f t="shared" si="1"/>
        <v>4013</v>
      </c>
      <c r="T32" s="39">
        <f t="shared" si="2"/>
        <v>42604.886828703704</v>
      </c>
      <c r="U32" s="53" t="str">
        <f t="shared" si="3"/>
        <v>EC</v>
      </c>
      <c r="V32" s="53" t="str">
        <f t="shared" si="4"/>
        <v>KEEP</v>
      </c>
    </row>
    <row r="33" spans="1:23" x14ac:dyDescent="0.25">
      <c r="A33" s="39">
        <v>42604.792349537034</v>
      </c>
      <c r="B33" s="34" t="s">
        <v>147</v>
      </c>
      <c r="C33" s="34" t="s">
        <v>364</v>
      </c>
      <c r="D33" s="34" t="s">
        <v>49</v>
      </c>
      <c r="E33" s="34" t="s">
        <v>54</v>
      </c>
      <c r="F33" s="50">
        <v>0</v>
      </c>
      <c r="G33" s="50">
        <v>599</v>
      </c>
      <c r="H33" s="50">
        <v>196018</v>
      </c>
      <c r="I33" s="34" t="s">
        <v>55</v>
      </c>
      <c r="J33" s="50">
        <v>191723</v>
      </c>
      <c r="K33" s="34" t="s">
        <v>53</v>
      </c>
      <c r="L33" s="96" t="str">
        <f>VLOOKUP(C33,'Trips&amp;Operators'!$C$1:$E$9999,3,0)</f>
        <v>STRICKLAND</v>
      </c>
      <c r="M33" s="139" t="s">
        <v>87</v>
      </c>
      <c r="N33" s="10" t="s">
        <v>258</v>
      </c>
      <c r="O33" s="34"/>
      <c r="P33" s="113" t="str">
        <f>VLOOKUP(C33,'Train Runs'!$A$13:$AE$10006,31,0)</f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Q33" s="117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https://search-rtdc-monitor-bjffxe2xuh6vdkpspy63sjmuny.us-east-1.es.amazonaws.com/_plugin/kibana/#/discover/Steve-Slow-Train-Analysis-(2080s-and-2083s)?_g=(refreshInterval:(display:Off,section:0,value:0),time:(from:'2016-08-22 17:50:16-0600',mode:absolute,to:'2016-08-22 20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3" s="120" t="str">
        <f t="shared" si="0"/>
        <v>"C:\Program Files (x86)\AstroGrep\AstroGrep.exe" /spath="%USERPROFILE%\AppData\Local\Temp\OnboardLogs" /stypes="*4037*201608230*" /stext=" 01:.+((SYSTEM_STATE.+slice.+state.+changed )|(ment ac)|(system.+state.+changed )|(\|lc)|(penalty)|(\[timeout)|(PRM\|1\|D)|(kpr)|(kdp))" /e /r /s</v>
      </c>
      <c r="S33" s="9" t="str">
        <f t="shared" si="1"/>
        <v>4037</v>
      </c>
      <c r="T33" s="39">
        <f t="shared" si="2"/>
        <v>42605.042349537034</v>
      </c>
      <c r="U33" s="53" t="str">
        <f t="shared" si="3"/>
        <v>EC</v>
      </c>
      <c r="V33" s="53" t="str">
        <f t="shared" si="4"/>
        <v>KEEP</v>
      </c>
    </row>
    <row r="34" spans="1:23" x14ac:dyDescent="0.25">
      <c r="A34" s="39">
        <v>42604.876620370371</v>
      </c>
      <c r="B34" s="34" t="s">
        <v>251</v>
      </c>
      <c r="C34" s="34" t="s">
        <v>370</v>
      </c>
      <c r="D34" s="34" t="s">
        <v>49</v>
      </c>
      <c r="E34" s="34" t="s">
        <v>54</v>
      </c>
      <c r="F34" s="50">
        <v>0</v>
      </c>
      <c r="G34" s="50">
        <v>453</v>
      </c>
      <c r="H34" s="50">
        <v>194124</v>
      </c>
      <c r="I34" s="34" t="s">
        <v>55</v>
      </c>
      <c r="J34" s="50">
        <v>191723</v>
      </c>
      <c r="K34" s="34" t="s">
        <v>53</v>
      </c>
      <c r="L34" s="96" t="str">
        <f>VLOOKUP(C34,'Trips&amp;Operators'!$C$1:$E$9999,3,0)</f>
        <v>CHANDLER</v>
      </c>
      <c r="M34" s="139" t="s">
        <v>87</v>
      </c>
      <c r="N34" s="10" t="s">
        <v>258</v>
      </c>
      <c r="O34" s="34"/>
      <c r="P34" s="113" t="str">
        <f>VLOOKUP(C34,'Train Runs'!$A$13:$AE$10006,31,0)</f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Q34" s="117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https://search-rtdc-monitor-bjffxe2xuh6vdkpspy63sjmuny.us-east-1.es.amazonaws.com/_plugin/kibana/#/discover/Steve-Slow-Train-Analysis-(2080s-and-2083s)?_g=(refreshInterval:(display:Off,section:0,value:0),time:(from:'2016-08-22 19:55:45-0600',mode:absolute,to:'2016-08-22 22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4" s="120" t="str">
        <f t="shared" si="0"/>
        <v>"C:\Program Files (x86)\AstroGrep\AstroGrep.exe" /spath="%USERPROFILE%\AppData\Local\Temp\OnboardLogs" /stypes="*4017*201608230*" /stext=" 03:.+((SYSTEM_STATE.+slice.+state.+changed )|(ment ac)|(system.+state.+changed )|(\|lc)|(penalty)|(\[timeout)|(PRM\|1\|D)|(kpr)|(kdp))" /e /r /s</v>
      </c>
      <c r="S34" s="9" t="str">
        <f t="shared" si="1"/>
        <v>4017</v>
      </c>
      <c r="T34" s="39">
        <f t="shared" si="2"/>
        <v>42605.126620370371</v>
      </c>
      <c r="U34" s="53" t="str">
        <f t="shared" si="3"/>
        <v>EC</v>
      </c>
      <c r="V34" s="53" t="str">
        <f t="shared" si="4"/>
        <v>KEEP</v>
      </c>
    </row>
    <row r="35" spans="1:23" x14ac:dyDescent="0.25">
      <c r="A35" s="39">
        <v>42604.203043981484</v>
      </c>
      <c r="B35" s="34" t="s">
        <v>179</v>
      </c>
      <c r="C35" s="34" t="s">
        <v>324</v>
      </c>
      <c r="D35" s="34" t="s">
        <v>49</v>
      </c>
      <c r="E35" s="34" t="s">
        <v>50</v>
      </c>
      <c r="F35" s="50">
        <v>0</v>
      </c>
      <c r="G35" s="50">
        <v>57</v>
      </c>
      <c r="H35" s="50">
        <v>176</v>
      </c>
      <c r="I35" s="34" t="s">
        <v>51</v>
      </c>
      <c r="J35" s="50">
        <v>1</v>
      </c>
      <c r="K35" s="34" t="s">
        <v>53</v>
      </c>
      <c r="L35" s="96" t="str">
        <f>VLOOKUP(C35,'Trips&amp;Operators'!$C$1:$E$9999,3,0)</f>
        <v>KILLION</v>
      </c>
      <c r="M35" s="139" t="s">
        <v>87</v>
      </c>
      <c r="N35" s="10"/>
      <c r="O35" s="34"/>
      <c r="P35" s="113" t="str">
        <f>VLOOKUP(C35,'Train Runs'!$A$13:$AE$10006,31,0)</f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Q35" s="117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https://search-rtdc-monitor-bjffxe2xuh6vdkpspy63sjmuny.us-east-1.es.amazonaws.com/_plugin/kibana/#/discover/Steve-Slow-Train-Analysis-(2080s-and-2083s)?_g=(refreshInterval:(display:Off,section:0,value:0),time:(from:'2016-08-22 03:04:11-0600',mode:absolute,to:'2016-08-22 05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5" s="120" t="str">
        <f t="shared" si="0"/>
        <v>"C:\Program Files (x86)\AstroGrep\AstroGrep.exe" /spath="%USERPROFILE%\AppData\Local\Temp\OnboardLogs" /stypes="*4008*201608221*" /stext=" 10:.+((SYSTEM_STATE.+slice.+state.+changed )|(ment ac)|(system.+state.+changed )|(\|lc)|(penalty)|(\[timeout)|(PRM\|1\|D)|(kpr)|(kdp))" /e /r /s</v>
      </c>
      <c r="S35" s="9" t="str">
        <f t="shared" si="1"/>
        <v>4008</v>
      </c>
      <c r="T35" s="39">
        <f t="shared" si="2"/>
        <v>42604.453043981484</v>
      </c>
      <c r="U35" s="53" t="str">
        <f t="shared" si="3"/>
        <v>EC</v>
      </c>
      <c r="V35" s="53" t="str">
        <f t="shared" si="4"/>
        <v>KEEP</v>
      </c>
    </row>
    <row r="36" spans="1:23" x14ac:dyDescent="0.25">
      <c r="A36" s="39">
        <v>42604.284907407404</v>
      </c>
      <c r="B36" s="34" t="s">
        <v>179</v>
      </c>
      <c r="C36" s="34" t="s">
        <v>329</v>
      </c>
      <c r="D36" s="34" t="s">
        <v>49</v>
      </c>
      <c r="E36" s="34" t="s">
        <v>50</v>
      </c>
      <c r="F36" s="50">
        <v>0</v>
      </c>
      <c r="G36" s="50">
        <v>57</v>
      </c>
      <c r="H36" s="50">
        <v>191</v>
      </c>
      <c r="I36" s="34" t="s">
        <v>51</v>
      </c>
      <c r="J36" s="50">
        <v>1</v>
      </c>
      <c r="K36" s="34" t="s">
        <v>53</v>
      </c>
      <c r="L36" s="96" t="str">
        <f>VLOOKUP(C36,'Trips&amp;Operators'!$C$1:$E$9999,3,0)</f>
        <v>KILLION</v>
      </c>
      <c r="M36" s="139" t="s">
        <v>87</v>
      </c>
      <c r="N36" s="10"/>
      <c r="O36" s="34"/>
      <c r="P36" s="113" t="str">
        <f>VLOOKUP(C36,'Train Runs'!$A$13:$AE$10006,31,0)</f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Q36" s="117" t="str">
        <f>VLOOKUP(C36,'Train Runs'!$A$13:$AE$10006,22,0)</f>
        <v>https://search-rtdc-monitor-bjffxe2xuh6vdkpspy63sjmuny.us-east-1.es.amazonaws.com/_plugin/kibana/#/discover/Steve-Slow-Train-Analysis-(2080s-and-2083s)?_g=(refreshInterval:(display:Off,section:0,value:0),time:(from:'2016-08-22 04:59:07-0600',mode:absolute,to:'2016-08-22 07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6" s="120" t="str">
        <f t="shared" si="0"/>
        <v>"C:\Program Files (x86)\AstroGrep\AstroGrep.exe" /spath="%USERPROFILE%\AppData\Local\Temp\OnboardLogs" /stypes="*4008*201608221*" /stext=" 12:.+((SYSTEM_STATE.+slice.+state.+changed )|(ment ac)|(system.+state.+changed )|(\|lc)|(penalty)|(\[timeout)|(PRM\|1\|D)|(kpr)|(kdp))" /e /r /s</v>
      </c>
      <c r="S36" s="9" t="str">
        <f t="shared" si="1"/>
        <v>4008</v>
      </c>
      <c r="T36" s="39">
        <f t="shared" si="2"/>
        <v>42604.534907407404</v>
      </c>
      <c r="U36" s="53" t="str">
        <f t="shared" si="3"/>
        <v>EC</v>
      </c>
      <c r="V36" s="53" t="str">
        <f t="shared" si="4"/>
        <v>KEEP</v>
      </c>
    </row>
    <row r="37" spans="1:23" x14ac:dyDescent="0.25">
      <c r="A37" s="39">
        <v>42604.317442129628</v>
      </c>
      <c r="B37" s="34" t="s">
        <v>251</v>
      </c>
      <c r="C37" s="34" t="s">
        <v>331</v>
      </c>
      <c r="D37" s="34" t="s">
        <v>49</v>
      </c>
      <c r="E37" s="34" t="s">
        <v>50</v>
      </c>
      <c r="F37" s="50">
        <v>0</v>
      </c>
      <c r="G37" s="50">
        <v>76</v>
      </c>
      <c r="H37" s="50">
        <v>198</v>
      </c>
      <c r="I37" s="34" t="s">
        <v>51</v>
      </c>
      <c r="J37" s="50">
        <v>1</v>
      </c>
      <c r="K37" s="34" t="s">
        <v>53</v>
      </c>
      <c r="L37" s="96" t="str">
        <f>VLOOKUP(C37,'Trips&amp;Operators'!$C$1:$E$9999,3,0)</f>
        <v>CLARK</v>
      </c>
      <c r="M37" s="139" t="s">
        <v>87</v>
      </c>
      <c r="N37" s="10"/>
      <c r="O37" s="34"/>
      <c r="P37" s="113" t="str">
        <f>VLOOKUP(C37,'Train Runs'!$A$13:$AE$10006,31,0)</f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Q37" s="117" t="str">
        <f>VLOOKUP(C37,'Train Runs'!$A$13:$AE$10006,22,0)</f>
        <v>https://search-rtdc-monitor-bjffxe2xuh6vdkpspy63sjmuny.us-east-1.es.amazonaws.com/_plugin/kibana/#/discover/Steve-Slow-Train-Analysis-(2080s-and-2083s)?_g=(refreshInterval:(display:Off,section:0,value:0),time:(from:'2016-08-22 05:44:46-0600',mode:absolute,to:'2016-08-22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7" s="120" t="str">
        <f t="shared" si="0"/>
        <v>"C:\Program Files (x86)\AstroGrep\AstroGrep.exe" /spath="%USERPROFILE%\AppData\Local\Temp\OnboardLogs" /stypes="*4017*201608221*" /stext=" 13:.+((SYSTEM_STATE.+slice.+state.+changed )|(ment ac)|(system.+state.+changed )|(\|lc)|(penalty)|(\[timeout)|(PRM\|1\|D)|(kpr)|(kdp))" /e /r /s</v>
      </c>
      <c r="S37" s="9" t="str">
        <f t="shared" si="1"/>
        <v>4017</v>
      </c>
      <c r="T37" s="39">
        <f t="shared" si="2"/>
        <v>42604.567442129628</v>
      </c>
      <c r="U37" s="53" t="str">
        <f t="shared" si="3"/>
        <v>EC</v>
      </c>
      <c r="V37" s="53" t="str">
        <f t="shared" si="4"/>
        <v>KEEP</v>
      </c>
    </row>
    <row r="38" spans="1:23" ht="15" customHeight="1" x14ac:dyDescent="0.25">
      <c r="A38" s="39">
        <v>42604.362002314818</v>
      </c>
      <c r="B38" s="34" t="s">
        <v>179</v>
      </c>
      <c r="C38" s="34" t="s">
        <v>336</v>
      </c>
      <c r="D38" s="34" t="s">
        <v>49</v>
      </c>
      <c r="E38" s="34" t="s">
        <v>50</v>
      </c>
      <c r="F38" s="50">
        <v>0</v>
      </c>
      <c r="G38" s="50">
        <v>110</v>
      </c>
      <c r="H38" s="50">
        <v>446</v>
      </c>
      <c r="I38" s="34" t="s">
        <v>51</v>
      </c>
      <c r="J38" s="50">
        <v>1</v>
      </c>
      <c r="K38" s="34" t="s">
        <v>53</v>
      </c>
      <c r="L38" s="96" t="str">
        <f>VLOOKUP(C38,'Trips&amp;Operators'!$C$1:$E$9999,3,0)</f>
        <v>KILLION</v>
      </c>
      <c r="M38" s="139" t="s">
        <v>87</v>
      </c>
      <c r="N38" s="10"/>
      <c r="O38" s="34"/>
      <c r="P38" s="113" t="str">
        <f>VLOOKUP(C38,'Train Runs'!$A$13:$AE$10006,31,0)</f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Q38" s="117" t="str">
        <f>VLOOKUP(C38,'Train Runs'!$A$13:$AE$10006,22,0)</f>
        <v>https://search-rtdc-monitor-bjffxe2xuh6vdkpspy63sjmuny.us-east-1.es.amazonaws.com/_plugin/kibana/#/discover/Steve-Slow-Train-Analysis-(2080s-and-2083s)?_g=(refreshInterval:(display:Off,section:0,value:0),time:(from:'2016-08-22 06:46:48-0600',mode:absolute,to:'2016-08-22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8" s="120" t="str">
        <f t="shared" si="0"/>
        <v>"C:\Program Files (x86)\AstroGrep\AstroGrep.exe" /spath="%USERPROFILE%\AppData\Local\Temp\OnboardLogs" /stypes="*4008*201608221*" /stext=" 14:.+((SYSTEM_STATE.+slice.+state.+changed )|(ment ac)|(system.+state.+changed )|(\|lc)|(penalty)|(\[timeout)|(PRM\|1\|D)|(kpr)|(kdp))" /e /r /s</v>
      </c>
      <c r="S38" s="9" t="str">
        <f t="shared" si="1"/>
        <v>4008</v>
      </c>
      <c r="T38" s="39">
        <f t="shared" si="2"/>
        <v>42604.612002314818</v>
      </c>
      <c r="U38" s="53" t="str">
        <f t="shared" si="3"/>
        <v>EC</v>
      </c>
      <c r="V38" s="53" t="str">
        <f t="shared" si="4"/>
        <v>KEEP</v>
      </c>
    </row>
    <row r="39" spans="1:23" x14ac:dyDescent="0.25">
      <c r="A39" s="39">
        <v>42604.362453703703</v>
      </c>
      <c r="B39" s="34" t="s">
        <v>179</v>
      </c>
      <c r="C39" s="34" t="s">
        <v>336</v>
      </c>
      <c r="D39" s="34" t="s">
        <v>49</v>
      </c>
      <c r="E39" s="34" t="s">
        <v>50</v>
      </c>
      <c r="F39" s="50">
        <v>0</v>
      </c>
      <c r="G39" s="50">
        <v>54</v>
      </c>
      <c r="H39" s="50">
        <v>240</v>
      </c>
      <c r="I39" s="34" t="s">
        <v>51</v>
      </c>
      <c r="J39" s="50">
        <v>1</v>
      </c>
      <c r="K39" s="34" t="s">
        <v>53</v>
      </c>
      <c r="L39" s="96" t="str">
        <f>VLOOKUP(C39,'Trips&amp;Operators'!$C$1:$E$9999,3,0)</f>
        <v>KILLION</v>
      </c>
      <c r="M39" s="139" t="s">
        <v>87</v>
      </c>
      <c r="N39" s="10"/>
      <c r="O39" s="34"/>
      <c r="P39" s="113" t="str">
        <f>VLOOKUP(C39,'Train Runs'!$A$13:$AE$10006,31,0)</f>
        <v>aws s3 cp s3://rtdc.mdm.uploadarchive/RTDC4008/2016-08-22/ "%USERPROFILE%\AppData\Local\Temp\OnboardLogs"\RTDC4008\2016-08-22 --recursive &amp; "%USERPROFILE%\Documents\GitHub\mrs-test-scripts\Headless Mode &amp; Sideloading\WalkAndUnGZ.bat" "%USERPROFILE%\AppData\Local\Temp\OnboardLogs"\RTDC4008\2016-08-22 &amp; 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</v>
      </c>
      <c r="Q39" s="117" t="str">
        <f>VLOOKUP(C39,'Train Runs'!$A$13:$AE$10006,22,0)</f>
        <v>https://search-rtdc-monitor-bjffxe2xuh6vdkpspy63sjmuny.us-east-1.es.amazonaws.com/_plugin/kibana/#/discover/Steve-Slow-Train-Analysis-(2080s-and-2083s)?_g=(refreshInterval:(display:Off,section:0,value:0),time:(from:'2016-08-22 06:46:48-0600',mode:absolute,to:'2016-08-22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9" s="120" t="str">
        <f t="shared" ref="R39:R63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/stypes="*4008*201608221*" /stext=" 14:.+((SYSTEM_STATE.+slice.+state.+changed )|(ment ac)|(system.+state.+changed )|(\|lc)|(penalty)|(\[timeout)|(PRM\|1\|D)|(kpr)|(kdp))" /e /r /s</v>
      </c>
      <c r="S39" s="9" t="str">
        <f t="shared" ref="S39:S63" si="6">MID(B39,13,4)</f>
        <v>4008</v>
      </c>
      <c r="T39" s="39">
        <f t="shared" ref="T39:T63" si="7">A39+6/24</f>
        <v>42604.612453703703</v>
      </c>
      <c r="U39" s="53" t="str">
        <f t="shared" ref="U39:U63" si="8">IF(VALUE(LEFT(IF(LEN(C39)=6,"0"&amp;C39,C39),2))&lt;=2,"EC",IF(OR(VALUE(LEFT(IF(LEN(C39)=6,"0"&amp;C39,C39),2))=8,VALUE(LEFT(IF(LEN(C39)=6,"0"&amp;C39,C39),2))=18),"NW","Other"))</f>
        <v>EC</v>
      </c>
      <c r="V39" s="53" t="str">
        <f t="shared" ref="V39:V63" si="9">IF(AND(E39="TRACK WARRANT AUTHORITY",G39&lt;10),"OMIT","KEEP")</f>
        <v>KEEP</v>
      </c>
    </row>
    <row r="40" spans="1:23" ht="15" customHeight="1" x14ac:dyDescent="0.25">
      <c r="A40" s="39">
        <v>42604.588831018518</v>
      </c>
      <c r="B40" s="34" t="s">
        <v>91</v>
      </c>
      <c r="C40" s="34" t="s">
        <v>352</v>
      </c>
      <c r="D40" s="34" t="s">
        <v>49</v>
      </c>
      <c r="E40" s="34" t="s">
        <v>50</v>
      </c>
      <c r="F40" s="50">
        <v>0</v>
      </c>
      <c r="G40" s="50">
        <v>75</v>
      </c>
      <c r="H40" s="50">
        <v>287</v>
      </c>
      <c r="I40" s="34" t="s">
        <v>51</v>
      </c>
      <c r="J40" s="50">
        <v>1</v>
      </c>
      <c r="K40" s="34" t="s">
        <v>53</v>
      </c>
      <c r="L40" s="96" t="str">
        <f>VLOOKUP(C40,'Trips&amp;Operators'!$C$1:$E$9999,3,0)</f>
        <v>STRICKLAND</v>
      </c>
      <c r="M40" s="139" t="s">
        <v>87</v>
      </c>
      <c r="N40" s="10"/>
      <c r="O40" s="34"/>
      <c r="P40" s="113" t="str">
        <f>VLOOKUP(C40,'Train Runs'!$A$13:$AE$10006,31,0)</f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Q40" s="117" t="str">
        <f>VLOOKUP(C40,'Train Runs'!$A$13:$AE$10006,22,0)</f>
        <v>https://search-rtdc-monitor-bjffxe2xuh6vdkpspy63sjmuny.us-east-1.es.amazonaws.com/_plugin/kibana/#/discover/Steve-Slow-Train-Analysis-(2080s-and-2083s)?_g=(refreshInterval:(display:Off,section:0,value:0),time:(from:'2016-08-22 12:19:13-0600',mode:absolute,to:'2016-08-22 15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40" s="120" t="str">
        <f t="shared" si="5"/>
        <v>"C:\Program Files (x86)\AstroGrep\AstroGrep.exe" /spath="%USERPROFILE%\AppData\Local\Temp\OnboardLogs" /stypes="*4013*201608222*" /stext=" 20:.+((SYSTEM_STATE.+slice.+state.+changed )|(ment ac)|(system.+state.+changed )|(\|lc)|(penalty)|(\[timeout)|(PRM\|1\|D)|(kpr)|(kdp))" /e /r /s</v>
      </c>
      <c r="S40" s="9" t="str">
        <f t="shared" si="6"/>
        <v>4013</v>
      </c>
      <c r="T40" s="39">
        <f t="shared" si="7"/>
        <v>42604.838831018518</v>
      </c>
      <c r="U40" s="53" t="str">
        <f t="shared" si="8"/>
        <v>EC</v>
      </c>
      <c r="V40" s="53" t="str">
        <f t="shared" si="9"/>
        <v>KEEP</v>
      </c>
    </row>
    <row r="41" spans="1:23" x14ac:dyDescent="0.25">
      <c r="A41" s="39">
        <v>42604.589236111111</v>
      </c>
      <c r="B41" s="34" t="s">
        <v>91</v>
      </c>
      <c r="C41" s="34" t="s">
        <v>352</v>
      </c>
      <c r="D41" s="34" t="s">
        <v>49</v>
      </c>
      <c r="E41" s="34" t="s">
        <v>50</v>
      </c>
      <c r="F41" s="50">
        <v>0</v>
      </c>
      <c r="G41" s="50">
        <v>36</v>
      </c>
      <c r="H41" s="50">
        <v>154</v>
      </c>
      <c r="I41" s="34" t="s">
        <v>51</v>
      </c>
      <c r="J41" s="50">
        <v>1</v>
      </c>
      <c r="K41" s="34" t="s">
        <v>53</v>
      </c>
      <c r="L41" s="96" t="str">
        <f>VLOOKUP(C41,'Trips&amp;Operators'!$C$1:$E$9999,3,0)</f>
        <v>STRICKLAND</v>
      </c>
      <c r="M41" s="139" t="s">
        <v>87</v>
      </c>
      <c r="N41" s="10"/>
      <c r="O41" s="34"/>
      <c r="P41" s="113" t="str">
        <f>VLOOKUP(C41,'Train Runs'!$A$13:$AE$10006,31,0)</f>
        <v>aws s3 cp s3://rtdc.mdm.uploadarchive/RTDC4013/2016-08-22/ "%USERPROFILE%\AppData\Local\Temp\OnboardLogs"\RTDC4013\2016-08-22 --recursive &amp; "%USERPROFILE%\Documents\GitHub\mrs-test-scripts\Headless Mode &amp; Sideloading\WalkAndUnGZ.bat" "%USERPROFILE%\AppData\Local\Temp\OnboardLogs"\RTDC4013\2016-08-22 &amp; 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</v>
      </c>
      <c r="Q41" s="117" t="str">
        <f>VLOOKUP(C41,'Train Runs'!$A$13:$AE$10006,22,0)</f>
        <v>https://search-rtdc-monitor-bjffxe2xuh6vdkpspy63sjmuny.us-east-1.es.amazonaws.com/_plugin/kibana/#/discover/Steve-Slow-Train-Analysis-(2080s-and-2083s)?_g=(refreshInterval:(display:Off,section:0,value:0),time:(from:'2016-08-22 12:19:13-0600',mode:absolute,to:'2016-08-22 15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41" s="120" t="str">
        <f t="shared" si="5"/>
        <v>"C:\Program Files (x86)\AstroGrep\AstroGrep.exe" /spath="%USERPROFILE%\AppData\Local\Temp\OnboardLogs" /stypes="*4013*201608222*" /stext=" 20:.+((SYSTEM_STATE.+slice.+state.+changed )|(ment ac)|(system.+state.+changed )|(\|lc)|(penalty)|(\[timeout)|(PRM\|1\|D)|(kpr)|(kdp))" /e /r /s</v>
      </c>
      <c r="S41" s="9" t="str">
        <f t="shared" si="6"/>
        <v>4013</v>
      </c>
      <c r="T41" s="39">
        <f t="shared" si="7"/>
        <v>42604.839236111111</v>
      </c>
      <c r="U41" s="53" t="str">
        <f t="shared" si="8"/>
        <v>EC</v>
      </c>
      <c r="V41" s="53" t="str">
        <f t="shared" si="9"/>
        <v>KEEP</v>
      </c>
      <c r="W41" s="24"/>
    </row>
    <row r="42" spans="1:23" x14ac:dyDescent="0.25">
      <c r="A42" s="39">
        <v>42604.606412037036</v>
      </c>
      <c r="B42" s="34" t="s">
        <v>147</v>
      </c>
      <c r="C42" s="34" t="s">
        <v>353</v>
      </c>
      <c r="D42" s="34" t="s">
        <v>49</v>
      </c>
      <c r="E42" s="34" t="s">
        <v>50</v>
      </c>
      <c r="F42" s="50">
        <v>0</v>
      </c>
      <c r="G42" s="50">
        <v>92</v>
      </c>
      <c r="H42" s="50">
        <v>309</v>
      </c>
      <c r="I42" s="34" t="s">
        <v>51</v>
      </c>
      <c r="J42" s="50">
        <v>1</v>
      </c>
      <c r="K42" s="34" t="s">
        <v>53</v>
      </c>
      <c r="L42" s="96" t="str">
        <f>VLOOKUP(C42,'Trips&amp;Operators'!$C$1:$E$9999,3,0)</f>
        <v>STEWART</v>
      </c>
      <c r="M42" s="139" t="s">
        <v>87</v>
      </c>
      <c r="N42" s="10"/>
      <c r="O42" s="34"/>
      <c r="P42" s="113" t="str">
        <f>VLOOKUP(C42,'Train Runs'!$A$13:$AE$10006,31,0)</f>
        <v>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 &amp; 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</v>
      </c>
      <c r="Q42" s="117" t="str">
        <f>VLOOKUP(C42,'Train Runs'!$A$13:$AE$10006,22,0)</f>
        <v>https://search-rtdc-monitor-bjffxe2xuh6vdkpspy63sjmuny.us-east-1.es.amazonaws.com/_plugin/kibana/#/discover/Steve-Slow-Train-Analysis-(2080s-and-2083s)?_g=(refreshInterval:(display:Off,section:0,value:0),time:(from:'2016-08-22 12:37:20-0600',mode:absolute,to:'2016-08-22 15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2" s="120" t="str">
        <f t="shared" si="5"/>
        <v>"C:\Program Files (x86)\AstroGrep\AstroGrep.exe" /spath="%USERPROFILE%\AppData\Local\Temp\OnboardLogs" /stypes="*4037*201608222*" /stext=" 20:.+((SYSTEM_STATE.+slice.+state.+changed )|(ment ac)|(system.+state.+changed )|(\|lc)|(penalty)|(\[timeout)|(PRM\|1\|D)|(kpr)|(kdp))" /e /r /s</v>
      </c>
      <c r="S42" s="9" t="str">
        <f t="shared" si="6"/>
        <v>4037</v>
      </c>
      <c r="T42" s="39">
        <f t="shared" si="7"/>
        <v>42604.856412037036</v>
      </c>
      <c r="U42" s="53" t="str">
        <f t="shared" si="8"/>
        <v>EC</v>
      </c>
      <c r="V42" s="53" t="str">
        <f t="shared" si="9"/>
        <v>KEEP</v>
      </c>
      <c r="W42" s="24"/>
    </row>
    <row r="43" spans="1:23" x14ac:dyDescent="0.25">
      <c r="A43" s="39">
        <v>42604.754004629627</v>
      </c>
      <c r="B43" s="34" t="s">
        <v>251</v>
      </c>
      <c r="C43" s="34" t="s">
        <v>361</v>
      </c>
      <c r="D43" s="34" t="s">
        <v>49</v>
      </c>
      <c r="E43" s="34" t="s">
        <v>50</v>
      </c>
      <c r="F43" s="50">
        <v>0</v>
      </c>
      <c r="G43" s="50">
        <v>86</v>
      </c>
      <c r="H43" s="50">
        <v>322</v>
      </c>
      <c r="I43" s="34" t="s">
        <v>51</v>
      </c>
      <c r="J43" s="50">
        <v>1</v>
      </c>
      <c r="K43" s="34" t="s">
        <v>53</v>
      </c>
      <c r="L43" s="96" t="str">
        <f>VLOOKUP(C43,'Trips&amp;Operators'!$C$1:$E$9999,3,0)</f>
        <v>BARTLETT</v>
      </c>
      <c r="M43" s="139" t="s">
        <v>87</v>
      </c>
      <c r="N43" s="10"/>
      <c r="O43" s="34"/>
      <c r="P43" s="113" t="str">
        <f>VLOOKUP(C43,'Train Runs'!$A$13:$AE$10006,31,0)</f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Q43" s="117" t="str">
        <f>VLOOKUP(C43,'Train Runs'!$A$13:$AE$10006,22,0)</f>
        <v>https://search-rtdc-monitor-bjffxe2xuh6vdkpspy63sjmuny.us-east-1.es.amazonaws.com/_plugin/kibana/#/discover/Steve-Slow-Train-Analysis-(2080s-and-2083s)?_g=(refreshInterval:(display:Off,section:0,value:0),time:(from:'2016-08-22 16:12:58-0600',mode:absolute,to:'2016-08-22 19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43" s="120" t="str">
        <f t="shared" si="5"/>
        <v>"C:\Program Files (x86)\AstroGrep\AstroGrep.exe" /spath="%USERPROFILE%\AppData\Local\Temp\OnboardLogs" /stypes="*4017*201608230*" /stext=" 00:.+((SYSTEM_STATE.+slice.+state.+changed )|(ment ac)|(system.+state.+changed )|(\|lc)|(penalty)|(\[timeout)|(PRM\|1\|D)|(kpr)|(kdp))" /e /r /s</v>
      </c>
      <c r="S43" s="9" t="str">
        <f t="shared" si="6"/>
        <v>4017</v>
      </c>
      <c r="T43" s="39">
        <f t="shared" si="7"/>
        <v>42605.004004629627</v>
      </c>
      <c r="U43" s="53" t="str">
        <f t="shared" si="8"/>
        <v>EC</v>
      </c>
      <c r="V43" s="53" t="str">
        <f t="shared" si="9"/>
        <v>KEEP</v>
      </c>
      <c r="W43" s="24"/>
    </row>
    <row r="44" spans="1:23" ht="15" customHeight="1" x14ac:dyDescent="0.25">
      <c r="A44" s="39">
        <v>42604.805902777778</v>
      </c>
      <c r="B44" s="34" t="s">
        <v>153</v>
      </c>
      <c r="C44" s="34" t="s">
        <v>366</v>
      </c>
      <c r="D44" s="34" t="s">
        <v>49</v>
      </c>
      <c r="E44" s="34" t="s">
        <v>50</v>
      </c>
      <c r="F44" s="50">
        <v>0</v>
      </c>
      <c r="G44" s="50">
        <v>59</v>
      </c>
      <c r="H44" s="50">
        <v>211</v>
      </c>
      <c r="I44" s="34" t="s">
        <v>51</v>
      </c>
      <c r="J44" s="50">
        <v>1</v>
      </c>
      <c r="K44" s="34" t="s">
        <v>53</v>
      </c>
      <c r="L44" s="96" t="str">
        <f>VLOOKUP(C44,'Trips&amp;Operators'!$C$1:$E$9999,3,0)</f>
        <v>NEWELL</v>
      </c>
      <c r="M44" s="139" t="s">
        <v>87</v>
      </c>
      <c r="N44" s="10"/>
      <c r="O44" s="34"/>
      <c r="P44" s="113" t="str">
        <f>VLOOKUP(C44,'Train Runs'!$A$13:$AE$10006,31,0)</f>
        <v>aws s3 cp s3://rtdc.mdm.uploadarchive/RTDC4028/2016-08-22/ "%USERPROFILE%\AppData\Local\Temp\OnboardLogs"\RTDC4028\2016-08-22 --recursive &amp; "%USERPROFILE%\Documents\GitHub\mrs-test-scripts\Headless Mode &amp; Sideloading\WalkAndUnGZ.bat" "%USERPROFILE%\AppData\Local\Temp\OnboardLogs"\RTDC4028\2016-08-22 &amp; 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</v>
      </c>
      <c r="Q44" s="117" t="str">
        <f>VLOOKUP(C44,'Train Runs'!$A$13:$AE$10006,22,0)</f>
        <v>https://search-rtdc-monitor-bjffxe2xuh6vdkpspy63sjmuny.us-east-1.es.amazonaws.com/_plugin/kibana/#/discover/Steve-Slow-Train-Analysis-(2080s-and-2083s)?_g=(refreshInterval:(display:Off,section:0,value:0),time:(from:'2016-08-22 17:24:23-0600',mode:absolute,to:'2016-08-22 20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44" s="120" t="str">
        <f t="shared" si="5"/>
        <v>"C:\Program Files (x86)\AstroGrep\AstroGrep.exe" /spath="%USERPROFILE%\AppData\Local\Temp\OnboardLogs" /stypes="*4028*201608230*" /stext=" 01:.+((SYSTEM_STATE.+slice.+state.+changed )|(ment ac)|(system.+state.+changed )|(\|lc)|(penalty)|(\[timeout)|(PRM\|1\|D)|(kpr)|(kdp))" /e /r /s</v>
      </c>
      <c r="S44" s="9" t="str">
        <f t="shared" si="6"/>
        <v>4028</v>
      </c>
      <c r="T44" s="39">
        <f t="shared" si="7"/>
        <v>42605.055902777778</v>
      </c>
      <c r="U44" s="53" t="str">
        <f t="shared" si="8"/>
        <v>EC</v>
      </c>
      <c r="V44" s="53" t="str">
        <f t="shared" si="9"/>
        <v>KEEP</v>
      </c>
    </row>
    <row r="45" spans="1:23" x14ac:dyDescent="0.25">
      <c r="A45" s="39">
        <v>42604.832824074074</v>
      </c>
      <c r="B45" s="34" t="s">
        <v>251</v>
      </c>
      <c r="C45" s="34" t="s">
        <v>367</v>
      </c>
      <c r="D45" s="34" t="s">
        <v>49</v>
      </c>
      <c r="E45" s="34" t="s">
        <v>50</v>
      </c>
      <c r="F45" s="50">
        <v>0</v>
      </c>
      <c r="G45" s="50">
        <v>70</v>
      </c>
      <c r="H45" s="50">
        <v>236</v>
      </c>
      <c r="I45" s="34" t="s">
        <v>51</v>
      </c>
      <c r="J45" s="50">
        <v>1</v>
      </c>
      <c r="K45" s="34" t="s">
        <v>53</v>
      </c>
      <c r="L45" s="96" t="str">
        <f>VLOOKUP(C45,'Trips&amp;Operators'!$C$1:$E$9999,3,0)</f>
        <v>CHANDLER</v>
      </c>
      <c r="M45" s="139" t="s">
        <v>87</v>
      </c>
      <c r="N45" s="10"/>
      <c r="O45" s="34"/>
      <c r="P45" s="113" t="str">
        <f>VLOOKUP(C45,'Train Runs'!$A$13:$AE$10006,31,0)</f>
        <v>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 &amp; aws s3 cp s3://rtdc.mdm.uploadarchive/RTDC4017/2016-08-23/ "%USERPROFILE%\AppData\Local\Temp\OnboardLogs"\RTDC4017\2016-08-23 --recursive &amp; "%USERPROFILE%\Documents\GitHub\mrs-test-scripts\Headless Mode &amp; Sideloading\WalkAndUnGZ.bat" "%USERPROFILE%\AppData\Local\Temp\OnboardLogs"\RTDC4017\2016-08-23</v>
      </c>
      <c r="Q45" s="117" t="str">
        <f>VLOOKUP(C45,'Train Runs'!$A$13:$AE$10006,22,0)</f>
        <v>https://search-rtdc-monitor-bjffxe2xuh6vdkpspy63sjmuny.us-east-1.es.amazonaws.com/_plugin/kibana/#/discover/Steve-Slow-Train-Analysis-(2080s-and-2083s)?_g=(refreshInterval:(display:Off,section:0,value:0),time:(from:'2016-08-22 18:09:30-0600',mode:absolute,to:'2016-08-22 20:59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45" s="120" t="str">
        <f t="shared" si="5"/>
        <v>"C:\Program Files (x86)\AstroGrep\AstroGrep.exe" /spath="%USERPROFILE%\AppData\Local\Temp\OnboardLogs" /stypes="*4017*201608230*" /stext=" 01:.+((SYSTEM_STATE.+slice.+state.+changed )|(ment ac)|(system.+state.+changed )|(\|lc)|(penalty)|(\[timeout)|(PRM\|1\|D)|(kpr)|(kdp))" /e /r /s</v>
      </c>
      <c r="S45" s="9" t="str">
        <f t="shared" si="6"/>
        <v>4017</v>
      </c>
      <c r="T45" s="39">
        <f t="shared" si="7"/>
        <v>42605.082824074074</v>
      </c>
      <c r="U45" s="53" t="str">
        <f t="shared" si="8"/>
        <v>EC</v>
      </c>
      <c r="V45" s="53" t="str">
        <f t="shared" si="9"/>
        <v>KEEP</v>
      </c>
    </row>
    <row r="46" spans="1:23" x14ac:dyDescent="0.25">
      <c r="A46" s="39">
        <v>42604.858796296299</v>
      </c>
      <c r="B46" s="34" t="s">
        <v>193</v>
      </c>
      <c r="C46" s="34" t="s">
        <v>368</v>
      </c>
      <c r="D46" s="34" t="s">
        <v>49</v>
      </c>
      <c r="E46" s="34" t="s">
        <v>50</v>
      </c>
      <c r="F46" s="50">
        <v>0</v>
      </c>
      <c r="G46" s="50">
        <v>66</v>
      </c>
      <c r="H46" s="50">
        <v>262</v>
      </c>
      <c r="I46" s="34" t="s">
        <v>51</v>
      </c>
      <c r="J46" s="50">
        <v>1</v>
      </c>
      <c r="K46" s="34" t="s">
        <v>53</v>
      </c>
      <c r="L46" s="96" t="str">
        <f>VLOOKUP(C46,'Trips&amp;Operators'!$C$1:$E$9999,3,0)</f>
        <v>LEVERE</v>
      </c>
      <c r="M46" s="139" t="s">
        <v>87</v>
      </c>
      <c r="N46" s="10"/>
      <c r="O46" s="34"/>
      <c r="P46" s="113" t="str">
        <f>VLOOKUP(C46,'Train Runs'!$A$13:$AE$10006,31,0)</f>
        <v>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 &amp; 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</v>
      </c>
      <c r="Q46" s="117" t="str">
        <f>VLOOKUP(C46,'Train Runs'!$A$13:$AE$10006,22,0)</f>
        <v>https://search-rtdc-monitor-bjffxe2xuh6vdkpspy63sjmuny.us-east-1.es.amazonaws.com/_plugin/kibana/#/discover/Steve-Slow-Train-Analysis-(2080s-and-2083s)?_g=(refreshInterval:(display:Off,section:0,value:0),time:(from:'2016-08-22 18:51:15-0600',mode:absolute,to:'2016-08-22 21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46" s="120" t="str">
        <f t="shared" si="5"/>
        <v>"C:\Program Files (x86)\AstroGrep\AstroGrep.exe" /spath="%USERPROFILE%\AppData\Local\Temp\OnboardLogs" /stypes="*4010*201608230*" /stext=" 02:.+((SYSTEM_STATE.+slice.+state.+changed )|(ment ac)|(system.+state.+changed )|(\|lc)|(penalty)|(\[timeout)|(PRM\|1\|D)|(kpr)|(kdp))" /e /r /s</v>
      </c>
      <c r="S46" s="9" t="str">
        <f t="shared" si="6"/>
        <v>4010</v>
      </c>
      <c r="T46" s="39">
        <f t="shared" si="7"/>
        <v>42605.108796296299</v>
      </c>
      <c r="U46" s="53" t="str">
        <f t="shared" si="8"/>
        <v>EC</v>
      </c>
      <c r="V46" s="53" t="str">
        <f t="shared" si="9"/>
        <v>KEEP</v>
      </c>
    </row>
    <row r="47" spans="1:23" x14ac:dyDescent="0.25">
      <c r="A47" s="39">
        <v>42604.54111111111</v>
      </c>
      <c r="B47" s="34" t="s">
        <v>215</v>
      </c>
      <c r="C47" s="34" t="s">
        <v>349</v>
      </c>
      <c r="D47" s="34" t="s">
        <v>49</v>
      </c>
      <c r="E47" s="34" t="s">
        <v>50</v>
      </c>
      <c r="F47" s="50">
        <v>0</v>
      </c>
      <c r="G47" s="50">
        <v>135</v>
      </c>
      <c r="H47" s="50">
        <v>232896</v>
      </c>
      <c r="I47" s="34" t="s">
        <v>51</v>
      </c>
      <c r="J47" s="50">
        <v>233491</v>
      </c>
      <c r="K47" s="34" t="s">
        <v>52</v>
      </c>
      <c r="L47" s="96" t="str">
        <f>VLOOKUP(C47,'Trips&amp;Operators'!$C$1:$E$9999,3,0)</f>
        <v>HELVIE</v>
      </c>
      <c r="M47" s="139" t="s">
        <v>87</v>
      </c>
      <c r="N47" s="10"/>
      <c r="O47" s="34"/>
      <c r="P47" s="113" t="str">
        <f>VLOOKUP(C47,'Train Runs'!$A$13:$AE$10006,31,0)</f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Q47" s="117" t="str">
        <f>VLOOKUP(C47,'Train Runs'!$A$13:$AE$10006,22,0)</f>
        <v>https://search-rtdc-monitor-bjffxe2xuh6vdkpspy63sjmuny.us-east-1.es.amazonaws.com/_plugin/kibana/#/discover/Steve-Slow-Train-Analysis-(2080s-and-2083s)?_g=(refreshInterval:(display:Off,section:0,value:0),time:(from:'2016-08-22 11:17:14-0600',mode:absolute,to:'2016-08-22 14:00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7" s="120" t="str">
        <f t="shared" si="5"/>
        <v>"C:\Program Files (x86)\AstroGrep\AstroGrep.exe" /spath="%USERPROFILE%\AppData\Local\Temp\OnboardLogs" /stypes="*4007*201608221*" /stext=" 18:.+((SYSTEM_STATE.+slice.+state.+changed )|(ment ac)|(system.+state.+changed )|(\|lc)|(penalty)|(\[timeout)|(PRM\|1\|D)|(kpr)|(kdp))" /e /r /s</v>
      </c>
      <c r="S47" s="9" t="str">
        <f t="shared" si="6"/>
        <v>4007</v>
      </c>
      <c r="T47" s="39">
        <f t="shared" si="7"/>
        <v>42604.79111111111</v>
      </c>
      <c r="U47" s="53" t="str">
        <f t="shared" si="8"/>
        <v>EC</v>
      </c>
      <c r="V47" s="53" t="str">
        <f t="shared" si="9"/>
        <v>KEEP</v>
      </c>
    </row>
    <row r="48" spans="1:23" x14ac:dyDescent="0.25">
      <c r="A48" s="39">
        <v>42604.541724537034</v>
      </c>
      <c r="B48" s="34" t="s">
        <v>215</v>
      </c>
      <c r="C48" s="34" t="s">
        <v>349</v>
      </c>
      <c r="D48" s="34" t="s">
        <v>49</v>
      </c>
      <c r="E48" s="34" t="s">
        <v>50</v>
      </c>
      <c r="F48" s="50">
        <v>0</v>
      </c>
      <c r="G48" s="50">
        <v>42</v>
      </c>
      <c r="H48" s="50">
        <v>233299</v>
      </c>
      <c r="I48" s="34" t="s">
        <v>51</v>
      </c>
      <c r="J48" s="50">
        <v>233491</v>
      </c>
      <c r="K48" s="34" t="s">
        <v>52</v>
      </c>
      <c r="L48" s="96" t="str">
        <f>VLOOKUP(C48,'Trips&amp;Operators'!$C$1:$E$9999,3,0)</f>
        <v>HELVIE</v>
      </c>
      <c r="M48" s="139" t="s">
        <v>87</v>
      </c>
      <c r="N48" s="10"/>
      <c r="O48" s="34"/>
      <c r="P48" s="113" t="str">
        <f>VLOOKUP(C48,'Train Runs'!$A$13:$AE$10006,31,0)</f>
        <v>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 &amp; 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</v>
      </c>
      <c r="Q48" s="117" t="str">
        <f>VLOOKUP(C48,'Train Runs'!$A$13:$AE$10006,22,0)</f>
        <v>https://search-rtdc-monitor-bjffxe2xuh6vdkpspy63sjmuny.us-east-1.es.amazonaws.com/_plugin/kibana/#/discover/Steve-Slow-Train-Analysis-(2080s-and-2083s)?_g=(refreshInterval:(display:Off,section:0,value:0),time:(from:'2016-08-22 11:17:14-0600',mode:absolute,to:'2016-08-22 14:00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8" s="120" t="str">
        <f t="shared" si="5"/>
        <v>"C:\Program Files (x86)\AstroGrep\AstroGrep.exe" /spath="%USERPROFILE%\AppData\Local\Temp\OnboardLogs" /stypes="*4007*201608221*" /stext=" 19:.+((SYSTEM_STATE.+slice.+state.+changed )|(ment ac)|(system.+state.+changed )|(\|lc)|(penalty)|(\[timeout)|(PRM\|1\|D)|(kpr)|(kdp))" /e /r /s</v>
      </c>
      <c r="S48" s="9" t="str">
        <f t="shared" si="6"/>
        <v>4007</v>
      </c>
      <c r="T48" s="39">
        <f t="shared" si="7"/>
        <v>42604.791724537034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42604.637546296297</v>
      </c>
      <c r="B49" s="34" t="s">
        <v>155</v>
      </c>
      <c r="C49" s="34" t="s">
        <v>356</v>
      </c>
      <c r="D49" s="34" t="s">
        <v>49</v>
      </c>
      <c r="E49" s="34" t="s">
        <v>50</v>
      </c>
      <c r="F49" s="50">
        <v>0</v>
      </c>
      <c r="G49" s="50">
        <v>53</v>
      </c>
      <c r="H49" s="50">
        <v>233280</v>
      </c>
      <c r="I49" s="34" t="s">
        <v>51</v>
      </c>
      <c r="J49" s="50">
        <v>233491</v>
      </c>
      <c r="K49" s="34" t="s">
        <v>52</v>
      </c>
      <c r="L49" s="96" t="str">
        <f>VLOOKUP(C49,'Trips&amp;Operators'!$C$1:$E$9999,3,0)</f>
        <v>STEWART</v>
      </c>
      <c r="M49" s="139" t="s">
        <v>87</v>
      </c>
      <c r="N49" s="10"/>
      <c r="O49" s="34"/>
      <c r="P49" s="113" t="str">
        <f>VLOOKUP(C49,'Train Runs'!$A$13:$AE$10006,31,0)</f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Q49" s="117" t="str">
        <f>VLOOKUP(C49,'Train Runs'!$A$13:$AE$10006,22,0)</f>
        <v>https://search-rtdc-monitor-bjffxe2xuh6vdkpspy63sjmuny.us-east-1.es.amazonaws.com/_plugin/kibana/#/discover/Steve-Slow-Train-Analysis-(2080s-and-2083s)?_g=(refreshInterval:(display:Off,section:0,value:0),time:(from:'2016-08-22 13:36:05-0600',mode:absolute,to:'2016-08-22 16:18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9" s="120" t="str">
        <f t="shared" si="5"/>
        <v>"C:\Program Files (x86)\AstroGrep\AstroGrep.exe" /spath="%USERPROFILE%\AppData\Local\Temp\OnboardLogs" /stypes="*4038*201608222*" /stext=" 21:.+((SYSTEM_STATE.+slice.+state.+changed )|(ment ac)|(system.+state.+changed )|(\|lc)|(penalty)|(\[timeout)|(PRM\|1\|D)|(kpr)|(kdp))" /e /r /s</v>
      </c>
      <c r="S49" s="9" t="str">
        <f t="shared" si="6"/>
        <v>4038</v>
      </c>
      <c r="T49" s="39">
        <f t="shared" si="7"/>
        <v>42604.887546296297</v>
      </c>
      <c r="U49" s="53" t="str">
        <f t="shared" si="8"/>
        <v>EC</v>
      </c>
      <c r="V49" s="53" t="str">
        <f t="shared" si="9"/>
        <v>KEEP</v>
      </c>
    </row>
    <row r="50" spans="1:22" x14ac:dyDescent="0.25">
      <c r="A50" s="39">
        <v>42604.703969907408</v>
      </c>
      <c r="B50" s="34" t="s">
        <v>155</v>
      </c>
      <c r="C50" s="34" t="s">
        <v>358</v>
      </c>
      <c r="D50" s="34" t="s">
        <v>49</v>
      </c>
      <c r="E50" s="34" t="s">
        <v>50</v>
      </c>
      <c r="F50" s="50">
        <v>0</v>
      </c>
      <c r="G50" s="50">
        <v>48</v>
      </c>
      <c r="H50" s="50">
        <v>233282</v>
      </c>
      <c r="I50" s="34" t="s">
        <v>51</v>
      </c>
      <c r="J50" s="50">
        <v>233491</v>
      </c>
      <c r="K50" s="34" t="s">
        <v>52</v>
      </c>
      <c r="L50" s="96" t="str">
        <f>VLOOKUP(C50,'Trips&amp;Operators'!$C$1:$E$9999,3,0)</f>
        <v>STEWART</v>
      </c>
      <c r="M50" s="139" t="s">
        <v>87</v>
      </c>
      <c r="N50" s="10"/>
      <c r="O50" s="34"/>
      <c r="P50" s="113" t="str">
        <f>VLOOKUP(C50,'Train Runs'!$A$13:$AE$10006,31,0)</f>
        <v>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 &amp; 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</v>
      </c>
      <c r="Q50" s="117" t="str">
        <f>VLOOKUP(C50,'Train Runs'!$A$13:$AE$10006,22,0)</f>
        <v>https://search-rtdc-monitor-bjffxe2xuh6vdkpspy63sjmuny.us-east-1.es.amazonaws.com/_plugin/kibana/#/discover/Steve-Slow-Train-Analysis-(2080s-and-2083s)?_g=(refreshInterval:(display:Off,section:0,value:0),time:(from:'2016-08-22 15:10:37-0600',mode:absolute,to:'2016-08-22 17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0" s="120" t="str">
        <f t="shared" si="5"/>
        <v>"C:\Program Files (x86)\AstroGrep\AstroGrep.exe" /spath="%USERPROFILE%\AppData\Local\Temp\OnboardLogs" /stypes="*4038*201608222*" /stext=" 22:.+((SYSTEM_STATE.+slice.+state.+changed )|(ment ac)|(system.+state.+changed )|(\|lc)|(penalty)|(\[timeout)|(PRM\|1\|D)|(kpr)|(kdp))" /e /r /s</v>
      </c>
      <c r="S50" s="9" t="str">
        <f t="shared" si="6"/>
        <v>4038</v>
      </c>
      <c r="T50" s="39">
        <f t="shared" si="7"/>
        <v>42604.953969907408</v>
      </c>
      <c r="U50" s="53" t="str">
        <f t="shared" si="8"/>
        <v>EC</v>
      </c>
      <c r="V50" s="53" t="str">
        <f t="shared" si="9"/>
        <v>KEEP</v>
      </c>
    </row>
    <row r="51" spans="1:22" x14ac:dyDescent="0.25">
      <c r="A51" s="39">
        <v>42604.248148148145</v>
      </c>
      <c r="B51" s="34" t="s">
        <v>205</v>
      </c>
      <c r="C51" s="34" t="s">
        <v>326</v>
      </c>
      <c r="D51" s="34" t="s">
        <v>49</v>
      </c>
      <c r="E51" s="34" t="s">
        <v>56</v>
      </c>
      <c r="F51" s="50">
        <v>300</v>
      </c>
      <c r="G51" s="50">
        <v>350</v>
      </c>
      <c r="H51" s="50">
        <v>20557</v>
      </c>
      <c r="I51" s="34" t="s">
        <v>57</v>
      </c>
      <c r="J51" s="50">
        <v>21299</v>
      </c>
      <c r="K51" s="34" t="s">
        <v>52</v>
      </c>
      <c r="L51" s="96" t="str">
        <f>VLOOKUP(C51,'Trips&amp;Operators'!$C$1:$E$9999,3,0)</f>
        <v>DAVIS</v>
      </c>
      <c r="M51" s="139" t="s">
        <v>87</v>
      </c>
      <c r="N51" s="10"/>
      <c r="O51" s="34"/>
      <c r="P51" s="113" t="str">
        <f>VLOOKUP(C51,'Train Runs'!$A$13:$AE$10006,31,0)</f>
        <v>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 &amp; 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</v>
      </c>
      <c r="Q51" s="117" t="str">
        <f>VLOOKUP(C51,'Train Runs'!$A$13:$AE$10006,22,0)</f>
        <v>https://search-rtdc-monitor-bjffxe2xuh6vdkpspy63sjmuny.us-east-1.es.amazonaws.com/_plugin/kibana/#/discover/Steve-Slow-Train-Analysis-(2080s-and-2083s)?_g=(refreshInterval:(display:Off,section:0,value:0),time:(from:'2016-08-22 04:41:07-0600',mode:absolute,to:'2016-08-22 07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51" s="120" t="str">
        <f t="shared" si="5"/>
        <v>"C:\Program Files (x86)\AstroGrep\AstroGrep.exe" /spath="%USERPROFILE%\AppData\Local\Temp\OnboardLogs" /stypes="*4002*201608221*" /stext=" 11:.+((SYSTEM_STATE.+slice.+state.+changed )|(ment ac)|(system.+state.+changed )|(\|lc)|(penalty)|(\[timeout)|(PRM\|1\|D)|(kpr)|(kdp))" /e /r /s</v>
      </c>
      <c r="S51" s="9" t="str">
        <f t="shared" si="6"/>
        <v>4002</v>
      </c>
      <c r="T51" s="39">
        <f t="shared" si="7"/>
        <v>42604.498148148145</v>
      </c>
      <c r="U51" s="53" t="str">
        <f t="shared" si="8"/>
        <v>NW</v>
      </c>
      <c r="V51" s="53" t="str">
        <f t="shared" si="9"/>
        <v>KEEP</v>
      </c>
    </row>
    <row r="52" spans="1:22" x14ac:dyDescent="0.25">
      <c r="A52" s="39">
        <v>42604.393449074072</v>
      </c>
      <c r="B52" s="34" t="s">
        <v>154</v>
      </c>
      <c r="C52" s="34" t="s">
        <v>340</v>
      </c>
      <c r="D52" s="34" t="s">
        <v>49</v>
      </c>
      <c r="E52" s="34" t="s">
        <v>56</v>
      </c>
      <c r="F52" s="50">
        <v>300</v>
      </c>
      <c r="G52" s="50">
        <v>399</v>
      </c>
      <c r="H52" s="50">
        <v>19335</v>
      </c>
      <c r="I52" s="34" t="s">
        <v>57</v>
      </c>
      <c r="J52" s="50">
        <v>21314</v>
      </c>
      <c r="K52" s="34" t="s">
        <v>52</v>
      </c>
      <c r="L52" s="96" t="str">
        <f>VLOOKUP(C52,'Trips&amp;Operators'!$C$1:$E$9999,3,0)</f>
        <v>ROCHA</v>
      </c>
      <c r="M52" s="139" t="s">
        <v>87</v>
      </c>
      <c r="N52" s="10"/>
      <c r="O52" s="34"/>
      <c r="P52" s="113" t="str">
        <f>VLOOKUP(C52,'Train Runs'!$A$13:$AE$10006,31,0)</f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Q52" s="117" t="str">
        <f>VLOOKUP(C52,'Train Runs'!$A$13:$AE$10006,22,0)</f>
        <v>https://search-rtdc-monitor-bjffxe2xuh6vdkpspy63sjmuny.us-east-1.es.amazonaws.com/_plugin/kibana/#/discover/Steve-Slow-Train-Analysis-(2080s-and-2083s)?_g=(refreshInterval:(display:Off,section:0,value:0),time:(from:'2016-08-22 08:15:08-0600',mode:absolute,to:'2016-08-22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2" s="120" t="str">
        <f t="shared" si="5"/>
        <v>"C:\Program Files (x86)\AstroGrep\AstroGrep.exe" /spath="%USERPROFILE%\AppData\Local\Temp\OnboardLogs" /stypes="*4042*201608221*" /stext=" 15:.+((SYSTEM_STATE.+slice.+state.+changed )|(ment ac)|(system.+state.+changed )|(\|lc)|(penalty)|(\[timeout)|(PRM\|1\|D)|(kpr)|(kdp))" /e /r /s</v>
      </c>
      <c r="S52" s="9" t="str">
        <f t="shared" si="6"/>
        <v>4042</v>
      </c>
      <c r="T52" s="39">
        <f t="shared" si="7"/>
        <v>42604.643449074072</v>
      </c>
      <c r="U52" s="53" t="str">
        <f t="shared" si="8"/>
        <v>NW</v>
      </c>
      <c r="V52" s="53" t="str">
        <f t="shared" si="9"/>
        <v>KEEP</v>
      </c>
    </row>
    <row r="53" spans="1:22" x14ac:dyDescent="0.25">
      <c r="A53" s="39">
        <v>42604.679155092592</v>
      </c>
      <c r="B53" s="34" t="s">
        <v>206</v>
      </c>
      <c r="C53" s="34" t="s">
        <v>357</v>
      </c>
      <c r="D53" s="34" t="s">
        <v>112</v>
      </c>
      <c r="E53" s="34" t="s">
        <v>56</v>
      </c>
      <c r="F53" s="50">
        <v>600</v>
      </c>
      <c r="G53" s="50">
        <v>650</v>
      </c>
      <c r="H53" s="50">
        <v>30265</v>
      </c>
      <c r="I53" s="34" t="s">
        <v>57</v>
      </c>
      <c r="J53" s="50">
        <v>37577</v>
      </c>
      <c r="K53" s="34" t="s">
        <v>53</v>
      </c>
      <c r="L53" s="96" t="str">
        <f>VLOOKUP(C53,'Trips&amp;Operators'!$C$1:$E$9999,3,0)</f>
        <v>HAITHCOX</v>
      </c>
      <c r="M53" s="139" t="s">
        <v>87</v>
      </c>
      <c r="N53" s="10"/>
      <c r="O53" s="34"/>
      <c r="P53" s="113" t="str">
        <f>VLOOKUP(C53,'Train Runs'!$A$13:$AE$10006,31,0)</f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Q53" s="117" t="str">
        <f>VLOOKUP(C53,'Train Runs'!$A$13:$AE$10006,22,0)</f>
        <v>https://search-rtdc-monitor-bjffxe2xuh6vdkpspy63sjmuny.us-east-1.es.amazonaws.com/_plugin/kibana/#/discover/Steve-Slow-Train-Analysis-(2080s-and-2083s)?_g=(refreshInterval:(display:Off,section:0,value:0),time:(from:'2016-08-22 15:08:22-0600',mode:absolute,to:'2016-08-22 17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3" s="120" t="str">
        <f t="shared" si="5"/>
        <v>"C:\Program Files (x86)\AstroGrep\AstroGrep.exe" /spath="%USERPROFILE%\AppData\Local\Temp\OnboardLogs" /stypes="*4001*201608222*" /stext=" 22:.+((SYSTEM_STATE.+slice.+state.+changed )|(ment ac)|(system.+state.+changed )|(\|lc)|(penalty)|(\[timeout)|(PRM\|1\|D)|(kpr)|(kdp))" /e /r /s</v>
      </c>
      <c r="S53" s="9" t="str">
        <f t="shared" si="6"/>
        <v>4001</v>
      </c>
      <c r="T53" s="39">
        <f t="shared" si="7"/>
        <v>42604.929155092592</v>
      </c>
      <c r="U53" s="53" t="str">
        <f t="shared" si="8"/>
        <v>NW</v>
      </c>
      <c r="V53" s="53" t="str">
        <f t="shared" si="9"/>
        <v>KEEP</v>
      </c>
    </row>
    <row r="54" spans="1:22" x14ac:dyDescent="0.25">
      <c r="A54" s="39">
        <v>42604.613645833335</v>
      </c>
      <c r="B54" s="34" t="s">
        <v>213</v>
      </c>
      <c r="C54" s="34" t="s">
        <v>354</v>
      </c>
      <c r="D54" s="34" t="s">
        <v>112</v>
      </c>
      <c r="E54" s="34" t="s">
        <v>56</v>
      </c>
      <c r="F54" s="50">
        <v>150</v>
      </c>
      <c r="G54" s="50">
        <v>201</v>
      </c>
      <c r="H54" s="50">
        <v>56934</v>
      </c>
      <c r="I54" s="34" t="s">
        <v>57</v>
      </c>
      <c r="J54" s="50">
        <v>59050</v>
      </c>
      <c r="K54" s="34" t="s">
        <v>53</v>
      </c>
      <c r="L54" s="96" t="str">
        <f>VLOOKUP(C54,'Trips&amp;Operators'!$C$1:$E$9999,3,0)</f>
        <v>ISHMAEL</v>
      </c>
      <c r="M54" s="139" t="s">
        <v>87</v>
      </c>
      <c r="N54" s="10"/>
      <c r="O54" s="34"/>
      <c r="P54" s="113" t="str">
        <f>VLOOKUP(C54,'Train Runs'!$A$13:$AE$10006,31,0)</f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Q54" s="117" t="str">
        <f>VLOOKUP(C54,'Train Runs'!$A$13:$AE$10006,22,0)</f>
        <v>https://search-rtdc-monitor-bjffxe2xuh6vdkpspy63sjmuny.us-east-1.es.amazonaws.com/_plugin/kibana/#/discover/Steve-Slow-Train-Analysis-(2080s-and-2083s)?_g=(refreshInterval:(display:Off,section:0,value:0),time:(from:'2016-08-22 13:36:39-0600',mode:absolute,to:'2016-08-22 15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4" s="120" t="str">
        <f t="shared" si="5"/>
        <v>"C:\Program Files (x86)\AstroGrep\AstroGrep.exe" /spath="%USERPROFILE%\AppData\Local\Temp\OnboardLogs" /stypes="*4041*201608222*" /stext=" 20:.+((SYSTEM_STATE.+slice.+state.+changed )|(ment ac)|(system.+state.+changed )|(\|lc)|(penalty)|(\[timeout)|(PRM\|1\|D)|(kpr)|(kdp))" /e /r /s</v>
      </c>
      <c r="S54" s="9" t="str">
        <f t="shared" si="6"/>
        <v>4041</v>
      </c>
      <c r="T54" s="39">
        <f t="shared" si="7"/>
        <v>42604.863645833335</v>
      </c>
      <c r="U54" s="53" t="str">
        <f t="shared" si="8"/>
        <v>NW</v>
      </c>
      <c r="V54" s="53" t="str">
        <f t="shared" si="9"/>
        <v>KEEP</v>
      </c>
    </row>
    <row r="55" spans="1:22" x14ac:dyDescent="0.25">
      <c r="A55" s="39">
        <v>42604.71769675926</v>
      </c>
      <c r="B55" s="34" t="s">
        <v>206</v>
      </c>
      <c r="C55" s="34" t="s">
        <v>359</v>
      </c>
      <c r="D55" s="34" t="s">
        <v>112</v>
      </c>
      <c r="E55" s="34" t="s">
        <v>56</v>
      </c>
      <c r="F55" s="50">
        <v>150</v>
      </c>
      <c r="G55" s="50">
        <v>200</v>
      </c>
      <c r="H55" s="50">
        <v>56986</v>
      </c>
      <c r="I55" s="34" t="s">
        <v>57</v>
      </c>
      <c r="J55" s="50">
        <v>59050</v>
      </c>
      <c r="K55" s="34" t="s">
        <v>53</v>
      </c>
      <c r="L55" s="96" t="str">
        <f>VLOOKUP(C55,'Trips&amp;Operators'!$C$1:$E$9999,3,0)</f>
        <v>HAITHCOX</v>
      </c>
      <c r="M55" s="139" t="s">
        <v>87</v>
      </c>
      <c r="N55" s="10"/>
      <c r="O55" s="34"/>
      <c r="P55" s="113" t="str">
        <f>VLOOKUP(C55,'Train Runs'!$A$13:$AE$10006,31,0)</f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Q55" s="117" t="str">
        <f>VLOOKUP(C55,'Train Runs'!$A$13:$AE$10006,22,0)</f>
        <v>https://search-rtdc-monitor-bjffxe2xuh6vdkpspy63sjmuny.us-east-1.es.amazonaws.com/_plugin/kibana/#/discover/Steve-Slow-Train-Analysis-(2080s-and-2083s)?_g=(refreshInterval:(display:Off,section:0,value:0),time:(from:'2016-08-22 16:07:49-0600',mode:absolute,to:'2016-08-22 18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5" s="120" t="str">
        <f t="shared" si="5"/>
        <v>"C:\Program Files (x86)\AstroGrep\AstroGrep.exe" /spath="%USERPROFILE%\AppData\Local\Temp\OnboardLogs" /stypes="*4001*201608222*" /stext=" 23:.+((SYSTEM_STATE.+slice.+state.+changed )|(ment ac)|(system.+state.+changed )|(\|lc)|(penalty)|(\[timeout)|(PRM\|1\|D)|(kpr)|(kdp))" /e /r /s</v>
      </c>
      <c r="S55" s="9" t="str">
        <f t="shared" si="6"/>
        <v>4001</v>
      </c>
      <c r="T55" s="39">
        <f t="shared" si="7"/>
        <v>42604.96769675926</v>
      </c>
      <c r="U55" s="53" t="str">
        <f t="shared" si="8"/>
        <v>NW</v>
      </c>
      <c r="V55" s="53" t="str">
        <f t="shared" si="9"/>
        <v>KEEP</v>
      </c>
    </row>
    <row r="56" spans="1:22" x14ac:dyDescent="0.25">
      <c r="A56" s="39">
        <v>42604.267951388887</v>
      </c>
      <c r="B56" s="34" t="s">
        <v>206</v>
      </c>
      <c r="C56" s="34" t="s">
        <v>328</v>
      </c>
      <c r="D56" s="34" t="s">
        <v>49</v>
      </c>
      <c r="E56" s="34" t="s">
        <v>50</v>
      </c>
      <c r="F56" s="50">
        <v>0</v>
      </c>
      <c r="G56" s="50">
        <v>33</v>
      </c>
      <c r="H56" s="50">
        <v>659</v>
      </c>
      <c r="I56" s="34" t="s">
        <v>51</v>
      </c>
      <c r="J56" s="50">
        <v>575</v>
      </c>
      <c r="K56" s="34" t="s">
        <v>53</v>
      </c>
      <c r="L56" s="96" t="str">
        <f>VLOOKUP(C56,'Trips&amp;Operators'!$C$1:$E$9999,3,0)</f>
        <v>DAVIS</v>
      </c>
      <c r="M56" s="139" t="s">
        <v>87</v>
      </c>
      <c r="N56" s="10"/>
      <c r="O56" s="34"/>
      <c r="P56" s="113" t="str">
        <f>VLOOKUP(C56,'Train Runs'!$A$13:$AE$10006,31,0)</f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Q56" s="117" t="str">
        <f>VLOOKUP(C56,'Train Runs'!$A$13:$AE$10006,22,0)</f>
        <v>https://search-rtdc-monitor-bjffxe2xuh6vdkpspy63sjmuny.us-east-1.es.amazonaws.com/_plugin/kibana/#/discover/Steve-Slow-Train-Analysis-(2080s-and-2083s)?_g=(refreshInterval:(display:Off,section:0,value:0),time:(from:'2016-08-22 05:09:12-0600',mode:absolute,to:'2016-08-22 07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6" s="120" t="str">
        <f t="shared" si="5"/>
        <v>"C:\Program Files (x86)\AstroGrep\AstroGrep.exe" /spath="%USERPROFILE%\AppData\Local\Temp\OnboardLogs" /stypes="*4001*201608221*" /stext=" 12:.+((SYSTEM_STATE.+slice.+state.+changed )|(ment ac)|(system.+state.+changed )|(\|lc)|(penalty)|(\[timeout)|(PRM\|1\|D)|(kpr)|(kdp))" /e /r /s</v>
      </c>
      <c r="S56" s="9" t="str">
        <f t="shared" si="6"/>
        <v>4001</v>
      </c>
      <c r="T56" s="39">
        <f t="shared" si="7"/>
        <v>42604.517951388887</v>
      </c>
      <c r="U56" s="53" t="str">
        <f t="shared" si="8"/>
        <v>NW</v>
      </c>
      <c r="V56" s="53" t="str">
        <f t="shared" si="9"/>
        <v>KEEP</v>
      </c>
    </row>
    <row r="57" spans="1:22" x14ac:dyDescent="0.25">
      <c r="A57" s="39">
        <v>42604.288148148145</v>
      </c>
      <c r="B57" s="34" t="s">
        <v>213</v>
      </c>
      <c r="C57" s="34" t="s">
        <v>330</v>
      </c>
      <c r="D57" s="34" t="s">
        <v>49</v>
      </c>
      <c r="E57" s="34" t="s">
        <v>50</v>
      </c>
      <c r="F57" s="50">
        <v>0</v>
      </c>
      <c r="G57" s="50">
        <v>23</v>
      </c>
      <c r="H57" s="50">
        <v>612</v>
      </c>
      <c r="I57" s="34" t="s">
        <v>51</v>
      </c>
      <c r="J57" s="50">
        <v>575</v>
      </c>
      <c r="K57" s="34" t="s">
        <v>53</v>
      </c>
      <c r="L57" s="96" t="str">
        <f>VLOOKUP(C57,'Trips&amp;Operators'!$C$1:$E$9999,3,0)</f>
        <v>ROCHA</v>
      </c>
      <c r="M57" s="139" t="s">
        <v>87</v>
      </c>
      <c r="N57" s="10"/>
      <c r="O57" s="34"/>
      <c r="P57" s="113" t="str">
        <f>VLOOKUP(C57,'Train Runs'!$A$13:$AE$10006,31,0)</f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Q57" s="117" t="str">
        <f>VLOOKUP(C57,'Train Runs'!$A$13:$AE$10006,22,0)</f>
        <v>https://search-rtdc-monitor-bjffxe2xuh6vdkpspy63sjmuny.us-east-1.es.amazonaws.com/_plugin/kibana/#/discover/Steve-Slow-Train-Analysis-(2080s-and-2083s)?_g=(refreshInterval:(display:Off,section:0,value:0),time:(from:'2016-08-22 05:36:18-0600',mode:absolute,to:'2016-08-22 07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7" s="120" t="str">
        <f t="shared" si="5"/>
        <v>"C:\Program Files (x86)\AstroGrep\AstroGrep.exe" /spath="%USERPROFILE%\AppData\Local\Temp\OnboardLogs" /stypes="*4041*201608221*" /stext=" 12:.+((SYSTEM_STATE.+slice.+state.+changed )|(ment ac)|(system.+state.+changed )|(\|lc)|(penalty)|(\[timeout)|(PRM\|1\|D)|(kpr)|(kdp))" /e /r /s</v>
      </c>
      <c r="S57" s="9" t="str">
        <f t="shared" si="6"/>
        <v>4041</v>
      </c>
      <c r="T57" s="39">
        <f t="shared" si="7"/>
        <v>42604.538148148145</v>
      </c>
      <c r="U57" s="53" t="str">
        <f t="shared" si="8"/>
        <v>NW</v>
      </c>
      <c r="V57" s="53" t="str">
        <f t="shared" si="9"/>
        <v>KEEP</v>
      </c>
    </row>
    <row r="58" spans="1:22" x14ac:dyDescent="0.25">
      <c r="A58" s="39">
        <v>42604.371400462966</v>
      </c>
      <c r="B58" s="34" t="s">
        <v>213</v>
      </c>
      <c r="C58" s="34" t="s">
        <v>338</v>
      </c>
      <c r="D58" s="34" t="s">
        <v>49</v>
      </c>
      <c r="E58" s="34" t="s">
        <v>50</v>
      </c>
      <c r="F58" s="50">
        <v>0</v>
      </c>
      <c r="G58" s="50">
        <v>145</v>
      </c>
      <c r="H58" s="50">
        <v>1107</v>
      </c>
      <c r="I58" s="34" t="s">
        <v>51</v>
      </c>
      <c r="J58" s="50">
        <v>575</v>
      </c>
      <c r="K58" s="34" t="s">
        <v>53</v>
      </c>
      <c r="L58" s="96" t="str">
        <f>VLOOKUP(C58,'Trips&amp;Operators'!$C$1:$E$9999,3,0)</f>
        <v>ROCHA</v>
      </c>
      <c r="M58" s="139" t="s">
        <v>87</v>
      </c>
      <c r="N58" s="10"/>
      <c r="O58" s="34"/>
      <c r="P58" s="113" t="str">
        <f>VLOOKUP(C58,'Train Runs'!$A$13:$AE$10006,31,0)</f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Q58" s="117" t="str">
        <f>VLOOKUP(C58,'Train Runs'!$A$13:$AE$10006,22,0)</f>
        <v>https://search-rtdc-monitor-bjffxe2xuh6vdkpspy63sjmuny.us-east-1.es.amazonaws.com/_plugin/kibana/#/discover/Steve-Slow-Train-Analysis-(2080s-and-2083s)?_g=(refreshInterval:(display:Off,section:0,value:0),time:(from:'2016-08-22 07:37:56-0600',mode:absolute,to:'2016-08-22 09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8" s="120" t="str">
        <f t="shared" si="5"/>
        <v>"C:\Program Files (x86)\AstroGrep\AstroGrep.exe" /spath="%USERPROFILE%\AppData\Local\Temp\OnboardLogs" /stypes="*4041*201608221*" /stext=" 14:.+((SYSTEM_STATE.+slice.+state.+changed )|(ment ac)|(system.+state.+changed )|(\|lc)|(penalty)|(\[timeout)|(PRM\|1\|D)|(kpr)|(kdp))" /e /r /s</v>
      </c>
      <c r="S58" s="9" t="str">
        <f t="shared" si="6"/>
        <v>4041</v>
      </c>
      <c r="T58" s="39">
        <f t="shared" si="7"/>
        <v>42604.621400462966</v>
      </c>
      <c r="U58" s="53" t="str">
        <f t="shared" si="8"/>
        <v>NW</v>
      </c>
      <c r="V58" s="53" t="str">
        <f t="shared" si="9"/>
        <v>KEEP</v>
      </c>
    </row>
    <row r="59" spans="1:22" x14ac:dyDescent="0.25">
      <c r="A59" s="39">
        <v>42604.496435185189</v>
      </c>
      <c r="B59" s="34" t="s">
        <v>213</v>
      </c>
      <c r="C59" s="34" t="s">
        <v>345</v>
      </c>
      <c r="D59" s="34" t="s">
        <v>49</v>
      </c>
      <c r="E59" s="34" t="s">
        <v>50</v>
      </c>
      <c r="F59" s="50">
        <v>0</v>
      </c>
      <c r="G59" s="50">
        <v>51</v>
      </c>
      <c r="H59" s="50">
        <v>743</v>
      </c>
      <c r="I59" s="34" t="s">
        <v>51</v>
      </c>
      <c r="J59" s="50">
        <v>575</v>
      </c>
      <c r="K59" s="34" t="s">
        <v>53</v>
      </c>
      <c r="L59" s="96" t="str">
        <f>VLOOKUP(C59,'Trips&amp;Operators'!$C$1:$E$9999,3,0)</f>
        <v>ROCHA</v>
      </c>
      <c r="M59" s="139" t="s">
        <v>87</v>
      </c>
      <c r="N59" s="10"/>
      <c r="O59" s="34"/>
      <c r="P59" s="113" t="str">
        <f>VLOOKUP(C59,'Train Runs'!$A$13:$AE$10006,31,0)</f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Q59" s="117" t="str">
        <f>VLOOKUP(C59,'Train Runs'!$A$13:$AE$10006,22,0)</f>
        <v>https://search-rtdc-monitor-bjffxe2xuh6vdkpspy63sjmuny.us-east-1.es.amazonaws.com/_plugin/kibana/#/discover/Steve-Slow-Train-Analysis-(2080s-and-2083s)?_g=(refreshInterval:(display:Off,section:0,value:0),time:(from:'2016-08-22 10:39:01-0600',mode:absolute,to:'2016-08-22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9" s="120" t="str">
        <f t="shared" si="5"/>
        <v>"C:\Program Files (x86)\AstroGrep\AstroGrep.exe" /spath="%USERPROFILE%\AppData\Local\Temp\OnboardLogs" /stypes="*4041*201608221*" /stext=" 17:.+((SYSTEM_STATE.+slice.+state.+changed )|(ment ac)|(system.+state.+changed )|(\|lc)|(penalty)|(\[timeout)|(PRM\|1\|D)|(kpr)|(kdp))" /e /r /s</v>
      </c>
      <c r="S59" s="9" t="str">
        <f t="shared" si="6"/>
        <v>4041</v>
      </c>
      <c r="T59" s="39">
        <f t="shared" si="7"/>
        <v>42604.746435185189</v>
      </c>
      <c r="U59" s="53" t="str">
        <f t="shared" si="8"/>
        <v>NW</v>
      </c>
      <c r="V59" s="53" t="str">
        <f t="shared" si="9"/>
        <v>KEEP</v>
      </c>
    </row>
    <row r="60" spans="1:22" x14ac:dyDescent="0.25">
      <c r="A60" s="39">
        <v>42604.685081018521</v>
      </c>
      <c r="B60" s="34" t="s">
        <v>206</v>
      </c>
      <c r="C60" s="34" t="s">
        <v>357</v>
      </c>
      <c r="D60" s="34" t="s">
        <v>49</v>
      </c>
      <c r="E60" s="34" t="s">
        <v>50</v>
      </c>
      <c r="F60" s="50">
        <v>0</v>
      </c>
      <c r="G60" s="50">
        <v>43</v>
      </c>
      <c r="H60" s="50">
        <v>705</v>
      </c>
      <c r="I60" s="34" t="s">
        <v>51</v>
      </c>
      <c r="J60" s="50">
        <v>575</v>
      </c>
      <c r="K60" s="34" t="s">
        <v>53</v>
      </c>
      <c r="L60" s="96" t="str">
        <f>VLOOKUP(C60,'Trips&amp;Operators'!$C$1:$E$9999,3,0)</f>
        <v>HAITHCOX</v>
      </c>
      <c r="M60" s="139" t="s">
        <v>87</v>
      </c>
      <c r="N60" s="10"/>
      <c r="O60" s="34"/>
      <c r="P60" s="113" t="str">
        <f>VLOOKUP(C60,'Train Runs'!$A$13:$AE$10006,31,0)</f>
        <v>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 &amp; 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</v>
      </c>
      <c r="Q60" s="117" t="str">
        <f>VLOOKUP(C60,'Train Runs'!$A$13:$AE$10006,22,0)</f>
        <v>https://search-rtdc-monitor-bjffxe2xuh6vdkpspy63sjmuny.us-east-1.es.amazonaws.com/_plugin/kibana/#/discover/Steve-Slow-Train-Analysis-(2080s-and-2083s)?_g=(refreshInterval:(display:Off,section:0,value:0),time:(from:'2016-08-22 15:08:22-0600',mode:absolute,to:'2016-08-22 17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60" s="120" t="str">
        <f t="shared" si="5"/>
        <v>"C:\Program Files (x86)\AstroGrep\AstroGrep.exe" /spath="%USERPROFILE%\AppData\Local\Temp\OnboardLogs" /stypes="*4001*201608222*" /stext=" 22:.+((SYSTEM_STATE.+slice.+state.+changed )|(ment ac)|(system.+state.+changed )|(\|lc)|(penalty)|(\[timeout)|(PRM\|1\|D)|(kpr)|(kdp))" /e /r /s</v>
      </c>
      <c r="S60" s="9" t="str">
        <f t="shared" si="6"/>
        <v>4001</v>
      </c>
      <c r="T60" s="39">
        <f t="shared" si="7"/>
        <v>42604.935081018521</v>
      </c>
      <c r="U60" s="53" t="str">
        <f t="shared" si="8"/>
        <v>NW</v>
      </c>
      <c r="V60" s="53" t="str">
        <f t="shared" si="9"/>
        <v>KEEP</v>
      </c>
    </row>
    <row r="61" spans="1:22" x14ac:dyDescent="0.25">
      <c r="A61" s="39">
        <v>42604.871655092589</v>
      </c>
      <c r="B61" s="34" t="s">
        <v>213</v>
      </c>
      <c r="C61" s="34" t="s">
        <v>369</v>
      </c>
      <c r="D61" s="34" t="s">
        <v>49</v>
      </c>
      <c r="E61" s="34" t="s">
        <v>50</v>
      </c>
      <c r="F61" s="50">
        <v>0</v>
      </c>
      <c r="G61" s="50">
        <v>47</v>
      </c>
      <c r="H61" s="50">
        <v>710</v>
      </c>
      <c r="I61" s="34" t="s">
        <v>51</v>
      </c>
      <c r="J61" s="50">
        <v>575</v>
      </c>
      <c r="K61" s="34" t="s">
        <v>53</v>
      </c>
      <c r="L61" s="96" t="str">
        <f>VLOOKUP(C61,'Trips&amp;Operators'!$C$1:$E$9999,3,0)</f>
        <v>ISHMAEL</v>
      </c>
      <c r="M61" s="139" t="s">
        <v>87</v>
      </c>
      <c r="N61" s="10"/>
      <c r="O61" s="34"/>
      <c r="P61" s="113" t="str">
        <f>VLOOKUP(C61,'Train Runs'!$A$13:$AE$10006,31,0)</f>
        <v>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 &amp; 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</v>
      </c>
      <c r="Q61" s="117" t="str">
        <f>VLOOKUP(C61,'Train Runs'!$A$13:$AE$10006,22,0)</f>
        <v>https://search-rtdc-monitor-bjffxe2xuh6vdkpspy63sjmuny.us-east-1.es.amazonaws.com/_plugin/kibana/#/discover/Steve-Slow-Train-Analysis-(2080s-and-2083s)?_g=(refreshInterval:(display:Off,section:0,value:0),time:(from:'2016-08-22 19:36:36-0600',mode:absolute,to:'2016-08-22 22:00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1" s="120" t="str">
        <f t="shared" si="5"/>
        <v>"C:\Program Files (x86)\AstroGrep\AstroGrep.exe" /spath="%USERPROFILE%\AppData\Local\Temp\OnboardLogs" /stypes="*4041*201608230*" /stext=" 02:.+((SYSTEM_STATE.+slice.+state.+changed )|(ment ac)|(system.+state.+changed )|(\|lc)|(penalty)|(\[timeout)|(PRM\|1\|D)|(kpr)|(kdp))" /e /r /s</v>
      </c>
      <c r="S61" s="9" t="str">
        <f t="shared" si="6"/>
        <v>4041</v>
      </c>
      <c r="T61" s="39">
        <f t="shared" si="7"/>
        <v>42605.121655092589</v>
      </c>
      <c r="U61" s="53" t="str">
        <f t="shared" si="8"/>
        <v>NW</v>
      </c>
      <c r="V61" s="53" t="str">
        <f t="shared" si="9"/>
        <v>KEEP</v>
      </c>
    </row>
    <row r="62" spans="1:22" x14ac:dyDescent="0.25">
      <c r="A62" s="39">
        <v>42604.4843287037</v>
      </c>
      <c r="B62" s="34" t="s">
        <v>154</v>
      </c>
      <c r="C62" s="34" t="s">
        <v>344</v>
      </c>
      <c r="D62" s="34" t="s">
        <v>49</v>
      </c>
      <c r="E62" s="34" t="s">
        <v>50</v>
      </c>
      <c r="F62" s="50">
        <v>0</v>
      </c>
      <c r="G62" s="50">
        <v>26</v>
      </c>
      <c r="H62" s="50">
        <v>59008</v>
      </c>
      <c r="I62" s="34" t="s">
        <v>51</v>
      </c>
      <c r="J62" s="50">
        <v>59048</v>
      </c>
      <c r="K62" s="34" t="s">
        <v>52</v>
      </c>
      <c r="L62" s="96" t="str">
        <f>VLOOKUP(C62,'Trips&amp;Operators'!$C$1:$E$9999,3,0)</f>
        <v>ROCHA</v>
      </c>
      <c r="M62" s="139" t="s">
        <v>87</v>
      </c>
      <c r="N62" s="10"/>
      <c r="O62" s="34"/>
      <c r="P62" s="113" t="str">
        <f>VLOOKUP(C62,'Train Runs'!$A$13:$AE$10006,31,0)</f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Q62" s="117" t="str">
        <f>VLOOKUP(C62,'Train Runs'!$A$13:$AE$10006,22,0)</f>
        <v>https://search-rtdc-monitor-bjffxe2xuh6vdkpspy63sjmuny.us-east-1.es.amazonaws.com/_plugin/kibana/#/discover/Steve-Slow-Train-Analysis-(2080s-and-2083s)?_g=(refreshInterval:(display:Off,section:0,value:0),time:(from:'2016-08-22 10:11:00-0600',mode:absolute,to:'2016-08-22 12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62" s="120" t="str">
        <f t="shared" si="5"/>
        <v>"C:\Program Files (x86)\AstroGrep\AstroGrep.exe" /spath="%USERPROFILE%\AppData\Local\Temp\OnboardLogs" /stypes="*4042*201608221*" /stext=" 17:.+((SYSTEM_STATE.+slice.+state.+changed )|(ment ac)|(system.+state.+changed )|(\|lc)|(penalty)|(\[timeout)|(PRM\|1\|D)|(kpr)|(kdp))" /e /r /s</v>
      </c>
      <c r="S62" s="9" t="str">
        <f t="shared" si="6"/>
        <v>4042</v>
      </c>
      <c r="T62" s="39">
        <f t="shared" si="7"/>
        <v>42604.7343287037</v>
      </c>
      <c r="U62" s="53" t="str">
        <f t="shared" si="8"/>
        <v>NW</v>
      </c>
      <c r="V62" s="53" t="str">
        <f t="shared" si="9"/>
        <v>KEEP</v>
      </c>
    </row>
    <row r="63" spans="1:22" x14ac:dyDescent="0.25">
      <c r="A63" s="39">
        <v>42604.524016203701</v>
      </c>
      <c r="B63" s="34" t="s">
        <v>154</v>
      </c>
      <c r="C63" s="34" t="s">
        <v>348</v>
      </c>
      <c r="D63" s="34" t="s">
        <v>49</v>
      </c>
      <c r="E63" s="34" t="s">
        <v>50</v>
      </c>
      <c r="F63" s="50">
        <v>0</v>
      </c>
      <c r="G63" s="50">
        <v>30</v>
      </c>
      <c r="H63" s="50">
        <v>59022</v>
      </c>
      <c r="I63" s="34" t="s">
        <v>51</v>
      </c>
      <c r="J63" s="50">
        <v>59048</v>
      </c>
      <c r="K63" s="34" t="s">
        <v>52</v>
      </c>
      <c r="L63" s="96" t="str">
        <f>VLOOKUP(C63,'Trips&amp;Operators'!$C$1:$E$9999,3,0)</f>
        <v>ROCHA</v>
      </c>
      <c r="M63" s="139" t="s">
        <v>87</v>
      </c>
      <c r="N63" s="10"/>
      <c r="O63" s="34"/>
      <c r="P63" s="113" t="str">
        <f>VLOOKUP(C63,'Train Runs'!$A$13:$AE$10006,31,0)</f>
        <v>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 &amp; 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</v>
      </c>
      <c r="Q63" s="117" t="str">
        <f>VLOOKUP(C63,'Train Runs'!$A$13:$AE$10006,22,0)</f>
        <v>https://search-rtdc-monitor-bjffxe2xuh6vdkpspy63sjmuny.us-east-1.es.amazonaws.com/_plugin/kibana/#/discover/Steve-Slow-Train-Analysis-(2080s-and-2083s)?_g=(refreshInterval:(display:Off,section:0,value:0),time:(from:'2016-08-22 11:19:07-0600',mode:absolute,to:'2016-08-22 13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63" s="120" t="str">
        <f t="shared" si="5"/>
        <v>"C:\Program Files (x86)\AstroGrep\AstroGrep.exe" /spath="%USERPROFILE%\AppData\Local\Temp\OnboardLogs" /stypes="*4042*201608221*" /stext=" 18:.+((SYSTEM_STATE.+slice.+state.+changed )|(ment ac)|(system.+state.+changed )|(\|lc)|(penalty)|(\[timeout)|(PRM\|1\|D)|(kpr)|(kdp))" /e /r /s</v>
      </c>
      <c r="S63" s="9" t="str">
        <f t="shared" si="6"/>
        <v>4042</v>
      </c>
      <c r="T63" s="39">
        <f t="shared" si="7"/>
        <v>42604.774016203701</v>
      </c>
      <c r="U63" s="53" t="str">
        <f t="shared" si="8"/>
        <v>NW</v>
      </c>
      <c r="V63" s="53" t="str">
        <f t="shared" si="9"/>
        <v>KEEP</v>
      </c>
    </row>
    <row r="64" spans="1:22" x14ac:dyDescent="0.25">
      <c r="A64" s="39"/>
      <c r="B64" s="34"/>
      <c r="C64" s="34"/>
      <c r="D64" s="34"/>
      <c r="E64" s="34"/>
      <c r="F64" s="50"/>
      <c r="G64" s="50"/>
      <c r="H64" s="50"/>
      <c r="I64" s="34"/>
      <c r="J64" s="50"/>
      <c r="K64" s="34"/>
      <c r="L64" s="96"/>
      <c r="M64" s="139"/>
      <c r="N64" s="10"/>
      <c r="O64" s="34"/>
      <c r="P64" s="113"/>
      <c r="Q64" s="117"/>
      <c r="R64" s="120"/>
      <c r="S64" s="9"/>
      <c r="T64" s="39"/>
      <c r="U64" s="53"/>
      <c r="V64" s="53"/>
    </row>
    <row r="65" spans="1:22" x14ac:dyDescent="0.25">
      <c r="A65" s="39"/>
      <c r="B65" s="34"/>
      <c r="C65" s="34"/>
      <c r="D65" s="34"/>
      <c r="E65" s="34"/>
      <c r="F65" s="50"/>
      <c r="G65" s="50"/>
      <c r="H65" s="50"/>
      <c r="I65" s="34"/>
      <c r="J65" s="50"/>
      <c r="K65" s="34"/>
      <c r="L65" s="96"/>
      <c r="M65" s="139"/>
      <c r="N65" s="10"/>
      <c r="O65" s="34"/>
      <c r="P65" s="113"/>
      <c r="Q65" s="117"/>
      <c r="R65" s="120"/>
      <c r="S65" s="9"/>
      <c r="T65" s="39"/>
      <c r="U65" s="53"/>
      <c r="V65" s="53"/>
    </row>
    <row r="66" spans="1:22" x14ac:dyDescent="0.25">
      <c r="A66" s="39"/>
      <c r="B66" s="34"/>
      <c r="C66" s="34"/>
      <c r="D66" s="34"/>
      <c r="E66" s="34"/>
      <c r="F66" s="50"/>
      <c r="G66" s="50"/>
      <c r="H66" s="50"/>
      <c r="I66" s="34"/>
      <c r="J66" s="50"/>
      <c r="K66" s="34"/>
      <c r="L66" s="96"/>
      <c r="M66" s="139"/>
      <c r="N66" s="10"/>
      <c r="O66" s="34"/>
      <c r="P66" s="113"/>
      <c r="Q66" s="117"/>
      <c r="R66" s="120"/>
      <c r="S66" s="9"/>
      <c r="T66" s="39"/>
      <c r="U66" s="53"/>
      <c r="V66" s="53"/>
    </row>
    <row r="67" spans="1:22" x14ac:dyDescent="0.25">
      <c r="A67" s="39"/>
      <c r="B67" s="34"/>
      <c r="C67" s="34"/>
      <c r="D67" s="34"/>
      <c r="E67" s="34"/>
      <c r="F67" s="50"/>
      <c r="G67" s="50"/>
      <c r="H67" s="50"/>
      <c r="I67" s="34"/>
      <c r="J67" s="50"/>
      <c r="K67" s="34"/>
      <c r="L67" s="96"/>
      <c r="M67" s="139"/>
      <c r="N67" s="10"/>
      <c r="O67" s="34"/>
      <c r="P67" s="113"/>
      <c r="Q67" s="117"/>
      <c r="R67" s="120"/>
      <c r="S67" s="9"/>
      <c r="T67" s="39"/>
      <c r="U67" s="53"/>
      <c r="V67" s="53"/>
    </row>
    <row r="68" spans="1:22" x14ac:dyDescent="0.25">
      <c r="A68" s="39"/>
      <c r="B68" s="34"/>
      <c r="C68" s="34"/>
      <c r="D68" s="34"/>
      <c r="E68" s="34"/>
      <c r="F68" s="50"/>
      <c r="G68" s="50"/>
      <c r="H68" s="50"/>
      <c r="I68" s="34"/>
      <c r="J68" s="50"/>
      <c r="K68" s="34"/>
      <c r="L68" s="96"/>
      <c r="M68" s="139"/>
      <c r="N68" s="10"/>
      <c r="O68" s="34"/>
      <c r="P68" s="113"/>
      <c r="Q68" s="117"/>
      <c r="R68" s="120"/>
      <c r="S68" s="9"/>
      <c r="T68" s="39"/>
      <c r="U68" s="53"/>
      <c r="V68" s="53"/>
    </row>
    <row r="69" spans="1:22" x14ac:dyDescent="0.25">
      <c r="A69" s="39"/>
      <c r="B69" s="34"/>
      <c r="C69" s="34"/>
      <c r="D69" s="34"/>
      <c r="E69" s="34"/>
      <c r="F69" s="50"/>
      <c r="G69" s="50"/>
      <c r="H69" s="50"/>
      <c r="I69" s="34"/>
      <c r="J69" s="50"/>
      <c r="K69" s="34"/>
      <c r="L69" s="96"/>
      <c r="M69" s="139"/>
      <c r="N69" s="10"/>
      <c r="O69" s="34"/>
      <c r="P69" s="113"/>
      <c r="Q69" s="117"/>
      <c r="R69" s="120"/>
      <c r="S69" s="9"/>
      <c r="T69" s="39"/>
      <c r="U69" s="53"/>
      <c r="V69" s="53"/>
    </row>
    <row r="70" spans="1:22" x14ac:dyDescent="0.25">
      <c r="A70" s="39"/>
      <c r="B70" s="34"/>
      <c r="C70" s="34"/>
      <c r="D70" s="34"/>
      <c r="E70" s="34"/>
      <c r="F70" s="50"/>
      <c r="G70" s="50"/>
      <c r="H70" s="50"/>
      <c r="I70" s="34"/>
      <c r="J70" s="50"/>
      <c r="K70" s="34"/>
      <c r="L70" s="96"/>
      <c r="M70" s="139"/>
      <c r="N70" s="10"/>
      <c r="O70" s="34"/>
      <c r="P70" s="113"/>
      <c r="Q70" s="117"/>
      <c r="R70" s="120"/>
      <c r="S70" s="9"/>
      <c r="T70" s="39"/>
      <c r="U70" s="53"/>
      <c r="V70" s="53"/>
    </row>
    <row r="71" spans="1:22" x14ac:dyDescent="0.25">
      <c r="A71" s="39"/>
      <c r="B71" s="34"/>
      <c r="C71" s="34"/>
      <c r="D71" s="34"/>
      <c r="E71" s="34"/>
      <c r="F71" s="50"/>
      <c r="G71" s="50"/>
      <c r="H71" s="50"/>
      <c r="I71" s="34"/>
      <c r="J71" s="50"/>
      <c r="K71" s="34"/>
      <c r="L71" s="96"/>
      <c r="M71" s="139"/>
      <c r="N71" s="10"/>
      <c r="O71" s="34"/>
      <c r="P71" s="113"/>
      <c r="Q71" s="117"/>
      <c r="R71" s="120"/>
      <c r="S71" s="9"/>
      <c r="T71" s="39"/>
      <c r="U71" s="53"/>
      <c r="V71" s="53"/>
    </row>
    <row r="72" spans="1:22" x14ac:dyDescent="0.25">
      <c r="B72" s="24"/>
      <c r="C72" s="24"/>
      <c r="D72" s="24"/>
      <c r="E72" s="24"/>
      <c r="I72" s="24"/>
      <c r="K72" s="24"/>
    </row>
  </sheetData>
  <autoFilter ref="A6:V7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1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H3" sqref="H3"/>
    </sheetView>
  </sheetViews>
  <sheetFormatPr defaultRowHeight="15" x14ac:dyDescent="0.25"/>
  <cols>
    <col min="1" max="1" width="9.140625" style="2" customWidth="1"/>
    <col min="2" max="2" width="8" style="137" bestFit="1" customWidth="1"/>
    <col min="3" max="3" width="9.85546875" style="128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0" t="str">
        <f>"Trips that did not appear in PTC Data "&amp;TEXT(Variables!$A$2,"YYYY-mm-dd")</f>
        <v>Trips that did not appear in PTC Data 2016-08-22</v>
      </c>
      <c r="B1" s="150"/>
      <c r="C1" s="150"/>
      <c r="D1" s="150"/>
      <c r="E1" s="150"/>
    </row>
    <row r="2" spans="1:10" s="27" customFormat="1" ht="45" x14ac:dyDescent="0.25">
      <c r="A2" s="148" t="s">
        <v>64</v>
      </c>
      <c r="B2" s="134" t="s">
        <v>65</v>
      </c>
      <c r="C2" s="135" t="s">
        <v>66</v>
      </c>
      <c r="D2" s="27" t="s">
        <v>62</v>
      </c>
      <c r="E2" s="27" t="s">
        <v>63</v>
      </c>
      <c r="F2" s="27" t="s">
        <v>67</v>
      </c>
      <c r="G2" s="32" t="s">
        <v>68</v>
      </c>
      <c r="H2" s="32" t="s">
        <v>122</v>
      </c>
    </row>
    <row r="3" spans="1:10" x14ac:dyDescent="0.25">
      <c r="A3" s="50" t="s">
        <v>666</v>
      </c>
      <c r="B3" s="136"/>
      <c r="C3" s="136"/>
      <c r="D3" s="34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22200-22%22)),sort:!(Time,asc))</v>
      </c>
      <c r="I3" s="24"/>
      <c r="J3" s="24"/>
    </row>
    <row r="4" spans="1:10" x14ac:dyDescent="0.25">
      <c r="A4" s="50"/>
      <c r="B4" s="136"/>
      <c r="C4" s="136"/>
      <c r="D4" s="34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50"/>
      <c r="B5" s="136"/>
      <c r="C5" s="136"/>
      <c r="D5" s="34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50"/>
      <c r="B6" s="136"/>
      <c r="C6" s="136"/>
      <c r="D6" s="34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B7" s="121"/>
      <c r="C7" s="121"/>
      <c r="H7" s="24"/>
      <c r="I7" s="24"/>
      <c r="J7" s="24"/>
    </row>
    <row r="8" spans="1:10" x14ac:dyDescent="0.25">
      <c r="B8" s="121"/>
      <c r="C8" s="121"/>
      <c r="H8" s="24"/>
      <c r="I8" s="24"/>
      <c r="J8" s="24"/>
    </row>
    <row r="9" spans="1:10" x14ac:dyDescent="0.25">
      <c r="B9" s="121"/>
      <c r="C9" s="121"/>
      <c r="H9" s="24"/>
      <c r="I9" s="24"/>
      <c r="J9" s="24"/>
    </row>
    <row r="10" spans="1:10" x14ac:dyDescent="0.25">
      <c r="B10" s="121"/>
      <c r="C10" s="121"/>
      <c r="H10" s="24"/>
      <c r="I10" s="24"/>
      <c r="J10" s="24"/>
    </row>
    <row r="11" spans="1:10" x14ac:dyDescent="0.25">
      <c r="B11" s="121"/>
      <c r="C11" s="121"/>
      <c r="H11" s="24"/>
      <c r="I11" s="24"/>
      <c r="J11" s="24"/>
    </row>
    <row r="12" spans="1:10" x14ac:dyDescent="0.25">
      <c r="B12" s="121"/>
      <c r="C12" s="121"/>
      <c r="H12" s="24"/>
      <c r="I12" s="24"/>
      <c r="J12" s="24"/>
    </row>
    <row r="13" spans="1:10" x14ac:dyDescent="0.25">
      <c r="B13" s="121"/>
      <c r="C13" s="121"/>
      <c r="H13" s="24"/>
      <c r="I13" s="24"/>
      <c r="J13" s="24"/>
    </row>
    <row r="14" spans="1:10" x14ac:dyDescent="0.25">
      <c r="B14" s="121"/>
      <c r="C14" s="121"/>
      <c r="H14" s="24"/>
      <c r="I14" s="24"/>
      <c r="J14" s="24"/>
    </row>
    <row r="15" spans="1:10" x14ac:dyDescent="0.25">
      <c r="B15" s="121"/>
      <c r="C15" s="121"/>
      <c r="H15" s="24"/>
      <c r="I15" s="24"/>
      <c r="J15" s="24"/>
    </row>
    <row r="16" spans="1:10" x14ac:dyDescent="0.25">
      <c r="B16" s="121"/>
      <c r="C16" s="121"/>
      <c r="H16" s="24"/>
      <c r="I16" s="24"/>
      <c r="J16" s="24"/>
    </row>
    <row r="17" spans="2:10" x14ac:dyDescent="0.25">
      <c r="B17" s="121"/>
      <c r="C17" s="121"/>
      <c r="H17" s="24"/>
      <c r="I17" s="24"/>
      <c r="J17" s="24"/>
    </row>
    <row r="18" spans="2:10" x14ac:dyDescent="0.25">
      <c r="B18" s="121"/>
      <c r="C18" s="121"/>
      <c r="H18" s="24"/>
      <c r="I18" s="24"/>
      <c r="J18" s="24"/>
    </row>
    <row r="19" spans="2:10" x14ac:dyDescent="0.25">
      <c r="B19" s="121"/>
      <c r="C19" s="121"/>
      <c r="H19" s="24"/>
      <c r="I19" s="24"/>
      <c r="J19" s="24"/>
    </row>
    <row r="20" spans="2:10" x14ac:dyDescent="0.25">
      <c r="B20" s="121"/>
      <c r="C20" s="121"/>
      <c r="H20" s="24"/>
      <c r="I20" s="24"/>
      <c r="J20" s="24"/>
    </row>
    <row r="21" spans="2:10" x14ac:dyDescent="0.25">
      <c r="B21" s="121"/>
      <c r="C21" s="121"/>
      <c r="H21" s="24"/>
      <c r="I21" s="24"/>
      <c r="J21" s="24"/>
    </row>
    <row r="22" spans="2:10" x14ac:dyDescent="0.25">
      <c r="B22" s="121"/>
      <c r="C22" s="121"/>
      <c r="H22" s="24"/>
      <c r="I22" s="24"/>
      <c r="J22" s="24"/>
    </row>
    <row r="23" spans="2:10" x14ac:dyDescent="0.25">
      <c r="B23" s="121"/>
      <c r="C23" s="121"/>
      <c r="H23" s="24"/>
      <c r="I23" s="24"/>
      <c r="J23" s="24"/>
    </row>
    <row r="24" spans="2:10" x14ac:dyDescent="0.25">
      <c r="B24" s="121"/>
      <c r="C24" s="121"/>
      <c r="H24" s="24"/>
      <c r="I24" s="24"/>
      <c r="J24" s="24"/>
    </row>
    <row r="25" spans="2:10" x14ac:dyDescent="0.25">
      <c r="B25" s="121"/>
      <c r="C25" s="121"/>
      <c r="H25" s="24"/>
      <c r="I25" s="24"/>
      <c r="J25" s="24"/>
    </row>
    <row r="26" spans="2:10" x14ac:dyDescent="0.25">
      <c r="B26" s="121"/>
      <c r="C26" s="121"/>
      <c r="H26" s="24"/>
      <c r="I26" s="24"/>
      <c r="J26" s="24"/>
    </row>
    <row r="27" spans="2:10" x14ac:dyDescent="0.25">
      <c r="B27" s="121"/>
      <c r="C27" s="121"/>
      <c r="H27" s="24"/>
      <c r="I27" s="24"/>
      <c r="J27" s="24"/>
    </row>
    <row r="28" spans="2:10" x14ac:dyDescent="0.25">
      <c r="B28" s="121"/>
      <c r="C28" s="121"/>
      <c r="H28" s="24"/>
      <c r="I28" s="24"/>
      <c r="J28" s="24"/>
    </row>
    <row r="29" spans="2:10" x14ac:dyDescent="0.25">
      <c r="B29" s="121"/>
      <c r="C29" s="121"/>
      <c r="H29" s="24"/>
      <c r="I29" s="24"/>
      <c r="J29" s="24"/>
    </row>
    <row r="30" spans="2:10" x14ac:dyDescent="0.25">
      <c r="B30" s="121"/>
      <c r="C30" s="121"/>
      <c r="H30" s="24"/>
      <c r="I30" s="24"/>
      <c r="J30" s="24"/>
    </row>
    <row r="31" spans="2:10" x14ac:dyDescent="0.25">
      <c r="B31" s="121"/>
      <c r="C31" s="121"/>
      <c r="H31" s="24"/>
      <c r="I31" s="24"/>
      <c r="J31" s="24"/>
    </row>
    <row r="32" spans="2:10" x14ac:dyDescent="0.25">
      <c r="B32" s="121"/>
      <c r="C32" s="121"/>
      <c r="H32" s="24"/>
      <c r="I32" s="24"/>
      <c r="J32" s="24"/>
    </row>
    <row r="33" spans="2:10" x14ac:dyDescent="0.25">
      <c r="B33" s="121"/>
      <c r="C33" s="121"/>
      <c r="H33" s="24"/>
      <c r="I33" s="24"/>
      <c r="J33" s="24"/>
    </row>
    <row r="34" spans="2:10" x14ac:dyDescent="0.25">
      <c r="B34" s="121"/>
      <c r="C34" s="121"/>
      <c r="H34" s="24"/>
      <c r="I34" s="24"/>
      <c r="J34" s="24"/>
    </row>
    <row r="35" spans="2:10" x14ac:dyDescent="0.25">
      <c r="B35" s="121"/>
      <c r="C35" s="121"/>
      <c r="H35" s="24"/>
      <c r="I35" s="24"/>
      <c r="J35" s="24"/>
    </row>
    <row r="36" spans="2:10" x14ac:dyDescent="0.25">
      <c r="B36" s="121"/>
      <c r="C36" s="121"/>
      <c r="H36" s="24"/>
      <c r="I36" s="24"/>
      <c r="J36" s="24"/>
    </row>
    <row r="37" spans="2:10" x14ac:dyDescent="0.25">
      <c r="B37" s="121"/>
      <c r="C37" s="121"/>
      <c r="H37" s="24"/>
      <c r="I37" s="24"/>
      <c r="J37" s="24"/>
    </row>
    <row r="38" spans="2:10" x14ac:dyDescent="0.25">
      <c r="B38" s="121"/>
      <c r="C38" s="121"/>
      <c r="H38" s="24"/>
      <c r="I38" s="24"/>
      <c r="J38" s="24"/>
    </row>
    <row r="39" spans="2:10" x14ac:dyDescent="0.25">
      <c r="B39" s="121"/>
      <c r="C39" s="121"/>
      <c r="H39" s="24"/>
      <c r="I39" s="24"/>
      <c r="J39" s="24"/>
    </row>
    <row r="40" spans="2:10" x14ac:dyDescent="0.25">
      <c r="B40" s="121"/>
      <c r="C40" s="121"/>
      <c r="H40" s="24"/>
      <c r="I40" s="24"/>
      <c r="J40" s="24"/>
    </row>
    <row r="41" spans="2:10" x14ac:dyDescent="0.25">
      <c r="B41" s="121"/>
      <c r="C41" s="121"/>
      <c r="H41" s="24"/>
      <c r="I41" s="24"/>
      <c r="J41" s="24"/>
    </row>
    <row r="42" spans="2:10" x14ac:dyDescent="0.25">
      <c r="B42" s="121"/>
      <c r="C42" s="121"/>
      <c r="H42" s="24"/>
      <c r="I42" s="24"/>
      <c r="J42" s="24"/>
    </row>
    <row r="43" spans="2:10" x14ac:dyDescent="0.25">
      <c r="B43" s="121"/>
      <c r="C43" s="121"/>
      <c r="H43" s="24"/>
      <c r="I43" s="24"/>
      <c r="J43" s="24"/>
    </row>
    <row r="44" spans="2:10" x14ac:dyDescent="0.25">
      <c r="B44" s="121"/>
      <c r="C44" s="121"/>
      <c r="H44" s="24"/>
      <c r="I44" s="24"/>
      <c r="J44" s="24"/>
    </row>
    <row r="45" spans="2:10" x14ac:dyDescent="0.25">
      <c r="B45" s="121"/>
      <c r="C45" s="121"/>
      <c r="H45" s="24"/>
      <c r="I45" s="24"/>
      <c r="J45" s="24"/>
    </row>
    <row r="46" spans="2:10" x14ac:dyDescent="0.25">
      <c r="B46" s="121"/>
      <c r="C46" s="121"/>
      <c r="H46" s="24"/>
      <c r="I46" s="24"/>
      <c r="J46" s="24"/>
    </row>
    <row r="47" spans="2:10" x14ac:dyDescent="0.25">
      <c r="B47" s="121"/>
      <c r="C47" s="121"/>
      <c r="H47" s="24"/>
      <c r="I47" s="24"/>
      <c r="J47" s="24"/>
    </row>
    <row r="48" spans="2:10" x14ac:dyDescent="0.25">
      <c r="B48" s="121"/>
      <c r="C48" s="121"/>
      <c r="H48" s="24"/>
      <c r="I48" s="24"/>
      <c r="J48" s="24"/>
    </row>
    <row r="49" spans="2:10" x14ac:dyDescent="0.25">
      <c r="B49" s="121"/>
      <c r="C49" s="121"/>
      <c r="H49" s="24"/>
      <c r="I49" s="24"/>
      <c r="J49" s="24"/>
    </row>
    <row r="50" spans="2:10" x14ac:dyDescent="0.25">
      <c r="B50" s="121"/>
      <c r="C50" s="121"/>
      <c r="H50" s="24"/>
      <c r="I50" s="24"/>
      <c r="J50" s="24"/>
    </row>
    <row r="51" spans="2:10" x14ac:dyDescent="0.25">
      <c r="B51" s="121"/>
      <c r="C51" s="121"/>
      <c r="H51" s="24"/>
      <c r="I51" s="24"/>
      <c r="J51" s="24"/>
    </row>
    <row r="52" spans="2:10" x14ac:dyDescent="0.25">
      <c r="B52" s="121"/>
      <c r="C52" s="121"/>
      <c r="H52" s="24"/>
      <c r="I52" s="24"/>
      <c r="J52" s="24"/>
    </row>
    <row r="53" spans="2:10" x14ac:dyDescent="0.25">
      <c r="B53" s="121"/>
      <c r="C53" s="121"/>
      <c r="H53" s="24"/>
      <c r="I53" s="24"/>
      <c r="J53" s="24"/>
    </row>
    <row r="54" spans="2:10" x14ac:dyDescent="0.25">
      <c r="B54" s="121"/>
      <c r="C54" s="121"/>
      <c r="H54" s="24"/>
      <c r="I54" s="24"/>
      <c r="J54" s="24"/>
    </row>
    <row r="55" spans="2:10" x14ac:dyDescent="0.25">
      <c r="B55" s="121"/>
      <c r="C55" s="121"/>
      <c r="H55" s="24"/>
      <c r="I55" s="24"/>
      <c r="J55" s="24"/>
    </row>
    <row r="56" spans="2:10" x14ac:dyDescent="0.25">
      <c r="B56" s="121"/>
      <c r="C56" s="121"/>
      <c r="H56" s="24"/>
      <c r="I56" s="24"/>
      <c r="J56" s="24"/>
    </row>
    <row r="57" spans="2:10" x14ac:dyDescent="0.25">
      <c r="B57" s="121"/>
      <c r="C57" s="121"/>
      <c r="H57" s="24"/>
      <c r="I57" s="24"/>
      <c r="J57" s="24"/>
    </row>
    <row r="58" spans="2:10" x14ac:dyDescent="0.25">
      <c r="B58" s="121"/>
      <c r="C58" s="121"/>
      <c r="H58" s="24"/>
      <c r="I58" s="24"/>
      <c r="J58" s="24"/>
    </row>
    <row r="59" spans="2:10" x14ac:dyDescent="0.25">
      <c r="B59" s="121"/>
      <c r="C59" s="121"/>
      <c r="H59" s="24"/>
      <c r="I59" s="24"/>
      <c r="J59" s="24"/>
    </row>
    <row r="60" spans="2:10" x14ac:dyDescent="0.25">
      <c r="B60" s="121"/>
      <c r="C60" s="121"/>
      <c r="H60" s="24"/>
      <c r="I60" s="24"/>
      <c r="J60" s="24"/>
    </row>
    <row r="61" spans="2:10" x14ac:dyDescent="0.25">
      <c r="B61" s="121"/>
      <c r="C61" s="121"/>
      <c r="H61" s="24"/>
      <c r="I61" s="24"/>
      <c r="J61" s="24"/>
    </row>
    <row r="62" spans="2:10" x14ac:dyDescent="0.25">
      <c r="B62" s="121"/>
      <c r="C62" s="121"/>
      <c r="H62" s="24"/>
      <c r="I62" s="24"/>
      <c r="J62" s="24"/>
    </row>
    <row r="63" spans="2:10" x14ac:dyDescent="0.25">
      <c r="B63" s="121"/>
      <c r="C63" s="121"/>
      <c r="H63" s="24"/>
      <c r="I63" s="24"/>
      <c r="J63" s="24"/>
    </row>
    <row r="64" spans="2:10" x14ac:dyDescent="0.25">
      <c r="B64" s="121"/>
      <c r="C64" s="121"/>
      <c r="H64" s="24"/>
      <c r="I64" s="24"/>
      <c r="J64" s="24"/>
    </row>
    <row r="65" spans="2:10" x14ac:dyDescent="0.25">
      <c r="B65" s="121"/>
      <c r="C65" s="121"/>
      <c r="H65" s="24"/>
      <c r="I65" s="24"/>
      <c r="J65" s="24"/>
    </row>
    <row r="66" spans="2:10" x14ac:dyDescent="0.25">
      <c r="B66" s="121"/>
      <c r="C66" s="121"/>
      <c r="H66" s="24"/>
      <c r="I66" s="24"/>
      <c r="J66" s="24"/>
    </row>
    <row r="67" spans="2:10" x14ac:dyDescent="0.25">
      <c r="B67" s="121"/>
      <c r="C67" s="121"/>
      <c r="H67" s="24"/>
      <c r="I67" s="24"/>
      <c r="J67" s="24"/>
    </row>
    <row r="68" spans="2:10" x14ac:dyDescent="0.25">
      <c r="B68" s="121"/>
      <c r="C68" s="121"/>
      <c r="H68" s="24"/>
      <c r="I68" s="24"/>
      <c r="J68" s="24"/>
    </row>
    <row r="69" spans="2:10" x14ac:dyDescent="0.25">
      <c r="B69" s="121"/>
      <c r="C69" s="121"/>
      <c r="H69" s="24"/>
      <c r="I69" s="24"/>
      <c r="J69" s="24"/>
    </row>
    <row r="70" spans="2:10" x14ac:dyDescent="0.25">
      <c r="B70" s="121"/>
      <c r="C70" s="121"/>
      <c r="H70" s="24"/>
      <c r="I70" s="24"/>
      <c r="J70" s="24"/>
    </row>
    <row r="71" spans="2:10" x14ac:dyDescent="0.25">
      <c r="B71" s="121"/>
      <c r="C71" s="121"/>
      <c r="H71" s="24"/>
      <c r="I71" s="24"/>
      <c r="J71" s="24"/>
    </row>
    <row r="72" spans="2:10" x14ac:dyDescent="0.25">
      <c r="B72" s="121"/>
      <c r="C72" s="121"/>
      <c r="H72" s="24"/>
      <c r="I72" s="24"/>
      <c r="J72" s="24"/>
    </row>
    <row r="73" spans="2:10" x14ac:dyDescent="0.25">
      <c r="B73" s="121"/>
      <c r="C73" s="121"/>
      <c r="H73" s="24"/>
      <c r="I73" s="24"/>
      <c r="J73" s="24"/>
    </row>
    <row r="74" spans="2:10" x14ac:dyDescent="0.25">
      <c r="B74" s="121"/>
      <c r="C74" s="121"/>
      <c r="H74" s="24"/>
      <c r="I74" s="24"/>
      <c r="J74" s="24"/>
    </row>
    <row r="75" spans="2:10" x14ac:dyDescent="0.25">
      <c r="B75" s="121"/>
      <c r="C75" s="121"/>
      <c r="H75" s="24"/>
      <c r="I75" s="24"/>
      <c r="J75" s="24"/>
    </row>
    <row r="76" spans="2:10" x14ac:dyDescent="0.25">
      <c r="B76" s="121"/>
      <c r="C76" s="121"/>
      <c r="H76" s="24"/>
      <c r="I76" s="24"/>
      <c r="J76" s="24"/>
    </row>
    <row r="77" spans="2:10" x14ac:dyDescent="0.25">
      <c r="B77" s="121"/>
      <c r="C77" s="121"/>
      <c r="H77" s="24"/>
      <c r="I77" s="24"/>
      <c r="J77" s="24"/>
    </row>
    <row r="78" spans="2:10" x14ac:dyDescent="0.25">
      <c r="B78" s="121"/>
      <c r="C78" s="121"/>
      <c r="H78" s="24"/>
      <c r="I78" s="24"/>
      <c r="J78" s="24"/>
    </row>
    <row r="79" spans="2:10" x14ac:dyDescent="0.25">
      <c r="B79" s="121"/>
      <c r="C79" s="121"/>
      <c r="H79" s="24"/>
      <c r="I79" s="24"/>
      <c r="J79" s="24"/>
    </row>
    <row r="80" spans="2:10" x14ac:dyDescent="0.25">
      <c r="B80" s="121"/>
      <c r="C80" s="121"/>
      <c r="H80" s="24"/>
      <c r="I80" s="24"/>
      <c r="J80" s="24"/>
    </row>
    <row r="81" spans="2:10" x14ac:dyDescent="0.25">
      <c r="B81" s="121"/>
      <c r="C81" s="121"/>
      <c r="H81" s="24"/>
      <c r="I81" s="24"/>
      <c r="J81" s="24"/>
    </row>
    <row r="82" spans="2:10" x14ac:dyDescent="0.25">
      <c r="B82" s="121"/>
      <c r="C82" s="121"/>
      <c r="H82" s="24"/>
      <c r="I82" s="24"/>
      <c r="J82" s="24"/>
    </row>
    <row r="83" spans="2:10" x14ac:dyDescent="0.25">
      <c r="B83" s="121"/>
      <c r="C83" s="121"/>
      <c r="H83" s="24"/>
      <c r="I83" s="24"/>
      <c r="J83" s="24"/>
    </row>
    <row r="84" spans="2:10" x14ac:dyDescent="0.25">
      <c r="B84" s="121"/>
      <c r="C84" s="121"/>
      <c r="H84" s="24"/>
      <c r="I84" s="24"/>
      <c r="J84" s="24"/>
    </row>
    <row r="85" spans="2:10" x14ac:dyDescent="0.25">
      <c r="B85" s="121"/>
      <c r="C85" s="121"/>
      <c r="H85" s="24"/>
      <c r="I85" s="24"/>
      <c r="J85" s="24"/>
    </row>
    <row r="86" spans="2:10" x14ac:dyDescent="0.25">
      <c r="B86" s="121"/>
      <c r="C86" s="121"/>
      <c r="H86" s="24"/>
      <c r="I86" s="24"/>
      <c r="J86" s="24"/>
    </row>
    <row r="87" spans="2:10" x14ac:dyDescent="0.25">
      <c r="B87" s="121"/>
      <c r="C87" s="121"/>
      <c r="H87" s="24"/>
      <c r="I87" s="24"/>
      <c r="J87" s="24"/>
    </row>
    <row r="88" spans="2:10" x14ac:dyDescent="0.25">
      <c r="B88" s="121"/>
      <c r="C88" s="121"/>
      <c r="H88" s="24"/>
      <c r="I88" s="24"/>
      <c r="J88" s="24"/>
    </row>
    <row r="89" spans="2:10" x14ac:dyDescent="0.25">
      <c r="B89" s="121"/>
      <c r="C89" s="121"/>
      <c r="H89" s="24"/>
      <c r="I89" s="24"/>
      <c r="J89" s="24"/>
    </row>
    <row r="90" spans="2:10" x14ac:dyDescent="0.25">
      <c r="H90" s="24"/>
      <c r="I90" s="24"/>
      <c r="J90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42604.05059027778</v>
      </c>
      <c r="B1" s="24" t="s">
        <v>216</v>
      </c>
      <c r="C1" s="24" t="s">
        <v>308</v>
      </c>
      <c r="D1" s="24">
        <v>470000</v>
      </c>
      <c r="E1" s="24" t="s">
        <v>318</v>
      </c>
      <c r="F1" s="24" t="str">
        <f>B1</f>
        <v>rtdc.l.rtdc.4044:itc</v>
      </c>
      <c r="G1" s="8">
        <f>A1</f>
        <v>42604.05059027778</v>
      </c>
    </row>
    <row r="2" spans="1:7" x14ac:dyDescent="0.25">
      <c r="A2" s="8">
        <v>42604.051516203705</v>
      </c>
      <c r="B2" s="24" t="s">
        <v>216</v>
      </c>
      <c r="C2" s="24" t="s">
        <v>308</v>
      </c>
      <c r="D2" s="24">
        <v>470000</v>
      </c>
      <c r="E2" s="24" t="s">
        <v>318</v>
      </c>
      <c r="F2" s="24" t="str">
        <f t="shared" ref="F2:F65" si="0">B2</f>
        <v>rtdc.l.rtdc.4044:itc</v>
      </c>
      <c r="G2" s="8">
        <f t="shared" ref="G2:G65" si="1">A2</f>
        <v>42604.051516203705</v>
      </c>
    </row>
    <row r="3" spans="1:7" x14ac:dyDescent="0.25">
      <c r="A3" s="8">
        <v>42604.05945601852</v>
      </c>
      <c r="B3" s="24" t="s">
        <v>212</v>
      </c>
      <c r="C3" s="24" t="s">
        <v>307</v>
      </c>
      <c r="D3" s="24">
        <v>1800000</v>
      </c>
      <c r="E3" s="24" t="s">
        <v>196</v>
      </c>
      <c r="F3" s="24" t="str">
        <f t="shared" si="0"/>
        <v>rtdc.l.rtdc.4026:itc</v>
      </c>
      <c r="G3" s="8">
        <f t="shared" si="1"/>
        <v>42604.05945601852</v>
      </c>
    </row>
    <row r="4" spans="1:7" x14ac:dyDescent="0.25">
      <c r="A4" s="8">
        <v>42604.072476851848</v>
      </c>
      <c r="B4" s="24" t="s">
        <v>253</v>
      </c>
      <c r="C4" s="24" t="s">
        <v>309</v>
      </c>
      <c r="D4" s="24">
        <v>730000</v>
      </c>
      <c r="E4" s="24" t="s">
        <v>276</v>
      </c>
      <c r="F4" s="24" t="str">
        <f t="shared" si="0"/>
        <v>rtdc.l.rtdc.4003:itc</v>
      </c>
      <c r="G4" s="8">
        <f t="shared" si="1"/>
        <v>42604.072476851848</v>
      </c>
    </row>
    <row r="5" spans="1:7" x14ac:dyDescent="0.25">
      <c r="A5" s="8">
        <v>42604.091053240743</v>
      </c>
      <c r="B5" s="24" t="s">
        <v>214</v>
      </c>
      <c r="C5" s="24" t="s">
        <v>311</v>
      </c>
      <c r="D5" s="24">
        <v>1800000</v>
      </c>
      <c r="E5" s="24" t="s">
        <v>196</v>
      </c>
      <c r="F5" s="24" t="str">
        <f t="shared" si="0"/>
        <v>rtdc.l.rtdc.4025:itc</v>
      </c>
      <c r="G5" s="8">
        <f t="shared" si="1"/>
        <v>42604.091053240743</v>
      </c>
    </row>
    <row r="6" spans="1:7" x14ac:dyDescent="0.25">
      <c r="A6" s="8">
        <v>42604.123402777775</v>
      </c>
      <c r="B6" s="24" t="s">
        <v>192</v>
      </c>
      <c r="C6" s="24" t="s">
        <v>373</v>
      </c>
      <c r="D6" s="24">
        <v>2030000</v>
      </c>
      <c r="E6" s="24" t="s">
        <v>273</v>
      </c>
      <c r="F6" s="24" t="str">
        <f t="shared" si="0"/>
        <v>rtdc.l.rtdc.4009:itc</v>
      </c>
      <c r="G6" s="8">
        <f t="shared" si="1"/>
        <v>42604.123402777775</v>
      </c>
    </row>
    <row r="7" spans="1:7" x14ac:dyDescent="0.25">
      <c r="A7" s="8">
        <v>42604.155462962961</v>
      </c>
      <c r="B7" s="24" t="s">
        <v>113</v>
      </c>
      <c r="C7" s="24" t="s">
        <v>376</v>
      </c>
      <c r="D7" s="24">
        <v>1260000</v>
      </c>
      <c r="E7" s="24" t="s">
        <v>652</v>
      </c>
      <c r="F7" s="24" t="str">
        <f t="shared" si="0"/>
        <v>rtdc.l.rtdc.4014:itc</v>
      </c>
      <c r="G7" s="8">
        <f t="shared" si="1"/>
        <v>42604.155462962961</v>
      </c>
    </row>
    <row r="8" spans="1:7" x14ac:dyDescent="0.25">
      <c r="A8" s="8">
        <v>42604.166863425926</v>
      </c>
      <c r="B8" s="24" t="s">
        <v>252</v>
      </c>
      <c r="C8" s="24" t="s">
        <v>381</v>
      </c>
      <c r="D8" s="24">
        <v>930000</v>
      </c>
      <c r="E8" s="24" t="s">
        <v>653</v>
      </c>
      <c r="F8" s="24" t="str">
        <f t="shared" si="0"/>
        <v>rtdc.l.rtdc.4018:itc</v>
      </c>
      <c r="G8" s="8">
        <f t="shared" si="1"/>
        <v>42604.166863425926</v>
      </c>
    </row>
    <row r="9" spans="1:7" ht="15.75" thickBot="1" x14ac:dyDescent="0.3">
      <c r="A9" s="28">
        <v>42604.170405092591</v>
      </c>
      <c r="B9" s="24" t="s">
        <v>179</v>
      </c>
      <c r="C9" s="24" t="s">
        <v>324</v>
      </c>
      <c r="D9" s="24">
        <v>2030000</v>
      </c>
      <c r="E9" s="24" t="s">
        <v>273</v>
      </c>
      <c r="F9" s="24" t="str">
        <f t="shared" si="0"/>
        <v>rtdc.l.rtdc.4008:itc</v>
      </c>
      <c r="G9" s="8">
        <f t="shared" si="1"/>
        <v>42604.170405092591</v>
      </c>
    </row>
    <row r="10" spans="1:7" x14ac:dyDescent="0.25">
      <c r="A10" s="8">
        <v>42604.182997685188</v>
      </c>
      <c r="B10" s="24" t="s">
        <v>180</v>
      </c>
      <c r="C10" s="24" t="s">
        <v>385</v>
      </c>
      <c r="D10" s="24">
        <v>1090000</v>
      </c>
      <c r="E10" s="24" t="s">
        <v>654</v>
      </c>
      <c r="F10" s="24" t="str">
        <f t="shared" si="0"/>
        <v>rtdc.l.rtdc.4020:itc</v>
      </c>
      <c r="G10" s="8">
        <f t="shared" si="1"/>
        <v>42604.182997685188</v>
      </c>
    </row>
    <row r="11" spans="1:7" x14ac:dyDescent="0.25">
      <c r="A11" s="8">
        <v>42604.189618055556</v>
      </c>
      <c r="B11" s="24" t="s">
        <v>147</v>
      </c>
      <c r="C11" s="24" t="s">
        <v>379</v>
      </c>
      <c r="D11" s="24">
        <v>1260000</v>
      </c>
      <c r="E11" s="24" t="s">
        <v>652</v>
      </c>
      <c r="F11" s="24" t="str">
        <f t="shared" si="0"/>
        <v>rtdc.l.rtdc.4037:itc</v>
      </c>
      <c r="G11" s="8">
        <f t="shared" si="1"/>
        <v>42604.189618055556</v>
      </c>
    </row>
    <row r="12" spans="1:7" x14ac:dyDescent="0.25">
      <c r="A12" s="8">
        <v>42604.191793981481</v>
      </c>
      <c r="B12" s="24" t="s">
        <v>216</v>
      </c>
      <c r="C12" s="24" t="s">
        <v>388</v>
      </c>
      <c r="D12" s="24">
        <v>1830000</v>
      </c>
      <c r="E12" s="24" t="s">
        <v>274</v>
      </c>
      <c r="F12" s="24" t="str">
        <f t="shared" si="0"/>
        <v>rtdc.l.rtdc.4044:itc</v>
      </c>
      <c r="G12" s="8">
        <f t="shared" si="1"/>
        <v>42604.191793981481</v>
      </c>
    </row>
    <row r="13" spans="1:7" x14ac:dyDescent="0.25">
      <c r="A13" s="8">
        <v>42604.204282407409</v>
      </c>
      <c r="B13" s="24" t="s">
        <v>205</v>
      </c>
      <c r="C13" s="24" t="s">
        <v>643</v>
      </c>
      <c r="D13" s="24">
        <v>1990000</v>
      </c>
      <c r="E13" s="24" t="s">
        <v>655</v>
      </c>
      <c r="F13" s="24" t="str">
        <f t="shared" si="0"/>
        <v>rtdc.l.rtdc.4002:itc</v>
      </c>
      <c r="G13" s="8">
        <f t="shared" si="1"/>
        <v>42604.204282407409</v>
      </c>
    </row>
    <row r="14" spans="1:7" x14ac:dyDescent="0.25">
      <c r="A14" s="8">
        <v>42604.206273148149</v>
      </c>
      <c r="B14" s="24" t="s">
        <v>192</v>
      </c>
      <c r="C14" s="24" t="s">
        <v>325</v>
      </c>
      <c r="D14" s="24">
        <v>1110000</v>
      </c>
      <c r="E14" s="24" t="s">
        <v>315</v>
      </c>
      <c r="F14" s="24" t="str">
        <f t="shared" si="0"/>
        <v>rtdc.l.rtdc.4009:itc</v>
      </c>
      <c r="G14" s="8">
        <f t="shared" si="1"/>
        <v>42604.206273148149</v>
      </c>
    </row>
    <row r="15" spans="1:7" x14ac:dyDescent="0.25">
      <c r="A15" s="8">
        <v>42604.207291666666</v>
      </c>
      <c r="B15" s="24" t="s">
        <v>205</v>
      </c>
      <c r="C15" s="24" t="s">
        <v>643</v>
      </c>
      <c r="D15" s="24">
        <v>1990000</v>
      </c>
      <c r="E15" s="24" t="s">
        <v>655</v>
      </c>
      <c r="F15" s="24" t="str">
        <f t="shared" si="0"/>
        <v>rtdc.l.rtdc.4002:itc</v>
      </c>
      <c r="G15" s="8">
        <f t="shared" si="1"/>
        <v>42604.207291666666</v>
      </c>
    </row>
    <row r="16" spans="1:7" x14ac:dyDescent="0.25">
      <c r="A16" s="8">
        <v>42604.20815972222</v>
      </c>
      <c r="B16" s="24" t="s">
        <v>215</v>
      </c>
      <c r="C16" s="24" t="s">
        <v>395</v>
      </c>
      <c r="D16" s="24">
        <v>2030000</v>
      </c>
      <c r="E16" s="24" t="s">
        <v>273</v>
      </c>
      <c r="F16" s="24" t="str">
        <f t="shared" si="0"/>
        <v>rtdc.l.rtdc.4007:itc</v>
      </c>
      <c r="G16" s="8">
        <f t="shared" si="1"/>
        <v>42604.20815972222</v>
      </c>
    </row>
    <row r="17" spans="1:7" x14ac:dyDescent="0.25">
      <c r="A17" s="8">
        <v>42604.209699074076</v>
      </c>
      <c r="B17" s="24" t="s">
        <v>153</v>
      </c>
      <c r="C17" s="24" t="s">
        <v>383</v>
      </c>
      <c r="D17" s="24">
        <v>930000</v>
      </c>
      <c r="E17" s="24" t="s">
        <v>653</v>
      </c>
      <c r="F17" s="24" t="str">
        <f t="shared" si="0"/>
        <v>rtdc.l.rtdc.4028:itc</v>
      </c>
      <c r="G17" s="8">
        <f t="shared" si="1"/>
        <v>42604.209699074076</v>
      </c>
    </row>
    <row r="18" spans="1:7" x14ac:dyDescent="0.25">
      <c r="A18" s="8">
        <v>42604.216261574074</v>
      </c>
      <c r="B18" s="24" t="s">
        <v>206</v>
      </c>
      <c r="C18" s="24" t="s">
        <v>553</v>
      </c>
      <c r="D18" s="24">
        <v>1990000</v>
      </c>
      <c r="E18" s="24" t="s">
        <v>655</v>
      </c>
      <c r="F18" s="24" t="str">
        <f t="shared" si="0"/>
        <v>rtdc.l.rtdc.4001:itc</v>
      </c>
      <c r="G18" s="8">
        <f t="shared" si="1"/>
        <v>42604.216261574074</v>
      </c>
    </row>
    <row r="19" spans="1:7" x14ac:dyDescent="0.25">
      <c r="A19" s="8">
        <v>42604.219363425924</v>
      </c>
      <c r="B19" s="24" t="s">
        <v>181</v>
      </c>
      <c r="C19" s="24" t="s">
        <v>386</v>
      </c>
      <c r="D19" s="24">
        <v>1090000</v>
      </c>
      <c r="E19" s="24" t="s">
        <v>654</v>
      </c>
      <c r="F19" s="24" t="str">
        <f t="shared" si="0"/>
        <v>rtdc.l.rtdc.4019:itc</v>
      </c>
      <c r="G19" s="8">
        <f t="shared" si="1"/>
        <v>42604.219363425924</v>
      </c>
    </row>
    <row r="20" spans="1:7" x14ac:dyDescent="0.25">
      <c r="A20" s="8">
        <v>42604.223530092589</v>
      </c>
      <c r="B20" s="24" t="s">
        <v>189</v>
      </c>
      <c r="C20" s="24" t="s">
        <v>390</v>
      </c>
      <c r="D20" s="24">
        <v>1830000</v>
      </c>
      <c r="E20" s="24" t="s">
        <v>274</v>
      </c>
      <c r="F20" s="24" t="str">
        <f t="shared" si="0"/>
        <v>rtdc.l.rtdc.4043:itc</v>
      </c>
      <c r="G20" s="8">
        <f t="shared" si="1"/>
        <v>42604.223530092589</v>
      </c>
    </row>
    <row r="21" spans="1:7" x14ac:dyDescent="0.25">
      <c r="A21" s="8">
        <v>42604.227465277778</v>
      </c>
      <c r="B21" s="24" t="s">
        <v>113</v>
      </c>
      <c r="C21" s="24" t="s">
        <v>397</v>
      </c>
      <c r="D21" s="24">
        <v>1310000</v>
      </c>
      <c r="E21" s="24" t="s">
        <v>656</v>
      </c>
      <c r="F21" s="24" t="str">
        <f t="shared" si="0"/>
        <v>rtdc.l.rtdc.4014:itc</v>
      </c>
      <c r="G21" s="8">
        <f t="shared" si="1"/>
        <v>42604.227465277778</v>
      </c>
    </row>
    <row r="22" spans="1:7" x14ac:dyDescent="0.25">
      <c r="A22" s="30">
        <v>42604.235335648147</v>
      </c>
      <c r="B22" s="24" t="s">
        <v>155</v>
      </c>
      <c r="C22" s="24" t="s">
        <v>400</v>
      </c>
      <c r="D22" s="24">
        <v>1260000</v>
      </c>
      <c r="E22" s="24" t="s">
        <v>652</v>
      </c>
      <c r="F22" s="24" t="str">
        <f t="shared" si="0"/>
        <v>rtdc.l.rtdc.4038:itc</v>
      </c>
      <c r="G22" s="8">
        <f t="shared" si="1"/>
        <v>42604.235335648147</v>
      </c>
    </row>
    <row r="23" spans="1:7" x14ac:dyDescent="0.25">
      <c r="A23" s="8">
        <v>42604.237256944441</v>
      </c>
      <c r="B23" s="24" t="s">
        <v>205</v>
      </c>
      <c r="C23" s="24" t="s">
        <v>326</v>
      </c>
      <c r="D23" s="24">
        <v>1990000</v>
      </c>
      <c r="E23" s="24" t="s">
        <v>655</v>
      </c>
      <c r="F23" s="24" t="str">
        <f t="shared" si="0"/>
        <v>rtdc.l.rtdc.4002:itc</v>
      </c>
      <c r="G23" s="8">
        <f t="shared" si="1"/>
        <v>42604.237256944441</v>
      </c>
    </row>
    <row r="24" spans="1:7" x14ac:dyDescent="0.25">
      <c r="A24" s="8">
        <v>42604.245555555557</v>
      </c>
      <c r="B24" s="24" t="s">
        <v>193</v>
      </c>
      <c r="C24" s="24" t="s">
        <v>327</v>
      </c>
      <c r="D24" s="24">
        <v>1110000</v>
      </c>
      <c r="E24" s="24" t="s">
        <v>315</v>
      </c>
      <c r="F24" s="24" t="str">
        <f t="shared" si="0"/>
        <v>rtdc.l.rtdc.4010:itc</v>
      </c>
      <c r="G24" s="8">
        <f t="shared" si="1"/>
        <v>42604.245555555557</v>
      </c>
    </row>
    <row r="25" spans="1:7" x14ac:dyDescent="0.25">
      <c r="A25" s="8">
        <v>42604.248657407406</v>
      </c>
      <c r="B25" s="24" t="s">
        <v>252</v>
      </c>
      <c r="C25" s="24" t="s">
        <v>402</v>
      </c>
      <c r="D25" s="24">
        <v>930000</v>
      </c>
      <c r="E25" s="24" t="s">
        <v>653</v>
      </c>
      <c r="F25" s="24" t="str">
        <f t="shared" si="0"/>
        <v>rtdc.l.rtdc.4018:itc</v>
      </c>
      <c r="G25" s="8">
        <f t="shared" si="1"/>
        <v>42604.248657407406</v>
      </c>
    </row>
    <row r="26" spans="1:7" x14ac:dyDescent="0.25">
      <c r="A26" s="8">
        <v>42604.249791666669</v>
      </c>
      <c r="B26" s="24" t="s">
        <v>179</v>
      </c>
      <c r="C26" s="24" t="s">
        <v>329</v>
      </c>
      <c r="D26" s="24">
        <v>2030000</v>
      </c>
      <c r="E26" s="24" t="s">
        <v>273</v>
      </c>
      <c r="F26" s="24" t="str">
        <f t="shared" si="0"/>
        <v>rtdc.l.rtdc.4008:itc</v>
      </c>
      <c r="G26" s="8">
        <f t="shared" si="1"/>
        <v>42604.249791666669</v>
      </c>
    </row>
    <row r="27" spans="1:7" x14ac:dyDescent="0.25">
      <c r="A27" s="8">
        <v>42604.256747685184</v>
      </c>
      <c r="B27" s="24" t="s">
        <v>206</v>
      </c>
      <c r="C27" s="24" t="s">
        <v>328</v>
      </c>
      <c r="D27" s="24">
        <v>1990000</v>
      </c>
      <c r="E27" s="24" t="s">
        <v>655</v>
      </c>
      <c r="F27" s="24" t="str">
        <f t="shared" si="0"/>
        <v>rtdc.l.rtdc.4001:itc</v>
      </c>
      <c r="G27" s="8">
        <f t="shared" si="1"/>
        <v>42604.256747685184</v>
      </c>
    </row>
    <row r="28" spans="1:7" x14ac:dyDescent="0.25">
      <c r="A28" s="8">
        <v>42604.2578125</v>
      </c>
      <c r="B28" s="24" t="s">
        <v>180</v>
      </c>
      <c r="C28" s="24" t="s">
        <v>406</v>
      </c>
      <c r="D28" s="24">
        <v>1090000</v>
      </c>
      <c r="E28" s="24" t="s">
        <v>654</v>
      </c>
      <c r="F28" s="24" t="str">
        <f t="shared" si="0"/>
        <v>rtdc.l.rtdc.4020:itc</v>
      </c>
      <c r="G28" s="8">
        <f t="shared" si="1"/>
        <v>42604.2578125</v>
      </c>
    </row>
    <row r="29" spans="1:7" x14ac:dyDescent="0.25">
      <c r="A29" s="8">
        <v>42604.260127314818</v>
      </c>
      <c r="B29" s="24" t="s">
        <v>154</v>
      </c>
      <c r="C29" s="24" t="s">
        <v>557</v>
      </c>
      <c r="D29" s="24">
        <v>900000</v>
      </c>
      <c r="E29" s="24" t="s">
        <v>313</v>
      </c>
      <c r="F29" s="24" t="str">
        <f t="shared" si="0"/>
        <v>rtdc.l.rtdc.4042:itc</v>
      </c>
      <c r="G29" s="8">
        <f t="shared" si="1"/>
        <v>42604.260127314818</v>
      </c>
    </row>
    <row r="30" spans="1:7" x14ac:dyDescent="0.25">
      <c r="A30" s="8">
        <v>42604.265219907407</v>
      </c>
      <c r="B30" s="24" t="s">
        <v>216</v>
      </c>
      <c r="C30" s="24" t="s">
        <v>409</v>
      </c>
      <c r="D30" s="24">
        <v>1830000</v>
      </c>
      <c r="E30" s="24" t="s">
        <v>274</v>
      </c>
      <c r="F30" s="24" t="str">
        <f t="shared" si="0"/>
        <v>rtdc.l.rtdc.4044:itc</v>
      </c>
      <c r="G30" s="8">
        <f t="shared" si="1"/>
        <v>42604.265219907407</v>
      </c>
    </row>
    <row r="31" spans="1:7" x14ac:dyDescent="0.25">
      <c r="A31" s="8">
        <v>42604.267650462964</v>
      </c>
      <c r="B31" s="24" t="s">
        <v>91</v>
      </c>
      <c r="C31" s="24" t="s">
        <v>398</v>
      </c>
      <c r="D31" s="24">
        <v>1310000</v>
      </c>
      <c r="E31" s="24" t="s">
        <v>656</v>
      </c>
      <c r="F31" s="24" t="str">
        <f t="shared" si="0"/>
        <v>rtdc.l.rtdc.4013:itc</v>
      </c>
      <c r="G31" s="8">
        <f t="shared" si="1"/>
        <v>42604.267650462964</v>
      </c>
    </row>
    <row r="32" spans="1:7" x14ac:dyDescent="0.25">
      <c r="A32" s="8">
        <v>42604.268923611111</v>
      </c>
      <c r="B32" s="24" t="s">
        <v>147</v>
      </c>
      <c r="C32" s="24" t="s">
        <v>401</v>
      </c>
      <c r="D32" s="24">
        <v>1260000</v>
      </c>
      <c r="E32" s="24" t="s">
        <v>652</v>
      </c>
      <c r="F32" s="24" t="str">
        <f t="shared" si="0"/>
        <v>rtdc.l.rtdc.4037:itc</v>
      </c>
      <c r="G32" s="8">
        <f t="shared" si="1"/>
        <v>42604.268923611111</v>
      </c>
    </row>
    <row r="33" spans="1:7" x14ac:dyDescent="0.25">
      <c r="A33" s="8">
        <v>42604.275682870371</v>
      </c>
      <c r="B33" s="24" t="s">
        <v>213</v>
      </c>
      <c r="C33" s="24" t="s">
        <v>330</v>
      </c>
      <c r="D33" s="24">
        <v>900000</v>
      </c>
      <c r="E33" s="24" t="s">
        <v>313</v>
      </c>
      <c r="F33" s="24" t="str">
        <f t="shared" si="0"/>
        <v>rtdc.l.rtdc.4041:itc</v>
      </c>
      <c r="G33" s="8">
        <f t="shared" si="1"/>
        <v>42604.275682870371</v>
      </c>
    </row>
    <row r="34" spans="1:7" x14ac:dyDescent="0.25">
      <c r="A34" s="8">
        <v>42604.278564814813</v>
      </c>
      <c r="B34" s="24" t="s">
        <v>192</v>
      </c>
      <c r="C34" s="24" t="s">
        <v>411</v>
      </c>
      <c r="D34" s="24">
        <v>1110000</v>
      </c>
      <c r="E34" s="24" t="s">
        <v>315</v>
      </c>
      <c r="F34" s="24" t="str">
        <f t="shared" si="0"/>
        <v>rtdc.l.rtdc.4009:itc</v>
      </c>
      <c r="G34" s="8">
        <f t="shared" si="1"/>
        <v>42604.278564814813</v>
      </c>
    </row>
    <row r="35" spans="1:7" x14ac:dyDescent="0.25">
      <c r="A35" s="8">
        <v>42604.28019675926</v>
      </c>
      <c r="B35" s="24" t="s">
        <v>205</v>
      </c>
      <c r="C35" s="24" t="s">
        <v>562</v>
      </c>
      <c r="D35" s="24">
        <v>1990000</v>
      </c>
      <c r="E35" s="24" t="s">
        <v>655</v>
      </c>
      <c r="F35" s="24" t="str">
        <f t="shared" si="0"/>
        <v>rtdc.l.rtdc.4002:itc</v>
      </c>
      <c r="G35" s="8">
        <f t="shared" si="1"/>
        <v>42604.28019675926</v>
      </c>
    </row>
    <row r="36" spans="1:7" x14ac:dyDescent="0.25">
      <c r="A36" s="8">
        <v>42604.281944444447</v>
      </c>
      <c r="B36" s="24" t="s">
        <v>251</v>
      </c>
      <c r="C36" s="24" t="s">
        <v>331</v>
      </c>
      <c r="D36" s="24">
        <v>930000</v>
      </c>
      <c r="E36" s="24" t="s">
        <v>653</v>
      </c>
      <c r="F36" s="24" t="str">
        <f t="shared" si="0"/>
        <v>rtdc.l.rtdc.4017:itc</v>
      </c>
      <c r="G36" s="8">
        <f t="shared" si="1"/>
        <v>42604.281944444447</v>
      </c>
    </row>
    <row r="37" spans="1:7" x14ac:dyDescent="0.25">
      <c r="A37" s="8">
        <v>42604.289456018516</v>
      </c>
      <c r="B37" s="24" t="s">
        <v>215</v>
      </c>
      <c r="C37" s="24" t="s">
        <v>412</v>
      </c>
      <c r="D37" s="24">
        <v>2030000</v>
      </c>
      <c r="E37" s="24" t="s">
        <v>273</v>
      </c>
      <c r="F37" s="24" t="str">
        <f t="shared" si="0"/>
        <v>rtdc.l.rtdc.4007:itc</v>
      </c>
      <c r="G37" s="8">
        <f t="shared" si="1"/>
        <v>42604.289456018516</v>
      </c>
    </row>
    <row r="38" spans="1:7" x14ac:dyDescent="0.25">
      <c r="A38" s="8">
        <v>42604.293877314813</v>
      </c>
      <c r="B38" s="24" t="s">
        <v>181</v>
      </c>
      <c r="C38" s="24" t="s">
        <v>407</v>
      </c>
      <c r="D38" s="24">
        <v>1090000</v>
      </c>
      <c r="E38" s="24" t="s">
        <v>654</v>
      </c>
      <c r="F38" s="24" t="str">
        <f t="shared" si="0"/>
        <v>rtdc.l.rtdc.4019:itc</v>
      </c>
      <c r="G38" s="8">
        <f t="shared" si="1"/>
        <v>42604.293877314813</v>
      </c>
    </row>
    <row r="39" spans="1:7" x14ac:dyDescent="0.25">
      <c r="A39" s="8">
        <v>42604.296307870369</v>
      </c>
      <c r="B39" s="24" t="s">
        <v>206</v>
      </c>
      <c r="C39" s="24" t="s">
        <v>563</v>
      </c>
      <c r="D39" s="24">
        <v>1990000</v>
      </c>
      <c r="E39" s="24" t="s">
        <v>655</v>
      </c>
      <c r="F39" s="24" t="str">
        <f t="shared" si="0"/>
        <v>rtdc.l.rtdc.4001:itc</v>
      </c>
      <c r="G39" s="8">
        <f t="shared" si="1"/>
        <v>42604.296307870369</v>
      </c>
    </row>
    <row r="40" spans="1:7" x14ac:dyDescent="0.25">
      <c r="A40" s="8">
        <v>42604.296909722223</v>
      </c>
      <c r="B40" s="29" t="s">
        <v>189</v>
      </c>
      <c r="C40" s="24" t="s">
        <v>410</v>
      </c>
      <c r="D40" s="24">
        <v>1830000</v>
      </c>
      <c r="E40" s="24" t="s">
        <v>274</v>
      </c>
      <c r="F40" s="24" t="str">
        <f t="shared" si="0"/>
        <v>rtdc.l.rtdc.4043:itc</v>
      </c>
      <c r="G40" s="8">
        <f t="shared" si="1"/>
        <v>42604.296909722223</v>
      </c>
    </row>
    <row r="41" spans="1:7" x14ac:dyDescent="0.25">
      <c r="A41" s="8">
        <v>42604.301099537035</v>
      </c>
      <c r="B41" s="24" t="s">
        <v>113</v>
      </c>
      <c r="C41" s="24" t="s">
        <v>332</v>
      </c>
      <c r="D41" s="24">
        <v>1310000</v>
      </c>
      <c r="E41" s="24" t="s">
        <v>656</v>
      </c>
      <c r="F41" s="24" t="str">
        <f t="shared" si="0"/>
        <v>rtdc.l.rtdc.4014:itc</v>
      </c>
      <c r="G41" s="8">
        <f t="shared" si="1"/>
        <v>42604.301099537035</v>
      </c>
    </row>
    <row r="42" spans="1:7" x14ac:dyDescent="0.25">
      <c r="A42" s="8">
        <v>42604.304328703707</v>
      </c>
      <c r="B42" s="24" t="s">
        <v>154</v>
      </c>
      <c r="C42" s="24" t="s">
        <v>565</v>
      </c>
      <c r="D42" s="24">
        <v>900000</v>
      </c>
      <c r="E42" s="24" t="s">
        <v>313</v>
      </c>
      <c r="F42" s="24" t="str">
        <f t="shared" si="0"/>
        <v>rtdc.l.rtdc.4042:itc</v>
      </c>
      <c r="G42" s="8">
        <f t="shared" si="1"/>
        <v>42604.304328703707</v>
      </c>
    </row>
    <row r="43" spans="1:7" x14ac:dyDescent="0.25">
      <c r="A43" s="8">
        <v>42604.309328703705</v>
      </c>
      <c r="B43" s="24" t="s">
        <v>155</v>
      </c>
      <c r="C43" s="24" t="s">
        <v>333</v>
      </c>
      <c r="D43" s="24">
        <v>1260000</v>
      </c>
      <c r="E43" s="24" t="s">
        <v>652</v>
      </c>
      <c r="F43" s="24" t="str">
        <f t="shared" si="0"/>
        <v>rtdc.l.rtdc.4038:itc</v>
      </c>
      <c r="G43" s="8">
        <f t="shared" si="1"/>
        <v>42604.309328703705</v>
      </c>
    </row>
    <row r="44" spans="1:7" x14ac:dyDescent="0.25">
      <c r="A44" s="8">
        <v>42604.318437499998</v>
      </c>
      <c r="B44" s="24" t="s">
        <v>213</v>
      </c>
      <c r="C44" s="24" t="s">
        <v>568</v>
      </c>
      <c r="D44" s="24">
        <v>900000</v>
      </c>
      <c r="E44" s="24" t="s">
        <v>313</v>
      </c>
      <c r="F44" s="24" t="str">
        <f t="shared" si="0"/>
        <v>rtdc.l.rtdc.4041:itc</v>
      </c>
      <c r="G44" s="8">
        <f t="shared" si="1"/>
        <v>42604.318437499998</v>
      </c>
    </row>
    <row r="45" spans="1:7" x14ac:dyDescent="0.25">
      <c r="A45" s="8">
        <v>42604.319189814814</v>
      </c>
      <c r="B45" s="24" t="s">
        <v>252</v>
      </c>
      <c r="C45" s="24" t="s">
        <v>417</v>
      </c>
      <c r="D45" s="24">
        <v>930000</v>
      </c>
      <c r="E45" s="24" t="s">
        <v>653</v>
      </c>
      <c r="F45" s="24" t="str">
        <f t="shared" si="0"/>
        <v>rtdc.l.rtdc.4018:itc</v>
      </c>
      <c r="G45" s="8">
        <f t="shared" si="1"/>
        <v>42604.319189814814</v>
      </c>
    </row>
    <row r="46" spans="1:7" x14ac:dyDescent="0.25">
      <c r="A46" s="8">
        <v>42604.320243055554</v>
      </c>
      <c r="B46" s="24" t="s">
        <v>193</v>
      </c>
      <c r="C46" s="24" t="s">
        <v>334</v>
      </c>
      <c r="D46" s="24">
        <v>1110000</v>
      </c>
      <c r="E46" s="24" t="s">
        <v>315</v>
      </c>
      <c r="F46" s="24" t="str">
        <f t="shared" si="0"/>
        <v>rtdc.l.rtdc.4010:itc</v>
      </c>
      <c r="G46" s="8">
        <f t="shared" si="1"/>
        <v>42604.320243055554</v>
      </c>
    </row>
    <row r="47" spans="1:7" x14ac:dyDescent="0.25">
      <c r="A47" s="8">
        <v>42604.322118055556</v>
      </c>
      <c r="B47" s="24" t="s">
        <v>205</v>
      </c>
      <c r="C47" s="24" t="s">
        <v>571</v>
      </c>
      <c r="D47" s="24">
        <v>1990000</v>
      </c>
      <c r="E47" s="24" t="s">
        <v>655</v>
      </c>
      <c r="F47" s="24" t="str">
        <f t="shared" si="0"/>
        <v>rtdc.l.rtdc.4002:itc</v>
      </c>
      <c r="G47" s="8">
        <f t="shared" si="1"/>
        <v>42604.322118055556</v>
      </c>
    </row>
    <row r="48" spans="1:7" x14ac:dyDescent="0.25">
      <c r="A48" s="8">
        <v>42604.324594907404</v>
      </c>
      <c r="B48" s="24" t="s">
        <v>179</v>
      </c>
      <c r="C48" s="24" t="s">
        <v>336</v>
      </c>
      <c r="D48" s="24">
        <v>2030000</v>
      </c>
      <c r="E48" s="24" t="s">
        <v>273</v>
      </c>
      <c r="F48" s="24" t="str">
        <f t="shared" si="0"/>
        <v>rtdc.l.rtdc.4008:itc</v>
      </c>
      <c r="G48" s="8">
        <f t="shared" si="1"/>
        <v>42604.324594907404</v>
      </c>
    </row>
    <row r="49" spans="1:7" x14ac:dyDescent="0.25">
      <c r="A49" s="8">
        <v>42604.32984953704</v>
      </c>
      <c r="B49" s="24" t="s">
        <v>180</v>
      </c>
      <c r="C49" s="24" t="s">
        <v>420</v>
      </c>
      <c r="D49" s="24">
        <v>1090000</v>
      </c>
      <c r="E49" s="24" t="s">
        <v>654</v>
      </c>
      <c r="F49" s="24" t="str">
        <f t="shared" si="0"/>
        <v>rtdc.l.rtdc.4020:itc</v>
      </c>
      <c r="G49" s="8">
        <f t="shared" si="1"/>
        <v>42604.32984953704</v>
      </c>
    </row>
    <row r="50" spans="1:7" x14ac:dyDescent="0.25">
      <c r="A50" s="8">
        <v>42604.338136574072</v>
      </c>
      <c r="B50" s="24" t="s">
        <v>206</v>
      </c>
      <c r="C50" s="24" t="s">
        <v>574</v>
      </c>
      <c r="D50" s="24">
        <v>1990000</v>
      </c>
      <c r="E50" s="24" t="s">
        <v>655</v>
      </c>
      <c r="F50" s="24" t="str">
        <f t="shared" si="0"/>
        <v>rtdc.l.rtdc.4001:itc</v>
      </c>
      <c r="G50" s="8">
        <f t="shared" si="1"/>
        <v>42604.338136574072</v>
      </c>
    </row>
    <row r="51" spans="1:7" x14ac:dyDescent="0.25">
      <c r="A51" s="8">
        <v>42604.339062500003</v>
      </c>
      <c r="B51" s="24" t="s">
        <v>91</v>
      </c>
      <c r="C51" s="24" t="s">
        <v>415</v>
      </c>
      <c r="D51" s="24">
        <v>1310000</v>
      </c>
      <c r="E51" s="24" t="s">
        <v>656</v>
      </c>
      <c r="F51" s="24" t="str">
        <f t="shared" si="0"/>
        <v>rtdc.l.rtdc.4013:itc</v>
      </c>
      <c r="G51" s="8">
        <f t="shared" si="1"/>
        <v>42604.339062500003</v>
      </c>
    </row>
    <row r="52" spans="1:7" x14ac:dyDescent="0.25">
      <c r="A52" s="8">
        <v>42604.346736111111</v>
      </c>
      <c r="B52" s="24" t="s">
        <v>147</v>
      </c>
      <c r="C52" s="24" t="s">
        <v>335</v>
      </c>
      <c r="D52" s="24">
        <v>1260000</v>
      </c>
      <c r="E52" s="24" t="s">
        <v>652</v>
      </c>
      <c r="F52" s="24" t="str">
        <f t="shared" si="0"/>
        <v>rtdc.l.rtdc.4037:itc</v>
      </c>
      <c r="G52" s="8">
        <f t="shared" si="1"/>
        <v>42604.346736111111</v>
      </c>
    </row>
    <row r="53" spans="1:7" x14ac:dyDescent="0.25">
      <c r="A53" s="8">
        <v>42604.348275462966</v>
      </c>
      <c r="B53" s="24" t="s">
        <v>154</v>
      </c>
      <c r="C53" s="24" t="s">
        <v>577</v>
      </c>
      <c r="D53" s="24">
        <v>900000</v>
      </c>
      <c r="E53" s="24" t="s">
        <v>313</v>
      </c>
      <c r="F53" s="24" t="str">
        <f t="shared" si="0"/>
        <v>rtdc.l.rtdc.4042:itc</v>
      </c>
      <c r="G53" s="8">
        <f t="shared" si="1"/>
        <v>42604.348275462966</v>
      </c>
    </row>
    <row r="54" spans="1:7" x14ac:dyDescent="0.25">
      <c r="A54" s="8">
        <v>42604.348275462966</v>
      </c>
      <c r="B54" s="24" t="s">
        <v>216</v>
      </c>
      <c r="C54" s="24" t="s">
        <v>423</v>
      </c>
      <c r="D54" s="24">
        <v>1830000</v>
      </c>
      <c r="E54" s="24" t="s">
        <v>274</v>
      </c>
      <c r="F54" s="24" t="str">
        <f t="shared" si="0"/>
        <v>rtdc.l.rtdc.4044:itc</v>
      </c>
      <c r="G54" s="8">
        <f t="shared" si="1"/>
        <v>42604.348275462966</v>
      </c>
    </row>
    <row r="55" spans="1:7" x14ac:dyDescent="0.25">
      <c r="A55" s="8">
        <v>42604.352326388886</v>
      </c>
      <c r="B55" s="24" t="s">
        <v>192</v>
      </c>
      <c r="C55" s="24" t="s">
        <v>337</v>
      </c>
      <c r="D55" s="24">
        <v>1110000</v>
      </c>
      <c r="E55" s="24" t="s">
        <v>315</v>
      </c>
      <c r="F55" s="24" t="str">
        <f t="shared" si="0"/>
        <v>rtdc.l.rtdc.4009:itc</v>
      </c>
      <c r="G55" s="8">
        <f t="shared" si="1"/>
        <v>42604.352326388886</v>
      </c>
    </row>
    <row r="56" spans="1:7" x14ac:dyDescent="0.25">
      <c r="A56" s="8">
        <v>42604.354513888888</v>
      </c>
      <c r="B56" s="24" t="s">
        <v>205</v>
      </c>
      <c r="C56" s="24" t="s">
        <v>646</v>
      </c>
      <c r="D56" s="24">
        <v>1990000</v>
      </c>
      <c r="E56" s="24" t="s">
        <v>655</v>
      </c>
      <c r="F56" s="24" t="str">
        <f t="shared" si="0"/>
        <v>rtdc.l.rtdc.4002:itc</v>
      </c>
      <c r="G56" s="8">
        <f t="shared" si="1"/>
        <v>42604.354513888888</v>
      </c>
    </row>
    <row r="57" spans="1:7" x14ac:dyDescent="0.25">
      <c r="A57" s="8">
        <v>42604.356087962966</v>
      </c>
      <c r="B57" s="24" t="s">
        <v>251</v>
      </c>
      <c r="C57" s="24" t="s">
        <v>419</v>
      </c>
      <c r="D57" s="24">
        <v>930000</v>
      </c>
      <c r="E57" s="24" t="s">
        <v>653</v>
      </c>
      <c r="F57" s="24" t="str">
        <f t="shared" si="0"/>
        <v>rtdc.l.rtdc.4017:itc</v>
      </c>
      <c r="G57" s="8">
        <f t="shared" si="1"/>
        <v>42604.356087962966</v>
      </c>
    </row>
    <row r="58" spans="1:7" x14ac:dyDescent="0.25">
      <c r="A58" s="8">
        <v>42604.359942129631</v>
      </c>
      <c r="B58" s="24" t="s">
        <v>213</v>
      </c>
      <c r="C58" s="24" t="s">
        <v>338</v>
      </c>
      <c r="D58" s="24">
        <v>900000</v>
      </c>
      <c r="E58" s="24" t="s">
        <v>313</v>
      </c>
      <c r="F58" s="24" t="str">
        <f t="shared" si="0"/>
        <v>rtdc.l.rtdc.4041:itc</v>
      </c>
      <c r="G58" s="8">
        <f t="shared" si="1"/>
        <v>42604.359942129631</v>
      </c>
    </row>
    <row r="59" spans="1:7" x14ac:dyDescent="0.25">
      <c r="A59" s="8">
        <v>42604.364027777781</v>
      </c>
      <c r="B59" s="24" t="s">
        <v>215</v>
      </c>
      <c r="C59" s="24" t="s">
        <v>427</v>
      </c>
      <c r="D59" s="24">
        <v>2030000</v>
      </c>
      <c r="E59" s="24" t="s">
        <v>273</v>
      </c>
      <c r="F59" s="24" t="str">
        <f t="shared" si="0"/>
        <v>rtdc.l.rtdc.4007:itc</v>
      </c>
      <c r="G59" s="8">
        <f t="shared" si="1"/>
        <v>42604.364027777781</v>
      </c>
    </row>
    <row r="60" spans="1:7" x14ac:dyDescent="0.25">
      <c r="A60" s="8">
        <v>42604.368622685186</v>
      </c>
      <c r="B60" s="24" t="s">
        <v>181</v>
      </c>
      <c r="C60" s="24" t="s">
        <v>422</v>
      </c>
      <c r="D60" s="24">
        <v>1090000</v>
      </c>
      <c r="E60" s="24" t="s">
        <v>654</v>
      </c>
      <c r="F60" s="24" t="str">
        <f t="shared" si="0"/>
        <v>rtdc.l.rtdc.4019:itc</v>
      </c>
      <c r="G60" s="8">
        <f t="shared" si="1"/>
        <v>42604.368622685186</v>
      </c>
    </row>
    <row r="61" spans="1:7" x14ac:dyDescent="0.25">
      <c r="A61" s="8">
        <v>42604.371111111112</v>
      </c>
      <c r="B61" s="24" t="s">
        <v>189</v>
      </c>
      <c r="C61" s="24" t="s">
        <v>339</v>
      </c>
      <c r="D61" s="24">
        <v>1830000</v>
      </c>
      <c r="E61" s="24" t="s">
        <v>274</v>
      </c>
      <c r="F61" s="24" t="str">
        <f t="shared" si="0"/>
        <v>rtdc.l.rtdc.4043:itc</v>
      </c>
      <c r="G61" s="8">
        <f t="shared" si="1"/>
        <v>42604.371111111112</v>
      </c>
    </row>
    <row r="62" spans="1:7" x14ac:dyDescent="0.25">
      <c r="A62" s="8">
        <v>42604.373680555553</v>
      </c>
      <c r="B62" s="24" t="s">
        <v>113</v>
      </c>
      <c r="C62" s="24" t="s">
        <v>429</v>
      </c>
      <c r="D62" s="24">
        <v>1310000</v>
      </c>
      <c r="E62" s="24" t="s">
        <v>656</v>
      </c>
      <c r="F62" s="24" t="str">
        <f t="shared" si="0"/>
        <v>rtdc.l.rtdc.4014:itc</v>
      </c>
      <c r="G62" s="8">
        <f t="shared" si="1"/>
        <v>42604.373680555553</v>
      </c>
    </row>
    <row r="63" spans="1:7" x14ac:dyDescent="0.25">
      <c r="A63" s="8">
        <v>42604.383460648147</v>
      </c>
      <c r="B63" s="24" t="s">
        <v>155</v>
      </c>
      <c r="C63" s="24" t="s">
        <v>433</v>
      </c>
      <c r="D63" s="24">
        <v>1260000</v>
      </c>
      <c r="E63" s="24" t="s">
        <v>652</v>
      </c>
      <c r="F63" s="24" t="str">
        <f t="shared" si="0"/>
        <v>rtdc.l.rtdc.4038:itc</v>
      </c>
      <c r="G63" s="8">
        <f t="shared" si="1"/>
        <v>42604.383460648147</v>
      </c>
    </row>
    <row r="64" spans="1:7" x14ac:dyDescent="0.25">
      <c r="A64" s="30">
        <v>42604.386157407411</v>
      </c>
      <c r="B64" s="24" t="s">
        <v>154</v>
      </c>
      <c r="C64" s="24" t="s">
        <v>340</v>
      </c>
      <c r="D64" s="24">
        <v>900000</v>
      </c>
      <c r="E64" s="24" t="s">
        <v>313</v>
      </c>
      <c r="F64" s="24" t="str">
        <f t="shared" si="0"/>
        <v>rtdc.l.rtdc.4042:itc</v>
      </c>
      <c r="G64" s="8">
        <f t="shared" si="1"/>
        <v>42604.386157407411</v>
      </c>
    </row>
    <row r="65" spans="1:7" x14ac:dyDescent="0.25">
      <c r="A65" s="8">
        <v>42604.391342592593</v>
      </c>
      <c r="B65" s="24" t="s">
        <v>193</v>
      </c>
      <c r="C65" s="24" t="s">
        <v>426</v>
      </c>
      <c r="D65" s="24">
        <v>1110000</v>
      </c>
      <c r="E65" s="24" t="s">
        <v>315</v>
      </c>
      <c r="F65" s="24" t="str">
        <f t="shared" si="0"/>
        <v>rtdc.l.rtdc.4010:itc</v>
      </c>
      <c r="G65" s="8">
        <f t="shared" si="1"/>
        <v>42604.391342592593</v>
      </c>
    </row>
    <row r="66" spans="1:7" x14ac:dyDescent="0.25">
      <c r="A66" s="8">
        <v>42604.393229166664</v>
      </c>
      <c r="B66" s="24" t="s">
        <v>252</v>
      </c>
      <c r="C66" s="24" t="s">
        <v>436</v>
      </c>
      <c r="D66" s="24">
        <v>930000</v>
      </c>
      <c r="E66" s="24" t="s">
        <v>653</v>
      </c>
      <c r="F66" s="24" t="str">
        <f t="shared" ref="F66:F129" si="2">B66</f>
        <v>rtdc.l.rtdc.4018:itc</v>
      </c>
      <c r="G66" s="8">
        <f t="shared" ref="G66:G129" si="3">A66</f>
        <v>42604.393229166664</v>
      </c>
    </row>
    <row r="67" spans="1:7" x14ac:dyDescent="0.25">
      <c r="A67" s="8">
        <v>42604.396874999999</v>
      </c>
      <c r="B67" s="24" t="s">
        <v>179</v>
      </c>
      <c r="C67" s="24" t="s">
        <v>341</v>
      </c>
      <c r="D67" s="24">
        <v>2030000</v>
      </c>
      <c r="E67" s="24" t="s">
        <v>273</v>
      </c>
      <c r="F67" s="24" t="str">
        <f t="shared" si="2"/>
        <v>rtdc.l.rtdc.4008:itc</v>
      </c>
      <c r="G67" s="8">
        <f t="shared" si="3"/>
        <v>42604.396874999999</v>
      </c>
    </row>
    <row r="68" spans="1:7" x14ac:dyDescent="0.25">
      <c r="A68" s="8">
        <v>42604.401782407411</v>
      </c>
      <c r="B68" s="24" t="s">
        <v>213</v>
      </c>
      <c r="C68" s="24" t="s">
        <v>584</v>
      </c>
      <c r="D68" s="24">
        <v>900000</v>
      </c>
      <c r="E68" s="24" t="s">
        <v>313</v>
      </c>
      <c r="F68" s="24" t="str">
        <f t="shared" si="2"/>
        <v>rtdc.l.rtdc.4041:itc</v>
      </c>
      <c r="G68" s="8">
        <f t="shared" si="3"/>
        <v>42604.401782407411</v>
      </c>
    </row>
    <row r="69" spans="1:7" x14ac:dyDescent="0.25">
      <c r="A69" s="8">
        <v>42604.401817129627</v>
      </c>
      <c r="B69" s="24" t="s">
        <v>180</v>
      </c>
      <c r="C69" s="24" t="s">
        <v>439</v>
      </c>
      <c r="D69" s="24">
        <v>1090000</v>
      </c>
      <c r="E69" s="24" t="s">
        <v>654</v>
      </c>
      <c r="F69" s="24" t="str">
        <f t="shared" si="2"/>
        <v>rtdc.l.rtdc.4020:itc</v>
      </c>
      <c r="G69" s="8">
        <f t="shared" si="3"/>
        <v>42604.401817129627</v>
      </c>
    </row>
    <row r="70" spans="1:7" x14ac:dyDescent="0.25">
      <c r="A70" s="8">
        <v>42604.410925925928</v>
      </c>
      <c r="B70" s="24" t="s">
        <v>216</v>
      </c>
      <c r="C70" s="24" t="s">
        <v>440</v>
      </c>
      <c r="D70" s="24">
        <v>1830000</v>
      </c>
      <c r="E70" s="24" t="s">
        <v>274</v>
      </c>
      <c r="F70" s="24" t="str">
        <f t="shared" si="2"/>
        <v>rtdc.l.rtdc.4044:itc</v>
      </c>
      <c r="G70" s="8">
        <f t="shared" si="3"/>
        <v>42604.410925925928</v>
      </c>
    </row>
    <row r="71" spans="1:7" x14ac:dyDescent="0.25">
      <c r="A71" s="8">
        <v>42604.412870370368</v>
      </c>
      <c r="B71" s="24" t="s">
        <v>91</v>
      </c>
      <c r="C71" s="24" t="s">
        <v>431</v>
      </c>
      <c r="D71" s="24">
        <v>1310000</v>
      </c>
      <c r="E71" s="24" t="s">
        <v>656</v>
      </c>
      <c r="F71" s="24" t="str">
        <f t="shared" si="2"/>
        <v>rtdc.l.rtdc.4013:itc</v>
      </c>
      <c r="G71" s="8">
        <f t="shared" si="3"/>
        <v>42604.412870370368</v>
      </c>
    </row>
    <row r="72" spans="1:7" x14ac:dyDescent="0.25">
      <c r="A72" s="8">
        <v>42604.416203703702</v>
      </c>
      <c r="B72" s="24" t="s">
        <v>147</v>
      </c>
      <c r="C72" s="24" t="s">
        <v>435</v>
      </c>
      <c r="D72" s="24">
        <v>1260000</v>
      </c>
      <c r="E72" s="24" t="s">
        <v>652</v>
      </c>
      <c r="F72" s="24" t="str">
        <f t="shared" si="2"/>
        <v>rtdc.l.rtdc.4037:itc</v>
      </c>
      <c r="G72" s="8">
        <f t="shared" si="3"/>
        <v>42604.416203703702</v>
      </c>
    </row>
    <row r="73" spans="1:7" x14ac:dyDescent="0.25">
      <c r="A73" s="8">
        <v>42604.423680555556</v>
      </c>
      <c r="B73" s="24" t="s">
        <v>192</v>
      </c>
      <c r="C73" s="24" t="s">
        <v>342</v>
      </c>
      <c r="D73" s="24">
        <v>1110000</v>
      </c>
      <c r="E73" s="24" t="s">
        <v>315</v>
      </c>
      <c r="F73" s="24" t="str">
        <f t="shared" si="2"/>
        <v>rtdc.l.rtdc.4009:itc</v>
      </c>
      <c r="G73" s="8">
        <f t="shared" si="3"/>
        <v>42604.423680555556</v>
      </c>
    </row>
    <row r="74" spans="1:7" x14ac:dyDescent="0.25">
      <c r="A74" s="8">
        <v>42604.431145833332</v>
      </c>
      <c r="B74" s="24" t="s">
        <v>251</v>
      </c>
      <c r="C74" s="24" t="s">
        <v>437</v>
      </c>
      <c r="D74" s="24">
        <v>930000</v>
      </c>
      <c r="E74" s="24" t="s">
        <v>653</v>
      </c>
      <c r="F74" s="24" t="str">
        <f t="shared" si="2"/>
        <v>rtdc.l.rtdc.4017:itc</v>
      </c>
      <c r="G74" s="8">
        <f t="shared" si="3"/>
        <v>42604.431145833332</v>
      </c>
    </row>
    <row r="75" spans="1:7" x14ac:dyDescent="0.25">
      <c r="A75" s="8">
        <v>42604.43141203704</v>
      </c>
      <c r="B75" s="24" t="s">
        <v>154</v>
      </c>
      <c r="C75" s="24" t="s">
        <v>584</v>
      </c>
      <c r="D75" s="24">
        <v>900000</v>
      </c>
      <c r="E75" s="24" t="s">
        <v>313</v>
      </c>
      <c r="F75" s="24" t="str">
        <f t="shared" si="2"/>
        <v>rtdc.l.rtdc.4042:itc</v>
      </c>
      <c r="G75" s="8">
        <f t="shared" si="3"/>
        <v>42604.43141203704</v>
      </c>
    </row>
    <row r="76" spans="1:7" x14ac:dyDescent="0.25">
      <c r="A76" s="8">
        <v>42604.43209490741</v>
      </c>
      <c r="B76" s="24" t="s">
        <v>154</v>
      </c>
      <c r="C76" s="24" t="s">
        <v>587</v>
      </c>
      <c r="D76" s="24">
        <v>900000</v>
      </c>
      <c r="E76" s="24" t="s">
        <v>313</v>
      </c>
      <c r="F76" s="24" t="str">
        <f t="shared" si="2"/>
        <v>rtdc.l.rtdc.4042:itc</v>
      </c>
      <c r="G76" s="8">
        <f t="shared" si="3"/>
        <v>42604.43209490741</v>
      </c>
    </row>
    <row r="77" spans="1:7" x14ac:dyDescent="0.25">
      <c r="A77" s="8">
        <v>42604.434548611112</v>
      </c>
      <c r="B77" s="24" t="s">
        <v>215</v>
      </c>
      <c r="C77" s="24" t="s">
        <v>444</v>
      </c>
      <c r="D77" s="24">
        <v>1990000</v>
      </c>
      <c r="E77" s="24" t="s">
        <v>655</v>
      </c>
      <c r="F77" s="24" t="str">
        <f t="shared" si="2"/>
        <v>rtdc.l.rtdc.4007:itc</v>
      </c>
      <c r="G77" s="8">
        <f t="shared" si="3"/>
        <v>42604.434548611112</v>
      </c>
    </row>
    <row r="78" spans="1:7" x14ac:dyDescent="0.25">
      <c r="A78" s="8">
        <v>42604.439282407409</v>
      </c>
      <c r="B78" s="24" t="s">
        <v>181</v>
      </c>
      <c r="C78" s="24" t="s">
        <v>343</v>
      </c>
      <c r="D78" s="24">
        <v>1090000</v>
      </c>
      <c r="E78" s="24" t="s">
        <v>654</v>
      </c>
      <c r="F78" s="24" t="str">
        <f t="shared" si="2"/>
        <v>rtdc.l.rtdc.4019:itc</v>
      </c>
      <c r="G78" s="8">
        <f t="shared" si="3"/>
        <v>42604.439282407409</v>
      </c>
    </row>
    <row r="79" spans="1:7" x14ac:dyDescent="0.25">
      <c r="A79" s="8">
        <v>42604.443425925929</v>
      </c>
      <c r="B79" s="24" t="s">
        <v>213</v>
      </c>
      <c r="C79" s="24" t="s">
        <v>590</v>
      </c>
      <c r="D79" s="24">
        <v>900000</v>
      </c>
      <c r="E79" s="24" t="s">
        <v>313</v>
      </c>
      <c r="F79" s="24" t="str">
        <f t="shared" si="2"/>
        <v>rtdc.l.rtdc.4041:itc</v>
      </c>
      <c r="G79" s="8">
        <f t="shared" si="3"/>
        <v>42604.443425925929</v>
      </c>
    </row>
    <row r="80" spans="1:7" x14ac:dyDescent="0.25">
      <c r="A80" s="8">
        <v>42604.445185185185</v>
      </c>
      <c r="B80" s="24" t="s">
        <v>189</v>
      </c>
      <c r="C80" s="24" t="s">
        <v>442</v>
      </c>
      <c r="D80" s="24">
        <v>1830000</v>
      </c>
      <c r="E80" s="24" t="s">
        <v>274</v>
      </c>
      <c r="F80" s="24" t="str">
        <f t="shared" si="2"/>
        <v>rtdc.l.rtdc.4043:itc</v>
      </c>
      <c r="G80" s="8">
        <f t="shared" si="3"/>
        <v>42604.445185185185</v>
      </c>
    </row>
    <row r="81" spans="1:7" x14ac:dyDescent="0.25">
      <c r="A81" s="8">
        <v>42604.447800925926</v>
      </c>
      <c r="B81" s="24" t="s">
        <v>113</v>
      </c>
      <c r="C81" s="24" t="s">
        <v>449</v>
      </c>
      <c r="D81" s="24">
        <v>1310000</v>
      </c>
      <c r="E81" s="24" t="s">
        <v>656</v>
      </c>
      <c r="F81" s="24" t="str">
        <f t="shared" si="2"/>
        <v>rtdc.l.rtdc.4014:itc</v>
      </c>
      <c r="G81" s="8">
        <f t="shared" si="3"/>
        <v>42604.447800925926</v>
      </c>
    </row>
    <row r="82" spans="1:7" x14ac:dyDescent="0.25">
      <c r="A82" s="8">
        <v>42604.456319444442</v>
      </c>
      <c r="B82" s="24" t="s">
        <v>155</v>
      </c>
      <c r="C82" s="24" t="s">
        <v>451</v>
      </c>
      <c r="D82" s="24">
        <v>880000</v>
      </c>
      <c r="E82" s="24" t="s">
        <v>254</v>
      </c>
      <c r="F82" s="24" t="str">
        <f t="shared" si="2"/>
        <v>rtdc.l.rtdc.4038:itc</v>
      </c>
      <c r="G82" s="8">
        <f t="shared" si="3"/>
        <v>42604.456319444442</v>
      </c>
    </row>
    <row r="83" spans="1:7" x14ac:dyDescent="0.25">
      <c r="A83" s="8">
        <v>42604.45826388889</v>
      </c>
      <c r="B83" s="24" t="s">
        <v>657</v>
      </c>
      <c r="C83" s="24" t="s">
        <v>658</v>
      </c>
      <c r="D83" s="24">
        <v>1480000</v>
      </c>
      <c r="E83" s="24" t="s">
        <v>659</v>
      </c>
      <c r="F83" s="24" t="str">
        <f t="shared" si="2"/>
        <v>rtdc.l.rtdc.4054:itc</v>
      </c>
      <c r="G83" s="8">
        <f t="shared" si="3"/>
        <v>42604.45826388889</v>
      </c>
    </row>
    <row r="84" spans="1:7" x14ac:dyDescent="0.25">
      <c r="A84" s="8">
        <v>42604.462696759256</v>
      </c>
      <c r="B84" s="24" t="s">
        <v>193</v>
      </c>
      <c r="C84" s="24" t="s">
        <v>443</v>
      </c>
      <c r="D84" s="24">
        <v>1110000</v>
      </c>
      <c r="E84" s="24" t="s">
        <v>315</v>
      </c>
      <c r="F84" s="24" t="str">
        <f t="shared" si="2"/>
        <v>rtdc.l.rtdc.4010:itc</v>
      </c>
      <c r="G84" s="8">
        <f t="shared" si="3"/>
        <v>42604.462696759256</v>
      </c>
    </row>
    <row r="85" spans="1:7" x14ac:dyDescent="0.25">
      <c r="A85" s="8">
        <v>42604.467453703706</v>
      </c>
      <c r="B85" s="24" t="s">
        <v>154</v>
      </c>
      <c r="C85" s="24" t="s">
        <v>344</v>
      </c>
      <c r="D85" s="24">
        <v>900000</v>
      </c>
      <c r="E85" s="24" t="s">
        <v>313</v>
      </c>
      <c r="F85" s="24" t="str">
        <f t="shared" si="2"/>
        <v>rtdc.l.rtdc.4042:itc</v>
      </c>
      <c r="G85" s="8">
        <f t="shared" si="3"/>
        <v>42604.467453703706</v>
      </c>
    </row>
    <row r="86" spans="1:7" x14ac:dyDescent="0.25">
      <c r="A86" s="8">
        <v>42604.467777777776</v>
      </c>
      <c r="B86" s="24" t="s">
        <v>252</v>
      </c>
      <c r="C86" s="24" t="s">
        <v>454</v>
      </c>
      <c r="D86" s="24">
        <v>1280000</v>
      </c>
      <c r="E86" s="24" t="s">
        <v>275</v>
      </c>
      <c r="F86" s="24" t="str">
        <f t="shared" si="2"/>
        <v>rtdc.l.rtdc.4018:itc</v>
      </c>
      <c r="G86" s="8">
        <f t="shared" si="3"/>
        <v>42604.467777777776</v>
      </c>
    </row>
    <row r="87" spans="1:7" x14ac:dyDescent="0.25">
      <c r="A87" s="8">
        <v>42604.472430555557</v>
      </c>
      <c r="B87" s="24" t="s">
        <v>179</v>
      </c>
      <c r="C87" s="24" t="s">
        <v>446</v>
      </c>
      <c r="D87" s="24">
        <v>1990000</v>
      </c>
      <c r="E87" s="24" t="s">
        <v>655</v>
      </c>
      <c r="F87" s="24" t="str">
        <f t="shared" si="2"/>
        <v>rtdc.l.rtdc.4008:itc</v>
      </c>
      <c r="G87" s="8">
        <f t="shared" si="3"/>
        <v>42604.472430555557</v>
      </c>
    </row>
    <row r="88" spans="1:7" x14ac:dyDescent="0.25">
      <c r="A88" s="8">
        <v>42604.480104166665</v>
      </c>
      <c r="B88" s="24" t="s">
        <v>180</v>
      </c>
      <c r="C88" s="24" t="s">
        <v>458</v>
      </c>
      <c r="D88" s="24">
        <v>2140000</v>
      </c>
      <c r="E88" s="24" t="s">
        <v>660</v>
      </c>
      <c r="F88" s="24" t="str">
        <f t="shared" si="2"/>
        <v>rtdc.l.rtdc.4020:itc</v>
      </c>
      <c r="G88" s="8">
        <f t="shared" si="3"/>
        <v>42604.480104166665</v>
      </c>
    </row>
    <row r="89" spans="1:7" x14ac:dyDescent="0.25">
      <c r="A89" s="8">
        <v>42604.485891203702</v>
      </c>
      <c r="B89" s="24" t="s">
        <v>213</v>
      </c>
      <c r="C89" s="24" t="s">
        <v>345</v>
      </c>
      <c r="D89" s="24">
        <v>900000</v>
      </c>
      <c r="E89" s="24" t="s">
        <v>313</v>
      </c>
      <c r="F89" s="24" t="str">
        <f t="shared" si="2"/>
        <v>rtdc.l.rtdc.4041:itc</v>
      </c>
      <c r="G89" s="8">
        <f t="shared" si="3"/>
        <v>42604.485891203702</v>
      </c>
    </row>
    <row r="90" spans="1:7" x14ac:dyDescent="0.25">
      <c r="A90" s="8">
        <v>42604.48605324074</v>
      </c>
      <c r="B90" s="24" t="s">
        <v>91</v>
      </c>
      <c r="C90" s="24" t="s">
        <v>346</v>
      </c>
      <c r="D90" s="24">
        <v>1310000</v>
      </c>
      <c r="E90" s="24" t="s">
        <v>656</v>
      </c>
      <c r="F90" s="24" t="str">
        <f t="shared" si="2"/>
        <v>rtdc.l.rtdc.4013:itc</v>
      </c>
      <c r="G90" s="8">
        <f t="shared" si="3"/>
        <v>42604.48605324074</v>
      </c>
    </row>
    <row r="91" spans="1:7" x14ac:dyDescent="0.25">
      <c r="A91" s="8">
        <v>42604.487581018519</v>
      </c>
      <c r="B91" s="24" t="s">
        <v>216</v>
      </c>
      <c r="C91" s="24" t="s">
        <v>347</v>
      </c>
      <c r="D91" s="24">
        <v>1340000</v>
      </c>
      <c r="E91" s="24" t="s">
        <v>661</v>
      </c>
      <c r="F91" s="24" t="str">
        <f t="shared" si="2"/>
        <v>rtdc.l.rtdc.4044:itc</v>
      </c>
      <c r="G91" s="8">
        <f t="shared" si="3"/>
        <v>42604.487581018519</v>
      </c>
    </row>
    <row r="92" spans="1:7" x14ac:dyDescent="0.25">
      <c r="A92" s="8">
        <v>42604.487893518519</v>
      </c>
      <c r="B92" s="24" t="s">
        <v>179</v>
      </c>
      <c r="C92" s="24" t="s">
        <v>446</v>
      </c>
      <c r="D92" s="24">
        <v>1990000</v>
      </c>
      <c r="E92" s="24" t="s">
        <v>655</v>
      </c>
      <c r="F92" s="24" t="str">
        <f t="shared" si="2"/>
        <v>rtdc.l.rtdc.4008:itc</v>
      </c>
      <c r="G92" s="8">
        <f t="shared" si="3"/>
        <v>42604.487893518519</v>
      </c>
    </row>
    <row r="93" spans="1:7" x14ac:dyDescent="0.25">
      <c r="A93" s="8">
        <v>42604.488912037035</v>
      </c>
      <c r="B93" s="24" t="s">
        <v>179</v>
      </c>
      <c r="C93" s="24" t="s">
        <v>446</v>
      </c>
      <c r="D93" s="24">
        <v>1990000</v>
      </c>
      <c r="E93" s="24" t="s">
        <v>655</v>
      </c>
      <c r="F93" s="24" t="str">
        <f t="shared" si="2"/>
        <v>rtdc.l.rtdc.4008:itc</v>
      </c>
      <c r="G93" s="8">
        <f t="shared" si="3"/>
        <v>42604.488912037035</v>
      </c>
    </row>
    <row r="94" spans="1:7" x14ac:dyDescent="0.25">
      <c r="A94" s="8">
        <v>42604.496840277781</v>
      </c>
      <c r="B94" s="24" t="s">
        <v>147</v>
      </c>
      <c r="C94" s="24" t="s">
        <v>453</v>
      </c>
      <c r="D94" s="24">
        <v>880000</v>
      </c>
      <c r="E94" s="24" t="s">
        <v>254</v>
      </c>
      <c r="F94" s="24" t="str">
        <f t="shared" si="2"/>
        <v>rtdc.l.rtdc.4037:itc</v>
      </c>
      <c r="G94" s="8">
        <f t="shared" si="3"/>
        <v>42604.496840277781</v>
      </c>
    </row>
    <row r="95" spans="1:7" x14ac:dyDescent="0.25">
      <c r="A95" s="8">
        <v>42604.498368055552</v>
      </c>
      <c r="B95" s="24" t="s">
        <v>251</v>
      </c>
      <c r="C95" s="24" t="s">
        <v>455</v>
      </c>
      <c r="D95" s="24">
        <v>1280000</v>
      </c>
      <c r="E95" s="24" t="s">
        <v>275</v>
      </c>
      <c r="F95" s="24" t="str">
        <f t="shared" si="2"/>
        <v>rtdc.l.rtdc.4017:itc</v>
      </c>
      <c r="G95" s="8">
        <f t="shared" si="3"/>
        <v>42604.498368055552</v>
      </c>
    </row>
    <row r="96" spans="1:7" x14ac:dyDescent="0.25">
      <c r="A96" s="8">
        <v>42604.499247685184</v>
      </c>
      <c r="B96" s="24" t="s">
        <v>192</v>
      </c>
      <c r="C96" s="24" t="s">
        <v>462</v>
      </c>
      <c r="D96" s="24">
        <v>1780000</v>
      </c>
      <c r="E96" s="24" t="s">
        <v>316</v>
      </c>
      <c r="F96" s="24" t="str">
        <f t="shared" si="2"/>
        <v>rtdc.l.rtdc.4009:itc</v>
      </c>
      <c r="G96" s="8">
        <f t="shared" si="3"/>
        <v>42604.499247685184</v>
      </c>
    </row>
    <row r="97" spans="1:7" x14ac:dyDescent="0.25">
      <c r="A97" s="8">
        <v>42604.512187499997</v>
      </c>
      <c r="B97" s="24" t="s">
        <v>181</v>
      </c>
      <c r="C97" s="24" t="s">
        <v>460</v>
      </c>
      <c r="D97" s="24">
        <v>2140000</v>
      </c>
      <c r="E97" s="24" t="s">
        <v>660</v>
      </c>
      <c r="F97" s="24" t="str">
        <f t="shared" si="2"/>
        <v>rtdc.l.rtdc.4019:itc</v>
      </c>
      <c r="G97" s="8">
        <f t="shared" si="3"/>
        <v>42604.512187499997</v>
      </c>
    </row>
    <row r="98" spans="1:7" x14ac:dyDescent="0.25">
      <c r="A98" s="8">
        <v>42604.512569444443</v>
      </c>
      <c r="B98" s="24" t="s">
        <v>215</v>
      </c>
      <c r="C98" s="24" t="s">
        <v>349</v>
      </c>
      <c r="D98" s="24">
        <v>1540000</v>
      </c>
      <c r="E98" s="24" t="s">
        <v>662</v>
      </c>
      <c r="F98" s="24" t="str">
        <f t="shared" si="2"/>
        <v>rtdc.l.rtdc.4007:itc</v>
      </c>
      <c r="G98" s="8">
        <f t="shared" si="3"/>
        <v>42604.512569444443</v>
      </c>
    </row>
    <row r="99" spans="1:7" x14ac:dyDescent="0.25">
      <c r="A99" s="8">
        <v>42604.51357638889</v>
      </c>
      <c r="B99" s="24" t="s">
        <v>154</v>
      </c>
      <c r="C99" s="24" t="s">
        <v>348</v>
      </c>
      <c r="D99" s="24">
        <v>900000</v>
      </c>
      <c r="E99" s="24" t="s">
        <v>313</v>
      </c>
      <c r="F99" s="24" t="str">
        <f t="shared" si="2"/>
        <v>rtdc.l.rtdc.4042:itc</v>
      </c>
      <c r="G99" s="8">
        <f t="shared" si="3"/>
        <v>42604.51357638889</v>
      </c>
    </row>
    <row r="100" spans="1:7" x14ac:dyDescent="0.25">
      <c r="A100" s="8">
        <v>42604.525127314817</v>
      </c>
      <c r="B100" s="24" t="s">
        <v>189</v>
      </c>
      <c r="C100" s="24" t="s">
        <v>461</v>
      </c>
      <c r="D100" s="24">
        <v>1340000</v>
      </c>
      <c r="E100" s="24" t="s">
        <v>661</v>
      </c>
      <c r="F100" s="24" t="str">
        <f t="shared" si="2"/>
        <v>rtdc.l.rtdc.4043:itc</v>
      </c>
      <c r="G100" s="8">
        <f t="shared" si="3"/>
        <v>42604.525127314817</v>
      </c>
    </row>
    <row r="101" spans="1:7" x14ac:dyDescent="0.25">
      <c r="A101" s="8">
        <v>42604.52548611111</v>
      </c>
      <c r="B101" s="24" t="s">
        <v>113</v>
      </c>
      <c r="C101" s="24" t="s">
        <v>465</v>
      </c>
      <c r="D101" s="24">
        <v>1760000</v>
      </c>
      <c r="E101" s="24" t="s">
        <v>314</v>
      </c>
      <c r="F101" s="24" t="str">
        <f t="shared" si="2"/>
        <v>rtdc.l.rtdc.4014:itc</v>
      </c>
      <c r="G101" s="8">
        <f t="shared" si="3"/>
        <v>42604.52548611111</v>
      </c>
    </row>
    <row r="102" spans="1:7" x14ac:dyDescent="0.25">
      <c r="A102" s="8">
        <v>42604.525682870371</v>
      </c>
      <c r="B102" s="24" t="s">
        <v>213</v>
      </c>
      <c r="C102" s="24" t="s">
        <v>595</v>
      </c>
      <c r="D102" s="24">
        <v>900000</v>
      </c>
      <c r="E102" s="24" t="s">
        <v>313</v>
      </c>
      <c r="F102" s="24" t="str">
        <f t="shared" si="2"/>
        <v>rtdc.l.rtdc.4041:itc</v>
      </c>
      <c r="G102" s="8">
        <f t="shared" si="3"/>
        <v>42604.525682870371</v>
      </c>
    </row>
    <row r="103" spans="1:7" x14ac:dyDescent="0.25">
      <c r="A103" s="8">
        <v>42604.534699074073</v>
      </c>
      <c r="B103" s="24" t="s">
        <v>193</v>
      </c>
      <c r="C103" s="24" t="s">
        <v>463</v>
      </c>
      <c r="D103" s="24">
        <v>1780000</v>
      </c>
      <c r="E103" s="24" t="s">
        <v>316</v>
      </c>
      <c r="F103" s="24" t="str">
        <f t="shared" si="2"/>
        <v>rtdc.l.rtdc.4010:itc</v>
      </c>
      <c r="G103" s="8">
        <f t="shared" si="3"/>
        <v>42604.534699074073</v>
      </c>
    </row>
    <row r="104" spans="1:7" x14ac:dyDescent="0.25">
      <c r="A104" s="8">
        <v>42604.538506944446</v>
      </c>
      <c r="B104" s="24" t="s">
        <v>155</v>
      </c>
      <c r="C104" s="24" t="s">
        <v>466</v>
      </c>
      <c r="D104" s="24">
        <v>880000</v>
      </c>
      <c r="E104" s="24" t="s">
        <v>254</v>
      </c>
      <c r="F104" s="24" t="str">
        <f t="shared" si="2"/>
        <v>rtdc.l.rtdc.4038:itc</v>
      </c>
      <c r="G104" s="8">
        <f t="shared" si="3"/>
        <v>42604.538506944446</v>
      </c>
    </row>
    <row r="105" spans="1:7" x14ac:dyDescent="0.25">
      <c r="A105" s="8">
        <v>42604.542361111111</v>
      </c>
      <c r="B105" s="24" t="s">
        <v>252</v>
      </c>
      <c r="C105" s="24" t="s">
        <v>469</v>
      </c>
      <c r="D105" s="24">
        <v>1280000</v>
      </c>
      <c r="E105" s="24" t="s">
        <v>275</v>
      </c>
      <c r="F105" s="24" t="str">
        <f t="shared" si="2"/>
        <v>rtdc.l.rtdc.4018:itc</v>
      </c>
      <c r="G105" s="8">
        <f t="shared" si="3"/>
        <v>42604.542361111111</v>
      </c>
    </row>
    <row r="106" spans="1:7" x14ac:dyDescent="0.25">
      <c r="A106" s="8">
        <v>42604.544571759259</v>
      </c>
      <c r="B106" s="24" t="s">
        <v>179</v>
      </c>
      <c r="C106" s="24" t="s">
        <v>350</v>
      </c>
      <c r="D106" s="24">
        <v>1540000</v>
      </c>
      <c r="E106" s="24" t="s">
        <v>662</v>
      </c>
      <c r="F106" s="24" t="str">
        <f t="shared" si="2"/>
        <v>rtdc.l.rtdc.4008:itc</v>
      </c>
      <c r="G106" s="8">
        <f t="shared" si="3"/>
        <v>42604.544571759259</v>
      </c>
    </row>
    <row r="107" spans="1:7" x14ac:dyDescent="0.25">
      <c r="A107" s="8">
        <v>42604.54896990741</v>
      </c>
      <c r="B107" s="24" t="s">
        <v>154</v>
      </c>
      <c r="C107" s="24" t="s">
        <v>598</v>
      </c>
      <c r="D107" s="24">
        <v>2100000</v>
      </c>
      <c r="E107" s="24" t="s">
        <v>139</v>
      </c>
      <c r="F107" s="24" t="str">
        <f t="shared" si="2"/>
        <v>rtdc.l.rtdc.4042:itc</v>
      </c>
      <c r="G107" s="8">
        <f t="shared" si="3"/>
        <v>42604.54896990741</v>
      </c>
    </row>
    <row r="108" spans="1:7" x14ac:dyDescent="0.25">
      <c r="A108" s="8">
        <v>42604.551296296297</v>
      </c>
      <c r="B108" s="24" t="s">
        <v>180</v>
      </c>
      <c r="C108" s="24" t="s">
        <v>472</v>
      </c>
      <c r="D108" s="24">
        <v>2140000</v>
      </c>
      <c r="E108" s="24" t="s">
        <v>660</v>
      </c>
      <c r="F108" s="24" t="str">
        <f t="shared" si="2"/>
        <v>rtdc.l.rtdc.4020:itc</v>
      </c>
      <c r="G108" s="8">
        <f t="shared" si="3"/>
        <v>42604.551296296297</v>
      </c>
    </row>
    <row r="109" spans="1:7" x14ac:dyDescent="0.25">
      <c r="A109" s="8">
        <v>42604.555833333332</v>
      </c>
      <c r="B109" s="24" t="s">
        <v>91</v>
      </c>
      <c r="C109" s="24" t="s">
        <v>352</v>
      </c>
      <c r="D109" s="24">
        <v>1760000</v>
      </c>
      <c r="E109" s="24" t="s">
        <v>314</v>
      </c>
      <c r="F109" s="24" t="str">
        <f t="shared" si="2"/>
        <v>rtdc.l.rtdc.4013:itc</v>
      </c>
      <c r="G109" s="8">
        <f t="shared" si="3"/>
        <v>42604.555833333332</v>
      </c>
    </row>
    <row r="110" spans="1:7" x14ac:dyDescent="0.25">
      <c r="A110" s="8">
        <v>42604.562118055554</v>
      </c>
      <c r="B110" s="24" t="s">
        <v>216</v>
      </c>
      <c r="C110" s="24" t="s">
        <v>351</v>
      </c>
      <c r="D110" s="24">
        <v>1340000</v>
      </c>
      <c r="E110" s="24" t="s">
        <v>661</v>
      </c>
      <c r="F110" s="24" t="str">
        <f t="shared" si="2"/>
        <v>rtdc.l.rtdc.4044:itc</v>
      </c>
      <c r="G110" s="8">
        <f t="shared" si="3"/>
        <v>42604.562118055554</v>
      </c>
    </row>
    <row r="111" spans="1:7" x14ac:dyDescent="0.25">
      <c r="A111" s="8">
        <v>42604.564108796294</v>
      </c>
      <c r="B111" s="24" t="s">
        <v>216</v>
      </c>
      <c r="C111" s="24" t="s">
        <v>351</v>
      </c>
      <c r="D111" s="24">
        <v>1340000</v>
      </c>
      <c r="E111" s="24" t="s">
        <v>661</v>
      </c>
      <c r="F111" s="24" t="str">
        <f t="shared" si="2"/>
        <v>rtdc.l.rtdc.4044:itc</v>
      </c>
      <c r="G111" s="8">
        <f t="shared" si="3"/>
        <v>42604.564108796294</v>
      </c>
    </row>
    <row r="112" spans="1:7" x14ac:dyDescent="0.25">
      <c r="A112" s="8">
        <v>42604.567812499998</v>
      </c>
      <c r="B112" s="24" t="s">
        <v>213</v>
      </c>
      <c r="C112" s="24" t="s">
        <v>601</v>
      </c>
      <c r="D112" s="24">
        <v>2100000</v>
      </c>
      <c r="E112" s="24" t="s">
        <v>139</v>
      </c>
      <c r="F112" s="24" t="str">
        <f t="shared" si="2"/>
        <v>rtdc.l.rtdc.4041:itc</v>
      </c>
      <c r="G112" s="8">
        <f t="shared" si="3"/>
        <v>42604.567812499998</v>
      </c>
    </row>
    <row r="113" spans="1:7" x14ac:dyDescent="0.25">
      <c r="A113" s="8">
        <v>42604.568090277775</v>
      </c>
      <c r="B113" s="24" t="s">
        <v>147</v>
      </c>
      <c r="C113" s="24" t="s">
        <v>353</v>
      </c>
      <c r="D113" s="24">
        <v>880000</v>
      </c>
      <c r="E113" s="24" t="s">
        <v>254</v>
      </c>
      <c r="F113" s="24" t="str">
        <f t="shared" si="2"/>
        <v>rtdc.l.rtdc.4037:itc</v>
      </c>
      <c r="G113" s="8">
        <f t="shared" si="3"/>
        <v>42604.568090277775</v>
      </c>
    </row>
    <row r="114" spans="1:7" x14ac:dyDescent="0.25">
      <c r="A114" s="8">
        <v>42604.569907407407</v>
      </c>
      <c r="B114" s="24" t="s">
        <v>192</v>
      </c>
      <c r="C114" s="24" t="s">
        <v>476</v>
      </c>
      <c r="D114" s="24">
        <v>1780000</v>
      </c>
      <c r="E114" s="24" t="s">
        <v>316</v>
      </c>
      <c r="F114" s="24" t="str">
        <f t="shared" si="2"/>
        <v>rtdc.l.rtdc.4009:itc</v>
      </c>
      <c r="G114" s="8">
        <f t="shared" si="3"/>
        <v>42604.569907407407</v>
      </c>
    </row>
    <row r="115" spans="1:7" x14ac:dyDescent="0.25">
      <c r="A115" s="8">
        <v>42604.579259259262</v>
      </c>
      <c r="B115" s="24" t="s">
        <v>251</v>
      </c>
      <c r="C115" s="24" t="s">
        <v>471</v>
      </c>
      <c r="D115" s="24">
        <v>1280000</v>
      </c>
      <c r="E115" s="24" t="s">
        <v>275</v>
      </c>
      <c r="F115" s="24" t="str">
        <f t="shared" si="2"/>
        <v>rtdc.l.rtdc.4017:itc</v>
      </c>
      <c r="G115" s="8">
        <f t="shared" si="3"/>
        <v>42604.579259259262</v>
      </c>
    </row>
    <row r="116" spans="1:7" x14ac:dyDescent="0.25">
      <c r="A116" s="8">
        <v>42604.582743055558</v>
      </c>
      <c r="B116" s="24" t="s">
        <v>215</v>
      </c>
      <c r="C116" s="24" t="s">
        <v>478</v>
      </c>
      <c r="D116" s="24">
        <v>1540000</v>
      </c>
      <c r="E116" s="24" t="s">
        <v>662</v>
      </c>
      <c r="F116" s="24" t="str">
        <f t="shared" si="2"/>
        <v>rtdc.l.rtdc.4007:itc</v>
      </c>
      <c r="G116" s="8">
        <f t="shared" si="3"/>
        <v>42604.582743055558</v>
      </c>
    </row>
    <row r="117" spans="1:7" x14ac:dyDescent="0.25">
      <c r="A117" s="8">
        <v>42604.589641203704</v>
      </c>
      <c r="B117" s="24" t="s">
        <v>181</v>
      </c>
      <c r="C117" s="24" t="s">
        <v>473</v>
      </c>
      <c r="D117" s="24">
        <v>2140000</v>
      </c>
      <c r="E117" s="24" t="s">
        <v>660</v>
      </c>
      <c r="F117" s="24" t="str">
        <f t="shared" si="2"/>
        <v>rtdc.l.rtdc.4019:itc</v>
      </c>
      <c r="G117" s="8">
        <f t="shared" si="3"/>
        <v>42604.589641203704</v>
      </c>
    </row>
    <row r="118" spans="1:7" x14ac:dyDescent="0.25">
      <c r="A118" s="8">
        <v>42604.591261574074</v>
      </c>
      <c r="B118" s="24" t="s">
        <v>113</v>
      </c>
      <c r="C118" s="24" t="s">
        <v>480</v>
      </c>
      <c r="D118" s="24">
        <v>1760000</v>
      </c>
      <c r="E118" s="24" t="s">
        <v>314</v>
      </c>
      <c r="F118" s="24" t="str">
        <f t="shared" si="2"/>
        <v>rtdc.l.rtdc.4014:itc</v>
      </c>
      <c r="G118" s="8">
        <f t="shared" si="3"/>
        <v>42604.591261574074</v>
      </c>
    </row>
    <row r="119" spans="1:7" x14ac:dyDescent="0.25">
      <c r="A119" s="8">
        <v>42604.591597222221</v>
      </c>
      <c r="B119" s="24" t="s">
        <v>154</v>
      </c>
      <c r="C119" s="24" t="s">
        <v>603</v>
      </c>
      <c r="D119" s="24">
        <v>2100000</v>
      </c>
      <c r="E119" s="24" t="s">
        <v>139</v>
      </c>
      <c r="F119" s="24" t="str">
        <f t="shared" si="2"/>
        <v>rtdc.l.rtdc.4042:itc</v>
      </c>
      <c r="G119" s="8">
        <f t="shared" si="3"/>
        <v>42604.591597222221</v>
      </c>
    </row>
    <row r="120" spans="1:7" x14ac:dyDescent="0.25">
      <c r="A120" s="8">
        <v>42604.599178240744</v>
      </c>
      <c r="B120" s="24" t="s">
        <v>189</v>
      </c>
      <c r="C120" s="24" t="s">
        <v>474</v>
      </c>
      <c r="D120" s="24">
        <v>1340000</v>
      </c>
      <c r="E120" s="24" t="s">
        <v>661</v>
      </c>
      <c r="F120" s="24" t="str">
        <f t="shared" si="2"/>
        <v>rtdc.l.rtdc.4043:itc</v>
      </c>
      <c r="G120" s="8">
        <f t="shared" si="3"/>
        <v>42604.599178240744</v>
      </c>
    </row>
    <row r="121" spans="1:7" x14ac:dyDescent="0.25">
      <c r="A121" s="8">
        <v>42604.605694444443</v>
      </c>
      <c r="B121" s="24" t="s">
        <v>193</v>
      </c>
      <c r="C121" s="24" t="s">
        <v>477</v>
      </c>
      <c r="D121" s="24">
        <v>1780000</v>
      </c>
      <c r="E121" s="24" t="s">
        <v>316</v>
      </c>
      <c r="F121" s="24" t="str">
        <f t="shared" si="2"/>
        <v>rtdc.l.rtdc.4010:itc</v>
      </c>
      <c r="G121" s="8">
        <f t="shared" si="3"/>
        <v>42604.605694444443</v>
      </c>
    </row>
    <row r="122" spans="1:7" x14ac:dyDescent="0.25">
      <c r="A122" s="8">
        <v>42604.608807870369</v>
      </c>
      <c r="B122" s="29" t="s">
        <v>155</v>
      </c>
      <c r="C122" s="24" t="s">
        <v>356</v>
      </c>
      <c r="D122" s="24">
        <v>880000</v>
      </c>
      <c r="E122" s="24" t="s">
        <v>254</v>
      </c>
      <c r="F122" s="24" t="str">
        <f t="shared" si="2"/>
        <v>rtdc.l.rtdc.4038:itc</v>
      </c>
      <c r="G122" s="8">
        <f t="shared" si="3"/>
        <v>42604.608807870369</v>
      </c>
    </row>
    <row r="123" spans="1:7" x14ac:dyDescent="0.25">
      <c r="A123" s="8">
        <v>42604.609131944446</v>
      </c>
      <c r="B123" s="24" t="s">
        <v>213</v>
      </c>
      <c r="C123" s="24" t="s">
        <v>354</v>
      </c>
      <c r="D123" s="24">
        <v>2100000</v>
      </c>
      <c r="E123" s="24" t="s">
        <v>139</v>
      </c>
      <c r="F123" s="24" t="str">
        <f t="shared" si="2"/>
        <v>rtdc.l.rtdc.4041:itc</v>
      </c>
      <c r="G123" s="8">
        <f t="shared" si="3"/>
        <v>42604.609131944446</v>
      </c>
    </row>
    <row r="124" spans="1:7" x14ac:dyDescent="0.25">
      <c r="A124" s="8">
        <v>42604.611875000002</v>
      </c>
      <c r="B124" s="24" t="s">
        <v>252</v>
      </c>
      <c r="C124" s="24" t="s">
        <v>484</v>
      </c>
      <c r="D124" s="24">
        <v>1280000</v>
      </c>
      <c r="E124" s="24" t="s">
        <v>275</v>
      </c>
      <c r="F124" s="24" t="str">
        <f t="shared" si="2"/>
        <v>rtdc.l.rtdc.4018:itc</v>
      </c>
      <c r="G124" s="8">
        <f t="shared" si="3"/>
        <v>42604.611875000002</v>
      </c>
    </row>
    <row r="125" spans="1:7" x14ac:dyDescent="0.25">
      <c r="A125" s="8">
        <v>42604.61309027778</v>
      </c>
      <c r="B125" s="24" t="s">
        <v>189</v>
      </c>
      <c r="C125" s="24" t="s">
        <v>474</v>
      </c>
      <c r="D125" s="24">
        <v>1340000</v>
      </c>
      <c r="E125" s="24" t="s">
        <v>661</v>
      </c>
      <c r="F125" s="24" t="str">
        <f t="shared" si="2"/>
        <v>rtdc.l.rtdc.4043:itc</v>
      </c>
      <c r="G125" s="8">
        <f t="shared" si="3"/>
        <v>42604.61309027778</v>
      </c>
    </row>
    <row r="126" spans="1:7" x14ac:dyDescent="0.25">
      <c r="A126" s="8">
        <v>42604.618969907409</v>
      </c>
      <c r="B126" s="24" t="s">
        <v>179</v>
      </c>
      <c r="C126" s="24" t="s">
        <v>479</v>
      </c>
      <c r="D126" s="24">
        <v>1540000</v>
      </c>
      <c r="E126" s="24" t="s">
        <v>662</v>
      </c>
      <c r="F126" s="24" t="str">
        <f t="shared" si="2"/>
        <v>rtdc.l.rtdc.4008:itc</v>
      </c>
      <c r="G126" s="8">
        <f t="shared" si="3"/>
        <v>42604.618969907409</v>
      </c>
    </row>
    <row r="127" spans="1:7" x14ac:dyDescent="0.25">
      <c r="A127" s="8">
        <v>42604.624363425923</v>
      </c>
      <c r="B127" s="24" t="s">
        <v>180</v>
      </c>
      <c r="C127" s="24" t="s">
        <v>486</v>
      </c>
      <c r="D127" s="24">
        <v>2140000</v>
      </c>
      <c r="E127" s="24" t="s">
        <v>660</v>
      </c>
      <c r="F127" s="24" t="str">
        <f t="shared" si="2"/>
        <v>rtdc.l.rtdc.4020:itc</v>
      </c>
      <c r="G127" s="8">
        <f t="shared" si="3"/>
        <v>42604.624363425923</v>
      </c>
    </row>
    <row r="128" spans="1:7" x14ac:dyDescent="0.25">
      <c r="A128" s="8">
        <v>42604.629259259258</v>
      </c>
      <c r="B128" s="24" t="s">
        <v>91</v>
      </c>
      <c r="C128" s="24" t="s">
        <v>355</v>
      </c>
      <c r="D128" s="24">
        <v>1760000</v>
      </c>
      <c r="E128" s="24" t="s">
        <v>314</v>
      </c>
      <c r="F128" s="24" t="str">
        <f t="shared" si="2"/>
        <v>rtdc.l.rtdc.4013:itc</v>
      </c>
      <c r="G128" s="8">
        <f t="shared" si="3"/>
        <v>42604.629259259258</v>
      </c>
    </row>
    <row r="129" spans="1:7" x14ac:dyDescent="0.25">
      <c r="A129" s="8">
        <v>42604.633043981485</v>
      </c>
      <c r="B129" s="24" t="s">
        <v>154</v>
      </c>
      <c r="C129" s="24" t="s">
        <v>605</v>
      </c>
      <c r="D129" s="24">
        <v>2100000</v>
      </c>
      <c r="E129" s="24" t="s">
        <v>139</v>
      </c>
      <c r="F129" s="24" t="str">
        <f t="shared" si="2"/>
        <v>rtdc.l.rtdc.4042:itc</v>
      </c>
      <c r="G129" s="8">
        <f t="shared" si="3"/>
        <v>42604.633043981485</v>
      </c>
    </row>
    <row r="130" spans="1:7" x14ac:dyDescent="0.25">
      <c r="A130" s="8">
        <v>42604.633483796293</v>
      </c>
      <c r="B130" s="24" t="s">
        <v>216</v>
      </c>
      <c r="C130" s="24" t="s">
        <v>488</v>
      </c>
      <c r="D130" s="24">
        <v>1340000</v>
      </c>
      <c r="E130" s="24" t="s">
        <v>661</v>
      </c>
      <c r="F130" s="24" t="str">
        <f t="shared" ref="F130:F193" si="4">B130</f>
        <v>rtdc.l.rtdc.4044:itc</v>
      </c>
      <c r="G130" s="8">
        <f t="shared" ref="G130:G193" si="5">A130</f>
        <v>42604.633483796293</v>
      </c>
    </row>
    <row r="131" spans="1:7" x14ac:dyDescent="0.25">
      <c r="A131" s="8">
        <v>42604.641053240739</v>
      </c>
      <c r="B131" s="24" t="s">
        <v>147</v>
      </c>
      <c r="C131" s="24" t="s">
        <v>356</v>
      </c>
      <c r="D131" s="24">
        <v>880000</v>
      </c>
      <c r="E131" s="24" t="s">
        <v>254</v>
      </c>
      <c r="F131" s="24" t="str">
        <f t="shared" si="4"/>
        <v>rtdc.l.rtdc.4037:itc</v>
      </c>
      <c r="G131" s="8">
        <f t="shared" si="5"/>
        <v>42604.641053240739</v>
      </c>
    </row>
    <row r="132" spans="1:7" x14ac:dyDescent="0.25">
      <c r="A132" s="8">
        <v>42604.64167824074</v>
      </c>
      <c r="B132" s="24" t="s">
        <v>147</v>
      </c>
      <c r="C132" s="24" t="s">
        <v>482</v>
      </c>
      <c r="D132" s="24">
        <v>880000</v>
      </c>
      <c r="E132" s="24" t="s">
        <v>254</v>
      </c>
      <c r="F132" s="24" t="str">
        <f t="shared" si="4"/>
        <v>rtdc.l.rtdc.4037:itc</v>
      </c>
      <c r="G132" s="8">
        <f t="shared" si="5"/>
        <v>42604.64167824074</v>
      </c>
    </row>
    <row r="133" spans="1:7" x14ac:dyDescent="0.25">
      <c r="A133" s="8">
        <v>42604.642789351848</v>
      </c>
      <c r="B133" s="24" t="s">
        <v>192</v>
      </c>
      <c r="C133" s="24" t="s">
        <v>490</v>
      </c>
      <c r="D133" s="24">
        <v>1780000</v>
      </c>
      <c r="E133" s="24" t="s">
        <v>316</v>
      </c>
      <c r="F133" s="24" t="str">
        <f t="shared" si="4"/>
        <v>rtdc.l.rtdc.4009:itc</v>
      </c>
      <c r="G133" s="8">
        <f t="shared" si="5"/>
        <v>42604.642789351848</v>
      </c>
    </row>
    <row r="134" spans="1:7" x14ac:dyDescent="0.25">
      <c r="A134" s="8">
        <v>42604.643090277779</v>
      </c>
      <c r="B134" s="24" t="s">
        <v>251</v>
      </c>
      <c r="C134" s="24" t="s">
        <v>485</v>
      </c>
      <c r="D134" s="24">
        <v>1280000</v>
      </c>
      <c r="E134" s="24" t="s">
        <v>275</v>
      </c>
      <c r="F134" s="24" t="str">
        <f t="shared" si="4"/>
        <v>rtdc.l.rtdc.4017:itc</v>
      </c>
      <c r="G134" s="8">
        <f t="shared" si="5"/>
        <v>42604.643090277779</v>
      </c>
    </row>
    <row r="135" spans="1:7" x14ac:dyDescent="0.25">
      <c r="A135" s="8">
        <v>42604.650370370371</v>
      </c>
      <c r="B135" s="24" t="s">
        <v>215</v>
      </c>
      <c r="C135" s="24" t="s">
        <v>492</v>
      </c>
      <c r="D135" s="24">
        <v>1540000</v>
      </c>
      <c r="E135" s="24" t="s">
        <v>662</v>
      </c>
      <c r="F135" s="24" t="str">
        <f t="shared" si="4"/>
        <v>rtdc.l.rtdc.4007:itc</v>
      </c>
      <c r="G135" s="8">
        <f t="shared" si="5"/>
        <v>42604.650370370371</v>
      </c>
    </row>
    <row r="136" spans="1:7" x14ac:dyDescent="0.25">
      <c r="A136" s="8">
        <v>42604.651319444441</v>
      </c>
      <c r="B136" s="24" t="s">
        <v>213</v>
      </c>
      <c r="C136" s="24" t="s">
        <v>608</v>
      </c>
      <c r="D136" s="24">
        <v>2100000</v>
      </c>
      <c r="E136" s="24" t="s">
        <v>139</v>
      </c>
      <c r="F136" s="24" t="str">
        <f t="shared" si="4"/>
        <v>rtdc.l.rtdc.4041:itc</v>
      </c>
      <c r="G136" s="8">
        <f t="shared" si="5"/>
        <v>42604.651319444441</v>
      </c>
    </row>
    <row r="137" spans="1:7" x14ac:dyDescent="0.25">
      <c r="A137" s="8">
        <v>42604.655659722222</v>
      </c>
      <c r="B137" s="24" t="s">
        <v>205</v>
      </c>
      <c r="C137" s="24" t="s">
        <v>610</v>
      </c>
      <c r="D137" s="24">
        <v>2090000</v>
      </c>
      <c r="E137" s="24" t="s">
        <v>663</v>
      </c>
      <c r="F137" s="24" t="str">
        <f t="shared" si="4"/>
        <v>rtdc.l.rtdc.4002:itc</v>
      </c>
      <c r="G137" s="8">
        <f t="shared" si="5"/>
        <v>42604.655659722222</v>
      </c>
    </row>
    <row r="138" spans="1:7" x14ac:dyDescent="0.25">
      <c r="A138" s="8">
        <v>42604.657106481478</v>
      </c>
      <c r="B138" s="24" t="s">
        <v>205</v>
      </c>
      <c r="C138" s="24" t="s">
        <v>610</v>
      </c>
      <c r="D138" s="24">
        <v>2090000</v>
      </c>
      <c r="E138" s="24" t="s">
        <v>663</v>
      </c>
      <c r="F138" s="24" t="str">
        <f t="shared" si="4"/>
        <v>rtdc.l.rtdc.4002:itc</v>
      </c>
      <c r="G138" s="8">
        <f t="shared" si="5"/>
        <v>42604.657106481478</v>
      </c>
    </row>
    <row r="139" spans="1:7" x14ac:dyDescent="0.25">
      <c r="A139" s="8">
        <v>42604.659085648149</v>
      </c>
      <c r="B139" s="24" t="s">
        <v>181</v>
      </c>
      <c r="C139" s="24" t="s">
        <v>487</v>
      </c>
      <c r="D139" s="24">
        <v>2140000</v>
      </c>
      <c r="E139" s="24" t="s">
        <v>660</v>
      </c>
      <c r="F139" s="24" t="str">
        <f t="shared" si="4"/>
        <v>rtdc.l.rtdc.4019:itc</v>
      </c>
      <c r="G139" s="8">
        <f t="shared" si="5"/>
        <v>42604.659085648149</v>
      </c>
    </row>
    <row r="140" spans="1:7" x14ac:dyDescent="0.25">
      <c r="A140" s="8">
        <v>42604.663252314815</v>
      </c>
      <c r="B140" s="24" t="s">
        <v>113</v>
      </c>
      <c r="C140" s="24" t="s">
        <v>495</v>
      </c>
      <c r="D140" s="24">
        <v>1760000</v>
      </c>
      <c r="E140" s="24" t="s">
        <v>314</v>
      </c>
      <c r="F140" s="24" t="str">
        <f t="shared" si="4"/>
        <v>rtdc.l.rtdc.4014:itc</v>
      </c>
      <c r="G140" s="8">
        <f t="shared" si="5"/>
        <v>42604.663252314815</v>
      </c>
    </row>
    <row r="141" spans="1:7" x14ac:dyDescent="0.25">
      <c r="A141" s="8">
        <v>42604.671724537038</v>
      </c>
      <c r="B141" s="24" t="s">
        <v>189</v>
      </c>
      <c r="C141" s="24" t="s">
        <v>489</v>
      </c>
      <c r="D141" s="24">
        <v>1340000</v>
      </c>
      <c r="E141" s="24" t="s">
        <v>661</v>
      </c>
      <c r="F141" s="24" t="str">
        <f t="shared" si="4"/>
        <v>rtdc.l.rtdc.4043:itc</v>
      </c>
      <c r="G141" s="8">
        <f t="shared" si="5"/>
        <v>42604.671724537038</v>
      </c>
    </row>
    <row r="142" spans="1:7" x14ac:dyDescent="0.25">
      <c r="A142" s="8">
        <v>42604.673032407409</v>
      </c>
      <c r="B142" s="24" t="s">
        <v>206</v>
      </c>
      <c r="C142" s="24" t="s">
        <v>357</v>
      </c>
      <c r="D142" s="24">
        <v>2090000</v>
      </c>
      <c r="E142" s="24" t="s">
        <v>663</v>
      </c>
      <c r="F142" s="24" t="str">
        <f t="shared" si="4"/>
        <v>rtdc.l.rtdc.4001:itc</v>
      </c>
      <c r="G142" s="8">
        <f t="shared" si="5"/>
        <v>42604.673032407409</v>
      </c>
    </row>
    <row r="143" spans="1:7" x14ac:dyDescent="0.25">
      <c r="A143" s="8">
        <v>42604.674467592595</v>
      </c>
      <c r="B143" s="24" t="s">
        <v>155</v>
      </c>
      <c r="C143" s="24" t="s">
        <v>358</v>
      </c>
      <c r="D143" s="24">
        <v>880000</v>
      </c>
      <c r="E143" s="24" t="s">
        <v>254</v>
      </c>
      <c r="F143" s="24" t="str">
        <f t="shared" si="4"/>
        <v>rtdc.l.rtdc.4038:itc</v>
      </c>
      <c r="G143" s="8">
        <f t="shared" si="5"/>
        <v>42604.674467592595</v>
      </c>
    </row>
    <row r="144" spans="1:7" x14ac:dyDescent="0.25">
      <c r="A144" s="8">
        <v>42604.676527777781</v>
      </c>
      <c r="B144" s="24" t="s">
        <v>154</v>
      </c>
      <c r="C144" s="24" t="s">
        <v>612</v>
      </c>
      <c r="D144" s="24">
        <v>2100000</v>
      </c>
      <c r="E144" s="24" t="s">
        <v>139</v>
      </c>
      <c r="F144" s="24" t="str">
        <f t="shared" si="4"/>
        <v>rtdc.l.rtdc.4042:itc</v>
      </c>
      <c r="G144" s="8">
        <f t="shared" si="5"/>
        <v>42604.676527777781</v>
      </c>
    </row>
    <row r="145" spans="1:7" x14ac:dyDescent="0.25">
      <c r="A145" s="8">
        <v>42604.681608796294</v>
      </c>
      <c r="B145" s="24" t="s">
        <v>193</v>
      </c>
      <c r="C145" s="24" t="s">
        <v>491</v>
      </c>
      <c r="D145" s="24">
        <v>1780000</v>
      </c>
      <c r="E145" s="24" t="s">
        <v>316</v>
      </c>
      <c r="F145" s="24" t="str">
        <f t="shared" si="4"/>
        <v>rtdc.l.rtdc.4010:itc</v>
      </c>
      <c r="G145" s="8">
        <f t="shared" si="5"/>
        <v>42604.681608796294</v>
      </c>
    </row>
    <row r="146" spans="1:7" x14ac:dyDescent="0.25">
      <c r="A146" s="8">
        <v>42604.683969907404</v>
      </c>
      <c r="B146" s="24" t="s">
        <v>252</v>
      </c>
      <c r="C146" s="24" t="s">
        <v>498</v>
      </c>
      <c r="D146" s="24">
        <v>1280000</v>
      </c>
      <c r="E146" s="24" t="s">
        <v>275</v>
      </c>
      <c r="F146" s="24" t="str">
        <f t="shared" si="4"/>
        <v>rtdc.l.rtdc.4018:itc</v>
      </c>
      <c r="G146" s="8">
        <f t="shared" si="5"/>
        <v>42604.683969907404</v>
      </c>
    </row>
    <row r="147" spans="1:7" x14ac:dyDescent="0.25">
      <c r="A147" s="8">
        <v>42604.689027777778</v>
      </c>
      <c r="B147" s="24" t="s">
        <v>179</v>
      </c>
      <c r="C147" s="24" t="s">
        <v>493</v>
      </c>
      <c r="D147" s="24">
        <v>1540000</v>
      </c>
      <c r="E147" s="24" t="s">
        <v>662</v>
      </c>
      <c r="F147" s="24" t="str">
        <f t="shared" si="4"/>
        <v>rtdc.l.rtdc.4008:itc</v>
      </c>
      <c r="G147" s="8">
        <f t="shared" si="5"/>
        <v>42604.689027777778</v>
      </c>
    </row>
    <row r="148" spans="1:7" x14ac:dyDescent="0.25">
      <c r="A148" s="8">
        <v>42604.692673611113</v>
      </c>
      <c r="B148" s="24" t="s">
        <v>213</v>
      </c>
      <c r="C148" s="24" t="s">
        <v>615</v>
      </c>
      <c r="D148" s="24">
        <v>2100000</v>
      </c>
      <c r="E148" s="24" t="s">
        <v>139</v>
      </c>
      <c r="F148" s="24" t="str">
        <f t="shared" si="4"/>
        <v>rtdc.l.rtdc.4041:itc</v>
      </c>
      <c r="G148" s="8">
        <f t="shared" si="5"/>
        <v>42604.692673611113</v>
      </c>
    </row>
    <row r="149" spans="1:7" x14ac:dyDescent="0.25">
      <c r="A149" s="8">
        <v>42604.69390046296</v>
      </c>
      <c r="B149" s="24" t="s">
        <v>180</v>
      </c>
      <c r="C149" s="24" t="s">
        <v>500</v>
      </c>
      <c r="D149" s="24">
        <v>2140000</v>
      </c>
      <c r="E149" s="24" t="s">
        <v>660</v>
      </c>
      <c r="F149" s="24" t="str">
        <f t="shared" si="4"/>
        <v>rtdc.l.rtdc.4020:itc</v>
      </c>
      <c r="G149" s="8">
        <f t="shared" si="5"/>
        <v>42604.69390046296</v>
      </c>
    </row>
    <row r="150" spans="1:7" x14ac:dyDescent="0.25">
      <c r="A150" s="8">
        <v>42604.69872685185</v>
      </c>
      <c r="B150" s="24" t="s">
        <v>205</v>
      </c>
      <c r="C150" s="24" t="s">
        <v>617</v>
      </c>
      <c r="D150" s="24">
        <v>2090000</v>
      </c>
      <c r="E150" s="24" t="s">
        <v>663</v>
      </c>
      <c r="F150" s="24" t="str">
        <f t="shared" si="4"/>
        <v>rtdc.l.rtdc.4002:itc</v>
      </c>
      <c r="G150" s="8">
        <f t="shared" si="5"/>
        <v>42604.69872685185</v>
      </c>
    </row>
    <row r="151" spans="1:7" x14ac:dyDescent="0.25">
      <c r="A151" s="8">
        <v>42604.706226851849</v>
      </c>
      <c r="B151" s="24" t="s">
        <v>216</v>
      </c>
      <c r="C151" s="24" t="s">
        <v>502</v>
      </c>
      <c r="D151" s="24">
        <v>1340000</v>
      </c>
      <c r="E151" s="24" t="s">
        <v>661</v>
      </c>
      <c r="F151" s="24" t="str">
        <f t="shared" si="4"/>
        <v>rtdc.l.rtdc.4044:itc</v>
      </c>
      <c r="G151" s="8">
        <f t="shared" si="5"/>
        <v>42604.706226851849</v>
      </c>
    </row>
    <row r="152" spans="1:7" x14ac:dyDescent="0.25">
      <c r="A152" s="8">
        <v>42604.70753472222</v>
      </c>
      <c r="B152" s="24" t="s">
        <v>147</v>
      </c>
      <c r="C152" s="24" t="s">
        <v>497</v>
      </c>
      <c r="D152" s="24">
        <v>880000</v>
      </c>
      <c r="E152" s="24" t="s">
        <v>254</v>
      </c>
      <c r="F152" s="24" t="str">
        <f t="shared" si="4"/>
        <v>rtdc.l.rtdc.4037:itc</v>
      </c>
      <c r="G152" s="8">
        <f t="shared" si="5"/>
        <v>42604.70753472222</v>
      </c>
    </row>
    <row r="153" spans="1:7" x14ac:dyDescent="0.25">
      <c r="A153" s="8">
        <v>42604.714201388888</v>
      </c>
      <c r="B153" s="24" t="s">
        <v>206</v>
      </c>
      <c r="C153" s="24" t="s">
        <v>359</v>
      </c>
      <c r="D153" s="24">
        <v>2090000</v>
      </c>
      <c r="E153" s="24" t="s">
        <v>663</v>
      </c>
      <c r="F153" s="24" t="str">
        <f t="shared" si="4"/>
        <v>rtdc.l.rtdc.4001:itc</v>
      </c>
      <c r="G153" s="8">
        <f t="shared" si="5"/>
        <v>42604.714201388888</v>
      </c>
    </row>
    <row r="154" spans="1:7" x14ac:dyDescent="0.25">
      <c r="A154" s="8">
        <v>42604.717141203706</v>
      </c>
      <c r="B154" s="24" t="s">
        <v>192</v>
      </c>
      <c r="C154" s="24" t="s">
        <v>503</v>
      </c>
      <c r="D154" s="24">
        <v>1180000</v>
      </c>
      <c r="E154" s="24" t="s">
        <v>317</v>
      </c>
      <c r="F154" s="24" t="str">
        <f t="shared" si="4"/>
        <v>rtdc.l.rtdc.4009:itc</v>
      </c>
      <c r="G154" s="8">
        <f t="shared" si="5"/>
        <v>42604.717141203706</v>
      </c>
    </row>
    <row r="155" spans="1:7" x14ac:dyDescent="0.25">
      <c r="A155" s="8">
        <v>42604.718101851853</v>
      </c>
      <c r="B155" s="24" t="s">
        <v>251</v>
      </c>
      <c r="C155" s="24" t="s">
        <v>361</v>
      </c>
      <c r="D155" s="24">
        <v>1280000</v>
      </c>
      <c r="E155" s="24" t="s">
        <v>275</v>
      </c>
      <c r="F155" s="24" t="str">
        <f t="shared" si="4"/>
        <v>rtdc.l.rtdc.4017:itc</v>
      </c>
      <c r="G155" s="8">
        <f t="shared" si="5"/>
        <v>42604.718101851853</v>
      </c>
    </row>
    <row r="156" spans="1:7" x14ac:dyDescent="0.25">
      <c r="A156" s="8">
        <v>42604.7187962963</v>
      </c>
      <c r="B156" s="24" t="s">
        <v>154</v>
      </c>
      <c r="C156" s="24" t="s">
        <v>620</v>
      </c>
      <c r="D156" s="24">
        <v>2100000</v>
      </c>
      <c r="E156" s="24" t="s">
        <v>139</v>
      </c>
      <c r="F156" s="24" t="str">
        <f t="shared" si="4"/>
        <v>rtdc.l.rtdc.4042:itc</v>
      </c>
      <c r="G156" s="8">
        <f t="shared" si="5"/>
        <v>42604.7187962963</v>
      </c>
    </row>
    <row r="157" spans="1:7" x14ac:dyDescent="0.25">
      <c r="A157" s="8">
        <v>42604.727129629631</v>
      </c>
      <c r="B157" s="24" t="s">
        <v>215</v>
      </c>
      <c r="C157" s="24" t="s">
        <v>505</v>
      </c>
      <c r="D157" s="24">
        <v>1780000</v>
      </c>
      <c r="E157" s="24" t="s">
        <v>316</v>
      </c>
      <c r="F157" s="24" t="str">
        <f t="shared" si="4"/>
        <v>rtdc.l.rtdc.4007:itc</v>
      </c>
      <c r="G157" s="8">
        <f t="shared" si="5"/>
        <v>42604.727129629631</v>
      </c>
    </row>
    <row r="158" spans="1:7" x14ac:dyDescent="0.25">
      <c r="A158" s="8">
        <v>42604.732118055559</v>
      </c>
      <c r="B158" s="24" t="s">
        <v>181</v>
      </c>
      <c r="C158" s="24" t="s">
        <v>501</v>
      </c>
      <c r="D158" s="24">
        <v>2140000</v>
      </c>
      <c r="E158" s="24" t="s">
        <v>660</v>
      </c>
      <c r="F158" s="24" t="str">
        <f t="shared" si="4"/>
        <v>rtdc.l.rtdc.4019:itc</v>
      </c>
      <c r="G158" s="8">
        <f t="shared" si="5"/>
        <v>42604.732118055559</v>
      </c>
    </row>
    <row r="159" spans="1:7" x14ac:dyDescent="0.25">
      <c r="A159" s="8">
        <v>42604.734583333331</v>
      </c>
      <c r="B159" s="24" t="s">
        <v>94</v>
      </c>
      <c r="C159" s="24" t="s">
        <v>360</v>
      </c>
      <c r="D159" s="24">
        <v>1810000</v>
      </c>
      <c r="E159" s="24" t="s">
        <v>224</v>
      </c>
      <c r="F159" s="24" t="str">
        <f t="shared" si="4"/>
        <v>rtdc.l.rtdc.4027:itc</v>
      </c>
      <c r="G159" s="8">
        <f t="shared" si="5"/>
        <v>42604.734583333331</v>
      </c>
    </row>
    <row r="160" spans="1:7" x14ac:dyDescent="0.25">
      <c r="A160" s="8">
        <v>42604.734826388885</v>
      </c>
      <c r="B160" s="24" t="s">
        <v>213</v>
      </c>
      <c r="C160" s="24" t="s">
        <v>621</v>
      </c>
      <c r="D160" s="24">
        <v>2100000</v>
      </c>
      <c r="E160" s="24" t="s">
        <v>139</v>
      </c>
      <c r="F160" s="24" t="str">
        <f t="shared" si="4"/>
        <v>rtdc.l.rtdc.4041:itc</v>
      </c>
      <c r="G160" s="8">
        <f t="shared" si="5"/>
        <v>42604.734826388885</v>
      </c>
    </row>
    <row r="161" spans="1:7" x14ac:dyDescent="0.25">
      <c r="A161" s="8">
        <v>42604.738888888889</v>
      </c>
      <c r="B161" s="24" t="s">
        <v>205</v>
      </c>
      <c r="C161" s="24" t="s">
        <v>624</v>
      </c>
      <c r="D161" s="24">
        <v>2090000</v>
      </c>
      <c r="E161" s="24" t="s">
        <v>663</v>
      </c>
      <c r="F161" s="24" t="str">
        <f t="shared" si="4"/>
        <v>rtdc.l.rtdc.4002:itc</v>
      </c>
      <c r="G161" s="8">
        <f t="shared" si="5"/>
        <v>42604.738888888889</v>
      </c>
    </row>
    <row r="162" spans="1:7" x14ac:dyDescent="0.25">
      <c r="A162" s="8">
        <v>42604.741574074076</v>
      </c>
      <c r="B162" s="24" t="s">
        <v>189</v>
      </c>
      <c r="C162" s="24" t="s">
        <v>362</v>
      </c>
      <c r="D162" s="24">
        <v>1340000</v>
      </c>
      <c r="E162" s="24" t="s">
        <v>661</v>
      </c>
      <c r="F162" s="24" t="str">
        <f t="shared" si="4"/>
        <v>rtdc.l.rtdc.4043:itc</v>
      </c>
      <c r="G162" s="8">
        <f t="shared" si="5"/>
        <v>42604.741574074076</v>
      </c>
    </row>
    <row r="163" spans="1:7" x14ac:dyDescent="0.25">
      <c r="A163" s="8">
        <v>42604.746967592589</v>
      </c>
      <c r="B163" s="24" t="s">
        <v>155</v>
      </c>
      <c r="C163" s="24" t="s">
        <v>507</v>
      </c>
      <c r="D163" s="24">
        <v>1760000</v>
      </c>
      <c r="E163" s="24" t="s">
        <v>314</v>
      </c>
      <c r="F163" s="24" t="str">
        <f t="shared" si="4"/>
        <v>rtdc.l.rtdc.4038:itc</v>
      </c>
      <c r="G163" s="8">
        <f t="shared" si="5"/>
        <v>42604.746967592589</v>
      </c>
    </row>
    <row r="164" spans="1:7" x14ac:dyDescent="0.25">
      <c r="A164" s="8">
        <v>42604.752199074072</v>
      </c>
      <c r="B164" s="24" t="s">
        <v>193</v>
      </c>
      <c r="C164" s="24" t="s">
        <v>504</v>
      </c>
      <c r="D164" s="24">
        <v>1180000</v>
      </c>
      <c r="E164" s="24" t="s">
        <v>317</v>
      </c>
      <c r="F164" s="24" t="str">
        <f t="shared" si="4"/>
        <v>rtdc.l.rtdc.4010:itc</v>
      </c>
      <c r="G164" s="8">
        <f t="shared" si="5"/>
        <v>42604.752199074072</v>
      </c>
    </row>
    <row r="165" spans="1:7" x14ac:dyDescent="0.25">
      <c r="A165" s="8">
        <v>42604.752835648149</v>
      </c>
      <c r="B165" s="24" t="s">
        <v>113</v>
      </c>
      <c r="C165" s="24" t="s">
        <v>551</v>
      </c>
      <c r="D165" s="24">
        <v>880000</v>
      </c>
      <c r="E165" s="24" t="s">
        <v>254</v>
      </c>
      <c r="F165" s="24" t="str">
        <f t="shared" si="4"/>
        <v>rtdc.l.rtdc.4014:itc</v>
      </c>
      <c r="G165" s="8">
        <f t="shared" si="5"/>
        <v>42604.752835648149</v>
      </c>
    </row>
    <row r="166" spans="1:7" x14ac:dyDescent="0.25">
      <c r="A166" s="8">
        <v>42604.755902777775</v>
      </c>
      <c r="B166" s="24" t="s">
        <v>206</v>
      </c>
      <c r="C166" s="24" t="s">
        <v>627</v>
      </c>
      <c r="D166" s="24">
        <v>2090000</v>
      </c>
      <c r="E166" s="24" t="s">
        <v>663</v>
      </c>
      <c r="F166" s="24" t="str">
        <f t="shared" si="4"/>
        <v>rtdc.l.rtdc.4001:itc</v>
      </c>
      <c r="G166" s="8">
        <f t="shared" si="5"/>
        <v>42604.755902777775</v>
      </c>
    </row>
    <row r="167" spans="1:7" x14ac:dyDescent="0.25">
      <c r="A167" s="8">
        <v>42604.760949074072</v>
      </c>
      <c r="B167" s="24" t="s">
        <v>252</v>
      </c>
      <c r="C167" s="24" t="s">
        <v>508</v>
      </c>
      <c r="D167" s="24">
        <v>1800000</v>
      </c>
      <c r="E167" s="24" t="s">
        <v>196</v>
      </c>
      <c r="F167" s="24" t="str">
        <f t="shared" si="4"/>
        <v>rtdc.l.rtdc.4018:itc</v>
      </c>
      <c r="G167" s="8">
        <f t="shared" si="5"/>
        <v>42604.760949074072</v>
      </c>
    </row>
    <row r="168" spans="1:7" x14ac:dyDescent="0.25">
      <c r="A168" s="8">
        <v>42604.76116898148</v>
      </c>
      <c r="B168" s="24" t="s">
        <v>154</v>
      </c>
      <c r="C168" s="24" t="s">
        <v>628</v>
      </c>
      <c r="D168" s="24">
        <v>2100000</v>
      </c>
      <c r="E168" s="24" t="s">
        <v>139</v>
      </c>
      <c r="F168" s="24" t="str">
        <f t="shared" si="4"/>
        <v>rtdc.l.rtdc.4042:itc</v>
      </c>
      <c r="G168" s="8">
        <f t="shared" si="5"/>
        <v>42604.76116898148</v>
      </c>
    </row>
    <row r="169" spans="1:7" x14ac:dyDescent="0.25">
      <c r="A169" s="8">
        <v>42604.766250000001</v>
      </c>
      <c r="B169" s="24" t="s">
        <v>179</v>
      </c>
      <c r="C169" s="24" t="s">
        <v>506</v>
      </c>
      <c r="D169" s="24">
        <v>1780000</v>
      </c>
      <c r="E169" s="24" t="s">
        <v>316</v>
      </c>
      <c r="F169" s="24" t="str">
        <f t="shared" si="4"/>
        <v>rtdc.l.rtdc.4008:itc</v>
      </c>
      <c r="G169" s="8">
        <f t="shared" si="5"/>
        <v>42604.766250000001</v>
      </c>
    </row>
    <row r="170" spans="1:7" x14ac:dyDescent="0.25">
      <c r="A170" s="8">
        <v>42604.767592592594</v>
      </c>
      <c r="B170" s="24" t="s">
        <v>153</v>
      </c>
      <c r="C170" s="24" t="s">
        <v>366</v>
      </c>
      <c r="D170" s="24">
        <v>1810000</v>
      </c>
      <c r="E170" s="24" t="s">
        <v>224</v>
      </c>
      <c r="F170" s="24" t="str">
        <f t="shared" si="4"/>
        <v>rtdc.l.rtdc.4028:itc</v>
      </c>
      <c r="G170" s="8">
        <f t="shared" si="5"/>
        <v>42604.767592592594</v>
      </c>
    </row>
    <row r="171" spans="1:7" x14ac:dyDescent="0.25">
      <c r="A171" s="8">
        <v>42604.768796296295</v>
      </c>
      <c r="B171" s="24" t="s">
        <v>180</v>
      </c>
      <c r="C171" s="24" t="s">
        <v>363</v>
      </c>
      <c r="D171" s="24">
        <v>2110000</v>
      </c>
      <c r="E171" s="24" t="s">
        <v>195</v>
      </c>
      <c r="F171" s="24" t="str">
        <f t="shared" si="4"/>
        <v>rtdc.l.rtdc.4020:itc</v>
      </c>
      <c r="G171" s="8">
        <f t="shared" si="5"/>
        <v>42604.768796296295</v>
      </c>
    </row>
    <row r="172" spans="1:7" x14ac:dyDescent="0.25">
      <c r="A172" s="8">
        <v>42604.776412037034</v>
      </c>
      <c r="B172" s="24" t="s">
        <v>213</v>
      </c>
      <c r="C172" s="24" t="s">
        <v>630</v>
      </c>
      <c r="D172" s="24">
        <v>2100000</v>
      </c>
      <c r="E172" s="24" t="s">
        <v>139</v>
      </c>
      <c r="F172" s="24" t="str">
        <f t="shared" si="4"/>
        <v>rtdc.l.rtdc.4041:itc</v>
      </c>
      <c r="G172" s="8">
        <f t="shared" si="5"/>
        <v>42604.776412037034</v>
      </c>
    </row>
    <row r="173" spans="1:7" x14ac:dyDescent="0.25">
      <c r="A173" s="8">
        <v>42604.778009259258</v>
      </c>
      <c r="B173" s="24" t="s">
        <v>216</v>
      </c>
      <c r="C173" s="24" t="s">
        <v>542</v>
      </c>
      <c r="D173" s="24">
        <v>1340000</v>
      </c>
      <c r="E173" s="24" t="s">
        <v>661</v>
      </c>
      <c r="F173" s="24" t="str">
        <f t="shared" si="4"/>
        <v>rtdc.l.rtdc.4044:itc</v>
      </c>
      <c r="G173" s="8">
        <f t="shared" si="5"/>
        <v>42604.778009259258</v>
      </c>
    </row>
    <row r="174" spans="1:7" x14ac:dyDescent="0.25">
      <c r="A174" s="8">
        <v>42604.779803240737</v>
      </c>
      <c r="B174" s="24" t="s">
        <v>205</v>
      </c>
      <c r="C174" s="24" t="s">
        <v>632</v>
      </c>
      <c r="D174" s="24">
        <v>2090000</v>
      </c>
      <c r="E174" s="24" t="s">
        <v>663</v>
      </c>
      <c r="F174" s="24" t="str">
        <f t="shared" si="4"/>
        <v>rtdc.l.rtdc.4002:itc</v>
      </c>
      <c r="G174" s="8">
        <f t="shared" si="5"/>
        <v>42604.779803240737</v>
      </c>
    </row>
    <row r="175" spans="1:7" x14ac:dyDescent="0.25">
      <c r="A175" s="8">
        <v>42604.785624999997</v>
      </c>
      <c r="B175" s="24" t="s">
        <v>147</v>
      </c>
      <c r="C175" s="24" t="s">
        <v>364</v>
      </c>
      <c r="D175" s="24">
        <v>1760000</v>
      </c>
      <c r="E175" s="24" t="s">
        <v>314</v>
      </c>
      <c r="F175" s="24" t="str">
        <f t="shared" si="4"/>
        <v>rtdc.l.rtdc.4037:itc</v>
      </c>
      <c r="G175" s="8">
        <f t="shared" si="5"/>
        <v>42604.785624999997</v>
      </c>
    </row>
    <row r="176" spans="1:7" x14ac:dyDescent="0.25">
      <c r="A176" s="8">
        <v>42604.787627314814</v>
      </c>
      <c r="B176" s="24" t="s">
        <v>192</v>
      </c>
      <c r="C176" s="24" t="s">
        <v>365</v>
      </c>
      <c r="D176" s="24">
        <v>1180000</v>
      </c>
      <c r="E176" s="24" t="s">
        <v>317</v>
      </c>
      <c r="F176" s="24" t="str">
        <f t="shared" si="4"/>
        <v>rtdc.l.rtdc.4009:itc</v>
      </c>
      <c r="G176" s="8">
        <f t="shared" si="5"/>
        <v>42604.787627314814</v>
      </c>
    </row>
    <row r="177" spans="1:7" x14ac:dyDescent="0.25">
      <c r="A177" s="8">
        <v>42604.797129629631</v>
      </c>
      <c r="B177" s="24" t="s">
        <v>206</v>
      </c>
      <c r="C177" s="24" t="s">
        <v>648</v>
      </c>
      <c r="D177" s="24">
        <v>2090000</v>
      </c>
      <c r="E177" s="24" t="s">
        <v>663</v>
      </c>
      <c r="F177" s="24" t="str">
        <f t="shared" si="4"/>
        <v>rtdc.l.rtdc.4001:itc</v>
      </c>
      <c r="G177" s="8">
        <f t="shared" si="5"/>
        <v>42604.797129629631</v>
      </c>
    </row>
    <row r="178" spans="1:7" x14ac:dyDescent="0.25">
      <c r="A178" s="8">
        <v>42604.798252314817</v>
      </c>
      <c r="B178" s="24" t="s">
        <v>215</v>
      </c>
      <c r="C178" s="24" t="s">
        <v>543</v>
      </c>
      <c r="D178" s="24">
        <v>1780000</v>
      </c>
      <c r="E178" s="24" t="s">
        <v>316</v>
      </c>
      <c r="F178" s="24" t="str">
        <f t="shared" si="4"/>
        <v>rtdc.l.rtdc.4007:itc</v>
      </c>
      <c r="G178" s="8">
        <f t="shared" si="5"/>
        <v>42604.798252314817</v>
      </c>
    </row>
    <row r="179" spans="1:7" x14ac:dyDescent="0.25">
      <c r="A179" s="8">
        <v>42604.798761574071</v>
      </c>
      <c r="B179" s="24" t="s">
        <v>251</v>
      </c>
      <c r="C179" s="24" t="s">
        <v>367</v>
      </c>
      <c r="D179" s="24">
        <v>1800000</v>
      </c>
      <c r="E179" s="24" t="s">
        <v>196</v>
      </c>
      <c r="F179" s="24" t="str">
        <f t="shared" si="4"/>
        <v>rtdc.l.rtdc.4017:itc</v>
      </c>
      <c r="G179" s="8">
        <f t="shared" si="5"/>
        <v>42604.798761574071</v>
      </c>
    </row>
    <row r="180" spans="1:7" x14ac:dyDescent="0.25">
      <c r="A180" s="8">
        <v>42604.802766203706</v>
      </c>
      <c r="B180" s="24" t="s">
        <v>154</v>
      </c>
      <c r="C180" s="24" t="s">
        <v>635</v>
      </c>
      <c r="D180" s="24">
        <v>2100000</v>
      </c>
      <c r="E180" s="24" t="s">
        <v>139</v>
      </c>
      <c r="F180" s="24" t="str">
        <f t="shared" si="4"/>
        <v>rtdc.l.rtdc.4042:itc</v>
      </c>
      <c r="G180" s="8">
        <f t="shared" si="5"/>
        <v>42604.802766203706</v>
      </c>
    </row>
    <row r="181" spans="1:7" x14ac:dyDescent="0.25">
      <c r="A181" s="8">
        <v>42604.804652777777</v>
      </c>
      <c r="B181" s="24" t="s">
        <v>181</v>
      </c>
      <c r="C181" s="24" t="s">
        <v>511</v>
      </c>
      <c r="D181" s="24">
        <v>2110000</v>
      </c>
      <c r="E181" s="24" t="s">
        <v>195</v>
      </c>
      <c r="F181" s="24" t="str">
        <f t="shared" si="4"/>
        <v>rtdc.l.rtdc.4019:itc</v>
      </c>
      <c r="G181" s="8">
        <f t="shared" si="5"/>
        <v>42604.804652777777</v>
      </c>
    </row>
    <row r="182" spans="1:7" x14ac:dyDescent="0.25">
      <c r="A182" s="8">
        <v>42604.80877314815</v>
      </c>
      <c r="B182" s="24" t="s">
        <v>94</v>
      </c>
      <c r="C182" s="24" t="s">
        <v>515</v>
      </c>
      <c r="D182" s="24">
        <v>1810000</v>
      </c>
      <c r="E182" s="24" t="s">
        <v>224</v>
      </c>
      <c r="F182" s="24" t="str">
        <f t="shared" si="4"/>
        <v>rtdc.l.rtdc.4027:itc</v>
      </c>
      <c r="G182" s="8">
        <f t="shared" si="5"/>
        <v>42604.80877314815</v>
      </c>
    </row>
    <row r="183" spans="1:7" x14ac:dyDescent="0.25">
      <c r="A183" s="8">
        <v>42604.817523148151</v>
      </c>
      <c r="B183" s="24" t="s">
        <v>213</v>
      </c>
      <c r="C183" s="24" t="s">
        <v>633</v>
      </c>
      <c r="D183" s="24">
        <v>2100000</v>
      </c>
      <c r="E183" s="24" t="s">
        <v>139</v>
      </c>
      <c r="F183" s="24" t="str">
        <f t="shared" si="4"/>
        <v>rtdc.l.rtdc.4041:itc</v>
      </c>
      <c r="G183" s="8">
        <f t="shared" si="5"/>
        <v>42604.817523148151</v>
      </c>
    </row>
    <row r="184" spans="1:7" x14ac:dyDescent="0.25">
      <c r="A184" s="8">
        <v>42604.824513888889</v>
      </c>
      <c r="B184" s="24" t="s">
        <v>155</v>
      </c>
      <c r="C184" s="24" t="s">
        <v>544</v>
      </c>
      <c r="D184" s="24">
        <v>1760000</v>
      </c>
      <c r="E184" s="24" t="s">
        <v>314</v>
      </c>
      <c r="F184" s="24" t="str">
        <f t="shared" si="4"/>
        <v>rtdc.l.rtdc.4038:itc</v>
      </c>
      <c r="G184" s="8">
        <f t="shared" si="5"/>
        <v>42604.824513888889</v>
      </c>
    </row>
    <row r="185" spans="1:7" x14ac:dyDescent="0.25">
      <c r="A185" s="8">
        <v>42604.827847222223</v>
      </c>
      <c r="B185" s="24" t="s">
        <v>193</v>
      </c>
      <c r="C185" s="24" t="s">
        <v>368</v>
      </c>
      <c r="D185" s="24">
        <v>1180000</v>
      </c>
      <c r="E185" s="24" t="s">
        <v>317</v>
      </c>
      <c r="F185" s="24" t="str">
        <f t="shared" si="4"/>
        <v>rtdc.l.rtdc.4010:itc</v>
      </c>
      <c r="G185" s="8">
        <f t="shared" si="5"/>
        <v>42604.827847222223</v>
      </c>
    </row>
    <row r="186" spans="1:7" x14ac:dyDescent="0.25">
      <c r="A186" s="8">
        <v>42604.834918981483</v>
      </c>
      <c r="B186" s="24" t="s">
        <v>252</v>
      </c>
      <c r="C186" s="24" t="s">
        <v>518</v>
      </c>
      <c r="D186" s="24">
        <v>1800000</v>
      </c>
      <c r="E186" s="24" t="s">
        <v>196</v>
      </c>
      <c r="F186" s="24" t="str">
        <f t="shared" si="4"/>
        <v>rtdc.l.rtdc.4018:itc</v>
      </c>
      <c r="G186" s="8">
        <f t="shared" si="5"/>
        <v>42604.834918981483</v>
      </c>
    </row>
    <row r="187" spans="1:7" x14ac:dyDescent="0.25">
      <c r="A187" s="8">
        <v>42604.840277777781</v>
      </c>
      <c r="B187" s="24" t="s">
        <v>154</v>
      </c>
      <c r="C187" s="24" t="s">
        <v>638</v>
      </c>
      <c r="D187" s="24">
        <v>2100000</v>
      </c>
      <c r="E187" s="24" t="s">
        <v>139</v>
      </c>
      <c r="F187" s="24" t="str">
        <f t="shared" si="4"/>
        <v>rtdc.l.rtdc.4042:itc</v>
      </c>
      <c r="G187" s="8">
        <f t="shared" si="5"/>
        <v>42604.840277777781</v>
      </c>
    </row>
    <row r="188" spans="1:7" x14ac:dyDescent="0.25">
      <c r="A188" s="8">
        <v>42604.847245370373</v>
      </c>
      <c r="B188" s="24" t="s">
        <v>153</v>
      </c>
      <c r="C188" s="24" t="s">
        <v>516</v>
      </c>
      <c r="D188" s="24">
        <v>1810000</v>
      </c>
      <c r="E188" s="24" t="s">
        <v>224</v>
      </c>
      <c r="F188" s="24" t="str">
        <f t="shared" si="4"/>
        <v>rtdc.l.rtdc.4028:itc</v>
      </c>
      <c r="G188" s="8">
        <f t="shared" si="5"/>
        <v>42604.847245370373</v>
      </c>
    </row>
    <row r="189" spans="1:7" x14ac:dyDescent="0.25">
      <c r="A189" s="8">
        <v>42604.848564814813</v>
      </c>
      <c r="B189" s="24" t="s">
        <v>180</v>
      </c>
      <c r="C189" s="24" t="s">
        <v>520</v>
      </c>
      <c r="D189" s="24">
        <v>2110000</v>
      </c>
      <c r="E189" s="24" t="s">
        <v>195</v>
      </c>
      <c r="F189" s="24" t="str">
        <f t="shared" si="4"/>
        <v>rtdc.l.rtdc.4020:itc</v>
      </c>
      <c r="G189" s="8">
        <f t="shared" si="5"/>
        <v>42604.848564814813</v>
      </c>
    </row>
    <row r="190" spans="1:7" x14ac:dyDescent="0.25">
      <c r="A190" s="8">
        <v>42604.8591087963</v>
      </c>
      <c r="B190" s="24" t="s">
        <v>213</v>
      </c>
      <c r="C190" s="24" t="s">
        <v>369</v>
      </c>
      <c r="D190" s="24">
        <v>2100000</v>
      </c>
      <c r="E190" s="24" t="s">
        <v>139</v>
      </c>
      <c r="F190" s="24" t="str">
        <f t="shared" si="4"/>
        <v>rtdc.l.rtdc.4041:itc</v>
      </c>
      <c r="G190" s="8">
        <f t="shared" si="5"/>
        <v>42604.8591087963</v>
      </c>
    </row>
    <row r="191" spans="1:7" x14ac:dyDescent="0.25">
      <c r="A191" s="8">
        <v>42604.871759259258</v>
      </c>
      <c r="B191" s="24" t="s">
        <v>192</v>
      </c>
      <c r="C191" s="24" t="s">
        <v>522</v>
      </c>
      <c r="D191" s="24">
        <v>1180000</v>
      </c>
      <c r="E191" s="24" t="s">
        <v>317</v>
      </c>
      <c r="F191" s="24" t="str">
        <f t="shared" si="4"/>
        <v>rtdc.l.rtdc.4009:itc</v>
      </c>
      <c r="G191" s="8">
        <f t="shared" si="5"/>
        <v>42604.871759259258</v>
      </c>
    </row>
    <row r="192" spans="1:7" x14ac:dyDescent="0.25">
      <c r="A192" s="8">
        <v>42604.872511574074</v>
      </c>
      <c r="B192" s="24" t="s">
        <v>251</v>
      </c>
      <c r="C192" s="24" t="s">
        <v>370</v>
      </c>
      <c r="D192" s="24">
        <v>1800000</v>
      </c>
      <c r="E192" s="24" t="s">
        <v>196</v>
      </c>
      <c r="F192" s="24" t="str">
        <f t="shared" si="4"/>
        <v>rtdc.l.rtdc.4017:itc</v>
      </c>
      <c r="G192" s="8">
        <f t="shared" si="5"/>
        <v>42604.872511574074</v>
      </c>
    </row>
    <row r="193" spans="1:7" x14ac:dyDescent="0.25">
      <c r="A193" s="8">
        <v>42604.880185185182</v>
      </c>
      <c r="B193" s="24" t="s">
        <v>94</v>
      </c>
      <c r="C193" s="24" t="s">
        <v>525</v>
      </c>
      <c r="D193" s="24">
        <v>1810000</v>
      </c>
      <c r="E193" s="24" t="s">
        <v>224</v>
      </c>
      <c r="F193" s="24" t="str">
        <f t="shared" si="4"/>
        <v>rtdc.l.rtdc.4027:itc</v>
      </c>
      <c r="G193" s="8">
        <f t="shared" si="5"/>
        <v>42604.880185185182</v>
      </c>
    </row>
    <row r="194" spans="1:7" x14ac:dyDescent="0.25">
      <c r="A194" s="8">
        <v>42604.88690972222</v>
      </c>
      <c r="B194" s="24" t="s">
        <v>154</v>
      </c>
      <c r="C194" s="24" t="s">
        <v>641</v>
      </c>
      <c r="D194" s="24">
        <v>2090000</v>
      </c>
      <c r="E194" s="24" t="s">
        <v>663</v>
      </c>
      <c r="F194" s="24" t="str">
        <f t="shared" ref="F194:F235" si="6">B194</f>
        <v>rtdc.l.rtdc.4042:itc</v>
      </c>
      <c r="G194" s="8">
        <f t="shared" ref="G194:G235" si="7">A194</f>
        <v>42604.88690972222</v>
      </c>
    </row>
    <row r="195" spans="1:7" x14ac:dyDescent="0.25">
      <c r="A195" s="8">
        <v>42604.890393518515</v>
      </c>
      <c r="B195" s="24" t="s">
        <v>181</v>
      </c>
      <c r="C195" s="24" t="s">
        <v>521</v>
      </c>
      <c r="D195" s="24">
        <v>2110000</v>
      </c>
      <c r="E195" s="24" t="s">
        <v>195</v>
      </c>
      <c r="F195" s="24" t="str">
        <f t="shared" si="6"/>
        <v>rtdc.l.rtdc.4019:itc</v>
      </c>
      <c r="G195" s="8">
        <f t="shared" si="7"/>
        <v>42604.890393518515</v>
      </c>
    </row>
    <row r="196" spans="1:7" x14ac:dyDescent="0.25">
      <c r="A196" s="8">
        <v>42604.902106481481</v>
      </c>
      <c r="B196" s="24" t="s">
        <v>213</v>
      </c>
      <c r="C196" s="24" t="s">
        <v>639</v>
      </c>
      <c r="D196" s="24">
        <v>2090000</v>
      </c>
      <c r="E196" s="24" t="s">
        <v>663</v>
      </c>
      <c r="F196" s="24" t="str">
        <f t="shared" si="6"/>
        <v>rtdc.l.rtdc.4041:itc</v>
      </c>
      <c r="G196" s="8">
        <f t="shared" si="7"/>
        <v>42604.902106481481</v>
      </c>
    </row>
    <row r="197" spans="1:7" x14ac:dyDescent="0.25">
      <c r="A197" s="8">
        <v>42604.910682870373</v>
      </c>
      <c r="B197" s="24" t="s">
        <v>193</v>
      </c>
      <c r="C197" s="24" t="s">
        <v>524</v>
      </c>
      <c r="D197" s="24">
        <v>1180000</v>
      </c>
      <c r="E197" s="24" t="s">
        <v>317</v>
      </c>
      <c r="F197" s="24" t="str">
        <f t="shared" si="6"/>
        <v>rtdc.l.rtdc.4010:itc</v>
      </c>
      <c r="G197" s="8">
        <f t="shared" si="7"/>
        <v>42604.910682870373</v>
      </c>
    </row>
    <row r="198" spans="1:7" x14ac:dyDescent="0.25">
      <c r="A198" s="8">
        <v>42604.915023148147</v>
      </c>
      <c r="B198" s="24" t="s">
        <v>252</v>
      </c>
      <c r="C198" s="24" t="s">
        <v>528</v>
      </c>
      <c r="D198" s="24">
        <v>1800000</v>
      </c>
      <c r="E198" s="24" t="s">
        <v>196</v>
      </c>
      <c r="F198" s="24" t="str">
        <f t="shared" si="6"/>
        <v>rtdc.l.rtdc.4018:itc</v>
      </c>
      <c r="G198" s="8">
        <f t="shared" si="7"/>
        <v>42604.915023148147</v>
      </c>
    </row>
    <row r="199" spans="1:7" x14ac:dyDescent="0.25">
      <c r="A199" s="8">
        <v>42604.923495370371</v>
      </c>
      <c r="B199" s="24" t="s">
        <v>153</v>
      </c>
      <c r="C199" s="24" t="s">
        <v>526</v>
      </c>
      <c r="D199" s="24">
        <v>1810000</v>
      </c>
      <c r="E199" s="24" t="s">
        <v>224</v>
      </c>
      <c r="F199" s="24" t="str">
        <f t="shared" si="6"/>
        <v>rtdc.l.rtdc.4028:itc</v>
      </c>
      <c r="G199" s="8">
        <f t="shared" si="7"/>
        <v>42604.923495370371</v>
      </c>
    </row>
    <row r="200" spans="1:7" x14ac:dyDescent="0.25">
      <c r="A200" s="8">
        <v>42604.928067129629</v>
      </c>
      <c r="B200" s="24" t="s">
        <v>154</v>
      </c>
      <c r="C200" s="24" t="s">
        <v>642</v>
      </c>
      <c r="D200" s="24">
        <v>2090000</v>
      </c>
      <c r="E200" s="24" t="s">
        <v>663</v>
      </c>
      <c r="F200" s="24" t="str">
        <f t="shared" si="6"/>
        <v>rtdc.l.rtdc.4042:itc</v>
      </c>
      <c r="G200" s="8">
        <f t="shared" si="7"/>
        <v>42604.928067129629</v>
      </c>
    </row>
    <row r="201" spans="1:7" x14ac:dyDescent="0.25">
      <c r="A201" s="8">
        <v>42604.931666666664</v>
      </c>
      <c r="B201" s="24" t="s">
        <v>180</v>
      </c>
      <c r="C201" s="24" t="s">
        <v>531</v>
      </c>
      <c r="D201" s="24">
        <v>2110000</v>
      </c>
      <c r="E201" s="24" t="s">
        <v>195</v>
      </c>
      <c r="F201" s="24" t="str">
        <f t="shared" si="6"/>
        <v>rtdc.l.rtdc.4020:itc</v>
      </c>
      <c r="G201" s="8">
        <f t="shared" si="7"/>
        <v>42604.931666666664</v>
      </c>
    </row>
    <row r="202" spans="1:7" x14ac:dyDescent="0.25">
      <c r="A202" s="30">
        <v>42604.944131944445</v>
      </c>
      <c r="B202" s="24" t="s">
        <v>213</v>
      </c>
      <c r="C202" s="24" t="s">
        <v>650</v>
      </c>
      <c r="D202" s="24">
        <v>2090000</v>
      </c>
      <c r="E202" s="24" t="s">
        <v>663</v>
      </c>
      <c r="F202" s="24" t="str">
        <f t="shared" si="6"/>
        <v>rtdc.l.rtdc.4041:itc</v>
      </c>
      <c r="G202" s="8">
        <f t="shared" si="7"/>
        <v>42604.944131944445</v>
      </c>
    </row>
    <row r="203" spans="1:7" x14ac:dyDescent="0.25">
      <c r="A203" s="8">
        <v>42604.952164351853</v>
      </c>
      <c r="B203" s="24" t="s">
        <v>154</v>
      </c>
      <c r="C203" s="24" t="s">
        <v>650</v>
      </c>
      <c r="D203" s="24">
        <v>2090000</v>
      </c>
      <c r="E203" s="24" t="s">
        <v>663</v>
      </c>
      <c r="F203" s="24" t="str">
        <f t="shared" si="6"/>
        <v>rtdc.l.rtdc.4042:itc</v>
      </c>
      <c r="G203" s="8">
        <f t="shared" si="7"/>
        <v>42604.952164351853</v>
      </c>
    </row>
    <row r="204" spans="1:7" x14ac:dyDescent="0.25">
      <c r="A204" s="8">
        <v>42604.954328703701</v>
      </c>
      <c r="B204" s="24" t="s">
        <v>251</v>
      </c>
      <c r="C204" s="24" t="s">
        <v>530</v>
      </c>
      <c r="D204" s="24">
        <v>1800000</v>
      </c>
      <c r="E204" s="24" t="s">
        <v>196</v>
      </c>
      <c r="F204" s="24" t="str">
        <f t="shared" si="6"/>
        <v>rtdc.l.rtdc.4017:itc</v>
      </c>
      <c r="G204" s="8">
        <f t="shared" si="7"/>
        <v>42604.954328703701</v>
      </c>
    </row>
    <row r="205" spans="1:7" x14ac:dyDescent="0.25">
      <c r="A205" s="8">
        <v>42604.955775462964</v>
      </c>
      <c r="B205" s="24" t="s">
        <v>192</v>
      </c>
      <c r="C205" s="24" t="s">
        <v>533</v>
      </c>
      <c r="D205" s="24">
        <v>1180000</v>
      </c>
      <c r="E205" s="24" t="s">
        <v>317</v>
      </c>
      <c r="F205" s="24" t="str">
        <f t="shared" si="6"/>
        <v>rtdc.l.rtdc.4009:itc</v>
      </c>
      <c r="G205" s="8">
        <f t="shared" si="7"/>
        <v>42604.955775462964</v>
      </c>
    </row>
    <row r="206" spans="1:7" x14ac:dyDescent="0.25">
      <c r="A206" s="8">
        <v>42604.964490740742</v>
      </c>
      <c r="B206" s="24" t="s">
        <v>94</v>
      </c>
      <c r="C206" s="24" t="s">
        <v>371</v>
      </c>
      <c r="D206" s="24">
        <v>1810000</v>
      </c>
      <c r="E206" s="24" t="s">
        <v>224</v>
      </c>
      <c r="F206" s="24" t="str">
        <f t="shared" si="6"/>
        <v>rtdc.l.rtdc.4027:itc</v>
      </c>
      <c r="G206" s="8">
        <f t="shared" si="7"/>
        <v>42604.964490740742</v>
      </c>
    </row>
    <row r="207" spans="1:7" x14ac:dyDescent="0.25">
      <c r="A207" s="8">
        <v>42604.972037037034</v>
      </c>
      <c r="B207" s="24" t="s">
        <v>181</v>
      </c>
      <c r="C207" s="24" t="s">
        <v>532</v>
      </c>
      <c r="D207" s="24">
        <v>2110000</v>
      </c>
      <c r="E207" s="24" t="s">
        <v>195</v>
      </c>
      <c r="F207" s="24" t="str">
        <f t="shared" si="6"/>
        <v>rtdc.l.rtdc.4019:itc</v>
      </c>
      <c r="G207" s="8">
        <f t="shared" si="7"/>
        <v>42604.972037037034</v>
      </c>
    </row>
    <row r="208" spans="1:7" x14ac:dyDescent="0.25">
      <c r="A208" s="8">
        <v>42604.995648148149</v>
      </c>
      <c r="B208" s="24" t="s">
        <v>193</v>
      </c>
      <c r="C208" s="24" t="s">
        <v>534</v>
      </c>
      <c r="D208" s="24">
        <v>1180000</v>
      </c>
      <c r="E208" s="24" t="s">
        <v>317</v>
      </c>
      <c r="F208" s="24" t="str">
        <f t="shared" si="6"/>
        <v>rtdc.l.rtdc.4010:itc</v>
      </c>
      <c r="G208" s="8">
        <f t="shared" si="7"/>
        <v>42604.995648148149</v>
      </c>
    </row>
    <row r="209" spans="1:7" x14ac:dyDescent="0.25">
      <c r="A209" s="8">
        <v>42604.997337962966</v>
      </c>
      <c r="B209" s="24" t="s">
        <v>252</v>
      </c>
      <c r="C209" s="24" t="s">
        <v>537</v>
      </c>
      <c r="D209" s="24">
        <v>1800000</v>
      </c>
      <c r="E209" s="24" t="s">
        <v>196</v>
      </c>
      <c r="F209" s="24" t="str">
        <f t="shared" si="6"/>
        <v>rtdc.l.rtdc.4018:itc</v>
      </c>
      <c r="G209" s="8">
        <f t="shared" si="7"/>
        <v>42604.997337962966</v>
      </c>
    </row>
    <row r="210" spans="1:7" x14ac:dyDescent="0.25">
      <c r="A210" s="8">
        <v>42605.010729166665</v>
      </c>
      <c r="B210" s="24" t="s">
        <v>153</v>
      </c>
      <c r="C210" s="24" t="s">
        <v>372</v>
      </c>
      <c r="D210" s="24">
        <v>1810000</v>
      </c>
      <c r="E210" s="24" t="s">
        <v>224</v>
      </c>
      <c r="F210" s="24" t="str">
        <f t="shared" si="6"/>
        <v>rtdc.l.rtdc.4028:itc</v>
      </c>
      <c r="G210" s="8">
        <f t="shared" si="7"/>
        <v>42605.010729166665</v>
      </c>
    </row>
    <row r="211" spans="1:7" x14ac:dyDescent="0.25">
      <c r="A211" s="8">
        <v>42605.016956018517</v>
      </c>
      <c r="B211" s="24" t="s">
        <v>180</v>
      </c>
      <c r="C211" s="24" t="s">
        <v>540</v>
      </c>
      <c r="D211" s="24">
        <v>2110000</v>
      </c>
      <c r="E211" s="24" t="s">
        <v>195</v>
      </c>
      <c r="F211" s="24" t="str">
        <f t="shared" si="6"/>
        <v>rtdc.l.rtdc.4020:itc</v>
      </c>
      <c r="G211" s="8">
        <f t="shared" si="7"/>
        <v>42605.016956018517</v>
      </c>
    </row>
    <row r="212" spans="1:7" x14ac:dyDescent="0.25">
      <c r="A212" s="8">
        <v>42605.038043981483</v>
      </c>
      <c r="B212" s="24" t="s">
        <v>251</v>
      </c>
      <c r="C212" s="24" t="s">
        <v>538</v>
      </c>
      <c r="D212" s="24">
        <v>1800000</v>
      </c>
      <c r="E212" s="24" t="s">
        <v>196</v>
      </c>
      <c r="F212" s="24" t="str">
        <f t="shared" si="6"/>
        <v>rtdc.l.rtdc.4017:itc</v>
      </c>
      <c r="G212" s="8">
        <f t="shared" si="7"/>
        <v>42605.038043981483</v>
      </c>
    </row>
    <row r="213" spans="1:7" x14ac:dyDescent="0.25">
      <c r="A213" s="8">
        <v>42605.050868055558</v>
      </c>
      <c r="B213" s="24" t="s">
        <v>94</v>
      </c>
      <c r="C213" s="24" t="s">
        <v>546</v>
      </c>
      <c r="D213" s="24">
        <v>1810000</v>
      </c>
      <c r="E213" s="24" t="s">
        <v>224</v>
      </c>
      <c r="F213" s="24" t="str">
        <f t="shared" si="6"/>
        <v>rtdc.l.rtdc.4027:itc</v>
      </c>
      <c r="G213" s="8">
        <f t="shared" si="7"/>
        <v>42605.050868055558</v>
      </c>
    </row>
    <row r="214" spans="1:7" x14ac:dyDescent="0.25">
      <c r="A214" s="8">
        <v>42605.056516203702</v>
      </c>
      <c r="B214" s="24" t="s">
        <v>181</v>
      </c>
      <c r="C214" s="24" t="s">
        <v>541</v>
      </c>
      <c r="D214" s="24">
        <v>2110000</v>
      </c>
      <c r="E214" s="24" t="s">
        <v>195</v>
      </c>
      <c r="F214" s="24" t="str">
        <f t="shared" si="6"/>
        <v>rtdc.l.rtdc.4019:itc</v>
      </c>
      <c r="G214" s="8">
        <f t="shared" si="7"/>
        <v>42605.056516203702</v>
      </c>
    </row>
    <row r="215" spans="1:7" x14ac:dyDescent="0.25">
      <c r="A215" s="8">
        <v>42605.07402777778</v>
      </c>
      <c r="B215" s="24" t="s">
        <v>252</v>
      </c>
      <c r="C215" s="24" t="s">
        <v>664</v>
      </c>
      <c r="D215" s="24">
        <v>1800000</v>
      </c>
      <c r="E215" s="24" t="s">
        <v>196</v>
      </c>
      <c r="F215" s="24" t="str">
        <f t="shared" si="6"/>
        <v>rtdc.l.rtdc.4018:itc</v>
      </c>
      <c r="G215" s="8">
        <f t="shared" si="7"/>
        <v>42605.07402777778</v>
      </c>
    </row>
    <row r="216" spans="1:7" x14ac:dyDescent="0.25">
      <c r="A216" s="8">
        <v>42605.088402777779</v>
      </c>
      <c r="B216" s="24" t="s">
        <v>180</v>
      </c>
      <c r="C216" s="24" t="s">
        <v>548</v>
      </c>
      <c r="D216" s="24">
        <v>2110000</v>
      </c>
      <c r="E216" s="24" t="s">
        <v>195</v>
      </c>
      <c r="F216" s="24" t="str">
        <f t="shared" si="6"/>
        <v>rtdc.l.rtdc.4020:itc</v>
      </c>
      <c r="G216" s="8">
        <f t="shared" si="7"/>
        <v>42605.088402777779</v>
      </c>
    </row>
    <row r="217" spans="1:7" x14ac:dyDescent="0.25">
      <c r="A217" s="8">
        <v>42605.089525462965</v>
      </c>
      <c r="B217" s="24" t="s">
        <v>180</v>
      </c>
      <c r="C217" s="24" t="s">
        <v>548</v>
      </c>
      <c r="D217" s="24">
        <v>2110000</v>
      </c>
      <c r="E217" s="24" t="s">
        <v>195</v>
      </c>
      <c r="F217" s="24" t="str">
        <f t="shared" si="6"/>
        <v>rtdc.l.rtdc.4020:itc</v>
      </c>
      <c r="G217" s="8">
        <f t="shared" si="7"/>
        <v>42605.089525462965</v>
      </c>
    </row>
    <row r="218" spans="1:7" x14ac:dyDescent="0.25">
      <c r="B218" s="24"/>
      <c r="C218" s="24"/>
      <c r="D218" s="24"/>
      <c r="E218" s="24"/>
      <c r="F218" s="24">
        <f t="shared" si="6"/>
        <v>0</v>
      </c>
      <c r="G218" s="8">
        <f t="shared" si="7"/>
        <v>0</v>
      </c>
    </row>
    <row r="219" spans="1:7" x14ac:dyDescent="0.25">
      <c r="A219" s="8">
        <v>42601.969930555555</v>
      </c>
      <c r="B219" s="24" t="s">
        <v>113</v>
      </c>
      <c r="C219" s="24" t="s">
        <v>234</v>
      </c>
      <c r="D219" s="24">
        <v>2100000</v>
      </c>
      <c r="E219" s="24" t="s">
        <v>139</v>
      </c>
      <c r="F219" s="24" t="str">
        <f t="shared" si="6"/>
        <v>rtdc.l.rtdc.4014:itc</v>
      </c>
      <c r="G219" s="8">
        <f t="shared" si="7"/>
        <v>42601.969930555555</v>
      </c>
    </row>
    <row r="220" spans="1:7" x14ac:dyDescent="0.25">
      <c r="A220" s="8">
        <v>42601.97215277778</v>
      </c>
      <c r="B220" s="24" t="s">
        <v>181</v>
      </c>
      <c r="C220" s="24" t="s">
        <v>232</v>
      </c>
      <c r="D220" s="24">
        <v>2110000</v>
      </c>
      <c r="E220" s="24" t="s">
        <v>195</v>
      </c>
      <c r="F220" s="24" t="str">
        <f t="shared" si="6"/>
        <v>rtdc.l.rtdc.4019:itc</v>
      </c>
      <c r="G220" s="8">
        <f t="shared" si="7"/>
        <v>42601.97215277778</v>
      </c>
    </row>
    <row r="221" spans="1:7" x14ac:dyDescent="0.25">
      <c r="A221" s="8">
        <v>42601.992442129631</v>
      </c>
      <c r="B221" s="24" t="s">
        <v>206</v>
      </c>
      <c r="C221" s="24" t="s">
        <v>233</v>
      </c>
      <c r="D221" s="24">
        <v>1300000</v>
      </c>
      <c r="E221" s="24" t="s">
        <v>143</v>
      </c>
      <c r="F221" s="24" t="str">
        <f t="shared" si="6"/>
        <v>rtdc.l.rtdc.4001:itc</v>
      </c>
      <c r="G221" s="8">
        <f t="shared" si="7"/>
        <v>42601.992442129631</v>
      </c>
    </row>
    <row r="222" spans="1:7" x14ac:dyDescent="0.25">
      <c r="A222" s="8">
        <v>42601.997314814813</v>
      </c>
      <c r="B222" s="24" t="s">
        <v>154</v>
      </c>
      <c r="C222" s="24" t="s">
        <v>236</v>
      </c>
      <c r="D222" s="24">
        <v>1800000</v>
      </c>
      <c r="E222" s="24" t="s">
        <v>196</v>
      </c>
      <c r="F222" s="24" t="str">
        <f t="shared" si="6"/>
        <v>rtdc.l.rtdc.4042:itc</v>
      </c>
      <c r="G222" s="8">
        <f t="shared" si="7"/>
        <v>42601.997314814813</v>
      </c>
    </row>
    <row r="223" spans="1:7" x14ac:dyDescent="0.25">
      <c r="A223" s="8">
        <v>42602.009641203702</v>
      </c>
      <c r="B223" s="24" t="s">
        <v>91</v>
      </c>
      <c r="C223" s="24" t="s">
        <v>235</v>
      </c>
      <c r="D223" s="24">
        <v>2100000</v>
      </c>
      <c r="E223" s="24" t="s">
        <v>139</v>
      </c>
      <c r="F223" s="24" t="str">
        <f t="shared" si="6"/>
        <v>rtdc.l.rtdc.4013:itc</v>
      </c>
      <c r="G223" s="8">
        <f t="shared" si="7"/>
        <v>42602.009641203702</v>
      </c>
    </row>
    <row r="224" spans="1:7" x14ac:dyDescent="0.25">
      <c r="A224" s="8">
        <v>42602.015416666669</v>
      </c>
      <c r="B224" t="s">
        <v>180</v>
      </c>
      <c r="C224" t="s">
        <v>238</v>
      </c>
      <c r="D224">
        <v>2110000</v>
      </c>
      <c r="E224" t="s">
        <v>195</v>
      </c>
      <c r="F224" s="24" t="str">
        <f t="shared" si="6"/>
        <v>rtdc.l.rtdc.4020:itc</v>
      </c>
      <c r="G224" s="8">
        <f t="shared" si="7"/>
        <v>42602.015416666669</v>
      </c>
    </row>
    <row r="225" spans="1:7" x14ac:dyDescent="0.25">
      <c r="A225" s="8">
        <v>42602.033460648148</v>
      </c>
      <c r="B225" t="s">
        <v>205</v>
      </c>
      <c r="C225" t="s">
        <v>240</v>
      </c>
      <c r="D225">
        <v>1300000</v>
      </c>
      <c r="E225" t="s">
        <v>143</v>
      </c>
      <c r="F225" s="24" t="str">
        <f t="shared" si="6"/>
        <v>rtdc.l.rtdc.4002:itc</v>
      </c>
      <c r="G225" s="8">
        <f t="shared" si="7"/>
        <v>42602.033460648148</v>
      </c>
    </row>
    <row r="226" spans="1:7" x14ac:dyDescent="0.25">
      <c r="A226" s="8">
        <v>42602.036608796298</v>
      </c>
      <c r="B226" t="s">
        <v>213</v>
      </c>
      <c r="C226" t="s">
        <v>237</v>
      </c>
      <c r="D226">
        <v>1800000</v>
      </c>
      <c r="E226" t="s">
        <v>196</v>
      </c>
      <c r="F226" s="24" t="str">
        <f t="shared" si="6"/>
        <v>rtdc.l.rtdc.4041:itc</v>
      </c>
      <c r="G226" s="8">
        <f t="shared" si="7"/>
        <v>42602.036608796298</v>
      </c>
    </row>
    <row r="227" spans="1:7" x14ac:dyDescent="0.25">
      <c r="A227" s="8">
        <v>42602.04959490741</v>
      </c>
      <c r="B227" t="s">
        <v>113</v>
      </c>
      <c r="C227" t="s">
        <v>242</v>
      </c>
      <c r="D227">
        <v>2100000</v>
      </c>
      <c r="E227" t="s">
        <v>139</v>
      </c>
      <c r="F227" s="24" t="str">
        <f t="shared" si="6"/>
        <v>rtdc.l.rtdc.4014:itc</v>
      </c>
      <c r="G227" s="8">
        <f t="shared" si="7"/>
        <v>42602.04959490741</v>
      </c>
    </row>
    <row r="228" spans="1:7" x14ac:dyDescent="0.25">
      <c r="A228" s="8">
        <v>42602.052037037036</v>
      </c>
      <c r="B228" t="s">
        <v>181</v>
      </c>
      <c r="C228" t="s">
        <v>239</v>
      </c>
      <c r="D228">
        <v>2110000</v>
      </c>
      <c r="E228" t="s">
        <v>195</v>
      </c>
      <c r="F228" s="24" t="str">
        <f t="shared" si="6"/>
        <v>rtdc.l.rtdc.4019:itc</v>
      </c>
      <c r="G228" s="8">
        <f t="shared" si="7"/>
        <v>42602.052037037036</v>
      </c>
    </row>
    <row r="229" spans="1:7" x14ac:dyDescent="0.25">
      <c r="A229" s="8">
        <v>42602.071122685185</v>
      </c>
      <c r="B229" t="s">
        <v>154</v>
      </c>
      <c r="C229" t="s">
        <v>243</v>
      </c>
      <c r="D229">
        <v>1800000</v>
      </c>
      <c r="E229" t="s">
        <v>196</v>
      </c>
      <c r="F229" s="24" t="str">
        <f t="shared" si="6"/>
        <v>rtdc.l.rtdc.4042:itc</v>
      </c>
      <c r="G229" s="8">
        <f t="shared" si="7"/>
        <v>42602.071122685185</v>
      </c>
    </row>
    <row r="230" spans="1:7" x14ac:dyDescent="0.25">
      <c r="A230" s="8">
        <v>42602.075162037036</v>
      </c>
      <c r="B230" t="s">
        <v>206</v>
      </c>
      <c r="C230" t="s">
        <v>241</v>
      </c>
      <c r="D230">
        <v>1300000</v>
      </c>
      <c r="E230" t="s">
        <v>143</v>
      </c>
      <c r="F230" s="24" t="str">
        <f t="shared" si="6"/>
        <v>rtdc.l.rtdc.4001:itc</v>
      </c>
      <c r="G230" s="8">
        <f t="shared" si="7"/>
        <v>42602.075162037036</v>
      </c>
    </row>
    <row r="231" spans="1:7" x14ac:dyDescent="0.25">
      <c r="A231" s="8">
        <v>42602.090532407405</v>
      </c>
      <c r="B231" t="s">
        <v>180</v>
      </c>
      <c r="C231" t="s">
        <v>244</v>
      </c>
      <c r="D231">
        <v>2110000</v>
      </c>
      <c r="E231" t="s">
        <v>195</v>
      </c>
      <c r="F231" s="24" t="str">
        <f t="shared" si="6"/>
        <v>rtdc.l.rtdc.4020:itc</v>
      </c>
      <c r="G231" s="8">
        <f t="shared" si="7"/>
        <v>42602.090532407405</v>
      </c>
    </row>
    <row r="232" spans="1:7" x14ac:dyDescent="0.25">
      <c r="A232" s="8">
        <v>42602.102951388886</v>
      </c>
      <c r="B232" t="s">
        <v>180</v>
      </c>
      <c r="C232" t="s">
        <v>244</v>
      </c>
      <c r="D232">
        <v>2110000</v>
      </c>
      <c r="E232" t="s">
        <v>195</v>
      </c>
      <c r="F232" s="24" t="str">
        <f t="shared" si="6"/>
        <v>rtdc.l.rtdc.4020:itc</v>
      </c>
      <c r="G232" s="8">
        <f t="shared" si="7"/>
        <v>42602.102951388886</v>
      </c>
    </row>
    <row r="233" spans="1:7" x14ac:dyDescent="0.25">
      <c r="A233" s="8">
        <v>42602.109270833331</v>
      </c>
      <c r="B233" t="s">
        <v>205</v>
      </c>
      <c r="C233" t="s">
        <v>245</v>
      </c>
      <c r="D233">
        <v>1300000</v>
      </c>
      <c r="E233" t="s">
        <v>143</v>
      </c>
      <c r="F233" s="24" t="str">
        <f t="shared" si="6"/>
        <v>rtdc.l.rtdc.4002:itc</v>
      </c>
      <c r="G233" s="8">
        <f t="shared" si="7"/>
        <v>42602.109270833331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179</v>
      </c>
      <c r="C235" t="s">
        <v>178</v>
      </c>
      <c r="D235">
        <v>1460000</v>
      </c>
      <c r="E235" t="s">
        <v>182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116</v>
      </c>
      <c r="C236" t="s">
        <v>163</v>
      </c>
      <c r="D236">
        <v>2000000</v>
      </c>
      <c r="E236" t="s">
        <v>146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155</v>
      </c>
      <c r="C237" t="s">
        <v>165</v>
      </c>
      <c r="D237">
        <v>1300000</v>
      </c>
      <c r="E237" t="s">
        <v>143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92</v>
      </c>
      <c r="C238" t="s">
        <v>167</v>
      </c>
      <c r="D238">
        <v>1230000</v>
      </c>
      <c r="E238" t="s">
        <v>183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91</v>
      </c>
      <c r="C239" t="s">
        <v>164</v>
      </c>
      <c r="D239">
        <v>2100000</v>
      </c>
      <c r="E239" t="s">
        <v>139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147</v>
      </c>
      <c r="C240" t="s">
        <v>166</v>
      </c>
      <c r="D240">
        <v>1300000</v>
      </c>
      <c r="E240" t="s">
        <v>143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115</v>
      </c>
      <c r="C241" t="s">
        <v>169</v>
      </c>
      <c r="D241">
        <v>2000000</v>
      </c>
      <c r="E241" t="s">
        <v>146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93</v>
      </c>
      <c r="C242" t="s">
        <v>168</v>
      </c>
      <c r="D242">
        <v>1230000</v>
      </c>
      <c r="E242" t="s">
        <v>183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113</v>
      </c>
      <c r="C243" t="s">
        <v>171</v>
      </c>
      <c r="D243">
        <v>2100000</v>
      </c>
      <c r="E243" t="s">
        <v>139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155</v>
      </c>
      <c r="C244" t="s">
        <v>173</v>
      </c>
      <c r="D244">
        <v>1300000</v>
      </c>
      <c r="E244" t="s">
        <v>143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116</v>
      </c>
      <c r="C245" t="s">
        <v>170</v>
      </c>
      <c r="D245">
        <v>2000000</v>
      </c>
      <c r="E245" t="s">
        <v>146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92</v>
      </c>
      <c r="C246" t="s">
        <v>175</v>
      </c>
      <c r="D246">
        <v>1230000</v>
      </c>
      <c r="E246" t="s">
        <v>183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91</v>
      </c>
      <c r="C247" t="s">
        <v>172</v>
      </c>
      <c r="D247">
        <v>2100000</v>
      </c>
      <c r="E247" t="s">
        <v>139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115</v>
      </c>
      <c r="C248" t="s">
        <v>176</v>
      </c>
      <c r="D248">
        <v>2000000</v>
      </c>
      <c r="E248" t="s">
        <v>146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147</v>
      </c>
      <c r="C249" t="s">
        <v>174</v>
      </c>
      <c r="D249">
        <v>1300000</v>
      </c>
      <c r="E249" t="s">
        <v>143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113</v>
      </c>
      <c r="C250" t="s">
        <v>184</v>
      </c>
      <c r="D250">
        <v>2100000</v>
      </c>
      <c r="E250" t="s">
        <v>139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155</v>
      </c>
      <c r="C251" t="s">
        <v>177</v>
      </c>
      <c r="D251">
        <v>1300000</v>
      </c>
      <c r="E251" t="s">
        <v>143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7" t="s">
        <v>117</v>
      </c>
      <c r="D1" s="78" t="s">
        <v>118</v>
      </c>
      <c r="J1" s="35" t="s">
        <v>119</v>
      </c>
      <c r="K1" s="35" t="s">
        <v>72</v>
      </c>
      <c r="L1" s="35" t="s">
        <v>73</v>
      </c>
      <c r="O1" s="81" t="s">
        <v>120</v>
      </c>
    </row>
    <row r="2" spans="1:16" ht="15.75" thickBot="1" x14ac:dyDescent="0.3">
      <c r="A2" s="15">
        <v>42604</v>
      </c>
      <c r="B2" s="4"/>
      <c r="C2" s="79">
        <v>50</v>
      </c>
      <c r="D2" s="80">
        <v>25</v>
      </c>
      <c r="F2" t="s">
        <v>148</v>
      </c>
      <c r="J2" s="35"/>
      <c r="K2" s="35" t="s">
        <v>72</v>
      </c>
      <c r="L2" s="35" t="s">
        <v>73</v>
      </c>
    </row>
    <row r="3" spans="1:16" x14ac:dyDescent="0.25">
      <c r="F3" t="s">
        <v>58</v>
      </c>
      <c r="J3" s="36" t="s">
        <v>74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121</v>
      </c>
      <c r="P3" s="71">
        <f>AVERAGE(1.0714,1.1016)</f>
        <v>1.0865</v>
      </c>
    </row>
    <row r="4" spans="1:16" x14ac:dyDescent="0.25">
      <c r="F4" t="s">
        <v>59</v>
      </c>
      <c r="J4" s="36" t="s">
        <v>75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76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149</v>
      </c>
      <c r="J6" s="36" t="s">
        <v>77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150</v>
      </c>
      <c r="J7" s="36" t="s">
        <v>78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151</v>
      </c>
      <c r="J8" s="36" t="s">
        <v>79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80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81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82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83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84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85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98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99</v>
      </c>
      <c r="K19" s="37"/>
      <c r="L19" s="37"/>
      <c r="M19" s="71" t="s">
        <v>131</v>
      </c>
    </row>
    <row r="20" spans="10:13" x14ac:dyDescent="0.25">
      <c r="J20" t="s">
        <v>100</v>
      </c>
      <c r="M20" s="71" t="s">
        <v>207</v>
      </c>
    </row>
    <row r="21" spans="10:13" x14ac:dyDescent="0.25">
      <c r="J21" s="24" t="s">
        <v>103</v>
      </c>
      <c r="K21" s="24" t="s">
        <v>104</v>
      </c>
      <c r="M21" s="71" t="s">
        <v>104</v>
      </c>
    </row>
    <row r="22" spans="10:13" x14ac:dyDescent="0.25">
      <c r="J22" s="24" t="s">
        <v>105</v>
      </c>
      <c r="K22" s="24" t="s">
        <v>106</v>
      </c>
      <c r="M22" s="71" t="s">
        <v>130</v>
      </c>
    </row>
    <row r="23" spans="10:13" x14ac:dyDescent="0.25">
      <c r="J23" s="32" t="s">
        <v>108</v>
      </c>
      <c r="K23" s="24"/>
      <c r="M23" s="121">
        <v>-6</v>
      </c>
    </row>
    <row r="24" spans="10:13" x14ac:dyDescent="0.25">
      <c r="J24" s="24" t="s">
        <v>127</v>
      </c>
      <c r="K24" s="24"/>
      <c r="M24" s="71" t="s">
        <v>129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2016-08-23T16:20:28Z</dcterms:modified>
</cp:coreProperties>
</file>