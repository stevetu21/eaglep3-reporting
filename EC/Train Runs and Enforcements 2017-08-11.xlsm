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Enforcements!$A$6:$AC$58</definedName>
    <definedName name="_xlnm._FilterDatabase" localSheetId="2" hidden="1">'Missing Trips'!$A$2:$J$33</definedName>
    <definedName name="_xlnm._FilterDatabase" localSheetId="0" hidden="1">'Train Runs'!$A$12:$AG$265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0" i="1" l="1"/>
  <c r="L90" i="1"/>
  <c r="M90" i="1"/>
  <c r="N90" i="1" s="1"/>
  <c r="V90" i="1"/>
  <c r="AA90" i="1"/>
  <c r="AB90" i="1"/>
  <c r="AC90" i="1"/>
  <c r="AD90" i="1"/>
  <c r="T90" i="1" s="1"/>
  <c r="AE90" i="1"/>
  <c r="R42" i="3" s="1"/>
  <c r="AF90" i="1"/>
  <c r="AH90" i="1"/>
  <c r="AM90" i="1"/>
  <c r="AN90" i="1"/>
  <c r="K85" i="1"/>
  <c r="L85" i="1"/>
  <c r="M85" i="1"/>
  <c r="N85" i="1" s="1"/>
  <c r="V85" i="1"/>
  <c r="AA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Y82" i="1"/>
  <c r="Y83" i="1"/>
  <c r="Y84" i="1"/>
  <c r="Y87" i="1"/>
  <c r="Y88" i="1"/>
  <c r="Y89" i="1"/>
  <c r="Y91" i="1"/>
  <c r="Y92" i="1"/>
  <c r="Y93" i="1"/>
  <c r="Y94" i="1"/>
  <c r="Y95" i="1"/>
  <c r="K75" i="1"/>
  <c r="L75" i="1"/>
  <c r="M75" i="1"/>
  <c r="N75" i="1" s="1"/>
  <c r="V75" i="1"/>
  <c r="AA75" i="1"/>
  <c r="AB75" i="1"/>
  <c r="AC75" i="1"/>
  <c r="AD75" i="1"/>
  <c r="T75" i="1" s="1"/>
  <c r="AE75" i="1"/>
  <c r="AF75" i="1"/>
  <c r="AH75" i="1"/>
  <c r="AM75" i="1"/>
  <c r="AN75" i="1"/>
  <c r="K70" i="1"/>
  <c r="L70" i="1"/>
  <c r="M70" i="1"/>
  <c r="N70" i="1" s="1"/>
  <c r="V70" i="1"/>
  <c r="AA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34" i="1"/>
  <c r="L34" i="1"/>
  <c r="M34" i="1"/>
  <c r="P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14" i="1"/>
  <c r="L14" i="1"/>
  <c r="M14" i="1"/>
  <c r="N14" i="1" s="1"/>
  <c r="V14" i="1"/>
  <c r="S31" i="3" s="1"/>
  <c r="Y14" i="1"/>
  <c r="Z14" i="1"/>
  <c r="AB14" i="1"/>
  <c r="AC14" i="1"/>
  <c r="AD14" i="1"/>
  <c r="T14" i="1" s="1"/>
  <c r="AE14" i="1"/>
  <c r="R31" i="3" s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P19" i="1" s="1"/>
  <c r="V19" i="1"/>
  <c r="S21" i="3" s="1"/>
  <c r="Y19" i="1"/>
  <c r="Z19" i="1"/>
  <c r="AB19" i="1"/>
  <c r="AC19" i="1"/>
  <c r="AD19" i="1"/>
  <c r="T19" i="1" s="1"/>
  <c r="AE19" i="1"/>
  <c r="R21" i="3" s="1"/>
  <c r="AF19" i="1"/>
  <c r="AH19" i="1"/>
  <c r="AM19" i="1"/>
  <c r="AN19" i="1"/>
  <c r="K20" i="1"/>
  <c r="L20" i="1"/>
  <c r="M20" i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R11" i="3" s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S22" i="3" s="1"/>
  <c r="Y31" i="1"/>
  <c r="Z31" i="1"/>
  <c r="AB31" i="1"/>
  <c r="AC31" i="1"/>
  <c r="AD31" i="1"/>
  <c r="T31" i="1" s="1"/>
  <c r="AE31" i="1"/>
  <c r="R22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S8" i="3" s="1"/>
  <c r="Y33" i="1"/>
  <c r="Z33" i="1"/>
  <c r="AB33" i="1"/>
  <c r="AC33" i="1"/>
  <c r="AD33" i="1"/>
  <c r="AE33" i="1"/>
  <c r="R8" i="3" s="1"/>
  <c r="AF33" i="1"/>
  <c r="AH33" i="1"/>
  <c r="AM33" i="1"/>
  <c r="AN33" i="1"/>
  <c r="K35" i="1"/>
  <c r="L35" i="1"/>
  <c r="M35" i="1"/>
  <c r="N35" i="1" s="1"/>
  <c r="V35" i="1"/>
  <c r="S41" i="3" s="1"/>
  <c r="Y35" i="1"/>
  <c r="Z35" i="1"/>
  <c r="AB35" i="1"/>
  <c r="AC35" i="1"/>
  <c r="AD35" i="1"/>
  <c r="T35" i="1" s="1"/>
  <c r="AE35" i="1"/>
  <c r="R27" i="3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R32" i="3" s="1"/>
  <c r="AF39" i="1"/>
  <c r="AH39" i="1"/>
  <c r="AM39" i="1"/>
  <c r="AN39" i="1"/>
  <c r="K40" i="1"/>
  <c r="L40" i="1"/>
  <c r="M40" i="1"/>
  <c r="N40" i="1" s="1"/>
  <c r="V40" i="1"/>
  <c r="S7" i="3" s="1"/>
  <c r="Y40" i="1"/>
  <c r="Z40" i="1"/>
  <c r="AB40" i="1"/>
  <c r="AC40" i="1"/>
  <c r="AD40" i="1"/>
  <c r="T40" i="1" s="1"/>
  <c r="AE40" i="1"/>
  <c r="R7" i="3" s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P44" i="1" s="1"/>
  <c r="V44" i="1"/>
  <c r="S23" i="3" s="1"/>
  <c r="Y44" i="1"/>
  <c r="Z44" i="1"/>
  <c r="AB44" i="1"/>
  <c r="AC44" i="1"/>
  <c r="AD44" i="1"/>
  <c r="T44" i="1" s="1"/>
  <c r="AE44" i="1"/>
  <c r="R12" i="3" s="1"/>
  <c r="AF44" i="1"/>
  <c r="AH44" i="1"/>
  <c r="AM44" i="1"/>
  <c r="AN44" i="1"/>
  <c r="K45" i="1"/>
  <c r="L45" i="1"/>
  <c r="M45" i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S33" i="3" s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S18" i="3" s="1"/>
  <c r="Y52" i="1"/>
  <c r="Z52" i="1"/>
  <c r="AB52" i="1"/>
  <c r="AC52" i="1"/>
  <c r="AD52" i="1"/>
  <c r="AE52" i="1"/>
  <c r="R28" i="3" s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T54" i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R14" i="3" s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S24" i="3" s="1"/>
  <c r="Y59" i="1"/>
  <c r="Z59" i="1"/>
  <c r="AB59" i="1"/>
  <c r="AC59" i="1"/>
  <c r="AD59" i="1"/>
  <c r="AE59" i="1"/>
  <c r="R24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S34" i="3" s="1"/>
  <c r="Y80" i="1"/>
  <c r="Z80" i="1"/>
  <c r="AB80" i="1"/>
  <c r="AC80" i="1"/>
  <c r="AD80" i="1"/>
  <c r="T80" i="1" s="1"/>
  <c r="AE80" i="1"/>
  <c r="R34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Z84" i="1"/>
  <c r="AB84" i="1"/>
  <c r="AC84" i="1"/>
  <c r="AD84" i="1"/>
  <c r="T84" i="1" s="1"/>
  <c r="AE84" i="1"/>
  <c r="AF84" i="1"/>
  <c r="AH84" i="1"/>
  <c r="AM84" i="1"/>
  <c r="AN84" i="1"/>
  <c r="K87" i="1"/>
  <c r="L87" i="1"/>
  <c r="M87" i="1"/>
  <c r="N87" i="1" s="1"/>
  <c r="V87" i="1"/>
  <c r="S43" i="3" s="1"/>
  <c r="Z87" i="1"/>
  <c r="AB87" i="1"/>
  <c r="AC87" i="1"/>
  <c r="AD87" i="1"/>
  <c r="T87" i="1" s="1"/>
  <c r="AE87" i="1"/>
  <c r="R43" i="3" s="1"/>
  <c r="AF87" i="1"/>
  <c r="AH87" i="1"/>
  <c r="AM87" i="1"/>
  <c r="AN87" i="1"/>
  <c r="K88" i="1"/>
  <c r="L88" i="1"/>
  <c r="M88" i="1"/>
  <c r="N88" i="1" s="1"/>
  <c r="V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Z89" i="1"/>
  <c r="AB89" i="1"/>
  <c r="AC89" i="1"/>
  <c r="AD89" i="1"/>
  <c r="AE89" i="1"/>
  <c r="R44" i="3" s="1"/>
  <c r="AF89" i="1"/>
  <c r="AH89" i="1"/>
  <c r="AM89" i="1"/>
  <c r="AN89" i="1"/>
  <c r="K91" i="1"/>
  <c r="L91" i="1"/>
  <c r="M91" i="1"/>
  <c r="N91" i="1" s="1"/>
  <c r="V91" i="1"/>
  <c r="Z91" i="1"/>
  <c r="AB91" i="1"/>
  <c r="AC91" i="1"/>
  <c r="AD91" i="1"/>
  <c r="X91" i="1" s="1"/>
  <c r="AE91" i="1"/>
  <c r="AF91" i="1"/>
  <c r="AH91" i="1"/>
  <c r="AM91" i="1"/>
  <c r="AN91" i="1"/>
  <c r="K92" i="1"/>
  <c r="L92" i="1"/>
  <c r="M92" i="1"/>
  <c r="N92" i="1" s="1"/>
  <c r="V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S45" i="3" s="1"/>
  <c r="Z93" i="1"/>
  <c r="AB93" i="1"/>
  <c r="AC93" i="1"/>
  <c r="AD93" i="1"/>
  <c r="T93" i="1" s="1"/>
  <c r="AE93" i="1"/>
  <c r="R45" i="3" s="1"/>
  <c r="AF93" i="1"/>
  <c r="AH93" i="1"/>
  <c r="AM93" i="1"/>
  <c r="AN93" i="1"/>
  <c r="K94" i="1"/>
  <c r="L94" i="1"/>
  <c r="M94" i="1"/>
  <c r="N94" i="1" s="1"/>
  <c r="V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S9" i="3" s="1"/>
  <c r="Y97" i="1"/>
  <c r="Z97" i="1"/>
  <c r="AB97" i="1"/>
  <c r="AC97" i="1"/>
  <c r="AD97" i="1"/>
  <c r="T97" i="1" s="1"/>
  <c r="AE97" i="1"/>
  <c r="R9" i="3" s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S46" i="3" s="1"/>
  <c r="Y99" i="1"/>
  <c r="Z99" i="1"/>
  <c r="AB99" i="1"/>
  <c r="AC99" i="1"/>
  <c r="AD99" i="1"/>
  <c r="T99" i="1" s="1"/>
  <c r="AE99" i="1"/>
  <c r="R46" i="3" s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S47" i="3" s="1"/>
  <c r="Y101" i="1"/>
  <c r="Z101" i="1"/>
  <c r="AB101" i="1"/>
  <c r="AC101" i="1"/>
  <c r="AD101" i="1"/>
  <c r="T101" i="1" s="1"/>
  <c r="AE101" i="1"/>
  <c r="R47" i="3" s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S35" i="3" s="1"/>
  <c r="Y106" i="1"/>
  <c r="Z106" i="1"/>
  <c r="AB106" i="1"/>
  <c r="AC106" i="1"/>
  <c r="AD106" i="1"/>
  <c r="T106" i="1" s="1"/>
  <c r="AE106" i="1"/>
  <c r="R36" i="3" s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S37" i="3" s="1"/>
  <c r="Y108" i="1"/>
  <c r="Z108" i="1"/>
  <c r="AB108" i="1"/>
  <c r="AC108" i="1"/>
  <c r="AD108" i="1"/>
  <c r="T108" i="1" s="1"/>
  <c r="AE108" i="1"/>
  <c r="R37" i="3" s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S26" i="3" s="1"/>
  <c r="Y115" i="1"/>
  <c r="Z115" i="1"/>
  <c r="AB115" i="1"/>
  <c r="AC115" i="1"/>
  <c r="AD115" i="1"/>
  <c r="T115" i="1" s="1"/>
  <c r="AE115" i="1"/>
  <c r="R26" i="3" s="1"/>
  <c r="AF115" i="1"/>
  <c r="AH115" i="1"/>
  <c r="AM115" i="1"/>
  <c r="AN115" i="1"/>
  <c r="K116" i="1"/>
  <c r="L116" i="1"/>
  <c r="M116" i="1"/>
  <c r="N116" i="1" s="1"/>
  <c r="V116" i="1"/>
  <c r="S38" i="3" s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S13" i="3" s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S17" i="3" s="1"/>
  <c r="Y121" i="1"/>
  <c r="Z121" i="1"/>
  <c r="AB121" i="1"/>
  <c r="AC121" i="1"/>
  <c r="AD121" i="1"/>
  <c r="T121" i="1" s="1"/>
  <c r="AE121" i="1"/>
  <c r="R17" i="3" s="1"/>
  <c r="AF121" i="1"/>
  <c r="AH121" i="1"/>
  <c r="AM121" i="1"/>
  <c r="AN121" i="1"/>
  <c r="K122" i="1"/>
  <c r="L122" i="1"/>
  <c r="M122" i="1"/>
  <c r="N122" i="1" s="1"/>
  <c r="V122" i="1"/>
  <c r="S39" i="3" s="1"/>
  <c r="Y122" i="1"/>
  <c r="Z122" i="1"/>
  <c r="AB122" i="1"/>
  <c r="AC122" i="1"/>
  <c r="AD122" i="1"/>
  <c r="T122" i="1" s="1"/>
  <c r="AE122" i="1"/>
  <c r="R39" i="3" s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S25" i="3" s="1"/>
  <c r="Y134" i="1"/>
  <c r="Z134" i="1"/>
  <c r="AB134" i="1"/>
  <c r="AC134" i="1"/>
  <c r="AD134" i="1"/>
  <c r="T134" i="1" s="1"/>
  <c r="AE134" i="1"/>
  <c r="R20" i="3" s="1"/>
  <c r="AF134" i="1"/>
  <c r="AH134" i="1"/>
  <c r="AM134" i="1"/>
  <c r="AN134" i="1"/>
  <c r="K135" i="1"/>
  <c r="L135" i="1"/>
  <c r="M135" i="1"/>
  <c r="N135" i="1" s="1"/>
  <c r="V135" i="1"/>
  <c r="S16" i="3" s="1"/>
  <c r="Y135" i="1"/>
  <c r="Z135" i="1"/>
  <c r="AB135" i="1"/>
  <c r="AC135" i="1"/>
  <c r="AD135" i="1"/>
  <c r="AE135" i="1"/>
  <c r="R16" i="3" s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P137" i="1" s="1"/>
  <c r="V137" i="1"/>
  <c r="S40" i="3" s="1"/>
  <c r="Y137" i="1"/>
  <c r="Z137" i="1"/>
  <c r="AB137" i="1"/>
  <c r="AC137" i="1"/>
  <c r="AD137" i="1"/>
  <c r="T137" i="1" s="1"/>
  <c r="AE137" i="1"/>
  <c r="R40" i="3" s="1"/>
  <c r="AF137" i="1"/>
  <c r="AH137" i="1"/>
  <c r="AM137" i="1"/>
  <c r="AN137" i="1"/>
  <c r="K138" i="1"/>
  <c r="L138" i="1"/>
  <c r="M138" i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S10" i="3" s="1"/>
  <c r="Y150" i="1"/>
  <c r="Z150" i="1"/>
  <c r="AB150" i="1"/>
  <c r="AC150" i="1"/>
  <c r="AD150" i="1"/>
  <c r="T150" i="1" s="1"/>
  <c r="AE150" i="1"/>
  <c r="R10" i="3" s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S54" i="3" s="1"/>
  <c r="Y217" i="1"/>
  <c r="Z217" i="1"/>
  <c r="AB217" i="1"/>
  <c r="AC217" i="1"/>
  <c r="AD217" i="1"/>
  <c r="T217" i="1" s="1"/>
  <c r="AE217" i="1"/>
  <c r="R54" i="3" s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R53" i="3" s="1"/>
  <c r="AF219" i="1"/>
  <c r="AH172" i="1"/>
  <c r="AM172" i="1"/>
  <c r="AN172" i="1"/>
  <c r="K220" i="1"/>
  <c r="L220" i="1"/>
  <c r="M220" i="1"/>
  <c r="N220" i="1" s="1"/>
  <c r="V220" i="1"/>
  <c r="S52" i="3" s="1"/>
  <c r="Y220" i="1"/>
  <c r="Z220" i="1"/>
  <c r="AB220" i="1"/>
  <c r="AC220" i="1"/>
  <c r="AD220" i="1"/>
  <c r="AE220" i="1"/>
  <c r="R52" i="3" s="1"/>
  <c r="AF220" i="1"/>
  <c r="AH173" i="1"/>
  <c r="AM173" i="1"/>
  <c r="AN17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4" i="1"/>
  <c r="AM174" i="1"/>
  <c r="AN174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5" i="1"/>
  <c r="AM175" i="1"/>
  <c r="AN175" i="1"/>
  <c r="K223" i="1"/>
  <c r="L223" i="1"/>
  <c r="M223" i="1"/>
  <c r="N223" i="1" s="1"/>
  <c r="V223" i="1"/>
  <c r="S51" i="3" s="1"/>
  <c r="Y223" i="1"/>
  <c r="Z223" i="1"/>
  <c r="AB223" i="1"/>
  <c r="AC223" i="1"/>
  <c r="AD223" i="1"/>
  <c r="T223" i="1" s="1"/>
  <c r="AE223" i="1"/>
  <c r="R51" i="3" s="1"/>
  <c r="AF223" i="1"/>
  <c r="AH176" i="1"/>
  <c r="AM176" i="1"/>
  <c r="AN176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7" i="1"/>
  <c r="AM177" i="1"/>
  <c r="AN177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6" i="1"/>
  <c r="AM186" i="1"/>
  <c r="AN186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8" i="1"/>
  <c r="AM188" i="1"/>
  <c r="AN188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9" i="1"/>
  <c r="AM189" i="1"/>
  <c r="AN189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90" i="1"/>
  <c r="AM190" i="1"/>
  <c r="AN190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1" i="1"/>
  <c r="AM191" i="1"/>
  <c r="AN191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192" i="1"/>
  <c r="AM192" i="1"/>
  <c r="AN192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193" i="1"/>
  <c r="AM193" i="1"/>
  <c r="AN193" i="1"/>
  <c r="K248" i="1"/>
  <c r="L248" i="1"/>
  <c r="M248" i="1"/>
  <c r="N248" i="1" s="1"/>
  <c r="V248" i="1"/>
  <c r="Y248" i="1"/>
  <c r="Z248" i="1"/>
  <c r="AB248" i="1"/>
  <c r="AC248" i="1"/>
  <c r="AD248" i="1"/>
  <c r="AE248" i="1"/>
  <c r="AF248" i="1"/>
  <c r="AH194" i="1"/>
  <c r="AM194" i="1"/>
  <c r="AN194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5" i="1"/>
  <c r="AM195" i="1"/>
  <c r="AN195" i="1"/>
  <c r="K250" i="1"/>
  <c r="L250" i="1"/>
  <c r="M250" i="1"/>
  <c r="N250" i="1" s="1"/>
  <c r="V250" i="1"/>
  <c r="Y250" i="1"/>
  <c r="Z250" i="1"/>
  <c r="AB250" i="1"/>
  <c r="AC250" i="1"/>
  <c r="AD250" i="1"/>
  <c r="AE250" i="1"/>
  <c r="AF250" i="1"/>
  <c r="AH196" i="1"/>
  <c r="AM196" i="1"/>
  <c r="AN196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197" i="1"/>
  <c r="AM197" i="1"/>
  <c r="AN197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198" i="1"/>
  <c r="AM198" i="1"/>
  <c r="AN198" i="1"/>
  <c r="K253" i="1"/>
  <c r="L253" i="1"/>
  <c r="M253" i="1"/>
  <c r="N253" i="1" s="1"/>
  <c r="V253" i="1"/>
  <c r="Y253" i="1"/>
  <c r="Z253" i="1"/>
  <c r="AB253" i="1"/>
  <c r="AC253" i="1"/>
  <c r="AD253" i="1"/>
  <c r="T253" i="1" s="1"/>
  <c r="AE253" i="1"/>
  <c r="AF253" i="1"/>
  <c r="AH199" i="1"/>
  <c r="AM199" i="1"/>
  <c r="AN199" i="1"/>
  <c r="K254" i="1"/>
  <c r="L254" i="1"/>
  <c r="M254" i="1"/>
  <c r="N254" i="1" s="1"/>
  <c r="V254" i="1"/>
  <c r="Y254" i="1"/>
  <c r="Z254" i="1"/>
  <c r="AB254" i="1"/>
  <c r="AC254" i="1"/>
  <c r="AD254" i="1"/>
  <c r="AE254" i="1"/>
  <c r="AF254" i="1"/>
  <c r="AH200" i="1"/>
  <c r="AM200" i="1"/>
  <c r="AN200" i="1"/>
  <c r="K255" i="1"/>
  <c r="L255" i="1"/>
  <c r="M255" i="1"/>
  <c r="N255" i="1" s="1"/>
  <c r="V255" i="1"/>
  <c r="Y255" i="1"/>
  <c r="Z255" i="1"/>
  <c r="AB255" i="1"/>
  <c r="AC255" i="1"/>
  <c r="AD255" i="1"/>
  <c r="T255" i="1" s="1"/>
  <c r="AE255" i="1"/>
  <c r="AF255" i="1"/>
  <c r="AH201" i="1"/>
  <c r="AM201" i="1"/>
  <c r="AN201" i="1"/>
  <c r="K256" i="1"/>
  <c r="L256" i="1"/>
  <c r="M256" i="1"/>
  <c r="N256" i="1" s="1"/>
  <c r="V256" i="1"/>
  <c r="Y256" i="1"/>
  <c r="Z256" i="1"/>
  <c r="AB256" i="1"/>
  <c r="AC256" i="1"/>
  <c r="AD256" i="1"/>
  <c r="T256" i="1" s="1"/>
  <c r="AE256" i="1"/>
  <c r="AF256" i="1"/>
  <c r="AH202" i="1"/>
  <c r="AM202" i="1"/>
  <c r="AN202" i="1"/>
  <c r="K257" i="1"/>
  <c r="L257" i="1"/>
  <c r="M257" i="1"/>
  <c r="N257" i="1" s="1"/>
  <c r="V257" i="1"/>
  <c r="Y257" i="1"/>
  <c r="Z257" i="1"/>
  <c r="AB257" i="1"/>
  <c r="AC257" i="1"/>
  <c r="AD257" i="1"/>
  <c r="T257" i="1" s="1"/>
  <c r="AE257" i="1"/>
  <c r="AF257" i="1"/>
  <c r="AH203" i="1"/>
  <c r="AM203" i="1"/>
  <c r="AN203" i="1"/>
  <c r="K258" i="1"/>
  <c r="L258" i="1"/>
  <c r="M258" i="1"/>
  <c r="N258" i="1" s="1"/>
  <c r="V258" i="1"/>
  <c r="Y258" i="1"/>
  <c r="Z258" i="1"/>
  <c r="AB258" i="1"/>
  <c r="AC258" i="1"/>
  <c r="AD258" i="1"/>
  <c r="AE258" i="1"/>
  <c r="AF258" i="1"/>
  <c r="AH204" i="1"/>
  <c r="AM204" i="1"/>
  <c r="AN204" i="1"/>
  <c r="K259" i="1"/>
  <c r="L259" i="1"/>
  <c r="M259" i="1"/>
  <c r="N259" i="1" s="1"/>
  <c r="V259" i="1"/>
  <c r="Y259" i="1"/>
  <c r="Z259" i="1"/>
  <c r="AB259" i="1"/>
  <c r="AC259" i="1"/>
  <c r="AD259" i="1"/>
  <c r="T259" i="1" s="1"/>
  <c r="AE259" i="1"/>
  <c r="AF259" i="1"/>
  <c r="AH205" i="1"/>
  <c r="AM205" i="1"/>
  <c r="AN205" i="1"/>
  <c r="K260" i="1"/>
  <c r="L260" i="1"/>
  <c r="M260" i="1"/>
  <c r="N260" i="1" s="1"/>
  <c r="V260" i="1"/>
  <c r="Y260" i="1"/>
  <c r="Z260" i="1"/>
  <c r="AB260" i="1"/>
  <c r="AC260" i="1"/>
  <c r="AD260" i="1"/>
  <c r="AE260" i="1"/>
  <c r="AF260" i="1"/>
  <c r="AH206" i="1"/>
  <c r="AM206" i="1"/>
  <c r="AN206" i="1"/>
  <c r="K261" i="1"/>
  <c r="L261" i="1"/>
  <c r="M261" i="1"/>
  <c r="N261" i="1" s="1"/>
  <c r="V261" i="1"/>
  <c r="Y261" i="1"/>
  <c r="Z261" i="1"/>
  <c r="AB261" i="1"/>
  <c r="AC261" i="1"/>
  <c r="AD261" i="1"/>
  <c r="T261" i="1" s="1"/>
  <c r="AE261" i="1"/>
  <c r="AF261" i="1"/>
  <c r="AH207" i="1"/>
  <c r="AM207" i="1"/>
  <c r="AN207" i="1"/>
  <c r="K262" i="1"/>
  <c r="L262" i="1"/>
  <c r="M262" i="1"/>
  <c r="N262" i="1" s="1"/>
  <c r="V262" i="1"/>
  <c r="Y262" i="1"/>
  <c r="Z262" i="1"/>
  <c r="AB262" i="1"/>
  <c r="AC262" i="1"/>
  <c r="AD262" i="1"/>
  <c r="AE262" i="1"/>
  <c r="AF262" i="1"/>
  <c r="AH208" i="1"/>
  <c r="AM208" i="1"/>
  <c r="AN208" i="1"/>
  <c r="K263" i="1"/>
  <c r="L263" i="1"/>
  <c r="M263" i="1"/>
  <c r="N263" i="1" s="1"/>
  <c r="V263" i="1"/>
  <c r="Y263" i="1"/>
  <c r="Z263" i="1"/>
  <c r="AB263" i="1"/>
  <c r="AC263" i="1"/>
  <c r="AD263" i="1"/>
  <c r="T263" i="1" s="1"/>
  <c r="AE263" i="1"/>
  <c r="AF263" i="1"/>
  <c r="AH209" i="1"/>
  <c r="AM209" i="1"/>
  <c r="AN209" i="1"/>
  <c r="K264" i="1"/>
  <c r="L264" i="1"/>
  <c r="M264" i="1"/>
  <c r="N264" i="1" s="1"/>
  <c r="V264" i="1"/>
  <c r="Y264" i="1"/>
  <c r="Z264" i="1"/>
  <c r="AB264" i="1"/>
  <c r="AC264" i="1"/>
  <c r="AD264" i="1"/>
  <c r="AE264" i="1"/>
  <c r="AF264" i="1"/>
  <c r="AH210" i="1"/>
  <c r="AM210" i="1"/>
  <c r="AN210" i="1"/>
  <c r="K265" i="1"/>
  <c r="L265" i="1"/>
  <c r="M265" i="1"/>
  <c r="N265" i="1" s="1"/>
  <c r="V265" i="1"/>
  <c r="Y265" i="1"/>
  <c r="Z265" i="1"/>
  <c r="AB265" i="1"/>
  <c r="AC265" i="1"/>
  <c r="AD265" i="1"/>
  <c r="T265" i="1" s="1"/>
  <c r="AE265" i="1"/>
  <c r="AF265" i="1"/>
  <c r="AH211" i="1"/>
  <c r="AM211" i="1"/>
  <c r="AN21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212" i="1"/>
  <c r="AM212" i="1"/>
  <c r="AN21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13" i="1"/>
  <c r="AM213" i="1"/>
  <c r="AN21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14" i="1"/>
  <c r="AM214" i="1"/>
  <c r="AN21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15" i="1"/>
  <c r="AM215" i="1"/>
  <c r="AN21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16" i="1"/>
  <c r="AM216" i="1"/>
  <c r="AN21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17" i="1"/>
  <c r="AM217" i="1"/>
  <c r="AN21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18" i="1"/>
  <c r="AM218" i="1"/>
  <c r="AN21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19" i="1"/>
  <c r="AM219" i="1"/>
  <c r="AN21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20" i="1"/>
  <c r="AM220" i="1"/>
  <c r="AN22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21" i="1"/>
  <c r="AM221" i="1"/>
  <c r="AN22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22" i="1"/>
  <c r="AM222" i="1"/>
  <c r="AN22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23" i="1"/>
  <c r="AM223" i="1"/>
  <c r="AN22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24" i="1"/>
  <c r="AM224" i="1"/>
  <c r="AN22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25" i="1"/>
  <c r="AM225" i="1"/>
  <c r="AN22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26" i="1"/>
  <c r="AM226" i="1"/>
  <c r="AN22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27" i="1"/>
  <c r="AM227" i="1"/>
  <c r="AN22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28" i="1"/>
  <c r="AM228" i="1"/>
  <c r="AN22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29" i="1"/>
  <c r="AM229" i="1"/>
  <c r="AN22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30" i="1"/>
  <c r="AM230" i="1"/>
  <c r="AN23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31" i="1"/>
  <c r="AM231" i="1"/>
  <c r="AN23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32" i="1"/>
  <c r="AM232" i="1"/>
  <c r="AN232" i="1"/>
  <c r="AH233" i="1"/>
  <c r="AM233" i="1"/>
  <c r="AN233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34" i="1"/>
  <c r="AM234" i="1"/>
  <c r="AN234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35" i="1"/>
  <c r="AM235" i="1"/>
  <c r="AN235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36" i="1"/>
  <c r="AM236" i="1"/>
  <c r="AN236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37" i="1"/>
  <c r="AM237" i="1"/>
  <c r="AN23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38" i="1"/>
  <c r="AM238" i="1"/>
  <c r="AN238" i="1"/>
  <c r="K188" i="1"/>
  <c r="L188" i="1"/>
  <c r="M188" i="1"/>
  <c r="N188" i="1" s="1"/>
  <c r="V188" i="1"/>
  <c r="S50" i="3" s="1"/>
  <c r="Y188" i="1"/>
  <c r="Z188" i="1"/>
  <c r="AB188" i="1"/>
  <c r="AC188" i="1"/>
  <c r="AD188" i="1"/>
  <c r="T188" i="1" s="1"/>
  <c r="AE188" i="1"/>
  <c r="R50" i="3" s="1"/>
  <c r="AF188" i="1"/>
  <c r="AH239" i="1"/>
  <c r="AM239" i="1"/>
  <c r="AN239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40" i="1"/>
  <c r="AM240" i="1"/>
  <c r="AN240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41" i="1"/>
  <c r="AM241" i="1"/>
  <c r="AN24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42" i="1"/>
  <c r="AM242" i="1"/>
  <c r="AN24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43" i="1"/>
  <c r="AM243" i="1"/>
  <c r="AN243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44" i="1"/>
  <c r="AM244" i="1"/>
  <c r="AN244" i="1"/>
  <c r="K194" i="1"/>
  <c r="L194" i="1"/>
  <c r="M194" i="1"/>
  <c r="N194" i="1" s="1"/>
  <c r="V194" i="1"/>
  <c r="S49" i="3" s="1"/>
  <c r="Y194" i="1"/>
  <c r="Z194" i="1"/>
  <c r="AB194" i="1"/>
  <c r="AC194" i="1"/>
  <c r="AD194" i="1"/>
  <c r="T194" i="1" s="1"/>
  <c r="AE194" i="1"/>
  <c r="R49" i="3" s="1"/>
  <c r="AF194" i="1"/>
  <c r="AH245" i="1"/>
  <c r="AM245" i="1"/>
  <c r="AN24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46" i="1"/>
  <c r="AM246" i="1"/>
  <c r="AN24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47" i="1"/>
  <c r="AM247" i="1"/>
  <c r="AN247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48" i="1"/>
  <c r="AM248" i="1"/>
  <c r="AN24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49" i="1"/>
  <c r="AM249" i="1"/>
  <c r="AN24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50" i="1"/>
  <c r="AM250" i="1"/>
  <c r="AN25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51" i="1"/>
  <c r="AM251" i="1"/>
  <c r="AN25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52" i="1"/>
  <c r="AM252" i="1"/>
  <c r="AN252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53" i="1"/>
  <c r="AM253" i="1"/>
  <c r="AN253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54" i="1"/>
  <c r="AM254" i="1"/>
  <c r="AN25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55" i="1"/>
  <c r="AM255" i="1"/>
  <c r="AN255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56" i="1"/>
  <c r="AM256" i="1"/>
  <c r="AN256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57" i="1"/>
  <c r="AM257" i="1"/>
  <c r="AN257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58" i="1"/>
  <c r="AM258" i="1"/>
  <c r="AN25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59" i="1"/>
  <c r="AM259" i="1"/>
  <c r="AN259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60" i="1"/>
  <c r="AM260" i="1"/>
  <c r="AN260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61" i="1"/>
  <c r="AM261" i="1"/>
  <c r="AN261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62" i="1"/>
  <c r="AM262" i="1"/>
  <c r="AN262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63" i="1"/>
  <c r="AM263" i="1"/>
  <c r="AN263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64" i="1"/>
  <c r="AM264" i="1"/>
  <c r="AN264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265" i="1"/>
  <c r="AM265" i="1"/>
  <c r="AN265" i="1"/>
  <c r="M53" i="3"/>
  <c r="S53" i="3"/>
  <c r="U53" i="3"/>
  <c r="T53" i="3" s="1"/>
  <c r="V53" i="3"/>
  <c r="X53" i="3"/>
  <c r="M21" i="3"/>
  <c r="U21" i="3"/>
  <c r="AC21" i="3" s="1"/>
  <c r="V21" i="3"/>
  <c r="X21" i="3"/>
  <c r="M31" i="3"/>
  <c r="U31" i="3"/>
  <c r="T31" i="3" s="1"/>
  <c r="V31" i="3"/>
  <c r="X31" i="3"/>
  <c r="M30" i="3"/>
  <c r="U30" i="3"/>
  <c r="T30" i="3" s="1"/>
  <c r="V30" i="3"/>
  <c r="X30" i="3"/>
  <c r="M51" i="3"/>
  <c r="U51" i="3"/>
  <c r="T51" i="3" s="1"/>
  <c r="V51" i="3"/>
  <c r="X51" i="3"/>
  <c r="M11" i="3"/>
  <c r="S11" i="3"/>
  <c r="U11" i="3"/>
  <c r="AC11" i="3" s="1"/>
  <c r="V11" i="3"/>
  <c r="X11" i="3"/>
  <c r="M7" i="3"/>
  <c r="U7" i="3"/>
  <c r="T7" i="3" s="1"/>
  <c r="V7" i="3"/>
  <c r="X7" i="3"/>
  <c r="M22" i="3"/>
  <c r="U22" i="3"/>
  <c r="V22" i="3"/>
  <c r="X22" i="3"/>
  <c r="M8" i="3"/>
  <c r="U8" i="3"/>
  <c r="T8" i="3" s="1"/>
  <c r="V8" i="3"/>
  <c r="X8" i="3"/>
  <c r="M12" i="3"/>
  <c r="U12" i="3"/>
  <c r="AD12" i="3" s="1"/>
  <c r="V12" i="3"/>
  <c r="X12" i="3"/>
  <c r="M27" i="3"/>
  <c r="S27" i="3"/>
  <c r="U27" i="3"/>
  <c r="AD27" i="3" s="1"/>
  <c r="V27" i="3"/>
  <c r="X27" i="3"/>
  <c r="M23" i="3"/>
  <c r="U23" i="3"/>
  <c r="AD23" i="3" s="1"/>
  <c r="V23" i="3"/>
  <c r="X23" i="3"/>
  <c r="M41" i="3"/>
  <c r="R41" i="3"/>
  <c r="U41" i="3"/>
  <c r="T41" i="3" s="1"/>
  <c r="V41" i="3"/>
  <c r="X41" i="3"/>
  <c r="M29" i="3"/>
  <c r="U29" i="3"/>
  <c r="AC29" i="3" s="1"/>
  <c r="V29" i="3"/>
  <c r="X29" i="3"/>
  <c r="M32" i="3"/>
  <c r="S32" i="3"/>
  <c r="U32" i="3"/>
  <c r="AC32" i="3" s="1"/>
  <c r="V32" i="3"/>
  <c r="X32" i="3"/>
  <c r="M19" i="3"/>
  <c r="U19" i="3"/>
  <c r="AD19" i="3" s="1"/>
  <c r="V19" i="3"/>
  <c r="X19" i="3"/>
  <c r="M18" i="3"/>
  <c r="U18" i="3"/>
  <c r="AC18" i="3" s="1"/>
  <c r="V18" i="3"/>
  <c r="X18" i="3"/>
  <c r="M33" i="3"/>
  <c r="U33" i="3"/>
  <c r="V33" i="3"/>
  <c r="X33" i="3"/>
  <c r="M14" i="3"/>
  <c r="S14" i="3"/>
  <c r="U14" i="3"/>
  <c r="AC14" i="3" s="1"/>
  <c r="V14" i="3"/>
  <c r="X14" i="3"/>
  <c r="M24" i="3"/>
  <c r="U24" i="3"/>
  <c r="V24" i="3"/>
  <c r="X24" i="3"/>
  <c r="M28" i="3"/>
  <c r="U28" i="3"/>
  <c r="AC28" i="3" s="1"/>
  <c r="V28" i="3"/>
  <c r="X28" i="3"/>
  <c r="M43" i="3"/>
  <c r="U43" i="3"/>
  <c r="AD43" i="3" s="1"/>
  <c r="V43" i="3"/>
  <c r="X43" i="3"/>
  <c r="M34" i="3"/>
  <c r="U34" i="3"/>
  <c r="AC34" i="3" s="1"/>
  <c r="V34" i="3"/>
  <c r="X34" i="3"/>
  <c r="M44" i="3"/>
  <c r="S44" i="3"/>
  <c r="U44" i="3"/>
  <c r="T44" i="3" s="1"/>
  <c r="V44" i="3"/>
  <c r="X44" i="3"/>
  <c r="M45" i="3"/>
  <c r="U45" i="3"/>
  <c r="AC45" i="3" s="1"/>
  <c r="V45" i="3"/>
  <c r="X45" i="3"/>
  <c r="M9" i="3"/>
  <c r="U9" i="3"/>
  <c r="V9" i="3"/>
  <c r="X9" i="3"/>
  <c r="M42" i="3"/>
  <c r="S42" i="3"/>
  <c r="U42" i="3"/>
  <c r="AC42" i="3" s="1"/>
  <c r="V42" i="3"/>
  <c r="X42" i="3"/>
  <c r="M46" i="3"/>
  <c r="U46" i="3"/>
  <c r="V46" i="3"/>
  <c r="X46" i="3"/>
  <c r="M15" i="3"/>
  <c r="S15" i="3"/>
  <c r="U15" i="3"/>
  <c r="AC15" i="3" s="1"/>
  <c r="V15" i="3"/>
  <c r="X15" i="3"/>
  <c r="M47" i="3"/>
  <c r="U47" i="3"/>
  <c r="T47" i="3" s="1"/>
  <c r="V47" i="3"/>
  <c r="X47" i="3"/>
  <c r="M50" i="3"/>
  <c r="U50" i="3"/>
  <c r="AC50" i="3" s="1"/>
  <c r="V50" i="3"/>
  <c r="X50" i="3"/>
  <c r="M35" i="3"/>
  <c r="R35" i="3"/>
  <c r="U35" i="3"/>
  <c r="AD35" i="3" s="1"/>
  <c r="V35" i="3"/>
  <c r="X35" i="3"/>
  <c r="M36" i="3"/>
  <c r="U36" i="3"/>
  <c r="AC36" i="3" s="1"/>
  <c r="V36" i="3"/>
  <c r="X36" i="3"/>
  <c r="M26" i="3"/>
  <c r="U26" i="3"/>
  <c r="V26" i="3"/>
  <c r="X26" i="3"/>
  <c r="M37" i="3"/>
  <c r="U37" i="3"/>
  <c r="AC37" i="3" s="1"/>
  <c r="V37" i="3"/>
  <c r="X37" i="3"/>
  <c r="M48" i="3"/>
  <c r="U48" i="3"/>
  <c r="V48" i="3"/>
  <c r="X48" i="3"/>
  <c r="M49" i="3"/>
  <c r="U49" i="3"/>
  <c r="AC49" i="3" s="1"/>
  <c r="V49" i="3"/>
  <c r="X49" i="3"/>
  <c r="M17" i="3"/>
  <c r="U17" i="3"/>
  <c r="AC17" i="3" s="1"/>
  <c r="V17" i="3"/>
  <c r="X17" i="3"/>
  <c r="M38" i="3"/>
  <c r="R38" i="3"/>
  <c r="U38" i="3"/>
  <c r="T38" i="3" s="1"/>
  <c r="V38" i="3"/>
  <c r="X38" i="3"/>
  <c r="M13" i="3"/>
  <c r="R13" i="3"/>
  <c r="U13" i="3"/>
  <c r="AC13" i="3" s="1"/>
  <c r="V13" i="3"/>
  <c r="X13" i="3"/>
  <c r="M39" i="3"/>
  <c r="U39" i="3"/>
  <c r="V39" i="3"/>
  <c r="X39" i="3"/>
  <c r="M20" i="3"/>
  <c r="S20" i="3"/>
  <c r="U20" i="3"/>
  <c r="AC20" i="3" s="1"/>
  <c r="V20" i="3"/>
  <c r="X20" i="3"/>
  <c r="M40" i="3"/>
  <c r="U40" i="3"/>
  <c r="T40" i="3" s="1"/>
  <c r="V40" i="3"/>
  <c r="X40" i="3"/>
  <c r="M16" i="3"/>
  <c r="U16" i="3"/>
  <c r="AC16" i="3" s="1"/>
  <c r="V16" i="3"/>
  <c r="X16" i="3"/>
  <c r="M25" i="3"/>
  <c r="U25" i="3"/>
  <c r="V25" i="3"/>
  <c r="X25" i="3"/>
  <c r="M10" i="3"/>
  <c r="U10" i="3"/>
  <c r="AC10" i="3" s="1"/>
  <c r="V10" i="3"/>
  <c r="X10" i="3"/>
  <c r="M52" i="3"/>
  <c r="U52" i="3"/>
  <c r="T52" i="3" s="1"/>
  <c r="V52" i="3"/>
  <c r="X52" i="3"/>
  <c r="M54" i="3"/>
  <c r="U54" i="3"/>
  <c r="AC54" i="3" s="1"/>
  <c r="V54" i="3"/>
  <c r="X54" i="3"/>
  <c r="W21" i="3"/>
  <c r="W33" i="3"/>
  <c r="W26" i="3"/>
  <c r="W31" i="3"/>
  <c r="W8" i="3"/>
  <c r="W13" i="3"/>
  <c r="W32" i="3"/>
  <c r="W50" i="3"/>
  <c r="W10" i="3"/>
  <c r="W28" i="3"/>
  <c r="W51" i="3"/>
  <c r="W46" i="3"/>
  <c r="W12" i="3"/>
  <c r="W9" i="3"/>
  <c r="W39" i="3"/>
  <c r="W45" i="3"/>
  <c r="W22" i="3"/>
  <c r="W17" i="3"/>
  <c r="W49" i="3"/>
  <c r="W24" i="3"/>
  <c r="W11" i="3"/>
  <c r="W43" i="3"/>
  <c r="W7" i="3"/>
  <c r="W18" i="3"/>
  <c r="W20" i="3"/>
  <c r="W19" i="3"/>
  <c r="W35" i="3"/>
  <c r="W52" i="3"/>
  <c r="W15" i="3"/>
  <c r="W14" i="3"/>
  <c r="W37" i="3"/>
  <c r="W27" i="3"/>
  <c r="W53" i="3"/>
  <c r="W40" i="3"/>
  <c r="W29" i="3"/>
  <c r="W47" i="3"/>
  <c r="W25" i="3"/>
  <c r="W30" i="3"/>
  <c r="W36" i="3"/>
  <c r="W41" i="3"/>
  <c r="W44" i="3"/>
  <c r="W38" i="3"/>
  <c r="W23" i="3"/>
  <c r="W16" i="3"/>
  <c r="W42" i="3"/>
  <c r="W48" i="3"/>
  <c r="W34" i="3"/>
  <c r="W54" i="3"/>
  <c r="AG86" i="1"/>
  <c r="AG70" i="1"/>
  <c r="AG23" i="1"/>
  <c r="AG47" i="1"/>
  <c r="AG76" i="1"/>
  <c r="AG73" i="1"/>
  <c r="AG106" i="1"/>
  <c r="AG117" i="1"/>
  <c r="AG124" i="1"/>
  <c r="AG157" i="1"/>
  <c r="AG147" i="1"/>
  <c r="AG217" i="1"/>
  <c r="AG191" i="1"/>
  <c r="AG179" i="1"/>
  <c r="AG174" i="1"/>
  <c r="AG253" i="1"/>
  <c r="AG227" i="1"/>
  <c r="AG37" i="1"/>
  <c r="AG22" i="1"/>
  <c r="AG50" i="1"/>
  <c r="AG63" i="1"/>
  <c r="AG98" i="1"/>
  <c r="AG109" i="1"/>
  <c r="AG116" i="1"/>
  <c r="AG131" i="1"/>
  <c r="AG156" i="1"/>
  <c r="AG146" i="1"/>
  <c r="AG168" i="1"/>
  <c r="AG225" i="1"/>
  <c r="AG214" i="1"/>
  <c r="AG173" i="1"/>
  <c r="AG52" i="1"/>
  <c r="AG68" i="1"/>
  <c r="AG134" i="1"/>
  <c r="AG103" i="1"/>
  <c r="AG159" i="1"/>
  <c r="AG223" i="1"/>
  <c r="AG254" i="1"/>
  <c r="AG249" i="1"/>
  <c r="AG230" i="1"/>
  <c r="AG224" i="1"/>
  <c r="AG233" i="1"/>
  <c r="AG36" i="1"/>
  <c r="AG87" i="1"/>
  <c r="AG129" i="1"/>
  <c r="AG153" i="1"/>
  <c r="AG213" i="1"/>
  <c r="AG167" i="1"/>
  <c r="AG182" i="1"/>
  <c r="AG177" i="1"/>
  <c r="AG16" i="1"/>
  <c r="AG29" i="1"/>
  <c r="AG58" i="1"/>
  <c r="AG137" i="1"/>
  <c r="AG161" i="1"/>
  <c r="AG236" i="1"/>
  <c r="AG171" i="1"/>
  <c r="AG185" i="1"/>
  <c r="AG202" i="1"/>
  <c r="AG27" i="1"/>
  <c r="AG80" i="1"/>
  <c r="AG111" i="1"/>
  <c r="AG178" i="1"/>
  <c r="AG85" i="1"/>
  <c r="AG34" i="1"/>
  <c r="AG40" i="1"/>
  <c r="AG25" i="1"/>
  <c r="AG56" i="1"/>
  <c r="AG54" i="1"/>
  <c r="AG122" i="1"/>
  <c r="AG133" i="1"/>
  <c r="AG107" i="1"/>
  <c r="AG220" i="1"/>
  <c r="AG210" i="1"/>
  <c r="AG248" i="1"/>
  <c r="AG235" i="1"/>
  <c r="AG194" i="1"/>
  <c r="AG189" i="1"/>
  <c r="AG165" i="1"/>
  <c r="AG226" i="1"/>
  <c r="AG15" i="1"/>
  <c r="AG39" i="1"/>
  <c r="AG65" i="1"/>
  <c r="AG82" i="1"/>
  <c r="AG114" i="1"/>
  <c r="AG125" i="1"/>
  <c r="AG132" i="1"/>
  <c r="AG149" i="1"/>
  <c r="AG219" i="1"/>
  <c r="AG209" i="1"/>
  <c r="AG183" i="1"/>
  <c r="AG79" i="1"/>
  <c r="AG180" i="1"/>
  <c r="AG204" i="1"/>
  <c r="AG43" i="1"/>
  <c r="AG67" i="1"/>
  <c r="AG113" i="1"/>
  <c r="AG135" i="1"/>
  <c r="AG150" i="1"/>
  <c r="AG259" i="1"/>
  <c r="AG170" i="1"/>
  <c r="AG169" i="1"/>
  <c r="AG207" i="1"/>
  <c r="AG252" i="1"/>
  <c r="AG192" i="1"/>
  <c r="AG26" i="1"/>
  <c r="AG84" i="1"/>
  <c r="AG104" i="1"/>
  <c r="AG144" i="1"/>
  <c r="AG260" i="1"/>
  <c r="AG186" i="1"/>
  <c r="AG201" i="1"/>
  <c r="AG198" i="1"/>
  <c r="AG49" i="1"/>
  <c r="AG61" i="1"/>
  <c r="AG94" i="1"/>
  <c r="AG112" i="1"/>
  <c r="AG152" i="1"/>
  <c r="AG164" i="1"/>
  <c r="AG190" i="1"/>
  <c r="AG245" i="1"/>
  <c r="AG205" i="1"/>
  <c r="AG18" i="1"/>
  <c r="AG75" i="1"/>
  <c r="AG28" i="1"/>
  <c r="AG14" i="1"/>
  <c r="AG42" i="1"/>
  <c r="AG74" i="1"/>
  <c r="AG72" i="1"/>
  <c r="AG138" i="1"/>
  <c r="AG92" i="1"/>
  <c r="AG123" i="1"/>
  <c r="AG148" i="1"/>
  <c r="AG139" i="1"/>
  <c r="AG264" i="1"/>
  <c r="AG251" i="1"/>
  <c r="AG246" i="1"/>
  <c r="AG221" i="1"/>
  <c r="AG181" i="1"/>
  <c r="AG229" i="1"/>
  <c r="AG31" i="1"/>
  <c r="AG17" i="1"/>
  <c r="AG83" i="1"/>
  <c r="AG62" i="1"/>
  <c r="AG130" i="1"/>
  <c r="AG88" i="1"/>
  <c r="AG99" i="1"/>
  <c r="AG212" i="1"/>
  <c r="AG155" i="1"/>
  <c r="AG240" i="1"/>
  <c r="AG199" i="1"/>
  <c r="AG96" i="1"/>
  <c r="AG238" i="1"/>
  <c r="AG24" i="1"/>
  <c r="AG38" i="1"/>
  <c r="AG66" i="1"/>
  <c r="AG89" i="1"/>
  <c r="AG216" i="1"/>
  <c r="AG244" i="1"/>
  <c r="AG175" i="1"/>
  <c r="AG193" i="1"/>
  <c r="AG188" i="1"/>
  <c r="AG110" i="1"/>
  <c r="AG263" i="1"/>
  <c r="AG228" i="1"/>
  <c r="AG21" i="1"/>
  <c r="AG118" i="1"/>
  <c r="AG136" i="1"/>
  <c r="AG143" i="1"/>
  <c r="AG187" i="1"/>
  <c r="AG242" i="1"/>
  <c r="AG241" i="1"/>
  <c r="AG200" i="1"/>
  <c r="AG44" i="1"/>
  <c r="AG60" i="1"/>
  <c r="AG126" i="1"/>
  <c r="AG95" i="1"/>
  <c r="AG151" i="1"/>
  <c r="AG195" i="1"/>
  <c r="AG250" i="1"/>
  <c r="AG265" i="1"/>
  <c r="AG203" i="1"/>
  <c r="AG51" i="1"/>
  <c r="AG77" i="1"/>
  <c r="AG158" i="1"/>
  <c r="AG231" i="1"/>
  <c r="AG30" i="1"/>
  <c r="AG101" i="1"/>
  <c r="AG154" i="1"/>
  <c r="AG237" i="1"/>
  <c r="AG33" i="1"/>
  <c r="AG100" i="1"/>
  <c r="AG256" i="1"/>
  <c r="AG19" i="1"/>
  <c r="AG160" i="1"/>
  <c r="AG206" i="1"/>
  <c r="AG53" i="1"/>
  <c r="AG247" i="1"/>
  <c r="AG35" i="1"/>
  <c r="AG142" i="1"/>
  <c r="AG32" i="1"/>
  <c r="AG215" i="1"/>
  <c r="AG90" i="1"/>
  <c r="AG57" i="1"/>
  <c r="AG108" i="1"/>
  <c r="AG176" i="1"/>
  <c r="AG196" i="1"/>
  <c r="AG64" i="1"/>
  <c r="AG115" i="1"/>
  <c r="AG243" i="1"/>
  <c r="AG69" i="1"/>
  <c r="AG172" i="1"/>
  <c r="AG128" i="1"/>
  <c r="AG97" i="1"/>
  <c r="AG162" i="1"/>
  <c r="AG59" i="1"/>
  <c r="AG255" i="1"/>
  <c r="AG46" i="1"/>
  <c r="AG239" i="1"/>
  <c r="AG45" i="1"/>
  <c r="AG91" i="1"/>
  <c r="AG211" i="1"/>
  <c r="AG262" i="1"/>
  <c r="AG48" i="1"/>
  <c r="AG93" i="1"/>
  <c r="AG218" i="1"/>
  <c r="AG197" i="1"/>
  <c r="AG120" i="1"/>
  <c r="AG232" i="1"/>
  <c r="AG41" i="1"/>
  <c r="AG222" i="1"/>
  <c r="AG208" i="1"/>
  <c r="AG127" i="1"/>
  <c r="AG184" i="1"/>
  <c r="AG121" i="1"/>
  <c r="AG71" i="1"/>
  <c r="AG55" i="1"/>
  <c r="AG141" i="1"/>
  <c r="AG163" i="1"/>
  <c r="AG20" i="1"/>
  <c r="AG81" i="1"/>
  <c r="AG140" i="1"/>
  <c r="AG145" i="1"/>
  <c r="AG102" i="1"/>
  <c r="AG234" i="1"/>
  <c r="AG258" i="1"/>
  <c r="AG119" i="1"/>
  <c r="AG261" i="1"/>
  <c r="AG105" i="1"/>
  <c r="AG166" i="1"/>
  <c r="AG78" i="1"/>
  <c r="AG257" i="1"/>
  <c r="AA49" i="1" l="1"/>
  <c r="AA41" i="1"/>
  <c r="AA39" i="1"/>
  <c r="AA32" i="1"/>
  <c r="AA24" i="1"/>
  <c r="AA184" i="1"/>
  <c r="X182" i="1"/>
  <c r="X172" i="1"/>
  <c r="AA145" i="1"/>
  <c r="X72" i="1"/>
  <c r="X54" i="1"/>
  <c r="X95" i="1"/>
  <c r="AA86" i="1"/>
  <c r="S36" i="3"/>
  <c r="AA54" i="1"/>
  <c r="T183" i="1"/>
  <c r="X183" i="1"/>
  <c r="S28" i="3"/>
  <c r="S29" i="3"/>
  <c r="AA235" i="1"/>
  <c r="T185" i="1"/>
  <c r="X185" i="1"/>
  <c r="S30" i="3"/>
  <c r="S12" i="3"/>
  <c r="T186" i="1"/>
  <c r="X186" i="1"/>
  <c r="T184" i="1"/>
  <c r="X184" i="1"/>
  <c r="AA179" i="1"/>
  <c r="AA175" i="1"/>
  <c r="W175" i="1" s="1"/>
  <c r="X236" i="1"/>
  <c r="X139" i="1"/>
  <c r="AA255" i="1"/>
  <c r="AA243" i="1"/>
  <c r="W243" i="1" s="1"/>
  <c r="X93" i="1"/>
  <c r="X89" i="1"/>
  <c r="AA69" i="1"/>
  <c r="X66" i="1"/>
  <c r="X33" i="1"/>
  <c r="X25" i="1"/>
  <c r="X96" i="1"/>
  <c r="X92" i="1"/>
  <c r="X62" i="1"/>
  <c r="AA66" i="1"/>
  <c r="X94" i="1"/>
  <c r="R48" i="3"/>
  <c r="AA87" i="1"/>
  <c r="X87" i="1"/>
  <c r="X81" i="1"/>
  <c r="X90" i="1"/>
  <c r="U90" i="1"/>
  <c r="S90" i="1" s="1"/>
  <c r="AI90" i="1"/>
  <c r="W90" i="1"/>
  <c r="S19" i="3"/>
  <c r="AD47" i="3"/>
  <c r="AA71" i="1"/>
  <c r="W71" i="1" s="1"/>
  <c r="R18" i="3"/>
  <c r="AD50" i="3"/>
  <c r="R29" i="3"/>
  <c r="R23" i="3"/>
  <c r="R30" i="3"/>
  <c r="AA129" i="1"/>
  <c r="W129" i="1" s="1"/>
  <c r="X122" i="1"/>
  <c r="AA62" i="1"/>
  <c r="X61" i="1"/>
  <c r="X88" i="1"/>
  <c r="AE50" i="3"/>
  <c r="AA15" i="1"/>
  <c r="AA34" i="1"/>
  <c r="W34" i="1" s="1"/>
  <c r="X84" i="1"/>
  <c r="X86" i="1"/>
  <c r="R15" i="3"/>
  <c r="X217" i="1"/>
  <c r="T62" i="1"/>
  <c r="U62" i="1" s="1"/>
  <c r="S62" i="1" s="1"/>
  <c r="X85" i="1"/>
  <c r="AI85" i="1"/>
  <c r="U85" i="1"/>
  <c r="S85" i="1" s="1"/>
  <c r="U86" i="1"/>
  <c r="S86" i="1" s="1"/>
  <c r="AI86" i="1"/>
  <c r="W86" i="1"/>
  <c r="W85" i="1"/>
  <c r="AE33" i="3"/>
  <c r="T139" i="1"/>
  <c r="AA60" i="1"/>
  <c r="W60" i="1" s="1"/>
  <c r="AD33" i="3"/>
  <c r="X206" i="1"/>
  <c r="AD51" i="3"/>
  <c r="AD45" i="3"/>
  <c r="AE41" i="3"/>
  <c r="AD31" i="3"/>
  <c r="AC51" i="3"/>
  <c r="AA197" i="1"/>
  <c r="W197" i="1" s="1"/>
  <c r="AA265" i="1"/>
  <c r="W265" i="1" s="1"/>
  <c r="AA261" i="1"/>
  <c r="W261" i="1" s="1"/>
  <c r="AA259" i="1"/>
  <c r="T236" i="1"/>
  <c r="U236" i="1" s="1"/>
  <c r="S236" i="1" s="1"/>
  <c r="AA234" i="1"/>
  <c r="W234" i="1" s="1"/>
  <c r="AA215" i="1"/>
  <c r="W215" i="1" s="1"/>
  <c r="AA160" i="1"/>
  <c r="AA158" i="1"/>
  <c r="W158" i="1" s="1"/>
  <c r="AA152" i="1"/>
  <c r="AA81" i="1"/>
  <c r="W81" i="1" s="1"/>
  <c r="AA65" i="1"/>
  <c r="X16" i="1"/>
  <c r="AA258" i="1"/>
  <c r="AA52" i="1"/>
  <c r="AA48" i="1"/>
  <c r="AA19" i="1"/>
  <c r="W19" i="1" s="1"/>
  <c r="X83" i="1"/>
  <c r="AE27" i="3"/>
  <c r="AE43" i="3"/>
  <c r="AD41" i="3"/>
  <c r="AA172" i="1"/>
  <c r="T172" i="1"/>
  <c r="U172" i="1" s="1"/>
  <c r="S172" i="1" s="1"/>
  <c r="AA167" i="1"/>
  <c r="W167" i="1" s="1"/>
  <c r="X248" i="1"/>
  <c r="X244" i="1"/>
  <c r="AA223" i="1"/>
  <c r="X154" i="1"/>
  <c r="AA149" i="1"/>
  <c r="W149" i="1" s="1"/>
  <c r="AA144" i="1"/>
  <c r="AA77" i="1"/>
  <c r="W77" i="1" s="1"/>
  <c r="AA23" i="1"/>
  <c r="W23" i="1" s="1"/>
  <c r="AA83" i="1"/>
  <c r="W83" i="1" s="1"/>
  <c r="AC40" i="3"/>
  <c r="AC30" i="3"/>
  <c r="AA97" i="1"/>
  <c r="AA80" i="1"/>
  <c r="AA76" i="1"/>
  <c r="X41" i="1"/>
  <c r="AA37" i="1"/>
  <c r="W37" i="1" s="1"/>
  <c r="T33" i="1"/>
  <c r="AA22" i="1"/>
  <c r="X21" i="1"/>
  <c r="AA89" i="1"/>
  <c r="W89" i="1" s="1"/>
  <c r="AA189" i="1"/>
  <c r="X260" i="1"/>
  <c r="AA141" i="1"/>
  <c r="W141" i="1" s="1"/>
  <c r="AA130" i="1"/>
  <c r="W130" i="1" s="1"/>
  <c r="AA122" i="1"/>
  <c r="T72" i="1"/>
  <c r="AA40" i="1"/>
  <c r="W40" i="1" s="1"/>
  <c r="X77" i="1"/>
  <c r="X82" i="1"/>
  <c r="R25" i="3"/>
  <c r="AE11" i="3"/>
  <c r="AA231" i="1"/>
  <c r="AA200" i="1"/>
  <c r="X197" i="1"/>
  <c r="AA188" i="1"/>
  <c r="W188" i="1" s="1"/>
  <c r="AA171" i="1"/>
  <c r="X168" i="1"/>
  <c r="AA260" i="1"/>
  <c r="AA244" i="1"/>
  <c r="W244" i="1" s="1"/>
  <c r="AA239" i="1"/>
  <c r="W239" i="1" s="1"/>
  <c r="AA219" i="1"/>
  <c r="W219" i="1" s="1"/>
  <c r="AA211" i="1"/>
  <c r="AA159" i="1"/>
  <c r="W159" i="1" s="1"/>
  <c r="AA157" i="1"/>
  <c r="AA114" i="1"/>
  <c r="W114" i="1" s="1"/>
  <c r="AA102" i="1"/>
  <c r="AA98" i="1"/>
  <c r="AA45" i="1"/>
  <c r="W45" i="1" s="1"/>
  <c r="AA16" i="1"/>
  <c r="W16" i="1" s="1"/>
  <c r="X35" i="1"/>
  <c r="X78" i="1"/>
  <c r="AC53" i="3"/>
  <c r="AA230" i="1"/>
  <c r="W230" i="1" s="1"/>
  <c r="AA226" i="1"/>
  <c r="AA205" i="1"/>
  <c r="W205" i="1" s="1"/>
  <c r="T197" i="1"/>
  <c r="AA196" i="1"/>
  <c r="AA192" i="1"/>
  <c r="X189" i="1"/>
  <c r="AA170" i="1"/>
  <c r="AA257" i="1"/>
  <c r="W257" i="1" s="1"/>
  <c r="AA251" i="1"/>
  <c r="AA247" i="1"/>
  <c r="W247" i="1" s="1"/>
  <c r="AA236" i="1"/>
  <c r="AA161" i="1"/>
  <c r="X150" i="1"/>
  <c r="AA147" i="1"/>
  <c r="W147" i="1" s="1"/>
  <c r="AA139" i="1"/>
  <c r="W139" i="1" s="1"/>
  <c r="AA134" i="1"/>
  <c r="AA128" i="1"/>
  <c r="X127" i="1"/>
  <c r="AA117" i="1"/>
  <c r="AA105" i="1"/>
  <c r="W105" i="1" s="1"/>
  <c r="AA101" i="1"/>
  <c r="X98" i="1"/>
  <c r="AA72" i="1"/>
  <c r="X50" i="1"/>
  <c r="X46" i="1"/>
  <c r="AA36" i="1"/>
  <c r="W36" i="1" s="1"/>
  <c r="X32" i="1"/>
  <c r="AA28" i="1"/>
  <c r="W28" i="1" s="1"/>
  <c r="X24" i="1"/>
  <c r="X17" i="1"/>
  <c r="X76" i="1"/>
  <c r="AD49" i="3"/>
  <c r="AD29" i="3"/>
  <c r="T260" i="1"/>
  <c r="U260" i="1" s="1"/>
  <c r="S260" i="1" s="1"/>
  <c r="T244" i="1"/>
  <c r="U244" i="1" s="1"/>
  <c r="S244" i="1" s="1"/>
  <c r="X220" i="1"/>
  <c r="X212" i="1"/>
  <c r="X134" i="1"/>
  <c r="X111" i="1"/>
  <c r="X103" i="1"/>
  <c r="X38" i="1"/>
  <c r="AA20" i="1"/>
  <c r="W20" i="1" s="1"/>
  <c r="X75" i="1"/>
  <c r="AI75" i="1"/>
  <c r="U75" i="1"/>
  <c r="S75" i="1" s="1"/>
  <c r="W75" i="1"/>
  <c r="X71" i="1"/>
  <c r="X70" i="1"/>
  <c r="T70" i="1"/>
  <c r="U70" i="1" s="1"/>
  <c r="S70" i="1" s="1"/>
  <c r="AI70" i="1"/>
  <c r="U71" i="1"/>
  <c r="S71" i="1" s="1"/>
  <c r="AI71" i="1"/>
  <c r="W70" i="1"/>
  <c r="U34" i="1"/>
  <c r="S34" i="1" s="1"/>
  <c r="AI34" i="1"/>
  <c r="X34" i="1"/>
  <c r="T56" i="1"/>
  <c r="X56" i="1"/>
  <c r="AA207" i="1"/>
  <c r="R19" i="3"/>
  <c r="R33" i="3"/>
  <c r="X135" i="1"/>
  <c r="T135" i="1"/>
  <c r="T207" i="1"/>
  <c r="X207" i="1"/>
  <c r="X193" i="1"/>
  <c r="T252" i="1"/>
  <c r="X252" i="1"/>
  <c r="S48" i="3"/>
  <c r="AA227" i="1"/>
  <c r="W227" i="1" s="1"/>
  <c r="AA202" i="1"/>
  <c r="X201" i="1"/>
  <c r="T123" i="1"/>
  <c r="U123" i="1" s="1"/>
  <c r="S123" i="1" s="1"/>
  <c r="X123" i="1"/>
  <c r="T91" i="1"/>
  <c r="T55" i="1"/>
  <c r="X55" i="1"/>
  <c r="T42" i="1"/>
  <c r="U42" i="1" s="1"/>
  <c r="S42" i="1" s="1"/>
  <c r="X42" i="1"/>
  <c r="X227" i="1"/>
  <c r="T202" i="1"/>
  <c r="X202" i="1"/>
  <c r="T240" i="1"/>
  <c r="U240" i="1" s="1"/>
  <c r="S240" i="1" s="1"/>
  <c r="X240" i="1"/>
  <c r="AA221" i="1"/>
  <c r="W221" i="1" s="1"/>
  <c r="AA148" i="1"/>
  <c r="AA110" i="1"/>
  <c r="AA106" i="1"/>
  <c r="AA93" i="1"/>
  <c r="W93" i="1" s="1"/>
  <c r="X60" i="1"/>
  <c r="T50" i="1"/>
  <c r="T46" i="1"/>
  <c r="AA43" i="1"/>
  <c r="W43" i="1" s="1"/>
  <c r="AA30" i="1"/>
  <c r="X29" i="1"/>
  <c r="AA27" i="1"/>
  <c r="W27" i="1" s="1"/>
  <c r="T25" i="1"/>
  <c r="U25" i="1" s="1"/>
  <c r="S25" i="1" s="1"/>
  <c r="X231" i="1"/>
  <c r="AA203" i="1"/>
  <c r="X164" i="1"/>
  <c r="AA213" i="1"/>
  <c r="W213" i="1" s="1"/>
  <c r="AA156" i="1"/>
  <c r="X146" i="1"/>
  <c r="AA140" i="1"/>
  <c r="W140" i="1" s="1"/>
  <c r="X138" i="1"/>
  <c r="X130" i="1"/>
  <c r="X126" i="1"/>
  <c r="X119" i="1"/>
  <c r="X114" i="1"/>
  <c r="AA35" i="1"/>
  <c r="AA177" i="1"/>
  <c r="W177" i="1" s="1"/>
  <c r="AA173" i="1"/>
  <c r="AA169" i="1"/>
  <c r="W169" i="1" s="1"/>
  <c r="AA228" i="1"/>
  <c r="AA194" i="1"/>
  <c r="AA186" i="1"/>
  <c r="W186" i="1" s="1"/>
  <c r="X264" i="1"/>
  <c r="X228" i="1"/>
  <c r="AA206" i="1"/>
  <c r="X203" i="1"/>
  <c r="AA198" i="1"/>
  <c r="W198" i="1" s="1"/>
  <c r="AA195" i="1"/>
  <c r="AA190" i="1"/>
  <c r="AA187" i="1"/>
  <c r="X180" i="1"/>
  <c r="X176" i="1"/>
  <c r="AA163" i="1"/>
  <c r="AA263" i="1"/>
  <c r="W263" i="1" s="1"/>
  <c r="X256" i="1"/>
  <c r="AA249" i="1"/>
  <c r="AA245" i="1"/>
  <c r="AA237" i="1"/>
  <c r="AA233" i="1"/>
  <c r="W233" i="1" s="1"/>
  <c r="AA225" i="1"/>
  <c r="AA155" i="1"/>
  <c r="T149" i="1"/>
  <c r="AA143" i="1"/>
  <c r="W143" i="1" s="1"/>
  <c r="X142" i="1"/>
  <c r="AA137" i="1"/>
  <c r="W137" i="1" s="1"/>
  <c r="AA135" i="1"/>
  <c r="AA133" i="1"/>
  <c r="W133" i="1" s="1"/>
  <c r="AA125" i="1"/>
  <c r="AA118" i="1"/>
  <c r="X115" i="1"/>
  <c r="AA109" i="1"/>
  <c r="X106" i="1"/>
  <c r="AA94" i="1"/>
  <c r="W94" i="1" s="1"/>
  <c r="AA91" i="1"/>
  <c r="W91" i="1" s="1"/>
  <c r="AA79" i="1"/>
  <c r="W79" i="1" s="1"/>
  <c r="AA74" i="1"/>
  <c r="AA68" i="1"/>
  <c r="AA64" i="1"/>
  <c r="W64" i="1" s="1"/>
  <c r="AA56" i="1"/>
  <c r="W56" i="1" s="1"/>
  <c r="AA55" i="1"/>
  <c r="X53" i="1"/>
  <c r="AA53" i="1"/>
  <c r="AA44" i="1"/>
  <c r="W44" i="1" s="1"/>
  <c r="AA31" i="1"/>
  <c r="AA26" i="1"/>
  <c r="AA204" i="1"/>
  <c r="W204" i="1" s="1"/>
  <c r="AA201" i="1"/>
  <c r="W201" i="1" s="1"/>
  <c r="AA199" i="1"/>
  <c r="AA193" i="1"/>
  <c r="AA191" i="1"/>
  <c r="W191" i="1" s="1"/>
  <c r="AA185" i="1"/>
  <c r="W185" i="1" s="1"/>
  <c r="AA183" i="1"/>
  <c r="AA180" i="1"/>
  <c r="W180" i="1" s="1"/>
  <c r="AA178" i="1"/>
  <c r="W178" i="1" s="1"/>
  <c r="X167" i="1"/>
  <c r="AA164" i="1"/>
  <c r="AA162" i="1"/>
  <c r="W162" i="1" s="1"/>
  <c r="X255" i="1"/>
  <c r="AA252" i="1"/>
  <c r="W252" i="1" s="1"/>
  <c r="AA250" i="1"/>
  <c r="X243" i="1"/>
  <c r="AA240" i="1"/>
  <c r="AA232" i="1"/>
  <c r="W232" i="1" s="1"/>
  <c r="X225" i="1"/>
  <c r="X221" i="1"/>
  <c r="X213" i="1"/>
  <c r="X158" i="1"/>
  <c r="AA138" i="1"/>
  <c r="AA126" i="1"/>
  <c r="W126" i="1" s="1"/>
  <c r="T231" i="1"/>
  <c r="U231" i="1" s="1"/>
  <c r="S231" i="1" s="1"/>
  <c r="AA229" i="1"/>
  <c r="W229" i="1" s="1"/>
  <c r="T227" i="1"/>
  <c r="U227" i="1" s="1"/>
  <c r="S227" i="1" s="1"/>
  <c r="AA208" i="1"/>
  <c r="W208" i="1" s="1"/>
  <c r="T206" i="1"/>
  <c r="U206" i="1" s="1"/>
  <c r="S206" i="1" s="1"/>
  <c r="X194" i="1"/>
  <c r="X179" i="1"/>
  <c r="AA176" i="1"/>
  <c r="W176" i="1" s="1"/>
  <c r="T176" i="1"/>
  <c r="AA174" i="1"/>
  <c r="W174" i="1" s="1"/>
  <c r="X163" i="1"/>
  <c r="AA264" i="1"/>
  <c r="W264" i="1" s="1"/>
  <c r="T264" i="1"/>
  <c r="AA262" i="1"/>
  <c r="W262" i="1" s="1"/>
  <c r="X251" i="1"/>
  <c r="AA248" i="1"/>
  <c r="W248" i="1" s="1"/>
  <c r="T248" i="1"/>
  <c r="AA246" i="1"/>
  <c r="AA238" i="1"/>
  <c r="W238" i="1" s="1"/>
  <c r="AA222" i="1"/>
  <c r="AA216" i="1"/>
  <c r="T216" i="1"/>
  <c r="U216" i="1" s="1"/>
  <c r="S216" i="1" s="1"/>
  <c r="AA214" i="1"/>
  <c r="W214" i="1" s="1"/>
  <c r="X157" i="1"/>
  <c r="AA153" i="1"/>
  <c r="T153" i="1"/>
  <c r="U153" i="1" s="1"/>
  <c r="S153" i="1" s="1"/>
  <c r="AA151" i="1"/>
  <c r="AA150" i="1"/>
  <c r="W150" i="1" s="1"/>
  <c r="X149" i="1"/>
  <c r="X145" i="1"/>
  <c r="X141" i="1"/>
  <c r="X175" i="1"/>
  <c r="X263" i="1"/>
  <c r="X247" i="1"/>
  <c r="X239" i="1"/>
  <c r="X232" i="1"/>
  <c r="X209" i="1"/>
  <c r="X198" i="1"/>
  <c r="X190" i="1"/>
  <c r="AA182" i="1"/>
  <c r="W182" i="1" s="1"/>
  <c r="AA181" i="1"/>
  <c r="X171" i="1"/>
  <c r="AA168" i="1"/>
  <c r="AA166" i="1"/>
  <c r="W166" i="1" s="1"/>
  <c r="AA165" i="1"/>
  <c r="X259" i="1"/>
  <c r="AA256" i="1"/>
  <c r="AA254" i="1"/>
  <c r="W254" i="1" s="1"/>
  <c r="AA253" i="1"/>
  <c r="AA242" i="1"/>
  <c r="W242" i="1" s="1"/>
  <c r="AA241" i="1"/>
  <c r="X235" i="1"/>
  <c r="AA224" i="1"/>
  <c r="AA220" i="1"/>
  <c r="W220" i="1" s="1"/>
  <c r="T220" i="1"/>
  <c r="U220" i="1" s="1"/>
  <c r="S220" i="1" s="1"/>
  <c r="AA218" i="1"/>
  <c r="W218" i="1" s="1"/>
  <c r="AA217" i="1"/>
  <c r="X216" i="1"/>
  <c r="AA212" i="1"/>
  <c r="T212" i="1"/>
  <c r="U212" i="1" s="1"/>
  <c r="S212" i="1" s="1"/>
  <c r="AA210" i="1"/>
  <c r="AA209" i="1"/>
  <c r="W209" i="1" s="1"/>
  <c r="X161" i="1"/>
  <c r="AA154" i="1"/>
  <c r="W154" i="1" s="1"/>
  <c r="X153" i="1"/>
  <c r="AA146" i="1"/>
  <c r="W146" i="1" s="1"/>
  <c r="AA142" i="1"/>
  <c r="X131" i="1"/>
  <c r="T131" i="1"/>
  <c r="AA136" i="1"/>
  <c r="W136" i="1" s="1"/>
  <c r="AA127" i="1"/>
  <c r="AA121" i="1"/>
  <c r="W121" i="1" s="1"/>
  <c r="X118" i="1"/>
  <c r="AA113" i="1"/>
  <c r="W113" i="1" s="1"/>
  <c r="X110" i="1"/>
  <c r="X102" i="1"/>
  <c r="T53" i="1"/>
  <c r="AA131" i="1"/>
  <c r="W131" i="1" s="1"/>
  <c r="T126" i="1"/>
  <c r="U126" i="1" s="1"/>
  <c r="S126" i="1" s="1"/>
  <c r="AA124" i="1"/>
  <c r="AA119" i="1"/>
  <c r="T119" i="1"/>
  <c r="U119" i="1" s="1"/>
  <c r="S119" i="1" s="1"/>
  <c r="AA116" i="1"/>
  <c r="AA111" i="1"/>
  <c r="T111" i="1"/>
  <c r="AA108" i="1"/>
  <c r="W108" i="1" s="1"/>
  <c r="X107" i="1"/>
  <c r="AA103" i="1"/>
  <c r="W103" i="1" s="1"/>
  <c r="T103" i="1"/>
  <c r="AA100" i="1"/>
  <c r="W100" i="1" s="1"/>
  <c r="X99" i="1"/>
  <c r="AA95" i="1"/>
  <c r="W95" i="1" s="1"/>
  <c r="T95" i="1"/>
  <c r="AA92" i="1"/>
  <c r="W92" i="1" s="1"/>
  <c r="X80" i="1"/>
  <c r="X69" i="1"/>
  <c r="X65" i="1"/>
  <c r="AA58" i="1"/>
  <c r="W58" i="1" s="1"/>
  <c r="AA57" i="1"/>
  <c r="W57" i="1" s="1"/>
  <c r="X49" i="1"/>
  <c r="X45" i="1"/>
  <c r="AA42" i="1"/>
  <c r="W42" i="1" s="1"/>
  <c r="T41" i="1"/>
  <c r="U41" i="1" s="1"/>
  <c r="S41" i="1" s="1"/>
  <c r="X37" i="1"/>
  <c r="AA33" i="1"/>
  <c r="T32" i="1"/>
  <c r="U32" i="1" s="1"/>
  <c r="S32" i="1" s="1"/>
  <c r="X28" i="1"/>
  <c r="AA25" i="1"/>
  <c r="T24" i="1"/>
  <c r="X20" i="1"/>
  <c r="AA17" i="1"/>
  <c r="W17" i="1" s="1"/>
  <c r="T16" i="1"/>
  <c r="U16" i="1" s="1"/>
  <c r="S16" i="1" s="1"/>
  <c r="AA14" i="1"/>
  <c r="AA18" i="1"/>
  <c r="W18" i="1" s="1"/>
  <c r="AA132" i="1"/>
  <c r="AA123" i="1"/>
  <c r="W123" i="1" s="1"/>
  <c r="AA120" i="1"/>
  <c r="AA115" i="1"/>
  <c r="AA112" i="1"/>
  <c r="W112" i="1" s="1"/>
  <c r="AA107" i="1"/>
  <c r="W107" i="1" s="1"/>
  <c r="AA104" i="1"/>
  <c r="AA99" i="1"/>
  <c r="W99" i="1" s="1"/>
  <c r="AA96" i="1"/>
  <c r="AA84" i="1"/>
  <c r="W84" i="1" s="1"/>
  <c r="AA82" i="1"/>
  <c r="W82" i="1" s="1"/>
  <c r="AA78" i="1"/>
  <c r="W78" i="1" s="1"/>
  <c r="AA73" i="1"/>
  <c r="W73" i="1" s="1"/>
  <c r="AA67" i="1"/>
  <c r="AA63" i="1"/>
  <c r="AA61" i="1"/>
  <c r="W61" i="1" s="1"/>
  <c r="AA59" i="1"/>
  <c r="W59" i="1" s="1"/>
  <c r="AA51" i="1"/>
  <c r="AA50" i="1"/>
  <c r="AA47" i="1"/>
  <c r="W47" i="1" s="1"/>
  <c r="AA46" i="1"/>
  <c r="W46" i="1" s="1"/>
  <c r="AA38" i="1"/>
  <c r="AA29" i="1"/>
  <c r="AA21" i="1"/>
  <c r="W21" i="1" s="1"/>
  <c r="AI262" i="1"/>
  <c r="U228" i="1"/>
  <c r="S228" i="1" s="1"/>
  <c r="AI258" i="1"/>
  <c r="U207" i="1"/>
  <c r="S207" i="1" s="1"/>
  <c r="AI254" i="1"/>
  <c r="U203" i="1"/>
  <c r="S203" i="1" s="1"/>
  <c r="AI263" i="1"/>
  <c r="U229" i="1"/>
  <c r="S229" i="1" s="1"/>
  <c r="AI259" i="1"/>
  <c r="U208" i="1"/>
  <c r="S208" i="1" s="1"/>
  <c r="AI255" i="1"/>
  <c r="U204" i="1"/>
  <c r="S204" i="1" s="1"/>
  <c r="U230" i="1"/>
  <c r="S230" i="1" s="1"/>
  <c r="AI264" i="1"/>
  <c r="U226" i="1"/>
  <c r="S226" i="1" s="1"/>
  <c r="AI260" i="1"/>
  <c r="U205" i="1"/>
  <c r="S205" i="1" s="1"/>
  <c r="AI256" i="1"/>
  <c r="U200" i="1"/>
  <c r="S200" i="1" s="1"/>
  <c r="AI251" i="1"/>
  <c r="AI265" i="1"/>
  <c r="AI261" i="1"/>
  <c r="AI257" i="1"/>
  <c r="U202" i="1"/>
  <c r="S202" i="1" s="1"/>
  <c r="AI253" i="1"/>
  <c r="U198" i="1"/>
  <c r="S198" i="1" s="1"/>
  <c r="AI249" i="1"/>
  <c r="U196" i="1"/>
  <c r="S196" i="1" s="1"/>
  <c r="AI247" i="1"/>
  <c r="AI243" i="1"/>
  <c r="U192" i="1"/>
  <c r="S192" i="1" s="1"/>
  <c r="AI239" i="1"/>
  <c r="U188" i="1"/>
  <c r="S188" i="1" s="1"/>
  <c r="AI235" i="1"/>
  <c r="U184" i="1"/>
  <c r="S184" i="1" s="1"/>
  <c r="AI231" i="1"/>
  <c r="U181" i="1"/>
  <c r="S181" i="1" s="1"/>
  <c r="AI227" i="1"/>
  <c r="U177" i="1"/>
  <c r="S177" i="1" s="1"/>
  <c r="AI223" i="1"/>
  <c r="U173" i="1"/>
  <c r="S173" i="1" s="1"/>
  <c r="AI219" i="1"/>
  <c r="U169" i="1"/>
  <c r="S169" i="1" s="1"/>
  <c r="AI215" i="1"/>
  <c r="U165" i="1"/>
  <c r="S165" i="1" s="1"/>
  <c r="AI211" i="1"/>
  <c r="U265" i="1"/>
  <c r="S265" i="1" s="1"/>
  <c r="AI207" i="1"/>
  <c r="U261" i="1"/>
  <c r="S261" i="1" s="1"/>
  <c r="AI203" i="1"/>
  <c r="U257" i="1"/>
  <c r="S257" i="1" s="1"/>
  <c r="AI199" i="1"/>
  <c r="U253" i="1"/>
  <c r="S253" i="1" s="1"/>
  <c r="AI195" i="1"/>
  <c r="U249" i="1"/>
  <c r="S249" i="1" s="1"/>
  <c r="AI191" i="1"/>
  <c r="U245" i="1"/>
  <c r="S245" i="1" s="1"/>
  <c r="AI187" i="1"/>
  <c r="U241" i="1"/>
  <c r="S241" i="1" s="1"/>
  <c r="AI183" i="1"/>
  <c r="U237" i="1"/>
  <c r="S237" i="1" s="1"/>
  <c r="AI180" i="1"/>
  <c r="AI179" i="1"/>
  <c r="U232" i="1"/>
  <c r="S232" i="1" s="1"/>
  <c r="U225" i="1"/>
  <c r="S225" i="1" s="1"/>
  <c r="AI178" i="1"/>
  <c r="AI174" i="1"/>
  <c r="U221" i="1"/>
  <c r="S221" i="1" s="1"/>
  <c r="U201" i="1"/>
  <c r="S201" i="1" s="1"/>
  <c r="AI252" i="1"/>
  <c r="AI248" i="1"/>
  <c r="U197" i="1"/>
  <c r="S197" i="1" s="1"/>
  <c r="AI244" i="1"/>
  <c r="U193" i="1"/>
  <c r="S193" i="1" s="1"/>
  <c r="AI240" i="1"/>
  <c r="U189" i="1"/>
  <c r="S189" i="1" s="1"/>
  <c r="AI236" i="1"/>
  <c r="U185" i="1"/>
  <c r="S185" i="1" s="1"/>
  <c r="AI232" i="1"/>
  <c r="AI228" i="1"/>
  <c r="AI224" i="1"/>
  <c r="AI220" i="1"/>
  <c r="AI216" i="1"/>
  <c r="AI212" i="1"/>
  <c r="AI208" i="1"/>
  <c r="AI204" i="1"/>
  <c r="AI200" i="1"/>
  <c r="AI196" i="1"/>
  <c r="AI192" i="1"/>
  <c r="AI188" i="1"/>
  <c r="AI184" i="1"/>
  <c r="AI181" i="1"/>
  <c r="U194" i="1"/>
  <c r="S194" i="1" s="1"/>
  <c r="AI245" i="1"/>
  <c r="U190" i="1"/>
  <c r="S190" i="1" s="1"/>
  <c r="AI241" i="1"/>
  <c r="U186" i="1"/>
  <c r="S186" i="1" s="1"/>
  <c r="AI237" i="1"/>
  <c r="AI233" i="1"/>
  <c r="U179" i="1"/>
  <c r="S179" i="1" s="1"/>
  <c r="AI229" i="1"/>
  <c r="U175" i="1"/>
  <c r="S175" i="1" s="1"/>
  <c r="AI225" i="1"/>
  <c r="U171" i="1"/>
  <c r="S171" i="1" s="1"/>
  <c r="AI221" i="1"/>
  <c r="U167" i="1"/>
  <c r="S167" i="1" s="1"/>
  <c r="AI217" i="1"/>
  <c r="U163" i="1"/>
  <c r="S163" i="1" s="1"/>
  <c r="AI213" i="1"/>
  <c r="U263" i="1"/>
  <c r="S263" i="1" s="1"/>
  <c r="AI209" i="1"/>
  <c r="U259" i="1"/>
  <c r="S259" i="1" s="1"/>
  <c r="AI205" i="1"/>
  <c r="U255" i="1"/>
  <c r="S255" i="1" s="1"/>
  <c r="AI201" i="1"/>
  <c r="U251" i="1"/>
  <c r="S251" i="1" s="1"/>
  <c r="AI197" i="1"/>
  <c r="U247" i="1"/>
  <c r="S247" i="1" s="1"/>
  <c r="AI193" i="1"/>
  <c r="U243" i="1"/>
  <c r="S243" i="1" s="1"/>
  <c r="AI189" i="1"/>
  <c r="U239" i="1"/>
  <c r="S239" i="1" s="1"/>
  <c r="AI185" i="1"/>
  <c r="U235" i="1"/>
  <c r="S235" i="1" s="1"/>
  <c r="AI182" i="1"/>
  <c r="U223" i="1"/>
  <c r="S223" i="1" s="1"/>
  <c r="AI176" i="1"/>
  <c r="U199" i="1"/>
  <c r="S199" i="1" s="1"/>
  <c r="AI250" i="1"/>
  <c r="U195" i="1"/>
  <c r="S195" i="1" s="1"/>
  <c r="AI246" i="1"/>
  <c r="U191" i="1"/>
  <c r="S191" i="1" s="1"/>
  <c r="AI242" i="1"/>
  <c r="U187" i="1"/>
  <c r="S187" i="1" s="1"/>
  <c r="AI238" i="1"/>
  <c r="U183" i="1"/>
  <c r="S183" i="1" s="1"/>
  <c r="AI234" i="1"/>
  <c r="U180" i="1"/>
  <c r="S180" i="1" s="1"/>
  <c r="AI230" i="1"/>
  <c r="U176" i="1"/>
  <c r="S176" i="1" s="1"/>
  <c r="AI226" i="1"/>
  <c r="AI222" i="1"/>
  <c r="U168" i="1"/>
  <c r="S168" i="1" s="1"/>
  <c r="AI218" i="1"/>
  <c r="U164" i="1"/>
  <c r="S164" i="1" s="1"/>
  <c r="AI214" i="1"/>
  <c r="U264" i="1"/>
  <c r="S264" i="1" s="1"/>
  <c r="AI210" i="1"/>
  <c r="AI206" i="1"/>
  <c r="U256" i="1"/>
  <c r="S256" i="1" s="1"/>
  <c r="AI202" i="1"/>
  <c r="U252" i="1"/>
  <c r="S252" i="1" s="1"/>
  <c r="AI198" i="1"/>
  <c r="U248" i="1"/>
  <c r="S248" i="1" s="1"/>
  <c r="AI194" i="1"/>
  <c r="AI190" i="1"/>
  <c r="AI186" i="1"/>
  <c r="AI170" i="1"/>
  <c r="U217" i="1"/>
  <c r="S217" i="1" s="1"/>
  <c r="AI166" i="1"/>
  <c r="U213" i="1"/>
  <c r="S213" i="1" s="1"/>
  <c r="AI162" i="1"/>
  <c r="U209" i="1"/>
  <c r="S209" i="1" s="1"/>
  <c r="AI158" i="1"/>
  <c r="U158" i="1"/>
  <c r="S158" i="1" s="1"/>
  <c r="AI154" i="1"/>
  <c r="U154" i="1"/>
  <c r="S154" i="1" s="1"/>
  <c r="AI150" i="1"/>
  <c r="U150" i="1"/>
  <c r="S150" i="1" s="1"/>
  <c r="AI146" i="1"/>
  <c r="U146" i="1"/>
  <c r="S146" i="1" s="1"/>
  <c r="AI142" i="1"/>
  <c r="U142" i="1"/>
  <c r="S142" i="1" s="1"/>
  <c r="AI139" i="1"/>
  <c r="U139" i="1"/>
  <c r="S139" i="1" s="1"/>
  <c r="AI175" i="1"/>
  <c r="AI171" i="1"/>
  <c r="U218" i="1"/>
  <c r="S218" i="1" s="1"/>
  <c r="AI167" i="1"/>
  <c r="U214" i="1"/>
  <c r="S214" i="1" s="1"/>
  <c r="AI163" i="1"/>
  <c r="U210" i="1"/>
  <c r="S210" i="1" s="1"/>
  <c r="AI159" i="1"/>
  <c r="U159" i="1"/>
  <c r="S159" i="1" s="1"/>
  <c r="AI155" i="1"/>
  <c r="U155" i="1"/>
  <c r="S155" i="1" s="1"/>
  <c r="AI151" i="1"/>
  <c r="U151" i="1"/>
  <c r="S151" i="1" s="1"/>
  <c r="AI147" i="1"/>
  <c r="U147" i="1"/>
  <c r="S147" i="1" s="1"/>
  <c r="AI143" i="1"/>
  <c r="U143" i="1"/>
  <c r="S143" i="1" s="1"/>
  <c r="U219" i="1"/>
  <c r="S219" i="1" s="1"/>
  <c r="AI172" i="1"/>
  <c r="U215" i="1"/>
  <c r="S215" i="1" s="1"/>
  <c r="AI168" i="1"/>
  <c r="U211" i="1"/>
  <c r="S211" i="1" s="1"/>
  <c r="AI164" i="1"/>
  <c r="U160" i="1"/>
  <c r="S160" i="1" s="1"/>
  <c r="AI160" i="1"/>
  <c r="U156" i="1"/>
  <c r="S156" i="1" s="1"/>
  <c r="AI156" i="1"/>
  <c r="U152" i="1"/>
  <c r="S152" i="1" s="1"/>
  <c r="AI152" i="1"/>
  <c r="U148" i="1"/>
  <c r="S148" i="1" s="1"/>
  <c r="AI148" i="1"/>
  <c r="U144" i="1"/>
  <c r="S144" i="1" s="1"/>
  <c r="AI144" i="1"/>
  <c r="U140" i="1"/>
  <c r="S140" i="1" s="1"/>
  <c r="AI140" i="1"/>
  <c r="AI177" i="1"/>
  <c r="AI173" i="1"/>
  <c r="AI169" i="1"/>
  <c r="AI165" i="1"/>
  <c r="U161" i="1"/>
  <c r="S161" i="1" s="1"/>
  <c r="AI161" i="1"/>
  <c r="U157" i="1"/>
  <c r="S157" i="1" s="1"/>
  <c r="AI157" i="1"/>
  <c r="AI153" i="1"/>
  <c r="U149" i="1"/>
  <c r="S149" i="1" s="1"/>
  <c r="AI149" i="1"/>
  <c r="U145" i="1"/>
  <c r="S145" i="1" s="1"/>
  <c r="AI145" i="1"/>
  <c r="U141" i="1"/>
  <c r="S141" i="1" s="1"/>
  <c r="AI141" i="1"/>
  <c r="AI135" i="1"/>
  <c r="U135" i="1"/>
  <c r="S135" i="1" s="1"/>
  <c r="AI131" i="1"/>
  <c r="U131" i="1"/>
  <c r="S131" i="1" s="1"/>
  <c r="AI127" i="1"/>
  <c r="U127" i="1"/>
  <c r="S127" i="1" s="1"/>
  <c r="AI123" i="1"/>
  <c r="AI119" i="1"/>
  <c r="AI115" i="1"/>
  <c r="U115" i="1"/>
  <c r="S115" i="1" s="1"/>
  <c r="AI111" i="1"/>
  <c r="U111" i="1"/>
  <c r="S111" i="1" s="1"/>
  <c r="AI107" i="1"/>
  <c r="U107" i="1"/>
  <c r="S107" i="1" s="1"/>
  <c r="AI103" i="1"/>
  <c r="U103" i="1"/>
  <c r="S103" i="1" s="1"/>
  <c r="AI99" i="1"/>
  <c r="U99" i="1"/>
  <c r="S99" i="1" s="1"/>
  <c r="AI95" i="1"/>
  <c r="U95" i="1"/>
  <c r="S95" i="1" s="1"/>
  <c r="AI136" i="1"/>
  <c r="U136" i="1"/>
  <c r="S136" i="1" s="1"/>
  <c r="AI132" i="1"/>
  <c r="U132" i="1"/>
  <c r="S132" i="1" s="1"/>
  <c r="AI128" i="1"/>
  <c r="U128" i="1"/>
  <c r="S128" i="1" s="1"/>
  <c r="AI124" i="1"/>
  <c r="U124" i="1"/>
  <c r="S124" i="1" s="1"/>
  <c r="AI120" i="1"/>
  <c r="U120" i="1"/>
  <c r="S120" i="1" s="1"/>
  <c r="AI116" i="1"/>
  <c r="U116" i="1"/>
  <c r="S116" i="1" s="1"/>
  <c r="AI112" i="1"/>
  <c r="U112" i="1"/>
  <c r="S112" i="1" s="1"/>
  <c r="AI108" i="1"/>
  <c r="U108" i="1"/>
  <c r="S108" i="1" s="1"/>
  <c r="AI104" i="1"/>
  <c r="U104" i="1"/>
  <c r="S104" i="1" s="1"/>
  <c r="AI100" i="1"/>
  <c r="U100" i="1"/>
  <c r="S100" i="1" s="1"/>
  <c r="AI96" i="1"/>
  <c r="U96" i="1"/>
  <c r="S96" i="1" s="1"/>
  <c r="AI92" i="1"/>
  <c r="U92" i="1"/>
  <c r="S92" i="1" s="1"/>
  <c r="AI89" i="1"/>
  <c r="AI88" i="1"/>
  <c r="U88" i="1"/>
  <c r="S88" i="1" s="1"/>
  <c r="U137" i="1"/>
  <c r="S137" i="1" s="1"/>
  <c r="AI137" i="1"/>
  <c r="U133" i="1"/>
  <c r="S133" i="1" s="1"/>
  <c r="AI133" i="1"/>
  <c r="U129" i="1"/>
  <c r="S129" i="1" s="1"/>
  <c r="AI129" i="1"/>
  <c r="U125" i="1"/>
  <c r="S125" i="1" s="1"/>
  <c r="AI125" i="1"/>
  <c r="U121" i="1"/>
  <c r="S121" i="1" s="1"/>
  <c r="AI121" i="1"/>
  <c r="U117" i="1"/>
  <c r="S117" i="1" s="1"/>
  <c r="AI117" i="1"/>
  <c r="U113" i="1"/>
  <c r="S113" i="1" s="1"/>
  <c r="AI113" i="1"/>
  <c r="U109" i="1"/>
  <c r="S109" i="1" s="1"/>
  <c r="AI109" i="1"/>
  <c r="U105" i="1"/>
  <c r="S105" i="1" s="1"/>
  <c r="AI105" i="1"/>
  <c r="U101" i="1"/>
  <c r="S101" i="1" s="1"/>
  <c r="AI101" i="1"/>
  <c r="U97" i="1"/>
  <c r="S97" i="1" s="1"/>
  <c r="AI97" i="1"/>
  <c r="U93" i="1"/>
  <c r="S93" i="1" s="1"/>
  <c r="AI93" i="1"/>
  <c r="U138" i="1"/>
  <c r="AI138" i="1"/>
  <c r="U134" i="1"/>
  <c r="S134" i="1" s="1"/>
  <c r="AI134" i="1"/>
  <c r="U130" i="1"/>
  <c r="S130" i="1" s="1"/>
  <c r="AI130" i="1"/>
  <c r="AI126" i="1"/>
  <c r="U122" i="1"/>
  <c r="S122" i="1" s="1"/>
  <c r="AI122" i="1"/>
  <c r="U118" i="1"/>
  <c r="S118" i="1" s="1"/>
  <c r="AI118" i="1"/>
  <c r="U114" i="1"/>
  <c r="S114" i="1" s="1"/>
  <c r="AI114" i="1"/>
  <c r="U110" i="1"/>
  <c r="S110" i="1" s="1"/>
  <c r="AI110" i="1"/>
  <c r="U106" i="1"/>
  <c r="S106" i="1" s="1"/>
  <c r="AI106" i="1"/>
  <c r="U102" i="1"/>
  <c r="S102" i="1" s="1"/>
  <c r="AI102" i="1"/>
  <c r="U98" i="1"/>
  <c r="S98" i="1" s="1"/>
  <c r="AI98" i="1"/>
  <c r="U94" i="1"/>
  <c r="S94" i="1" s="1"/>
  <c r="AI94" i="1"/>
  <c r="U91" i="1"/>
  <c r="S91" i="1" s="1"/>
  <c r="AI91" i="1"/>
  <c r="AI81" i="1"/>
  <c r="U81" i="1"/>
  <c r="S81" i="1" s="1"/>
  <c r="AI77" i="1"/>
  <c r="U77" i="1"/>
  <c r="S77" i="1" s="1"/>
  <c r="AI72" i="1"/>
  <c r="U72" i="1"/>
  <c r="S72" i="1" s="1"/>
  <c r="AI66" i="1"/>
  <c r="U66" i="1"/>
  <c r="S66" i="1" s="1"/>
  <c r="AI62" i="1"/>
  <c r="AI58" i="1"/>
  <c r="U58" i="1"/>
  <c r="S58" i="1" s="1"/>
  <c r="AI54" i="1"/>
  <c r="U54" i="1"/>
  <c r="S54" i="1" s="1"/>
  <c r="AI84" i="1"/>
  <c r="U84" i="1"/>
  <c r="S84" i="1" s="1"/>
  <c r="AI82" i="1"/>
  <c r="U82" i="1"/>
  <c r="S82" i="1" s="1"/>
  <c r="AI78" i="1"/>
  <c r="U78" i="1"/>
  <c r="S78" i="1" s="1"/>
  <c r="AI73" i="1"/>
  <c r="U73" i="1"/>
  <c r="S73" i="1" s="1"/>
  <c r="AI67" i="1"/>
  <c r="U67" i="1"/>
  <c r="S67" i="1" s="1"/>
  <c r="AI63" i="1"/>
  <c r="U63" i="1"/>
  <c r="S63" i="1" s="1"/>
  <c r="AI59" i="1"/>
  <c r="AI55" i="1"/>
  <c r="U55" i="1"/>
  <c r="S55" i="1" s="1"/>
  <c r="U79" i="1"/>
  <c r="S79" i="1" s="1"/>
  <c r="AI79" i="1"/>
  <c r="U74" i="1"/>
  <c r="S74" i="1" s="1"/>
  <c r="AI74" i="1"/>
  <c r="U68" i="1"/>
  <c r="S68" i="1" s="1"/>
  <c r="AI68" i="1"/>
  <c r="U64" i="1"/>
  <c r="S64" i="1" s="1"/>
  <c r="AI64" i="1"/>
  <c r="U60" i="1"/>
  <c r="S60" i="1" s="1"/>
  <c r="AI60" i="1"/>
  <c r="U56" i="1"/>
  <c r="S56" i="1" s="1"/>
  <c r="AI56" i="1"/>
  <c r="U87" i="1"/>
  <c r="S87" i="1" s="1"/>
  <c r="AI87" i="1"/>
  <c r="U83" i="1"/>
  <c r="S83" i="1" s="1"/>
  <c r="AI83" i="1"/>
  <c r="U80" i="1"/>
  <c r="S80" i="1" s="1"/>
  <c r="AI80" i="1"/>
  <c r="U76" i="1"/>
  <c r="S76" i="1" s="1"/>
  <c r="AI76" i="1"/>
  <c r="U69" i="1"/>
  <c r="S69" i="1" s="1"/>
  <c r="AI69" i="1"/>
  <c r="U65" i="1"/>
  <c r="S65" i="1" s="1"/>
  <c r="AI65" i="1"/>
  <c r="U61" i="1"/>
  <c r="S61" i="1" s="1"/>
  <c r="AI61" i="1"/>
  <c r="U57" i="1"/>
  <c r="S57" i="1" s="1"/>
  <c r="AI57" i="1"/>
  <c r="U53" i="1"/>
  <c r="S53" i="1" s="1"/>
  <c r="AI53" i="1"/>
  <c r="AI50" i="1"/>
  <c r="U50" i="1"/>
  <c r="S50" i="1" s="1"/>
  <c r="AI46" i="1"/>
  <c r="U46" i="1"/>
  <c r="S46" i="1" s="1"/>
  <c r="AI42" i="1"/>
  <c r="AI38" i="1"/>
  <c r="U38" i="1"/>
  <c r="S38" i="1" s="1"/>
  <c r="AI33" i="1"/>
  <c r="U33" i="1"/>
  <c r="S33" i="1" s="1"/>
  <c r="AI29" i="1"/>
  <c r="U29" i="1"/>
  <c r="S29" i="1" s="1"/>
  <c r="AI25" i="1"/>
  <c r="AI21" i="1"/>
  <c r="U21" i="1"/>
  <c r="S21" i="1" s="1"/>
  <c r="AI17" i="1"/>
  <c r="U17" i="1"/>
  <c r="S17" i="1" s="1"/>
  <c r="AI51" i="1"/>
  <c r="U51" i="1"/>
  <c r="S51" i="1" s="1"/>
  <c r="AI47" i="1"/>
  <c r="U47" i="1"/>
  <c r="S47" i="1" s="1"/>
  <c r="AI43" i="1"/>
  <c r="U43" i="1"/>
  <c r="S43" i="1" s="1"/>
  <c r="AI39" i="1"/>
  <c r="U39" i="1"/>
  <c r="S39" i="1" s="1"/>
  <c r="AI35" i="1"/>
  <c r="U35" i="1"/>
  <c r="S35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AI52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1" i="1"/>
  <c r="S31" i="1" s="1"/>
  <c r="AI31" i="1"/>
  <c r="U27" i="1"/>
  <c r="S27" i="1" s="1"/>
  <c r="AI27" i="1"/>
  <c r="U23" i="1"/>
  <c r="S23" i="1" s="1"/>
  <c r="AI23" i="1"/>
  <c r="U19" i="1"/>
  <c r="AI19" i="1"/>
  <c r="U15" i="1"/>
  <c r="S15" i="1" s="1"/>
  <c r="AI15" i="1"/>
  <c r="U49" i="1"/>
  <c r="S49" i="1" s="1"/>
  <c r="AI49" i="1"/>
  <c r="U45" i="1"/>
  <c r="AI45" i="1"/>
  <c r="AI41" i="1"/>
  <c r="U37" i="1"/>
  <c r="S37" i="1" s="1"/>
  <c r="AI37" i="1"/>
  <c r="AI32" i="1"/>
  <c r="U28" i="1"/>
  <c r="S28" i="1" s="1"/>
  <c r="AI28" i="1"/>
  <c r="U24" i="1"/>
  <c r="S24" i="1" s="1"/>
  <c r="AI24" i="1"/>
  <c r="U20" i="1"/>
  <c r="AI20" i="1"/>
  <c r="AI16" i="1"/>
  <c r="W228" i="1"/>
  <c r="W207" i="1"/>
  <c r="W200" i="1"/>
  <c r="W226" i="1"/>
  <c r="W202" i="1"/>
  <c r="W231" i="1"/>
  <c r="W206" i="1"/>
  <c r="W203" i="1"/>
  <c r="X199" i="1"/>
  <c r="W192" i="1"/>
  <c r="W184" i="1"/>
  <c r="W173" i="1"/>
  <c r="W246" i="1"/>
  <c r="W245" i="1"/>
  <c r="W237" i="1"/>
  <c r="W225" i="1"/>
  <c r="W195" i="1"/>
  <c r="W194" i="1"/>
  <c r="W189" i="1"/>
  <c r="W187" i="1"/>
  <c r="W172" i="1"/>
  <c r="W171" i="1"/>
  <c r="W170" i="1"/>
  <c r="W260" i="1"/>
  <c r="W259" i="1"/>
  <c r="W258" i="1"/>
  <c r="W236" i="1"/>
  <c r="W235" i="1"/>
  <c r="W223" i="1"/>
  <c r="X229" i="1"/>
  <c r="X208" i="1"/>
  <c r="X204" i="1"/>
  <c r="W199" i="1"/>
  <c r="W196" i="1"/>
  <c r="W181" i="1"/>
  <c r="W168" i="1"/>
  <c r="W165" i="1"/>
  <c r="W256" i="1"/>
  <c r="W255" i="1"/>
  <c r="W253" i="1"/>
  <c r="W241" i="1"/>
  <c r="X230" i="1"/>
  <c r="X226" i="1"/>
  <c r="X205" i="1"/>
  <c r="W193" i="1"/>
  <c r="W190" i="1"/>
  <c r="W183" i="1"/>
  <c r="W179" i="1"/>
  <c r="W164" i="1"/>
  <c r="W163" i="1"/>
  <c r="W251" i="1"/>
  <c r="W250" i="1"/>
  <c r="W249" i="1"/>
  <c r="W240" i="1"/>
  <c r="X195" i="1"/>
  <c r="X191" i="1"/>
  <c r="X187" i="1"/>
  <c r="W216" i="1"/>
  <c r="W161" i="1"/>
  <c r="W153" i="1"/>
  <c r="W151" i="1"/>
  <c r="X200" i="1"/>
  <c r="X196" i="1"/>
  <c r="X192" i="1"/>
  <c r="X188" i="1"/>
  <c r="X181" i="1"/>
  <c r="X177" i="1"/>
  <c r="X173" i="1"/>
  <c r="X169" i="1"/>
  <c r="X165" i="1"/>
  <c r="X265" i="1"/>
  <c r="X261" i="1"/>
  <c r="X257" i="1"/>
  <c r="X253" i="1"/>
  <c r="X249" i="1"/>
  <c r="X245" i="1"/>
  <c r="X241" i="1"/>
  <c r="X237" i="1"/>
  <c r="W224" i="1"/>
  <c r="T224" i="1"/>
  <c r="U224" i="1" s="1"/>
  <c r="S224" i="1" s="1"/>
  <c r="W160" i="1"/>
  <c r="W152" i="1"/>
  <c r="W145" i="1"/>
  <c r="T182" i="1"/>
  <c r="U182" i="1" s="1"/>
  <c r="S182" i="1" s="1"/>
  <c r="X178" i="1"/>
  <c r="T178" i="1"/>
  <c r="U178" i="1" s="1"/>
  <c r="S178" i="1" s="1"/>
  <c r="X174" i="1"/>
  <c r="T174" i="1"/>
  <c r="U174" i="1" s="1"/>
  <c r="S174" i="1" s="1"/>
  <c r="X170" i="1"/>
  <c r="T170" i="1"/>
  <c r="U170" i="1" s="1"/>
  <c r="S170" i="1" s="1"/>
  <c r="X166" i="1"/>
  <c r="T166" i="1"/>
  <c r="U166" i="1" s="1"/>
  <c r="S166" i="1" s="1"/>
  <c r="X162" i="1"/>
  <c r="T162" i="1"/>
  <c r="U162" i="1" s="1"/>
  <c r="S162" i="1" s="1"/>
  <c r="X262" i="1"/>
  <c r="T262" i="1"/>
  <c r="U262" i="1" s="1"/>
  <c r="S262" i="1" s="1"/>
  <c r="X258" i="1"/>
  <c r="T258" i="1"/>
  <c r="U258" i="1" s="1"/>
  <c r="S258" i="1" s="1"/>
  <c r="X254" i="1"/>
  <c r="T254" i="1"/>
  <c r="U254" i="1" s="1"/>
  <c r="S254" i="1" s="1"/>
  <c r="X250" i="1"/>
  <c r="T250" i="1"/>
  <c r="U250" i="1" s="1"/>
  <c r="S250" i="1" s="1"/>
  <c r="X246" i="1"/>
  <c r="T246" i="1"/>
  <c r="U246" i="1" s="1"/>
  <c r="S246" i="1" s="1"/>
  <c r="X242" i="1"/>
  <c r="T242" i="1"/>
  <c r="U242" i="1" s="1"/>
  <c r="S242" i="1" s="1"/>
  <c r="X238" i="1"/>
  <c r="T238" i="1"/>
  <c r="U238" i="1" s="1"/>
  <c r="S238" i="1" s="1"/>
  <c r="X234" i="1"/>
  <c r="T234" i="1"/>
  <c r="U234" i="1" s="1"/>
  <c r="S234" i="1" s="1"/>
  <c r="W222" i="1"/>
  <c r="W217" i="1"/>
  <c r="W212" i="1"/>
  <c r="W210" i="1"/>
  <c r="W157" i="1"/>
  <c r="W155" i="1"/>
  <c r="W144" i="1"/>
  <c r="W142" i="1"/>
  <c r="T233" i="1"/>
  <c r="U233" i="1" s="1"/>
  <c r="S233" i="1" s="1"/>
  <c r="X233" i="1"/>
  <c r="X224" i="1"/>
  <c r="T222" i="1"/>
  <c r="U222" i="1" s="1"/>
  <c r="S222" i="1" s="1"/>
  <c r="X222" i="1"/>
  <c r="W211" i="1"/>
  <c r="W156" i="1"/>
  <c r="W148" i="1"/>
  <c r="W127" i="1"/>
  <c r="W97" i="1"/>
  <c r="W125" i="1"/>
  <c r="W124" i="1"/>
  <c r="W119" i="1"/>
  <c r="W118" i="1"/>
  <c r="W116" i="1"/>
  <c r="W111" i="1"/>
  <c r="W110" i="1"/>
  <c r="W102" i="1"/>
  <c r="X218" i="1"/>
  <c r="X214" i="1"/>
  <c r="X210" i="1"/>
  <c r="X159" i="1"/>
  <c r="X155" i="1"/>
  <c r="X151" i="1"/>
  <c r="X147" i="1"/>
  <c r="X143" i="1"/>
  <c r="W135" i="1"/>
  <c r="W134" i="1"/>
  <c r="W128" i="1"/>
  <c r="W117" i="1"/>
  <c r="W109" i="1"/>
  <c r="W101" i="1"/>
  <c r="X223" i="1"/>
  <c r="X219" i="1"/>
  <c r="X215" i="1"/>
  <c r="X211" i="1"/>
  <c r="X160" i="1"/>
  <c r="X156" i="1"/>
  <c r="X152" i="1"/>
  <c r="X148" i="1"/>
  <c r="X144" i="1"/>
  <c r="X140" i="1"/>
  <c r="W138" i="1"/>
  <c r="W132" i="1"/>
  <c r="W122" i="1"/>
  <c r="W120" i="1"/>
  <c r="W115" i="1"/>
  <c r="W106" i="1"/>
  <c r="W104" i="1"/>
  <c r="W98" i="1"/>
  <c r="W96" i="1"/>
  <c r="T89" i="1"/>
  <c r="U89" i="1" s="1"/>
  <c r="S89" i="1" s="1"/>
  <c r="W54" i="1"/>
  <c r="W52" i="1"/>
  <c r="W87" i="1"/>
  <c r="X136" i="1"/>
  <c r="X132" i="1"/>
  <c r="X128" i="1"/>
  <c r="X124" i="1"/>
  <c r="X120" i="1"/>
  <c r="X116" i="1"/>
  <c r="X112" i="1"/>
  <c r="X108" i="1"/>
  <c r="X104" i="1"/>
  <c r="X100" i="1"/>
  <c r="W80" i="1"/>
  <c r="W76" i="1"/>
  <c r="W72" i="1"/>
  <c r="W69" i="1"/>
  <c r="W66" i="1"/>
  <c r="W65" i="1"/>
  <c r="W62" i="1"/>
  <c r="W53" i="1"/>
  <c r="X137" i="1"/>
  <c r="X133" i="1"/>
  <c r="X129" i="1"/>
  <c r="X125" i="1"/>
  <c r="X121" i="1"/>
  <c r="X117" i="1"/>
  <c r="X113" i="1"/>
  <c r="X109" i="1"/>
  <c r="X105" i="1"/>
  <c r="X101" i="1"/>
  <c r="X97" i="1"/>
  <c r="AA88" i="1"/>
  <c r="W88" i="1" s="1"/>
  <c r="W74" i="1"/>
  <c r="W68" i="1"/>
  <c r="W67" i="1"/>
  <c r="W63" i="1"/>
  <c r="W55" i="1"/>
  <c r="X57" i="1"/>
  <c r="W41" i="1"/>
  <c r="W39" i="1"/>
  <c r="W32" i="1"/>
  <c r="W30" i="1"/>
  <c r="W24" i="1"/>
  <c r="W22" i="1"/>
  <c r="X58" i="1"/>
  <c r="W33" i="1"/>
  <c r="W31" i="1"/>
  <c r="W25" i="1"/>
  <c r="W15" i="1"/>
  <c r="W14" i="1"/>
  <c r="X73" i="1"/>
  <c r="X67" i="1"/>
  <c r="X63" i="1"/>
  <c r="X59" i="1"/>
  <c r="T59" i="1"/>
  <c r="U59" i="1" s="1"/>
  <c r="S59" i="1" s="1"/>
  <c r="T52" i="1"/>
  <c r="U52" i="1" s="1"/>
  <c r="S52" i="1" s="1"/>
  <c r="X52" i="1"/>
  <c r="W49" i="1"/>
  <c r="W35" i="1"/>
  <c r="W26" i="1"/>
  <c r="X79" i="1"/>
  <c r="X74" i="1"/>
  <c r="X68" i="1"/>
  <c r="X64" i="1"/>
  <c r="W51" i="1"/>
  <c r="W50" i="1"/>
  <c r="W48" i="1"/>
  <c r="W38" i="1"/>
  <c r="W29" i="1"/>
  <c r="X51" i="1"/>
  <c r="X47" i="1"/>
  <c r="X43" i="1"/>
  <c r="X39" i="1"/>
  <c r="X30" i="1"/>
  <c r="X26" i="1"/>
  <c r="X22" i="1"/>
  <c r="X18" i="1"/>
  <c r="X48" i="1"/>
  <c r="X44" i="1"/>
  <c r="X40" i="1"/>
  <c r="X36" i="1"/>
  <c r="X31" i="1"/>
  <c r="X27" i="1"/>
  <c r="X23" i="1"/>
  <c r="X19" i="1"/>
  <c r="X15" i="1"/>
  <c r="AD54" i="3"/>
  <c r="AD52" i="3"/>
  <c r="T20" i="3"/>
  <c r="AC38" i="3"/>
  <c r="AE42" i="3"/>
  <c r="AC35" i="3"/>
  <c r="T35" i="3"/>
  <c r="AC47" i="3"/>
  <c r="AE34" i="3"/>
  <c r="AC44" i="3"/>
  <c r="AC43" i="3"/>
  <c r="T43" i="3"/>
  <c r="AE26" i="3"/>
  <c r="AE25" i="3"/>
  <c r="AC19" i="3"/>
  <c r="T19" i="3"/>
  <c r="AD20" i="3"/>
  <c r="AE18" i="3"/>
  <c r="AC12" i="3"/>
  <c r="AD16" i="3"/>
  <c r="AD15" i="3"/>
  <c r="AE14" i="3"/>
  <c r="AE47" i="3"/>
  <c r="AE39" i="3"/>
  <c r="AE31" i="3"/>
  <c r="AE23" i="3"/>
  <c r="AD11" i="3"/>
  <c r="AD39" i="3"/>
  <c r="AD37" i="3"/>
  <c r="AE35" i="3"/>
  <c r="AD25" i="3"/>
  <c r="AE19" i="3"/>
  <c r="AE15" i="3"/>
  <c r="AD8" i="3"/>
  <c r="AE54" i="3"/>
  <c r="AC39" i="3"/>
  <c r="AC48" i="3"/>
  <c r="T48" i="3"/>
  <c r="AC26" i="3"/>
  <c r="AC46" i="3"/>
  <c r="T46" i="3"/>
  <c r="AC9" i="3"/>
  <c r="AC24" i="3"/>
  <c r="T24" i="3"/>
  <c r="AC33" i="3"/>
  <c r="AC23" i="3"/>
  <c r="T23" i="3"/>
  <c r="AC22" i="3"/>
  <c r="T22" i="3"/>
  <c r="AC52" i="3"/>
  <c r="AC25" i="3"/>
  <c r="T25" i="3"/>
  <c r="AE49" i="3"/>
  <c r="AD44" i="3"/>
  <c r="AD42" i="3"/>
  <c r="T37" i="3"/>
  <c r="AD36" i="3"/>
  <c r="AD34" i="3"/>
  <c r="T42" i="3"/>
  <c r="AD28" i="3"/>
  <c r="AD26" i="3"/>
  <c r="T14" i="3"/>
  <c r="AC41" i="3"/>
  <c r="AC8" i="3"/>
  <c r="AE10" i="3"/>
  <c r="Y48" i="3"/>
  <c r="Y40" i="3"/>
  <c r="Y37" i="3"/>
  <c r="Y46" i="3"/>
  <c r="Y42" i="3"/>
  <c r="Y24" i="3"/>
  <c r="Y14" i="3"/>
  <c r="Y51" i="3"/>
  <c r="Y16" i="3"/>
  <c r="Y49" i="3"/>
  <c r="Y15" i="3"/>
  <c r="Y28" i="3"/>
  <c r="Y23" i="3"/>
  <c r="Y53" i="3"/>
  <c r="Y52" i="3"/>
  <c r="Y10" i="3"/>
  <c r="Y38" i="3"/>
  <c r="Y17" i="3"/>
  <c r="Y35" i="3"/>
  <c r="Y50" i="3"/>
  <c r="Y44" i="3"/>
  <c r="Y34" i="3"/>
  <c r="Y19" i="3"/>
  <c r="Y32" i="3"/>
  <c r="Y41" i="3"/>
  <c r="Y22" i="3"/>
  <c r="Y20" i="3"/>
  <c r="Y13" i="3"/>
  <c r="Y36" i="3"/>
  <c r="Y45" i="3"/>
  <c r="Y18" i="3"/>
  <c r="Y8" i="3"/>
  <c r="Y30" i="3"/>
  <c r="Y27" i="3"/>
  <c r="Y7" i="3"/>
  <c r="Y31" i="3"/>
  <c r="Y25" i="3"/>
  <c r="Y39" i="3"/>
  <c r="Y26" i="3"/>
  <c r="Y47" i="3"/>
  <c r="Y9" i="3"/>
  <c r="Y43" i="3"/>
  <c r="Y33" i="3"/>
  <c r="Y29" i="3"/>
  <c r="Y12" i="3"/>
  <c r="Y11" i="3"/>
  <c r="Y21" i="3"/>
  <c r="AD13" i="3"/>
  <c r="T11" i="3"/>
  <c r="AE13" i="3"/>
  <c r="T10" i="3"/>
  <c r="T13" i="3"/>
  <c r="AE48" i="3"/>
  <c r="T17" i="3"/>
  <c r="T36" i="3"/>
  <c r="AE40" i="3"/>
  <c r="T50" i="3"/>
  <c r="T45" i="3"/>
  <c r="AE32" i="3"/>
  <c r="T34" i="3"/>
  <c r="T18" i="3"/>
  <c r="AE24" i="3"/>
  <c r="T32" i="3"/>
  <c r="AC27" i="3"/>
  <c r="AD18" i="3"/>
  <c r="AD9" i="3"/>
  <c r="T21" i="3"/>
  <c r="AE9" i="3"/>
  <c r="AE53" i="3"/>
  <c r="AE52" i="3"/>
  <c r="T39" i="3"/>
  <c r="AE46" i="3"/>
  <c r="AE45" i="3"/>
  <c r="T26" i="3"/>
  <c r="AE38" i="3"/>
  <c r="AE37" i="3"/>
  <c r="T9" i="3"/>
  <c r="AE30" i="3"/>
  <c r="AE29" i="3"/>
  <c r="T33" i="3"/>
  <c r="AE22" i="3"/>
  <c r="AD21" i="3"/>
  <c r="T29" i="3"/>
  <c r="AE21" i="3"/>
  <c r="T27" i="3"/>
  <c r="AC7" i="3"/>
  <c r="AD14" i="3"/>
  <c r="AD53" i="3"/>
  <c r="T16" i="3"/>
  <c r="AE51" i="3"/>
  <c r="AD48" i="3"/>
  <c r="AD46" i="3"/>
  <c r="T49" i="3"/>
  <c r="AE44" i="3"/>
  <c r="AD40" i="3"/>
  <c r="AD38" i="3"/>
  <c r="T15" i="3"/>
  <c r="AE36" i="3"/>
  <c r="AD32" i="3"/>
  <c r="AD30" i="3"/>
  <c r="T28" i="3"/>
  <c r="AE28" i="3"/>
  <c r="AD24" i="3"/>
  <c r="AD22" i="3"/>
  <c r="AD17" i="3"/>
  <c r="T12" i="3"/>
  <c r="AE17" i="3"/>
  <c r="AC31" i="3"/>
  <c r="AD10" i="3"/>
  <c r="AE20" i="3"/>
  <c r="AE16" i="3"/>
  <c r="AE12" i="3"/>
  <c r="AE8" i="3"/>
  <c r="Y54" i="3"/>
  <c r="T54" i="3"/>
  <c r="M28" i="5"/>
  <c r="S19" i="1" l="1"/>
  <c r="K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W13" i="1" s="1"/>
  <c r="T13" i="1"/>
  <c r="U13" i="1" s="1"/>
  <c r="S13" i="1" s="1"/>
  <c r="X13" i="1"/>
  <c r="AI13" i="1"/>
  <c r="O2" i="3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N42" i="3" s="1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0" i="3" l="1"/>
  <c r="N20" i="3"/>
  <c r="N25" i="3"/>
  <c r="N39" i="3"/>
  <c r="N49" i="3"/>
  <c r="N37" i="3"/>
  <c r="N46" i="3"/>
  <c r="N24" i="3"/>
  <c r="N31" i="3"/>
  <c r="N17" i="3"/>
  <c r="N50" i="3"/>
  <c r="N9" i="3"/>
  <c r="N18" i="3"/>
  <c r="N28" i="3"/>
  <c r="N8" i="3"/>
  <c r="N22" i="3"/>
  <c r="N11" i="3"/>
  <c r="N51" i="3"/>
  <c r="N30" i="3"/>
  <c r="N21" i="3"/>
  <c r="N10" i="3"/>
  <c r="N13" i="3"/>
  <c r="N35" i="3"/>
  <c r="N36" i="3"/>
  <c r="N15" i="3"/>
  <c r="N47" i="3"/>
  <c r="N45" i="3"/>
  <c r="N43" i="3"/>
  <c r="N34" i="3"/>
  <c r="N19" i="3"/>
  <c r="N33" i="3"/>
  <c r="N32" i="3"/>
  <c r="N27" i="3"/>
  <c r="N41" i="3"/>
  <c r="N53" i="3"/>
  <c r="N16" i="3"/>
  <c r="N38" i="3"/>
  <c r="N48" i="3"/>
  <c r="N26" i="3"/>
  <c r="N44" i="3"/>
  <c r="N14" i="3"/>
  <c r="N23" i="3"/>
  <c r="N29" i="3"/>
  <c r="N12" i="3"/>
  <c r="N7" i="3"/>
  <c r="N54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N52" i="3" l="1"/>
  <c r="G259" i="4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B3" i="6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" i="6" l="1"/>
  <c r="F4" i="6" s="1"/>
  <c r="F3" i="6"/>
  <c r="G3" i="6"/>
  <c r="I3" i="6"/>
  <c r="H3" i="6"/>
  <c r="J3" i="6"/>
  <c r="J8" i="1"/>
  <c r="J4" i="1"/>
  <c r="S8" i="1"/>
  <c r="S4" i="1"/>
  <c r="J4" i="6" l="1"/>
  <c r="I4" i="6"/>
  <c r="G4" i="6"/>
  <c r="H4" i="6"/>
  <c r="B5" i="6"/>
  <c r="S9" i="1"/>
  <c r="J9" i="1"/>
  <c r="B6" i="6" l="1"/>
  <c r="H5" i="6"/>
  <c r="J5" i="6"/>
  <c r="F5" i="6"/>
  <c r="G5" i="6"/>
  <c r="I5" i="6"/>
  <c r="S11" i="1"/>
  <c r="A11" i="1"/>
  <c r="B7" i="6" l="1"/>
  <c r="F6" i="6"/>
  <c r="I6" i="6"/>
  <c r="J6" i="6"/>
  <c r="G6" i="6"/>
  <c r="H6" i="6"/>
  <c r="B1" i="6"/>
  <c r="A5" i="3"/>
  <c r="B8" i="6" l="1"/>
  <c r="G7" i="6"/>
  <c r="H7" i="6"/>
  <c r="F7" i="6"/>
  <c r="I7" i="6"/>
  <c r="J7" i="6"/>
  <c r="G8" i="6" l="1"/>
  <c r="H8" i="6"/>
  <c r="I8" i="6"/>
  <c r="J8" i="6"/>
  <c r="F8" i="6"/>
  <c r="B9" i="6"/>
  <c r="H9" i="6" l="1"/>
  <c r="F9" i="6"/>
  <c r="G9" i="6"/>
  <c r="I9" i="6"/>
  <c r="J9" i="6"/>
  <c r="B10" i="6"/>
  <c r="B11" i="6" l="1"/>
  <c r="G10" i="6"/>
  <c r="H10" i="6"/>
  <c r="I10" i="6"/>
  <c r="J10" i="6"/>
  <c r="F10" i="6"/>
  <c r="B12" i="6" l="1"/>
  <c r="I11" i="6"/>
  <c r="G11" i="6"/>
  <c r="F11" i="6"/>
  <c r="H11" i="6"/>
  <c r="J11" i="6"/>
  <c r="G12" i="6" l="1"/>
  <c r="F12" i="6"/>
  <c r="H12" i="6"/>
  <c r="I12" i="6"/>
  <c r="J12" i="6"/>
  <c r="B13" i="6"/>
  <c r="H13" i="6" l="1"/>
  <c r="J13" i="6"/>
  <c r="F13" i="6"/>
  <c r="G13" i="6"/>
  <c r="I13" i="6"/>
  <c r="B14" i="6"/>
  <c r="B15" i="6" l="1"/>
  <c r="F14" i="6"/>
  <c r="G14" i="6"/>
  <c r="I14" i="6"/>
  <c r="H14" i="6"/>
  <c r="J14" i="6"/>
  <c r="F15" i="6" l="1"/>
  <c r="G15" i="6"/>
  <c r="J15" i="6"/>
  <c r="H15" i="6"/>
  <c r="I15" i="6"/>
  <c r="B16" i="6"/>
  <c r="G16" i="6" l="1"/>
  <c r="J16" i="6"/>
  <c r="F16" i="6"/>
  <c r="H16" i="6"/>
  <c r="I16" i="6"/>
  <c r="B17" i="6"/>
  <c r="B18" i="6" l="1"/>
  <c r="F17" i="6"/>
  <c r="G17" i="6"/>
  <c r="H17" i="6"/>
  <c r="I17" i="6"/>
  <c r="J17" i="6"/>
  <c r="B19" i="6" l="1"/>
  <c r="J18" i="6"/>
  <c r="F18" i="6"/>
  <c r="I18" i="6"/>
  <c r="G18" i="6"/>
  <c r="H18" i="6"/>
  <c r="B20" i="6" l="1"/>
  <c r="G19" i="6"/>
  <c r="H19" i="6"/>
  <c r="F19" i="6"/>
  <c r="I19" i="6"/>
  <c r="J19" i="6"/>
  <c r="G20" i="6" l="1"/>
  <c r="I20" i="6"/>
  <c r="J20" i="6"/>
  <c r="F20" i="6"/>
  <c r="H20" i="6"/>
  <c r="B21" i="6"/>
  <c r="B22" i="6" l="1"/>
  <c r="J21" i="6"/>
  <c r="F21" i="6"/>
  <c r="H21" i="6"/>
  <c r="G21" i="6"/>
  <c r="I21" i="6"/>
  <c r="B23" i="6" l="1"/>
  <c r="H22" i="6"/>
  <c r="F22" i="6"/>
  <c r="I22" i="6"/>
  <c r="J22" i="6"/>
  <c r="G22" i="6"/>
  <c r="B25" i="6" l="1"/>
  <c r="B24" i="6"/>
  <c r="G23" i="6"/>
  <c r="H23" i="6"/>
  <c r="F23" i="6"/>
  <c r="I23" i="6"/>
  <c r="J23" i="6"/>
  <c r="G24" i="6" l="1"/>
  <c r="H24" i="6"/>
  <c r="I24" i="6"/>
  <c r="J24" i="6"/>
  <c r="F24" i="6"/>
  <c r="H25" i="6"/>
  <c r="J25" i="6"/>
  <c r="G25" i="6"/>
  <c r="I25" i="6"/>
  <c r="F2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<sst xmlns="http://schemas.openxmlformats.org/spreadsheetml/2006/main" count="3071" uniqueCount="1117">
  <si>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</si>
  <si>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</si>
  <si>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</si>
  <si>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</si>
  <si>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</si>
  <si>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</si>
  <si>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</si>
  <si>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</si>
  <si>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</si>
  <si>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</si>
  <si>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</si>
  <si>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</si>
  <si>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</si>
  <si>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</si>
  <si>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</si>
  <si>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</si>
  <si>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</si>
  <si>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</si>
  <si>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</si>
  <si>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</si>
  <si>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</si>
  <si>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</si>
  <si>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</si>
  <si>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</si>
  <si>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</si>
  <si>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</si>
  <si>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</si>
  <si>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</si>
  <si>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</si>
  <si>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</si>
  <si>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</si>
  <si>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</si>
  <si>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</si>
  <si>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</si>
  <si>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</si>
  <si>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</si>
  <si>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</si>
  <si>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</si>
  <si>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</si>
  <si>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</si>
  <si>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</si>
  <si>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</si>
  <si>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</si>
  <si>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</si>
  <si>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</si>
  <si>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</si>
  <si>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</si>
  <si>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</si>
  <si>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</si>
  <si>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</si>
  <si>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</si>
  <si>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</si>
  <si>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</si>
  <si>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</si>
  <si>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</si>
  <si>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</si>
  <si>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</si>
  <si>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</si>
  <si>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</si>
  <si>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</si>
  <si>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</si>
  <si>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</si>
  <si>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</si>
  <si>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</si>
  <si>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</si>
  <si>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</si>
  <si>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</si>
  <si>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</si>
  <si>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</si>
  <si>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</si>
  <si>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</si>
  <si>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</si>
  <si>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</si>
  <si>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</si>
  <si>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</si>
  <si>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</si>
  <si>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</si>
  <si>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</si>
  <si>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</si>
  <si>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</si>
  <si>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</si>
  <si>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</si>
  <si>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</si>
  <si>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</si>
  <si>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</si>
  <si>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</si>
  <si>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</si>
  <si>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</si>
  <si>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</si>
  <si>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</si>
  <si>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</si>
  <si>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</si>
  <si>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</si>
  <si>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</si>
  <si>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</si>
  <si>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</si>
  <si>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</si>
  <si>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</si>
  <si>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</si>
  <si>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</si>
  <si>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</si>
  <si>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</si>
  <si>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</si>
  <si>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</si>
  <si>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</si>
  <si>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</si>
  <si>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</si>
  <si>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</si>
  <si>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</si>
  <si>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</si>
  <si>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</si>
  <si>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</si>
  <si>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</si>
  <si>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</si>
  <si>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</si>
  <si>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</si>
  <si>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</si>
  <si>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</si>
  <si>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</si>
  <si>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</si>
  <si>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</si>
  <si>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</si>
  <si>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</si>
  <si>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</si>
  <si>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</si>
  <si>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</si>
  <si>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</si>
  <si>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</si>
  <si>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</si>
  <si>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</si>
  <si>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</si>
  <si>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</si>
  <si>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</si>
  <si>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</si>
  <si>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</si>
  <si>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</si>
  <si>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</si>
  <si>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</si>
  <si>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</si>
  <si>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</si>
  <si>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</si>
  <si>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</si>
  <si>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</si>
  <si>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</si>
  <si>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</si>
  <si>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</si>
  <si>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</si>
  <si>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</si>
  <si>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</si>
  <si>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</si>
  <si>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</si>
  <si>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</si>
  <si>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</si>
  <si>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</si>
  <si>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</si>
  <si>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</si>
  <si>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</si>
  <si>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</si>
  <si>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</si>
  <si>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</si>
  <si>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</si>
  <si>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</si>
  <si>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</si>
  <si>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</si>
  <si>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</si>
  <si>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</si>
  <si>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</si>
  <si>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</si>
  <si>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</si>
  <si>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</si>
  <si>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</si>
  <si>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</si>
  <si>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</si>
  <si>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</si>
  <si>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</si>
  <si>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</si>
  <si>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</si>
  <si>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</si>
  <si>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</si>
  <si>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</si>
  <si>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</si>
  <si>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</si>
  <si>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</si>
  <si>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</si>
  <si>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</si>
  <si>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</si>
  <si>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</si>
  <si>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</si>
  <si>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</si>
  <si>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</si>
  <si>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</si>
  <si>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</si>
  <si>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</si>
  <si>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</si>
  <si>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</si>
  <si>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</si>
  <si>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</si>
  <si>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</si>
  <si>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</si>
  <si>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</si>
  <si>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</si>
  <si>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</si>
  <si>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</si>
  <si>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</si>
  <si>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</si>
  <si>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</si>
  <si>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</si>
  <si>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</si>
  <si>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</si>
  <si>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</si>
  <si>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</si>
  <si>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</si>
  <si>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</si>
  <si>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</si>
  <si>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</si>
  <si>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</si>
  <si>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</si>
  <si>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</si>
  <si>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</si>
  <si>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</si>
  <si>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</si>
  <si>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</si>
  <si>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</si>
  <si>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</si>
  <si>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</si>
  <si>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</si>
  <si>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</si>
  <si>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</si>
  <si>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</si>
  <si>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</si>
  <si>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</si>
  <si>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</si>
  <si>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</si>
  <si>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</si>
  <si>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</si>
  <si>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</si>
  <si>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</si>
  <si>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</si>
  <si>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</si>
  <si>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</si>
  <si>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</si>
  <si>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</si>
  <si>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</si>
  <si>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</si>
  <si>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</si>
  <si>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</si>
  <si>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</si>
  <si>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</si>
  <si>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</si>
  <si>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</si>
  <si>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</si>
  <si>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</si>
  <si>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</si>
  <si>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</si>
  <si>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</si>
  <si>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</si>
  <si>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</si>
  <si>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</si>
  <si>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</si>
  <si>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</si>
  <si>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</si>
  <si>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</si>
  <si>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</si>
  <si>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</si>
  <si>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</si>
  <si>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</si>
  <si>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</si>
  <si>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</si>
  <si>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</si>
  <si>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</si>
  <si>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</si>
  <si>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</si>
  <si>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</si>
  <si>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</si>
  <si>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</si>
  <si>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</si>
  <si>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</si>
  <si>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</si>
  <si>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</si>
  <si>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</si>
  <si>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</si>
  <si>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</si>
  <si>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</si>
  <si>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</si>
  <si>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</si>
  <si>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</si>
  <si>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</si>
  <si>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</si>
  <si>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</si>
  <si>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</si>
  <si>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</si>
  <si>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</si>
  <si>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</si>
  <si>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</si>
  <si>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</si>
  <si>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</si>
  <si>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</si>
  <si>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</si>
  <si>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</si>
  <si>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</si>
  <si>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</si>
  <si>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</si>
  <si>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</si>
  <si>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</si>
  <si>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</si>
  <si>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</si>
  <si>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</si>
  <si>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</si>
  <si>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</si>
  <si>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</si>
  <si>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</si>
  <si>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</si>
  <si>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</si>
  <si>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</si>
  <si>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</si>
  <si>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</si>
  <si>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</si>
  <si>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</si>
  <si>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</si>
  <si>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</si>
  <si>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</si>
  <si>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</si>
  <si>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</si>
  <si>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</si>
  <si>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</si>
  <si>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</si>
  <si>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</si>
  <si>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</si>
  <si>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</si>
  <si>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</si>
  <si>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</si>
  <si>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</si>
  <si>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</si>
  <si>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</si>
  <si>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</si>
  <si>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</si>
  <si>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</si>
  <si>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</si>
  <si>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</si>
  <si>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</si>
  <si>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</si>
  <si>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</si>
  <si>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</si>
  <si>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</si>
  <si>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</si>
  <si>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</si>
  <si>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</si>
  <si>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</si>
  <si>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</si>
  <si>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</si>
  <si>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</si>
  <si>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</si>
  <si>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</si>
  <si>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</si>
  <si>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</si>
  <si>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</si>
  <si>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</si>
  <si>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</si>
  <si>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</si>
  <si>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</si>
  <si>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</si>
  <si>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</si>
  <si>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</si>
  <si>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</si>
  <si>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</si>
  <si>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</si>
  <si>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</si>
  <si>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</si>
  <si>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</si>
  <si>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</si>
  <si>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</si>
  <si>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</si>
  <si>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</si>
  <si>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</si>
  <si>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</si>
  <si>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</si>
  <si>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</si>
  <si>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</si>
  <si>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</si>
  <si>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</si>
  <si>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</si>
  <si>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</si>
  <si>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</si>
  <si>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</si>
  <si>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</si>
  <si>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</si>
  <si>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</si>
  <si>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</si>
  <si>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</si>
  <si>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</si>
  <si>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</si>
  <si>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</si>
  <si>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</si>
  <si>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</si>
  <si>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</si>
  <si>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</si>
  <si>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</si>
  <si>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</si>
  <si>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</si>
  <si>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</si>
  <si>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</si>
  <si>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</si>
  <si>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</si>
  <si>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</si>
  <si>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</si>
  <si>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</si>
  <si>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STARKS</t>
  </si>
  <si>
    <t>ANGELINA</t>
  </si>
  <si>
    <t>rtdc.l.rtdc.4041:itc</t>
  </si>
  <si>
    <t>rtdc.l.rtdc.4062:itc</t>
  </si>
  <si>
    <t>rtdc.l.rtdc.4061:itc</t>
  </si>
  <si>
    <t>240-05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</si>
  <si>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</si>
  <si>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</si>
  <si>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</si>
  <si>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</si>
  <si>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</si>
  <si>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</si>
  <si>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</si>
  <si>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</si>
  <si>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</si>
  <si>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</si>
  <si>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</si>
  <si>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</si>
  <si>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</si>
  <si>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</si>
  <si>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</si>
  <si>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</si>
  <si>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</si>
  <si>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</si>
  <si>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</si>
  <si>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</si>
  <si>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204:158</t>
  </si>
  <si>
    <t>204:460</t>
  </si>
  <si>
    <t>204:449</t>
  </si>
  <si>
    <t>204:232998</t>
  </si>
  <si>
    <t>204:457</t>
  </si>
  <si>
    <t>PAGE</t>
  </si>
  <si>
    <t>MARCUS</t>
  </si>
  <si>
    <t>204:467</t>
  </si>
  <si>
    <t>204:469</t>
  </si>
  <si>
    <t>204:473</t>
  </si>
  <si>
    <t>rtdc.l.rtdc.4003:itc</t>
  </si>
  <si>
    <t>SIGNAL</t>
  </si>
  <si>
    <t>Signal based authority (5)</t>
  </si>
  <si>
    <t>rtdc.l.rtdc.4004:itc</t>
  </si>
  <si>
    <t>204:464</t>
  </si>
  <si>
    <t>rtdc.l.rtdc.4030:itc</t>
  </si>
  <si>
    <t>204:156</t>
  </si>
  <si>
    <t>Y</t>
  </si>
  <si>
    <t>LANGERAK</t>
  </si>
  <si>
    <t>WILLIAM</t>
  </si>
  <si>
    <t>204:145</t>
  </si>
  <si>
    <t>204:161</t>
  </si>
  <si>
    <t>204:232975</t>
  </si>
  <si>
    <t>204:132</t>
  </si>
  <si>
    <t>204:160</t>
  </si>
  <si>
    <t>204:163</t>
  </si>
  <si>
    <t>ROCHA</t>
  </si>
  <si>
    <t>YAOTL</t>
  </si>
  <si>
    <t>partly-cloudy-night</t>
  </si>
  <si>
    <t>Partly Cloudy</t>
  </si>
  <si>
    <t>Mostly Cloudy</t>
  </si>
  <si>
    <t>204:233307</t>
  </si>
  <si>
    <t>partly-cloudy-day</t>
  </si>
  <si>
    <t>204:232978</t>
  </si>
  <si>
    <t>204:233316</t>
  </si>
  <si>
    <t>204:232988</t>
  </si>
  <si>
    <t>204:138</t>
  </si>
  <si>
    <t>204:440</t>
  </si>
  <si>
    <t>204:233291</t>
  </si>
  <si>
    <t>rtdc.l.rtdc.4050:itc</t>
  </si>
  <si>
    <t>HELVIE</t>
  </si>
  <si>
    <t>ADAM</t>
  </si>
  <si>
    <t>LOZA</t>
  </si>
  <si>
    <t>FIDEL</t>
  </si>
  <si>
    <t>LEVIN</t>
  </si>
  <si>
    <t>SCOTT</t>
  </si>
  <si>
    <t>204:232993</t>
  </si>
  <si>
    <t>204:233306</t>
  </si>
  <si>
    <t>204:233002</t>
  </si>
  <si>
    <t>204:233036</t>
  </si>
  <si>
    <t>204:134</t>
  </si>
  <si>
    <t>204:682</t>
  </si>
  <si>
    <t>204:960</t>
  </si>
  <si>
    <t>300:58617</t>
  </si>
  <si>
    <t>SPECTOR</t>
  </si>
  <si>
    <t>YANG</t>
  </si>
  <si>
    <t>JAN</t>
  </si>
  <si>
    <t>STEWART</t>
  </si>
  <si>
    <t>clear-day</t>
  </si>
  <si>
    <t>Clear</t>
  </si>
  <si>
    <t>clear-night</t>
  </si>
  <si>
    <t>204:232977</t>
  </si>
  <si>
    <t>204:233005</t>
  </si>
  <si>
    <t>204:233295</t>
  </si>
  <si>
    <t>204:233380</t>
  </si>
  <si>
    <t>204:233346</t>
  </si>
  <si>
    <t>300:58621</t>
  </si>
  <si>
    <t>204:976</t>
  </si>
  <si>
    <t>204:957</t>
  </si>
  <si>
    <t>rtdc.l.rtdc.4012:itc</t>
  </si>
  <si>
    <t>SWITCH UNKNOWN</t>
  </si>
  <si>
    <t>Track device (7)</t>
  </si>
  <si>
    <t>rtdc.l.rtdc.4019:itc</t>
  </si>
  <si>
    <t>rtdc.l.rtdc.4015:itc</t>
  </si>
  <si>
    <t>rtdc.l.rtdc.4011:itc</t>
  </si>
  <si>
    <t>rtdc.l.rtdc.4029:itc</t>
  </si>
  <si>
    <t>rtdc.l.rtdc.4020:itc</t>
  </si>
  <si>
    <t>GUNTHIER</t>
  </si>
  <si>
    <t>ERIC</t>
  </si>
  <si>
    <t>BARRON</t>
  </si>
  <si>
    <t>PERLA</t>
  </si>
  <si>
    <t>DELGADO</t>
  </si>
  <si>
    <t>DIANAH</t>
  </si>
  <si>
    <t>HOLCOMB</t>
  </si>
  <si>
    <t>KAMDEN</t>
  </si>
  <si>
    <t>WEST</t>
  </si>
  <si>
    <t>BRYAN</t>
  </si>
  <si>
    <t>YORK</t>
  </si>
  <si>
    <t>EDGAR</t>
  </si>
  <si>
    <t>204:232971</t>
  </si>
  <si>
    <t>204:444</t>
  </si>
  <si>
    <t>204:471</t>
  </si>
  <si>
    <t>204:466</t>
  </si>
  <si>
    <t>204:232991</t>
  </si>
  <si>
    <t>204:431</t>
  </si>
  <si>
    <t>204:233013</t>
  </si>
  <si>
    <t>204:232983</t>
  </si>
  <si>
    <t>204:233332</t>
  </si>
  <si>
    <t>204:233310</t>
  </si>
  <si>
    <t>204:233008</t>
  </si>
  <si>
    <t>204:424</t>
  </si>
  <si>
    <t>204:233303</t>
  </si>
  <si>
    <t>204:232990</t>
  </si>
  <si>
    <t>204:233293</t>
  </si>
  <si>
    <t>204:233355</t>
  </si>
  <si>
    <t>204:478</t>
  </si>
  <si>
    <t>300:58969</t>
  </si>
  <si>
    <t>204:978</t>
  </si>
  <si>
    <t>204:680</t>
  </si>
  <si>
    <t>204:969</t>
  </si>
  <si>
    <t>204:675</t>
  </si>
  <si>
    <t>204:684</t>
  </si>
  <si>
    <t>204:979</t>
  </si>
  <si>
    <t>rtdc.l.rtdc.4066:itc</t>
  </si>
  <si>
    <t>rtdc.l.rtdc.4053:itc</t>
  </si>
  <si>
    <t>rtdc.l.rtdc.4054:itc</t>
  </si>
  <si>
    <t>rtdc.l.rtdc.4057:itc</t>
  </si>
  <si>
    <t>rtdc.l.rtdc.4065:itc</t>
  </si>
  <si>
    <t>rtdc.l.rtdc.4058:itc</t>
  </si>
  <si>
    <t>Early Arrival</t>
  </si>
  <si>
    <t>WENDY</t>
  </si>
  <si>
    <t>SULLIVAN</t>
  </si>
  <si>
    <t>BRANDON</t>
  </si>
  <si>
    <t>PERKINS</t>
  </si>
  <si>
    <t>DARREN</t>
  </si>
  <si>
    <t>242-10</t>
  </si>
  <si>
    <t>309-10</t>
  </si>
  <si>
    <t>244-10</t>
  </si>
  <si>
    <t>311-10</t>
  </si>
  <si>
    <t>313-10</t>
  </si>
  <si>
    <t>204:728</t>
  </si>
  <si>
    <t>204:495</t>
  </si>
  <si>
    <t>204:233305</t>
  </si>
  <si>
    <t>204:475</t>
  </si>
  <si>
    <t>204:232984</t>
  </si>
  <si>
    <t>204:233285</t>
  </si>
  <si>
    <t>204:232994</t>
  </si>
  <si>
    <t>204:233397</t>
  </si>
  <si>
    <t>204:233104</t>
  </si>
  <si>
    <t>204:233096</t>
  </si>
  <si>
    <t>204:121</t>
  </si>
  <si>
    <t>204:580</t>
  </si>
  <si>
    <t>204:233314</t>
  </si>
  <si>
    <t>204:233085</t>
  </si>
  <si>
    <t>204:233360</t>
  </si>
  <si>
    <t>204:233370</t>
  </si>
  <si>
    <t>204:233322</t>
  </si>
  <si>
    <t>204:167</t>
  </si>
  <si>
    <t>204:232967</t>
  </si>
  <si>
    <t>204:233042</t>
  </si>
  <si>
    <t>204:232982</t>
  </si>
  <si>
    <t>204:119</t>
  </si>
  <si>
    <t>300:23301</t>
  </si>
  <si>
    <t>300:23304</t>
  </si>
  <si>
    <t>300:23310</t>
  </si>
  <si>
    <t>204:3241</t>
  </si>
  <si>
    <t>204:642</t>
  </si>
  <si>
    <t>204:643</t>
  </si>
  <si>
    <t>204:972</t>
  </si>
  <si>
    <t>300:58630</t>
  </si>
  <si>
    <t>300:58926</t>
  </si>
  <si>
    <t>300:58609</t>
  </si>
  <si>
    <t>204:965</t>
  </si>
  <si>
    <t>204:673</t>
  </si>
  <si>
    <t>204:988</t>
  </si>
  <si>
    <t>204:677</t>
  </si>
  <si>
    <t>300:58636</t>
  </si>
  <si>
    <t>204:964</t>
  </si>
  <si>
    <t>306-11</t>
  </si>
  <si>
    <t>308-11</t>
  </si>
  <si>
    <t>SWITCH ALIGNMENT</t>
  </si>
  <si>
    <t>107-11</t>
  </si>
  <si>
    <t>102-11</t>
  </si>
  <si>
    <t>rtdc.l.rtdc.4059:itc</t>
  </si>
  <si>
    <t>312-11</t>
  </si>
  <si>
    <t>116-11</t>
  </si>
  <si>
    <t>127-11</t>
  </si>
  <si>
    <t>118-11</t>
  </si>
  <si>
    <t>120-11</t>
  </si>
  <si>
    <t>rtdc.l.rtdc.4060:itc</t>
  </si>
  <si>
    <t>131-11</t>
  </si>
  <si>
    <t>122-11</t>
  </si>
  <si>
    <t>126-11</t>
  </si>
  <si>
    <t>134-11</t>
  </si>
  <si>
    <t>138-11</t>
  </si>
  <si>
    <t>143-11</t>
  </si>
  <si>
    <t>145-11</t>
  </si>
  <si>
    <t>173-11</t>
  </si>
  <si>
    <t>166-11</t>
  </si>
  <si>
    <t>175-11</t>
  </si>
  <si>
    <t>179-11</t>
  </si>
  <si>
    <t>183-11</t>
  </si>
  <si>
    <t>176-11</t>
  </si>
  <si>
    <t>185-11</t>
  </si>
  <si>
    <t>187-11</t>
  </si>
  <si>
    <t>826-11</t>
  </si>
  <si>
    <t>192-11</t>
  </si>
  <si>
    <t>201-11</t>
  </si>
  <si>
    <t>194-11</t>
  </si>
  <si>
    <t>832-11</t>
  </si>
  <si>
    <t>207-11</t>
  </si>
  <si>
    <t>202-11</t>
  </si>
  <si>
    <t>204-11</t>
  </si>
  <si>
    <t>208-11</t>
  </si>
  <si>
    <t>220-11</t>
  </si>
  <si>
    <t>223-11</t>
  </si>
  <si>
    <t>221-11</t>
  </si>
  <si>
    <t>235-11</t>
  </si>
  <si>
    <t>309-11</t>
  </si>
  <si>
    <t>300-11</t>
  </si>
  <si>
    <t>51-11</t>
  </si>
  <si>
    <t>101-11</t>
  </si>
  <si>
    <t>302-11</t>
  </si>
  <si>
    <t>52-11</t>
  </si>
  <si>
    <t>103-11</t>
  </si>
  <si>
    <t>105-11</t>
  </si>
  <si>
    <t>304-11</t>
  </si>
  <si>
    <t>104-11</t>
  </si>
  <si>
    <t>109-11</t>
  </si>
  <si>
    <t>310-11</t>
  </si>
  <si>
    <t>DAVIDSON</t>
  </si>
  <si>
    <t>DAVID</t>
  </si>
  <si>
    <t>901-11</t>
  </si>
  <si>
    <t>111-11</t>
  </si>
  <si>
    <t>800-11</t>
  </si>
  <si>
    <t>106-11</t>
  </si>
  <si>
    <t>113-11</t>
  </si>
  <si>
    <t>108-11</t>
  </si>
  <si>
    <t>TOUSIGNAUT</t>
  </si>
  <si>
    <t>CARL</t>
  </si>
  <si>
    <t>115-11</t>
  </si>
  <si>
    <t>801-11</t>
  </si>
  <si>
    <t>110-11</t>
  </si>
  <si>
    <t>117-11</t>
  </si>
  <si>
    <t>119-11</t>
  </si>
  <si>
    <t>114-11</t>
  </si>
  <si>
    <t>125-11</t>
  </si>
  <si>
    <t>112-11</t>
  </si>
  <si>
    <t>902-11</t>
  </si>
  <si>
    <t>LALONDE</t>
  </si>
  <si>
    <t>GREGORY</t>
  </si>
  <si>
    <t>802-11</t>
  </si>
  <si>
    <t>803-11</t>
  </si>
  <si>
    <t>123-11</t>
  </si>
  <si>
    <t>805-11</t>
  </si>
  <si>
    <t>804-11</t>
  </si>
  <si>
    <t>807-11</t>
  </si>
  <si>
    <t>806-11</t>
  </si>
  <si>
    <t>129-11</t>
  </si>
  <si>
    <t>124-11</t>
  </si>
  <si>
    <t>67-11</t>
  </si>
  <si>
    <t>809-11</t>
  </si>
  <si>
    <t>808-11</t>
  </si>
  <si>
    <t>128-11</t>
  </si>
  <si>
    <t>133-11</t>
  </si>
  <si>
    <t>68-11</t>
  </si>
  <si>
    <t>135-11</t>
  </si>
  <si>
    <t>811-11</t>
  </si>
  <si>
    <t>810-11</t>
  </si>
  <si>
    <t>130-11</t>
  </si>
  <si>
    <t>137-11</t>
  </si>
  <si>
    <t>903-11</t>
  </si>
  <si>
    <t>132-11</t>
  </si>
  <si>
    <t>139-11</t>
  </si>
  <si>
    <t>812-11</t>
  </si>
  <si>
    <t>141-11</t>
  </si>
  <si>
    <t>136-11</t>
  </si>
  <si>
    <t>813-11</t>
  </si>
  <si>
    <t>50-11</t>
  </si>
  <si>
    <t>GONZALEZ</t>
  </si>
  <si>
    <t>ARMANDO</t>
  </si>
  <si>
    <t>147-11</t>
  </si>
  <si>
    <t>142-11</t>
  </si>
  <si>
    <t>140-11</t>
  </si>
  <si>
    <t>814-11</t>
  </si>
  <si>
    <t>149-11</t>
  </si>
  <si>
    <t>59-11</t>
  </si>
  <si>
    <t>CASSIDY</t>
  </si>
  <si>
    <t>60-11</t>
  </si>
  <si>
    <t>144-11</t>
  </si>
  <si>
    <t>151-11</t>
  </si>
  <si>
    <t>815-11</t>
  </si>
  <si>
    <t>146-11</t>
  </si>
  <si>
    <t>58-11</t>
  </si>
  <si>
    <t>ANDERS</t>
  </si>
  <si>
    <t>STEVEN</t>
  </si>
  <si>
    <t>153-11</t>
  </si>
  <si>
    <t>57-11</t>
  </si>
  <si>
    <t>148-11</t>
  </si>
  <si>
    <t>150-11</t>
  </si>
  <si>
    <t>155-11</t>
  </si>
  <si>
    <t>816-11</t>
  </si>
  <si>
    <t>53-11</t>
  </si>
  <si>
    <t>ELBAUM</t>
  </si>
  <si>
    <t>MIKE</t>
  </si>
  <si>
    <t>rtdc.l.rtdc.4025:itc</t>
  </si>
  <si>
    <t>74-11</t>
  </si>
  <si>
    <t>NEWELL</t>
  </si>
  <si>
    <t>157-11</t>
  </si>
  <si>
    <t>54-11</t>
  </si>
  <si>
    <t>152-11</t>
  </si>
  <si>
    <t>154-11</t>
  </si>
  <si>
    <t>817-11</t>
  </si>
  <si>
    <t>159-11</t>
  </si>
  <si>
    <t>156-11</t>
  </si>
  <si>
    <t>161-11</t>
  </si>
  <si>
    <t>THOMPSON</t>
  </si>
  <si>
    <t>LESTER</t>
  </si>
  <si>
    <t>163-11</t>
  </si>
  <si>
    <t>rtdc.l.rtdc.4026:itc</t>
  </si>
  <si>
    <t>75-11</t>
  </si>
  <si>
    <t>GEBRETEKLE</t>
  </si>
  <si>
    <t>DAGNEW</t>
  </si>
  <si>
    <t>158-11</t>
  </si>
  <si>
    <t>818-11</t>
  </si>
  <si>
    <t>165-11</t>
  </si>
  <si>
    <t>160-11</t>
  </si>
  <si>
    <t>167-11</t>
  </si>
  <si>
    <t>819-11</t>
  </si>
  <si>
    <t>162-11</t>
  </si>
  <si>
    <t>169-11</t>
  </si>
  <si>
    <t>171-11</t>
  </si>
  <si>
    <t>164-11</t>
  </si>
  <si>
    <t>61-11</t>
  </si>
  <si>
    <t>BIRKHOLZ</t>
  </si>
  <si>
    <t>NADINE</t>
  </si>
  <si>
    <t>62-11</t>
  </si>
  <si>
    <t>820-11</t>
  </si>
  <si>
    <t>168-11</t>
  </si>
  <si>
    <t>56-11</t>
  </si>
  <si>
    <t>NICHOLSON</t>
  </si>
  <si>
    <t>WESLEY</t>
  </si>
  <si>
    <t>55-11</t>
  </si>
  <si>
    <t>821-11</t>
  </si>
  <si>
    <t>170-11</t>
  </si>
  <si>
    <t>177-11</t>
  </si>
  <si>
    <t>172-11</t>
  </si>
  <si>
    <t>65-11</t>
  </si>
  <si>
    <t>66-11</t>
  </si>
  <si>
    <t>174-11</t>
  </si>
  <si>
    <t>181-11</t>
  </si>
  <si>
    <t>822-11</t>
  </si>
  <si>
    <t>64-11</t>
  </si>
  <si>
    <t>63-11</t>
  </si>
  <si>
    <t>823-11</t>
  </si>
  <si>
    <t>178-11</t>
  </si>
  <si>
    <t>180-11</t>
  </si>
  <si>
    <t>182-11</t>
  </si>
  <si>
    <t>824-11</t>
  </si>
  <si>
    <t>189-11</t>
  </si>
  <si>
    <t>184-11</t>
  </si>
  <si>
    <t>191-11</t>
  </si>
  <si>
    <t>825-11</t>
  </si>
  <si>
    <t>186-11</t>
  </si>
  <si>
    <t>193-11</t>
  </si>
  <si>
    <t>904-11</t>
  </si>
  <si>
    <t>MCREYNOLDS</t>
  </si>
  <si>
    <t>KYLE</t>
  </si>
  <si>
    <t>188-11</t>
  </si>
  <si>
    <t>195-11</t>
  </si>
  <si>
    <t>827-11</t>
  </si>
  <si>
    <t>190-11</t>
  </si>
  <si>
    <t>197-11</t>
  </si>
  <si>
    <t>199-11</t>
  </si>
  <si>
    <t>828-11</t>
  </si>
  <si>
    <t>rtdc.l.rtdc.4016:itc</t>
  </si>
  <si>
    <t>LOPES</t>
  </si>
  <si>
    <t>KIMBERLY</t>
  </si>
  <si>
    <t>77-11</t>
  </si>
  <si>
    <t>829-11</t>
  </si>
  <si>
    <t>196-11</t>
  </si>
  <si>
    <t>203-11</t>
  </si>
  <si>
    <t>831-11</t>
  </si>
  <si>
    <t>198-11</t>
  </si>
  <si>
    <t>830-11</t>
  </si>
  <si>
    <t>205-11</t>
  </si>
  <si>
    <t>200-11</t>
  </si>
  <si>
    <t>209-11</t>
  </si>
  <si>
    <t>833-11</t>
  </si>
  <si>
    <t>211-11</t>
  </si>
  <si>
    <t>835-11</t>
  </si>
  <si>
    <t>206-11</t>
  </si>
  <si>
    <t>834-11</t>
  </si>
  <si>
    <t>213-11</t>
  </si>
  <si>
    <t>MILLER</t>
  </si>
  <si>
    <t>KEVIN</t>
  </si>
  <si>
    <t>215-11</t>
  </si>
  <si>
    <t>837-11</t>
  </si>
  <si>
    <t>210-11</t>
  </si>
  <si>
    <t>836-11</t>
  </si>
  <si>
    <t>217-11</t>
  </si>
  <si>
    <t>212-11</t>
  </si>
  <si>
    <t>219-11</t>
  </si>
  <si>
    <t>839-11</t>
  </si>
  <si>
    <t>838-11</t>
  </si>
  <si>
    <t>214-11</t>
  </si>
  <si>
    <t>301-11</t>
  </si>
  <si>
    <t>216-11</t>
  </si>
  <si>
    <t>218-11</t>
  </si>
  <si>
    <t>906-11</t>
  </si>
  <si>
    <t>303-11</t>
  </si>
  <si>
    <t>840-11</t>
  </si>
  <si>
    <t>841-11</t>
  </si>
  <si>
    <t>305-11</t>
  </si>
  <si>
    <t>222-11</t>
  </si>
  <si>
    <t>225-11</t>
  </si>
  <si>
    <t>843-11</t>
  </si>
  <si>
    <t>227-11</t>
  </si>
  <si>
    <t>224-11</t>
  </si>
  <si>
    <t>842-11</t>
  </si>
  <si>
    <t>226-11</t>
  </si>
  <si>
    <t>229-11</t>
  </si>
  <si>
    <t>228-11</t>
  </si>
  <si>
    <t>845-11</t>
  </si>
  <si>
    <t>231-11</t>
  </si>
  <si>
    <t>844-11</t>
  </si>
  <si>
    <t>233-11</t>
  </si>
  <si>
    <t>230-11</t>
  </si>
  <si>
    <t>847-11</t>
  </si>
  <si>
    <t>232-11</t>
  </si>
  <si>
    <t>908-11</t>
  </si>
  <si>
    <t>234-11</t>
  </si>
  <si>
    <t>237-11</t>
  </si>
  <si>
    <t>236-11</t>
  </si>
  <si>
    <t>239-11</t>
  </si>
  <si>
    <t>241-11</t>
  </si>
  <si>
    <t>238-11</t>
  </si>
  <si>
    <t>240-11</t>
  </si>
  <si>
    <t>243-11</t>
  </si>
  <si>
    <t>242-11</t>
  </si>
  <si>
    <t>245-11</t>
  </si>
  <si>
    <t>307-11</t>
  </si>
  <si>
    <t>244-11</t>
  </si>
  <si>
    <t>246-11</t>
  </si>
  <si>
    <t>311-11</t>
  </si>
  <si>
    <t>313-11</t>
  </si>
  <si>
    <t>300-12</t>
  </si>
  <si>
    <t>MAELZER</t>
  </si>
  <si>
    <t>KURT</t>
  </si>
  <si>
    <t>204:174</t>
  </si>
  <si>
    <t>204:233383</t>
  </si>
  <si>
    <t>204:233453</t>
  </si>
  <si>
    <t>204:233122</t>
  </si>
  <si>
    <t>204:64694</t>
  </si>
  <si>
    <t>204:233266</t>
  </si>
  <si>
    <t>204:232951</t>
  </si>
  <si>
    <t>204:165</t>
  </si>
  <si>
    <t>204:233000</t>
  </si>
  <si>
    <t>204:233301</t>
  </si>
  <si>
    <t>204:233410</t>
  </si>
  <si>
    <t>204:233026</t>
  </si>
  <si>
    <t>204:233344</t>
  </si>
  <si>
    <t>204:233300</t>
  </si>
  <si>
    <t>204:232989</t>
  </si>
  <si>
    <t>204:64702</t>
  </si>
  <si>
    <t>204:233021</t>
  </si>
  <si>
    <t>204:233433</t>
  </si>
  <si>
    <t>204:233017</t>
  </si>
  <si>
    <t>204:233007</t>
  </si>
  <si>
    <t>204:233339</t>
  </si>
  <si>
    <t>204:232986</t>
  </si>
  <si>
    <t>204:233302</t>
  </si>
  <si>
    <t>204:232980</t>
  </si>
  <si>
    <t>204:233098</t>
  </si>
  <si>
    <t>204:482</t>
  </si>
  <si>
    <t>204:233309</t>
  </si>
  <si>
    <t>204:233308</t>
  </si>
  <si>
    <t>204:233044</t>
  </si>
  <si>
    <t>204:233074</t>
  </si>
  <si>
    <t>204:232979</t>
  </si>
  <si>
    <t>204:185</t>
  </si>
  <si>
    <t>204:233082</t>
  </si>
  <si>
    <t>204:233385</t>
  </si>
  <si>
    <t>204:233069</t>
  </si>
  <si>
    <t>204:233406</t>
  </si>
  <si>
    <t>204:498</t>
  </si>
  <si>
    <t>204:233034</t>
  </si>
  <si>
    <t>204:435</t>
  </si>
  <si>
    <t>204:233423</t>
  </si>
  <si>
    <t>204:233117</t>
  </si>
  <si>
    <t>204:233345</t>
  </si>
  <si>
    <t>204:233009</t>
  </si>
  <si>
    <t>204:187</t>
  </si>
  <si>
    <t>204:233282</t>
  </si>
  <si>
    <t>204:233010</t>
  </si>
  <si>
    <t>204:233417</t>
  </si>
  <si>
    <t>204:233079</t>
  </si>
  <si>
    <t>204:422</t>
  </si>
  <si>
    <t>204:192</t>
  </si>
  <si>
    <t>204:233368</t>
  </si>
  <si>
    <t>204:233047</t>
  </si>
  <si>
    <t>204:500</t>
  </si>
  <si>
    <t>204:491</t>
  </si>
  <si>
    <t>204:189</t>
  </si>
  <si>
    <t>204:233336</t>
  </si>
  <si>
    <t>204:233091</t>
  </si>
  <si>
    <t>204:233261</t>
  </si>
  <si>
    <t>204:232959</t>
  </si>
  <si>
    <t>204:233361</t>
  </si>
  <si>
    <t>204:232970</t>
  </si>
  <si>
    <t>204:19123</t>
  </si>
  <si>
    <t>204:233270</t>
  </si>
  <si>
    <t>204:233284</t>
  </si>
  <si>
    <t>204:233412</t>
  </si>
  <si>
    <t>204:233038</t>
  </si>
  <si>
    <t>204:221</t>
  </si>
  <si>
    <t>204:233025</t>
  </si>
  <si>
    <t>300:25109</t>
  </si>
  <si>
    <t>204:515</t>
  </si>
  <si>
    <t>300:23295</t>
  </si>
  <si>
    <t>300:23451</t>
  </si>
  <si>
    <t>204:438</t>
  </si>
  <si>
    <t>300:23446</t>
  </si>
  <si>
    <t>300:23601</t>
  </si>
  <si>
    <t>300:17430</t>
  </si>
  <si>
    <t>300:22904</t>
  </si>
  <si>
    <t>300:22380</t>
  </si>
  <si>
    <t>204:506</t>
  </si>
  <si>
    <t>300:23387</t>
  </si>
  <si>
    <t>204:420</t>
  </si>
  <si>
    <t>300:22058</t>
  </si>
  <si>
    <t>300:23312</t>
  </si>
  <si>
    <t>300:31258</t>
  </si>
  <si>
    <t>300:28776</t>
  </si>
  <si>
    <t>204:418</t>
  </si>
  <si>
    <t>300:22013</t>
  </si>
  <si>
    <t>300:31580</t>
  </si>
  <si>
    <t>204:1165</t>
  </si>
  <si>
    <t>300:30549</t>
  </si>
  <si>
    <t>300:31464</t>
  </si>
  <si>
    <t>300:22020</t>
  </si>
  <si>
    <t>300:24193</t>
  </si>
  <si>
    <t>300:31150</t>
  </si>
  <si>
    <t>300:21712</t>
  </si>
  <si>
    <t>300:31193</t>
  </si>
  <si>
    <t>300:28770</t>
  </si>
  <si>
    <t>300:31313</t>
  </si>
  <si>
    <t>300:30998</t>
  </si>
  <si>
    <t>300:22036</t>
  </si>
  <si>
    <t>300:24072</t>
  </si>
  <si>
    <t>300:31271</t>
  </si>
  <si>
    <t>300:21710</t>
  </si>
  <si>
    <t>300:21774</t>
  </si>
  <si>
    <t>300:24201</t>
  </si>
  <si>
    <t>300:31201</t>
  </si>
  <si>
    <t>300:21488</t>
  </si>
  <si>
    <t>300:21949</t>
  </si>
  <si>
    <t>300:31561</t>
  </si>
  <si>
    <t>300:31250</t>
  </si>
  <si>
    <t>300:28780</t>
  </si>
  <si>
    <t>300:30424</t>
  </si>
  <si>
    <t>300:31466</t>
  </si>
  <si>
    <t>300:21977</t>
  </si>
  <si>
    <t>300:24070</t>
  </si>
  <si>
    <t>204:1486</t>
  </si>
  <si>
    <t>204:3556</t>
  </si>
  <si>
    <t>204:3242</t>
  </si>
  <si>
    <t>300:22819</t>
  </si>
  <si>
    <t>204:1664</t>
  </si>
  <si>
    <t>204:406</t>
  </si>
  <si>
    <t>300:24229</t>
  </si>
  <si>
    <t>204:1236</t>
  </si>
  <si>
    <t>300:5388</t>
  </si>
  <si>
    <t>300:5119</t>
  </si>
  <si>
    <t>204:1158</t>
  </si>
  <si>
    <t>300:14516</t>
  </si>
  <si>
    <t>300:14229</t>
  </si>
  <si>
    <t>204:421</t>
  </si>
  <si>
    <t>204:1186</t>
  </si>
  <si>
    <t>204:713</t>
  </si>
  <si>
    <t>300:58619</t>
  </si>
  <si>
    <t>300:58965</t>
  </si>
  <si>
    <t>300:58664</t>
  </si>
  <si>
    <t>204:999</t>
  </si>
  <si>
    <t>300:58634</t>
  </si>
  <si>
    <t>300:58975</t>
  </si>
  <si>
    <t>300:58653</t>
  </si>
  <si>
    <t>300:58967</t>
  </si>
  <si>
    <t>300:58658</t>
  </si>
  <si>
    <t>204:993</t>
  </si>
  <si>
    <t>300:58613</t>
  </si>
  <si>
    <t>204:708</t>
  </si>
  <si>
    <t>204:1000</t>
  </si>
  <si>
    <t>300:58656</t>
  </si>
  <si>
    <t>204:967</t>
  </si>
  <si>
    <t>204:671</t>
  </si>
  <si>
    <t>204:656</t>
  </si>
  <si>
    <t>300:58954</t>
  </si>
  <si>
    <t>204:652</t>
  </si>
  <si>
    <t>300:58651</t>
  </si>
  <si>
    <t>300:58993</t>
  </si>
  <si>
    <t>300:58677</t>
  </si>
  <si>
    <t>204:901</t>
  </si>
  <si>
    <t>300:58937</t>
  </si>
  <si>
    <t>204:958</t>
  </si>
  <si>
    <t>204:941</t>
  </si>
  <si>
    <t>300:58946</t>
  </si>
  <si>
    <t>300:58628</t>
  </si>
  <si>
    <t>204:997</t>
  </si>
  <si>
    <t>300:58948</t>
  </si>
  <si>
    <t>204:955</t>
  </si>
  <si>
    <t>300:58640</t>
  </si>
  <si>
    <t>300:58647</t>
  </si>
  <si>
    <t>204:699</t>
  </si>
  <si>
    <t>300:58961</t>
  </si>
  <si>
    <t>300:58977</t>
  </si>
  <si>
    <t>300:30144</t>
  </si>
  <si>
    <t>300:23430</t>
  </si>
  <si>
    <t>300:23616</t>
  </si>
  <si>
    <t>300:58641</t>
  </si>
  <si>
    <t>300:28774</t>
  </si>
  <si>
    <t>300:58666</t>
  </si>
  <si>
    <t>300:28797</t>
  </si>
  <si>
    <t>204:46926</t>
  </si>
  <si>
    <t>204:913</t>
  </si>
  <si>
    <t>204:63893</t>
  </si>
  <si>
    <t>204:233326</t>
  </si>
  <si>
    <t>204:136</t>
  </si>
  <si>
    <t>204:433</t>
  </si>
  <si>
    <t>204:233311</t>
  </si>
  <si>
    <t>204:130</t>
  </si>
  <si>
    <t>204:176</t>
  </si>
  <si>
    <t>204:116</t>
  </si>
  <si>
    <t>204:118</t>
  </si>
  <si>
    <t>204:233328</t>
  </si>
  <si>
    <t>204:232963</t>
  </si>
  <si>
    <t>300:22053</t>
  </si>
  <si>
    <t>204:3566</t>
  </si>
  <si>
    <t>300:31504</t>
  </si>
  <si>
    <t>300:30640</t>
  </si>
  <si>
    <t>300:31595</t>
  </si>
  <si>
    <t>300:30701</t>
  </si>
  <si>
    <t>300:31152</t>
  </si>
  <si>
    <t>300:21653</t>
  </si>
  <si>
    <t>300:58935</t>
  </si>
  <si>
    <t>204:692</t>
  </si>
  <si>
    <t>300:58950</t>
  </si>
  <si>
    <t>204:689</t>
  </si>
  <si>
    <t>300:58918</t>
  </si>
  <si>
    <t>300:58971</t>
  </si>
  <si>
    <t>204:705</t>
  </si>
  <si>
    <t>204:113</t>
  </si>
  <si>
    <t>204:4402</t>
  </si>
  <si>
    <t>204:703</t>
  </si>
  <si>
    <t>300:58958</t>
  </si>
  <si>
    <t>300:58933</t>
  </si>
  <si>
    <t>start /low /b %USERPROFILE%\Documents\GitHub\eaglep3\Utilities\DownloadLogsFromS3.py --loco 4058 --day 2017-08-11</t>
  </si>
  <si>
    <t>start /low /b %USERPROFILE%\Documents\GitHub\eaglep3\Utilities\DownloadLogsFromS3.py --loco 4060 --day 2017-08-11</t>
  </si>
  <si>
    <t>start /low /b %USERPROFILE%\Documents\GitHub\eaglep3\Utilities\DownloadLogsFromS3.py --loco 4066 --day 2017-08-11</t>
  </si>
  <si>
    <t>start /low /b %USERPROFILE%\Documents\GitHub\eaglep3\Utilities\DownloadLogsFromS3.py --loco 4012 --day 2017-08-11</t>
  </si>
  <si>
    <t>start /low /b %USERPROFILE%\Documents\GitHub\eaglep3\Utilities\DownloadLogsFromS3.py --loco 4062 --day 2017-08-11</t>
  </si>
  <si>
    <t>start /low /b %USERPROFILE%\Documents\GitHub\eaglep3\Utilities\DownloadLogsFromS3.py --loco 4017 --day 2017-08-11</t>
  </si>
  <si>
    <t>start /low /b %USERPROFILE%\Documents\GitHub\eaglep3\Utilities\DownloadLogsFromS3.py --loco 4014 --day 2017-08-11</t>
  </si>
  <si>
    <t>start /low /b %USERPROFILE%\Documents\GitHub\eaglep3\Utilities\DownloadLogsFromS3.py --loco 4065 --day 2017-08-11</t>
  </si>
  <si>
    <t>start /low /b %USERPROFILE%\Documents\GitHub\eaglep3\Utilities\DownloadLogsFromS3.py --loco 4020 --day 2017-08-12</t>
  </si>
  <si>
    <t>start /low /b %USERPROFILE%\Documents\GitHub\eaglep3\Utilities\DownloadLogsFromS3.py --loco 4011 --day 2017-08-11</t>
  </si>
  <si>
    <t>start /low /b %USERPROFILE%\Documents\GitHub\eaglep3\Utilities\DownloadLogsFromS3.py --loco 4057 --day 2017-08-12</t>
  </si>
  <si>
    <t>start /low /b %USERPROFILE%\Documents\GitHub\eaglep3\Utilities\DownloadLogsFromS3.py --loco 4040 --day 2017-08-12</t>
  </si>
  <si>
    <t>start /low /b %USERPROFILE%\Documents\GitHub\eaglep3\Utilities\DownloadLogsFromS3.py --loco 4030 --day 2017-08-11</t>
  </si>
  <si>
    <t>start /low /b %USERPROFILE%\Documents\GitHub\eaglep3\Utilities\DownloadLogsFromS3.py --loco 4029 --day 2017-08-11</t>
  </si>
  <si>
    <t>start /low /b %USERPROFILE%\Documents\GitHub\eaglep3\Utilities\DownloadLogsFromS3.py --loco 4019 --day 2017-08-12</t>
  </si>
  <si>
    <t>start /low /b %USERPROFILE%\Documents\GitHub\eaglep3\Utilities\DownloadLogsFromS3.py --loco 4059 --day 2017-08-11</t>
  </si>
  <si>
    <t>start /low /b %USERPROFILE%\Documents\GitHub\eaglep3\Utilities\DownloadLogsFromS3.py --loco 4057 --day 2017-08-11</t>
  </si>
  <si>
    <t>start /low /b %USERPROFILE%\Documents\GitHub\eaglep3\Utilities\DownloadLogsFromS3.py --loco 4039 --day 2017-08-11</t>
  </si>
  <si>
    <t>start /low /b %USERPROFILE%\Documents\GitHub\eaglep3\Utilities\DownloadLogsFromS3.py --loco 4019 --day 2017-08-11</t>
  </si>
  <si>
    <t>start /low /b %USERPROFILE%\Documents\GitHub\eaglep3\Utilities\DownloadLogsFromS3.py --loco 4029 --day 2017-08-12</t>
  </si>
  <si>
    <t>start /low /b %USERPROFILE%\Documents\GitHub\eaglep3\Utilities\DownloadLogsFromS3.py --loco 4012 --day 2017-08-12</t>
  </si>
  <si>
    <t>start /low /b %USERPROFILE%\Documents\GitHub\eaglep3\Utilities\DownloadLogsFromS3.py --loco 4061 --day 2017-08-11</t>
  </si>
  <si>
    <t>204:152</t>
  </si>
  <si>
    <t>300:31154</t>
  </si>
  <si>
    <t>300:21634</t>
  </si>
  <si>
    <t>300:58960</t>
  </si>
  <si>
    <t>300:58952</t>
  </si>
  <si>
    <t>121-11</t>
  </si>
  <si>
    <t>Did not init</t>
  </si>
  <si>
    <t>Wi-MAX data drop</t>
  </si>
  <si>
    <t>Reverser handle not in forward</t>
  </si>
  <si>
    <t>Form C</t>
  </si>
  <si>
    <t>Minor onboard in-route failure caused signal status unknown</t>
  </si>
  <si>
    <t>RESTRICTING aspect, cleared afterward</t>
  </si>
  <si>
    <t>Wi-MAX data drop (Ulster)</t>
  </si>
  <si>
    <t>Unhealthy crossing banners due to Wi-MAX data drop (Ulster)</t>
  </si>
  <si>
    <t>Brief Wi-MAX data drop (no enforcement/cutout)</t>
  </si>
  <si>
    <t>Banner without braking at TRACK WARRANT target while approaching DUS</t>
  </si>
  <si>
    <t>No PTC issues found around 22:47 (a Form C enforcement right before the incident)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</si>
</sst>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12"/>
  <sheetViews>
    <sheetView tabSelected="1" topLeftCell="A31" workbookViewId="0">
      <selection activeCell="R34" sqref="R34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42958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42958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COUNTIFS($N$13:$N$9303,"&gt;0",$AG$13:$AG$9303,I1)</f>
        <v>142</v>
      </c>
      <c r="K5" s="39"/>
      <c r="L5" s="39"/>
      <c r="M5" s="40">
        <f>AVERAGEIFS($N$13:$N$9303,$AG$13:$AG$9303,I1)</f>
        <v>37.925117371298875</v>
      </c>
      <c r="N5" s="38">
        <f t="array" ref="N5">MIN(IF($AG$13:$AG$9303=I1,IF(ISNUMBER($N$13:$N$9303),IF($N$13:$N$9303&gt;0,$N$13:$N$9303))))</f>
        <v>32.566666662460193</v>
      </c>
      <c r="O5" s="3">
        <f t="array" ref="O5">MAX(IF($AG$13:$AG$9303=I1,IF(ISNUMBER($N$13:$N$9303),IF($N$13:$N$9303&gt;0,$N$13:$N$9303))))</f>
        <v>47.616666670655832</v>
      </c>
      <c r="P5" s="2"/>
      <c r="R5" s="166" t="s">
        <v>17</v>
      </c>
      <c r="S5" s="186">
        <f>COUNTIFS($N$13:$N$9303,"&gt;0",$AG$13:$AG$9303,R1)</f>
        <v>47</v>
      </c>
      <c r="T5" s="187"/>
      <c r="U5" s="187"/>
      <c r="V5" s="183">
        <f>AVERAGEIFS($N$13:$N$9303,$AG$13:$AG$9303,R1)</f>
        <v>14.87198581540105</v>
      </c>
      <c r="W5" s="184">
        <f t="array" ref="W5">MIN(IF($AG$13:$AG$9303=R1,IF(ISNUMBER($N$13:$N$9303),IF($N$13:$N$9303&gt;0,$N$13:$N$9303))))</f>
        <v>12.416666666977108</v>
      </c>
      <c r="X5" s="185">
        <f t="array" ref="X5">MAX(IF($AG$13:$AG$9303=R1,IF(ISNUMBER($N$13:$N$9303),IF($N$13:$N$9303&gt;0,$N$13:$N$9303))))</f>
        <v>20.350000000325963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COUNT($O$13:$O$125)</f>
        <v>0</v>
      </c>
      <c r="K6" s="39"/>
      <c r="L6" s="39"/>
      <c r="M6" s="40">
        <f>IFERROR(AVERAGE($O$13:$O$125),0)</f>
        <v>0</v>
      </c>
      <c r="N6" s="38">
        <f>MIN($O$13:$O$125)</f>
        <v>0</v>
      </c>
      <c r="O6" s="3">
        <f>MAX($O$13:$O$125)</f>
        <v>0</v>
      </c>
      <c r="P6" s="2"/>
      <c r="R6" s="167" t="s">
        <v>43</v>
      </c>
      <c r="S6" s="186">
        <f>COUNT($O$13:$O$125)</f>
        <v>0</v>
      </c>
      <c r="T6" s="187"/>
      <c r="U6" s="187"/>
      <c r="V6" s="183">
        <f>IFERROR(AVERAGE($O$13:$O$125),0)</f>
        <v>0</v>
      </c>
      <c r="W6" s="184">
        <f>MIN($O$13:$O$125)</f>
        <v>0</v>
      </c>
      <c r="X6" s="185">
        <f>MAX($O$13:$O$125)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COUNTIFS($P$13:$P$9303,"&gt;0",$AG$13:$AG$9303,I1)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COUNTIFS($P$13:$P$9303,"&gt;0",$AG$13:$AG$9303,R1)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39"/>
      <c r="M8" s="40">
        <f>M5</f>
        <v>37.925117371298875</v>
      </c>
      <c r="N8" s="38">
        <f>N5</f>
        <v>32.566666662460193</v>
      </c>
      <c r="O8" s="3">
        <f>O5</f>
        <v>47.616666670655832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14.87198581540105</v>
      </c>
      <c r="W8" s="184">
        <f>W5</f>
        <v>12.416666666977108</v>
      </c>
      <c r="X8" s="185">
        <f>X5</f>
        <v>20.350000000325963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0.9726027397260274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- 2017-08-11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AVERAGE(S13:S101)</f>
        <v>0.98371647509578541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643</v>
      </c>
      <c r="B13" s="7">
        <v>4040</v>
      </c>
      <c r="C13" s="21" t="s">
        <v>198</v>
      </c>
      <c r="D13" s="21" t="s">
        <v>562</v>
      </c>
      <c r="E13" s="13">
        <v>42958.128761574073</v>
      </c>
      <c r="F13" s="13">
        <v>42958.135925925926</v>
      </c>
      <c r="G13" s="7">
        <v>1</v>
      </c>
      <c r="H13" s="21" t="s">
        <v>574</v>
      </c>
      <c r="I13" s="13">
        <v>42958.161354166667</v>
      </c>
      <c r="J13" s="7">
        <v>0</v>
      </c>
      <c r="K13" s="89" t="str">
        <f t="shared" ref="K13:K44" si="0">IF(ISEVEN(B13),(B13-1)&amp;"/"&amp;B13,B13&amp;"/"&amp;(B13+1))</f>
        <v>4039/4040</v>
      </c>
      <c r="L13" s="21" t="str">
        <f>VLOOKUP(A13,'Trips&amp;Operators'!$C$1:$G$99999,5,FALSE)</f>
        <v>STARKS ANGELINA</v>
      </c>
      <c r="M13" s="6">
        <f t="shared" ref="M13:M44" si="1">I13-F13</f>
        <v>2.5428240740438923E-2</v>
      </c>
      <c r="N13" s="7">
        <f t="shared" ref="N13:N18" si="2">24*60*SUM($M13:$M13)</f>
        <v>36.616666666232049</v>
      </c>
      <c r="O13" s="7"/>
      <c r="P13" s="7"/>
      <c r="Q13" s="22"/>
      <c r="R13" s="170"/>
      <c r="S13" s="213">
        <f t="shared" ref="S13:S18" si="3">1/IF(AG13="EC",12,1)*SUM(U13:U13)</f>
        <v>1</v>
      </c>
      <c r="T13" s="195" t="str">
        <f t="shared" ref="T13:T44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-11T02:05:25-0600',mode:absolute,to:'2017-08-11T04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44" si="7">RIGHT(D13,LEN(D13)-4)/10000</f>
        <v>7.2800000000000004E-2</v>
      </c>
      <c r="Z13" s="197">
        <f t="shared" ref="Z13:Z44" si="8">RIGHT(H13,LEN(H13)-4)/10000</f>
        <v>23.331399999999999</v>
      </c>
      <c r="AA13" s="197">
        <f t="shared" ref="AA13:AA44" si="9">ABS(Z13-Y13)</f>
        <v>23.258599999999998</v>
      </c>
      <c r="AB13" s="54" t="e">
        <f>VLOOKUP(A13,Enforcements!$C$7:$K$12,8,0)</f>
        <v>#N/A</v>
      </c>
      <c r="AC13" s="51" t="e">
        <f>VLOOKUP(A13,Enforcements!$C$7:$E$12,3,0)</f>
        <v>#N/A</v>
      </c>
      <c r="AD13" s="206">
        <f t="shared" ref="AD13:AD44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"%USERPROFILE%\AppData\Local\Temp\OnboardLogs"\RTDC4040\2017-08-11 --exclude "*" --recursive --include "*20170811*" &amp; "%USERPROFILE%\Documents\GitHub\mrs-test-scripts\Headless Mode &amp; Sideloading\WalkAndUnGZ.bat" "%USERPROFILE%\AppData\Local\Temp\OnboardLogs"\RTDC4040\2017-08-11 &amp; aws s3 cp s3://rtdc.mdm.uploadarchive.raw/RTDC4040/ "%USERPROFILE%\AppData\Local\Temp\OnboardLogs"\RTDC4040\2017-08-12 --exclude "*" --recursive --include "*20170812*" &amp; "%USERPROFILE%\Documents\GitHub\mrs-test-scripts\Headless Mode &amp; Sideloading\WalkAndUnGZ.bat" "%USERPROFILE%\AppData\Local\Temp\OnboardLogs"\RTDC4040\2017-08-12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/stypes="app*4040*20170811*" /stext=" 09:.+((SYSTEM_STATE.+slice.+state.+changed )|(ment ac)|(multiple cpu faults)|(system.+state.+changed )|(\[timeout)|(PRM\|1\|D)|(kpr)|(kdp)|(train st.+moving)|(\|lc)|(penalty))"</v>
      </c>
      <c r="AG13" s="209" t="str">
        <f t="shared" ref="AG13:AG44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101-11 --locoid 4040 --swversion DE.1.0.9.0 --startMP 204:728 --initTime 2017-08-11T03:05:25 --startdatetime 2017-08-11T03:15:44 --delay 1 --endMP 204:233314 --enddatetime 2017-08-11T03:52:21 --enforcementcount 0 &gt;&gt;C:\Users\stu\Documents\GitHub\eaglep3-reporting\EC\2017-08-11-refined-times.txt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{"issue":{"subject":"","project_id":79,"tracker_id":40,"status_id":1,"priority_id":2,"assigned_to_id":23,"start_date":"2017-08-11","description":"","custom_fields":[{"id":1,"name":"Subdivision","value":"EC"},{"id":4,"name":"Milepost","value":"23.3314"},{"id":17,"name":"Train ID","value":"101-11"},{"id":16,"name":"Locomotive ID","value":"4040"},{"id":130,"name":"Impact","value":""},{"id":150,"name":"Time of Event (Mountain Time)","value":"03:52:21"},{"id":151,"name":"Denver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4040 --day 2017-08-11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09:52:21"},{"id":29,"name":"Sharepoint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604</v>
      </c>
      <c r="B14" s="7">
        <v>4039</v>
      </c>
      <c r="C14" s="21" t="s">
        <v>198</v>
      </c>
      <c r="D14" s="21" t="s">
        <v>525</v>
      </c>
      <c r="E14" s="13">
        <v>42958.170312499999</v>
      </c>
      <c r="F14" s="13">
        <v>42958.175162037034</v>
      </c>
      <c r="G14" s="7">
        <v>1</v>
      </c>
      <c r="H14" s="21" t="s">
        <v>871</v>
      </c>
      <c r="I14" s="13">
        <v>42958.202777777777</v>
      </c>
      <c r="J14" s="7">
        <v>0</v>
      </c>
      <c r="K14" s="89" t="str">
        <f t="shared" si="0"/>
        <v>4039/4040</v>
      </c>
      <c r="L14" s="21" t="str">
        <f>VLOOKUP(A14,'Trips&amp;Operators'!$C$1:$G$99999,5,FALSE)</f>
        <v>STARKS ANGELINA</v>
      </c>
      <c r="M14" s="6">
        <f t="shared" si="1"/>
        <v>2.7615740742476191E-2</v>
      </c>
      <c r="N14" s="7">
        <f t="shared" si="2"/>
        <v>39.766666669165716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-08-11T03:05:15-0600',mode:absolute,to:'2017-08-11T05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23.299099999999999</v>
      </c>
      <c r="Z14" s="197">
        <f t="shared" si="8"/>
        <v>1.7399999999999999E-2</v>
      </c>
      <c r="AA14" s="197">
        <f t="shared" si="9"/>
        <v>23.281700000000001</v>
      </c>
      <c r="AB14" s="54" t="e">
        <f>VLOOKUP(A14,Enforcements!$C$7:$K$12,8,0)</f>
        <v>#N/A</v>
      </c>
      <c r="AC14" s="51" t="e">
        <f>VLOOKUP(A14,Enforcements!$C$7:$E$12,3,0)</f>
        <v>#N/A</v>
      </c>
      <c r="AD14" s="206">
        <f t="shared" si="10"/>
        <v>102</v>
      </c>
      <c r="AE14" s="77" t="str">
        <f t="shared" si="11"/>
        <v>aws s3 cp s3://rtdc.mdm.uploadarchive.raw/RTDC4039/ "%USERPROFILE%\AppData\Local\Temp\OnboardLogs"\RTDC4039\2017-08-11 --exclude "*" --recursive --include "*20170811*" &amp; "%USERPROFILE%\Documents\GitHub\mrs-test-scripts\Headless Mode &amp; Sideloading\WalkAndUnGZ.bat" "%USERPROFILE%\AppData\Local\Temp\OnboardLogs"\RTDC4039\2017-08-11 &amp; aws s3 cp s3://rtdc.mdm.uploadarchive.raw/RTDC4039/ "%USERPROFILE%\AppData\Local\Temp\OnboardLogs"\RTDC4039\2017-08-12 --exclude "*" --recursive --include "*20170812*" &amp; "%USERPROFILE%\Documents\GitHub\mrs-test-scripts\Headless Mode &amp; Sideloading\WalkAndUnGZ.bat" "%USERPROFILE%\AppData\Local\Temp\OnboardLogs"\RTDC4039\2017-08-12</v>
      </c>
      <c r="AF14" s="74" t="str">
        <f t="shared" si="12"/>
        <v>"C:\Program Files (x86)\AstroGrep\AstroGrep.exe" /e /r /s /spath="%USERPROFILE%\AppData\Local\Temp\OnboardLogs" /stypes="app*4039*20170811*"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81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102-11 --locoid 4039 --swversion DE.1.0.9.0 --startMP 204:232991 --initTime 2017-08-11T04:05:15 --startdatetime 2017-08-11T04:12:14 --delay 1 --endMP 204:174 --enddatetime 2017-08-11T04:52:00 --enforcementcount 0 &gt;&gt;C:\Users\stu\Documents\GitHub\eaglep3-reporting\EC\2017-08-11-refined-times.txt</v>
      </c>
      <c r="AI14" s="96" t="str">
        <f t="shared" ref="AI14:AI81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{"issue":{"subject":"","project_id":79,"tracker_id":40,"status_id":1,"priority_id":2,"assigned_to_id":23,"start_date":"2017-08-11","description":"","custom_fields":[{"id":1,"name":"Subdivision","value":"EC"},{"id":4,"name":"Milepost","value":"0.0174"},{"id":17,"name":"Train ID","value":"102-11"},{"id":16,"name":"Locomotive ID","value":"4039"},{"id":130,"name":"Impact","value":""},{"id":150,"name":"Time of Event (Mountain Time)","value":"04:52:00"},{"id":151,"name":"Denver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81" si="20">"start /low /b "&amp;dls3logs&amp;" --loco "&amp;B14&amp;" --day "&amp;TEXT(F14,"YYYY-MM-DD")</f>
        <v>start /low /b %USERPROFILE%\Documents\GitHub\eaglep3\Utilities\DownloadLogsFromS3.py --loco 4039 --day 2017-08-11</v>
      </c>
      <c r="AN14" s="151" t="str">
        <f t="shared" ref="AN14:AN81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10:52:00"},{"id":29,"name":"Sharepoint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646</v>
      </c>
      <c r="B15" s="7">
        <v>4012</v>
      </c>
      <c r="C15" s="21" t="s">
        <v>198</v>
      </c>
      <c r="D15" s="21" t="s">
        <v>433</v>
      </c>
      <c r="E15" s="13">
        <v>42958.15320601852</v>
      </c>
      <c r="F15" s="13">
        <v>42958.156793981485</v>
      </c>
      <c r="G15" s="7">
        <v>1</v>
      </c>
      <c r="H15" s="21" t="s">
        <v>872</v>
      </c>
      <c r="I15" s="13">
        <v>42958.182395833333</v>
      </c>
      <c r="J15" s="7">
        <v>0</v>
      </c>
      <c r="K15" s="89" t="str">
        <f t="shared" si="0"/>
        <v>4011/4012</v>
      </c>
      <c r="L15" s="21" t="str">
        <f>VLOOKUP(A15,'Trips&amp;Operators'!$C$1:$G$99999,5,FALSE)</f>
        <v>WILLIAMS DONTE</v>
      </c>
      <c r="M15" s="6">
        <f t="shared" si="1"/>
        <v>2.5601851848477963E-2</v>
      </c>
      <c r="N15" s="7">
        <f t="shared" si="2"/>
        <v>36.866666661808267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-08-11T02:40:37-0600',mode:absolute,to:'2017-08-11T05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4.5999999999999999E-2</v>
      </c>
      <c r="Z15" s="197">
        <f t="shared" si="8"/>
        <v>23.3383</v>
      </c>
      <c r="AA15" s="197">
        <f t="shared" si="9"/>
        <v>23.292300000000001</v>
      </c>
      <c r="AB15" s="54" t="e">
        <f>VLOOKUP(A15,Enforcements!$C$7:$K$12,8,0)</f>
        <v>#N/A</v>
      </c>
      <c r="AC15" s="51" t="e">
        <f>VLOOKUP(A15,Enforcements!$C$7:$E$12,3,0)</f>
        <v>#N/A</v>
      </c>
      <c r="AD15" s="206">
        <f t="shared" si="10"/>
        <v>103</v>
      </c>
      <c r="AE15" s="77" t="str">
        <f t="shared" si="11"/>
        <v>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 &amp; aws s3 cp s3://rtdc.mdm.uploadarchive.raw/RTDC4012/ "%USERPROFILE%\AppData\Local\Temp\OnboardLogs"\RTDC4012\2017-08-12 --exclude "*" --recursive --include "*20170812*" &amp; "%USERPROFILE%\Documents\GitHub\mrs-test-scripts\Headless Mode &amp; Sideloading\WalkAndUnGZ.bat" "%USERPROFILE%\AppData\Local\Temp\OnboardLogs"\RTDC4012\2017-08-12</v>
      </c>
      <c r="AF15" s="74" t="str">
        <f t="shared" si="12"/>
        <v>"C:\Program Files (x86)\AstroGrep\AstroGrep.exe" /e /r /s /spath="%USERPROFILE%\AppData\Local\Temp\OnboardLogs" /stypes="app*4012*20170811*"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103-11 --locoid 4012 --swversion DE.1.0.9.0 --startMP 204:460 --initTime 2017-08-11T03:40:37 --startdatetime 2017-08-11T03:45:47 --delay 1 --endMP 204:233383 --enddatetime 2017-08-11T04:22:39 --enforcementcount 0 &gt;&gt;C:\Users\stu\Documents\GitHub\eaglep3-reporting\EC\2017-08-11-refined-times.txt</v>
      </c>
      <c r="AI15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{"issue":{"subject":"","project_id":79,"tracker_id":40,"status_id":1,"priority_id":2,"assigned_to_id":23,"start_date":"2017-08-11","description":"","custom_fields":[{"id":1,"name":"Subdivision","value":"EC"},{"id":4,"name":"Milepost","value":"23.3383"},{"id":17,"name":"Train ID","value":"103-11"},{"id":16,"name":"Locomotive ID","value":"4012"},{"id":130,"name":"Impact","value":""},{"id":150,"name":"Time of Event (Mountain Time)","value":"04:22:39"},{"id":151,"name":"Denver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4012 --day 2017-08-11</v>
      </c>
      <c r="AN15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10:22:39"},{"id":29,"name":"Sharepoint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649</v>
      </c>
      <c r="B16" s="7">
        <v>4011</v>
      </c>
      <c r="C16" s="21" t="s">
        <v>198</v>
      </c>
      <c r="D16" s="21" t="s">
        <v>534</v>
      </c>
      <c r="E16" s="13">
        <v>42958.191041666665</v>
      </c>
      <c r="F16" s="13">
        <v>42958.196006944447</v>
      </c>
      <c r="G16" s="7">
        <v>1</v>
      </c>
      <c r="H16" s="21" t="s">
        <v>878</v>
      </c>
      <c r="I16" s="13">
        <v>42958.225069444445</v>
      </c>
      <c r="J16" s="7">
        <v>0</v>
      </c>
      <c r="K16" s="89" t="str">
        <f t="shared" si="0"/>
        <v>4011/4012</v>
      </c>
      <c r="L16" s="21" t="str">
        <f>VLOOKUP(A16,'Trips&amp;Operators'!$C$1:$G$99999,5,FALSE)</f>
        <v>WILLIAMS DONTE</v>
      </c>
      <c r="M16" s="6">
        <f t="shared" si="1"/>
        <v>2.9062499997962732E-2</v>
      </c>
      <c r="N16" s="7">
        <f t="shared" si="2"/>
        <v>41.849999997066334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-08-11T03:35:06-0600',mode:absolute,to:'2017-08-11T06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23.298999999999999</v>
      </c>
      <c r="Z16" s="197">
        <f t="shared" si="8"/>
        <v>1.6500000000000001E-2</v>
      </c>
      <c r="AA16" s="197">
        <f t="shared" si="9"/>
        <v>23.282499999999999</v>
      </c>
      <c r="AB16" s="54" t="e">
        <f>VLOOKUP(A16,Enforcements!$C$7:$K$12,8,0)</f>
        <v>#N/A</v>
      </c>
      <c r="AC16" s="51" t="e">
        <f>VLOOKUP(A16,Enforcements!$C$7:$E$12,3,0)</f>
        <v>#N/A</v>
      </c>
      <c r="AD16" s="206">
        <f t="shared" si="10"/>
        <v>104</v>
      </c>
      <c r="AE16" s="77" t="str">
        <f t="shared" si="11"/>
        <v>aws s3 cp s3://rtdc.mdm.uploadarchive.raw/RTDC4011/ "%USERPROFILE%\AppData\Local\Temp\OnboardLogs"\RTDC4011\2017-08-11 --exclude "*" --recursive --include "*20170811*" &amp; "%USERPROFILE%\Documents\GitHub\mrs-test-scripts\Headless Mode &amp; Sideloading\WalkAndUnGZ.bat" "%USERPROFILE%\AppData\Local\Temp\OnboardLogs"\RTDC4011\2017-08-11 &amp; aws s3 cp s3://rtdc.mdm.uploadarchive.raw/RTDC4011/ "%USERPROFILE%\AppData\Local\Temp\OnboardLogs"\RTDC4011\2017-08-12 --exclude "*" --recursive --include "*20170812*" &amp; "%USERPROFILE%\Documents\GitHub\mrs-test-scripts\Headless Mode &amp; Sideloading\WalkAndUnGZ.bat" "%USERPROFILE%\AppData\Local\Temp\OnboardLogs"\RTDC4011\2017-08-12</v>
      </c>
      <c r="AF16" s="74" t="str">
        <f t="shared" si="12"/>
        <v>"C:\Program Files (x86)\AstroGrep\AstroGrep.exe" /e /r /s /spath="%USERPROFILE%\AppData\Local\Temp\OnboardLogs" /stypes="app*4011*20170811*"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104-11 --locoid 4011 --swversion DE.1.0.9.0 --startMP 204:232990 --initTime 2017-08-11T04:35:06 --startdatetime 2017-08-11T04:42:15 --delay 1 --endMP 204:165 --enddatetime 2017-08-11T05:24:06 --enforcementcount 0 &gt;&gt;C:\Users\stu\Documents\GitHub\eaglep3-reporting\EC\2017-08-11-refined-times.txt</v>
      </c>
      <c r="AI16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{"issue":{"subject":"","project_id":79,"tracker_id":40,"status_id":1,"priority_id":2,"assigned_to_id":23,"start_date":"2017-08-11","description":"","custom_fields":[{"id":1,"name":"Subdivision","value":"EC"},{"id":4,"name":"Milepost","value":"0.0165"},{"id":17,"name":"Train ID","value":"104-11"},{"id":16,"name":"Locomotive ID","value":"4011"},{"id":130,"name":"Impact","value":""},{"id":150,"name":"Time of Event (Mountain Time)","value":"05:24:06"},{"id":151,"name":"Denver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4011 --day 2017-08-11</v>
      </c>
      <c r="AN16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11:24:06"},{"id":29,"name":"Sharepoint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647</v>
      </c>
      <c r="B17" s="7">
        <v>4066</v>
      </c>
      <c r="C17" s="21" t="s">
        <v>198</v>
      </c>
      <c r="D17" s="21" t="s">
        <v>374</v>
      </c>
      <c r="E17" s="13">
        <v>42958.171331018515</v>
      </c>
      <c r="F17" s="13">
        <v>42958.177743055552</v>
      </c>
      <c r="G17" s="7">
        <v>1</v>
      </c>
      <c r="H17" s="21" t="s">
        <v>873</v>
      </c>
      <c r="I17" s="13">
        <v>42958.204097222224</v>
      </c>
      <c r="J17" s="7">
        <v>0</v>
      </c>
      <c r="K17" s="89" t="str">
        <f t="shared" si="0"/>
        <v>4065/4066</v>
      </c>
      <c r="L17" s="21" t="str">
        <f>VLOOKUP(A17,'Trips&amp;Operators'!$C$1:$G$99999,5,FALSE)</f>
        <v>GUNTHIER ERIC</v>
      </c>
      <c r="M17" s="6">
        <f t="shared" si="1"/>
        <v>2.6354166671808343E-2</v>
      </c>
      <c r="N17" s="7">
        <f t="shared" si="2"/>
        <v>37.950000007404014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-08-11T03:06:43-0600',mode:absolute,to:'2017-08-11T05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4.6199999999999998E-2</v>
      </c>
      <c r="Z17" s="197">
        <f t="shared" si="8"/>
        <v>23.345300000000002</v>
      </c>
      <c r="AA17" s="197">
        <f t="shared" si="9"/>
        <v>23.299100000000003</v>
      </c>
      <c r="AB17" s="54" t="e">
        <f>VLOOKUP(A17,Enforcements!$C$7:$K$12,8,0)</f>
        <v>#N/A</v>
      </c>
      <c r="AC17" s="51" t="e">
        <f>VLOOKUP(A17,Enforcements!$C$7:$E$12,3,0)</f>
        <v>#N/A</v>
      </c>
      <c r="AD17" s="206">
        <f t="shared" si="10"/>
        <v>105</v>
      </c>
      <c r="AE17" s="77" t="str">
        <f t="shared" si="11"/>
        <v>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 &amp; aws s3 cp s3://rtdc.mdm.uploadarchive.raw/RTDC4066/ "%USERPROFILE%\AppData\Local\Temp\OnboardLogs"\RTDC4066\2017-08-12 --exclude "*" --recursive --include "*20170812*" &amp; "%USERPROFILE%\Documents\GitHub\mrs-test-scripts\Headless Mode &amp; Sideloading\WalkAndUnGZ.bat" "%USERPROFILE%\AppData\Local\Temp\OnboardLogs"\RTDC4066\2017-08-12</v>
      </c>
      <c r="AF17" s="74" t="str">
        <f t="shared" si="12"/>
        <v>"C:\Program Files (x86)\AstroGrep\AstroGrep.exe" /e /r /s /spath="%USERPROFILE%\AppData\Local\Temp\OnboardLogs" /stypes="app*4066*20170811*"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105-11 --locoid 4066 --swversion DE.1.0.9.0 --startMP 204:462 --initTime 2017-08-11T04:06:43 --startdatetime 2017-08-11T04:15:57 --delay 1 --endMP 204:233453 --enddatetime 2017-08-11T04:53:54 --enforcementcount 0 &gt;&gt;C:\Users\stu\Documents\GitHub\eaglep3-reporting\EC\2017-08-11-refined-times.txt</v>
      </c>
      <c r="AI17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{"issue":{"subject":"","project_id":79,"tracker_id":40,"status_id":1,"priority_id":2,"assigned_to_id":23,"start_date":"2017-08-11","description":"","custom_fields":[{"id":1,"name":"Subdivision","value":"EC"},{"id":4,"name":"Milepost","value":"23.3453"},{"id":17,"name":"Train ID","value":"105-11"},{"id":16,"name":"Locomotive ID","value":"4066"},{"id":130,"name":"Impact","value":""},{"id":150,"name":"Time of Event (Mountain Time)","value":"04:53:54"},{"id":151,"name":"Denver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4066 --day 2017-08-11</v>
      </c>
      <c r="AN17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10:53:54"},{"id":29,"name":"Sharepoint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657</v>
      </c>
      <c r="B18" s="7">
        <v>4065</v>
      </c>
      <c r="C18" s="21" t="s">
        <v>198</v>
      </c>
      <c r="D18" s="21" t="s">
        <v>874</v>
      </c>
      <c r="E18" s="13">
        <v>42958.212372685186</v>
      </c>
      <c r="F18" s="13">
        <v>42958.217256944445</v>
      </c>
      <c r="G18" s="7">
        <v>1</v>
      </c>
      <c r="H18" s="21" t="s">
        <v>341</v>
      </c>
      <c r="I18" s="13">
        <v>42958.244525462964</v>
      </c>
      <c r="J18" s="7">
        <v>0</v>
      </c>
      <c r="K18" s="89" t="str">
        <f t="shared" si="0"/>
        <v>4065/4066</v>
      </c>
      <c r="L18" s="21" t="str">
        <f>VLOOKUP(A18,'Trips&amp;Operators'!$C$1:$G$99999,5,FALSE)</f>
        <v>GUNTHIER ERIC</v>
      </c>
      <c r="M18" s="6">
        <f t="shared" si="1"/>
        <v>2.7268518519122154E-2</v>
      </c>
      <c r="N18" s="7">
        <f t="shared" si="2"/>
        <v>39.266666667535901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-08-11T04:05:49-0600',mode:absolute,to:'2017-08-11T06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23.312200000000001</v>
      </c>
      <c r="Z18" s="197">
        <f t="shared" si="8"/>
        <v>1.4999999999999999E-2</v>
      </c>
      <c r="AA18" s="197">
        <f t="shared" si="9"/>
        <v>23.2972</v>
      </c>
      <c r="AB18" s="54" t="e">
        <f>VLOOKUP(A18,Enforcements!$C$7:$K$12,8,0)</f>
        <v>#N/A</v>
      </c>
      <c r="AC18" s="51" t="e">
        <f>VLOOKUP(A18,Enforcements!$C$7:$E$12,3,0)</f>
        <v>#N/A</v>
      </c>
      <c r="AD18" s="206">
        <f t="shared" si="10"/>
        <v>106</v>
      </c>
      <c r="AE18" s="77" t="str">
        <f t="shared" si="11"/>
        <v>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 &amp; aws s3 cp s3://rtdc.mdm.uploadarchive.raw/RTDC4065/ "%USERPROFILE%\AppData\Local\Temp\OnboardLogs"\RTDC4065\2017-08-12 --exclude "*" --recursive --include "*20170812*" &amp; "%USERPROFILE%\Documents\GitHub\mrs-test-scripts\Headless Mode &amp; Sideloading\WalkAndUnGZ.bat" "%USERPROFILE%\AppData\Local\Temp\OnboardLogs"\RTDC4065\2017-08-12</v>
      </c>
      <c r="AF18" s="74" t="str">
        <f t="shared" si="12"/>
        <v>"C:\Program Files (x86)\AstroGrep\AstroGrep.exe" /e /r /s /spath="%USERPROFILE%\AppData\Local\Temp\OnboardLogs" /stypes="app*4065*20170811*"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106-11 --locoid 4065 --swversion DE.1.0.9.0 --startMP 204:233122 --initTime 2017-08-11T05:05:49 --startdatetime 2017-08-11T05:12:51 --delay 1 --endMP 204:150 --enddatetime 2017-08-11T05:52:07 --enforcementcount 0 &gt;&gt;C:\Users\stu\Documents\GitHub\eaglep3-reporting\EC\2017-08-11-refined-times.txt</v>
      </c>
      <c r="AI18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{"issue":{"subject":"","project_id":79,"tracker_id":40,"status_id":1,"priority_id":2,"assigned_to_id":23,"start_date":"2017-08-11","description":"","custom_fields":[{"id":1,"name":"Subdivision","value":"EC"},{"id":4,"name":"Milepost","value":"0.015"},{"id":17,"name":"Train ID","value":"106-11"},{"id":16,"name":"Locomotive ID","value":"4065"},{"id":130,"name":"Impact","value":""},{"id":150,"name":"Time of Event (Mountain Time)","value":"05:52:07"},{"id":151,"name":"Denver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4065 --day 2017-08-11</v>
      </c>
      <c r="AN18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11:52:07"},{"id":29,"name":"Sharepoint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603</v>
      </c>
      <c r="B19" s="7">
        <v>4058</v>
      </c>
      <c r="C19" s="21" t="s">
        <v>198</v>
      </c>
      <c r="D19" s="21" t="s">
        <v>436</v>
      </c>
      <c r="E19" s="13">
        <v>42958.184270833335</v>
      </c>
      <c r="F19" s="13">
        <v>42958.200891203705</v>
      </c>
      <c r="G19" s="7">
        <v>1</v>
      </c>
      <c r="H19" s="21" t="s">
        <v>1045</v>
      </c>
      <c r="I19" s="13">
        <v>42958.216666666667</v>
      </c>
      <c r="J19" s="7">
        <v>0</v>
      </c>
      <c r="K19" s="89" t="str">
        <f t="shared" si="0"/>
        <v>4057/4058</v>
      </c>
      <c r="L19" s="21" t="str">
        <f>VLOOKUP(A19,'Trips&amp;Operators'!$C$1:$G$99999,5,FALSE)</f>
        <v>BARRON PERLA</v>
      </c>
      <c r="M19" s="6">
        <f t="shared" si="1"/>
        <v>1.5775462961755693E-2</v>
      </c>
      <c r="N19" s="7"/>
      <c r="O19" s="7"/>
      <c r="P19" s="7">
        <f>24*60*SUM($M19:$M19)</f>
        <v>22.716666664928198</v>
      </c>
      <c r="Q19" s="22"/>
      <c r="R19" s="170" t="s">
        <v>1107</v>
      </c>
      <c r="S19" s="213">
        <f>1/IF(AG19="EC",12,1)*SUM(U19:U20)</f>
        <v>0.58333333333333326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4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-08-11T03:25:21-0600',mode:absolute,to:'2017-08-11T06:12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" s="197" t="str">
        <f>IF(AA19&lt;VLOOKUP(AG19,Variables!$AC$3:$AD$8,2,FALSE),"Y","N")</f>
        <v>Y</v>
      </c>
      <c r="X19" s="197">
        <f t="shared" si="6"/>
        <v>1</v>
      </c>
      <c r="Y19" s="197">
        <f t="shared" si="7"/>
        <v>4.5699999999999998E-2</v>
      </c>
      <c r="Z19" s="197">
        <f t="shared" si="8"/>
        <v>4.6925999999999997</v>
      </c>
      <c r="AA19" s="197">
        <f t="shared" si="9"/>
        <v>4.6468999999999996</v>
      </c>
      <c r="AB19" s="54" t="e">
        <f>VLOOKUP(A19,Enforcements!$C$7:$K$12,8,0)</f>
        <v>#N/A</v>
      </c>
      <c r="AC19" s="51" t="e">
        <f>VLOOKUP(A19,Enforcements!$C$7:$E$12,3,0)</f>
        <v>#N/A</v>
      </c>
      <c r="AD19" s="206">
        <f t="shared" si="10"/>
        <v>107</v>
      </c>
      <c r="AE19" s="77" t="str">
        <f t="shared" si="11"/>
        <v>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 &amp; aws s3 cp s3://rtdc.mdm.uploadarchive.raw/RTDC4058/ "%USERPROFILE%\AppData\Local\Temp\OnboardLogs"\RTDC4058\2017-08-12 --exclude "*" --recursive --include "*20170812*" &amp; "%USERPROFILE%\Documents\GitHub\mrs-test-scripts\Headless Mode &amp; Sideloading\WalkAndUnGZ.bat" "%USERPROFILE%\AppData\Local\Temp\OnboardLogs"\RTDC4058\2017-08-12</v>
      </c>
      <c r="AF19" s="74" t="str">
        <f t="shared" si="12"/>
        <v>"C:\Program Files (x86)\AstroGrep\AstroGrep.exe" /e /r /s /spath="%USERPROFILE%\AppData\Local\Temp\OnboardLogs" /stypes="app*4058*20170811*"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107-11 --locoid 4058 --swversion DE.1.0.9.0 --startMP 204:457 --initTime 2017-08-11T04:25:21 --startdatetime 2017-08-11T04:49:17 --delay 1 --endMP 204:46926 --enddatetime 2017-08-11T05:12:00 --enforcementcount 0 &gt;&gt;C:\Users\stu\Documents\GitHub\eaglep3-reporting\EC\2017-08-11-refined-times.txt</v>
      </c>
      <c r="AI19" s="96" t="str">
        <f t="shared" si="19"/>
        <v>echo {"issue":{"subject":"Wi-MAX data drop","project_id":79,"tracker_id":40,"status_id":1,"priority_id":2,"assigned_to_id":23,"start_date":"2017-08-11","description":"","custom_fields":[{"id":1,"name":"Subdivision","value":"EC"},{"id":4,"name":"Milepost","value":"4.6926"},{"id":17,"name":"Train ID","value":"107-11"},{"id":16,"name":"Locomotive ID","value":"4058"},{"id":130,"name":"Impact","value":""},{"id":150,"name":"Time of Event (Mountain Time)","value":"05:12:00"},{"id":151,"name":"Denver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4058 --day 2017-08-11</v>
      </c>
      <c r="AN19" s="151" t="str">
        <f t="shared" si="21"/>
        <v>echo {"issue":{"subject":"Wi-MAX data drop","project_id":30,"tracker_id":4,"status_id":1,"priority_id":1,"assigned_to_id":10,"start_date":"2017-08-11","description":"","custom_fields":[{"id":30,"name":"Category","value":"Issue"},{"id":3,"name":"Functional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11:12:00"},{"id":29,"name":"Sharepoint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603</v>
      </c>
      <c r="B20" s="7">
        <v>4058</v>
      </c>
      <c r="C20" s="21" t="s">
        <v>198</v>
      </c>
      <c r="D20" s="21" t="s">
        <v>875</v>
      </c>
      <c r="E20" s="13">
        <v>42958.199988425928</v>
      </c>
      <c r="F20" s="13">
        <v>42958.200891203705</v>
      </c>
      <c r="G20" s="7">
        <v>0</v>
      </c>
      <c r="H20" s="21" t="s">
        <v>876</v>
      </c>
      <c r="I20" s="13">
        <v>42958.216666666667</v>
      </c>
      <c r="J20" s="7">
        <v>0</v>
      </c>
      <c r="K20" s="89" t="str">
        <f t="shared" si="0"/>
        <v>4057/4058</v>
      </c>
      <c r="L20" s="21" t="str">
        <f>VLOOKUP(A20,'Trips&amp;Operators'!$C$1:$G$99999,5,FALSE)</f>
        <v>BARRON PERLA</v>
      </c>
      <c r="M20" s="6">
        <f t="shared" si="1"/>
        <v>1.5775462961755693E-2</v>
      </c>
      <c r="N20" s="7"/>
      <c r="O20" s="7"/>
      <c r="P20" s="7"/>
      <c r="Q20" s="22"/>
      <c r="R20" s="170"/>
      <c r="S20" s="213"/>
      <c r="T20" s="195" t="str">
        <f t="shared" si="4"/>
        <v>NorthBound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3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-08-11T03:47:59-0600',mode:absolute,to:'2017-08-11T06:12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" s="197" t="str">
        <f>IF(AA20&lt;VLOOKUP(AG20,Variables!$AC$3:$AD$8,2,FALSE),"Y","N")</f>
        <v>Y</v>
      </c>
      <c r="X20" s="197">
        <f t="shared" si="6"/>
        <v>0</v>
      </c>
      <c r="Y20" s="197">
        <f t="shared" si="7"/>
        <v>6.4694000000000003</v>
      </c>
      <c r="Z20" s="197">
        <f t="shared" si="8"/>
        <v>23.326599999999999</v>
      </c>
      <c r="AA20" s="197">
        <f t="shared" si="9"/>
        <v>16.857199999999999</v>
      </c>
      <c r="AB20" s="54" t="e">
        <f>VLOOKUP(A20,Enforcements!$C$7:$K$12,8,0)</f>
        <v>#N/A</v>
      </c>
      <c r="AC20" s="51" t="e">
        <f>VLOOKUP(A20,Enforcements!$C$7:$E$12,3,0)</f>
        <v>#N/A</v>
      </c>
      <c r="AD20" s="206">
        <f t="shared" si="10"/>
        <v>107</v>
      </c>
      <c r="AE20" s="77" t="str">
        <f t="shared" si="11"/>
        <v>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 &amp; aws s3 cp s3://rtdc.mdm.uploadarchive.raw/RTDC4058/ "%USERPROFILE%\AppData\Local\Temp\OnboardLogs"\RTDC4058\2017-08-12 --exclude "*" --recursive --include "*20170812*" &amp; "%USERPROFILE%\Documents\GitHub\mrs-test-scripts\Headless Mode &amp; Sideloading\WalkAndUnGZ.bat" "%USERPROFILE%\AppData\Local\Temp\OnboardLogs"\RTDC4058\2017-08-12</v>
      </c>
      <c r="AF20" s="74" t="str">
        <f t="shared" si="12"/>
        <v>"C:\Program Files (x86)\AstroGrep\AstroGrep.exe" /e /r /s /spath="%USERPROFILE%\AppData\Local\Temp\OnboardLogs" /stypes="app*4058*20170811*" /stext=" 11:.+((SYSTEM_STATE.+slice.+state.+changed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107-11 --locoid 4058 --swversion DE.1.0.9.0 --startMP 204:64694 --initTime 2017-08-11T04:47:59 --startdatetime 2017-08-11T04:49:17 --delay 0 --endMP 204:233266 --enddatetime 2017-08-11T05:12:00 --enforcementcount 0 &gt;&gt;C:\Users\stu\Documents\GitHub\eaglep3-reporting\EC\2017-08-11-refined-times.txt</v>
      </c>
      <c r="AI20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{"issue":{"subject":"","project_id":79,"tracker_id":40,"status_id":1,"priority_id":2,"assigned_to_id":23,"start_date":"2017-08-11","description":"","custom_fields":[{"id":1,"name":"Subdivision","value":"EC"},{"id":4,"name":"Milepost","value":"23.3266"},{"id":17,"name":"Train ID","value":"107-11"},{"id":16,"name":"Locomotive ID","value":"4058"},{"id":130,"name":"Impact","value":""},{"id":150,"name":"Time of Event (Mountain Time)","value":"05:12:00"},{"id":151,"name":"Denver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4058 --day 2017-08-11</v>
      </c>
      <c r="AN20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11:12:00"},{"id":29,"name":"Sharepoint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659</v>
      </c>
      <c r="B21" s="7">
        <v>4057</v>
      </c>
      <c r="C21" s="21" t="s">
        <v>198</v>
      </c>
      <c r="D21" s="21" t="s">
        <v>877</v>
      </c>
      <c r="E21" s="13">
        <v>42958.224490740744</v>
      </c>
      <c r="F21" s="13">
        <v>42958.227384259262</v>
      </c>
      <c r="G21" s="7">
        <v>2</v>
      </c>
      <c r="H21" s="21" t="s">
        <v>878</v>
      </c>
      <c r="I21" s="13">
        <v>42958.253750000003</v>
      </c>
      <c r="J21" s="7">
        <v>0</v>
      </c>
      <c r="K21" s="89" t="str">
        <f t="shared" si="0"/>
        <v>4057/4058</v>
      </c>
      <c r="L21" s="21" t="str">
        <f>VLOOKUP(A21,'Trips&amp;Operators'!$C$1:$G$99999,5,FALSE)</f>
        <v>BARRON PERLA</v>
      </c>
      <c r="M21" s="6">
        <f t="shared" si="1"/>
        <v>2.6365740741312038E-2</v>
      </c>
      <c r="N21" s="7">
        <f t="shared" ref="N21:N33" si="22">24*60*SUM($M21:$M21)</f>
        <v>37.966666667489335</v>
      </c>
      <c r="O21" s="7"/>
      <c r="P21" s="7"/>
      <c r="Q21" s="22"/>
      <c r="R21" s="170"/>
      <c r="S21" s="213">
        <f t="shared" ref="S21:S43" si="23">1/IF(AG21="EC",12,1)*SUM(U21:U21)</f>
        <v>1</v>
      </c>
      <c r="T21" s="195" t="str">
        <f t="shared" si="4"/>
        <v>Southbound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-08-11T04:23:16-0600',mode:absolute,to:'2017-08-11T07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23.295100000000001</v>
      </c>
      <c r="Z21" s="197">
        <f t="shared" si="8"/>
        <v>1.6500000000000001E-2</v>
      </c>
      <c r="AA21" s="197">
        <f t="shared" si="9"/>
        <v>23.278600000000001</v>
      </c>
      <c r="AB21" s="54" t="e">
        <f>VLOOKUP(A21,Enforcements!$C$7:$K$12,8,0)</f>
        <v>#N/A</v>
      </c>
      <c r="AC21" s="51" t="e">
        <f>VLOOKUP(A21,Enforcements!$C$7:$E$12,3,0)</f>
        <v>#N/A</v>
      </c>
      <c r="AD21" s="206">
        <f t="shared" si="10"/>
        <v>108</v>
      </c>
      <c r="AE21" s="77" t="str">
        <f t="shared" si="11"/>
        <v>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 &amp; aws s3 cp s3://rtdc.mdm.uploadarchive.raw/RTDC4057/ "%USERPROFILE%\AppData\Local\Temp\OnboardLogs"\RTDC4057\2017-08-12 --exclude "*" --recursive --include "*20170812*" &amp; "%USERPROFILE%\Documents\GitHub\mrs-test-scripts\Headless Mode &amp; Sideloading\WalkAndUnGZ.bat" "%USERPROFILE%\AppData\Local\Temp\OnboardLogs"\RTDC4057\2017-08-12</v>
      </c>
      <c r="AF21" s="74" t="str">
        <f t="shared" si="12"/>
        <v>"C:\Program Files (x86)\AstroGrep\AstroGrep.exe" /e /r /s /spath="%USERPROFILE%\AppData\Local\Temp\OnboardLogs" /stypes="app*4057*20170811*" /stext=" 12:.+((SYSTEM_STATE.+slice.+state.+changed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108-11 --locoid 4057 --swversion DE.1.0.9.0 --startMP 204:232951 --initTime 2017-08-11T05:23:16 --startdatetime 2017-08-11T05:27:26 --delay 2 --endMP 204:165 --enddatetime 2017-08-11T06:05:24 --enforcementcount 0 &gt;&gt;C:\Users\stu\Documents\GitHub\eaglep3-reporting\EC\2017-08-11-refined-times.txt</v>
      </c>
      <c r="AI21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{"issue":{"subject":"","project_id":79,"tracker_id":40,"status_id":1,"priority_id":2,"assigned_to_id":23,"start_date":"2017-08-11","description":"","custom_fields":[{"id":1,"name":"Subdivision","value":"EC"},{"id":4,"name":"Milepost","value":"0.0165"},{"id":17,"name":"Train ID","value":"108-11"},{"id":16,"name":"Locomotive ID","value":"4057"},{"id":130,"name":"Impact","value":""},{"id":150,"name":"Time of Event (Mountain Time)","value":"06:05:24"},{"id":151,"name":"Denver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4057 --day 2017-08-11</v>
      </c>
      <c r="AN21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12:05:24"},{"id":29,"name":"Sharepoint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650</v>
      </c>
      <c r="B22" s="7">
        <v>4030</v>
      </c>
      <c r="C22" s="21" t="s">
        <v>198</v>
      </c>
      <c r="D22" s="21" t="s">
        <v>522</v>
      </c>
      <c r="E22" s="13">
        <v>42958.194120370368</v>
      </c>
      <c r="F22" s="13">
        <v>42958.198460648149</v>
      </c>
      <c r="G22" s="7">
        <v>1</v>
      </c>
      <c r="H22" s="21" t="s">
        <v>578</v>
      </c>
      <c r="I22" s="13">
        <v>42958.225185185183</v>
      </c>
      <c r="J22" s="7">
        <v>0</v>
      </c>
      <c r="K22" s="89" t="str">
        <f t="shared" si="0"/>
        <v>4029/4030</v>
      </c>
      <c r="L22" s="21" t="str">
        <f>VLOOKUP(A22,'Trips&amp;Operators'!$C$1:$G$99999,5,FALSE)</f>
        <v>DAVIS WENDY</v>
      </c>
      <c r="M22" s="6">
        <f t="shared" si="1"/>
        <v>2.6724537034169771E-2</v>
      </c>
      <c r="N22" s="7">
        <f t="shared" si="22"/>
        <v>38.48333332920447</v>
      </c>
      <c r="O22" s="7"/>
      <c r="P22" s="7"/>
      <c r="Q22" s="22"/>
      <c r="R22" s="170"/>
      <c r="S22" s="213">
        <f t="shared" si="23"/>
        <v>1</v>
      </c>
      <c r="T22" s="195" t="str">
        <f t="shared" si="4"/>
        <v>NorthBound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-08-11T03:39:32-0600',mode:absolute,to:'2017-08-11T06:24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4.4400000000000002E-2</v>
      </c>
      <c r="Z22" s="197">
        <f t="shared" si="8"/>
        <v>23.3322</v>
      </c>
      <c r="AA22" s="197">
        <f t="shared" si="9"/>
        <v>23.287800000000001</v>
      </c>
      <c r="AB22" s="54" t="e">
        <f>VLOOKUP(A22,Enforcements!$C$7:$K$12,8,0)</f>
        <v>#N/A</v>
      </c>
      <c r="AC22" s="51" t="e">
        <f>VLOOKUP(A22,Enforcements!$C$7:$E$12,3,0)</f>
        <v>#N/A</v>
      </c>
      <c r="AD22" s="206">
        <f t="shared" si="10"/>
        <v>109</v>
      </c>
      <c r="AE22" s="77" t="str">
        <f t="shared" si="11"/>
        <v>aws s3 cp s3://rtdc.mdm.uploadarchive.raw/RTDC4030/ "%USERPROFILE%\AppData\Local\Temp\OnboardLogs"\RTDC4030\2017-08-11 --exclude "*" --recursive --include "*20170811*" &amp; "%USERPROFILE%\Documents\GitHub\mrs-test-scripts\Headless Mode &amp; Sideloading\WalkAndUnGZ.bat" "%USERPROFILE%\AppData\Local\Temp\OnboardLogs"\RTDC4030\2017-08-11 &amp; aws s3 cp s3://rtdc.mdm.uploadarchive.raw/RTDC4030/ "%USERPROFILE%\AppData\Local\Temp\OnboardLogs"\RTDC4030\2017-08-12 --exclude "*" --recursive --include "*20170812*" &amp; "%USERPROFILE%\Documents\GitHub\mrs-test-scripts\Headless Mode &amp; Sideloading\WalkAndUnGZ.bat" "%USERPROFILE%\AppData\Local\Temp\OnboardLogs"\RTDC4030\2017-08-12</v>
      </c>
      <c r="AF22" s="74" t="str">
        <f t="shared" si="12"/>
        <v>"C:\Program Files (x86)\AstroGrep\AstroGrep.exe" /e /r /s /spath="%USERPROFILE%\AppData\Local\Temp\OnboardLogs" /stypes="app*4030*20170811*" /stext=" 11:.+((SYSTEM_STATE.+slice.+state.+changed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109-11 --locoid 4030 --swversion DE.1.0.9.0 --startMP 204:444 --initTime 2017-08-11T04:39:32 --startdatetime 2017-08-11T04:45:47 --delay 1 --endMP 204:233322 --enddatetime 2017-08-11T05:24:16 --enforcementcount 0 &gt;&gt;C:\Users\stu\Documents\GitHub\eaglep3-reporting\EC\2017-08-11-refined-times.txt</v>
      </c>
      <c r="AI22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{"issue":{"subject":"","project_id":79,"tracker_id":40,"status_id":1,"priority_id":2,"assigned_to_id":23,"start_date":"2017-08-11","description":"","custom_fields":[{"id":1,"name":"Subdivision","value":"EC"},{"id":4,"name":"Milepost","value":"23.3322"},{"id":17,"name":"Train ID","value":"109-11"},{"id":16,"name":"Locomotive ID","value":"4030"},{"id":130,"name":"Impact","value":""},{"id":150,"name":"Time of Event (Mountain Time)","value":"05:24:16"},{"id":151,"name":"Denver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4030 --day 2017-08-11</v>
      </c>
      <c r="AN22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11:24:16"},{"id":29,"name":"Sharepoint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664</v>
      </c>
      <c r="B23" s="7">
        <v>4029</v>
      </c>
      <c r="C23" s="21" t="s">
        <v>198</v>
      </c>
      <c r="D23" s="21" t="s">
        <v>879</v>
      </c>
      <c r="E23" s="13">
        <v>42958.235856481479</v>
      </c>
      <c r="F23" s="13">
        <v>42958.237662037034</v>
      </c>
      <c r="G23" s="7">
        <v>1</v>
      </c>
      <c r="H23" s="21" t="s">
        <v>350</v>
      </c>
      <c r="I23" s="13">
        <v>42958.264953703707</v>
      </c>
      <c r="J23" s="7">
        <v>0</v>
      </c>
      <c r="K23" s="89" t="str">
        <f t="shared" si="0"/>
        <v>4029/4030</v>
      </c>
      <c r="L23" s="21" t="str">
        <f>VLOOKUP(A23,'Trips&amp;Operators'!$C$1:$G$99999,5,FALSE)</f>
        <v>DAVIS WENDY</v>
      </c>
      <c r="M23" s="6">
        <f t="shared" si="1"/>
        <v>2.7291666672681458E-2</v>
      </c>
      <c r="N23" s="7">
        <f t="shared" si="22"/>
        <v>39.3000000086613</v>
      </c>
      <c r="O23" s="7"/>
      <c r="P23" s="7"/>
      <c r="Q23" s="22"/>
      <c r="R23" s="170"/>
      <c r="S23" s="213">
        <f t="shared" si="23"/>
        <v>1</v>
      </c>
      <c r="T23" s="195" t="str">
        <f t="shared" si="4"/>
        <v>Southbound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-08-11T04:39:38-0600',mode:absolute,to:'2017-08-11T07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23.3</v>
      </c>
      <c r="Z23" s="197">
        <f t="shared" si="8"/>
        <v>1.47E-2</v>
      </c>
      <c r="AA23" s="197">
        <f t="shared" si="9"/>
        <v>23.285299999999999</v>
      </c>
      <c r="AB23" s="54" t="e">
        <f>VLOOKUP(A23,Enforcements!$C$7:$K$12,8,0)</f>
        <v>#N/A</v>
      </c>
      <c r="AC23" s="51" t="e">
        <f>VLOOKUP(A23,Enforcements!$C$7:$E$12,3,0)</f>
        <v>#N/A</v>
      </c>
      <c r="AD23" s="206">
        <f t="shared" si="10"/>
        <v>110</v>
      </c>
      <c r="AE23" s="77" t="str">
        <f t="shared" si="11"/>
        <v>aws s3 cp s3://rtdc.mdm.uploadarchive.raw/RTDC4029/ "%USERPROFILE%\AppData\Local\Temp\OnboardLogs"\RTDC4029\2017-08-11 --exclude "*" --recursive --include "*20170811*" &amp; "%USERPROFILE%\Documents\GitHub\mrs-test-scripts\Headless Mode &amp; Sideloading\WalkAndUnGZ.bat" "%USERPROFILE%\AppData\Local\Temp\OnboardLogs"\RTDC4029\2017-08-11 &amp; aws s3 cp s3://rtdc.mdm.uploadarchive.raw/RTDC4029/ "%USERPROFILE%\AppData\Local\Temp\OnboardLogs"\RTDC4029\2017-08-12 --exclude "*" --recursive --include "*20170812*" &amp; "%USERPROFILE%\Documents\GitHub\mrs-test-scripts\Headless Mode &amp; Sideloading\WalkAndUnGZ.bat" "%USERPROFILE%\AppData\Local\Temp\OnboardLogs"\RTDC4029\2017-08-12</v>
      </c>
      <c r="AF23" s="74" t="str">
        <f t="shared" si="12"/>
        <v>"C:\Program Files (x86)\AstroGrep\AstroGrep.exe" /e /r /s /spath="%USERPROFILE%\AppData\Local\Temp\OnboardLogs" /stypes="app*4029*20170811*" /stext=" 12:.+((SYSTEM_STATE.+slice.+state.+changed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110-11 --locoid 4029 --swversion DE.1.0.9.0 --startMP 204:233000 --initTime 2017-08-11T05:39:38 --startdatetime 2017-08-11T05:42:14 --delay 1 --endMP 204:147 --enddatetime 2017-08-11T06:21:32 --enforcementcount 0 &gt;&gt;C:\Users\stu\Documents\GitHub\eaglep3-reporting\EC\2017-08-11-refined-times.txt</v>
      </c>
      <c r="AI23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{"issue":{"subject":"","project_id":79,"tracker_id":40,"status_id":1,"priority_id":2,"assigned_to_id":23,"start_date":"2017-08-11","description":"","custom_fields":[{"id":1,"name":"Subdivision","value":"EC"},{"id":4,"name":"Milepost","value":"0.0147"},{"id":17,"name":"Train ID","value":"110-11"},{"id":16,"name":"Locomotive ID","value":"4029"},{"id":130,"name":"Impact","value":""},{"id":150,"name":"Time of Event (Mountain Time)","value":"06:21:32"},{"id":151,"name":"Denver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4029 --day 2017-08-11</v>
      </c>
      <c r="AN23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12:21:32"},{"id":29,"name":"Sharepoint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655</v>
      </c>
      <c r="B24" s="7">
        <v>4040</v>
      </c>
      <c r="C24" s="21" t="s">
        <v>198</v>
      </c>
      <c r="D24" s="21" t="s">
        <v>565</v>
      </c>
      <c r="E24" s="13">
        <v>42958.204861111109</v>
      </c>
      <c r="F24" s="13">
        <v>42958.208877314813</v>
      </c>
      <c r="G24" s="7">
        <v>1</v>
      </c>
      <c r="H24" s="21" t="s">
        <v>470</v>
      </c>
      <c r="I24" s="13">
        <v>42958.234722222223</v>
      </c>
      <c r="J24" s="7">
        <v>0</v>
      </c>
      <c r="K24" s="89" t="str">
        <f t="shared" si="0"/>
        <v>4039/4040</v>
      </c>
      <c r="L24" s="21" t="str">
        <f>VLOOKUP(A24,'Trips&amp;Operators'!$C$1:$G$99999,5,FALSE)</f>
        <v>STARKS ANGELINA</v>
      </c>
      <c r="M24" s="6">
        <f t="shared" si="1"/>
        <v>2.584490740991896E-2</v>
      </c>
      <c r="N24" s="7">
        <f t="shared" si="22"/>
        <v>37.216666670283303</v>
      </c>
      <c r="O24" s="7"/>
      <c r="P24" s="7"/>
      <c r="Q24" s="22"/>
      <c r="R24" s="170"/>
      <c r="S24" s="213">
        <f t="shared" si="23"/>
        <v>1</v>
      </c>
      <c r="T24" s="195" t="str">
        <f t="shared" si="4"/>
        <v>NorthBound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-08-11T03:55:00-0600',mode:absolute,to:'2017-08-11T06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4.7500000000000001E-2</v>
      </c>
      <c r="Z24" s="197">
        <f t="shared" si="8"/>
        <v>23.3291</v>
      </c>
      <c r="AA24" s="197">
        <f t="shared" si="9"/>
        <v>23.281600000000001</v>
      </c>
      <c r="AB24" s="54" t="e">
        <f>VLOOKUP(A24,Enforcements!$C$7:$K$12,8,0)</f>
        <v>#N/A</v>
      </c>
      <c r="AC24" s="51" t="e">
        <f>VLOOKUP(A24,Enforcements!$C$7:$E$12,3,0)</f>
        <v>#N/A</v>
      </c>
      <c r="AD24" s="206">
        <f t="shared" si="10"/>
        <v>111</v>
      </c>
      <c r="AE24" s="77" t="str">
        <f t="shared" si="11"/>
        <v>aws s3 cp s3://rtdc.mdm.uploadarchive.raw/RTDC4040/ "%USERPROFILE%\AppData\Local\Temp\OnboardLogs"\RTDC4040\2017-08-11 --exclude "*" --recursive --include "*20170811*" &amp; "%USERPROFILE%\Documents\GitHub\mrs-test-scripts\Headless Mode &amp; Sideloading\WalkAndUnGZ.bat" "%USERPROFILE%\AppData\Local\Temp\OnboardLogs"\RTDC4040\2017-08-11 &amp; aws s3 cp s3://rtdc.mdm.uploadarchive.raw/RTDC4040/ "%USERPROFILE%\AppData\Local\Temp\OnboardLogs"\RTDC4040\2017-08-12 --exclude "*" --recursive --include "*20170812*" &amp; "%USERPROFILE%\Documents\GitHub\mrs-test-scripts\Headless Mode &amp; Sideloading\WalkAndUnGZ.bat" "%USERPROFILE%\AppData\Local\Temp\OnboardLogs"\RTDC4040\2017-08-12</v>
      </c>
      <c r="AF24" s="74" t="str">
        <f t="shared" si="12"/>
        <v>"C:\Program Files (x86)\AstroGrep\AstroGrep.exe" /e /r /s /spath="%USERPROFILE%\AppData\Local\Temp\OnboardLogs" /stypes="app*4040*20170811*" /stext=" 11:.+((SYSTEM_STATE.+slice.+state.+changed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111-11 --locoid 4040 --swversion DE.1.0.9.0 --startMP 204:475 --initTime 2017-08-11T04:55:00 --startdatetime 2017-08-11T05:00:47 --delay 1 --endMP 204:233291 --enddatetime 2017-08-11T05:38:00 --enforcementcount 0 &gt;&gt;C:\Users\stu\Documents\GitHub\eaglep3-reporting\EC\2017-08-11-refined-times.txt</v>
      </c>
      <c r="AI24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{"issue":{"subject":"","project_id":79,"tracker_id":40,"status_id":1,"priority_id":2,"assigned_to_id":23,"start_date":"2017-08-11","description":"","custom_fields":[{"id":1,"name":"Subdivision","value":"EC"},{"id":4,"name":"Milepost","value":"23.3291"},{"id":17,"name":"Train ID","value":"111-11"},{"id":16,"name":"Locomotive ID","value":"4040"},{"id":130,"name":"Impact","value":""},{"id":150,"name":"Time of Event (Mountain Time)","value":"05:38:00"},{"id":151,"name":"Denver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4040 --day 2017-08-11</v>
      </c>
      <c r="AN24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11:38:00"},{"id":29,"name":"Sharepoint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669</v>
      </c>
      <c r="B25" s="7">
        <v>4039</v>
      </c>
      <c r="C25" s="21" t="s">
        <v>198</v>
      </c>
      <c r="D25" s="21" t="s">
        <v>493</v>
      </c>
      <c r="E25" s="13">
        <v>42958.247673611113</v>
      </c>
      <c r="F25" s="13">
        <v>42958.248749999999</v>
      </c>
      <c r="G25" s="7">
        <v>1</v>
      </c>
      <c r="H25" s="21" t="s">
        <v>375</v>
      </c>
      <c r="I25" s="13">
        <v>42958.275567129633</v>
      </c>
      <c r="J25" s="7">
        <v>0</v>
      </c>
      <c r="K25" s="89" t="str">
        <f t="shared" si="0"/>
        <v>4039/4040</v>
      </c>
      <c r="L25" s="21" t="str">
        <f>VLOOKUP(A25,'Trips&amp;Operators'!$C$1:$G$99999,5,FALSE)</f>
        <v>STARKS ANGELINA</v>
      </c>
      <c r="M25" s="6">
        <f t="shared" si="1"/>
        <v>2.6817129633855075E-2</v>
      </c>
      <c r="N25" s="7">
        <f t="shared" si="22"/>
        <v>38.616666672751307</v>
      </c>
      <c r="O25" s="7"/>
      <c r="P25" s="7"/>
      <c r="Q25" s="22"/>
      <c r="R25" s="170"/>
      <c r="S25" s="213">
        <f t="shared" si="23"/>
        <v>1</v>
      </c>
      <c r="T25" s="195" t="str">
        <f t="shared" si="4"/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-08-11T04:56:39-0600',mode:absolute,to:'2017-08-11T07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23.297699999999999</v>
      </c>
      <c r="Z25" s="197">
        <f t="shared" si="8"/>
        <v>1.54E-2</v>
      </c>
      <c r="AA25" s="197">
        <f t="shared" si="9"/>
        <v>23.282299999999999</v>
      </c>
      <c r="AB25" s="54" t="e">
        <f>VLOOKUP(A25,Enforcements!$C$7:$K$12,8,0)</f>
        <v>#N/A</v>
      </c>
      <c r="AC25" s="51" t="e">
        <f>VLOOKUP(A25,Enforcements!$C$7:$E$12,3,0)</f>
        <v>#N/A</v>
      </c>
      <c r="AD25" s="206">
        <f t="shared" si="10"/>
        <v>112</v>
      </c>
      <c r="AE25" s="77" t="str">
        <f t="shared" si="11"/>
        <v>aws s3 cp s3://rtdc.mdm.uploadarchive.raw/RTDC4039/ "%USERPROFILE%\AppData\Local\Temp\OnboardLogs"\RTDC4039\2017-08-11 --exclude "*" --recursive --include "*20170811*" &amp; "%USERPROFILE%\Documents\GitHub\mrs-test-scripts\Headless Mode &amp; Sideloading\WalkAndUnGZ.bat" "%USERPROFILE%\AppData\Local\Temp\OnboardLogs"\RTDC4039\2017-08-11 &amp; aws s3 cp s3://rtdc.mdm.uploadarchive.raw/RTDC4039/ "%USERPROFILE%\AppData\Local\Temp\OnboardLogs"\RTDC4039\2017-08-12 --exclude "*" --recursive --include "*20170812*" &amp; "%USERPROFILE%\Documents\GitHub\mrs-test-scripts\Headless Mode &amp; Sideloading\WalkAndUnGZ.bat" "%USERPROFILE%\AppData\Local\Temp\OnboardLogs"\RTDC4039\2017-08-12</v>
      </c>
      <c r="AF25" s="74" t="str">
        <f t="shared" si="12"/>
        <v>"C:\Program Files (x86)\AstroGrep\AstroGrep.exe" /e /r /s /spath="%USERPROFILE%\AppData\Local\Temp\OnboardLogs" /stypes="app*4039*20170811*" /stext=" 12:.+((SYSTEM_STATE.+slice.+state.+changed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112-11 --locoid 4039 --swversion DE.1.0.9.0 --startMP 204:232977 --initTime 2017-08-11T05:56:39 --startdatetime 2017-08-11T05:58:12 --delay 1 --endMP 204:154 --enddatetime 2017-08-11T06:36:49 --enforcementcount 0 &gt;&gt;C:\Users\stu\Documents\GitHub\eaglep3-reporting\EC\2017-08-11-refined-times.txt</v>
      </c>
      <c r="AI25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{"issue":{"subject":"","project_id":79,"tracker_id":40,"status_id":1,"priority_id":2,"assigned_to_id":23,"start_date":"2017-08-11","description":"","custom_fields":[{"id":1,"name":"Subdivision","value":"EC"},{"id":4,"name":"Milepost","value":"0.0154"},{"id":17,"name":"Train ID","value":"112-11"},{"id":16,"name":"Locomotive ID","value":"4039"},{"id":130,"name":"Impact","value":""},{"id":150,"name":"Time of Event (Mountain Time)","value":"06:36:49"},{"id":151,"name":"Denver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4039 --day 2017-08-11</v>
      </c>
      <c r="AN25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12:36:49"},{"id":29,"name":"Sharepoint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658</v>
      </c>
      <c r="B26" s="7">
        <v>4014</v>
      </c>
      <c r="C26" s="21" t="s">
        <v>198</v>
      </c>
      <c r="D26" s="21" t="s">
        <v>532</v>
      </c>
      <c r="E26" s="13">
        <v>42958.217638888891</v>
      </c>
      <c r="F26" s="13">
        <v>42958.219386574077</v>
      </c>
      <c r="G26" s="7">
        <v>1</v>
      </c>
      <c r="H26" s="21" t="s">
        <v>880</v>
      </c>
      <c r="I26" s="13">
        <v>42958.244872685187</v>
      </c>
      <c r="J26" s="7">
        <v>0</v>
      </c>
      <c r="K26" s="89" t="str">
        <f t="shared" si="0"/>
        <v>4013/4014</v>
      </c>
      <c r="L26" s="21" t="str">
        <f>VLOOKUP(A26,'Trips&amp;Operators'!$C$1:$G$99999,5,FALSE)</f>
        <v>DAVIDSON DAVID</v>
      </c>
      <c r="M26" s="6">
        <f t="shared" si="1"/>
        <v>2.548611110978527E-2</v>
      </c>
      <c r="N26" s="7">
        <f t="shared" si="22"/>
        <v>36.699999998090789</v>
      </c>
      <c r="O26" s="7"/>
      <c r="P26" s="7"/>
      <c r="Q26" s="22"/>
      <c r="R26" s="170"/>
      <c r="S26" s="213">
        <f t="shared" si="23"/>
        <v>1</v>
      </c>
      <c r="T26" s="195" t="str">
        <f t="shared" si="4"/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-08-11T04:13:24-0600',mode:absolute,to:'2017-08-11T06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4.24E-2</v>
      </c>
      <c r="Z26" s="197">
        <f t="shared" si="8"/>
        <v>23.330100000000002</v>
      </c>
      <c r="AA26" s="197">
        <f t="shared" si="9"/>
        <v>23.287700000000001</v>
      </c>
      <c r="AB26" s="54" t="e">
        <f>VLOOKUP(A26,Enforcements!$C$7:$K$12,8,0)</f>
        <v>#N/A</v>
      </c>
      <c r="AC26" s="51" t="e">
        <f>VLOOKUP(A26,Enforcements!$C$7:$E$12,3,0)</f>
        <v>#N/A</v>
      </c>
      <c r="AD26" s="206">
        <f t="shared" si="10"/>
        <v>113</v>
      </c>
      <c r="AE26" s="77" t="str">
        <f t="shared" si="11"/>
        <v>aws s3 cp s3://rtdc.mdm.uploadarchive.raw/RTDC4014/ "%USERPROFILE%\AppData\Local\Temp\OnboardLogs"\RTDC4014\2017-08-11 --exclude "*" --recursive --include "*20170811*" &amp; "%USERPROFILE%\Documents\GitHub\mrs-test-scripts\Headless Mode &amp; Sideloading\WalkAndUnGZ.bat" "%USERPROFILE%\AppData\Local\Temp\OnboardLogs"\RTDC4014\2017-08-11 &amp; 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</v>
      </c>
      <c r="AF26" s="74" t="str">
        <f t="shared" si="12"/>
        <v>"C:\Program Files (x86)\AstroGrep\AstroGrep.exe" /e /r /s /spath="%USERPROFILE%\AppData\Local\Temp\OnboardLogs" /stypes="app*4014*20170811*" /stext=" 11:.+((SYSTEM_STATE.+slice.+state.+changed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113-11 --locoid 4014 --swversion DE.1.0.9.0 --startMP 204:424 --initTime 2017-08-11T05:13:24 --startdatetime 2017-08-11T05:15:55 --delay 1 --endMP 204:233301 --enddatetime 2017-08-11T05:52:37 --enforcementcount 0 &gt;&gt;C:\Users\stu\Documents\GitHub\eaglep3-reporting\EC\2017-08-11-refined-times.txt</v>
      </c>
      <c r="AI26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{"issue":{"subject":"","project_id":79,"tracker_id":40,"status_id":1,"priority_id":2,"assigned_to_id":23,"start_date":"2017-08-11","description":"","custom_fields":[{"id":1,"name":"Subdivision","value":"EC"},{"id":4,"name":"Milepost","value":"23.3301"},{"id":17,"name":"Train ID","value":"113-11"},{"id":16,"name":"Locomotive ID","value":"4014"},{"id":130,"name":"Impact","value":""},{"id":150,"name":"Time of Event (Mountain Time)","value":"05:52:37"},{"id":151,"name":"Denver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4014 --day 2017-08-11</v>
      </c>
      <c r="AN26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11:52:37"},{"id":29,"name":"Sharepoint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667</v>
      </c>
      <c r="B27" s="7">
        <v>4013</v>
      </c>
      <c r="C27" s="21" t="s">
        <v>198</v>
      </c>
      <c r="D27" s="21" t="s">
        <v>582</v>
      </c>
      <c r="E27" s="13">
        <v>42958.246655092589</v>
      </c>
      <c r="F27" s="13">
        <v>42958.258657407408</v>
      </c>
      <c r="G27" s="7">
        <v>1</v>
      </c>
      <c r="H27" s="21" t="s">
        <v>375</v>
      </c>
      <c r="I27" s="13">
        <v>42958.285729166666</v>
      </c>
      <c r="J27" s="7">
        <v>0</v>
      </c>
      <c r="K27" s="89" t="str">
        <f t="shared" si="0"/>
        <v>4013/4014</v>
      </c>
      <c r="L27" s="21" t="str">
        <f>VLOOKUP(A27,'Trips&amp;Operators'!$C$1:$G$99999,5,FALSE)</f>
        <v>DAVIDSON DAVID</v>
      </c>
      <c r="M27" s="6">
        <f t="shared" si="1"/>
        <v>2.7071759257523809E-2</v>
      </c>
      <c r="N27" s="7">
        <f t="shared" si="22"/>
        <v>38.983333330834284</v>
      </c>
      <c r="O27" s="7"/>
      <c r="P27" s="7"/>
      <c r="Q27" s="22"/>
      <c r="R27" s="170"/>
      <c r="S27" s="213">
        <f t="shared" si="23"/>
        <v>1</v>
      </c>
      <c r="T27" s="195" t="str">
        <f t="shared" si="4"/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-08-11T04:55:11-0600',mode:absolute,to:'2017-08-11T07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23.298200000000001</v>
      </c>
      <c r="Z27" s="197">
        <f t="shared" si="8"/>
        <v>1.54E-2</v>
      </c>
      <c r="AA27" s="197">
        <f t="shared" si="9"/>
        <v>23.282800000000002</v>
      </c>
      <c r="AB27" s="54" t="e">
        <f>VLOOKUP(A27,Enforcements!$C$7:$K$12,8,0)</f>
        <v>#N/A</v>
      </c>
      <c r="AC27" s="51" t="e">
        <f>VLOOKUP(A27,Enforcements!$C$7:$E$12,3,0)</f>
        <v>#N/A</v>
      </c>
      <c r="AD27" s="206">
        <f t="shared" si="10"/>
        <v>114</v>
      </c>
      <c r="AE27" s="77" t="str">
        <f t="shared" si="11"/>
        <v>aws s3 cp s3://rtdc.mdm.uploadarchive.raw/RTDC4013/ "%USERPROFILE%\AppData\Local\Temp\OnboardLogs"\RTDC4013\2017-08-11 --exclude "*" --recursive --include "*20170811*" &amp; "%USERPROFILE%\Documents\GitHub\mrs-test-scripts\Headless Mode &amp; Sideloading\WalkAndUnGZ.bat" "%USERPROFILE%\AppData\Local\Temp\OnboardLogs"\RTDC4013\2017-08-11 &amp; 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</v>
      </c>
      <c r="AF27" s="74" t="str">
        <f t="shared" si="12"/>
        <v>"C:\Program Files (x86)\AstroGrep\AstroGrep.exe" /e /r /s /spath="%USERPROFILE%\AppData\Local\Temp\OnboardLogs" /stypes="app*4013*20170811*"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114-11 --locoid 4013 --swversion DE.1.0.9.0 --startMP 204:232982 --initTime 2017-08-11T05:55:11 --startdatetime 2017-08-11T06:12:28 --delay 1 --endMP 204:154 --enddatetime 2017-08-11T06:51:27 --enforcementcount 0 &gt;&gt;C:\Users\stu\Documents\GitHub\eaglep3-reporting\EC\2017-08-11-refined-times.txt</v>
      </c>
      <c r="AI27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{"issue":{"subject":"","project_id":79,"tracker_id":40,"status_id":1,"priority_id":2,"assigned_to_id":23,"start_date":"2017-08-11","description":"","custom_fields":[{"id":1,"name":"Subdivision","value":"EC"},{"id":4,"name":"Milepost","value":"0.0154"},{"id":17,"name":"Train ID","value":"114-11"},{"id":16,"name":"Locomotive ID","value":"4013"},{"id":130,"name":"Impact","value":""},{"id":150,"name":"Time of Event (Mountain Time)","value":"06:51:27"},{"id":151,"name":"Denver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4013 --day 2017-08-11</v>
      </c>
      <c r="AN27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12:51:27"},{"id":29,"name":"Sharepoint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662</v>
      </c>
      <c r="B28" s="7">
        <v>4012</v>
      </c>
      <c r="C28" s="21" t="s">
        <v>198</v>
      </c>
      <c r="D28" s="21" t="s">
        <v>346</v>
      </c>
      <c r="E28" s="13">
        <v>42958.227337962962</v>
      </c>
      <c r="F28" s="13">
        <v>42958.229733796295</v>
      </c>
      <c r="G28" s="7">
        <v>1</v>
      </c>
      <c r="H28" s="21" t="s">
        <v>495</v>
      </c>
      <c r="I28" s="13">
        <v>42958.255347222221</v>
      </c>
      <c r="J28" s="7">
        <v>0</v>
      </c>
      <c r="K28" s="89" t="str">
        <f t="shared" si="0"/>
        <v>4011/4012</v>
      </c>
      <c r="L28" s="21" t="str">
        <f>VLOOKUP(A28,'Trips&amp;Operators'!$C$1:$G$99999,5,FALSE)</f>
        <v>WILLIAMS DONTE</v>
      </c>
      <c r="M28" s="6">
        <f t="shared" si="1"/>
        <v>2.5613425925257616E-2</v>
      </c>
      <c r="N28" s="7">
        <f t="shared" si="22"/>
        <v>36.883333332370967</v>
      </c>
      <c r="O28" s="7"/>
      <c r="P28" s="7"/>
      <c r="Q28" s="22"/>
      <c r="R28" s="170"/>
      <c r="S28" s="213">
        <f t="shared" si="23"/>
        <v>1</v>
      </c>
      <c r="T28" s="195" t="str">
        <f t="shared" si="4"/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-08-11T04:27:22-0600',mode:absolute,to:'2017-08-11T07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4.4699999999999997E-2</v>
      </c>
      <c r="Z28" s="197">
        <f t="shared" si="8"/>
        <v>23.329499999999999</v>
      </c>
      <c r="AA28" s="197">
        <f t="shared" si="9"/>
        <v>23.284800000000001</v>
      </c>
      <c r="AB28" s="54" t="e">
        <f>VLOOKUP(A28,Enforcements!$C$7:$K$12,8,0)</f>
        <v>#N/A</v>
      </c>
      <c r="AC28" s="51" t="e">
        <f>VLOOKUP(A28,Enforcements!$C$7:$E$12,3,0)</f>
        <v>#N/A</v>
      </c>
      <c r="AD28" s="206">
        <f t="shared" si="10"/>
        <v>115</v>
      </c>
      <c r="AE28" s="77" t="str">
        <f t="shared" si="11"/>
        <v>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 &amp; aws s3 cp s3://rtdc.mdm.uploadarchive.raw/RTDC4012/ "%USERPROFILE%\AppData\Local\Temp\OnboardLogs"\RTDC4012\2017-08-12 --exclude "*" --recursive --include "*20170812*" &amp; "%USERPROFILE%\Documents\GitHub\mrs-test-scripts\Headless Mode &amp; Sideloading\WalkAndUnGZ.bat" "%USERPROFILE%\AppData\Local\Temp\OnboardLogs"\RTDC4012\2017-08-12</v>
      </c>
      <c r="AF28" s="74" t="str">
        <f t="shared" si="12"/>
        <v>"C:\Program Files (x86)\AstroGrep\AstroGrep.exe" /e /r /s /spath="%USERPROFILE%\AppData\Local\Temp\OnboardLogs" /stypes="app*4012*20170811*" /stext=" 12:.+((SYSTEM_STATE.+slice.+state.+changed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115-11 --locoid 4012 --swversion DE.1.0.9.0 --startMP 204:447 --initTime 2017-08-11T05:27:22 --startdatetime 2017-08-11T05:30:49 --delay 1 --endMP 204:233295 --enddatetime 2017-08-11T06:07:42 --enforcementcount 0 &gt;&gt;C:\Users\stu\Documents\GitHub\eaglep3-reporting\EC\2017-08-11-refined-times.txt</v>
      </c>
      <c r="AI28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{"issue":{"subject":"","project_id":79,"tracker_id":40,"status_id":1,"priority_id":2,"assigned_to_id":23,"start_date":"2017-08-11","description":"","custom_fields":[{"id":1,"name":"Subdivision","value":"EC"},{"id":4,"name":"Milepost","value":"23.3295"},{"id":17,"name":"Train ID","value":"115-11"},{"id":16,"name":"Locomotive ID","value":"4012"},{"id":130,"name":"Impact","value":""},{"id":150,"name":"Time of Event (Mountain Time)","value":"06:07:42"},{"id":151,"name":"Denver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4012 --day 2017-08-11</v>
      </c>
      <c r="AN28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12:07:42"},{"id":29,"name":"Sharepoint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607</v>
      </c>
      <c r="B29" s="7">
        <v>4011</v>
      </c>
      <c r="C29" s="21" t="s">
        <v>198</v>
      </c>
      <c r="D29" s="21" t="s">
        <v>531</v>
      </c>
      <c r="E29" s="13">
        <v>42958.266087962962</v>
      </c>
      <c r="F29" s="13">
        <v>42958.268958333334</v>
      </c>
      <c r="G29" s="7">
        <v>1</v>
      </c>
      <c r="H29" s="21" t="s">
        <v>343</v>
      </c>
      <c r="I29" s="13">
        <v>42958.296157407407</v>
      </c>
      <c r="J29" s="7">
        <v>0</v>
      </c>
      <c r="K29" s="89" t="str">
        <f t="shared" si="0"/>
        <v>4011/4012</v>
      </c>
      <c r="L29" s="21" t="str">
        <f>VLOOKUP(A29,'Trips&amp;Operators'!$C$1:$G$99999,5,FALSE)</f>
        <v>WILLIAMS DONTE</v>
      </c>
      <c r="M29" s="6">
        <f t="shared" si="1"/>
        <v>2.7199074072996154E-2</v>
      </c>
      <c r="N29" s="7">
        <f t="shared" si="22"/>
        <v>39.166666665114462</v>
      </c>
      <c r="O29" s="7"/>
      <c r="P29" s="7"/>
      <c r="Q29" s="22"/>
      <c r="R29" s="170"/>
      <c r="S29" s="213">
        <f t="shared" si="23"/>
        <v>1</v>
      </c>
      <c r="T29" s="195" t="str">
        <f t="shared" si="4"/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-08-11T05:23:10-0600',mode:absolute,to:'2017-08-11T08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23.300799999999999</v>
      </c>
      <c r="Z29" s="197">
        <f t="shared" si="8"/>
        <v>1.43E-2</v>
      </c>
      <c r="AA29" s="197">
        <f t="shared" si="9"/>
        <v>23.2865</v>
      </c>
      <c r="AB29" s="54" t="str">
        <f>VLOOKUP(A29,Enforcements!$C$7:$K$12,8,0)</f>
        <v>Bulletin (2)</v>
      </c>
      <c r="AC29" s="51" t="str">
        <f>VLOOKUP(A29,Enforcements!$C$7:$E$12,3,0)</f>
        <v>GRADE CROSSING</v>
      </c>
      <c r="AD29" s="206">
        <f t="shared" si="10"/>
        <v>116</v>
      </c>
      <c r="AE29" s="77" t="str">
        <f t="shared" si="11"/>
        <v>aws s3 cp s3://rtdc.mdm.uploadarchive.raw/RTDC4011/ "%USERPROFILE%\AppData\Local\Temp\OnboardLogs"\RTDC4011\2017-08-11 --exclude "*" --recursive --include "*20170811*" &amp; "%USERPROFILE%\Documents\GitHub\mrs-test-scripts\Headless Mode &amp; Sideloading\WalkAndUnGZ.bat" "%USERPROFILE%\AppData\Local\Temp\OnboardLogs"\RTDC4011\2017-08-11 &amp; aws s3 cp s3://rtdc.mdm.uploadarchive.raw/RTDC4011/ "%USERPROFILE%\AppData\Local\Temp\OnboardLogs"\RTDC4011\2017-08-12 --exclude "*" --recursive --include "*20170812*" &amp; "%USERPROFILE%\Documents\GitHub\mrs-test-scripts\Headless Mode &amp; Sideloading\WalkAndUnGZ.bat" "%USERPROFILE%\AppData\Local\Temp\OnboardLogs"\RTDC4011\2017-08-12</v>
      </c>
      <c r="AF29" s="74" t="str">
        <f t="shared" si="12"/>
        <v>"C:\Program Files (x86)\AstroGrep\AstroGrep.exe" /e /r /s /spath="%USERPROFILE%\AppData\Local\Temp\OnboardLogs" /stypes="app*4011*20170811*" /stext=" 13:.+((SYSTEM_STATE.+slice.+state.+changed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116-11 --locoid 4011 --swversion DE.1.0.9.0 --startMP 204:233008 --initTime 2017-08-11T06:23:10 --startdatetime 2017-08-11T06:27:18 --delay 1 --endMP 204:143 --enddatetime 2017-08-11T07:06:28 --enforcementcount 0 &gt;&gt;C:\Users\stu\Documents\GitHub\eaglep3-reporting\EC\2017-08-11-refined-times.txt</v>
      </c>
      <c r="AI29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{"issue":{"subject":"","project_id":79,"tracker_id":40,"status_id":1,"priority_id":2,"assigned_to_id":23,"start_date":"2017-08-11","description":"","custom_fields":[{"id":1,"name":"Subdivision","value":"EC"},{"id":4,"name":"Milepost","value":"0.0143"},{"id":17,"name":"Train ID","value":"116-11"},{"id":16,"name":"Locomotive ID","value":"4011"},{"id":130,"name":"Impact","value":""},{"id":150,"name":"Time of Event (Mountain Time)","value":"07:06:28"},{"id":151,"name":"Denver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4011 --day 2017-08-11</v>
      </c>
      <c r="AN29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13:06:28"},{"id":29,"name":"Sharepoint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665</v>
      </c>
      <c r="B30" s="7">
        <v>4060</v>
      </c>
      <c r="C30" s="21" t="s">
        <v>198</v>
      </c>
      <c r="D30" s="21" t="s">
        <v>436</v>
      </c>
      <c r="E30" s="13">
        <v>42958.238182870373</v>
      </c>
      <c r="F30" s="13">
        <v>42958.24013888889</v>
      </c>
      <c r="G30" s="7">
        <v>1</v>
      </c>
      <c r="H30" s="21" t="s">
        <v>466</v>
      </c>
      <c r="I30" s="13">
        <v>42958.264189814814</v>
      </c>
      <c r="J30" s="7">
        <v>0</v>
      </c>
      <c r="K30" s="89" t="str">
        <f t="shared" si="0"/>
        <v>4059/4060</v>
      </c>
      <c r="L30" s="21" t="str">
        <f>VLOOKUP(A30,'Trips&amp;Operators'!$C$1:$G$99999,5,FALSE)</f>
        <v>LOZA FIDEL</v>
      </c>
      <c r="M30" s="6">
        <f t="shared" si="1"/>
        <v>2.4050925923802424E-2</v>
      </c>
      <c r="N30" s="7">
        <f t="shared" si="22"/>
        <v>34.633333330275491</v>
      </c>
      <c r="O30" s="7"/>
      <c r="P30" s="7"/>
      <c r="Q30" s="22"/>
      <c r="R30" s="170"/>
      <c r="S30" s="213">
        <f t="shared" si="23"/>
        <v>1</v>
      </c>
      <c r="T30" s="195" t="str">
        <f t="shared" si="4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-08-11T04:42:59-0600',mode:absolute,to:'2017-08-11T07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4.5699999999999998E-2</v>
      </c>
      <c r="Z30" s="197">
        <f t="shared" si="8"/>
        <v>23.331600000000002</v>
      </c>
      <c r="AA30" s="197">
        <f t="shared" si="9"/>
        <v>23.285900000000002</v>
      </c>
      <c r="AB30" s="54" t="e">
        <f>VLOOKUP(A30,Enforcements!$C$7:$K$12,8,0)</f>
        <v>#N/A</v>
      </c>
      <c r="AC30" s="51" t="e">
        <f>VLOOKUP(A30,Enforcements!$C$7:$E$12,3,0)</f>
        <v>#N/A</v>
      </c>
      <c r="AD30" s="206">
        <f t="shared" si="10"/>
        <v>117</v>
      </c>
      <c r="AE30" s="77" t="str">
        <f t="shared" si="11"/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AF30" s="74" t="str">
        <f t="shared" si="12"/>
        <v>"C:\Program Files (x86)\AstroGrep\AstroGrep.exe" /e /r /s /spath="%USERPROFILE%\AppData\Local\Temp\OnboardLogs" /stypes="app*4060*20170811*" /stext=" 12:.+((SYSTEM_STATE.+slice.+state.+changed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117-11 --locoid 4060 --swversion DE.1.0.9.0 --startMP 204:457 --initTime 2017-08-11T05:42:59 --startdatetime 2017-08-11T05:45:48 --delay 1 --endMP 204:233316 --enddatetime 2017-08-11T06:20:26 --enforcementcount 0 &gt;&gt;C:\Users\stu\Documents\GitHub\eaglep3-reporting\EC\2017-08-11-refined-times.txt</v>
      </c>
      <c r="AI30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{"issue":{"subject":"","project_id":79,"tracker_id":40,"status_id":1,"priority_id":2,"assigned_to_id":23,"start_date":"2017-08-11","description":"","custom_fields":[{"id":1,"name":"Subdivision","value":"EC"},{"id":4,"name":"Milepost","value":"23.3316"},{"id":17,"name":"Train ID","value":"117-11"},{"id":16,"name":"Locomotive ID","value":"4060"},{"id":130,"name":"Impact","value":""},{"id":150,"name":"Time of Event (Mountain Time)","value":"06:20:26"},{"id":151,"name":"Denver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4060 --day 2017-08-11</v>
      </c>
      <c r="AN30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12:20:26"},{"id":29,"name":"Sharepoint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609</v>
      </c>
      <c r="B31" s="7">
        <v>4059</v>
      </c>
      <c r="C31" s="21" t="s">
        <v>198</v>
      </c>
      <c r="D31" s="21" t="s">
        <v>568</v>
      </c>
      <c r="E31" s="13">
        <v>42958.276388888888</v>
      </c>
      <c r="F31" s="13">
        <v>42958.279398148145</v>
      </c>
      <c r="G31" s="7">
        <v>2</v>
      </c>
      <c r="H31" s="21" t="s">
        <v>350</v>
      </c>
      <c r="I31" s="13">
        <v>42958.30672453704</v>
      </c>
      <c r="J31" s="7">
        <v>0</v>
      </c>
      <c r="K31" s="89" t="str">
        <f t="shared" si="0"/>
        <v>4059/4060</v>
      </c>
      <c r="L31" s="21" t="str">
        <f>VLOOKUP(A31,'Trips&amp;Operators'!$C$1:$G$99999,5,FALSE)</f>
        <v>LOZA FIDEL</v>
      </c>
      <c r="M31" s="6">
        <f t="shared" si="1"/>
        <v>2.7326388895744458E-2</v>
      </c>
      <c r="N31" s="7">
        <f t="shared" si="22"/>
        <v>39.350000009872019</v>
      </c>
      <c r="O31" s="7"/>
      <c r="P31" s="7"/>
      <c r="Q31" s="22"/>
      <c r="R31" s="170"/>
      <c r="S31" s="213">
        <f t="shared" si="23"/>
        <v>1</v>
      </c>
      <c r="T31" s="195" t="str">
        <f t="shared" si="4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-08-11T05:38:00-0600',mode:absolute,to:'2017-08-11T08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23.299399999999999</v>
      </c>
      <c r="Z31" s="197">
        <f t="shared" si="8"/>
        <v>1.47E-2</v>
      </c>
      <c r="AA31" s="197">
        <f t="shared" si="9"/>
        <v>23.284699999999997</v>
      </c>
      <c r="AB31" s="54" t="e">
        <f>VLOOKUP(A31,Enforcements!$C$7:$K$12,8,0)</f>
        <v>#N/A</v>
      </c>
      <c r="AC31" s="51" t="e">
        <f>VLOOKUP(A31,Enforcements!$C$7:$E$12,3,0)</f>
        <v>#N/A</v>
      </c>
      <c r="AD31" s="206">
        <f t="shared" si="10"/>
        <v>118</v>
      </c>
      <c r="AE31" s="77" t="str">
        <f t="shared" si="11"/>
        <v>aws s3 cp s3://rtdc.mdm.uploadarchive.raw/RTDC4059/ "%USERPROFILE%\AppData\Local\Temp\OnboardLogs"\RTDC4059\2017-08-11 --exclude "*" --recursive --include "*20170811*" &amp; "%USERPROFILE%\Documents\GitHub\mrs-test-scripts\Headless Mode &amp; Sideloading\WalkAndUnGZ.bat" "%USERPROFILE%\AppData\Local\Temp\OnboardLogs"\RTDC4059\2017-08-11 &amp; aws s3 cp s3://rtdc.mdm.uploadarchive.raw/RTDC4059/ "%USERPROFILE%\AppData\Local\Temp\OnboardLogs"\RTDC4059\2017-08-12 --exclude "*" --recursive --include "*20170812*" &amp; "%USERPROFILE%\Documents\GitHub\mrs-test-scripts\Headless Mode &amp; Sideloading\WalkAndUnGZ.bat" "%USERPROFILE%\AppData\Local\Temp\OnboardLogs"\RTDC4059\2017-08-12</v>
      </c>
      <c r="AF31" s="74" t="str">
        <f t="shared" si="12"/>
        <v>"C:\Program Files (x86)\AstroGrep\AstroGrep.exe" /e /r /s /spath="%USERPROFILE%\AppData\Local\Temp\OnboardLogs" /stypes="app*4059*20170811*" /stext=" 13:.+((SYSTEM_STATE.+slice.+state.+changed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118-11 --locoid 4059 --swversion DE.1.0.9.0 --startMP 204:232994 --initTime 2017-08-11T06:38:00 --startdatetime 2017-08-11T06:42:20 --delay 2 --endMP 204:147 --enddatetime 2017-08-11T07:21:41 --enforcementcount 0 &gt;&gt;C:\Users\stu\Documents\GitHub\eaglep3-reporting\EC\2017-08-11-refined-times.txt</v>
      </c>
      <c r="AI31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{"issue":{"subject":"","project_id":79,"tracker_id":40,"status_id":1,"priority_id":2,"assigned_to_id":23,"start_date":"2017-08-11","description":"","custom_fields":[{"id":1,"name":"Subdivision","value":"EC"},{"id":4,"name":"Milepost","value":"0.0147"},{"id":17,"name":"Train ID","value":"118-11"},{"id":16,"name":"Locomotive ID","value":"4059"},{"id":130,"name":"Impact","value":""},{"id":150,"name":"Time of Event (Mountain Time)","value":"07:21:41"},{"id":151,"name":"Denver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4059 --day 2017-08-11</v>
      </c>
      <c r="AN31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13:21:41"},{"id":29,"name":"Sharepoint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666</v>
      </c>
      <c r="B32" s="7">
        <v>4066</v>
      </c>
      <c r="C32" s="21" t="s">
        <v>198</v>
      </c>
      <c r="D32" s="21" t="s">
        <v>440</v>
      </c>
      <c r="E32" s="13">
        <v>42958.246249999997</v>
      </c>
      <c r="F32" s="13">
        <v>42958.250486111108</v>
      </c>
      <c r="G32" s="7">
        <v>1</v>
      </c>
      <c r="H32" s="21" t="s">
        <v>881</v>
      </c>
      <c r="I32" s="13">
        <v>42958.276944444442</v>
      </c>
      <c r="J32" s="7">
        <v>0</v>
      </c>
      <c r="K32" s="89" t="str">
        <f t="shared" si="0"/>
        <v>4065/4066</v>
      </c>
      <c r="L32" s="21" t="str">
        <f>VLOOKUP(A32,'Trips&amp;Operators'!$C$1:$G$99999,5,FALSE)</f>
        <v>GUNTHIER ERIC</v>
      </c>
      <c r="M32" s="6">
        <f t="shared" si="1"/>
        <v>2.6458333333721384E-2</v>
      </c>
      <c r="N32" s="7">
        <f t="shared" si="22"/>
        <v>38.100000000558794</v>
      </c>
      <c r="O32" s="7"/>
      <c r="P32" s="7"/>
      <c r="Q32" s="22"/>
      <c r="R32" s="170"/>
      <c r="S32" s="213">
        <f t="shared" si="23"/>
        <v>1</v>
      </c>
      <c r="T32" s="195" t="str">
        <f t="shared" si="4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-08-11T04:54:36-0600',mode:absolute,to:'2017-08-11T07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4.6899999999999997E-2</v>
      </c>
      <c r="Z32" s="197">
        <f t="shared" si="8"/>
        <v>23.341000000000001</v>
      </c>
      <c r="AA32" s="197">
        <f t="shared" si="9"/>
        <v>23.2941</v>
      </c>
      <c r="AB32" s="54" t="e">
        <f>VLOOKUP(A32,Enforcements!$C$7:$K$12,8,0)</f>
        <v>#N/A</v>
      </c>
      <c r="AC32" s="51" t="e">
        <f>VLOOKUP(A32,Enforcements!$C$7:$E$12,3,0)</f>
        <v>#N/A</v>
      </c>
      <c r="AD32" s="206">
        <f t="shared" si="10"/>
        <v>119</v>
      </c>
      <c r="AE32" s="77" t="str">
        <f t="shared" si="11"/>
        <v>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 &amp; aws s3 cp s3://rtdc.mdm.uploadarchive.raw/RTDC4066/ "%USERPROFILE%\AppData\Local\Temp\OnboardLogs"\RTDC4066\2017-08-12 --exclude "*" --recursive --include "*20170812*" &amp; "%USERPROFILE%\Documents\GitHub\mrs-test-scripts\Headless Mode &amp; Sideloading\WalkAndUnGZ.bat" "%USERPROFILE%\AppData\Local\Temp\OnboardLogs"\RTDC4066\2017-08-12</v>
      </c>
      <c r="AF32" s="74" t="str">
        <f t="shared" si="12"/>
        <v>"C:\Program Files (x86)\AstroGrep\AstroGrep.exe" /e /r /s /spath="%USERPROFILE%\AppData\Local\Temp\OnboardLogs" /stypes="app*4066*20170811*" /stext=" 12:.+((SYSTEM_STATE.+slice.+state.+changed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119-11 --locoid 4066 --swversion DE.1.0.9.0 --startMP 204:469 --initTime 2017-08-11T05:54:36 --startdatetime 2017-08-11T06:00:42 --delay 1 --endMP 204:233410 --enddatetime 2017-08-11T06:38:48 --enforcementcount 0 &gt;&gt;C:\Users\stu\Documents\GitHub\eaglep3-reporting\EC\2017-08-11-refined-times.txt</v>
      </c>
      <c r="AI32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{"issue":{"subject":"","project_id":79,"tracker_id":40,"status_id":1,"priority_id":2,"assigned_to_id":23,"start_date":"2017-08-11","description":"","custom_fields":[{"id":1,"name":"Subdivision","value":"EC"},{"id":4,"name":"Milepost","value":"23.341"},{"id":17,"name":"Train ID","value":"119-11"},{"id":16,"name":"Locomotive ID","value":"4066"},{"id":130,"name":"Impact","value":""},{"id":150,"name":"Time of Event (Mountain Time)","value":"06:38:48"},{"id":151,"name":"Denver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4066 --day 2017-08-11</v>
      </c>
      <c r="AN32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12:38:48"},{"id":29,"name":"Sharepoint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610</v>
      </c>
      <c r="B33" s="7">
        <v>4065</v>
      </c>
      <c r="C33" s="21" t="s">
        <v>198</v>
      </c>
      <c r="D33" s="21" t="s">
        <v>570</v>
      </c>
      <c r="E33" s="13">
        <v>42958.287638888891</v>
      </c>
      <c r="F33" s="13">
        <v>42958.28974537037</v>
      </c>
      <c r="G33" s="7">
        <v>1</v>
      </c>
      <c r="H33" s="21" t="s">
        <v>347</v>
      </c>
      <c r="I33" s="13">
        <v>42958.317384259259</v>
      </c>
      <c r="J33" s="7">
        <v>0</v>
      </c>
      <c r="K33" s="89" t="str">
        <f t="shared" si="0"/>
        <v>4065/4066</v>
      </c>
      <c r="L33" s="21" t="str">
        <f>VLOOKUP(A33,'Trips&amp;Operators'!$C$1:$G$99999,5,FALSE)</f>
        <v>GUNTHIER ERIC</v>
      </c>
      <c r="M33" s="6">
        <f t="shared" si="1"/>
        <v>2.7638888888759539E-2</v>
      </c>
      <c r="N33" s="7">
        <f t="shared" si="22"/>
        <v>39.799999999813735</v>
      </c>
      <c r="O33" s="7"/>
      <c r="P33" s="7"/>
      <c r="Q33" s="22"/>
      <c r="R33" s="170"/>
      <c r="S33" s="213">
        <f t="shared" si="23"/>
        <v>1</v>
      </c>
      <c r="T33" s="195" t="str">
        <f t="shared" si="4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-08-11T05:54:12-0600',mode:absolute,to:'2017-08-11T08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23.310400000000001</v>
      </c>
      <c r="Z33" s="197">
        <f t="shared" si="8"/>
        <v>1.3899999999999999E-2</v>
      </c>
      <c r="AA33" s="197">
        <f t="shared" si="9"/>
        <v>23.296500000000002</v>
      </c>
      <c r="AB33" s="54" t="str">
        <f>VLOOKUP(A33,Enforcements!$C$7:$K$12,8,0)</f>
        <v>Bulletin (2)</v>
      </c>
      <c r="AC33" s="51" t="str">
        <f>VLOOKUP(A33,Enforcements!$C$7:$E$12,3,0)</f>
        <v>GRADE CROSSING</v>
      </c>
      <c r="AD33" s="206">
        <f t="shared" si="10"/>
        <v>120</v>
      </c>
      <c r="AE33" s="77" t="str">
        <f t="shared" si="11"/>
        <v>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 &amp; aws s3 cp s3://rtdc.mdm.uploadarchive.raw/RTDC4065/ "%USERPROFILE%\AppData\Local\Temp\OnboardLogs"\RTDC4065\2017-08-12 --exclude "*" --recursive --include "*20170812*" &amp; "%USERPROFILE%\Documents\GitHub\mrs-test-scripts\Headless Mode &amp; Sideloading\WalkAndUnGZ.bat" "%USERPROFILE%\AppData\Local\Temp\OnboardLogs"\RTDC4065\2017-08-12</v>
      </c>
      <c r="AF33" s="74" t="str">
        <f t="shared" si="12"/>
        <v>"C:\Program Files (x86)\AstroGrep\AstroGrep.exe" /e /r /s /spath="%USERPROFILE%\AppData\Local\Temp\OnboardLogs" /stypes="app*4065*20170811*" /stext=" 13:.+((SYSTEM_STATE.+slice.+state.+changed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120-11 --locoid 4065 --swversion DE.1.0.9.0 --startMP 204:233104 --initTime 2017-08-11T06:54:12 --startdatetime 2017-08-11T06:57:14 --delay 1 --endMP 204:139 --enddatetime 2017-08-11T07:37:02 --enforcementcount 0 &gt;&gt;C:\Users\stu\Documents\GitHub\eaglep3-reporting\EC\2017-08-11-refined-times.txt</v>
      </c>
      <c r="AI33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{"issue":{"subject":"","project_id":79,"tracker_id":40,"status_id":1,"priority_id":2,"assigned_to_id":23,"start_date":"2017-08-11","description":"","custom_fields":[{"id":1,"name":"Subdivision","value":"EC"},{"id":4,"name":"Milepost","value":"0.0139"},{"id":17,"name":"Train ID","value":"120-11"},{"id":16,"name":"Locomotive ID","value":"4065"},{"id":130,"name":"Impact","value":""},{"id":150,"name":"Time of Event (Mountain Time)","value":"07:37:02"},{"id":151,"name":"Denver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4065 --day 2017-08-11</v>
      </c>
      <c r="AN33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13:37:02"},{"id":29,"name":"Sharepoint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1105</v>
      </c>
      <c r="B34" s="7">
        <v>4056</v>
      </c>
      <c r="C34" s="21" t="s">
        <v>198</v>
      </c>
      <c r="D34" s="21" t="s">
        <v>570</v>
      </c>
      <c r="E34" s="13">
        <v>42958.287638888891</v>
      </c>
      <c r="F34" s="13">
        <v>42958.224999999999</v>
      </c>
      <c r="G34" s="7">
        <v>1</v>
      </c>
      <c r="H34" s="21" t="s">
        <v>347</v>
      </c>
      <c r="I34" s="13">
        <v>42958.225694444445</v>
      </c>
      <c r="J34" s="7">
        <v>0</v>
      </c>
      <c r="K34" s="89" t="str">
        <f t="shared" si="0"/>
        <v>4055/4056</v>
      </c>
      <c r="L34" s="21" t="e">
        <f>VLOOKUP(A34,'Trips&amp;Operators'!$C$1:$G$99999,5,FALSE)</f>
        <v>#N/A</v>
      </c>
      <c r="M34" s="6">
        <f t="shared" si="1"/>
        <v>6.944444467080757E-4</v>
      </c>
      <c r="N34" s="7"/>
      <c r="O34" s="7"/>
      <c r="P34" s="7">
        <f>24*60*SUM($M34:$M34)</f>
        <v>1.000000003259629</v>
      </c>
      <c r="Q34" s="22"/>
      <c r="R34" s="170" t="s">
        <v>1106</v>
      </c>
      <c r="S34" s="213">
        <f t="shared" si="23"/>
        <v>0</v>
      </c>
      <c r="T34" s="195" t="str">
        <f t="shared" si="4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-08-11T05:54:12-0600',mode:absolute,to:'2017-08-11T06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23.310400000000001</v>
      </c>
      <c r="Z34" s="197">
        <f t="shared" si="8"/>
        <v>1.3899999999999999E-2</v>
      </c>
      <c r="AA34" s="197">
        <f t="shared" si="9"/>
        <v>23.296500000000002</v>
      </c>
      <c r="AB34" s="54" t="e">
        <f>VLOOKUP(A34,Enforcements!$C$7:$K$12,8,0)</f>
        <v>#N/A</v>
      </c>
      <c r="AC34" s="51" t="e">
        <f>VLOOKUP(A34,Enforcements!$C$7:$E$12,3,0)</f>
        <v>#N/A</v>
      </c>
      <c r="AD34" s="206">
        <f t="shared" si="10"/>
        <v>121</v>
      </c>
      <c r="AE34" s="77" t="str">
        <f t="shared" si="11"/>
        <v>aws s3 cp s3://rtdc.mdm.uploadarchive.raw/RTDC4056/ "%USERPROFILE%\AppData\Local\Temp\OnboardLogs"\RTDC4056\2017-08-11 --exclude "*" --recursive --include "*20170811*" &amp; "%USERPROFILE%\Documents\GitHub\mrs-test-scripts\Headless Mode &amp; Sideloading\WalkAndUnGZ.bat" "%USERPROFILE%\AppData\Local\Temp\OnboardLogs"\RTDC4056\2017-08-11 &amp; 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</v>
      </c>
      <c r="AF34" s="74" t="str">
        <f t="shared" si="12"/>
        <v>"C:\Program Files (x86)\AstroGrep\AstroGrep.exe" /e /r /s /spath="%USERPROFILE%\AppData\Local\Temp\OnboardLogs" /stypes="app*4056*20170811*" /stext=" 11:.+((SYSTEM_STATE.+slice.+state.+changed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ref="AH34" si="24">refinertdcruntimes&amp;" --tripid "&amp;A34&amp;" --locoid "&amp;B34&amp;" --swversion "&amp;C34&amp;" --startMP "&amp;D34&amp;" --initTime "&amp;TEXT(E34,"yyyy-mm-ddTHH:MM:SS")&amp;" --startdatetime "&amp;TEXT(F34,"yyyy-mm-ddTHH:MM:SS")&amp;" --delay "&amp;G34&amp;" --endMP "&amp;H34&amp;" --enddatetime "&amp;TEXT(I34,"yyyy-mm-ddTHH:MM:SS")&amp;" --enforcementcount "&amp;J34&amp;IF(outputrefinedruntimes," &gt;&gt;"&amp;RefinedRTDCRunTimesOutputFile,"")</f>
        <v>"%USERPROFILE%\Documents\GitHub\eaglep3\Utilities\RefineRTDCRunTimes.py" --tripid 121-11 --locoid 4056 --swversion DE.1.0.9.0 --startMP 204:233104 --initTime 2017-08-11T06:54:12 --startdatetime 2017-08-11T05:24:00 --delay 1 --endMP 204:139 --enddatetime 2017-08-11T05:25:00 --enforcementcount 0 &gt;&gt;C:\Users\stu\Documents\GitHub\eaglep3-reporting\EC\2017-08-11-refined-times.txt</v>
      </c>
      <c r="AI34" s="96" t="str">
        <f t="shared" ref="AI34" si="25">"echo {""issue"":{""subject"":"""&amp;R34&amp;""",""project_id"":79,""tracker_id"":40,""status_id"":"&amp;redmine_status&amp;",""priority_id"":"&amp;redmine_priority&amp;",""assigned_to_id"":"&amp;redmine_assignee&amp;",""start_date"":"""&amp;TEXT(I34,"YYYY-mm-dd")&amp;""",""description"":"""&amp;AJ34&amp;""",""custom_fields"":[{""id"":1,""name"":""Subdivision"",""value"":"""&amp;AG34&amp;"""},{""id"":4,""name"":""Milepost"",""value"":"""&amp;Z34&amp;"""},{""id"":17,""name"":""Train ID"",""value"":"""&amp;A34&amp;"""},{""id"":16,""name"":""Locomotive ID"",""value"":"""&amp;B34&amp;"""},{""id"":130,""name"":""Impact"",""value"":"""&amp;AK34&amp;"""},{""id"":150,""name"":""Time of Event (Mountain Time)"",""value"":"""&amp;TEXT(I34,"hh:mm:ss")&amp;"""},{""id"":151,""name"":""Denver Issue ID"",""value"":"""&amp;"""},{""id"":178,""name"":""Operational Impact"",""value"":"""&amp;redmine_op_impact&amp;"""},{""id"":179,""name"":""Denver Segment Assigned"",""value"":"""&amp;AL34&amp;"""}]}}"&amp;"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init","project_id":79,"tracker_id":40,"status_id":1,"priority_id":2,"assigned_to_id":23,"start_date":"2017-08-11","description":"","custom_fields":[{"id":1,"name":"Subdivision","value":"EC"},{"id":4,"name":"Milepost","value":"0.0139"},{"id":17,"name":"Train ID","value":"121-11"},{"id":16,"name":"Locomotive ID","value":"4056"},{"id":130,"name":"Impact","value":""},{"id":150,"name":"Time of Event (Mountain Time)","value":"05:25:00"},{"id":151,"name":"Denver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ref="AM34" si="26">"start /low /b "&amp;dls3logs&amp;" --loco "&amp;B34&amp;" --day "&amp;TEXT(F34,"YYYY-MM-DD")</f>
        <v>start /low /b %USERPROFILE%\Documents\GitHub\eaglep3\Utilities\DownloadLogsFromS3.py --loco 4056 --day 2017-08-11</v>
      </c>
      <c r="AN34" s="151" t="str">
        <f t="shared" ref="AN34" si="27">"echo {""issue"":{""subject"":"""&amp;R34&amp;""",""project_id"":30,""tracker_id"":4,""status_id"":"&amp;redmine_status_wcr&amp;",""priority_id"":"&amp;redmine_priority_wcr&amp;",""assigned_to_id"":"&amp;redmine_assignee_wcr&amp;",""start_date"":"""&amp;TEXT(I34-utc_offset/24,"YYYY-mm-dd")&amp;""",""description"":"""&amp;AJ34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11:25:00"},{"id":29,"name":"Sharepoint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</row>
    <row r="35" spans="1:91" s="1" customFormat="1" x14ac:dyDescent="0.25">
      <c r="A35" s="32" t="s">
        <v>613</v>
      </c>
      <c r="B35" s="7">
        <v>4057</v>
      </c>
      <c r="C35" s="21" t="s">
        <v>198</v>
      </c>
      <c r="D35" s="21" t="s">
        <v>882</v>
      </c>
      <c r="E35" s="13">
        <v>42958.287719907406</v>
      </c>
      <c r="F35" s="13">
        <v>42958.300208333334</v>
      </c>
      <c r="G35" s="7">
        <v>1</v>
      </c>
      <c r="H35" s="21" t="s">
        <v>1046</v>
      </c>
      <c r="I35" s="13">
        <v>42958.326956018522</v>
      </c>
      <c r="J35" s="7">
        <v>0</v>
      </c>
      <c r="K35" s="89" t="str">
        <f t="shared" si="0"/>
        <v>4057/4058</v>
      </c>
      <c r="L35" s="21" t="str">
        <f>VLOOKUP(A35,'Trips&amp;Operators'!$C$1:$G$99999,5,FALSE)</f>
        <v>BARRON PERLA</v>
      </c>
      <c r="M35" s="6">
        <f t="shared" si="1"/>
        <v>2.6747685187729076E-2</v>
      </c>
      <c r="N35" s="7">
        <f t="shared" ref="N35:N43" si="28">24*60*SUM($M35:$M35)</f>
        <v>38.516666670329869</v>
      </c>
      <c r="O35" s="7"/>
      <c r="P35" s="7"/>
      <c r="Q35" s="22"/>
      <c r="R35" s="170" t="s">
        <v>1113</v>
      </c>
      <c r="S35" s="213">
        <f t="shared" si="23"/>
        <v>1</v>
      </c>
      <c r="T35" s="195" t="str">
        <f t="shared" si="4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-08-11T05:54:19-0600',mode:absolute,to:'2017-08-11T08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23.302600000000002</v>
      </c>
      <c r="Z35" s="197">
        <f t="shared" si="8"/>
        <v>9.1300000000000006E-2</v>
      </c>
      <c r="AA35" s="197">
        <f t="shared" si="9"/>
        <v>23.211300000000001</v>
      </c>
      <c r="AB35" s="54" t="e">
        <f>VLOOKUP(A35,Enforcements!$C$7:$K$12,8,0)</f>
        <v>#N/A</v>
      </c>
      <c r="AC35" s="51" t="e">
        <f>VLOOKUP(A35,Enforcements!$C$7:$E$12,3,0)</f>
        <v>#N/A</v>
      </c>
      <c r="AD35" s="206">
        <f t="shared" si="10"/>
        <v>122</v>
      </c>
      <c r="AE35" s="77" t="str">
        <f t="shared" si="11"/>
        <v>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 &amp; aws s3 cp s3://rtdc.mdm.uploadarchive.raw/RTDC4057/ "%USERPROFILE%\AppData\Local\Temp\OnboardLogs"\RTDC4057\2017-08-12 --exclude "*" --recursive --include "*20170812*" &amp; "%USERPROFILE%\Documents\GitHub\mrs-test-scripts\Headless Mode &amp; Sideloading\WalkAndUnGZ.bat" "%USERPROFILE%\AppData\Local\Temp\OnboardLogs"\RTDC4057\2017-08-12</v>
      </c>
      <c r="AF35" s="74" t="str">
        <f t="shared" si="12"/>
        <v>"C:\Program Files (x86)\AstroGrep\AstroGrep.exe" /e /r /s /spath="%USERPROFILE%\AppData\Local\Temp\OnboardLogs" /stypes="app*4057*20170811*"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122-11 --locoid 4057 --swversion DE.1.0.9.0 --startMP 204:233026 --initTime 2017-08-11T06:54:19 --startdatetime 2017-08-11T07:12:18 --delay 1 --endMP 204:913 --enddatetime 2017-08-11T07:50:49 --enforcementcount 0 &gt;&gt;C:\Users\stu\Documents\GitHub\eaglep3-reporting\EC\2017-08-11-refined-times.txt</v>
      </c>
      <c r="AI35" s="96" t="str">
        <f t="shared" si="19"/>
        <v>echo {"issue":{"subject":"Unhealthy crossing banners due to Wi-MAX data drop (Ulster)","project_id":79,"tracker_id":40,"status_id":1,"priority_id":2,"assigned_to_id":23,"start_date":"2017-08-11","description":"","custom_fields":[{"id":1,"name":"Subdivision","value":"EC"},{"id":4,"name":"Milepost","value":"0.0913"},{"id":17,"name":"Train ID","value":"122-11"},{"id":16,"name":"Locomotive ID","value":"4057"},{"id":130,"name":"Impact","value":""},{"id":150,"name":"Time of Event (Mountain Time)","value":"07:50:49"},{"id":151,"name":"Denver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4057 --day 2017-08-11</v>
      </c>
      <c r="AN35" s="151" t="str">
        <f t="shared" si="21"/>
        <v>echo {"issue":{"subject":"Unhealthy crossing banners due to Wi-MAX data drop (Ulster)","project_id":30,"tracker_id":4,"status_id":1,"priority_id":1,"assigned_to_id":10,"start_date":"2017-08-11","description":"","custom_fields":[{"id":30,"name":"Category","value":"Issue"},{"id":3,"name":"Functional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13:50:49"},{"id":29,"name":"Sharepoint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675</v>
      </c>
      <c r="B36" s="7">
        <v>4030</v>
      </c>
      <c r="C36" s="21" t="s">
        <v>198</v>
      </c>
      <c r="D36" s="21" t="s">
        <v>469</v>
      </c>
      <c r="E36" s="13">
        <v>42958.266736111109</v>
      </c>
      <c r="F36" s="13">
        <v>42958.271354166667</v>
      </c>
      <c r="G36" s="7">
        <v>1</v>
      </c>
      <c r="H36" s="21" t="s">
        <v>883</v>
      </c>
      <c r="I36" s="13">
        <v>42958.296423611115</v>
      </c>
      <c r="J36" s="7">
        <v>0</v>
      </c>
      <c r="K36" s="89" t="str">
        <f t="shared" si="0"/>
        <v>4029/4030</v>
      </c>
      <c r="L36" s="21" t="str">
        <f>VLOOKUP(A36,'Trips&amp;Operators'!$C$1:$G$99999,5,FALSE)</f>
        <v>DAVIS WENDY</v>
      </c>
      <c r="M36" s="6">
        <f t="shared" si="1"/>
        <v>2.5069444447581191E-2</v>
      </c>
      <c r="N36" s="7">
        <f t="shared" si="28"/>
        <v>36.100000004516914</v>
      </c>
      <c r="O36" s="7"/>
      <c r="P36" s="7"/>
      <c r="Q36" s="22"/>
      <c r="R36" s="170"/>
      <c r="S36" s="213">
        <f t="shared" si="23"/>
        <v>1</v>
      </c>
      <c r="T36" s="195" t="str">
        <f t="shared" si="4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-08-11T05:24:06-0600',mode:absolute,to:'2017-08-11T08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4.3999999999999997E-2</v>
      </c>
      <c r="Z36" s="197">
        <f t="shared" si="8"/>
        <v>23.334399999999999</v>
      </c>
      <c r="AA36" s="197">
        <f t="shared" si="9"/>
        <v>23.290399999999998</v>
      </c>
      <c r="AB36" s="54" t="e">
        <f>VLOOKUP(A36,Enforcements!$C$7:$K$12,8,0)</f>
        <v>#N/A</v>
      </c>
      <c r="AC36" s="51" t="e">
        <f>VLOOKUP(A36,Enforcements!$C$7:$E$12,3,0)</f>
        <v>#N/A</v>
      </c>
      <c r="AD36" s="206">
        <f t="shared" si="10"/>
        <v>123</v>
      </c>
      <c r="AE36" s="77" t="str">
        <f t="shared" si="11"/>
        <v>aws s3 cp s3://rtdc.mdm.uploadarchive.raw/RTDC4030/ "%USERPROFILE%\AppData\Local\Temp\OnboardLogs"\RTDC4030\2017-08-11 --exclude "*" --recursive --include "*20170811*" &amp; "%USERPROFILE%\Documents\GitHub\mrs-test-scripts\Headless Mode &amp; Sideloading\WalkAndUnGZ.bat" "%USERPROFILE%\AppData\Local\Temp\OnboardLogs"\RTDC4030\2017-08-11 &amp; aws s3 cp s3://rtdc.mdm.uploadarchive.raw/RTDC4030/ "%USERPROFILE%\AppData\Local\Temp\OnboardLogs"\RTDC4030\2017-08-12 --exclude "*" --recursive --include "*20170812*" &amp; "%USERPROFILE%\Documents\GitHub\mrs-test-scripts\Headless Mode &amp; Sideloading\WalkAndUnGZ.bat" "%USERPROFILE%\AppData\Local\Temp\OnboardLogs"\RTDC4030\2017-08-12</v>
      </c>
      <c r="AF36" s="74" t="str">
        <f t="shared" si="12"/>
        <v>"C:\Program Files (x86)\AstroGrep\AstroGrep.exe" /e /r /s /spath="%USERPROFILE%\AppData\Local\Temp\OnboardLogs" /stypes="app*4030*20170811*" /stext=" 13:.+((SYSTEM_STATE.+slice.+state.+changed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123-11 --locoid 4030 --swversion DE.1.0.9.0 --startMP 204:440 --initTime 2017-08-11T06:24:06 --startdatetime 2017-08-11T06:30:45 --delay 1 --endMP 204:233344 --enddatetime 2017-08-11T07:06:51 --enforcementcount 0 &gt;&gt;C:\Users\stu\Documents\GitHub\eaglep3-reporting\EC\2017-08-11-refined-times.txt</v>
      </c>
      <c r="AI36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{"issue":{"subject":"","project_id":79,"tracker_id":40,"status_id":1,"priority_id":2,"assigned_to_id":23,"start_date":"2017-08-11","description":"","custom_fields":[{"id":1,"name":"Subdivision","value":"EC"},{"id":4,"name":"Milepost","value":"23.3344"},{"id":17,"name":"Train ID","value":"123-11"},{"id":16,"name":"Locomotive ID","value":"4030"},{"id":130,"name":"Impact","value":""},{"id":150,"name":"Time of Event (Mountain Time)","value":"07:06:51"},{"id":151,"name":"Denver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4030 --day 2017-08-11</v>
      </c>
      <c r="AN36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13:06:51"},{"id":29,"name":"Sharepoint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681</v>
      </c>
      <c r="B37" s="7">
        <v>4029</v>
      </c>
      <c r="C37" s="21" t="s">
        <v>198</v>
      </c>
      <c r="D37" s="21" t="s">
        <v>527</v>
      </c>
      <c r="E37" s="13">
        <v>42958.306944444441</v>
      </c>
      <c r="F37" s="13">
        <v>42958.310590277775</v>
      </c>
      <c r="G37" s="7">
        <v>1</v>
      </c>
      <c r="H37" s="21" t="s">
        <v>342</v>
      </c>
      <c r="I37" s="13">
        <v>42958.337476851855</v>
      </c>
      <c r="J37" s="7">
        <v>0</v>
      </c>
      <c r="K37" s="89" t="str">
        <f t="shared" si="0"/>
        <v>4029/4030</v>
      </c>
      <c r="L37" s="21" t="str">
        <f>VLOOKUP(A37,'Trips&amp;Operators'!$C$1:$G$99999,5,FALSE)</f>
        <v>DAVIS WENDY</v>
      </c>
      <c r="M37" s="6">
        <f t="shared" si="1"/>
        <v>2.6886574079981074E-2</v>
      </c>
      <c r="N37" s="7">
        <f t="shared" si="28"/>
        <v>38.716666675172746</v>
      </c>
      <c r="O37" s="7"/>
      <c r="P37" s="7"/>
      <c r="Q37" s="22"/>
      <c r="R37" s="170"/>
      <c r="S37" s="213">
        <f t="shared" si="23"/>
        <v>1</v>
      </c>
      <c r="T37" s="195" t="str">
        <f t="shared" si="4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-08-11T06:22:00-0600',mode:absolute,to:'2017-08-11T09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23.301300000000001</v>
      </c>
      <c r="Z37" s="197">
        <f t="shared" si="8"/>
        <v>1.49E-2</v>
      </c>
      <c r="AA37" s="197">
        <f t="shared" si="9"/>
        <v>23.2864</v>
      </c>
      <c r="AB37" s="54" t="e">
        <f>VLOOKUP(A37,Enforcements!$C$7:$K$12,8,0)</f>
        <v>#N/A</v>
      </c>
      <c r="AC37" s="51" t="e">
        <f>VLOOKUP(A37,Enforcements!$C$7:$E$12,3,0)</f>
        <v>#N/A</v>
      </c>
      <c r="AD37" s="206">
        <f t="shared" si="10"/>
        <v>124</v>
      </c>
      <c r="AE37" s="77" t="str">
        <f t="shared" si="11"/>
        <v>aws s3 cp s3://rtdc.mdm.uploadarchive.raw/RTDC4029/ "%USERPROFILE%\AppData\Local\Temp\OnboardLogs"\RTDC4029\2017-08-11 --exclude "*" --recursive --include "*20170811*" &amp; "%USERPROFILE%\Documents\GitHub\mrs-test-scripts\Headless Mode &amp; Sideloading\WalkAndUnGZ.bat" "%USERPROFILE%\AppData\Local\Temp\OnboardLogs"\RTDC4029\2017-08-11 &amp; aws s3 cp s3://rtdc.mdm.uploadarchive.raw/RTDC4029/ "%USERPROFILE%\AppData\Local\Temp\OnboardLogs"\RTDC4029\2017-08-12 --exclude "*" --recursive --include "*20170812*" &amp; "%USERPROFILE%\Documents\GitHub\mrs-test-scripts\Headless Mode &amp; Sideloading\WalkAndUnGZ.bat" "%USERPROFILE%\AppData\Local\Temp\OnboardLogs"\RTDC4029\2017-08-12</v>
      </c>
      <c r="AF37" s="74" t="str">
        <f t="shared" si="12"/>
        <v>"C:\Program Files (x86)\AstroGrep\AstroGrep.exe" /e /r /s /spath="%USERPROFILE%\AppData\Local\Temp\OnboardLogs" /stypes="app*4029*20170811*" /stext=" 14:.+((SYSTEM_STATE.+slice.+state.+changed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124-11 --locoid 4029 --swversion DE.1.0.9.0 --startMP 204:233013 --initTime 2017-08-11T07:22:00 --startdatetime 2017-08-11T07:27:15 --delay 1 --endMP 204:149 --enddatetime 2017-08-11T08:05:58 --enforcementcount 0 &gt;&gt;C:\Users\stu\Documents\GitHub\eaglep3-reporting\EC\2017-08-11-refined-times.txt</v>
      </c>
      <c r="AI37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{"issue":{"subject":"","project_id":79,"tracker_id":40,"status_id":1,"priority_id":2,"assigned_to_id":23,"start_date":"2017-08-11","description":"","custom_fields":[{"id":1,"name":"Subdivision","value":"EC"},{"id":4,"name":"Milepost","value":"0.0149"},{"id":17,"name":"Train ID","value":"124-11"},{"id":16,"name":"Locomotive ID","value":"4029"},{"id":130,"name":"Impact","value":""},{"id":150,"name":"Time of Event (Mountain Time)","value":"08:05:58"},{"id":151,"name":"Denver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4029 --day 2017-08-11</v>
      </c>
      <c r="AN37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14:05:58"},{"id":29,"name":"Sharepoint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668</v>
      </c>
      <c r="B38" s="7">
        <v>4040</v>
      </c>
      <c r="C38" s="21" t="s">
        <v>198</v>
      </c>
      <c r="D38" s="21" t="s">
        <v>436</v>
      </c>
      <c r="E38" s="13">
        <v>42958.278356481482</v>
      </c>
      <c r="F38" s="13">
        <v>42958.282037037039</v>
      </c>
      <c r="G38" s="7">
        <v>1</v>
      </c>
      <c r="H38" s="21" t="s">
        <v>533</v>
      </c>
      <c r="I38" s="13">
        <v>42958.307037037041</v>
      </c>
      <c r="J38" s="7">
        <v>0</v>
      </c>
      <c r="K38" s="89" t="str">
        <f t="shared" si="0"/>
        <v>4039/4040</v>
      </c>
      <c r="L38" s="21" t="str">
        <f>VLOOKUP(A38,'Trips&amp;Operators'!$C$1:$G$99999,5,FALSE)</f>
        <v>STARKS ANGELINA</v>
      </c>
      <c r="M38" s="6">
        <f t="shared" si="1"/>
        <v>2.5000000001455192E-2</v>
      </c>
      <c r="N38" s="7">
        <f t="shared" si="28"/>
        <v>36.000000002095476</v>
      </c>
      <c r="O38" s="7"/>
      <c r="P38" s="7"/>
      <c r="Q38" s="22"/>
      <c r="R38" s="170"/>
      <c r="S38" s="213">
        <f t="shared" si="23"/>
        <v>1</v>
      </c>
      <c r="T38" s="195" t="str">
        <f t="shared" si="4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-08-11T05:40:50-0600',mode:absolute,to:'2017-08-11T08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4.5699999999999998E-2</v>
      </c>
      <c r="Z38" s="197">
        <f t="shared" si="8"/>
        <v>23.330300000000001</v>
      </c>
      <c r="AA38" s="197">
        <f t="shared" si="9"/>
        <v>23.284600000000001</v>
      </c>
      <c r="AB38" s="54" t="e">
        <f>VLOOKUP(A38,Enforcements!$C$7:$K$12,8,0)</f>
        <v>#N/A</v>
      </c>
      <c r="AC38" s="51" t="e">
        <f>VLOOKUP(A38,Enforcements!$C$7:$E$12,3,0)</f>
        <v>#N/A</v>
      </c>
      <c r="AD38" s="206">
        <f t="shared" si="10"/>
        <v>125</v>
      </c>
      <c r="AE38" s="77" t="str">
        <f t="shared" si="11"/>
        <v>aws s3 cp s3://rtdc.mdm.uploadarchive.raw/RTDC4040/ "%USERPROFILE%\AppData\Local\Temp\OnboardLogs"\RTDC4040\2017-08-11 --exclude "*" --recursive --include "*20170811*" &amp; "%USERPROFILE%\Documents\GitHub\mrs-test-scripts\Headless Mode &amp; Sideloading\WalkAndUnGZ.bat" "%USERPROFILE%\AppData\Local\Temp\OnboardLogs"\RTDC4040\2017-08-11 &amp; aws s3 cp s3://rtdc.mdm.uploadarchive.raw/RTDC4040/ "%USERPROFILE%\AppData\Local\Temp\OnboardLogs"\RTDC4040\2017-08-12 --exclude "*" --recursive --include "*20170812*" &amp; "%USERPROFILE%\Documents\GitHub\mrs-test-scripts\Headless Mode &amp; Sideloading\WalkAndUnGZ.bat" "%USERPROFILE%\AppData\Local\Temp\OnboardLogs"\RTDC4040\2017-08-12</v>
      </c>
      <c r="AF38" s="74" t="str">
        <f t="shared" si="12"/>
        <v>"C:\Program Files (x86)\AstroGrep\AstroGrep.exe" /e /r /s /spath="%USERPROFILE%\AppData\Local\Temp\OnboardLogs" /stypes="app*4040*20170811*" /stext=" 13:.+((SYSTEM_STATE.+slice.+state.+changed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125-11 --locoid 4040 --swversion DE.1.0.9.0 --startMP 204:457 --initTime 2017-08-11T06:40:50 --startdatetime 2017-08-11T06:46:08 --delay 1 --endMP 204:233303 --enddatetime 2017-08-11T07:22:08 --enforcementcount 0 &gt;&gt;C:\Users\stu\Documents\GitHub\eaglep3-reporting\EC\2017-08-11-refined-times.txt</v>
      </c>
      <c r="AI38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{"issue":{"subject":"","project_id":79,"tracker_id":40,"status_id":1,"priority_id":2,"assigned_to_id":23,"start_date":"2017-08-11","description":"","custom_fields":[{"id":1,"name":"Subdivision","value":"EC"},{"id":4,"name":"Milepost","value":"23.3303"},{"id":17,"name":"Train ID","value":"125-11"},{"id":16,"name":"Locomotive ID","value":"4040"},{"id":130,"name":"Impact","value":""},{"id":150,"name":"Time of Event (Mountain Time)","value":"07:22:08"},{"id":151,"name":"Denver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4040 --day 2017-08-11</v>
      </c>
      <c r="AN38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13:22:08"},{"id":29,"name":"Sharepoint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614</v>
      </c>
      <c r="B39" s="7">
        <v>4039</v>
      </c>
      <c r="C39" s="21" t="s">
        <v>198</v>
      </c>
      <c r="D39" s="21" t="s">
        <v>894</v>
      </c>
      <c r="E39" s="13">
        <v>42958.31958333333</v>
      </c>
      <c r="F39" s="13">
        <v>42958.32130787037</v>
      </c>
      <c r="G39" s="7">
        <v>1</v>
      </c>
      <c r="H39" s="21" t="s">
        <v>343</v>
      </c>
      <c r="I39" s="13">
        <v>42958.354375000003</v>
      </c>
      <c r="J39" s="7">
        <v>0</v>
      </c>
      <c r="K39" s="89" t="str">
        <f t="shared" si="0"/>
        <v>4039/4040</v>
      </c>
      <c r="L39" s="21" t="str">
        <f>VLOOKUP(A39,'Trips&amp;Operators'!$C$1:$G$99999,5,FALSE)</f>
        <v>STARKS ANGELINA</v>
      </c>
      <c r="M39" s="6">
        <f t="shared" si="1"/>
        <v>3.3067129632399883E-2</v>
      </c>
      <c r="N39" s="7">
        <f t="shared" si="28"/>
        <v>47.616666670655832</v>
      </c>
      <c r="O39" s="7"/>
      <c r="P39" s="7"/>
      <c r="Q39" s="22"/>
      <c r="R39" s="170"/>
      <c r="S39" s="213">
        <f t="shared" si="23"/>
        <v>1</v>
      </c>
      <c r="T39" s="195" t="str">
        <f t="shared" si="4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-08-11T06:40:12-0600',mode:absolute,to:'2017-08-11T09:30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23.297999999999998</v>
      </c>
      <c r="Z39" s="197">
        <f t="shared" si="8"/>
        <v>1.43E-2</v>
      </c>
      <c r="AA39" s="197">
        <f t="shared" si="9"/>
        <v>23.2837</v>
      </c>
      <c r="AB39" s="54" t="e">
        <f>VLOOKUP(A39,Enforcements!$C$7:$K$12,8,0)</f>
        <v>#N/A</v>
      </c>
      <c r="AC39" s="51" t="e">
        <f>VLOOKUP(A39,Enforcements!$C$7:$E$12,3,0)</f>
        <v>#N/A</v>
      </c>
      <c r="AD39" s="206">
        <f t="shared" si="10"/>
        <v>126</v>
      </c>
      <c r="AE39" s="77" t="str">
        <f t="shared" si="11"/>
        <v>aws s3 cp s3://rtdc.mdm.uploadarchive.raw/RTDC4039/ "%USERPROFILE%\AppData\Local\Temp\OnboardLogs"\RTDC4039\2017-08-11 --exclude "*" --recursive --include "*20170811*" &amp; "%USERPROFILE%\Documents\GitHub\mrs-test-scripts\Headless Mode &amp; Sideloading\WalkAndUnGZ.bat" "%USERPROFILE%\AppData\Local\Temp\OnboardLogs"\RTDC4039\2017-08-11 &amp; aws s3 cp s3://rtdc.mdm.uploadarchive.raw/RTDC4039/ "%USERPROFILE%\AppData\Local\Temp\OnboardLogs"\RTDC4039\2017-08-12 --exclude "*" --recursive --include "*20170812*" &amp; "%USERPROFILE%\Documents\GitHub\mrs-test-scripts\Headless Mode &amp; Sideloading\WalkAndUnGZ.bat" "%USERPROFILE%\AppData\Local\Temp\OnboardLogs"\RTDC4039\2017-08-12</v>
      </c>
      <c r="AF39" s="74" t="str">
        <f t="shared" si="12"/>
        <v>"C:\Program Files (x86)\AstroGrep\AstroGrep.exe" /e /r /s /spath="%USERPROFILE%\AppData\Local\Temp\OnboardLogs" /stypes="app*4039*20170811*" /stext=" 14:.+((SYSTEM_STATE.+slice.+state.+changed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126-11 --locoid 4039 --swversion DE.1.0.9.0 --startMP 204:232980 --initTime 2017-08-11T07:40:12 --startdatetime 2017-08-11T07:42:41 --delay 1 --endMP 204:143 --enddatetime 2017-08-11T08:30:18 --enforcementcount 0 &gt;&gt;C:\Users\stu\Documents\GitHub\eaglep3-reporting\EC\2017-08-11-refined-times.txt</v>
      </c>
      <c r="AI39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{"issue":{"subject":"","project_id":79,"tracker_id":40,"status_id":1,"priority_id":2,"assigned_to_id":23,"start_date":"2017-08-11","description":"","custom_fields":[{"id":1,"name":"Subdivision","value":"EC"},{"id":4,"name":"Milepost","value":"0.0143"},{"id":17,"name":"Train ID","value":"126-11"},{"id":16,"name":"Locomotive ID","value":"4039"},{"id":130,"name":"Impact","value":""},{"id":150,"name":"Time of Event (Mountain Time)","value":"08:30:18"},{"id":151,"name":"Denver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4039 --day 2017-08-11</v>
      </c>
      <c r="AN39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14:30:18"},{"id":29,"name":"Sharepoint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608</v>
      </c>
      <c r="B40" s="7">
        <v>4014</v>
      </c>
      <c r="C40" s="21" t="s">
        <v>198</v>
      </c>
      <c r="D40" s="21" t="s">
        <v>374</v>
      </c>
      <c r="E40" s="13">
        <v>42958.287488425929</v>
      </c>
      <c r="F40" s="13">
        <v>42958.292187500003</v>
      </c>
      <c r="G40" s="7">
        <v>1</v>
      </c>
      <c r="H40" s="21" t="s">
        <v>884</v>
      </c>
      <c r="I40" s="13">
        <v>42958.317523148151</v>
      </c>
      <c r="J40" s="7">
        <v>0</v>
      </c>
      <c r="K40" s="89" t="str">
        <f t="shared" si="0"/>
        <v>4013/4014</v>
      </c>
      <c r="L40" s="21" t="str">
        <f>VLOOKUP(A40,'Trips&amp;Operators'!$C$1:$G$99999,5,FALSE)</f>
        <v>DAVIDSON DAVID</v>
      </c>
      <c r="M40" s="6">
        <f t="shared" si="1"/>
        <v>2.5335648148029577E-2</v>
      </c>
      <c r="N40" s="7">
        <f t="shared" si="28"/>
        <v>36.483333333162591</v>
      </c>
      <c r="O40" s="7"/>
      <c r="P40" s="7"/>
      <c r="Q40" s="22"/>
      <c r="R40" s="170"/>
      <c r="S40" s="213">
        <f t="shared" si="23"/>
        <v>1</v>
      </c>
      <c r="T40" s="195" t="str">
        <f t="shared" si="4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-08-11T05:53:59-0600',mode:absolute,to:'2017-08-11T08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4.6199999999999998E-2</v>
      </c>
      <c r="Z40" s="197">
        <f t="shared" si="8"/>
        <v>23.33</v>
      </c>
      <c r="AA40" s="197">
        <f t="shared" si="9"/>
        <v>23.283799999999999</v>
      </c>
      <c r="AB40" s="54" t="str">
        <f>VLOOKUP(A40,Enforcements!$C$7:$K$12,8,0)</f>
        <v>Bulletin (2)</v>
      </c>
      <c r="AC40" s="51" t="str">
        <f>VLOOKUP(A40,Enforcements!$C$7:$E$12,3,0)</f>
        <v>GRADE CROSSING</v>
      </c>
      <c r="AD40" s="206">
        <f t="shared" si="10"/>
        <v>127</v>
      </c>
      <c r="AE40" s="77" t="str">
        <f t="shared" si="11"/>
        <v>aws s3 cp s3://rtdc.mdm.uploadarchive.raw/RTDC4014/ "%USERPROFILE%\AppData\Local\Temp\OnboardLogs"\RTDC4014\2017-08-11 --exclude "*" --recursive --include "*20170811*" &amp; "%USERPROFILE%\Documents\GitHub\mrs-test-scripts\Headless Mode &amp; Sideloading\WalkAndUnGZ.bat" "%USERPROFILE%\AppData\Local\Temp\OnboardLogs"\RTDC4014\2017-08-11 &amp; 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</v>
      </c>
      <c r="AF40" s="74" t="str">
        <f t="shared" si="12"/>
        <v>"C:\Program Files (x86)\AstroGrep\AstroGrep.exe" /e /r /s /spath="%USERPROFILE%\AppData\Local\Temp\OnboardLogs" /stypes="app*4014*20170811*" /stext=" 13:.+((SYSTEM_STATE.+slice.+state.+changed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127-11 --locoid 4014 --swversion DE.1.0.9.0 --startMP 204:462 --initTime 2017-08-11T06:53:59 --startdatetime 2017-08-11T07:00:45 --delay 1 --endMP 204:233300 --enddatetime 2017-08-11T07:37:14 --enforcementcount 0 &gt;&gt;C:\Users\stu\Documents\GitHub\eaglep3-reporting\EC\2017-08-11-refined-times.txt</v>
      </c>
      <c r="AI40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{"issue":{"subject":"","project_id":79,"tracker_id":40,"status_id":1,"priority_id":2,"assigned_to_id":23,"start_date":"2017-08-11","description":"","custom_fields":[{"id":1,"name":"Subdivision","value":"EC"},{"id":4,"name":"Milepost","value":"23.33"},{"id":17,"name":"Train ID","value":"127-11"},{"id":16,"name":"Locomotive ID","value":"4014"},{"id":130,"name":"Impact","value":""},{"id":150,"name":"Time of Event (Mountain Time)","value":"07:37:14"},{"id":151,"name":"Denver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4014 --day 2017-08-11</v>
      </c>
      <c r="AN40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13:37:14"},{"id":29,"name":"Sharepoint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685</v>
      </c>
      <c r="B41" s="7">
        <v>4013</v>
      </c>
      <c r="C41" s="21" t="s">
        <v>198</v>
      </c>
      <c r="D41" s="21" t="s">
        <v>885</v>
      </c>
      <c r="E41" s="13">
        <v>42958.318935185183</v>
      </c>
      <c r="F41" s="13">
        <v>42958.331458333334</v>
      </c>
      <c r="G41" s="7">
        <v>1</v>
      </c>
      <c r="H41" s="21" t="s">
        <v>452</v>
      </c>
      <c r="I41" s="13">
        <v>42958.359444444446</v>
      </c>
      <c r="J41" s="7">
        <v>0</v>
      </c>
      <c r="K41" s="89" t="str">
        <f t="shared" si="0"/>
        <v>4013/4014</v>
      </c>
      <c r="L41" s="21" t="str">
        <f>VLOOKUP(A41,'Trips&amp;Operators'!$C$1:$G$99999,5,FALSE)</f>
        <v>DAVIDSON DAVID</v>
      </c>
      <c r="M41" s="6">
        <f t="shared" si="1"/>
        <v>2.7986111112113576E-2</v>
      </c>
      <c r="N41" s="7">
        <f t="shared" si="28"/>
        <v>40.30000000144355</v>
      </c>
      <c r="O41" s="7"/>
      <c r="P41" s="7"/>
      <c r="Q41" s="22"/>
      <c r="R41" s="170"/>
      <c r="S41" s="213">
        <f t="shared" si="23"/>
        <v>1</v>
      </c>
      <c r="T41" s="195" t="str">
        <f t="shared" si="4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-08-11T06:39:16-0600',mode:absolute,to:'2017-08-11T09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23.2989</v>
      </c>
      <c r="Z41" s="197">
        <f t="shared" si="8"/>
        <v>1.4500000000000001E-2</v>
      </c>
      <c r="AA41" s="197">
        <f t="shared" si="9"/>
        <v>23.284399999999998</v>
      </c>
      <c r="AB41" s="54" t="e">
        <f>VLOOKUP(A41,Enforcements!$C$7:$K$12,8,0)</f>
        <v>#N/A</v>
      </c>
      <c r="AC41" s="51" t="e">
        <f>VLOOKUP(A41,Enforcements!$C$7:$E$12,3,0)</f>
        <v>#N/A</v>
      </c>
      <c r="AD41" s="206">
        <f t="shared" si="10"/>
        <v>128</v>
      </c>
      <c r="AE41" s="77" t="str">
        <f t="shared" si="11"/>
        <v>aws s3 cp s3://rtdc.mdm.uploadarchive.raw/RTDC4013/ "%USERPROFILE%\AppData\Local\Temp\OnboardLogs"\RTDC4013\2017-08-11 --exclude "*" --recursive --include "*20170811*" &amp; "%USERPROFILE%\Documents\GitHub\mrs-test-scripts\Headless Mode &amp; Sideloading\WalkAndUnGZ.bat" "%USERPROFILE%\AppData\Local\Temp\OnboardLogs"\RTDC4013\2017-08-11 &amp; 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</v>
      </c>
      <c r="AF41" s="74" t="str">
        <f t="shared" si="12"/>
        <v>"C:\Program Files (x86)\AstroGrep\AstroGrep.exe" /e /r /s /spath="%USERPROFILE%\AppData\Local\Temp\OnboardLogs" /stypes="app*4013*20170811*" /stext=" 14:.+((SYSTEM_STATE.+slice.+state.+changed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128-11 --locoid 4013 --swversion DE.1.0.9.0 --startMP 204:232989 --initTime 2017-08-11T07:39:16 --startdatetime 2017-08-11T07:57:18 --delay 1 --endMP 204:145 --enddatetime 2017-08-11T08:37:36 --enforcementcount 0 &gt;&gt;C:\Users\stu\Documents\GitHub\eaglep3-reporting\EC\2017-08-11-refined-times.txt</v>
      </c>
      <c r="AI41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{"issue":{"subject":"","project_id":79,"tracker_id":40,"status_id":1,"priority_id":2,"assigned_to_id":23,"start_date":"2017-08-11","description":"","custom_fields":[{"id":1,"name":"Subdivision","value":"EC"},{"id":4,"name":"Milepost","value":"0.0145"},{"id":17,"name":"Train ID","value":"128-11"},{"id":16,"name":"Locomotive ID","value":"4013"},{"id":130,"name":"Impact","value":""},{"id":150,"name":"Time of Event (Mountain Time)","value":"08:37:36"},{"id":151,"name":"Denver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4013 --day 2017-08-11</v>
      </c>
      <c r="AN41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14:37:36"},{"id":29,"name":"Sharepoint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680</v>
      </c>
      <c r="B42" s="7">
        <v>4012</v>
      </c>
      <c r="C42" s="21" t="s">
        <v>198</v>
      </c>
      <c r="D42" s="21" t="s">
        <v>524</v>
      </c>
      <c r="E42" s="13">
        <v>42958.298425925925</v>
      </c>
      <c r="F42" s="13">
        <v>42958.302627314813</v>
      </c>
      <c r="G42" s="7">
        <v>1</v>
      </c>
      <c r="H42" s="21" t="s">
        <v>463</v>
      </c>
      <c r="I42" s="13">
        <v>42958.329085648147</v>
      </c>
      <c r="J42" s="7">
        <v>0</v>
      </c>
      <c r="K42" s="89" t="str">
        <f t="shared" si="0"/>
        <v>4011/4012</v>
      </c>
      <c r="L42" s="21" t="str">
        <f>VLOOKUP(A42,'Trips&amp;Operators'!$C$1:$G$99999,5,FALSE)</f>
        <v>WILLIAMS DONTE</v>
      </c>
      <c r="M42" s="6">
        <f t="shared" si="1"/>
        <v>2.6458333333721384E-2</v>
      </c>
      <c r="N42" s="7">
        <f t="shared" si="28"/>
        <v>38.100000000558794</v>
      </c>
      <c r="O42" s="7"/>
      <c r="P42" s="7"/>
      <c r="Q42" s="22"/>
      <c r="R42" s="170"/>
      <c r="S42" s="213">
        <f t="shared" si="23"/>
        <v>1</v>
      </c>
      <c r="T42" s="195" t="str">
        <f t="shared" si="4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-08-11T06:09:44-0600',mode:absolute,to:'2017-08-11T08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4.6600000000000003E-2</v>
      </c>
      <c r="Z42" s="197">
        <f t="shared" si="8"/>
        <v>23.3307</v>
      </c>
      <c r="AA42" s="197">
        <f t="shared" si="9"/>
        <v>23.284099999999999</v>
      </c>
      <c r="AB42" s="54" t="e">
        <f>VLOOKUP(A42,Enforcements!$C$7:$K$12,8,0)</f>
        <v>#N/A</v>
      </c>
      <c r="AC42" s="51" t="e">
        <f>VLOOKUP(A42,Enforcements!$C$7:$E$12,3,0)</f>
        <v>#N/A</v>
      </c>
      <c r="AD42" s="206">
        <f t="shared" si="10"/>
        <v>129</v>
      </c>
      <c r="AE42" s="77" t="str">
        <f t="shared" si="11"/>
        <v>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 &amp; aws s3 cp s3://rtdc.mdm.uploadarchive.raw/RTDC4012/ "%USERPROFILE%\AppData\Local\Temp\OnboardLogs"\RTDC4012\2017-08-12 --exclude "*" --recursive --include "*20170812*" &amp; "%USERPROFILE%\Documents\GitHub\mrs-test-scripts\Headless Mode &amp; Sideloading\WalkAndUnGZ.bat" "%USERPROFILE%\AppData\Local\Temp\OnboardLogs"\RTDC4012\2017-08-12</v>
      </c>
      <c r="AF42" s="74" t="str">
        <f t="shared" si="12"/>
        <v>"C:\Program Files (x86)\AstroGrep\AstroGrep.exe" /e /r /s /spath="%USERPROFILE%\AppData\Local\Temp\OnboardLogs" /stypes="app*4012*20170811*" /stext=" 13:.+((SYSTEM_STATE.+slice.+state.+changed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129-11 --locoid 4012 --swversion DE.1.0.9.0 --startMP 204:466 --initTime 2017-08-11T07:09:44 --startdatetime 2017-08-11T07:15:47 --delay 1 --endMP 204:233307 --enddatetime 2017-08-11T07:53:53 --enforcementcount 0 &gt;&gt;C:\Users\stu\Documents\GitHub\eaglep3-reporting\EC\2017-08-11-refined-times.txt</v>
      </c>
      <c r="AI42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{"issue":{"subject":"","project_id":79,"tracker_id":40,"status_id":1,"priority_id":2,"assigned_to_id":23,"start_date":"2017-08-11","description":"","custom_fields":[{"id":1,"name":"Subdivision","value":"EC"},{"id":4,"name":"Milepost","value":"23.3307"},{"id":17,"name":"Train ID","value":"129-11"},{"id":16,"name":"Locomotive ID","value":"4012"},{"id":130,"name":"Impact","value":""},{"id":150,"name":"Time of Event (Mountain Time)","value":"07:53:53"},{"id":151,"name":"Denver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4012 --day 2017-08-11</v>
      </c>
      <c r="AN42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13:53:53"},{"id":29,"name":"Sharepoint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691</v>
      </c>
      <c r="B43" s="7">
        <v>4011</v>
      </c>
      <c r="C43" s="21" t="s">
        <v>198</v>
      </c>
      <c r="D43" s="21" t="s">
        <v>566</v>
      </c>
      <c r="E43" s="13">
        <v>42958.338680555556</v>
      </c>
      <c r="F43" s="13">
        <v>42958.341909722221</v>
      </c>
      <c r="G43" s="7">
        <v>1</v>
      </c>
      <c r="H43" s="21" t="s">
        <v>341</v>
      </c>
      <c r="I43" s="13">
        <v>42958.370358796295</v>
      </c>
      <c r="J43" s="7">
        <v>0</v>
      </c>
      <c r="K43" s="89" t="str">
        <f t="shared" si="0"/>
        <v>4011/4012</v>
      </c>
      <c r="L43" s="21" t="str">
        <f>VLOOKUP(A43,'Trips&amp;Operators'!$C$1:$G$99999,5,FALSE)</f>
        <v>WILLIAMS DONTE</v>
      </c>
      <c r="M43" s="6">
        <f t="shared" si="1"/>
        <v>2.8449074074160308E-2</v>
      </c>
      <c r="N43" s="7">
        <f t="shared" si="28"/>
        <v>40.966666666790843</v>
      </c>
      <c r="O43" s="7"/>
      <c r="P43" s="7"/>
      <c r="Q43" s="22"/>
      <c r="R43" s="170"/>
      <c r="S43" s="213">
        <f t="shared" si="23"/>
        <v>1</v>
      </c>
      <c r="T43" s="195" t="str">
        <f t="shared" si="4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-08-11T07:07:42-0600',mode:absolute,to:'2017-08-11T09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23.298400000000001</v>
      </c>
      <c r="Z43" s="197">
        <f t="shared" si="8"/>
        <v>1.4999999999999999E-2</v>
      </c>
      <c r="AA43" s="197">
        <f t="shared" si="9"/>
        <v>23.2834</v>
      </c>
      <c r="AB43" s="54" t="e">
        <f>VLOOKUP(A43,Enforcements!$C$7:$K$12,8,0)</f>
        <v>#N/A</v>
      </c>
      <c r="AC43" s="51" t="e">
        <f>VLOOKUP(A43,Enforcements!$C$7:$E$12,3,0)</f>
        <v>#N/A</v>
      </c>
      <c r="AD43" s="206">
        <f t="shared" si="10"/>
        <v>130</v>
      </c>
      <c r="AE43" s="77" t="str">
        <f t="shared" si="11"/>
        <v>aws s3 cp s3://rtdc.mdm.uploadarchive.raw/RTDC4011/ "%USERPROFILE%\AppData\Local\Temp\OnboardLogs"\RTDC4011\2017-08-11 --exclude "*" --recursive --include "*20170811*" &amp; "%USERPROFILE%\Documents\GitHub\mrs-test-scripts\Headless Mode &amp; Sideloading\WalkAndUnGZ.bat" "%USERPROFILE%\AppData\Local\Temp\OnboardLogs"\RTDC4011\2017-08-11 &amp; aws s3 cp s3://rtdc.mdm.uploadarchive.raw/RTDC4011/ "%USERPROFILE%\AppData\Local\Temp\OnboardLogs"\RTDC4011\2017-08-12 --exclude "*" --recursive --include "*20170812*" &amp; "%USERPROFILE%\Documents\GitHub\mrs-test-scripts\Headless Mode &amp; Sideloading\WalkAndUnGZ.bat" "%USERPROFILE%\AppData\Local\Temp\OnboardLogs"\RTDC4011\2017-08-12</v>
      </c>
      <c r="AF43" s="74" t="str">
        <f t="shared" si="12"/>
        <v>"C:\Program Files (x86)\AstroGrep\AstroGrep.exe" /e /r /s /spath="%USERPROFILE%\AppData\Local\Temp\OnboardLogs" /stypes="app*4011*20170811*"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130-11 --locoid 4011 --swversion DE.1.0.9.0 --startMP 204:232984 --initTime 2017-08-11T08:07:42 --startdatetime 2017-08-11T08:12:21 --delay 1 --endMP 204:150 --enddatetime 2017-08-11T08:53:19 --enforcementcount 0 &gt;&gt;C:\Users\stu\Documents\GitHub\eaglep3-reporting\EC\2017-08-11-refined-times.txt</v>
      </c>
      <c r="AI43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{"issue":{"subject":"","project_id":79,"tracker_id":40,"status_id":1,"priority_id":2,"assigned_to_id":23,"start_date":"2017-08-11","description":"","custom_fields":[{"id":1,"name":"Subdivision","value":"EC"},{"id":4,"name":"Milepost","value":"0.015"},{"id":17,"name":"Train ID","value":"130-11"},{"id":16,"name":"Locomotive ID","value":"4011"},{"id":130,"name":"Impact","value":""},{"id":150,"name":"Time of Event (Mountain Time)","value":"08:53:19"},{"id":151,"name":"Denver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4011 --day 2017-08-11</v>
      </c>
      <c r="AN43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14:53:19"},{"id":29,"name":"Sharepoint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612</v>
      </c>
      <c r="B44" s="7">
        <v>4060</v>
      </c>
      <c r="C44" s="21" t="s">
        <v>198</v>
      </c>
      <c r="D44" s="21" t="s">
        <v>344</v>
      </c>
      <c r="E44" s="13">
        <v>42958.309710648151</v>
      </c>
      <c r="F44" s="13">
        <v>42958.327928240738</v>
      </c>
      <c r="G44" s="7">
        <v>2</v>
      </c>
      <c r="H44" s="21" t="s">
        <v>1047</v>
      </c>
      <c r="I44" s="13">
        <v>42958.347060185188</v>
      </c>
      <c r="J44" s="7">
        <v>0</v>
      </c>
      <c r="K44" s="89" t="str">
        <f t="shared" si="0"/>
        <v>4059/4060</v>
      </c>
      <c r="L44" s="21" t="str">
        <f>VLOOKUP(A44,'Trips&amp;Operators'!$C$1:$G$99999,5,FALSE)</f>
        <v>LOZA FIDEL</v>
      </c>
      <c r="M44" s="6">
        <f t="shared" si="1"/>
        <v>1.913194444932742E-2</v>
      </c>
      <c r="N44" s="7"/>
      <c r="O44" s="7"/>
      <c r="P44" s="7">
        <f>24*60*SUM($M44:$M44)</f>
        <v>27.550000007031485</v>
      </c>
      <c r="Q44" s="22"/>
      <c r="R44" s="170" t="s">
        <v>1107</v>
      </c>
      <c r="S44" s="213">
        <f>1/IF(AG44="EC",12,1)*SUM(U44:U45)</f>
        <v>1</v>
      </c>
      <c r="T44" s="195" t="str">
        <f t="shared" si="4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9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-08-11T06:25:59-0600',mode:absolute,to:'2017-08-11T09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4" s="197" t="str">
        <f>IF(AA44&lt;VLOOKUP(AG44,Variables!$AC$3:$AD$8,2,FALSE),"Y","N")</f>
        <v>Y</v>
      </c>
      <c r="X44" s="197">
        <f t="shared" si="6"/>
        <v>1</v>
      </c>
      <c r="Y44" s="197">
        <f t="shared" si="7"/>
        <v>4.5100000000000001E-2</v>
      </c>
      <c r="Z44" s="197">
        <f t="shared" si="8"/>
        <v>6.3893000000000004</v>
      </c>
      <c r="AA44" s="197">
        <f t="shared" si="9"/>
        <v>6.3442000000000007</v>
      </c>
      <c r="AB44" s="54" t="str">
        <f>VLOOKUP(A44,Enforcements!$C$7:$K$12,8,0)</f>
        <v>Speed (6)</v>
      </c>
      <c r="AC44" s="51" t="str">
        <f>VLOOKUP(A44,Enforcements!$C$7:$E$12,3,0)</f>
        <v>PERMANENT SPEED RESTRICTION</v>
      </c>
      <c r="AD44" s="206">
        <f t="shared" si="10"/>
        <v>131</v>
      </c>
      <c r="AE44" s="77" t="str">
        <f t="shared" si="11"/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AF44" s="74" t="str">
        <f t="shared" si="12"/>
        <v>"C:\Program Files (x86)\AstroGrep\AstroGrep.exe" /e /r /s /spath="%USERPROFILE%\AppData\Local\Temp\OnboardLogs" /stypes="app*4060*20170811*" /stext=" 14:.+((SYSTEM_STATE.+slice.+state.+changed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131-11 --locoid 4060 --swversion DE.1.0.9.0 --startMP 204:451 --initTime 2017-08-11T07:25:59 --startdatetime 2017-08-11T07:52:13 --delay 2 --endMP 204:63893 --enddatetime 2017-08-11T08:19:46 --enforcementcount 0 &gt;&gt;C:\Users\stu\Documents\GitHub\eaglep3-reporting\EC\2017-08-11-refined-times.txt</v>
      </c>
      <c r="AI44" s="96" t="str">
        <f t="shared" si="19"/>
        <v>echo {"issue":{"subject":"Wi-MAX data drop","project_id":79,"tracker_id":40,"status_id":1,"priority_id":2,"assigned_to_id":23,"start_date":"2017-08-11","description":"","custom_fields":[{"id":1,"name":"Subdivision","value":"EC"},{"id":4,"name":"Milepost","value":"6.3893"},{"id":17,"name":"Train ID","value":"131-11"},{"id":16,"name":"Locomotive ID","value":"4060"},{"id":130,"name":"Impact","value":""},{"id":150,"name":"Time of Event (Mountain Time)","value":"08:19:46"},{"id":151,"name":"Denver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4060 --day 2017-08-11</v>
      </c>
      <c r="AN44" s="151" t="str">
        <f t="shared" si="21"/>
        <v>echo {"issue":{"subject":"Wi-MAX data drop","project_id":30,"tracker_id":4,"status_id":1,"priority_id":1,"assigned_to_id":10,"start_date":"2017-08-11","description":"","custom_fields":[{"id":30,"name":"Category","value":"Issue"},{"id":3,"name":"Functional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14:19:46"},{"id":29,"name":"Sharepoint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612</v>
      </c>
      <c r="B45" s="7">
        <v>4060</v>
      </c>
      <c r="C45" s="21" t="s">
        <v>198</v>
      </c>
      <c r="D45" s="21" t="s">
        <v>886</v>
      </c>
      <c r="E45" s="13">
        <v>42958.326840277776</v>
      </c>
      <c r="F45" s="13">
        <v>42958.327928240738</v>
      </c>
      <c r="G45" s="7">
        <v>1</v>
      </c>
      <c r="H45" s="21" t="s">
        <v>497</v>
      </c>
      <c r="I45" s="13">
        <v>42958.347060185188</v>
      </c>
      <c r="J45" s="7">
        <v>0</v>
      </c>
      <c r="K45" s="89" t="str">
        <f t="shared" ref="K45:K69" si="29">IF(ISEVEN(B45),(B45-1)&amp;"/"&amp;B45,B45&amp;"/"&amp;(B45+1))</f>
        <v>4059/4060</v>
      </c>
      <c r="L45" s="21" t="str">
        <f>VLOOKUP(A45,'Trips&amp;Operators'!$C$1:$G$99999,5,FALSE)</f>
        <v>LOZA FIDEL</v>
      </c>
      <c r="M45" s="6">
        <f t="shared" ref="M45:M69" si="30">I45-F45</f>
        <v>1.913194444932742E-2</v>
      </c>
      <c r="N45" s="7"/>
      <c r="O45" s="7"/>
      <c r="P45" s="7"/>
      <c r="Q45" s="22"/>
      <c r="R45" s="170"/>
      <c r="S45" s="213"/>
      <c r="T45" s="195" t="str">
        <f t="shared" ref="T45:T69" si="31">IF(ISEVEN(LEFT(AD45,4)),"Southbound","NorthBound")</f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3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-08-11T06:50:39-0600',mode:absolute,to:'2017-08-11T09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5" s="197" t="str">
        <f>IF(AA45&lt;VLOOKUP(AG45,Variables!$AC$3:$AD$8,2,FALSE),"Y","N")</f>
        <v>Y</v>
      </c>
      <c r="X45" s="197">
        <f t="shared" ref="X45:X69" si="32">VALUE(LEFT(AD45,4))-VALUE(LEFT(AD44,4))</f>
        <v>0</v>
      </c>
      <c r="Y45" s="197">
        <f t="shared" ref="Y45:Y69" si="33">RIGHT(D45,LEN(D45)-4)/10000</f>
        <v>6.4702000000000002</v>
      </c>
      <c r="Z45" s="197">
        <f t="shared" ref="Z45:Z69" si="34">RIGHT(H45,LEN(H45)-4)/10000</f>
        <v>23.334599999999998</v>
      </c>
      <c r="AA45" s="197">
        <f t="shared" ref="AA45:AA69" si="35">ABS(Z45-Y45)</f>
        <v>16.864399999999996</v>
      </c>
      <c r="AB45" s="54" t="str">
        <f>VLOOKUP(A45,Enforcements!$C$7:$K$12,8,0)</f>
        <v>Speed (6)</v>
      </c>
      <c r="AC45" s="51" t="str">
        <f>VLOOKUP(A45,Enforcements!$C$7:$E$12,3,0)</f>
        <v>PERMANENT SPEED RESTRICTION</v>
      </c>
      <c r="AD45" s="206">
        <f t="shared" ref="AD45:AD69" si="36">VALUE(LEFT(A45,LEN(A45)-3))</f>
        <v>131</v>
      </c>
      <c r="AE45" s="77" t="str">
        <f t="shared" si="11"/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AF45" s="74" t="str">
        <f t="shared" si="12"/>
        <v>"C:\Program Files (x86)\AstroGrep\AstroGrep.exe" /e /r /s /spath="%USERPROFILE%\AppData\Local\Temp\OnboardLogs" /stypes="app*4060*20170811*" /stext=" 14:.+((SYSTEM_STATE.+slice.+state.+changed )|(ment ac)|(multiple cpu faults)|(system.+state.+changed )|(\[timeout)|(PRM\|1\|D)|(kpr)|(kdp)|(train st.+moving)|(\|lc)|(penalty))"</v>
      </c>
      <c r="AG45" s="209" t="str">
        <f t="shared" ref="AG45:AG69" si="37">DetSubdiv(A45)</f>
        <v>EC</v>
      </c>
      <c r="AH45" s="78" t="str">
        <f t="shared" si="18"/>
        <v>"%USERPROFILE%\Documents\GitHub\eaglep3\Utilities\RefineRTDCRunTimes.py" --tripid 131-11 --locoid 4060 --swversion DE.1.0.9.0 --startMP 204:64702 --initTime 2017-08-11T07:50:39 --startdatetime 2017-08-11T07:52:13 --delay 1 --endMP 204:233346 --enddatetime 2017-08-11T08:19:46 --enforcementcount 0 &gt;&gt;C:\Users\stu\Documents\GitHub\eaglep3-reporting\EC\2017-08-11-refined-times.txt</v>
      </c>
      <c r="AI45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{"issue":{"subject":"","project_id":79,"tracker_id":40,"status_id":1,"priority_id":2,"assigned_to_id":23,"start_date":"2017-08-11","description":"","custom_fields":[{"id":1,"name":"Subdivision","value":"EC"},{"id":4,"name":"Milepost","value":"23.3346"},{"id":17,"name":"Train ID","value":"131-11"},{"id":16,"name":"Locomotive ID","value":"4060"},{"id":130,"name":"Impact","value":""},{"id":150,"name":"Time of Event (Mountain Time)","value":"08:19:46"},{"id":151,"name":"Denver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4060 --day 2017-08-11</v>
      </c>
      <c r="AN45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14:19:46"},{"id":29,"name":"Sharepoint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694</v>
      </c>
      <c r="B46" s="7">
        <v>4059</v>
      </c>
      <c r="C46" s="21" t="s">
        <v>198</v>
      </c>
      <c r="D46" s="21" t="s">
        <v>887</v>
      </c>
      <c r="E46" s="13">
        <v>42958.354502314818</v>
      </c>
      <c r="F46" s="13">
        <v>42958.35633101852</v>
      </c>
      <c r="G46" s="7">
        <v>2</v>
      </c>
      <c r="H46" s="21" t="s">
        <v>343</v>
      </c>
      <c r="I46" s="13">
        <v>42958.381631944445</v>
      </c>
      <c r="J46" s="7">
        <v>0</v>
      </c>
      <c r="K46" s="89" t="str">
        <f t="shared" si="29"/>
        <v>4059/4060</v>
      </c>
      <c r="L46" s="21" t="str">
        <f>VLOOKUP(A46,'Trips&amp;Operators'!$C$1:$G$99999,5,FALSE)</f>
        <v>LOZA FIDEL</v>
      </c>
      <c r="M46" s="6">
        <f t="shared" si="30"/>
        <v>2.5300925924966577E-2</v>
      </c>
      <c r="N46" s="7">
        <f t="shared" ref="N46:N69" si="38">24*60*SUM($M46:$M46)</f>
        <v>36.433333331951872</v>
      </c>
      <c r="O46" s="7"/>
      <c r="P46" s="7"/>
      <c r="Q46" s="22"/>
      <c r="R46" s="170"/>
      <c r="S46" s="213">
        <f t="shared" ref="S46:S69" si="39">1/IF(AG46="EC",12,1)*SUM(U46:U46)</f>
        <v>1</v>
      </c>
      <c r="T46" s="195" t="str">
        <f t="shared" si="31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-08-11T07:30:29-0600',mode:absolute,to:'2017-08-11T10:09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6" s="197" t="str">
        <f>IF(AA46&lt;VLOOKUP(AG46,Variables!$AC$3:$AD$8,2,FALSE),"Y","N")</f>
        <v>N</v>
      </c>
      <c r="X46" s="197">
        <f t="shared" si="32"/>
        <v>1</v>
      </c>
      <c r="Y46" s="197">
        <f t="shared" si="33"/>
        <v>23.302099999999999</v>
      </c>
      <c r="Z46" s="197">
        <f t="shared" si="34"/>
        <v>1.43E-2</v>
      </c>
      <c r="AA46" s="197">
        <f t="shared" si="35"/>
        <v>23.287800000000001</v>
      </c>
      <c r="AB46" s="54" t="e">
        <f>VLOOKUP(A46,Enforcements!$C$7:$K$12,8,0)</f>
        <v>#N/A</v>
      </c>
      <c r="AC46" s="51" t="e">
        <f>VLOOKUP(A46,Enforcements!$C$7:$E$12,3,0)</f>
        <v>#N/A</v>
      </c>
      <c r="AD46" s="206">
        <f t="shared" si="36"/>
        <v>132</v>
      </c>
      <c r="AE46" s="77" t="str">
        <f t="shared" si="11"/>
        <v>aws s3 cp s3://rtdc.mdm.uploadarchive.raw/RTDC4059/ "%USERPROFILE%\AppData\Local\Temp\OnboardLogs"\RTDC4059\2017-08-11 --exclude "*" --recursive --include "*20170811*" &amp; "%USERPROFILE%\Documents\GitHub\mrs-test-scripts\Headless Mode &amp; Sideloading\WalkAndUnGZ.bat" "%USERPROFILE%\AppData\Local\Temp\OnboardLogs"\RTDC4059\2017-08-11 &amp; aws s3 cp s3://rtdc.mdm.uploadarchive.raw/RTDC4059/ "%USERPROFILE%\AppData\Local\Temp\OnboardLogs"\RTDC4059\2017-08-12 --exclude "*" --recursive --include "*20170812*" &amp; "%USERPROFILE%\Documents\GitHub\mrs-test-scripts\Headless Mode &amp; Sideloading\WalkAndUnGZ.bat" "%USERPROFILE%\AppData\Local\Temp\OnboardLogs"\RTDC4059\2017-08-12</v>
      </c>
      <c r="AF46" s="74" t="str">
        <f t="shared" si="12"/>
        <v>"C:\Program Files (x86)\AstroGrep\AstroGrep.exe" /e /r /s /spath="%USERPROFILE%\AppData\Local\Temp\OnboardLogs" /stypes="app*4059*20170811*" /stext=" 15:.+((SYSTEM_STATE.+slice.+state.+changed )|(ment ac)|(multiple cpu faults)|(system.+state.+changed )|(\[timeout)|(PRM\|1\|D)|(kpr)|(kdp)|(train st.+moving)|(\|lc)|(penalty))"</v>
      </c>
      <c r="AG46" s="209" t="str">
        <f t="shared" si="37"/>
        <v>EC</v>
      </c>
      <c r="AH46" s="78" t="str">
        <f t="shared" si="18"/>
        <v>"%USERPROFILE%\Documents\GitHub\eaglep3\Utilities\RefineRTDCRunTimes.py" --tripid 132-11 --locoid 4059 --swversion DE.1.0.9.0 --startMP 204:233021 --initTime 2017-08-11T08:30:29 --startdatetime 2017-08-11T08:33:07 --delay 2 --endMP 204:143 --enddatetime 2017-08-11T09:09:33 --enforcementcount 0 &gt;&gt;C:\Users\stu\Documents\GitHub\eaglep3-reporting\EC\2017-08-11-refined-times.txt</v>
      </c>
      <c r="AI46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{"issue":{"subject":"","project_id":79,"tracker_id":40,"status_id":1,"priority_id":2,"assigned_to_id":23,"start_date":"2017-08-11","description":"","custom_fields":[{"id":1,"name":"Subdivision","value":"EC"},{"id":4,"name":"Milepost","value":"0.0143"},{"id":17,"name":"Train ID","value":"132-11"},{"id":16,"name":"Locomotive ID","value":"4059"},{"id":130,"name":"Impact","value":""},{"id":150,"name":"Time of Event (Mountain Time)","value":"09:09:33"},{"id":151,"name":"Denver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4059 --day 2017-08-11</v>
      </c>
      <c r="AN46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15:09:33"},{"id":29,"name":"Sharepoint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686</v>
      </c>
      <c r="B47" s="7">
        <v>4066</v>
      </c>
      <c r="C47" s="21" t="s">
        <v>198</v>
      </c>
      <c r="D47" s="21" t="s">
        <v>469</v>
      </c>
      <c r="E47" s="13">
        <v>42958.319120370368</v>
      </c>
      <c r="F47" s="13">
        <v>42958.323449074072</v>
      </c>
      <c r="G47" s="7">
        <v>1</v>
      </c>
      <c r="H47" s="21" t="s">
        <v>888</v>
      </c>
      <c r="I47" s="13">
        <v>42958.350740740738</v>
      </c>
      <c r="J47" s="7">
        <v>0</v>
      </c>
      <c r="K47" s="89" t="str">
        <f t="shared" si="29"/>
        <v>4065/4066</v>
      </c>
      <c r="L47" s="21" t="str">
        <f>VLOOKUP(A47,'Trips&amp;Operators'!$C$1:$G$99999,5,FALSE)</f>
        <v>GUNTHIER ERIC</v>
      </c>
      <c r="M47" s="6">
        <f t="shared" si="30"/>
        <v>2.7291666665405501E-2</v>
      </c>
      <c r="N47" s="7">
        <f t="shared" si="38"/>
        <v>39.299999998183921</v>
      </c>
      <c r="O47" s="7"/>
      <c r="P47" s="7"/>
      <c r="Q47" s="22"/>
      <c r="R47" s="170"/>
      <c r="S47" s="213">
        <f t="shared" si="39"/>
        <v>1</v>
      </c>
      <c r="T47" s="195" t="str">
        <f t="shared" si="31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-08-11T06:39:32-0600',mode:absolute,to:'2017-08-11T09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7" s="197" t="str">
        <f>IF(AA47&lt;VLOOKUP(AG47,Variables!$AC$3:$AD$8,2,FALSE),"Y","N")</f>
        <v>N</v>
      </c>
      <c r="X47" s="197">
        <f t="shared" si="32"/>
        <v>1</v>
      </c>
      <c r="Y47" s="197">
        <f t="shared" si="33"/>
        <v>4.3999999999999997E-2</v>
      </c>
      <c r="Z47" s="197">
        <f t="shared" si="34"/>
        <v>23.343299999999999</v>
      </c>
      <c r="AA47" s="197">
        <f t="shared" si="35"/>
        <v>23.299299999999999</v>
      </c>
      <c r="AB47" s="54" t="e">
        <f>VLOOKUP(A47,Enforcements!$C$7:$K$12,8,0)</f>
        <v>#N/A</v>
      </c>
      <c r="AC47" s="51" t="e">
        <f>VLOOKUP(A47,Enforcements!$C$7:$E$12,3,0)</f>
        <v>#N/A</v>
      </c>
      <c r="AD47" s="206">
        <f t="shared" si="36"/>
        <v>133</v>
      </c>
      <c r="AE47" s="77" t="str">
        <f t="shared" si="11"/>
        <v>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 &amp; aws s3 cp s3://rtdc.mdm.uploadarchive.raw/RTDC4066/ "%USERPROFILE%\AppData\Local\Temp\OnboardLogs"\RTDC4066\2017-08-12 --exclude "*" --recursive --include "*20170812*" &amp; "%USERPROFILE%\Documents\GitHub\mrs-test-scripts\Headless Mode &amp; Sideloading\WalkAndUnGZ.bat" "%USERPROFILE%\AppData\Local\Temp\OnboardLogs"\RTDC4066\2017-08-12</v>
      </c>
      <c r="AF47" s="74" t="str">
        <f t="shared" si="12"/>
        <v>"C:\Program Files (x86)\AstroGrep\AstroGrep.exe" /e /r /s /spath="%USERPROFILE%\AppData\Local\Temp\OnboardLogs" /stypes="app*4066*20170811*" /stext=" 14:.+((SYSTEM_STATE.+slice.+state.+changed )|(ment ac)|(multiple cpu faults)|(system.+state.+changed )|(\[timeout)|(PRM\|1\|D)|(kpr)|(kdp)|(train st.+moving)|(\|lc)|(penalty))"</v>
      </c>
      <c r="AG47" s="209" t="str">
        <f t="shared" si="37"/>
        <v>EC</v>
      </c>
      <c r="AH47" s="78" t="str">
        <f t="shared" si="18"/>
        <v>"%USERPROFILE%\Documents\GitHub\eaglep3\Utilities\RefineRTDCRunTimes.py" --tripid 133-11 --locoid 4066 --swversion DE.1.0.9.0 --startMP 204:440 --initTime 2017-08-11T07:39:32 --startdatetime 2017-08-11T07:45:46 --delay 1 --endMP 204:233433 --enddatetime 2017-08-11T08:25:04 --enforcementcount 0 &gt;&gt;C:\Users\stu\Documents\GitHub\eaglep3-reporting\EC\2017-08-11-refined-times.txt</v>
      </c>
      <c r="AI47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{"issue":{"subject":"","project_id":79,"tracker_id":40,"status_id":1,"priority_id":2,"assigned_to_id":23,"start_date":"2017-08-11","description":"","custom_fields":[{"id":1,"name":"Subdivision","value":"EC"},{"id":4,"name":"Milepost","value":"23.3433"},{"id":17,"name":"Train ID","value":"133-11"},{"id":16,"name":"Locomotive ID","value":"4066"},{"id":130,"name":"Impact","value":""},{"id":150,"name":"Time of Event (Mountain Time)","value":"08:25:04"},{"id":151,"name":"Denver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4066 --day 2017-08-11</v>
      </c>
      <c r="AN47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14:25:04"},{"id":29,"name":"Sharepoint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615</v>
      </c>
      <c r="B48" s="7">
        <v>4065</v>
      </c>
      <c r="C48" s="21" t="s">
        <v>198</v>
      </c>
      <c r="D48" s="21" t="s">
        <v>874</v>
      </c>
      <c r="E48" s="13">
        <v>42958.35833333333</v>
      </c>
      <c r="F48" s="13">
        <v>42958.362673611111</v>
      </c>
      <c r="G48" s="7">
        <v>1</v>
      </c>
      <c r="H48" s="21" t="s">
        <v>456</v>
      </c>
      <c r="I48" s="13">
        <v>42958.390231481484</v>
      </c>
      <c r="J48" s="7">
        <v>0</v>
      </c>
      <c r="K48" s="89" t="str">
        <f t="shared" si="29"/>
        <v>4065/4066</v>
      </c>
      <c r="L48" s="21" t="str">
        <f>VLOOKUP(A48,'Trips&amp;Operators'!$C$1:$G$99999,5,FALSE)</f>
        <v>GUNTHIER ERIC</v>
      </c>
      <c r="M48" s="6">
        <f t="shared" si="30"/>
        <v>2.7557870373129845E-2</v>
      </c>
      <c r="N48" s="7">
        <f t="shared" si="38"/>
        <v>39.683333337306976</v>
      </c>
      <c r="O48" s="7"/>
      <c r="P48" s="7"/>
      <c r="Q48" s="22"/>
      <c r="R48" s="170"/>
      <c r="S48" s="213">
        <f t="shared" si="39"/>
        <v>1</v>
      </c>
      <c r="T48" s="195" t="str">
        <f t="shared" si="31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-08-11T07:36:00-0600',mode:absolute,to:'2017-08-11T10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8" s="197" t="str">
        <f>IF(AA48&lt;VLOOKUP(AG48,Variables!$AC$3:$AD$8,2,FALSE),"Y","N")</f>
        <v>N</v>
      </c>
      <c r="X48" s="197">
        <f t="shared" si="32"/>
        <v>1</v>
      </c>
      <c r="Y48" s="197">
        <f t="shared" si="33"/>
        <v>23.312200000000001</v>
      </c>
      <c r="Z48" s="197">
        <f t="shared" si="34"/>
        <v>1.6E-2</v>
      </c>
      <c r="AA48" s="197">
        <f t="shared" si="35"/>
        <v>23.296200000000002</v>
      </c>
      <c r="AB48" s="54" t="e">
        <f>VLOOKUP(A48,Enforcements!$C$7:$K$12,8,0)</f>
        <v>#N/A</v>
      </c>
      <c r="AC48" s="51" t="e">
        <f>VLOOKUP(A48,Enforcements!$C$7:$E$12,3,0)</f>
        <v>#N/A</v>
      </c>
      <c r="AD48" s="206">
        <f t="shared" si="36"/>
        <v>134</v>
      </c>
      <c r="AE48" s="77" t="str">
        <f t="shared" si="11"/>
        <v>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 &amp; aws s3 cp s3://rtdc.mdm.uploadarchive.raw/RTDC4065/ "%USERPROFILE%\AppData\Local\Temp\OnboardLogs"\RTDC4065\2017-08-12 --exclude "*" --recursive --include "*20170812*" &amp; "%USERPROFILE%\Documents\GitHub\mrs-test-scripts\Headless Mode &amp; Sideloading\WalkAndUnGZ.bat" "%USERPROFILE%\AppData\Local\Temp\OnboardLogs"\RTDC4065\2017-08-12</v>
      </c>
      <c r="AF48" s="74" t="str">
        <f t="shared" si="12"/>
        <v>"C:\Program Files (x86)\AstroGrep\AstroGrep.exe" /e /r /s /spath="%USERPROFILE%\AppData\Local\Temp\OnboardLogs" /stypes="app*4065*20170811*" /stext=" 15:.+((SYSTEM_STATE.+slice.+state.+changed )|(ment ac)|(multiple cpu faults)|(system.+state.+changed )|(\[timeout)|(PRM\|1\|D)|(kpr)|(kdp)|(train st.+moving)|(\|lc)|(penalty))"</v>
      </c>
      <c r="AG48" s="209" t="str">
        <f t="shared" si="37"/>
        <v>EC</v>
      </c>
      <c r="AH48" s="78" t="str">
        <f t="shared" si="18"/>
        <v>"%USERPROFILE%\Documents\GitHub\eaglep3\Utilities\RefineRTDCRunTimes.py" --tripid 134-11 --locoid 4065 --swversion DE.1.0.9.0 --startMP 204:233122 --initTime 2017-08-11T08:36:00 --startdatetime 2017-08-11T08:42:15 --delay 1 --endMP 204:160 --enddatetime 2017-08-11T09:21:56 --enforcementcount 0 &gt;&gt;C:\Users\stu\Documents\GitHub\eaglep3-reporting\EC\2017-08-11-refined-times.txt</v>
      </c>
      <c r="AI48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{"issue":{"subject":"","project_id":79,"tracker_id":40,"status_id":1,"priority_id":2,"assigned_to_id":23,"start_date":"2017-08-11","description":"","custom_fields":[{"id":1,"name":"Subdivision","value":"EC"},{"id":4,"name":"Milepost","value":"0.016"},{"id":17,"name":"Train ID","value":"134-11"},{"id":16,"name":"Locomotive ID","value":"4065"},{"id":130,"name":"Impact","value":""},{"id":150,"name":"Time of Event (Mountain Time)","value":"09:21:56"},{"id":151,"name":"Denver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4065 --day 2017-08-11</v>
      </c>
      <c r="AN48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15:21:56"},{"id":29,"name":"Sharepoint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688</v>
      </c>
      <c r="B49" s="7">
        <v>4020</v>
      </c>
      <c r="C49" s="21" t="s">
        <v>198</v>
      </c>
      <c r="D49" s="21" t="s">
        <v>433</v>
      </c>
      <c r="E49" s="13">
        <v>42958.330555555556</v>
      </c>
      <c r="F49" s="13">
        <v>42958.333865740744</v>
      </c>
      <c r="G49" s="7">
        <v>1</v>
      </c>
      <c r="H49" s="21" t="s">
        <v>529</v>
      </c>
      <c r="I49" s="13">
        <v>42958.360960648148</v>
      </c>
      <c r="J49" s="7">
        <v>0</v>
      </c>
      <c r="K49" s="89" t="str">
        <f t="shared" si="29"/>
        <v>4019/4020</v>
      </c>
      <c r="L49" s="21" t="str">
        <f>VLOOKUP(A49,'Trips&amp;Operators'!$C$1:$G$99999,5,FALSE)</f>
        <v>BARRON PERLA</v>
      </c>
      <c r="M49" s="6">
        <f t="shared" si="30"/>
        <v>2.7094907403807156E-2</v>
      </c>
      <c r="N49" s="7">
        <f t="shared" si="38"/>
        <v>39.016666661482304</v>
      </c>
      <c r="O49" s="7"/>
      <c r="P49" s="7"/>
      <c r="Q49" s="22"/>
      <c r="R49" s="170"/>
      <c r="S49" s="213">
        <f t="shared" si="39"/>
        <v>1</v>
      </c>
      <c r="T49" s="195" t="str">
        <f t="shared" si="31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-08-11T06:56:00-0600',mode:absolute,to:'2017-08-11T09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9" s="197" t="str">
        <f>IF(AA49&lt;VLOOKUP(AG49,Variables!$AC$3:$AD$8,2,FALSE),"Y","N")</f>
        <v>N</v>
      </c>
      <c r="X49" s="197">
        <f t="shared" si="32"/>
        <v>1</v>
      </c>
      <c r="Y49" s="197">
        <f t="shared" si="33"/>
        <v>4.5999999999999999E-2</v>
      </c>
      <c r="Z49" s="197">
        <f t="shared" si="34"/>
        <v>23.333200000000001</v>
      </c>
      <c r="AA49" s="197">
        <f t="shared" si="35"/>
        <v>23.287200000000002</v>
      </c>
      <c r="AB49" s="54" t="e">
        <f>VLOOKUP(A49,Enforcements!$C$7:$K$12,8,0)</f>
        <v>#N/A</v>
      </c>
      <c r="AC49" s="51" t="e">
        <f>VLOOKUP(A49,Enforcements!$C$7:$E$12,3,0)</f>
        <v>#N/A</v>
      </c>
      <c r="AD49" s="206">
        <f t="shared" si="36"/>
        <v>135</v>
      </c>
      <c r="AE49" s="77" t="str">
        <f t="shared" si="11"/>
        <v>aws s3 cp s3://rtdc.mdm.uploadarchive.raw/RTDC4020/ "%USERPROFILE%\AppData\Local\Temp\OnboardLogs"\RTDC4020\2017-08-11 --exclude "*" --recursive --include "*20170811*" &amp; "%USERPROFILE%\Documents\GitHub\mrs-test-scripts\Headless Mode &amp; Sideloading\WalkAndUnGZ.bat" "%USERPROFILE%\AppData\Local\Temp\OnboardLogs"\RTDC4020\2017-08-11 &amp; aws s3 cp s3://rtdc.mdm.uploadarchive.raw/RTDC4020/ "%USERPROFILE%\AppData\Local\Temp\OnboardLogs"\RTDC4020\2017-08-12 --exclude "*" --recursive --include "*20170812*" &amp; "%USERPROFILE%\Documents\GitHub\mrs-test-scripts\Headless Mode &amp; Sideloading\WalkAndUnGZ.bat" "%USERPROFILE%\AppData\Local\Temp\OnboardLogs"\RTDC4020\2017-08-12</v>
      </c>
      <c r="AF49" s="74" t="str">
        <f t="shared" si="12"/>
        <v>"C:\Program Files (x86)\AstroGrep\AstroGrep.exe" /e /r /s /spath="%USERPROFILE%\AppData\Local\Temp\OnboardLogs" /stypes="app*4020*20170811*" /stext=" 14:.+((SYSTEM_STATE.+slice.+state.+changed )|(ment ac)|(multiple cpu faults)|(system.+state.+changed )|(\[timeout)|(PRM\|1\|D)|(kpr)|(kdp)|(train st.+moving)|(\|lc)|(penalty))"</v>
      </c>
      <c r="AG49" s="209" t="str">
        <f t="shared" si="37"/>
        <v>EC</v>
      </c>
      <c r="AH49" s="78" t="str">
        <f t="shared" si="18"/>
        <v>"%USERPROFILE%\Documents\GitHub\eaglep3\Utilities\RefineRTDCRunTimes.py" --tripid 135-11 --locoid 4020 --swversion DE.1.0.9.0 --startMP 204:460 --initTime 2017-08-11T07:56:00 --startdatetime 2017-08-11T08:00:46 --delay 1 --endMP 204:233332 --enddatetime 2017-08-11T08:39:47 --enforcementcount 0 &gt;&gt;C:\Users\stu\Documents\GitHub\eaglep3-reporting\EC\2017-08-11-refined-times.txt</v>
      </c>
      <c r="AI49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{"issue":{"subject":"","project_id":79,"tracker_id":40,"status_id":1,"priority_id":2,"assigned_to_id":23,"start_date":"2017-08-11","description":"","custom_fields":[{"id":1,"name":"Subdivision","value":"EC"},{"id":4,"name":"Milepost","value":"23.3332"},{"id":17,"name":"Train ID","value":"135-11"},{"id":16,"name":"Locomotive ID","value":"4020"},{"id":130,"name":"Impact","value":""},{"id":150,"name":"Time of Event (Mountain Time)","value":"08:39:47"},{"id":151,"name":"Denver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4020 --day 2017-08-11</v>
      </c>
      <c r="AN49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14:39:47"},{"id":29,"name":"Sharepoint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698</v>
      </c>
      <c r="B50" s="7">
        <v>4019</v>
      </c>
      <c r="C50" s="21" t="s">
        <v>198</v>
      </c>
      <c r="D50" s="21" t="s">
        <v>889</v>
      </c>
      <c r="E50" s="13">
        <v>42958.362743055557</v>
      </c>
      <c r="F50" s="13">
        <v>42958.373159722221</v>
      </c>
      <c r="G50" s="7">
        <v>2</v>
      </c>
      <c r="H50" s="21" t="s">
        <v>375</v>
      </c>
      <c r="I50" s="13">
        <v>42958.399791666663</v>
      </c>
      <c r="J50" s="7">
        <v>0</v>
      </c>
      <c r="K50" s="89" t="str">
        <f t="shared" si="29"/>
        <v>4019/4020</v>
      </c>
      <c r="L50" s="21" t="str">
        <f>VLOOKUP(A50,'Trips&amp;Operators'!$C$1:$G$99999,5,FALSE)</f>
        <v>BARRON PERLA</v>
      </c>
      <c r="M50" s="6">
        <f t="shared" si="30"/>
        <v>2.6631944441760425E-2</v>
      </c>
      <c r="N50" s="7">
        <f t="shared" si="38"/>
        <v>38.349999996135011</v>
      </c>
      <c r="O50" s="7"/>
      <c r="P50" s="7"/>
      <c r="Q50" s="22"/>
      <c r="R50" s="170"/>
      <c r="S50" s="213">
        <f t="shared" si="39"/>
        <v>1</v>
      </c>
      <c r="T50" s="195" t="str">
        <f t="shared" si="31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-08-11T07:42:21-0600',mode:absolute,to:'2017-08-11T10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0" s="197" t="str">
        <f>IF(AA50&lt;VLOOKUP(AG50,Variables!$AC$3:$AD$8,2,FALSE),"Y","N")</f>
        <v>N</v>
      </c>
      <c r="X50" s="197">
        <f t="shared" si="32"/>
        <v>1</v>
      </c>
      <c r="Y50" s="197">
        <f t="shared" si="33"/>
        <v>23.3017</v>
      </c>
      <c r="Z50" s="197">
        <f t="shared" si="34"/>
        <v>1.54E-2</v>
      </c>
      <c r="AA50" s="197">
        <f t="shared" si="35"/>
        <v>23.286300000000001</v>
      </c>
      <c r="AB50" s="54" t="e">
        <f>VLOOKUP(A50,Enforcements!$C$7:$K$12,8,0)</f>
        <v>#N/A</v>
      </c>
      <c r="AC50" s="51" t="e">
        <f>VLOOKUP(A50,Enforcements!$C$7:$E$12,3,0)</f>
        <v>#N/A</v>
      </c>
      <c r="AD50" s="206">
        <f t="shared" si="36"/>
        <v>136</v>
      </c>
      <c r="AE50" s="77" t="str">
        <f t="shared" si="11"/>
        <v>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 &amp; aws s3 cp s3://rtdc.mdm.uploadarchive.raw/RTDC4019/ "%USERPROFILE%\AppData\Local\Temp\OnboardLogs"\RTDC4019\2017-08-12 --exclude "*" --recursive --include "*20170812*" &amp; "%USERPROFILE%\Documents\GitHub\mrs-test-scripts\Headless Mode &amp; Sideloading\WalkAndUnGZ.bat" "%USERPROFILE%\AppData\Local\Temp\OnboardLogs"\RTDC4019\2017-08-12</v>
      </c>
      <c r="AF50" s="74" t="str">
        <f t="shared" si="12"/>
        <v>"C:\Program Files (x86)\AstroGrep\AstroGrep.exe" /e /r /s /spath="%USERPROFILE%\AppData\Local\Temp\OnboardLogs" /stypes="app*4019*20170811*" /stext=" 15:.+((SYSTEM_STATE.+slice.+state.+changed )|(ment ac)|(multiple cpu faults)|(system.+state.+changed )|(\[timeout)|(PRM\|1\|D)|(kpr)|(kdp)|(train st.+moving)|(\|lc)|(penalty))"</v>
      </c>
      <c r="AG50" s="209" t="str">
        <f t="shared" si="37"/>
        <v>EC</v>
      </c>
      <c r="AH50" s="78" t="str">
        <f t="shared" si="18"/>
        <v>"%USERPROFILE%\Documents\GitHub\eaglep3\Utilities\RefineRTDCRunTimes.py" --tripid 136-11 --locoid 4019 --swversion DE.1.0.9.0 --startMP 204:233017 --initTime 2017-08-11T08:42:21 --startdatetime 2017-08-11T08:57:21 --delay 2 --endMP 204:154 --enddatetime 2017-08-11T09:35:42 --enforcementcount 0 &gt;&gt;C:\Users\stu\Documents\GitHub\eaglep3-reporting\EC\2017-08-11-refined-times.txt</v>
      </c>
      <c r="AI50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{"issue":{"subject":"","project_id":79,"tracker_id":40,"status_id":1,"priority_id":2,"assigned_to_id":23,"start_date":"2017-08-11","description":"","custom_fields":[{"id":1,"name":"Subdivision","value":"EC"},{"id":4,"name":"Milepost","value":"0.0154"},{"id":17,"name":"Train ID","value":"136-11"},{"id":16,"name":"Locomotive ID","value":"4019"},{"id":130,"name":"Impact","value":""},{"id":150,"name":"Time of Event (Mountain Time)","value":"09:35:42"},{"id":151,"name":"Denver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4019 --day 2017-08-11</v>
      </c>
      <c r="AN50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15:35:42"},{"id":29,"name":"Sharepoint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692</v>
      </c>
      <c r="B51" s="7">
        <v>4030</v>
      </c>
      <c r="C51" s="21" t="s">
        <v>198</v>
      </c>
      <c r="D51" s="21" t="s">
        <v>526</v>
      </c>
      <c r="E51" s="13">
        <v>42958.33935185185</v>
      </c>
      <c r="F51" s="13">
        <v>42958.344259259262</v>
      </c>
      <c r="G51" s="7">
        <v>1</v>
      </c>
      <c r="H51" s="21" t="s">
        <v>1048</v>
      </c>
      <c r="I51" s="13">
        <v>42958.370300925926</v>
      </c>
      <c r="J51" s="7">
        <v>0</v>
      </c>
      <c r="K51" s="89" t="str">
        <f t="shared" si="29"/>
        <v>4029/4030</v>
      </c>
      <c r="L51" s="21" t="str">
        <f>VLOOKUP(A51,'Trips&amp;Operators'!$C$1:$G$99999,5,FALSE)</f>
        <v>DAVIS WENDY</v>
      </c>
      <c r="M51" s="6">
        <f t="shared" si="30"/>
        <v>2.6041666664241347E-2</v>
      </c>
      <c r="N51" s="7">
        <f t="shared" si="38"/>
        <v>37.49999999650754</v>
      </c>
      <c r="O51" s="7"/>
      <c r="P51" s="7"/>
      <c r="Q51" s="22"/>
      <c r="R51" s="170"/>
      <c r="S51" s="213">
        <f t="shared" si="39"/>
        <v>1</v>
      </c>
      <c r="T51" s="195" t="str">
        <f t="shared" si="31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-08-11T07:08:40-0600',mode:absolute,to:'2017-08-11T09:53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1" s="197" t="str">
        <f>IF(AA51&lt;VLOOKUP(AG51,Variables!$AC$3:$AD$8,2,FALSE),"Y","N")</f>
        <v>N</v>
      </c>
      <c r="X51" s="197">
        <f t="shared" si="32"/>
        <v>1</v>
      </c>
      <c r="Y51" s="197">
        <f t="shared" si="33"/>
        <v>4.3099999999999999E-2</v>
      </c>
      <c r="Z51" s="197">
        <f t="shared" si="34"/>
        <v>23.332599999999999</v>
      </c>
      <c r="AA51" s="197">
        <f t="shared" si="35"/>
        <v>23.2895</v>
      </c>
      <c r="AB51" s="54" t="e">
        <f>VLOOKUP(A51,Enforcements!$C$7:$K$12,8,0)</f>
        <v>#N/A</v>
      </c>
      <c r="AC51" s="51" t="e">
        <f>VLOOKUP(A51,Enforcements!$C$7:$E$12,3,0)</f>
        <v>#N/A</v>
      </c>
      <c r="AD51" s="206">
        <f t="shared" si="36"/>
        <v>137</v>
      </c>
      <c r="AE51" s="77" t="str">
        <f t="shared" si="11"/>
        <v>aws s3 cp s3://rtdc.mdm.uploadarchive.raw/RTDC4030/ "%USERPROFILE%\AppData\Local\Temp\OnboardLogs"\RTDC4030\2017-08-11 --exclude "*" --recursive --include "*20170811*" &amp; "%USERPROFILE%\Documents\GitHub\mrs-test-scripts\Headless Mode &amp; Sideloading\WalkAndUnGZ.bat" "%USERPROFILE%\AppData\Local\Temp\OnboardLogs"\RTDC4030\2017-08-11 &amp; aws s3 cp s3://rtdc.mdm.uploadarchive.raw/RTDC4030/ "%USERPROFILE%\AppData\Local\Temp\OnboardLogs"\RTDC4030\2017-08-12 --exclude "*" --recursive --include "*20170812*" &amp; "%USERPROFILE%\Documents\GitHub\mrs-test-scripts\Headless Mode &amp; Sideloading\WalkAndUnGZ.bat" "%USERPROFILE%\AppData\Local\Temp\OnboardLogs"\RTDC4030\2017-08-12</v>
      </c>
      <c r="AF51" s="74" t="str">
        <f t="shared" si="12"/>
        <v>"C:\Program Files (x86)\AstroGrep\AstroGrep.exe" /e /r /s /spath="%USERPROFILE%\AppData\Local\Temp\OnboardLogs" /stypes="app*4030*20170811*" /stext=" 14:.+((SYSTEM_STATE.+slice.+state.+changed )|(ment ac)|(multiple cpu faults)|(system.+state.+changed )|(\[timeout)|(PRM\|1\|D)|(kpr)|(kdp)|(train st.+moving)|(\|lc)|(penalty))"</v>
      </c>
      <c r="AG51" s="209" t="str">
        <f t="shared" si="37"/>
        <v>EC</v>
      </c>
      <c r="AH51" s="78" t="str">
        <f t="shared" si="18"/>
        <v>"%USERPROFILE%\Documents\GitHub\eaglep3\Utilities\RefineRTDCRunTimes.py" --tripid 137-11 --locoid 4030 --swversion DE.1.0.9.0 --startMP 204:431 --initTime 2017-08-11T08:08:40 --startdatetime 2017-08-11T08:15:44 --delay 1 --endMP 204:233326 --enddatetime 2017-08-11T08:53:14 --enforcementcount 0 &gt;&gt;C:\Users\stu\Documents\GitHub\eaglep3-reporting\EC\2017-08-11-refined-times.txt</v>
      </c>
      <c r="AI51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{"issue":{"subject":"","project_id":79,"tracker_id":40,"status_id":1,"priority_id":2,"assigned_to_id":23,"start_date":"2017-08-11","description":"","custom_fields":[{"id":1,"name":"Subdivision","value":"EC"},{"id":4,"name":"Milepost","value":"23.3326"},{"id":17,"name":"Train ID","value":"137-11"},{"id":16,"name":"Locomotive ID","value":"4030"},{"id":130,"name":"Impact","value":""},{"id":150,"name":"Time of Event (Mountain Time)","value":"08:53:14"},{"id":151,"name":"Denver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4030 --day 2017-08-11</v>
      </c>
      <c r="AN51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14:53:14"},{"id":29,"name":"Sharepoint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616</v>
      </c>
      <c r="B52" s="7">
        <v>4029</v>
      </c>
      <c r="C52" s="21" t="s">
        <v>198</v>
      </c>
      <c r="D52" s="21" t="s">
        <v>890</v>
      </c>
      <c r="E52" s="13">
        <v>42958.380243055559</v>
      </c>
      <c r="F52" s="13">
        <v>42958.38386574074</v>
      </c>
      <c r="G52" s="7">
        <v>1</v>
      </c>
      <c r="H52" s="21" t="s">
        <v>342</v>
      </c>
      <c r="I52" s="13">
        <v>42958.413206018522</v>
      </c>
      <c r="J52" s="7">
        <v>0</v>
      </c>
      <c r="K52" s="89" t="str">
        <f t="shared" si="29"/>
        <v>4029/4030</v>
      </c>
      <c r="L52" s="21" t="str">
        <f>VLOOKUP(A52,'Trips&amp;Operators'!$C$1:$G$99999,5,FALSE)</f>
        <v>DAVIS WENDY</v>
      </c>
      <c r="M52" s="6">
        <f t="shared" si="30"/>
        <v>2.9340277782466728E-2</v>
      </c>
      <c r="N52" s="7">
        <f t="shared" si="38"/>
        <v>42.250000006752089</v>
      </c>
      <c r="O52" s="7"/>
      <c r="P52" s="7"/>
      <c r="Q52" s="22"/>
      <c r="R52" s="170"/>
      <c r="S52" s="213">
        <f t="shared" si="39"/>
        <v>1</v>
      </c>
      <c r="T52" s="195" t="str">
        <f t="shared" si="31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-08-11T08:07:33-0600',mode:absolute,to:'2017-08-11T10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2" s="197" t="str">
        <f>IF(AA52&lt;VLOOKUP(AG52,Variables!$AC$3:$AD$8,2,FALSE),"Y","N")</f>
        <v>N</v>
      </c>
      <c r="X52" s="197">
        <f t="shared" si="32"/>
        <v>1</v>
      </c>
      <c r="Y52" s="197">
        <f t="shared" si="33"/>
        <v>23.300699999999999</v>
      </c>
      <c r="Z52" s="197">
        <f t="shared" si="34"/>
        <v>1.49E-2</v>
      </c>
      <c r="AA52" s="197">
        <f t="shared" si="35"/>
        <v>23.285799999999998</v>
      </c>
      <c r="AB52" s="54" t="e">
        <f>VLOOKUP(A52,Enforcements!$C$7:$K$12,8,0)</f>
        <v>#N/A</v>
      </c>
      <c r="AC52" s="51" t="e">
        <f>VLOOKUP(A52,Enforcements!$C$7:$E$12,3,0)</f>
        <v>#N/A</v>
      </c>
      <c r="AD52" s="206">
        <f t="shared" si="36"/>
        <v>138</v>
      </c>
      <c r="AE52" s="77" t="str">
        <f t="shared" si="11"/>
        <v>aws s3 cp s3://rtdc.mdm.uploadarchive.raw/RTDC4029/ "%USERPROFILE%\AppData\Local\Temp\OnboardLogs"\RTDC4029\2017-08-11 --exclude "*" --recursive --include "*20170811*" &amp; "%USERPROFILE%\Documents\GitHub\mrs-test-scripts\Headless Mode &amp; Sideloading\WalkAndUnGZ.bat" "%USERPROFILE%\AppData\Local\Temp\OnboardLogs"\RTDC4029\2017-08-11 &amp; aws s3 cp s3://rtdc.mdm.uploadarchive.raw/RTDC4029/ "%USERPROFILE%\AppData\Local\Temp\OnboardLogs"\RTDC4029\2017-08-12 --exclude "*" --recursive --include "*20170812*" &amp; "%USERPROFILE%\Documents\GitHub\mrs-test-scripts\Headless Mode &amp; Sideloading\WalkAndUnGZ.bat" "%USERPROFILE%\AppData\Local\Temp\OnboardLogs"\RTDC4029\2017-08-12</v>
      </c>
      <c r="AF52" s="74" t="str">
        <f t="shared" si="12"/>
        <v>"C:\Program Files (x86)\AstroGrep\AstroGrep.exe" /e /r /s /spath="%USERPROFILE%\AppData\Local\Temp\OnboardLogs" /stypes="app*4029*20170811*" /stext=" 15:.+((SYSTEM_STATE.+slice.+state.+changed )|(ment ac)|(multiple cpu faults)|(system.+state.+changed )|(\[timeout)|(PRM\|1\|D)|(kpr)|(kdp)|(train st.+moving)|(\|lc)|(penalty))"</v>
      </c>
      <c r="AG52" s="209" t="str">
        <f t="shared" si="37"/>
        <v>EC</v>
      </c>
      <c r="AH52" s="78" t="str">
        <f t="shared" si="18"/>
        <v>"%USERPROFILE%\Documents\GitHub\eaglep3\Utilities\RefineRTDCRunTimes.py" --tripid 138-11 --locoid 4029 --swversion DE.1.0.9.0 --startMP 204:233007 --initTime 2017-08-11T09:07:33 --startdatetime 2017-08-11T09:12:46 --delay 1 --endMP 204:149 --enddatetime 2017-08-11T09:55:01 --enforcementcount 0 &gt;&gt;C:\Users\stu\Documents\GitHub\eaglep3-reporting\EC\2017-08-11-refined-times.txt</v>
      </c>
      <c r="AI52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{"issue":{"subject":"","project_id":79,"tracker_id":40,"status_id":1,"priority_id":2,"assigned_to_id":23,"start_date":"2017-08-11","description":"","custom_fields":[{"id":1,"name":"Subdivision","value":"EC"},{"id":4,"name":"Milepost","value":"0.0149"},{"id":17,"name":"Train ID","value":"138-11"},{"id":16,"name":"Locomotive ID","value":"4029"},{"id":130,"name":"Impact","value":""},{"id":150,"name":"Time of Event (Mountain Time)","value":"09:55:01"},{"id":151,"name":"Denver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4029 --day 2017-08-11</v>
      </c>
      <c r="AN52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15:55:01"},{"id":29,"name":"Sharepoint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695</v>
      </c>
      <c r="B53" s="7">
        <v>4040</v>
      </c>
      <c r="C53" s="21" t="s">
        <v>198</v>
      </c>
      <c r="D53" s="21" t="s">
        <v>524</v>
      </c>
      <c r="E53" s="13">
        <v>42958.355543981481</v>
      </c>
      <c r="F53" s="13">
        <v>42958.357002314813</v>
      </c>
      <c r="G53" s="7">
        <v>1</v>
      </c>
      <c r="H53" s="21" t="s">
        <v>536</v>
      </c>
      <c r="I53" s="13">
        <v>42958.380381944444</v>
      </c>
      <c r="J53" s="7">
        <v>0</v>
      </c>
      <c r="K53" s="89" t="str">
        <f t="shared" si="29"/>
        <v>4039/4040</v>
      </c>
      <c r="L53" s="21" t="str">
        <f>VLOOKUP(A53,'Trips&amp;Operators'!$C$1:$G$99999,5,FALSE)</f>
        <v>ROCHA YAOTL</v>
      </c>
      <c r="M53" s="6">
        <f t="shared" si="30"/>
        <v>2.3379629630653653E-2</v>
      </c>
      <c r="N53" s="7">
        <f t="shared" si="38"/>
        <v>33.666666668141261</v>
      </c>
      <c r="O53" s="7"/>
      <c r="P53" s="7"/>
      <c r="Q53" s="22"/>
      <c r="R53" s="170"/>
      <c r="S53" s="213">
        <f t="shared" si="39"/>
        <v>1</v>
      </c>
      <c r="T53" s="195" t="str">
        <f t="shared" si="31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-08-11T07:31:59-0600',mode:absolute,to:'2017-08-11T10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3" s="197" t="str">
        <f>IF(AA53&lt;VLOOKUP(AG53,Variables!$AC$3:$AD$8,2,FALSE),"Y","N")</f>
        <v>N</v>
      </c>
      <c r="X53" s="197">
        <f t="shared" si="32"/>
        <v>1</v>
      </c>
      <c r="Y53" s="197">
        <f t="shared" si="33"/>
        <v>4.6600000000000003E-2</v>
      </c>
      <c r="Z53" s="197">
        <f t="shared" si="34"/>
        <v>23.3355</v>
      </c>
      <c r="AA53" s="197">
        <f t="shared" si="35"/>
        <v>23.288899999999998</v>
      </c>
      <c r="AB53" s="54" t="e">
        <f>VLOOKUP(A53,Enforcements!$C$7:$K$12,8,0)</f>
        <v>#N/A</v>
      </c>
      <c r="AC53" s="51" t="e">
        <f>VLOOKUP(A53,Enforcements!$C$7:$E$12,3,0)</f>
        <v>#N/A</v>
      </c>
      <c r="AD53" s="206">
        <f t="shared" si="36"/>
        <v>139</v>
      </c>
      <c r="AE53" s="77" t="str">
        <f t="shared" si="11"/>
        <v>aws s3 cp s3://rtdc.mdm.uploadarchive.raw/RTDC4040/ "%USERPROFILE%\AppData\Local\Temp\OnboardLogs"\RTDC4040\2017-08-11 --exclude "*" --recursive --include "*20170811*" &amp; "%USERPROFILE%\Documents\GitHub\mrs-test-scripts\Headless Mode &amp; Sideloading\WalkAndUnGZ.bat" "%USERPROFILE%\AppData\Local\Temp\OnboardLogs"\RTDC4040\2017-08-11 &amp; aws s3 cp s3://rtdc.mdm.uploadarchive.raw/RTDC4040/ "%USERPROFILE%\AppData\Local\Temp\OnboardLogs"\RTDC4040\2017-08-12 --exclude "*" --recursive --include "*20170812*" &amp; "%USERPROFILE%\Documents\GitHub\mrs-test-scripts\Headless Mode &amp; Sideloading\WalkAndUnGZ.bat" "%USERPROFILE%\AppData\Local\Temp\OnboardLogs"\RTDC4040\2017-08-12</v>
      </c>
      <c r="AF53" s="74" t="str">
        <f t="shared" si="12"/>
        <v>"C:\Program Files (x86)\AstroGrep\AstroGrep.exe" /e /r /s /spath="%USERPROFILE%\AppData\Local\Temp\OnboardLogs" /stypes="app*4040*20170811*" /stext=" 15:.+((SYSTEM_STATE.+slice.+state.+changed )|(ment ac)|(multiple cpu faults)|(system.+state.+changed )|(\[timeout)|(PRM\|1\|D)|(kpr)|(kdp)|(train st.+moving)|(\|lc)|(penalty))"</v>
      </c>
      <c r="AG53" s="209" t="str">
        <f t="shared" si="37"/>
        <v>EC</v>
      </c>
      <c r="AH53" s="78" t="str">
        <f t="shared" si="18"/>
        <v>"%USERPROFILE%\Documents\GitHub\eaglep3\Utilities\RefineRTDCRunTimes.py" --tripid 139-11 --locoid 4040 --swversion DE.1.0.9.0 --startMP 204:466 --initTime 2017-08-11T08:31:59 --startdatetime 2017-08-11T08:34:05 --delay 1 --endMP 204:233355 --enddatetime 2017-08-11T09:07:45 --enforcementcount 0 &gt;&gt;C:\Users\stu\Documents\GitHub\eaglep3-reporting\EC\2017-08-11-refined-times.txt</v>
      </c>
      <c r="AI53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{"issue":{"subject":"","project_id":79,"tracker_id":40,"status_id":1,"priority_id":2,"assigned_to_id":23,"start_date":"2017-08-11","description":"","custom_fields":[{"id":1,"name":"Subdivision","value":"EC"},{"id":4,"name":"Milepost","value":"23.3355"},{"id":17,"name":"Train ID","value":"139-11"},{"id":16,"name":"Locomotive ID","value":"4040"},{"id":130,"name":"Impact","value":""},{"id":150,"name":"Time of Event (Mountain Time)","value":"09:07:45"},{"id":151,"name":"Denver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4040 --day 2017-08-11</v>
      </c>
      <c r="AN53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15:07:45"},{"id":29,"name":"Sharepoint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705</v>
      </c>
      <c r="B54" s="7">
        <v>4039</v>
      </c>
      <c r="C54" s="21" t="s">
        <v>198</v>
      </c>
      <c r="D54" s="21" t="s">
        <v>938</v>
      </c>
      <c r="E54" s="13">
        <v>42958.39261574074</v>
      </c>
      <c r="F54" s="13">
        <v>42958.394293981481</v>
      </c>
      <c r="G54" s="7">
        <v>1</v>
      </c>
      <c r="H54" s="21" t="s">
        <v>878</v>
      </c>
      <c r="I54" s="13">
        <v>42958.423402777778</v>
      </c>
      <c r="J54" s="7">
        <v>0</v>
      </c>
      <c r="K54" s="89" t="str">
        <f t="shared" si="29"/>
        <v>4039/4040</v>
      </c>
      <c r="L54" s="21" t="str">
        <f>VLOOKUP(A54,'Trips&amp;Operators'!$C$1:$G$99999,5,FALSE)</f>
        <v>ROCHA YAOTL</v>
      </c>
      <c r="M54" s="6">
        <f t="shared" si="30"/>
        <v>2.9108796297805384E-2</v>
      </c>
      <c r="N54" s="7">
        <f t="shared" si="38"/>
        <v>41.916666668839753</v>
      </c>
      <c r="O54" s="7"/>
      <c r="P54" s="7"/>
      <c r="Q54" s="22"/>
      <c r="R54" s="170"/>
      <c r="S54" s="213">
        <f t="shared" si="39"/>
        <v>1</v>
      </c>
      <c r="T54" s="195" t="str">
        <f t="shared" si="31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-08-11T08:25:22-0600',mode:absolute,to:'2017-08-11T11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4" s="197" t="str">
        <f>IF(AA54&lt;VLOOKUP(AG54,Variables!$AC$3:$AD$8,2,FALSE),"Y","N")</f>
        <v>N</v>
      </c>
      <c r="X54" s="197">
        <f t="shared" si="32"/>
        <v>1</v>
      </c>
      <c r="Y54" s="197">
        <f t="shared" si="33"/>
        <v>23.302499999999998</v>
      </c>
      <c r="Z54" s="197">
        <f t="shared" si="34"/>
        <v>1.6500000000000001E-2</v>
      </c>
      <c r="AA54" s="197">
        <f t="shared" si="35"/>
        <v>23.285999999999998</v>
      </c>
      <c r="AB54" s="54" t="e">
        <f>VLOOKUP(A54,Enforcements!$C$7:$K$12,8,0)</f>
        <v>#N/A</v>
      </c>
      <c r="AC54" s="51" t="e">
        <f>VLOOKUP(A54,Enforcements!$C$7:$E$12,3,0)</f>
        <v>#N/A</v>
      </c>
      <c r="AD54" s="206">
        <f t="shared" si="36"/>
        <v>140</v>
      </c>
      <c r="AE54" s="77" t="str">
        <f t="shared" si="11"/>
        <v>aws s3 cp s3://rtdc.mdm.uploadarchive.raw/RTDC4039/ "%USERPROFILE%\AppData\Local\Temp\OnboardLogs"\RTDC4039\2017-08-11 --exclude "*" --recursive --include "*20170811*" &amp; "%USERPROFILE%\Documents\GitHub\mrs-test-scripts\Headless Mode &amp; Sideloading\WalkAndUnGZ.bat" "%USERPROFILE%\AppData\Local\Temp\OnboardLogs"\RTDC4039\2017-08-11 &amp; aws s3 cp s3://rtdc.mdm.uploadarchive.raw/RTDC4039/ "%USERPROFILE%\AppData\Local\Temp\OnboardLogs"\RTDC4039\2017-08-12 --exclude "*" --recursive --include "*20170812*" &amp; "%USERPROFILE%\Documents\GitHub\mrs-test-scripts\Headless Mode &amp; Sideloading\WalkAndUnGZ.bat" "%USERPROFILE%\AppData\Local\Temp\OnboardLogs"\RTDC4039\2017-08-12</v>
      </c>
      <c r="AF54" s="74" t="str">
        <f t="shared" si="12"/>
        <v>"C:\Program Files (x86)\AstroGrep\AstroGrep.exe" /e /r /s /spath="%USERPROFILE%\AppData\Local\Temp\OnboardLogs" /stypes="app*4039*20170811*" /stext=" 16:.+((SYSTEM_STATE.+slice.+state.+changed )|(ment ac)|(multiple cpu faults)|(system.+state.+changed )|(\[timeout)|(PRM\|1\|D)|(kpr)|(kdp)|(train st.+moving)|(\|lc)|(penalty))"</v>
      </c>
      <c r="AG54" s="209" t="str">
        <f t="shared" si="37"/>
        <v>EC</v>
      </c>
      <c r="AH54" s="78" t="str">
        <f t="shared" si="18"/>
        <v>"%USERPROFILE%\Documents\GitHub\eaglep3\Utilities\RefineRTDCRunTimes.py" --tripid 140-11 --locoid 4039 --swversion DE.1.0.9.0 --startMP 204:233025 --initTime 2017-08-11T09:25:22 --startdatetime 2017-08-11T09:27:47 --delay 1 --endMP 204:165 --enddatetime 2017-08-11T10:09:42 --enforcementcount 0 &gt;&gt;C:\Users\stu\Documents\GitHub\eaglep3-reporting\EC\2017-08-11-refined-times.txt</v>
      </c>
      <c r="AI54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{"issue":{"subject":"","project_id":79,"tracker_id":40,"status_id":1,"priority_id":2,"assigned_to_id":23,"start_date":"2017-08-11","description":"","custom_fields":[{"id":1,"name":"Subdivision","value":"EC"},{"id":4,"name":"Milepost","value":"0.0165"},{"id":17,"name":"Train ID","value":"140-11"},{"id":16,"name":"Locomotive ID","value":"4039"},{"id":130,"name":"Impact","value":""},{"id":150,"name":"Time of Event (Mountain Time)","value":"10:09:42"},{"id":151,"name":"Denver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4039 --day 2017-08-11</v>
      </c>
      <c r="AN54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16:09:42"},{"id":29,"name":"Sharepoint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697</v>
      </c>
      <c r="B55" s="7">
        <v>4014</v>
      </c>
      <c r="C55" s="21" t="s">
        <v>198</v>
      </c>
      <c r="D55" s="21" t="s">
        <v>434</v>
      </c>
      <c r="E55" s="13">
        <v>42958.361030092594</v>
      </c>
      <c r="F55" s="13">
        <v>42958.365104166667</v>
      </c>
      <c r="G55" s="7">
        <v>1</v>
      </c>
      <c r="H55" s="21" t="s">
        <v>891</v>
      </c>
      <c r="I55" s="13">
        <v>42958.390127314815</v>
      </c>
      <c r="J55" s="7">
        <v>0</v>
      </c>
      <c r="K55" s="89" t="str">
        <f t="shared" si="29"/>
        <v>4013/4014</v>
      </c>
      <c r="L55" s="21" t="str">
        <f>VLOOKUP(A55,'Trips&amp;Operators'!$C$1:$G$99999,5,FALSE)</f>
        <v>DAVIDSON DAVID</v>
      </c>
      <c r="M55" s="6">
        <f t="shared" si="30"/>
        <v>2.5023148147738539E-2</v>
      </c>
      <c r="N55" s="7">
        <f t="shared" si="38"/>
        <v>36.033333332743496</v>
      </c>
      <c r="O55" s="7"/>
      <c r="P55" s="7"/>
      <c r="Q55" s="22"/>
      <c r="R55" s="170"/>
      <c r="S55" s="213">
        <f t="shared" si="39"/>
        <v>1</v>
      </c>
      <c r="T55" s="195" t="str">
        <f t="shared" si="31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-08-11T07:39:53-0600',mode:absolute,to:'2017-08-11T10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5" s="197" t="str">
        <f>IF(AA55&lt;VLOOKUP(AG55,Variables!$AC$3:$AD$8,2,FALSE),"Y","N")</f>
        <v>N</v>
      </c>
      <c r="X55" s="197">
        <f t="shared" si="32"/>
        <v>1</v>
      </c>
      <c r="Y55" s="197">
        <f t="shared" si="33"/>
        <v>4.4900000000000002E-2</v>
      </c>
      <c r="Z55" s="197">
        <f t="shared" si="34"/>
        <v>23.3339</v>
      </c>
      <c r="AA55" s="197">
        <f t="shared" si="35"/>
        <v>23.289000000000001</v>
      </c>
      <c r="AB55" s="54" t="e">
        <f>VLOOKUP(A55,Enforcements!$C$7:$K$12,8,0)</f>
        <v>#N/A</v>
      </c>
      <c r="AC55" s="51" t="e">
        <f>VLOOKUP(A55,Enforcements!$C$7:$E$12,3,0)</f>
        <v>#N/A</v>
      </c>
      <c r="AD55" s="206">
        <f t="shared" si="36"/>
        <v>141</v>
      </c>
      <c r="AE55" s="77" t="str">
        <f t="shared" si="11"/>
        <v>aws s3 cp s3://rtdc.mdm.uploadarchive.raw/RTDC4014/ "%USERPROFILE%\AppData\Local\Temp\OnboardLogs"\RTDC4014\2017-08-11 --exclude "*" --recursive --include "*20170811*" &amp; "%USERPROFILE%\Documents\GitHub\mrs-test-scripts\Headless Mode &amp; Sideloading\WalkAndUnGZ.bat" "%USERPROFILE%\AppData\Local\Temp\OnboardLogs"\RTDC4014\2017-08-11 &amp; 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</v>
      </c>
      <c r="AF55" s="74" t="str">
        <f t="shared" si="12"/>
        <v>"C:\Program Files (x86)\AstroGrep\AstroGrep.exe" /e /r /s /spath="%USERPROFILE%\AppData\Local\Temp\OnboardLogs" /stypes="app*4014*20170811*" /stext=" 15:.+((SYSTEM_STATE.+slice.+state.+changed )|(ment ac)|(multiple cpu faults)|(system.+state.+changed )|(\[timeout)|(PRM\|1\|D)|(kpr)|(kdp)|(train st.+moving)|(\|lc)|(penalty))"</v>
      </c>
      <c r="AG55" s="209" t="str">
        <f t="shared" si="37"/>
        <v>EC</v>
      </c>
      <c r="AH55" s="78" t="str">
        <f t="shared" si="18"/>
        <v>"%USERPROFILE%\Documents\GitHub\eaglep3\Utilities\RefineRTDCRunTimes.py" --tripid 141-11 --locoid 4014 --swversion DE.1.0.9.0 --startMP 204:449 --initTime 2017-08-11T08:39:53 --startdatetime 2017-08-11T08:45:45 --delay 1 --endMP 204:233339 --enddatetime 2017-08-11T09:21:47 --enforcementcount 0 &gt;&gt;C:\Users\stu\Documents\GitHub\eaglep3-reporting\EC\2017-08-11-refined-times.txt</v>
      </c>
      <c r="AI55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{"issue":{"subject":"","project_id":79,"tracker_id":40,"status_id":1,"priority_id":2,"assigned_to_id":23,"start_date":"2017-08-11","description":"","custom_fields":[{"id":1,"name":"Subdivision","value":"EC"},{"id":4,"name":"Milepost","value":"23.3339"},{"id":17,"name":"Train ID","value":"141-11"},{"id":16,"name":"Locomotive ID","value":"4014"},{"id":130,"name":"Impact","value":""},{"id":150,"name":"Time of Event (Mountain Time)","value":"09:21:47"},{"id":151,"name":"Denver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4014 --day 2017-08-11</v>
      </c>
      <c r="AN55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15:21:47"},{"id":29,"name":"Sharepoint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704</v>
      </c>
      <c r="B56" s="7">
        <v>4013</v>
      </c>
      <c r="C56" s="21" t="s">
        <v>198</v>
      </c>
      <c r="D56" s="21" t="s">
        <v>892</v>
      </c>
      <c r="E56" s="13">
        <v>42958.391736111109</v>
      </c>
      <c r="F56" s="13">
        <v>42958.404467592591</v>
      </c>
      <c r="G56" s="7">
        <v>1</v>
      </c>
      <c r="H56" s="21" t="s">
        <v>871</v>
      </c>
      <c r="I56" s="13">
        <v>42958.431851851848</v>
      </c>
      <c r="J56" s="7">
        <v>0</v>
      </c>
      <c r="K56" s="89" t="str">
        <f t="shared" si="29"/>
        <v>4013/4014</v>
      </c>
      <c r="L56" s="21" t="str">
        <f>VLOOKUP(A56,'Trips&amp;Operators'!$C$1:$G$99999,5,FALSE)</f>
        <v>DAVIDSON DAVID</v>
      </c>
      <c r="M56" s="6">
        <f t="shared" si="30"/>
        <v>2.7384259257814847E-2</v>
      </c>
      <c r="N56" s="7">
        <f t="shared" si="38"/>
        <v>39.43333333125338</v>
      </c>
      <c r="O56" s="7"/>
      <c r="P56" s="7"/>
      <c r="Q56" s="22"/>
      <c r="R56" s="170"/>
      <c r="S56" s="213">
        <f t="shared" si="39"/>
        <v>1</v>
      </c>
      <c r="T56" s="195" t="str">
        <f t="shared" si="31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-08-11T08:24:06-0600',mode:absolute,to:'2017-08-11T11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6" s="197" t="str">
        <f>IF(AA56&lt;VLOOKUP(AG56,Variables!$AC$3:$AD$8,2,FALSE),"Y","N")</f>
        <v>N</v>
      </c>
      <c r="X56" s="197">
        <f t="shared" si="32"/>
        <v>1</v>
      </c>
      <c r="Y56" s="197">
        <f t="shared" si="33"/>
        <v>23.2986</v>
      </c>
      <c r="Z56" s="197">
        <f t="shared" si="34"/>
        <v>1.7399999999999999E-2</v>
      </c>
      <c r="AA56" s="197">
        <f t="shared" si="35"/>
        <v>23.281200000000002</v>
      </c>
      <c r="AB56" s="54" t="e">
        <f>VLOOKUP(A56,Enforcements!$C$7:$K$12,8,0)</f>
        <v>#N/A</v>
      </c>
      <c r="AC56" s="51" t="e">
        <f>VLOOKUP(A56,Enforcements!$C$7:$E$12,3,0)</f>
        <v>#N/A</v>
      </c>
      <c r="AD56" s="206">
        <f t="shared" si="36"/>
        <v>142</v>
      </c>
      <c r="AE56" s="77" t="str">
        <f t="shared" si="11"/>
        <v>aws s3 cp s3://rtdc.mdm.uploadarchive.raw/RTDC4013/ "%USERPROFILE%\AppData\Local\Temp\OnboardLogs"\RTDC4013\2017-08-11 --exclude "*" --recursive --include "*20170811*" &amp; "%USERPROFILE%\Documents\GitHub\mrs-test-scripts\Headless Mode &amp; Sideloading\WalkAndUnGZ.bat" "%USERPROFILE%\AppData\Local\Temp\OnboardLogs"\RTDC4013\2017-08-11 &amp; 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</v>
      </c>
      <c r="AF56" s="74" t="str">
        <f t="shared" si="12"/>
        <v>"C:\Program Files (x86)\AstroGrep\AstroGrep.exe" /e /r /s /spath="%USERPROFILE%\AppData\Local\Temp\OnboardLogs" /stypes="app*4013*20170811*" /stext=" 16:.+((SYSTEM_STATE.+slice.+state.+changed )|(ment ac)|(multiple cpu faults)|(system.+state.+changed )|(\[timeout)|(PRM\|1\|D)|(kpr)|(kdp)|(train st.+moving)|(\|lc)|(penalty))"</v>
      </c>
      <c r="AG56" s="209" t="str">
        <f t="shared" si="37"/>
        <v>EC</v>
      </c>
      <c r="AH56" s="78" t="str">
        <f t="shared" si="18"/>
        <v>"%USERPROFILE%\Documents\GitHub\eaglep3\Utilities\RefineRTDCRunTimes.py" --tripid 142-11 --locoid 4013 --swversion DE.1.0.9.0 --startMP 204:232986 --initTime 2017-08-11T09:24:06 --startdatetime 2017-08-11T09:42:26 --delay 1 --endMP 204:174 --enddatetime 2017-08-11T10:21:52 --enforcementcount 0 &gt;&gt;C:\Users\stu\Documents\GitHub\eaglep3-reporting\EC\2017-08-11-refined-times.txt</v>
      </c>
      <c r="AI56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{"issue":{"subject":"","project_id":79,"tracker_id":40,"status_id":1,"priority_id":2,"assigned_to_id":23,"start_date":"2017-08-11","description":"","custom_fields":[{"id":1,"name":"Subdivision","value":"EC"},{"id":4,"name":"Milepost","value":"0.0174"},{"id":17,"name":"Train ID","value":"142-11"},{"id":16,"name":"Locomotive ID","value":"4013"},{"id":130,"name":"Impact","value":""},{"id":150,"name":"Time of Event (Mountain Time)","value":"10:21:52"},{"id":151,"name":"Denver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4013 --day 2017-08-11</v>
      </c>
      <c r="AN56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617</v>
      </c>
      <c r="B57" s="7">
        <v>4012</v>
      </c>
      <c r="C57" s="21" t="s">
        <v>198</v>
      </c>
      <c r="D57" s="21" t="s">
        <v>524</v>
      </c>
      <c r="E57" s="13">
        <v>42958.37228009259</v>
      </c>
      <c r="F57" s="13">
        <v>42958.375578703701</v>
      </c>
      <c r="G57" s="7">
        <v>1</v>
      </c>
      <c r="H57" s="21" t="s">
        <v>893</v>
      </c>
      <c r="I57" s="13">
        <v>42958.403738425928</v>
      </c>
      <c r="J57" s="7">
        <v>0</v>
      </c>
      <c r="K57" s="89" t="str">
        <f t="shared" si="29"/>
        <v>4011/4012</v>
      </c>
      <c r="L57" s="21" t="str">
        <f>VLOOKUP(A57,'Trips&amp;Operators'!$C$1:$G$99999,5,FALSE)</f>
        <v>WILLIAMS DONTE</v>
      </c>
      <c r="M57" s="6">
        <f t="shared" si="30"/>
        <v>2.8159722227428574E-2</v>
      </c>
      <c r="N57" s="7">
        <f t="shared" si="38"/>
        <v>40.550000007497147</v>
      </c>
      <c r="O57" s="7"/>
      <c r="P57" s="7"/>
      <c r="Q57" s="22"/>
      <c r="R57" s="170"/>
      <c r="S57" s="213">
        <f t="shared" si="39"/>
        <v>1</v>
      </c>
      <c r="T57" s="195" t="str">
        <f t="shared" si="31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-08-11T07:56:05-0600',mode:absolute,to:'2017-08-11T10:41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7" s="197" t="str">
        <f>IF(AA57&lt;VLOOKUP(AG57,Variables!$AC$3:$AD$8,2,FALSE),"Y","N")</f>
        <v>N</v>
      </c>
      <c r="X57" s="197">
        <f t="shared" si="32"/>
        <v>1</v>
      </c>
      <c r="Y57" s="197">
        <f t="shared" si="33"/>
        <v>4.6600000000000003E-2</v>
      </c>
      <c r="Z57" s="197">
        <f t="shared" si="34"/>
        <v>23.330200000000001</v>
      </c>
      <c r="AA57" s="197">
        <f t="shared" si="35"/>
        <v>23.2836</v>
      </c>
      <c r="AB57" s="54" t="e">
        <f>VLOOKUP(A57,Enforcements!$C$7:$K$12,8,0)</f>
        <v>#N/A</v>
      </c>
      <c r="AC57" s="51" t="e">
        <f>VLOOKUP(A57,Enforcements!$C$7:$E$12,3,0)</f>
        <v>#N/A</v>
      </c>
      <c r="AD57" s="206">
        <f t="shared" si="36"/>
        <v>143</v>
      </c>
      <c r="AE57" s="77" t="str">
        <f t="shared" si="11"/>
        <v>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 &amp; aws s3 cp s3://rtdc.mdm.uploadarchive.raw/RTDC4012/ "%USERPROFILE%\AppData\Local\Temp\OnboardLogs"\RTDC4012\2017-08-12 --exclude "*" --recursive --include "*20170812*" &amp; "%USERPROFILE%\Documents\GitHub\mrs-test-scripts\Headless Mode &amp; Sideloading\WalkAndUnGZ.bat" "%USERPROFILE%\AppData\Local\Temp\OnboardLogs"\RTDC4012\2017-08-12</v>
      </c>
      <c r="AF57" s="74" t="str">
        <f t="shared" si="12"/>
        <v>"C:\Program Files (x86)\AstroGrep\AstroGrep.exe" /e /r /s /spath="%USERPROFILE%\AppData\Local\Temp\OnboardLogs" /stypes="app*4012*20170811*" /stext=" 15:.+((SYSTEM_STATE.+slice.+state.+changed )|(ment ac)|(multiple cpu faults)|(system.+state.+changed )|(\[timeout)|(PRM\|1\|D)|(kpr)|(kdp)|(train st.+moving)|(\|lc)|(penalty))"</v>
      </c>
      <c r="AG57" s="209" t="str">
        <f t="shared" si="37"/>
        <v>EC</v>
      </c>
      <c r="AH57" s="78" t="str">
        <f t="shared" si="18"/>
        <v>"%USERPROFILE%\Documents\GitHub\eaglep3\Utilities\RefineRTDCRunTimes.py" --tripid 143-11 --locoid 4012 --swversion DE.1.0.9.0 --startMP 204:466 --initTime 2017-08-11T08:56:05 --startdatetime 2017-08-11T09:00:50 --delay 1 --endMP 204:233302 --enddatetime 2017-08-11T09:41:23 --enforcementcount 0 &gt;&gt;C:\Users\stu\Documents\GitHub\eaglep3-reporting\EC\2017-08-11-refined-times.txt</v>
      </c>
      <c r="AI57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{"issue":{"subject":"","project_id":79,"tracker_id":40,"status_id":1,"priority_id":2,"assigned_to_id":23,"start_date":"2017-08-11","description":"","custom_fields":[{"id":1,"name":"Subdivision","value":"EC"},{"id":4,"name":"Milepost","value":"23.3302"},{"id":17,"name":"Train ID","value":"143-11"},{"id":16,"name":"Locomotive ID","value":"4012"},{"id":130,"name":"Impact","value":""},{"id":150,"name":"Time of Event (Mountain Time)","value":"09:41:23"},{"id":151,"name":"Denver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4012 --day 2017-08-11</v>
      </c>
      <c r="AN57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15:41:23"},{"id":29,"name":"Sharepoint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711</v>
      </c>
      <c r="B58" s="7">
        <v>4011</v>
      </c>
      <c r="C58" s="21" t="s">
        <v>198</v>
      </c>
      <c r="D58" s="21" t="s">
        <v>388</v>
      </c>
      <c r="E58" s="13">
        <v>42958.411886574075</v>
      </c>
      <c r="F58" s="13">
        <v>42958.414872685185</v>
      </c>
      <c r="G58" s="7">
        <v>1</v>
      </c>
      <c r="H58" s="21" t="s">
        <v>457</v>
      </c>
      <c r="I58" s="13">
        <v>42958.441979166666</v>
      </c>
      <c r="J58" s="7">
        <v>0</v>
      </c>
      <c r="K58" s="89" t="str">
        <f t="shared" si="29"/>
        <v>4011/4012</v>
      </c>
      <c r="L58" s="21" t="str">
        <f>VLOOKUP(A58,'Trips&amp;Operators'!$C$1:$G$99999,5,FALSE)</f>
        <v>WILLIAMS DONTE</v>
      </c>
      <c r="M58" s="6">
        <f t="shared" si="30"/>
        <v>2.7106481480586808E-2</v>
      </c>
      <c r="N58" s="7">
        <f t="shared" si="38"/>
        <v>39.033333332045004</v>
      </c>
      <c r="O58" s="7"/>
      <c r="P58" s="7"/>
      <c r="Q58" s="22"/>
      <c r="R58" s="170"/>
      <c r="S58" s="213">
        <f t="shared" si="39"/>
        <v>1</v>
      </c>
      <c r="T58" s="195" t="str">
        <f t="shared" si="31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-08-11T08:53:07-0600',mode:absolute,to:'2017-08-11T11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8" s="197" t="str">
        <f>IF(AA58&lt;VLOOKUP(AG58,Variables!$AC$3:$AD$8,2,FALSE),"Y","N")</f>
        <v>N</v>
      </c>
      <c r="X58" s="197">
        <f t="shared" si="32"/>
        <v>1</v>
      </c>
      <c r="Y58" s="197">
        <f t="shared" si="33"/>
        <v>23.299600000000002</v>
      </c>
      <c r="Z58" s="197">
        <f t="shared" si="34"/>
        <v>1.6299999999999999E-2</v>
      </c>
      <c r="AA58" s="197">
        <f t="shared" si="35"/>
        <v>23.283300000000001</v>
      </c>
      <c r="AB58" s="54" t="e">
        <f>VLOOKUP(A58,Enforcements!$C$7:$K$12,8,0)</f>
        <v>#N/A</v>
      </c>
      <c r="AC58" s="51" t="e">
        <f>VLOOKUP(A58,Enforcements!$C$7:$E$12,3,0)</f>
        <v>#N/A</v>
      </c>
      <c r="AD58" s="206">
        <f t="shared" si="36"/>
        <v>144</v>
      </c>
      <c r="AE58" s="77" t="str">
        <f t="shared" si="11"/>
        <v>aws s3 cp s3://rtdc.mdm.uploadarchive.raw/RTDC4011/ "%USERPROFILE%\AppData\Local\Temp\OnboardLogs"\RTDC4011\2017-08-11 --exclude "*" --recursive --include "*20170811*" &amp; "%USERPROFILE%\Documents\GitHub\mrs-test-scripts\Headless Mode &amp; Sideloading\WalkAndUnGZ.bat" "%USERPROFILE%\AppData\Local\Temp\OnboardLogs"\RTDC4011\2017-08-11 &amp; aws s3 cp s3://rtdc.mdm.uploadarchive.raw/RTDC4011/ "%USERPROFILE%\AppData\Local\Temp\OnboardLogs"\RTDC4011\2017-08-12 --exclude "*" --recursive --include "*20170812*" &amp; "%USERPROFILE%\Documents\GitHub\mrs-test-scripts\Headless Mode &amp; Sideloading\WalkAndUnGZ.bat" "%USERPROFILE%\AppData\Local\Temp\OnboardLogs"\RTDC4011\2017-08-12</v>
      </c>
      <c r="AF58" s="74" t="str">
        <f t="shared" si="12"/>
        <v>"C:\Program Files (x86)\AstroGrep\AstroGrep.exe" /e /r /s /spath="%USERPROFILE%\AppData\Local\Temp\OnboardLogs" /stypes="app*4011*20170811*" /stext=" 16:.+((SYSTEM_STATE.+slice.+state.+changed )|(ment ac)|(multiple cpu faults)|(system.+state.+changed )|(\[timeout)|(PRM\|1\|D)|(kpr)|(kdp)|(train st.+moving)|(\|lc)|(penalty))"</v>
      </c>
      <c r="AG58" s="209" t="str">
        <f t="shared" si="37"/>
        <v>EC</v>
      </c>
      <c r="AH58" s="78" t="str">
        <f t="shared" si="18"/>
        <v>"%USERPROFILE%\Documents\GitHub\eaglep3\Utilities\RefineRTDCRunTimes.py" --tripid 144-11 --locoid 4011 --swversion DE.1.0.9.0 --startMP 204:232996 --initTime 2017-08-11T09:53:07 --startdatetime 2017-08-11T09:57:25 --delay 1 --endMP 204:163 --enddatetime 2017-08-11T10:36:27 --enforcementcount 0 &gt;&gt;C:\Users\stu\Documents\GitHub\eaglep3-reporting\EC\2017-08-11-refined-times.txt</v>
      </c>
      <c r="AI58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{"issue":{"subject":"","project_id":79,"tracker_id":40,"status_id":1,"priority_id":2,"assigned_to_id":23,"start_date":"2017-08-11","description":"","custom_fields":[{"id":1,"name":"Subdivision","value":"EC"},{"id":4,"name":"Milepost","value":"0.0163"},{"id":17,"name":"Train ID","value":"144-11"},{"id":16,"name":"Locomotive ID","value":"4011"},{"id":130,"name":"Impact","value":""},{"id":150,"name":"Time of Event (Mountain Time)","value":"10:36:27"},{"id":151,"name":"Denver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4011 --day 2017-08-11</v>
      </c>
      <c r="AN58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618</v>
      </c>
      <c r="B59" s="7">
        <v>4060</v>
      </c>
      <c r="C59" s="21" t="s">
        <v>198</v>
      </c>
      <c r="D59" s="21" t="s">
        <v>433</v>
      </c>
      <c r="E59" s="13">
        <v>42958.384363425925</v>
      </c>
      <c r="F59" s="13">
        <v>42958.386423611111</v>
      </c>
      <c r="G59" s="7">
        <v>2</v>
      </c>
      <c r="H59" s="21" t="s">
        <v>533</v>
      </c>
      <c r="I59" s="13">
        <v>42958.412222222221</v>
      </c>
      <c r="J59" s="7">
        <v>0</v>
      </c>
      <c r="K59" s="89" t="str">
        <f t="shared" si="29"/>
        <v>4059/4060</v>
      </c>
      <c r="L59" s="21" t="str">
        <f>VLOOKUP(A59,'Trips&amp;Operators'!$C$1:$G$99999,5,FALSE)</f>
        <v>LOZA FIDEL</v>
      </c>
      <c r="M59" s="6">
        <f t="shared" si="30"/>
        <v>2.5798611110076308E-2</v>
      </c>
      <c r="N59" s="7">
        <f t="shared" si="38"/>
        <v>37.149999998509884</v>
      </c>
      <c r="O59" s="7"/>
      <c r="P59" s="7"/>
      <c r="Q59" s="22"/>
      <c r="R59" s="170"/>
      <c r="S59" s="213">
        <f t="shared" si="39"/>
        <v>1</v>
      </c>
      <c r="T59" s="195" t="str">
        <f t="shared" si="31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-08-11T08:13:29-0600',mode:absolute,to:'2017-08-11T10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9" s="197" t="str">
        <f>IF(AA59&lt;VLOOKUP(AG59,Variables!$AC$3:$AD$8,2,FALSE),"Y","N")</f>
        <v>N</v>
      </c>
      <c r="X59" s="197">
        <f t="shared" si="32"/>
        <v>1</v>
      </c>
      <c r="Y59" s="197">
        <f t="shared" si="33"/>
        <v>4.5999999999999999E-2</v>
      </c>
      <c r="Z59" s="197">
        <f t="shared" si="34"/>
        <v>23.330300000000001</v>
      </c>
      <c r="AA59" s="197">
        <f t="shared" si="35"/>
        <v>23.284300000000002</v>
      </c>
      <c r="AB59" s="54" t="e">
        <f>VLOOKUP(A59,Enforcements!$C$7:$K$12,8,0)</f>
        <v>#N/A</v>
      </c>
      <c r="AC59" s="51" t="e">
        <f>VLOOKUP(A59,Enforcements!$C$7:$E$12,3,0)</f>
        <v>#N/A</v>
      </c>
      <c r="AD59" s="206">
        <f t="shared" si="36"/>
        <v>145</v>
      </c>
      <c r="AE59" s="77" t="str">
        <f t="shared" si="11"/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AF59" s="74" t="str">
        <f t="shared" si="12"/>
        <v>"C:\Program Files (x86)\AstroGrep\AstroGrep.exe" /e /r /s /spath="%USERPROFILE%\AppData\Local\Temp\OnboardLogs" /stypes="app*4060*20170811*" /stext=" 15:.+((SYSTEM_STATE.+slice.+state.+changed )|(ment ac)|(multiple cpu faults)|(system.+state.+changed )|(\[timeout)|(PRM\|1\|D)|(kpr)|(kdp)|(train st.+moving)|(\|lc)|(penalty))"</v>
      </c>
      <c r="AG59" s="209" t="str">
        <f t="shared" si="37"/>
        <v>EC</v>
      </c>
      <c r="AH59" s="78" t="str">
        <f t="shared" si="18"/>
        <v>"%USERPROFILE%\Documents\GitHub\eaglep3\Utilities\RefineRTDCRunTimes.py" --tripid 145-11 --locoid 4060 --swversion DE.1.0.9.0 --startMP 204:460 --initTime 2017-08-11T09:13:29 --startdatetime 2017-08-11T09:16:27 --delay 2 --endMP 204:233303 --enddatetime 2017-08-11T09:53:36 --enforcementcount 0 &gt;&gt;C:\Users\stu\Documents\GitHub\eaglep3-reporting\EC\2017-08-11-refined-times.txt</v>
      </c>
      <c r="AI59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{"issue":{"subject":"","project_id":79,"tracker_id":40,"status_id":1,"priority_id":2,"assigned_to_id":23,"start_date":"2017-08-11","description":"","custom_fields":[{"id":1,"name":"Subdivision","value":"EC"},{"id":4,"name":"Milepost","value":"23.3303"},{"id":17,"name":"Train ID","value":"145-11"},{"id":16,"name":"Locomotive ID","value":"4060"},{"id":130,"name":"Impact","value":""},{"id":150,"name":"Time of Event (Mountain Time)","value":"09:53:36"},{"id":151,"name":"Denver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4060 --day 2017-08-11</v>
      </c>
      <c r="AN59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15:53:36"},{"id":29,"name":"Sharepoint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714</v>
      </c>
      <c r="B60" s="7">
        <v>4059</v>
      </c>
      <c r="C60" s="21" t="s">
        <v>198</v>
      </c>
      <c r="D60" s="21" t="s">
        <v>894</v>
      </c>
      <c r="E60" s="13">
        <v>42958.421006944445</v>
      </c>
      <c r="F60" s="13">
        <v>42958.425740740742</v>
      </c>
      <c r="G60" s="7">
        <v>1</v>
      </c>
      <c r="H60" s="21" t="s">
        <v>347</v>
      </c>
      <c r="I60" s="13">
        <v>42958.452407407407</v>
      </c>
      <c r="J60" s="7">
        <v>0</v>
      </c>
      <c r="K60" s="89" t="str">
        <f t="shared" si="29"/>
        <v>4059/4060</v>
      </c>
      <c r="L60" s="21" t="str">
        <f>VLOOKUP(A60,'Trips&amp;Operators'!$C$1:$G$99999,5,FALSE)</f>
        <v>LOZA FIDEL</v>
      </c>
      <c r="M60" s="6">
        <f t="shared" si="30"/>
        <v>2.6666666664823424E-2</v>
      </c>
      <c r="N60" s="7">
        <f t="shared" si="38"/>
        <v>38.399999997345731</v>
      </c>
      <c r="O60" s="7"/>
      <c r="P60" s="7"/>
      <c r="Q60" s="22"/>
      <c r="R60" s="170"/>
      <c r="S60" s="213">
        <f t="shared" si="39"/>
        <v>1</v>
      </c>
      <c r="T60" s="195" t="str">
        <f t="shared" si="31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-08-11T09:06:15-0600',mode:absolute,to:'2017-08-11T11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0" s="197" t="str">
        <f>IF(AA60&lt;VLOOKUP(AG60,Variables!$AC$3:$AD$8,2,FALSE),"Y","N")</f>
        <v>N</v>
      </c>
      <c r="X60" s="197">
        <f t="shared" si="32"/>
        <v>1</v>
      </c>
      <c r="Y60" s="197">
        <f t="shared" si="33"/>
        <v>23.297999999999998</v>
      </c>
      <c r="Z60" s="197">
        <f t="shared" si="34"/>
        <v>1.3899999999999999E-2</v>
      </c>
      <c r="AA60" s="197">
        <f t="shared" si="35"/>
        <v>23.284099999999999</v>
      </c>
      <c r="AB60" s="54" t="e">
        <f>VLOOKUP(A60,Enforcements!$C$7:$K$12,8,0)</f>
        <v>#N/A</v>
      </c>
      <c r="AC60" s="51" t="e">
        <f>VLOOKUP(A60,Enforcements!$C$7:$E$12,3,0)</f>
        <v>#N/A</v>
      </c>
      <c r="AD60" s="206">
        <f t="shared" si="36"/>
        <v>146</v>
      </c>
      <c r="AE60" s="77" t="str">
        <f t="shared" si="11"/>
        <v>aws s3 cp s3://rtdc.mdm.uploadarchive.raw/RTDC4059/ "%USERPROFILE%\AppData\Local\Temp\OnboardLogs"\RTDC4059\2017-08-11 --exclude "*" --recursive --include "*20170811*" &amp; "%USERPROFILE%\Documents\GitHub\mrs-test-scripts\Headless Mode &amp; Sideloading\WalkAndUnGZ.bat" "%USERPROFILE%\AppData\Local\Temp\OnboardLogs"\RTDC4059\2017-08-11 &amp; aws s3 cp s3://rtdc.mdm.uploadarchive.raw/RTDC4059/ "%USERPROFILE%\AppData\Local\Temp\OnboardLogs"\RTDC4059\2017-08-12 --exclude "*" --recursive --include "*20170812*" &amp; "%USERPROFILE%\Documents\GitHub\mrs-test-scripts\Headless Mode &amp; Sideloading\WalkAndUnGZ.bat" "%USERPROFILE%\AppData\Local\Temp\OnboardLogs"\RTDC4059\2017-08-12</v>
      </c>
      <c r="AF60" s="74" t="str">
        <f t="shared" si="12"/>
        <v>"C:\Program Files (x86)\AstroGrep\AstroGrep.exe" /e /r /s /spath="%USERPROFILE%\AppData\Local\Temp\OnboardLogs" /stypes="app*4059*20170811*" /stext=" 16:.+((SYSTEM_STATE.+slice.+state.+changed )|(ment ac)|(multiple cpu faults)|(system.+state.+changed )|(\[timeout)|(PRM\|1\|D)|(kpr)|(kdp)|(train st.+moving)|(\|lc)|(penalty))"</v>
      </c>
      <c r="AG60" s="209" t="str">
        <f t="shared" si="37"/>
        <v>EC</v>
      </c>
      <c r="AH60" s="78" t="str">
        <f t="shared" si="18"/>
        <v>"%USERPROFILE%\Documents\GitHub\eaglep3\Utilities\RefineRTDCRunTimes.py" --tripid 146-11 --locoid 4059 --swversion DE.1.0.9.0 --startMP 204:232980 --initTime 2017-08-11T10:06:15 --startdatetime 2017-08-11T10:13:04 --delay 1 --endMP 204:139 --enddatetime 2017-08-11T10:51:28 --enforcementcount 0 &gt;&gt;C:\Users\stu\Documents\GitHub\eaglep3-reporting\EC\2017-08-11-refined-times.txt</v>
      </c>
      <c r="AI60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{"issue":{"subject":"","project_id":79,"tracker_id":40,"status_id":1,"priority_id":2,"assigned_to_id":23,"start_date":"2017-08-11","description":"","custom_fields":[{"id":1,"name":"Subdivision","value":"EC"},{"id":4,"name":"Milepost","value":"0.0139"},{"id":17,"name":"Train ID","value":"146-11"},{"id":16,"name":"Locomotive ID","value":"4059"},{"id":130,"name":"Impact","value":""},{"id":150,"name":"Time of Event (Mountain Time)","value":"10:51:28"},{"id":151,"name":"Denver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4059 --day 2017-08-11</v>
      </c>
      <c r="AN60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703</v>
      </c>
      <c r="B61" s="7">
        <v>4066</v>
      </c>
      <c r="C61" s="21" t="s">
        <v>198</v>
      </c>
      <c r="D61" s="21" t="s">
        <v>524</v>
      </c>
      <c r="E61" s="13">
        <v>42958.391712962963</v>
      </c>
      <c r="F61" s="13">
        <v>42958.396550925929</v>
      </c>
      <c r="G61" s="7">
        <v>1</v>
      </c>
      <c r="H61" s="21" t="s">
        <v>917</v>
      </c>
      <c r="I61" s="13">
        <v>42958.42255787037</v>
      </c>
      <c r="J61" s="7">
        <v>0</v>
      </c>
      <c r="K61" s="89" t="str">
        <f t="shared" si="29"/>
        <v>4065/4066</v>
      </c>
      <c r="L61" s="21" t="str">
        <f>VLOOKUP(A61,'Trips&amp;Operators'!$C$1:$G$99999,5,FALSE)</f>
        <v>GUNTHIER ERIC</v>
      </c>
      <c r="M61" s="6">
        <f t="shared" si="30"/>
        <v>2.6006944441178348E-2</v>
      </c>
      <c r="N61" s="7">
        <f t="shared" si="38"/>
        <v>37.449999995296821</v>
      </c>
      <c r="O61" s="7"/>
      <c r="P61" s="7"/>
      <c r="Q61" s="22"/>
      <c r="R61" s="170"/>
      <c r="S61" s="213">
        <f t="shared" si="39"/>
        <v>1</v>
      </c>
      <c r="T61" s="195" t="str">
        <f t="shared" si="31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-08-11T08:24:04-0600',mode:absolute,to:'2017-08-11T11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1" s="197" t="str">
        <f>IF(AA61&lt;VLOOKUP(AG61,Variables!$AC$3:$AD$8,2,FALSE),"Y","N")</f>
        <v>N</v>
      </c>
      <c r="X61" s="197">
        <f t="shared" si="32"/>
        <v>1</v>
      </c>
      <c r="Y61" s="197">
        <f t="shared" si="33"/>
        <v>4.6600000000000003E-2</v>
      </c>
      <c r="Z61" s="197">
        <f t="shared" si="34"/>
        <v>23.341699999999999</v>
      </c>
      <c r="AA61" s="197">
        <f t="shared" si="35"/>
        <v>23.295099999999998</v>
      </c>
      <c r="AB61" s="54" t="e">
        <f>VLOOKUP(A61,Enforcements!$C$7:$K$12,8,0)</f>
        <v>#N/A</v>
      </c>
      <c r="AC61" s="51" t="e">
        <f>VLOOKUP(A61,Enforcements!$C$7:$E$12,3,0)</f>
        <v>#N/A</v>
      </c>
      <c r="AD61" s="206">
        <f t="shared" si="36"/>
        <v>147</v>
      </c>
      <c r="AE61" s="77" t="str">
        <f t="shared" si="11"/>
        <v>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 &amp; aws s3 cp s3://rtdc.mdm.uploadarchive.raw/RTDC4066/ "%USERPROFILE%\AppData\Local\Temp\OnboardLogs"\RTDC4066\2017-08-12 --exclude "*" --recursive --include "*20170812*" &amp; "%USERPROFILE%\Documents\GitHub\mrs-test-scripts\Headless Mode &amp; Sideloading\WalkAndUnGZ.bat" "%USERPROFILE%\AppData\Local\Temp\OnboardLogs"\RTDC4066\2017-08-12</v>
      </c>
      <c r="AF61" s="74" t="str">
        <f t="shared" si="12"/>
        <v>"C:\Program Files (x86)\AstroGrep\AstroGrep.exe" /e /r /s /spath="%USERPROFILE%\AppData\Local\Temp\OnboardLogs" /stypes="app*4066*20170811*" /stext=" 16:.+((SYSTEM_STATE.+slice.+state.+changed )|(ment ac)|(multiple cpu faults)|(system.+state.+changed )|(\[timeout)|(PRM\|1\|D)|(kpr)|(kdp)|(train st.+moving)|(\|lc)|(penalty))"</v>
      </c>
      <c r="AG61" s="209" t="str">
        <f t="shared" si="37"/>
        <v>EC</v>
      </c>
      <c r="AH61" s="78" t="str">
        <f t="shared" si="18"/>
        <v>"%USERPROFILE%\Documents\GitHub\eaglep3\Utilities\RefineRTDCRunTimes.py" --tripid 147-11 --locoid 4066 --swversion DE.1.0.9.0 --startMP 204:466 --initTime 2017-08-11T09:24:04 --startdatetime 2017-08-11T09:31:02 --delay 1 --endMP 204:233417 --enddatetime 2017-08-11T10:08:29 --enforcementcount 0 &gt;&gt;C:\Users\stu\Documents\GitHub\eaglep3-reporting\EC\2017-08-11-refined-times.txt</v>
      </c>
      <c r="AI61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{"issue":{"subject":"","project_id":79,"tracker_id":40,"status_id":1,"priority_id":2,"assigned_to_id":23,"start_date":"2017-08-11","description":"","custom_fields":[{"id":1,"name":"Subdivision","value":"EC"},{"id":4,"name":"Milepost","value":"23.3417"},{"id":17,"name":"Train ID","value":"147-11"},{"id":16,"name":"Locomotive ID","value":"4066"},{"id":130,"name":"Impact","value":""},{"id":150,"name":"Time of Event (Mountain Time)","value":"10:08:29"},{"id":151,"name":"Denver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4066 --day 2017-08-11</v>
      </c>
      <c r="AN61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720</v>
      </c>
      <c r="B62" s="7">
        <v>4065</v>
      </c>
      <c r="C62" s="21" t="s">
        <v>198</v>
      </c>
      <c r="D62" s="21" t="s">
        <v>895</v>
      </c>
      <c r="E62" s="13">
        <v>42958.431759259256</v>
      </c>
      <c r="F62" s="13">
        <v>42958.435671296298</v>
      </c>
      <c r="G62" s="7">
        <v>1</v>
      </c>
      <c r="H62" s="21" t="s">
        <v>432</v>
      </c>
      <c r="I62" s="13">
        <v>42958.463113425925</v>
      </c>
      <c r="J62" s="7">
        <v>0</v>
      </c>
      <c r="K62" s="89" t="str">
        <f t="shared" si="29"/>
        <v>4065/4066</v>
      </c>
      <c r="L62" s="21" t="str">
        <f>VLOOKUP(A62,'Trips&amp;Operators'!$C$1:$G$99999,5,FALSE)</f>
        <v>GUNTHIER ERIC</v>
      </c>
      <c r="M62" s="6">
        <f t="shared" si="30"/>
        <v>2.7442129627161194E-2</v>
      </c>
      <c r="N62" s="7">
        <f t="shared" si="38"/>
        <v>39.516666663112119</v>
      </c>
      <c r="O62" s="7"/>
      <c r="P62" s="7"/>
      <c r="Q62" s="22"/>
      <c r="R62" s="170"/>
      <c r="S62" s="213">
        <f t="shared" si="39"/>
        <v>1</v>
      </c>
      <c r="T62" s="195" t="str">
        <f t="shared" si="31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-08-11T09:21:44-0600',mode:absolute,to:'2017-08-11T12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2" s="197" t="str">
        <f>IF(AA62&lt;VLOOKUP(AG62,Variables!$AC$3:$AD$8,2,FALSE),"Y","N")</f>
        <v>N</v>
      </c>
      <c r="X62" s="197">
        <f t="shared" si="32"/>
        <v>1</v>
      </c>
      <c r="Y62" s="197">
        <f t="shared" si="33"/>
        <v>23.309799999999999</v>
      </c>
      <c r="Z62" s="197">
        <f t="shared" si="34"/>
        <v>1.5800000000000002E-2</v>
      </c>
      <c r="AA62" s="197">
        <f t="shared" si="35"/>
        <v>23.294</v>
      </c>
      <c r="AB62" s="54" t="e">
        <f>VLOOKUP(A62,Enforcements!$C$7:$K$12,8,0)</f>
        <v>#N/A</v>
      </c>
      <c r="AC62" s="51" t="e">
        <f>VLOOKUP(A62,Enforcements!$C$7:$E$12,3,0)</f>
        <v>#N/A</v>
      </c>
      <c r="AD62" s="206">
        <f t="shared" si="36"/>
        <v>148</v>
      </c>
      <c r="AE62" s="77" t="str">
        <f t="shared" si="11"/>
        <v>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 &amp; aws s3 cp s3://rtdc.mdm.uploadarchive.raw/RTDC4065/ "%USERPROFILE%\AppData\Local\Temp\OnboardLogs"\RTDC4065\2017-08-12 --exclude "*" --recursive --include "*20170812*" &amp; "%USERPROFILE%\Documents\GitHub\mrs-test-scripts\Headless Mode &amp; Sideloading\WalkAndUnGZ.bat" "%USERPROFILE%\AppData\Local\Temp\OnboardLogs"\RTDC4065\2017-08-12</v>
      </c>
      <c r="AF62" s="74" t="str">
        <f t="shared" si="12"/>
        <v>"C:\Program Files (x86)\AstroGrep\AstroGrep.exe" /e /r /s /spath="%USERPROFILE%\AppData\Local\Temp\OnboardLogs" /stypes="app*4065*20170811*" /stext=" 17:.+((SYSTEM_STATE.+slice.+state.+changed )|(ment ac)|(multiple cpu faults)|(system.+state.+changed )|(\[timeout)|(PRM\|1\|D)|(kpr)|(kdp)|(train st.+moving)|(\|lc)|(penalty))"</v>
      </c>
      <c r="AG62" s="209" t="str">
        <f t="shared" si="37"/>
        <v>EC</v>
      </c>
      <c r="AH62" s="78" t="str">
        <f t="shared" si="18"/>
        <v>"%USERPROFILE%\Documents\GitHub\eaglep3\Utilities\RefineRTDCRunTimes.py" --tripid 148-11 --locoid 4065 --swversion DE.1.0.9.0 --startMP 204:233098 --initTime 2017-08-11T10:21:44 --startdatetime 2017-08-11T10:27:22 --delay 1 --endMP 204:158 --enddatetime 2017-08-11T11:06:53 --enforcementcount 0 &gt;&gt;C:\Users\stu\Documents\GitHub\eaglep3-reporting\EC\2017-08-11-refined-times.txt</v>
      </c>
      <c r="AI62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{"issue":{"subject":"","project_id":79,"tracker_id":40,"status_id":1,"priority_id":2,"assigned_to_id":23,"start_date":"2017-08-11","description":"","custom_fields":[{"id":1,"name":"Subdivision","value":"EC"},{"id":4,"name":"Milepost","value":"0.0158"},{"id":17,"name":"Train ID","value":"148-11"},{"id":16,"name":"Locomotive ID","value":"4065"},{"id":130,"name":"Impact","value":""},{"id":150,"name":"Time of Event (Mountain Time)","value":"11:06:53"},{"id":151,"name":"Denver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4065 --day 2017-08-11</v>
      </c>
      <c r="AN62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17:06:53"},{"id":29,"name":"Sharepoint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707</v>
      </c>
      <c r="B63" s="7">
        <v>4020</v>
      </c>
      <c r="C63" s="21" t="s">
        <v>198</v>
      </c>
      <c r="D63" s="21" t="s">
        <v>896</v>
      </c>
      <c r="E63" s="13">
        <v>42958.40184027778</v>
      </c>
      <c r="F63" s="13">
        <v>42958.406759259262</v>
      </c>
      <c r="G63" s="7">
        <v>1</v>
      </c>
      <c r="H63" s="21" t="s">
        <v>897</v>
      </c>
      <c r="I63" s="13">
        <v>42958.430821759262</v>
      </c>
      <c r="J63" s="7">
        <v>0</v>
      </c>
      <c r="K63" s="89" t="str">
        <f t="shared" si="29"/>
        <v>4019/4020</v>
      </c>
      <c r="L63" s="21" t="str">
        <f>VLOOKUP(A63,'Trips&amp;Operators'!$C$1:$G$99999,5,FALSE)</f>
        <v>BARRON PERLA</v>
      </c>
      <c r="M63" s="6">
        <f t="shared" si="30"/>
        <v>2.4062500000582077E-2</v>
      </c>
      <c r="N63" s="7">
        <f t="shared" si="38"/>
        <v>34.65000000083819</v>
      </c>
      <c r="O63" s="7"/>
      <c r="P63" s="7"/>
      <c r="Q63" s="22"/>
      <c r="R63" s="170"/>
      <c r="S63" s="213">
        <f t="shared" si="39"/>
        <v>1</v>
      </c>
      <c r="T63" s="195" t="str">
        <f t="shared" si="31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-08-11T08:38:39-0600',mode:absolute,to:'2017-08-11T11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3" s="197" t="str">
        <f>IF(AA63&lt;VLOOKUP(AG63,Variables!$AC$3:$AD$8,2,FALSE),"Y","N")</f>
        <v>N</v>
      </c>
      <c r="X63" s="197">
        <f t="shared" si="32"/>
        <v>1</v>
      </c>
      <c r="Y63" s="197">
        <f t="shared" si="33"/>
        <v>4.82E-2</v>
      </c>
      <c r="Z63" s="197">
        <f t="shared" si="34"/>
        <v>23.3309</v>
      </c>
      <c r="AA63" s="197">
        <f t="shared" si="35"/>
        <v>23.282699999999998</v>
      </c>
      <c r="AB63" s="54" t="e">
        <f>VLOOKUP(A63,Enforcements!$C$7:$K$12,8,0)</f>
        <v>#N/A</v>
      </c>
      <c r="AC63" s="51" t="e">
        <f>VLOOKUP(A63,Enforcements!$C$7:$E$12,3,0)</f>
        <v>#N/A</v>
      </c>
      <c r="AD63" s="206">
        <f t="shared" si="36"/>
        <v>149</v>
      </c>
      <c r="AE63" s="77" t="str">
        <f t="shared" si="11"/>
        <v>aws s3 cp s3://rtdc.mdm.uploadarchive.raw/RTDC4020/ "%USERPROFILE%\AppData\Local\Temp\OnboardLogs"\RTDC4020\2017-08-11 --exclude "*" --recursive --include "*20170811*" &amp; "%USERPROFILE%\Documents\GitHub\mrs-test-scripts\Headless Mode &amp; Sideloading\WalkAndUnGZ.bat" "%USERPROFILE%\AppData\Local\Temp\OnboardLogs"\RTDC4020\2017-08-11 &amp; aws s3 cp s3://rtdc.mdm.uploadarchive.raw/RTDC4020/ "%USERPROFILE%\AppData\Local\Temp\OnboardLogs"\RTDC4020\2017-08-12 --exclude "*" --recursive --include "*20170812*" &amp; "%USERPROFILE%\Documents\GitHub\mrs-test-scripts\Headless Mode &amp; Sideloading\WalkAndUnGZ.bat" "%USERPROFILE%\AppData\Local\Temp\OnboardLogs"\RTDC4020\2017-08-12</v>
      </c>
      <c r="AF63" s="74" t="str">
        <f t="shared" si="12"/>
        <v>"C:\Program Files (x86)\AstroGrep\AstroGrep.exe" /e /r /s /spath="%USERPROFILE%\AppData\Local\Temp\OnboardLogs" /stypes="app*4020*20170811*" /stext=" 16:.+((SYSTEM_STATE.+slice.+state.+changed )|(ment ac)|(multiple cpu faults)|(system.+state.+changed )|(\[timeout)|(PRM\|1\|D)|(kpr)|(kdp)|(train st.+moving)|(\|lc)|(penalty))"</v>
      </c>
      <c r="AG63" s="209" t="str">
        <f t="shared" si="37"/>
        <v>EC</v>
      </c>
      <c r="AH63" s="78" t="str">
        <f t="shared" si="18"/>
        <v>"%USERPROFILE%\Documents\GitHub\eaglep3\Utilities\RefineRTDCRunTimes.py" --tripid 149-11 --locoid 4020 --swversion DE.1.0.9.0 --startMP 204:482 --initTime 2017-08-11T09:38:39 --startdatetime 2017-08-11T09:45:44 --delay 1 --endMP 204:233309 --enddatetime 2017-08-11T10:20:23 --enforcementcount 0 &gt;&gt;C:\Users\stu\Documents\GitHub\eaglep3-reporting\EC\2017-08-11-refined-times.txt</v>
      </c>
      <c r="AI63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{"issue":{"subject":"","project_id":79,"tracker_id":40,"status_id":1,"priority_id":2,"assigned_to_id":23,"start_date":"2017-08-11","description":"","custom_fields":[{"id":1,"name":"Subdivision","value":"EC"},{"id":4,"name":"Milepost","value":"23.3309"},{"id":17,"name":"Train ID","value":"149-11"},{"id":16,"name":"Locomotive ID","value":"4020"},{"id":130,"name":"Impact","value":""},{"id":150,"name":"Time of Event (Mountain Time)","value":"10:20:23"},{"id":151,"name":"Denver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4020 --day 2017-08-11</v>
      </c>
      <c r="AN63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721</v>
      </c>
      <c r="B64" s="7">
        <v>4019</v>
      </c>
      <c r="C64" s="21" t="s">
        <v>198</v>
      </c>
      <c r="D64" s="21" t="s">
        <v>534</v>
      </c>
      <c r="E64" s="13">
        <v>42958.432662037034</v>
      </c>
      <c r="F64" s="13">
        <v>42958.446018518516</v>
      </c>
      <c r="G64" s="7">
        <v>1</v>
      </c>
      <c r="H64" s="21" t="s">
        <v>432</v>
      </c>
      <c r="I64" s="13">
        <v>42958.472546296296</v>
      </c>
      <c r="J64" s="7">
        <v>0</v>
      </c>
      <c r="K64" s="89" t="str">
        <f t="shared" si="29"/>
        <v>4019/4020</v>
      </c>
      <c r="L64" s="21" t="str">
        <f>VLOOKUP(A64,'Trips&amp;Operators'!$C$1:$G$99999,5,FALSE)</f>
        <v>BARRON PERLA</v>
      </c>
      <c r="M64" s="6">
        <f t="shared" si="30"/>
        <v>2.6527777779847383E-2</v>
      </c>
      <c r="N64" s="7">
        <f t="shared" si="38"/>
        <v>38.200000002980232</v>
      </c>
      <c r="O64" s="7"/>
      <c r="P64" s="7"/>
      <c r="Q64" s="22"/>
      <c r="R64" s="170"/>
      <c r="S64" s="213">
        <f t="shared" si="39"/>
        <v>1</v>
      </c>
      <c r="T64" s="195" t="str">
        <f t="shared" si="31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-08-11T09:23:02-0600',mode:absolute,to:'2017-08-11T12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4" s="197" t="str">
        <f>IF(AA64&lt;VLOOKUP(AG64,Variables!$AC$3:$AD$8,2,FALSE),"Y","N")</f>
        <v>N</v>
      </c>
      <c r="X64" s="197">
        <f t="shared" si="32"/>
        <v>1</v>
      </c>
      <c r="Y64" s="197">
        <f t="shared" si="33"/>
        <v>23.298999999999999</v>
      </c>
      <c r="Z64" s="197">
        <f t="shared" si="34"/>
        <v>1.5800000000000002E-2</v>
      </c>
      <c r="AA64" s="197">
        <f t="shared" si="35"/>
        <v>23.283200000000001</v>
      </c>
      <c r="AB64" s="54" t="e">
        <f>VLOOKUP(A64,Enforcements!$C$7:$K$12,8,0)</f>
        <v>#N/A</v>
      </c>
      <c r="AC64" s="51" t="e">
        <f>VLOOKUP(A64,Enforcements!$C$7:$E$12,3,0)</f>
        <v>#N/A</v>
      </c>
      <c r="AD64" s="206">
        <f t="shared" si="36"/>
        <v>150</v>
      </c>
      <c r="AE64" s="77" t="str">
        <f t="shared" si="11"/>
        <v>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 &amp; aws s3 cp s3://rtdc.mdm.uploadarchive.raw/RTDC4019/ "%USERPROFILE%\AppData\Local\Temp\OnboardLogs"\RTDC4019\2017-08-12 --exclude "*" --recursive --include "*20170812*" &amp; "%USERPROFILE%\Documents\GitHub\mrs-test-scripts\Headless Mode &amp; Sideloading\WalkAndUnGZ.bat" "%USERPROFILE%\AppData\Local\Temp\OnboardLogs"\RTDC4019\2017-08-12</v>
      </c>
      <c r="AF64" s="74" t="str">
        <f t="shared" si="12"/>
        <v>"C:\Program Files (x86)\AstroGrep\AstroGrep.exe" /e /r /s /spath="%USERPROFILE%\AppData\Local\Temp\OnboardLogs" /stypes="app*4019*20170811*" /stext=" 17:.+((SYSTEM_STATE.+slice.+state.+changed )|(ment ac)|(multiple cpu faults)|(system.+state.+changed )|(\[timeout)|(PRM\|1\|D)|(kpr)|(kdp)|(train st.+moving)|(\|lc)|(penalty))"</v>
      </c>
      <c r="AG64" s="209" t="str">
        <f t="shared" si="37"/>
        <v>EC</v>
      </c>
      <c r="AH64" s="78" t="str">
        <f t="shared" si="18"/>
        <v>"%USERPROFILE%\Documents\GitHub\eaglep3\Utilities\RefineRTDCRunTimes.py" --tripid 150-11 --locoid 4019 --swversion DE.1.0.9.0 --startMP 204:232990 --initTime 2017-08-11T10:23:02 --startdatetime 2017-08-11T10:42:16 --delay 1 --endMP 204:158 --enddatetime 2017-08-11T11:20:28 --enforcementcount 0 &gt;&gt;C:\Users\stu\Documents\GitHub\eaglep3-reporting\EC\2017-08-11-refined-times.txt</v>
      </c>
      <c r="AI64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{"issue":{"subject":"","project_id":79,"tracker_id":40,"status_id":1,"priority_id":2,"assigned_to_id":23,"start_date":"2017-08-11","description":"","custom_fields":[{"id":1,"name":"Subdivision","value":"EC"},{"id":4,"name":"Milepost","value":"0.0158"},{"id":17,"name":"Train ID","value":"150-11"},{"id":16,"name":"Locomotive ID","value":"4019"},{"id":130,"name":"Impact","value":""},{"id":150,"name":"Time of Event (Mountain Time)","value":"11:20:28"},{"id":151,"name":"Denver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4019 --day 2017-08-11</v>
      </c>
      <c r="AN64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17:20:28"},{"id":29,"name":"Sharepoint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712</v>
      </c>
      <c r="B65" s="7">
        <v>4030</v>
      </c>
      <c r="C65" s="21" t="s">
        <v>198</v>
      </c>
      <c r="D65" s="21" t="s">
        <v>469</v>
      </c>
      <c r="E65" s="13">
        <v>42958.414155092592</v>
      </c>
      <c r="F65" s="13">
        <v>42958.417175925926</v>
      </c>
      <c r="G65" s="7">
        <v>0</v>
      </c>
      <c r="H65" s="21" t="s">
        <v>530</v>
      </c>
      <c r="I65" s="13">
        <v>42958.442569444444</v>
      </c>
      <c r="J65" s="7">
        <v>0</v>
      </c>
      <c r="K65" s="89" t="str">
        <f t="shared" si="29"/>
        <v>4029/4030</v>
      </c>
      <c r="L65" s="21" t="str">
        <f>VLOOKUP(A65,'Trips&amp;Operators'!$C$1:$G$99999,5,FALSE)</f>
        <v>DAVIS WENDY</v>
      </c>
      <c r="M65" s="6">
        <f t="shared" si="30"/>
        <v>2.5393518517375924E-2</v>
      </c>
      <c r="N65" s="7">
        <f t="shared" si="38"/>
        <v>36.56666666502133</v>
      </c>
      <c r="O65" s="7"/>
      <c r="P65" s="7"/>
      <c r="Q65" s="22"/>
      <c r="R65" s="170"/>
      <c r="S65" s="213">
        <f t="shared" si="39"/>
        <v>1</v>
      </c>
      <c r="T65" s="195" t="str">
        <f t="shared" si="31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-08-11T08:56:23-0600',mode:absolute,to:'2017-08-11T11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5" s="197" t="str">
        <f>IF(AA65&lt;VLOOKUP(AG65,Variables!$AC$3:$AD$8,2,FALSE),"Y","N")</f>
        <v>N</v>
      </c>
      <c r="X65" s="197">
        <f t="shared" si="32"/>
        <v>1</v>
      </c>
      <c r="Y65" s="197">
        <f t="shared" si="33"/>
        <v>4.3999999999999997E-2</v>
      </c>
      <c r="Z65" s="197">
        <f t="shared" si="34"/>
        <v>23.331</v>
      </c>
      <c r="AA65" s="197">
        <f t="shared" si="35"/>
        <v>23.286999999999999</v>
      </c>
      <c r="AB65" s="54" t="e">
        <f>VLOOKUP(A65,Enforcements!$C$7:$K$12,8,0)</f>
        <v>#N/A</v>
      </c>
      <c r="AC65" s="51" t="e">
        <f>VLOOKUP(A65,Enforcements!$C$7:$E$12,3,0)</f>
        <v>#N/A</v>
      </c>
      <c r="AD65" s="206">
        <f t="shared" si="36"/>
        <v>151</v>
      </c>
      <c r="AE65" s="77" t="str">
        <f t="shared" si="11"/>
        <v>aws s3 cp s3://rtdc.mdm.uploadarchive.raw/RTDC4030/ "%USERPROFILE%\AppData\Local\Temp\OnboardLogs"\RTDC4030\2017-08-11 --exclude "*" --recursive --include "*20170811*" &amp; "%USERPROFILE%\Documents\GitHub\mrs-test-scripts\Headless Mode &amp; Sideloading\WalkAndUnGZ.bat" "%USERPROFILE%\AppData\Local\Temp\OnboardLogs"\RTDC4030\2017-08-11 &amp; aws s3 cp s3://rtdc.mdm.uploadarchive.raw/RTDC4030/ "%USERPROFILE%\AppData\Local\Temp\OnboardLogs"\RTDC4030\2017-08-12 --exclude "*" --recursive --include "*20170812*" &amp; "%USERPROFILE%\Documents\GitHub\mrs-test-scripts\Headless Mode &amp; Sideloading\WalkAndUnGZ.bat" "%USERPROFILE%\AppData\Local\Temp\OnboardLogs"\RTDC4030\2017-08-12</v>
      </c>
      <c r="AF65" s="74" t="str">
        <f t="shared" si="12"/>
        <v>"C:\Program Files (x86)\AstroGrep\AstroGrep.exe" /e /r /s /spath="%USERPROFILE%\AppData\Local\Temp\OnboardLogs" /stypes="app*4030*20170811*" /stext=" 16:.+((SYSTEM_STATE.+slice.+state.+changed )|(ment ac)|(multiple cpu faults)|(system.+state.+changed )|(\[timeout)|(PRM\|1\|D)|(kpr)|(kdp)|(train st.+moving)|(\|lc)|(penalty))"</v>
      </c>
      <c r="AG65" s="209" t="str">
        <f t="shared" si="37"/>
        <v>EC</v>
      </c>
      <c r="AH65" s="78" t="str">
        <f t="shared" si="18"/>
        <v>"%USERPROFILE%\Documents\GitHub\eaglep3\Utilities\RefineRTDCRunTimes.py" --tripid 151-11 --locoid 4030 --swversion DE.1.0.9.0 --startMP 204:440 --initTime 2017-08-11T09:56:23 --startdatetime 2017-08-11T10:00:44 --delay 0 --endMP 204:233310 --enddatetime 2017-08-11T10:37:18 --enforcementcount 0 &gt;&gt;C:\Users\stu\Documents\GitHub\eaglep3-reporting\EC\2017-08-11-refined-times.txt</v>
      </c>
      <c r="AI65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{"issue":{"subject":"","project_id":79,"tracker_id":40,"status_id":1,"priority_id":2,"assigned_to_id":23,"start_date":"2017-08-11","description":"","custom_fields":[{"id":1,"name":"Subdivision","value":"EC"},{"id":4,"name":"Milepost","value":"23.331"},{"id":17,"name":"Train ID","value":"151-11"},{"id":16,"name":"Locomotive ID","value":"4030"},{"id":130,"name":"Impact","value":""},{"id":150,"name":"Time of Event (Mountain Time)","value":"10:37:18"},{"id":151,"name":"Denver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4030 --day 2017-08-11</v>
      </c>
      <c r="AN65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732</v>
      </c>
      <c r="B66" s="7">
        <v>4029</v>
      </c>
      <c r="C66" s="21" t="s">
        <v>198</v>
      </c>
      <c r="D66" s="21" t="s">
        <v>879</v>
      </c>
      <c r="E66" s="13">
        <v>42958.45244212963</v>
      </c>
      <c r="F66" s="13">
        <v>42958.456423611111</v>
      </c>
      <c r="G66" s="7">
        <v>1</v>
      </c>
      <c r="H66" s="21" t="s">
        <v>375</v>
      </c>
      <c r="I66" s="13">
        <v>42958.48296296296</v>
      </c>
      <c r="J66" s="7">
        <v>0</v>
      </c>
      <c r="K66" s="89" t="str">
        <f t="shared" si="29"/>
        <v>4029/4030</v>
      </c>
      <c r="L66" s="21" t="str">
        <f>VLOOKUP(A66,'Trips&amp;Operators'!$C$1:$G$99999,5,FALSE)</f>
        <v>DAVIS WENDY</v>
      </c>
      <c r="M66" s="6">
        <f t="shared" si="30"/>
        <v>2.6539351849351078E-2</v>
      </c>
      <c r="N66" s="7">
        <f t="shared" si="38"/>
        <v>38.216666663065553</v>
      </c>
      <c r="O66" s="7"/>
      <c r="P66" s="7"/>
      <c r="Q66" s="22"/>
      <c r="R66" s="170"/>
      <c r="S66" s="213">
        <f t="shared" si="39"/>
        <v>1</v>
      </c>
      <c r="T66" s="195" t="str">
        <f t="shared" si="31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-08-11T09:51:31-0600',mode:absolute,to:'2017-08-11T12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6" s="197" t="str">
        <f>IF(AA66&lt;VLOOKUP(AG66,Variables!$AC$3:$AD$8,2,FALSE),"Y","N")</f>
        <v>N</v>
      </c>
      <c r="X66" s="197">
        <f t="shared" si="32"/>
        <v>1</v>
      </c>
      <c r="Y66" s="197">
        <f t="shared" si="33"/>
        <v>23.3</v>
      </c>
      <c r="Z66" s="197">
        <f t="shared" si="34"/>
        <v>1.54E-2</v>
      </c>
      <c r="AA66" s="197">
        <f t="shared" si="35"/>
        <v>23.284600000000001</v>
      </c>
      <c r="AB66" s="54" t="e">
        <f>VLOOKUP(A66,Enforcements!$C$7:$K$12,8,0)</f>
        <v>#N/A</v>
      </c>
      <c r="AC66" s="51" t="e">
        <f>VLOOKUP(A66,Enforcements!$C$7:$E$12,3,0)</f>
        <v>#N/A</v>
      </c>
      <c r="AD66" s="206">
        <f t="shared" si="36"/>
        <v>152</v>
      </c>
      <c r="AE66" s="77" t="str">
        <f t="shared" si="11"/>
        <v>aws s3 cp s3://rtdc.mdm.uploadarchive.raw/RTDC4029/ "%USERPROFILE%\AppData\Local\Temp\OnboardLogs"\RTDC4029\2017-08-11 --exclude "*" --recursive --include "*20170811*" &amp; "%USERPROFILE%\Documents\GitHub\mrs-test-scripts\Headless Mode &amp; Sideloading\WalkAndUnGZ.bat" "%USERPROFILE%\AppData\Local\Temp\OnboardLogs"\RTDC4029\2017-08-11 &amp; aws s3 cp s3://rtdc.mdm.uploadarchive.raw/RTDC4029/ "%USERPROFILE%\AppData\Local\Temp\OnboardLogs"\RTDC4029\2017-08-12 --exclude "*" --recursive --include "*20170812*" &amp; "%USERPROFILE%\Documents\GitHub\mrs-test-scripts\Headless Mode &amp; Sideloading\WalkAndUnGZ.bat" "%USERPROFILE%\AppData\Local\Temp\OnboardLogs"\RTDC4029\2017-08-12</v>
      </c>
      <c r="AF66" s="74" t="str">
        <f t="shared" si="12"/>
        <v>"C:\Program Files (x86)\AstroGrep\AstroGrep.exe" /e /r /s /spath="%USERPROFILE%\AppData\Local\Temp\OnboardLogs" /stypes="app*4029*20170811*" /stext=" 17:.+((SYSTEM_STATE.+slice.+state.+changed )|(ment ac)|(multiple cpu faults)|(system.+state.+changed )|(\[timeout)|(PRM\|1\|D)|(kpr)|(kdp)|(train st.+moving)|(\|lc)|(penalty))"</v>
      </c>
      <c r="AG66" s="209" t="str">
        <f t="shared" si="37"/>
        <v>EC</v>
      </c>
      <c r="AH66" s="78" t="str">
        <f t="shared" si="18"/>
        <v>"%USERPROFILE%\Documents\GitHub\eaglep3\Utilities\RefineRTDCRunTimes.py" --tripid 152-11 --locoid 4029 --swversion DE.1.0.9.0 --startMP 204:233000 --initTime 2017-08-11T10:51:31 --startdatetime 2017-08-11T10:57:15 --delay 1 --endMP 204:154 --enddatetime 2017-08-11T11:35:28 --enforcementcount 0 &gt;&gt;C:\Users\stu\Documents\GitHub\eaglep3-reporting\EC\2017-08-11-refined-times.txt</v>
      </c>
      <c r="AI66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{"issue":{"subject":"","project_id":79,"tracker_id":40,"status_id":1,"priority_id":2,"assigned_to_id":23,"start_date":"2017-08-11","description":"","custom_fields":[{"id":1,"name":"Subdivision","value":"EC"},{"id":4,"name":"Milepost","value":"0.0154"},{"id":17,"name":"Train ID","value":"152-11"},{"id":16,"name":"Locomotive ID","value":"4029"},{"id":130,"name":"Impact","value":""},{"id":150,"name":"Time of Event (Mountain Time)","value":"11:35:28"},{"id":151,"name":"Denver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4029 --day 2017-08-11</v>
      </c>
      <c r="AN66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17:35:28"},{"id":29,"name":"Sharepoint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718</v>
      </c>
      <c r="B67" s="7">
        <v>4040</v>
      </c>
      <c r="C67" s="21" t="s">
        <v>198</v>
      </c>
      <c r="D67" s="21" t="s">
        <v>537</v>
      </c>
      <c r="E67" s="13">
        <v>42958.425370370373</v>
      </c>
      <c r="F67" s="13">
        <v>42958.427754629629</v>
      </c>
      <c r="G67" s="7">
        <v>1</v>
      </c>
      <c r="H67" s="21" t="s">
        <v>533</v>
      </c>
      <c r="I67" s="13">
        <v>42958.451874999999</v>
      </c>
      <c r="J67" s="7">
        <v>0</v>
      </c>
      <c r="K67" s="89" t="str">
        <f t="shared" si="29"/>
        <v>4039/4040</v>
      </c>
      <c r="L67" s="21" t="str">
        <f>VLOOKUP(A67,'Trips&amp;Operators'!$C$1:$G$99999,5,FALSE)</f>
        <v>GUZMAN DANNY</v>
      </c>
      <c r="M67" s="6">
        <f t="shared" si="30"/>
        <v>2.4120370369928423E-2</v>
      </c>
      <c r="N67" s="7">
        <f t="shared" si="38"/>
        <v>34.73333333269693</v>
      </c>
      <c r="O67" s="7"/>
      <c r="P67" s="7"/>
      <c r="Q67" s="22"/>
      <c r="R67" s="170"/>
      <c r="S67" s="213">
        <f t="shared" si="39"/>
        <v>1</v>
      </c>
      <c r="T67" s="195" t="str">
        <f t="shared" si="31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-08-11T09:12:32-0600',mode:absolute,to:'2017-08-11T11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7" s="197" t="str">
        <f>IF(AA67&lt;VLOOKUP(AG67,Variables!$AC$3:$AD$8,2,FALSE),"Y","N")</f>
        <v>N</v>
      </c>
      <c r="X67" s="197">
        <f t="shared" si="32"/>
        <v>1</v>
      </c>
      <c r="Y67" s="197">
        <f t="shared" si="33"/>
        <v>4.7800000000000002E-2</v>
      </c>
      <c r="Z67" s="197">
        <f t="shared" si="34"/>
        <v>23.330300000000001</v>
      </c>
      <c r="AA67" s="197">
        <f t="shared" si="35"/>
        <v>23.282500000000002</v>
      </c>
      <c r="AB67" s="54" t="e">
        <f>VLOOKUP(A67,Enforcements!$C$7:$K$12,8,0)</f>
        <v>#N/A</v>
      </c>
      <c r="AC67" s="51" t="e">
        <f>VLOOKUP(A67,Enforcements!$C$7:$E$12,3,0)</f>
        <v>#N/A</v>
      </c>
      <c r="AD67" s="206">
        <f t="shared" si="36"/>
        <v>153</v>
      </c>
      <c r="AE67" s="77" t="str">
        <f t="shared" si="11"/>
        <v>aws s3 cp s3://rtdc.mdm.uploadarchive.raw/RTDC4040/ "%USERPROFILE%\AppData\Local\Temp\OnboardLogs"\RTDC4040\2017-08-11 --exclude "*" --recursive --include "*20170811*" &amp; "%USERPROFILE%\Documents\GitHub\mrs-test-scripts\Headless Mode &amp; Sideloading\WalkAndUnGZ.bat" "%USERPROFILE%\AppData\Local\Temp\OnboardLogs"\RTDC4040\2017-08-11 &amp; aws s3 cp s3://rtdc.mdm.uploadarchive.raw/RTDC4040/ "%USERPROFILE%\AppData\Local\Temp\OnboardLogs"\RTDC4040\2017-08-12 --exclude "*" --recursive --include "*20170812*" &amp; "%USERPROFILE%\Documents\GitHub\mrs-test-scripts\Headless Mode &amp; Sideloading\WalkAndUnGZ.bat" "%USERPROFILE%\AppData\Local\Temp\OnboardLogs"\RTDC4040\2017-08-12</v>
      </c>
      <c r="AF67" s="74" t="str">
        <f t="shared" si="12"/>
        <v>"C:\Program Files (x86)\AstroGrep\AstroGrep.exe" /e /r /s /spath="%USERPROFILE%\AppData\Local\Temp\OnboardLogs" /stypes="app*4040*20170811*" /stext=" 16:.+((SYSTEM_STATE.+slice.+state.+changed )|(ment ac)|(multiple cpu faults)|(system.+state.+changed )|(\[timeout)|(PRM\|1\|D)|(kpr)|(kdp)|(train st.+moving)|(\|lc)|(penalty))"</v>
      </c>
      <c r="AG67" s="209" t="str">
        <f t="shared" si="37"/>
        <v>EC</v>
      </c>
      <c r="AH67" s="78" t="str">
        <f t="shared" si="18"/>
        <v>"%USERPROFILE%\Documents\GitHub\eaglep3\Utilities\RefineRTDCRunTimes.py" --tripid 153-11 --locoid 4040 --swversion DE.1.0.9.0 --startMP 204:478 --initTime 2017-08-11T10:12:32 --startdatetime 2017-08-11T10:15:58 --delay 1 --endMP 204:233303 --enddatetime 2017-08-11T10:50:42 --enforcementcount 0 &gt;&gt;C:\Users\stu\Documents\GitHub\eaglep3-reporting\EC\2017-08-11-refined-times.txt</v>
      </c>
      <c r="AI67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{"issue":{"subject":"","project_id":79,"tracker_id":40,"status_id":1,"priority_id":2,"assigned_to_id":23,"start_date":"2017-08-11","description":"","custom_fields":[{"id":1,"name":"Subdivision","value":"EC"},{"id":4,"name":"Milepost","value":"23.3303"},{"id":17,"name":"Train ID","value":"153-11"},{"id":16,"name":"Locomotive ID","value":"4040"},{"id":130,"name":"Impact","value":""},{"id":150,"name":"Time of Event (Mountain Time)","value":"10:50:42"},{"id":151,"name":"Denver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4040 --day 2017-08-11</v>
      </c>
      <c r="AN67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733</v>
      </c>
      <c r="B68" s="7">
        <v>4039</v>
      </c>
      <c r="C68" s="21" t="s">
        <v>198</v>
      </c>
      <c r="D68" s="21" t="s">
        <v>467</v>
      </c>
      <c r="E68" s="13">
        <v>42958.455462962964</v>
      </c>
      <c r="F68" s="13">
        <v>42958.466828703706</v>
      </c>
      <c r="G68" s="7">
        <v>1</v>
      </c>
      <c r="H68" s="21" t="s">
        <v>1049</v>
      </c>
      <c r="I68" s="13">
        <v>42958.493750000001</v>
      </c>
      <c r="J68" s="7">
        <v>0</v>
      </c>
      <c r="K68" s="89" t="str">
        <f t="shared" si="29"/>
        <v>4039/4040</v>
      </c>
      <c r="L68" s="21" t="str">
        <f>VLOOKUP(A68,'Trips&amp;Operators'!$C$1:$G$99999,5,FALSE)</f>
        <v>GUZMAN DANNY</v>
      </c>
      <c r="M68" s="6">
        <f t="shared" si="30"/>
        <v>2.6921296295768116E-2</v>
      </c>
      <c r="N68" s="7">
        <f t="shared" si="38"/>
        <v>38.766666665906087</v>
      </c>
      <c r="O68" s="7"/>
      <c r="P68" s="7"/>
      <c r="Q68" s="22"/>
      <c r="R68" s="170"/>
      <c r="S68" s="213">
        <f t="shared" si="39"/>
        <v>1</v>
      </c>
      <c r="T68" s="195" t="str">
        <f t="shared" si="31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-08-11T09:55:52-0600',mode:absolute,to:'2017-08-11T12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8" s="197" t="str">
        <f>IF(AA68&lt;VLOOKUP(AG68,Variables!$AC$3:$AD$8,2,FALSE),"Y","N")</f>
        <v>N</v>
      </c>
      <c r="X68" s="197">
        <f t="shared" si="32"/>
        <v>1</v>
      </c>
      <c r="Y68" s="197">
        <f t="shared" si="33"/>
        <v>23.2988</v>
      </c>
      <c r="Z68" s="197">
        <f t="shared" si="34"/>
        <v>1.3599999999999999E-2</v>
      </c>
      <c r="AA68" s="197">
        <f t="shared" si="35"/>
        <v>23.2852</v>
      </c>
      <c r="AB68" s="54" t="e">
        <f>VLOOKUP(A68,Enforcements!$C$7:$K$12,8,0)</f>
        <v>#N/A</v>
      </c>
      <c r="AC68" s="51" t="e">
        <f>VLOOKUP(A68,Enforcements!$C$7:$E$12,3,0)</f>
        <v>#N/A</v>
      </c>
      <c r="AD68" s="206">
        <f t="shared" si="36"/>
        <v>154</v>
      </c>
      <c r="AE68" s="77" t="str">
        <f t="shared" si="11"/>
        <v>aws s3 cp s3://rtdc.mdm.uploadarchive.raw/RTDC4039/ "%USERPROFILE%\AppData\Local\Temp\OnboardLogs"\RTDC4039\2017-08-11 --exclude "*" --recursive --include "*20170811*" &amp; "%USERPROFILE%\Documents\GitHub\mrs-test-scripts\Headless Mode &amp; Sideloading\WalkAndUnGZ.bat" "%USERPROFILE%\AppData\Local\Temp\OnboardLogs"\RTDC4039\2017-08-11 &amp; aws s3 cp s3://rtdc.mdm.uploadarchive.raw/RTDC4039/ "%USERPROFILE%\AppData\Local\Temp\OnboardLogs"\RTDC4039\2017-08-12 --exclude "*" --recursive --include "*20170812*" &amp; "%USERPROFILE%\Documents\GitHub\mrs-test-scripts\Headless Mode &amp; Sideloading\WalkAndUnGZ.bat" "%USERPROFILE%\AppData\Local\Temp\OnboardLogs"\RTDC4039\2017-08-12</v>
      </c>
      <c r="AF68" s="74" t="str">
        <f t="shared" si="12"/>
        <v>"C:\Program Files (x86)\AstroGrep\AstroGrep.exe" /e /r /s /spath="%USERPROFILE%\AppData\Local\Temp\OnboardLogs" /stypes="app*4039*20170811*" /stext=" 17:.+((SYSTEM_STATE.+slice.+state.+changed )|(ment ac)|(multiple cpu faults)|(system.+state.+changed )|(\[timeout)|(PRM\|1\|D)|(kpr)|(kdp)|(train st.+moving)|(\|lc)|(penalty))"</v>
      </c>
      <c r="AG68" s="209" t="str">
        <f t="shared" si="37"/>
        <v>EC</v>
      </c>
      <c r="AH68" s="78" t="str">
        <f t="shared" si="18"/>
        <v>"%USERPROFILE%\Documents\GitHub\eaglep3\Utilities\RefineRTDCRunTimes.py" --tripid 154-11 --locoid 4039 --swversion DE.1.0.9.0 --startMP 204:232988 --initTime 2017-08-11T10:55:52 --startdatetime 2017-08-11T11:12:14 --delay 1 --endMP 204:136 --enddatetime 2017-08-11T11:51:00 --enforcementcount 0 &gt;&gt;C:\Users\stu\Documents\GitHub\eaglep3-reporting\EC\2017-08-11-refined-times.txt</v>
      </c>
      <c r="AI68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{"issue":{"subject":"","project_id":79,"tracker_id":40,"status_id":1,"priority_id":2,"assigned_to_id":23,"start_date":"2017-08-11","description":"","custom_fields":[{"id":1,"name":"Subdivision","value":"EC"},{"id":4,"name":"Milepost","value":"0.0136"},{"id":17,"name":"Train ID","value":"154-11"},{"id":16,"name":"Locomotive ID","value":"4039"},{"id":130,"name":"Impact","value":""},{"id":150,"name":"Time of Event (Mountain Time)","value":"11:51:00"},{"id":151,"name":"Denver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4039 --day 2017-08-11</v>
      </c>
      <c r="AN68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17:51:00"},{"id":29,"name":"Sharepoint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722</v>
      </c>
      <c r="B69" s="7">
        <v>4014</v>
      </c>
      <c r="C69" s="21" t="s">
        <v>198</v>
      </c>
      <c r="D69" s="21" t="s">
        <v>446</v>
      </c>
      <c r="E69" s="13">
        <v>42958.433344907404</v>
      </c>
      <c r="F69" s="13">
        <v>42958.438020833331</v>
      </c>
      <c r="G69" s="7">
        <v>1</v>
      </c>
      <c r="H69" s="21" t="s">
        <v>898</v>
      </c>
      <c r="I69" s="13">
        <v>42958.463206018518</v>
      </c>
      <c r="J69" s="7">
        <v>0</v>
      </c>
      <c r="K69" s="89" t="str">
        <f t="shared" si="29"/>
        <v>4013/4014</v>
      </c>
      <c r="L69" s="21" t="str">
        <f>VLOOKUP(A69,'Trips&amp;Operators'!$C$1:$G$99999,5,FALSE)</f>
        <v>DAVIDSON DAVID</v>
      </c>
      <c r="M69" s="6">
        <f t="shared" si="30"/>
        <v>2.5185185186273884E-2</v>
      </c>
      <c r="N69" s="7">
        <f t="shared" si="38"/>
        <v>36.266666668234393</v>
      </c>
      <c r="O69" s="7"/>
      <c r="P69" s="7"/>
      <c r="Q69" s="22"/>
      <c r="R69" s="170"/>
      <c r="S69" s="213">
        <f t="shared" si="39"/>
        <v>1</v>
      </c>
      <c r="T69" s="195" t="str">
        <f t="shared" si="31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-08-11T09:24:01-0600',mode:absolute,to:'2017-08-11T12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9" s="197" t="str">
        <f>IF(AA69&lt;VLOOKUP(AG69,Variables!$AC$3:$AD$8,2,FALSE),"Y","N")</f>
        <v>N</v>
      </c>
      <c r="X69" s="197">
        <f t="shared" si="32"/>
        <v>1</v>
      </c>
      <c r="Y69" s="197">
        <f t="shared" si="33"/>
        <v>4.6399999999999997E-2</v>
      </c>
      <c r="Z69" s="197">
        <f t="shared" si="34"/>
        <v>23.3308</v>
      </c>
      <c r="AA69" s="197">
        <f t="shared" si="35"/>
        <v>23.284400000000002</v>
      </c>
      <c r="AB69" s="54" t="e">
        <f>VLOOKUP(A69,Enforcements!$C$7:$K$12,8,0)</f>
        <v>#N/A</v>
      </c>
      <c r="AC69" s="51" t="e">
        <f>VLOOKUP(A69,Enforcements!$C$7:$E$12,3,0)</f>
        <v>#N/A</v>
      </c>
      <c r="AD69" s="206">
        <f t="shared" si="36"/>
        <v>155</v>
      </c>
      <c r="AE69" s="77" t="str">
        <f t="shared" si="11"/>
        <v>aws s3 cp s3://rtdc.mdm.uploadarchive.raw/RTDC4014/ "%USERPROFILE%\AppData\Local\Temp\OnboardLogs"\RTDC4014\2017-08-11 --exclude "*" --recursive --include "*20170811*" &amp; "%USERPROFILE%\Documents\GitHub\mrs-test-scripts\Headless Mode &amp; Sideloading\WalkAndUnGZ.bat" "%USERPROFILE%\AppData\Local\Temp\OnboardLogs"\RTDC4014\2017-08-11 &amp; 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</v>
      </c>
      <c r="AF69" s="74" t="str">
        <f t="shared" si="12"/>
        <v>"C:\Program Files (x86)\AstroGrep\AstroGrep.exe" /e /r /s /spath="%USERPROFILE%\AppData\Local\Temp\OnboardLogs" /stypes="app*4014*20170811*" /stext=" 17:.+((SYSTEM_STATE.+slice.+state.+changed )|(ment ac)|(multiple cpu faults)|(system.+state.+changed )|(\[timeout)|(PRM\|1\|D)|(kpr)|(kdp)|(train st.+moving)|(\|lc)|(penalty))"</v>
      </c>
      <c r="AG69" s="209" t="str">
        <f t="shared" si="37"/>
        <v>EC</v>
      </c>
      <c r="AH69" s="78" t="str">
        <f t="shared" si="18"/>
        <v>"%USERPROFILE%\Documents\GitHub\eaglep3\Utilities\RefineRTDCRunTimes.py" --tripid 155-11 --locoid 4014 --swversion DE.1.0.9.0 --startMP 204:464 --initTime 2017-08-11T10:24:01 --startdatetime 2017-08-11T10:30:45 --delay 1 --endMP 204:233308 --enddatetime 2017-08-11T11:07:01 --enforcementcount 0 &gt;&gt;C:\Users\stu\Documents\GitHub\eaglep3-reporting\EC\2017-08-11-refined-times.txt</v>
      </c>
      <c r="AI69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{"issue":{"subject":"","project_id":79,"tracker_id":40,"status_id":1,"priority_id":2,"assigned_to_id":23,"start_date":"2017-08-11","description":"","custom_fields":[{"id":1,"name":"Subdivision","value":"EC"},{"id":4,"name":"Milepost","value":"23.3308"},{"id":17,"name":"Train ID","value":"155-11"},{"id":16,"name":"Locomotive ID","value":"4014"},{"id":130,"name":"Impact","value":""},{"id":150,"name":"Time of Event (Mountain Time)","value":"11:07:01"},{"id":151,"name":"Denver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4014 --day 2017-08-11</v>
      </c>
      <c r="AN69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17:07:01"},{"id":29,"name":"Sharepoint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736</v>
      </c>
      <c r="B70" s="7">
        <v>4013</v>
      </c>
      <c r="C70" s="21" t="s">
        <v>198</v>
      </c>
      <c r="D70" s="21" t="s">
        <v>446</v>
      </c>
      <c r="E70" s="13">
        <v>42958.433344907404</v>
      </c>
      <c r="F70" s="13">
        <v>42958.477314814816</v>
      </c>
      <c r="G70" s="7">
        <v>1</v>
      </c>
      <c r="H70" s="21" t="s">
        <v>898</v>
      </c>
      <c r="I70" s="13">
        <v>42958.505196759259</v>
      </c>
      <c r="J70" s="7">
        <v>0</v>
      </c>
      <c r="K70" s="89" t="str">
        <f t="shared" ref="K70:K71" si="40">IF(ISEVEN(B70),(B70-1)&amp;"/"&amp;B70,B70&amp;"/"&amp;(B70+1))</f>
        <v>4013/4014</v>
      </c>
      <c r="L70" s="21" t="str">
        <f>VLOOKUP(A70,'Trips&amp;Operators'!$C$1:$G$99999,5,FALSE)</f>
        <v>DAVIDSON DAVID</v>
      </c>
      <c r="M70" s="6">
        <f t="shared" ref="M70:M71" si="41">I70-F70</f>
        <v>2.7881944442924578E-2</v>
      </c>
      <c r="N70" s="7">
        <f t="shared" ref="N70:N71" si="42">24*60*SUM($M70:$M70)</f>
        <v>40.149999997811392</v>
      </c>
      <c r="O70" s="7"/>
      <c r="P70" s="7"/>
      <c r="Q70" s="22"/>
      <c r="R70" s="170"/>
      <c r="S70" s="213">
        <f t="shared" ref="S70:S71" si="43">1/IF(AG70="EC",12,1)*SUM(U70:U70)</f>
        <v>1</v>
      </c>
      <c r="T70" s="195" t="str">
        <f t="shared" ref="T70:T71" si="44">IF(ISEVEN(LEFT(AD70,4)),"Southbound","NorthBound")</f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-08-11T09:24:01-0600',mode:absolute,to:'2017-08-11T13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0" s="197" t="str">
        <f>IF(AA70&lt;VLOOKUP(AG70,Variables!$AC$3:$AD$8,2,FALSE),"Y","N")</f>
        <v>N</v>
      </c>
      <c r="X70" s="197">
        <f t="shared" ref="X70:X72" si="45">VALUE(LEFT(AD70,4))-VALUE(LEFT(AD69,4))</f>
        <v>1</v>
      </c>
      <c r="Y70" s="197">
        <v>23.2988</v>
      </c>
      <c r="Z70" s="197">
        <v>1.3599999999999999E-2</v>
      </c>
      <c r="AA70" s="197">
        <f t="shared" ref="AA70:AA71" si="46">ABS(Z70-Y70)</f>
        <v>23.2852</v>
      </c>
      <c r="AB70" s="54" t="e">
        <f>VLOOKUP(A70,Enforcements!$C$7:$K$12,8,0)</f>
        <v>#N/A</v>
      </c>
      <c r="AC70" s="51" t="e">
        <f>VLOOKUP(A70,Enforcements!$C$7:$E$12,3,0)</f>
        <v>#N/A</v>
      </c>
      <c r="AD70" s="206">
        <f t="shared" ref="AD70:AD71" si="47">VALUE(LEFT(A70,LEN(A70)-3))</f>
        <v>156</v>
      </c>
      <c r="AE70" s="77" t="str">
        <f t="shared" si="11"/>
        <v>aws s3 cp s3://rtdc.mdm.uploadarchive.raw/RTDC4013/ "%USERPROFILE%\AppData\Local\Temp\OnboardLogs"\RTDC4013\2017-08-11 --exclude "*" --recursive --include "*20170811*" &amp; "%USERPROFILE%\Documents\GitHub\mrs-test-scripts\Headless Mode &amp; Sideloading\WalkAndUnGZ.bat" "%USERPROFILE%\AppData\Local\Temp\OnboardLogs"\RTDC4013\2017-08-11 &amp; 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</v>
      </c>
      <c r="AF70" s="74" t="str">
        <f t="shared" si="12"/>
        <v>"C:\Program Files (x86)\AstroGrep\AstroGrep.exe" /e /r /s /spath="%USERPROFILE%\AppData\Local\Temp\OnboardLogs" /stypes="app*4013*20170811*" /stext=" 18:.+((SYSTEM_STATE.+slice.+state.+changed )|(ment ac)|(multiple cpu faults)|(system.+state.+changed )|(\[timeout)|(PRM\|1\|D)|(kpr)|(kdp)|(train st.+moving)|(\|lc)|(penalty))"</v>
      </c>
      <c r="AG70" s="209" t="str">
        <f t="shared" ref="AG70:AG71" si="48">DetSubdiv(A70)</f>
        <v>EC</v>
      </c>
      <c r="AH70" s="78" t="str">
        <f t="shared" ref="AH70:AH71" si="49">refinertdcruntimes&amp;" --tripid "&amp;A70&amp;" --locoid "&amp;B70&amp;" --swversion "&amp;C70&amp;" --startMP "&amp;D70&amp;" --initTime "&amp;TEXT(E70,"yyyy-mm-ddTHH:MM:SS")&amp;" --startdatetime "&amp;TEXT(F70,"yyyy-mm-ddTHH:MM:SS")&amp;" --delay "&amp;G70&amp;" --endMP "&amp;H70&amp;" --enddatetime "&amp;TEXT(I70,"yyyy-mm-ddTHH:MM:SS")&amp;" --enforcementcount "&amp;J70&amp;IF(outputrefinedruntimes," &gt;&gt;"&amp;RefinedRTDCRunTimesOutputFile,"")</f>
        <v>"%USERPROFILE%\Documents\GitHub\eaglep3\Utilities\RefineRTDCRunTimes.py" --tripid 156-11 --locoid 4013 --swversion DE.1.0.9.0 --startMP 204:464 --initTime 2017-08-11T10:24:01 --startdatetime 2017-08-11T11:27:20 --delay 1 --endMP 204:233308 --enddatetime 2017-08-11T12:07:29 --enforcementcount 0 &gt;&gt;C:\Users\stu\Documents\GitHub\eaglep3-reporting\EC\2017-08-11-refined-times.txt</v>
      </c>
      <c r="AI70" s="96" t="str">
        <f t="shared" ref="AI70:AI71" si="50">"echo {""issue"":{""subject"":"""&amp;R70&amp;""",""project_id"":79,""tracker_id"":40,""status_id"":"&amp;redmine_status&amp;",""priority_id"":"&amp;redmine_priority&amp;",""assigned_to_id"":"&amp;redmine_assignee&amp;",""start_date"":"""&amp;TEXT(I70,"YYYY-mm-dd")&amp;""",""description"":"""&amp;AJ70&amp;""",""custom_fields"":[{""id"":1,""name"":""Subdivision"",""value"":"""&amp;AG70&amp;"""},{""id"":4,""name"":""Milepost"",""value"":"""&amp;Z70&amp;"""},{""id"":17,""name"":""Train ID"",""value"":"""&amp;A70&amp;"""},{""id"":16,""name"":""Locomotive ID"",""value"":"""&amp;B70&amp;"""},{""id"":130,""name"":""Impact"",""value"":"""&amp;AK70&amp;"""},{""id"":150,""name"":""Time of Event (Mountain Time)"",""value"":"""&amp;TEXT(I70,"hh:mm:ss")&amp;"""},{""id"":151,""name"":""Denver Issue ID"",""value"":"""&amp;"""},{""id"":178,""name"":""Operational Impact"",""value"":"""&amp;redmine_op_impact&amp;"""},{""id"":179,""name"":""Denver Segment Assigned"",""value"":"""&amp;AL70&amp;"""}]}}"&amp;"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{"issue":{"subject":"","project_id":79,"tracker_id":40,"status_id":1,"priority_id":2,"assigned_to_id":23,"start_date":"2017-08-11","description":"","custom_fields":[{"id":1,"name":"Subdivision","value":"EC"},{"id":4,"name":"Milepost","value":"0.0136"},{"id":17,"name":"Train ID","value":"156-11"},{"id":16,"name":"Locomotive ID","value":"4013"},{"id":130,"name":"Impact","value":""},{"id":150,"name":"Time of Event (Mountain Time)","value":"12:07:29"},{"id":151,"name":"Denver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ref="AM70:AM71" si="51">"start /low /b "&amp;dls3logs&amp;" --loco "&amp;B70&amp;" --day "&amp;TEXT(F70,"YYYY-MM-DD")</f>
        <v>start /low /b %USERPROFILE%\Documents\GitHub\eaglep3\Utilities\DownloadLogsFromS3.py --loco 4013 --day 2017-08-11</v>
      </c>
      <c r="AN70" s="151" t="str">
        <f t="shared" ref="AN70:AN71" si="52">"echo {""issue"":{""subject"":"""&amp;R70&amp;""",""project_id"":30,""tracker_id"":4,""status_id"":"&amp;redmine_status_wcr&amp;",""priority_id"":"&amp;redmine_priority_wcr&amp;",""assigned_to_id"":"&amp;redmine_assignee_wcr&amp;",""start_date"":"""&amp;TEXT(I70-utc_offset/24,"YYYY-mm-dd")&amp;""",""description"":"""&amp;AJ70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18:07:29"},{"id":29,"name":"Sharepoint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0"/>
      <c r="CD70" s="20"/>
      <c r="CE70" s="20"/>
      <c r="CF70" s="20"/>
      <c r="CG70" s="20"/>
      <c r="CH70" s="20"/>
      <c r="CI70" s="20"/>
      <c r="CJ70" s="20"/>
      <c r="CK70" s="20"/>
      <c r="CL70" s="20"/>
      <c r="CM70" s="20"/>
    </row>
    <row r="71" spans="1:91" s="1" customFormat="1" x14ac:dyDescent="0.25">
      <c r="A71" s="32" t="s">
        <v>730</v>
      </c>
      <c r="B71" s="7">
        <v>4012</v>
      </c>
      <c r="C71" s="21" t="s">
        <v>198</v>
      </c>
      <c r="D71" s="21" t="s">
        <v>446</v>
      </c>
      <c r="E71" s="13">
        <v>42958.433344907404</v>
      </c>
      <c r="F71" s="13">
        <v>42958.448472222219</v>
      </c>
      <c r="G71" s="7">
        <v>1</v>
      </c>
      <c r="H71" s="21" t="s">
        <v>898</v>
      </c>
      <c r="I71" s="13">
        <v>42958.473402777781</v>
      </c>
      <c r="J71" s="7">
        <v>0</v>
      </c>
      <c r="K71" s="89" t="str">
        <f t="shared" si="40"/>
        <v>4011/4012</v>
      </c>
      <c r="L71" s="21" t="str">
        <f>VLOOKUP(A71,'Trips&amp;Operators'!$C$1:$G$99999,5,FALSE)</f>
        <v>SULLIVAN BRANDON</v>
      </c>
      <c r="M71" s="6">
        <f t="shared" si="41"/>
        <v>2.493055556260515E-2</v>
      </c>
      <c r="N71" s="7">
        <f t="shared" si="42"/>
        <v>35.900000010151416</v>
      </c>
      <c r="O71" s="7"/>
      <c r="P71" s="7"/>
      <c r="Q71" s="22"/>
      <c r="R71" s="170"/>
      <c r="S71" s="213">
        <f t="shared" si="43"/>
        <v>1</v>
      </c>
      <c r="T71" s="195" t="str">
        <f t="shared" si="4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-08-11T09:24:01-0600',mode:absolute,to:'2017-08-11T12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1" s="197" t="str">
        <f>IF(AA71&lt;VLOOKUP(AG71,Variables!$AC$3:$AD$8,2,FALSE),"Y","N")</f>
        <v>N</v>
      </c>
      <c r="X71" s="197">
        <f t="shared" si="45"/>
        <v>1</v>
      </c>
      <c r="Y71" s="197">
        <f t="shared" ref="Y71" si="53">RIGHT(D71,LEN(D71)-4)/10000</f>
        <v>4.6399999999999997E-2</v>
      </c>
      <c r="Z71" s="197">
        <f t="shared" ref="Z71" si="54">RIGHT(H71,LEN(H71)-4)/10000</f>
        <v>23.3308</v>
      </c>
      <c r="AA71" s="197">
        <f t="shared" si="46"/>
        <v>23.284400000000002</v>
      </c>
      <c r="AB71" s="54" t="e">
        <f>VLOOKUP(A71,Enforcements!$C$7:$K$12,8,0)</f>
        <v>#N/A</v>
      </c>
      <c r="AC71" s="51" t="e">
        <f>VLOOKUP(A71,Enforcements!$C$7:$E$12,3,0)</f>
        <v>#N/A</v>
      </c>
      <c r="AD71" s="206">
        <f t="shared" si="47"/>
        <v>157</v>
      </c>
      <c r="AE71" s="77" t="str">
        <f t="shared" si="11"/>
        <v>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 &amp; aws s3 cp s3://rtdc.mdm.uploadarchive.raw/RTDC4012/ "%USERPROFILE%\AppData\Local\Temp\OnboardLogs"\RTDC4012\2017-08-12 --exclude "*" --recursive --include "*20170812*" &amp; "%USERPROFILE%\Documents\GitHub\mrs-test-scripts\Headless Mode &amp; Sideloading\WalkAndUnGZ.bat" "%USERPROFILE%\AppData\Local\Temp\OnboardLogs"\RTDC4012\2017-08-12</v>
      </c>
      <c r="AF71" s="74" t="str">
        <f t="shared" si="12"/>
        <v>"C:\Program Files (x86)\AstroGrep\AstroGrep.exe" /e /r /s /spath="%USERPROFILE%\AppData\Local\Temp\OnboardLogs" /stypes="app*4012*20170811*" /stext=" 17:.+((SYSTEM_STATE.+slice.+state.+changed )|(ment ac)|(multiple cpu faults)|(system.+state.+changed )|(\[timeout)|(PRM\|1\|D)|(kpr)|(kdp)|(train st.+moving)|(\|lc)|(penalty))"</v>
      </c>
      <c r="AG71" s="209" t="str">
        <f t="shared" si="48"/>
        <v>EC</v>
      </c>
      <c r="AH71" s="78" t="str">
        <f t="shared" si="49"/>
        <v>"%USERPROFILE%\Documents\GitHub\eaglep3\Utilities\RefineRTDCRunTimes.py" --tripid 157-11 --locoid 4012 --swversion DE.1.0.9.0 --startMP 204:464 --initTime 2017-08-11T10:24:01 --startdatetime 2017-08-11T10:45:48 --delay 1 --endMP 204:233308 --enddatetime 2017-08-11T11:21:42 --enforcementcount 0 &gt;&gt;C:\Users\stu\Documents\GitHub\eaglep3-reporting\EC\2017-08-11-refined-times.txt</v>
      </c>
      <c r="AI71" s="96" t="str">
        <f t="shared" si="50"/>
        <v>echo {"issue":{"subject":"","project_id":79,"tracker_id":40,"status_id":1,"priority_id":2,"assigned_to_id":23,"start_date":"2017-08-11","description":"","custom_fields":[{"id":1,"name":"Subdivision","value":"EC"},{"id":4,"name":"Milepost","value":"23.3308"},{"id":17,"name":"Train ID","value":"157-11"},{"id":16,"name":"Locomotive ID","value":"4012"},{"id":130,"name":"Impact","value":""},{"id":150,"name":"Time of Event (Mountain Time)","value":"11:21:42"},{"id":151,"name":"Denver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51"/>
        <v>start /low /b %USERPROFILE%\Documents\GitHub\eaglep3\Utilities\DownloadLogsFromS3.py --loco 4012 --day 2017-08-11</v>
      </c>
      <c r="AN71" s="151" t="str">
        <f t="shared" si="52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17:21:42"},{"id":29,"name":"Sharepoint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0"/>
      <c r="BP71" s="20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0"/>
      <c r="CD71" s="20"/>
      <c r="CE71" s="20"/>
      <c r="CF71" s="20"/>
      <c r="CG71" s="20"/>
      <c r="CH71" s="20"/>
      <c r="CI71" s="20"/>
      <c r="CJ71" s="20"/>
      <c r="CK71" s="20"/>
      <c r="CL71" s="20"/>
      <c r="CM71" s="20"/>
    </row>
    <row r="72" spans="1:91" s="1" customFormat="1" x14ac:dyDescent="0.25">
      <c r="A72" s="32" t="s">
        <v>745</v>
      </c>
      <c r="B72" s="7">
        <v>4011</v>
      </c>
      <c r="C72" s="21" t="s">
        <v>198</v>
      </c>
      <c r="D72" s="21" t="s">
        <v>899</v>
      </c>
      <c r="E72" s="13">
        <v>42958.480914351851</v>
      </c>
      <c r="F72" s="13">
        <v>42958.487696759257</v>
      </c>
      <c r="G72" s="7">
        <v>1</v>
      </c>
      <c r="H72" s="21" t="s">
        <v>453</v>
      </c>
      <c r="I72" s="13">
        <v>42958.514502314814</v>
      </c>
      <c r="J72" s="7">
        <v>0</v>
      </c>
      <c r="K72" s="89" t="str">
        <f t="shared" ref="K72:K84" si="55">IF(ISEVEN(B72),(B72-1)&amp;"/"&amp;B72,B72&amp;"/"&amp;(B72+1))</f>
        <v>4011/4012</v>
      </c>
      <c r="L72" s="21" t="str">
        <f>VLOOKUP(A72,'Trips&amp;Operators'!$C$1:$G$99999,5,FALSE)</f>
        <v>SULLIVAN BRANDON</v>
      </c>
      <c r="M72" s="6">
        <f t="shared" ref="M72:M84" si="56">I72-F72</f>
        <v>2.6805555557075422E-2</v>
      </c>
      <c r="N72" s="7">
        <f t="shared" ref="N72:N84" si="57">24*60*SUM($M72:$M72)</f>
        <v>38.600000002188608</v>
      </c>
      <c r="O72" s="7"/>
      <c r="P72" s="7"/>
      <c r="Q72" s="22"/>
      <c r="R72" s="170"/>
      <c r="S72" s="213">
        <f t="shared" ref="S72:S84" si="58">1/IF(AG72="EC",12,1)*SUM(U72:U72)</f>
        <v>1</v>
      </c>
      <c r="T72" s="195" t="str">
        <f t="shared" ref="T72:T84" si="59">IF(ISEVEN(LEFT(AD72,4)),"Southbound","NorthBound")</f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-08-11T10:32:31-0600',mode:absolute,to:'2017-08-11T13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2" s="197" t="str">
        <f>IF(AA72&lt;VLOOKUP(AG72,Variables!$AC$3:$AD$8,2,FALSE),"Y","N")</f>
        <v>N</v>
      </c>
      <c r="X72" s="197">
        <f t="shared" si="45"/>
        <v>1</v>
      </c>
      <c r="Y72" s="197">
        <f>RIGHT(D72,LEN(D72)-4)/10000</f>
        <v>23.304400000000001</v>
      </c>
      <c r="Z72" s="197">
        <f>RIGHT(H72,LEN(H72)-4)/10000</f>
        <v>1.61E-2</v>
      </c>
      <c r="AA72" s="197">
        <f t="shared" ref="AA72:AA84" si="60">ABS(Z72-Y72)</f>
        <v>23.2883</v>
      </c>
      <c r="AB72" s="54" t="e">
        <f>VLOOKUP(A72,Enforcements!$C$7:$K$12,8,0)</f>
        <v>#N/A</v>
      </c>
      <c r="AC72" s="51" t="e">
        <f>VLOOKUP(A72,Enforcements!$C$7:$E$12,3,0)</f>
        <v>#N/A</v>
      </c>
      <c r="AD72" s="206">
        <f t="shared" ref="AD72:AD84" si="61">VALUE(LEFT(A72,LEN(A72)-3))</f>
        <v>158</v>
      </c>
      <c r="AE72" s="77" t="str">
        <f t="shared" si="11"/>
        <v>aws s3 cp s3://rtdc.mdm.uploadarchive.raw/RTDC4011/ "%USERPROFILE%\AppData\Local\Temp\OnboardLogs"\RTDC4011\2017-08-11 --exclude "*" --recursive --include "*20170811*" &amp; "%USERPROFILE%\Documents\GitHub\mrs-test-scripts\Headless Mode &amp; Sideloading\WalkAndUnGZ.bat" "%USERPROFILE%\AppData\Local\Temp\OnboardLogs"\RTDC4011\2017-08-11 &amp; aws s3 cp s3://rtdc.mdm.uploadarchive.raw/RTDC4011/ "%USERPROFILE%\AppData\Local\Temp\OnboardLogs"\RTDC4011\2017-08-12 --exclude "*" --recursive --include "*20170812*" &amp; "%USERPROFILE%\Documents\GitHub\mrs-test-scripts\Headless Mode &amp; Sideloading\WalkAndUnGZ.bat" "%USERPROFILE%\AppData\Local\Temp\OnboardLogs"\RTDC4011\2017-08-12</v>
      </c>
      <c r="AF72" s="74" t="str">
        <f t="shared" si="12"/>
        <v>"C:\Program Files (x86)\AstroGrep\AstroGrep.exe" /e /r /s /spath="%USERPROFILE%\AppData\Local\Temp\OnboardLogs" /stypes="app*4011*20170811*" /stext=" 18:.+((SYSTEM_STATE.+slice.+state.+changed )|(ment ac)|(multiple cpu faults)|(system.+state.+changed )|(\[timeout)|(PRM\|1\|D)|(kpr)|(kdp)|(train st.+moving)|(\|lc)|(penalty))"</v>
      </c>
      <c r="AG72" s="209" t="str">
        <f t="shared" ref="AG72:AG84" si="62">DetSubdiv(A72)</f>
        <v>EC</v>
      </c>
      <c r="AH72" s="78" t="str">
        <f t="shared" si="18"/>
        <v>"%USERPROFILE%\Documents\GitHub\eaglep3\Utilities\RefineRTDCRunTimes.py" --tripid 158-11 --locoid 4011 --swversion DE.1.0.9.0 --startMP 204:233044 --initTime 2017-08-11T11:32:31 --startdatetime 2017-08-11T11:42:17 --delay 1 --endMP 204:161 --enddatetime 2017-08-11T12:20:53 --enforcementcount 0 &gt;&gt;C:\Users\stu\Documents\GitHub\eaglep3-reporting\EC\2017-08-11-refined-times.txt</v>
      </c>
      <c r="AI72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{"issue":{"subject":"","project_id":79,"tracker_id":40,"status_id":1,"priority_id":2,"assigned_to_id":23,"start_date":"2017-08-11","description":"","custom_fields":[{"id":1,"name":"Subdivision","value":"EC"},{"id":4,"name":"Milepost","value":"0.0161"},{"id":17,"name":"Train ID","value":"158-11"},{"id":16,"name":"Locomotive ID","value":"4011"},{"id":130,"name":"Impact","value":""},{"id":150,"name":"Time of Event (Mountain Time)","value":"12:20:53"},{"id":151,"name":"Denver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4011 --day 2017-08-11</v>
      </c>
      <c r="AN72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18:20:53"},{"id":29,"name":"Sharepoint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735</v>
      </c>
      <c r="B73" s="7">
        <v>4060</v>
      </c>
      <c r="C73" s="21" t="s">
        <v>198</v>
      </c>
      <c r="D73" s="21" t="s">
        <v>1050</v>
      </c>
      <c r="E73" s="13">
        <v>42958.456458333334</v>
      </c>
      <c r="F73" s="13">
        <v>42958.458877314813</v>
      </c>
      <c r="G73" s="7">
        <v>1</v>
      </c>
      <c r="H73" s="21" t="s">
        <v>935</v>
      </c>
      <c r="I73" s="13">
        <v>42958.4843287037</v>
      </c>
      <c r="J73" s="7">
        <v>0</v>
      </c>
      <c r="K73" s="89" t="str">
        <f t="shared" si="55"/>
        <v>4059/4060</v>
      </c>
      <c r="L73" s="21" t="str">
        <f>VLOOKUP(A73,'Trips&amp;Operators'!$C$1:$G$99999,5,FALSE)</f>
        <v>LOZA FIDEL</v>
      </c>
      <c r="M73" s="6">
        <f t="shared" si="56"/>
        <v>2.545138888672227E-2</v>
      </c>
      <c r="N73" s="7">
        <f t="shared" si="57"/>
        <v>36.649999996880069</v>
      </c>
      <c r="O73" s="7"/>
      <c r="P73" s="7"/>
      <c r="Q73" s="22"/>
      <c r="R73" s="170"/>
      <c r="S73" s="213">
        <f t="shared" si="58"/>
        <v>1</v>
      </c>
      <c r="T73" s="195" t="str">
        <f t="shared" si="59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-08-11T09:57:18-0600',mode:absolute,to:'2017-08-11T12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3" s="197" t="str">
        <f>IF(AA73&lt;VLOOKUP(AG73,Variables!$AC$3:$AD$8,2,FALSE),"Y","N")</f>
        <v>N</v>
      </c>
      <c r="X73" s="197">
        <f>VALUE(LEFT(AD73,4))-VALUE(LEFT(AD72,4))</f>
        <v>1</v>
      </c>
      <c r="Y73" s="197">
        <f>RIGHT(D73,LEN(D73)-4)/10000</f>
        <v>4.3299999999999998E-2</v>
      </c>
      <c r="Z73" s="197">
        <f>RIGHT(H73,LEN(H73)-4)/10000</f>
        <v>23.341200000000001</v>
      </c>
      <c r="AA73" s="197">
        <f t="shared" si="60"/>
        <v>23.297900000000002</v>
      </c>
      <c r="AB73" s="54" t="e">
        <f>VLOOKUP(A73,Enforcements!$C$7:$K$12,8,0)</f>
        <v>#N/A</v>
      </c>
      <c r="AC73" s="51" t="e">
        <f>VLOOKUP(A73,Enforcements!$C$7:$E$12,3,0)</f>
        <v>#N/A</v>
      </c>
      <c r="AD73" s="206">
        <f t="shared" si="61"/>
        <v>159</v>
      </c>
      <c r="AE73" s="77" t="str">
        <f t="shared" si="11"/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AF73" s="74" t="str">
        <f t="shared" si="12"/>
        <v>"C:\Program Files (x86)\AstroGrep\AstroGrep.exe" /e /r /s /spath="%USERPROFILE%\AppData\Local\Temp\OnboardLogs" /stypes="app*4060*20170811*" /stext=" 17:.+((SYSTEM_STATE.+slice.+state.+changed )|(ment ac)|(multiple cpu faults)|(system.+state.+changed )|(\[timeout)|(PRM\|1\|D)|(kpr)|(kdp)|(train st.+moving)|(\|lc)|(penalty))"</v>
      </c>
      <c r="AG73" s="209" t="str">
        <f t="shared" si="62"/>
        <v>EC</v>
      </c>
      <c r="AH73" s="78" t="str">
        <f t="shared" si="18"/>
        <v>"%USERPROFILE%\Documents\GitHub\eaglep3\Utilities\RefineRTDCRunTimes.py" --tripid 159-11 --locoid 4060 --swversion DE.1.0.9.0 --startMP 204:433 --initTime 2017-08-11T10:57:18 --startdatetime 2017-08-11T11:00:47 --delay 1 --endMP 204:233412 --enddatetime 2017-08-11T11:37:26 --enforcementcount 0 &gt;&gt;C:\Users\stu\Documents\GitHub\eaglep3-reporting\EC\2017-08-11-refined-times.txt</v>
      </c>
      <c r="AI73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{"issue":{"subject":"","project_id":79,"tracker_id":40,"status_id":1,"priority_id":2,"assigned_to_id":23,"start_date":"2017-08-11","description":"","custom_fields":[{"id":1,"name":"Subdivision","value":"EC"},{"id":4,"name":"Milepost","value":"23.3412"},{"id":17,"name":"Train ID","value":"159-11"},{"id":16,"name":"Locomotive ID","value":"4060"},{"id":130,"name":"Impact","value":""},{"id":150,"name":"Time of Event (Mountain Time)","value":"11:37:26"},{"id":151,"name":"Denver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4060 --day 2017-08-11</v>
      </c>
      <c r="AN73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17:37:26"},{"id":29,"name":"Sharepoint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748</v>
      </c>
      <c r="B74" s="7">
        <v>4059</v>
      </c>
      <c r="C74" s="21" t="s">
        <v>198</v>
      </c>
      <c r="D74" s="21" t="s">
        <v>575</v>
      </c>
      <c r="E74" s="13">
        <v>42958.487326388888</v>
      </c>
      <c r="F74" s="13">
        <v>42958.498206018521</v>
      </c>
      <c r="G74" s="7">
        <v>1</v>
      </c>
      <c r="H74" s="21" t="s">
        <v>343</v>
      </c>
      <c r="I74" s="13">
        <v>42958.524965277778</v>
      </c>
      <c r="J74" s="7">
        <v>0</v>
      </c>
      <c r="K74" s="89" t="str">
        <f t="shared" si="55"/>
        <v>4059/4060</v>
      </c>
      <c r="L74" s="21" t="str">
        <f>VLOOKUP(A74,'Trips&amp;Operators'!$C$1:$G$99999,5,FALSE)</f>
        <v>LOZA FIDEL</v>
      </c>
      <c r="M74" s="6">
        <f t="shared" si="56"/>
        <v>2.675925925723277E-2</v>
      </c>
      <c r="N74" s="7">
        <f t="shared" si="57"/>
        <v>38.533333330415189</v>
      </c>
      <c r="O74" s="7"/>
      <c r="P74" s="7"/>
      <c r="Q74" s="22"/>
      <c r="R74" s="170"/>
      <c r="S74" s="213">
        <f t="shared" si="58"/>
        <v>1</v>
      </c>
      <c r="T74" s="195" t="str">
        <f t="shared" si="59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-08-11T10:41:45-0600',mode:absolute,to:'2017-08-11T13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4" s="197" t="str">
        <f>IF(AA74&lt;VLOOKUP(AG74,Variables!$AC$3:$AD$8,2,FALSE),"Y","N")</f>
        <v>N</v>
      </c>
      <c r="X74" s="197">
        <f>VALUE(LEFT(AD74,4))-VALUE(LEFT(AD73,4))</f>
        <v>1</v>
      </c>
      <c r="Y74" s="197">
        <f>RIGHT(D74,LEN(D74)-4)/10000</f>
        <v>23.308499999999999</v>
      </c>
      <c r="Z74" s="197">
        <f>RIGHT(H74,LEN(H74)-4)/10000</f>
        <v>1.43E-2</v>
      </c>
      <c r="AA74" s="197">
        <f t="shared" si="60"/>
        <v>23.2942</v>
      </c>
      <c r="AB74" s="54" t="e">
        <f>VLOOKUP(A74,Enforcements!$C$7:$K$12,8,0)</f>
        <v>#N/A</v>
      </c>
      <c r="AC74" s="51" t="e">
        <f>VLOOKUP(A74,Enforcements!$C$7:$E$12,3,0)</f>
        <v>#N/A</v>
      </c>
      <c r="AD74" s="206">
        <f t="shared" si="61"/>
        <v>160</v>
      </c>
      <c r="AE74" s="77" t="str">
        <f t="shared" si="11"/>
        <v>aws s3 cp s3://rtdc.mdm.uploadarchive.raw/RTDC4059/ "%USERPROFILE%\AppData\Local\Temp\OnboardLogs"\RTDC4059\2017-08-11 --exclude "*" --recursive --include "*20170811*" &amp; "%USERPROFILE%\Documents\GitHub\mrs-test-scripts\Headless Mode &amp; Sideloading\WalkAndUnGZ.bat" "%USERPROFILE%\AppData\Local\Temp\OnboardLogs"\RTDC4059\2017-08-11 &amp; aws s3 cp s3://rtdc.mdm.uploadarchive.raw/RTDC4059/ "%USERPROFILE%\AppData\Local\Temp\OnboardLogs"\RTDC4059\2017-08-12 --exclude "*" --recursive --include "*20170812*" &amp; "%USERPROFILE%\Documents\GitHub\mrs-test-scripts\Headless Mode &amp; Sideloading\WalkAndUnGZ.bat" "%USERPROFILE%\AppData\Local\Temp\OnboardLogs"\RTDC4059\2017-08-12</v>
      </c>
      <c r="AF74" s="74" t="str">
        <f t="shared" si="12"/>
        <v>"C:\Program Files (x86)\AstroGrep\AstroGrep.exe" /e /r /s /spath="%USERPROFILE%\AppData\Local\Temp\OnboardLogs" /stypes="app*4059*20170811*" /stext=" 18:.+((SYSTEM_STATE.+slice.+state.+changed )|(ment ac)|(multiple cpu faults)|(system.+state.+changed )|(\[timeout)|(PRM\|1\|D)|(kpr)|(kdp)|(train st.+moving)|(\|lc)|(penalty))"</v>
      </c>
      <c r="AG74" s="209" t="str">
        <f t="shared" si="62"/>
        <v>EC</v>
      </c>
      <c r="AH74" s="78" t="str">
        <f t="shared" si="18"/>
        <v>"%USERPROFILE%\Documents\GitHub\eaglep3\Utilities\RefineRTDCRunTimes.py" --tripid 160-11 --locoid 4059 --swversion DE.1.0.9.0 --startMP 204:233085 --initTime 2017-08-11T11:41:45 --startdatetime 2017-08-11T11:57:25 --delay 1 --endMP 204:143 --enddatetime 2017-08-11T12:35:57 --enforcementcount 0 &gt;&gt;C:\Users\stu\Documents\GitHub\eaglep3-reporting\EC\2017-08-11-refined-times.txt</v>
      </c>
      <c r="AI74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{"issue":{"subject":"","project_id":79,"tracker_id":40,"status_id":1,"priority_id":2,"assigned_to_id":23,"start_date":"2017-08-11","description":"","custom_fields":[{"id":1,"name":"Subdivision","value":"EC"},{"id":4,"name":"Milepost","value":"0.0143"},{"id":17,"name":"Train ID","value":"160-11"},{"id":16,"name":"Locomotive ID","value":"4059"},{"id":130,"name":"Impact","value":""},{"id":150,"name":"Time of Event (Mountain Time)","value":"12:35:57"},{"id":151,"name":"Denver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4059 --day 2017-08-11</v>
      </c>
      <c r="AN74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18:35:57"},{"id":29,"name":"Sharepoint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737</v>
      </c>
      <c r="B75" s="7">
        <v>4066</v>
      </c>
      <c r="C75" s="21" t="s">
        <v>198</v>
      </c>
      <c r="D75" s="21" t="s">
        <v>575</v>
      </c>
      <c r="E75" s="13">
        <v>42958.487326388888</v>
      </c>
      <c r="F75" s="13">
        <v>42958.469675925924</v>
      </c>
      <c r="G75" s="7">
        <v>1</v>
      </c>
      <c r="H75" s="21" t="s">
        <v>343</v>
      </c>
      <c r="I75" s="13">
        <v>42958.495428240742</v>
      </c>
      <c r="J75" s="7">
        <v>0</v>
      </c>
      <c r="K75" s="89" t="str">
        <f t="shared" si="55"/>
        <v>4065/4066</v>
      </c>
      <c r="L75" s="21" t="str">
        <f>VLOOKUP(A75,'Trips&amp;Operators'!$C$1:$G$99999,5,FALSE)</f>
        <v>THOMPSON LESTER</v>
      </c>
      <c r="M75" s="6">
        <f t="shared" si="56"/>
        <v>2.5752314817509614E-2</v>
      </c>
      <c r="N75" s="7">
        <f t="shared" si="57"/>
        <v>37.083333337213844</v>
      </c>
      <c r="O75" s="7"/>
      <c r="P75" s="7"/>
      <c r="Q75" s="22"/>
      <c r="R75" s="170"/>
      <c r="S75" s="213">
        <f t="shared" si="58"/>
        <v>1</v>
      </c>
      <c r="T75" s="195" t="str">
        <f t="shared" si="59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-08-11T10:41:45-0600',mode:absolute,to:'2017-08-11T12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5" s="197" t="str">
        <f>IF(AA75&lt;VLOOKUP(AG75,Variables!$AC$3:$AD$8,2,FALSE),"Y","N")</f>
        <v>N</v>
      </c>
      <c r="X75" s="197">
        <f t="shared" ref="X75:X78" si="63">VALUE(LEFT(AD75,4))-VALUE(LEFT(AD74,4))</f>
        <v>1</v>
      </c>
      <c r="Y75" s="197">
        <v>4.3299999999999998E-2</v>
      </c>
      <c r="Z75" s="197">
        <v>23.341200000000001</v>
      </c>
      <c r="AA75" s="197">
        <f t="shared" si="60"/>
        <v>23.297900000000002</v>
      </c>
      <c r="AB75" s="54" t="e">
        <f>VLOOKUP(A75,Enforcements!$C$7:$K$12,8,0)</f>
        <v>#N/A</v>
      </c>
      <c r="AC75" s="51" t="e">
        <f>VLOOKUP(A75,Enforcements!$C$7:$E$12,3,0)</f>
        <v>#N/A</v>
      </c>
      <c r="AD75" s="206">
        <f t="shared" si="61"/>
        <v>161</v>
      </c>
      <c r="AE75" s="77" t="str">
        <f t="shared" si="11"/>
        <v>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 &amp; aws s3 cp s3://rtdc.mdm.uploadarchive.raw/RTDC4066/ "%USERPROFILE%\AppData\Local\Temp\OnboardLogs"\RTDC4066\2017-08-12 --exclude "*" --recursive --include "*20170812*" &amp; "%USERPROFILE%\Documents\GitHub\mrs-test-scripts\Headless Mode &amp; Sideloading\WalkAndUnGZ.bat" "%USERPROFILE%\AppData\Local\Temp\OnboardLogs"\RTDC4066\2017-08-12</v>
      </c>
      <c r="AF75" s="74" t="str">
        <f t="shared" si="12"/>
        <v>"C:\Program Files (x86)\AstroGrep\AstroGrep.exe" /e /r /s /spath="%USERPROFILE%\AppData\Local\Temp\OnboardLogs" /stypes="app*4066*20170811*" /stext=" 17:.+((SYSTEM_STATE.+slice.+state.+changed )|(ment ac)|(multiple cpu faults)|(system.+state.+changed )|(\[timeout)|(PRM\|1\|D)|(kpr)|(kdp)|(train st.+moving)|(\|lc)|(penalty))"</v>
      </c>
      <c r="AG75" s="209" t="str">
        <f t="shared" si="62"/>
        <v>EC</v>
      </c>
      <c r="AH75" s="78" t="str">
        <f t="shared" ref="AH75" si="64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161-11 --locoid 4066 --swversion DE.1.0.9.0 --startMP 204:233085 --initTime 2017-08-11T11:41:45 --startdatetime 2017-08-11T11:16:20 --delay 1 --endMP 204:143 --enddatetime 2017-08-11T11:53:25 --enforcementcount 0 &gt;&gt;C:\Users\stu\Documents\GitHub\eaglep3-reporting\EC\2017-08-11-refined-times.txt</v>
      </c>
      <c r="AI75" s="96" t="str">
        <f t="shared" ref="AI75" si="65"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Z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{"issue":{"subject":"","project_id":79,"tracker_id":40,"status_id":1,"priority_id":2,"assigned_to_id":23,"start_date":"2017-08-11","description":"","custom_fields":[{"id":1,"name":"Subdivision","value":"EC"},{"id":4,"name":"Milepost","value":"23.3412"},{"id":17,"name":"Train ID","value":"161-11"},{"id":16,"name":"Locomotive ID","value":"4066"},{"id":130,"name":"Impact","value":""},{"id":150,"name":"Time of Event (Mountain Time)","value":"11:53:25"},{"id":151,"name":"Denver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ref="AM75" si="66">"start /low /b "&amp;dls3logs&amp;" --loco "&amp;B75&amp;" --day "&amp;TEXT(F75,"YYYY-MM-DD")</f>
        <v>start /low /b %USERPROFILE%\Documents\GitHub\eaglep3\Utilities\DownloadLogsFromS3.py --loco 4066 --day 2017-08-11</v>
      </c>
      <c r="AN75" s="151" t="str">
        <f t="shared" ref="AN75" si="67">"echo {""issue"":{""subject"":"""&amp;R75&amp;""",""project_id"":30,""tracker_id"":4,""status_id"":"&amp;redmine_status_wcr&amp;",""priority_id"":"&amp;redmine_priority_wcr&amp;",""assigned_to_id"":"&amp;redmine_assignee_wcr&amp;",""start_date"":"""&amp;TEXT(I75-utc_offset/24,"YYYY-mm-dd")&amp;""",""description"":"""&amp;AJ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17:53:25"},{"id":29,"name":"Sharepoint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0"/>
      <c r="BP75" s="20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0"/>
      <c r="CD75" s="20"/>
      <c r="CE75" s="20"/>
      <c r="CF75" s="20"/>
      <c r="CG75" s="20"/>
      <c r="CH75" s="20"/>
      <c r="CI75" s="20"/>
      <c r="CJ75" s="20"/>
      <c r="CK75" s="20"/>
      <c r="CL75" s="20"/>
      <c r="CM75" s="20"/>
    </row>
    <row r="76" spans="1:91" s="1" customFormat="1" x14ac:dyDescent="0.25">
      <c r="A76" s="32" t="s">
        <v>751</v>
      </c>
      <c r="B76" s="7">
        <v>4065</v>
      </c>
      <c r="C76" s="21" t="s">
        <v>198</v>
      </c>
      <c r="D76" s="21" t="s">
        <v>900</v>
      </c>
      <c r="E76" s="13">
        <v>42958.505462962959</v>
      </c>
      <c r="F76" s="13">
        <v>42958.508518518516</v>
      </c>
      <c r="G76" s="7">
        <v>1</v>
      </c>
      <c r="H76" s="21" t="s">
        <v>350</v>
      </c>
      <c r="I76" s="13">
        <v>42958.536261574074</v>
      </c>
      <c r="J76" s="7">
        <v>0</v>
      </c>
      <c r="K76" s="89" t="str">
        <f t="shared" si="55"/>
        <v>4065/4066</v>
      </c>
      <c r="L76" s="21" t="str">
        <f>VLOOKUP(A76,'Trips&amp;Operators'!$C$1:$G$99999,5,FALSE)</f>
        <v>THOMPSON LESTER</v>
      </c>
      <c r="M76" s="6">
        <f t="shared" si="56"/>
        <v>2.7743055557948537E-2</v>
      </c>
      <c r="N76" s="7">
        <f t="shared" si="57"/>
        <v>39.950000003445894</v>
      </c>
      <c r="O76" s="7"/>
      <c r="P76" s="7"/>
      <c r="Q76" s="22"/>
      <c r="R76" s="170"/>
      <c r="S76" s="213">
        <f t="shared" si="58"/>
        <v>1</v>
      </c>
      <c r="T76" s="195" t="str">
        <f t="shared" si="59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-08-11T11:07:52-0600',mode:absolute,to:'2017-08-11T13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6" s="197" t="str">
        <f>IF(AA76&lt;VLOOKUP(AG76,Variables!$AC$3:$AD$8,2,FALSE),"Y","N")</f>
        <v>N</v>
      </c>
      <c r="X76" s="197">
        <f t="shared" si="63"/>
        <v>1</v>
      </c>
      <c r="Y76" s="197">
        <f t="shared" ref="Y76:Y81" si="68">RIGHT(D76,LEN(D76)-4)/10000</f>
        <v>23.307400000000001</v>
      </c>
      <c r="Z76" s="197">
        <f t="shared" ref="Z76:Z84" si="69">RIGHT(H76,LEN(H76)-4)/10000</f>
        <v>1.47E-2</v>
      </c>
      <c r="AA76" s="197">
        <f t="shared" si="60"/>
        <v>23.2927</v>
      </c>
      <c r="AB76" s="54" t="e">
        <f>VLOOKUP(A76,Enforcements!$C$7:$K$12,8,0)</f>
        <v>#N/A</v>
      </c>
      <c r="AC76" s="51" t="e">
        <f>VLOOKUP(A76,Enforcements!$C$7:$E$12,3,0)</f>
        <v>#N/A</v>
      </c>
      <c r="AD76" s="206">
        <f t="shared" si="61"/>
        <v>162</v>
      </c>
      <c r="AE76" s="77" t="str">
        <f t="shared" si="11"/>
        <v>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 &amp; aws s3 cp s3://rtdc.mdm.uploadarchive.raw/RTDC4065/ "%USERPROFILE%\AppData\Local\Temp\OnboardLogs"\RTDC4065\2017-08-12 --exclude "*" --recursive --include "*20170812*" &amp; "%USERPROFILE%\Documents\GitHub\mrs-test-scripts\Headless Mode &amp; Sideloading\WalkAndUnGZ.bat" "%USERPROFILE%\AppData\Local\Temp\OnboardLogs"\RTDC4065\2017-08-12</v>
      </c>
      <c r="AF76" s="74" t="str">
        <f t="shared" si="12"/>
        <v>"C:\Program Files (x86)\AstroGrep\AstroGrep.exe" /e /r /s /spath="%USERPROFILE%\AppData\Local\Temp\OnboardLogs" /stypes="app*4065*20170811*" /stext=" 18:.+((SYSTEM_STATE.+slice.+state.+changed )|(ment ac)|(multiple cpu faults)|(system.+state.+changed )|(\[timeout)|(PRM\|1\|D)|(kpr)|(kdp)|(train st.+moving)|(\|lc)|(penalty))"</v>
      </c>
      <c r="AG76" s="209" t="str">
        <f t="shared" si="62"/>
        <v>EC</v>
      </c>
      <c r="AH76" s="78" t="str">
        <f t="shared" si="18"/>
        <v>"%USERPROFILE%\Documents\GitHub\eaglep3\Utilities\RefineRTDCRunTimes.py" --tripid 162-11 --locoid 4065 --swversion DE.1.0.9.0 --startMP 204:233074 --initTime 2017-08-11T12:07:52 --startdatetime 2017-08-11T12:12:16 --delay 1 --endMP 204:147 --enddatetime 2017-08-11T12:52:13 --enforcementcount 0 &gt;&gt;C:\Users\stu\Documents\GitHub\eaglep3-reporting\EC\2017-08-11-refined-times.txt</v>
      </c>
      <c r="AI76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{"issue":{"subject":"","project_id":79,"tracker_id":40,"status_id":1,"priority_id":2,"assigned_to_id":23,"start_date":"2017-08-11","description":"","custom_fields":[{"id":1,"name":"Subdivision","value":"EC"},{"id":4,"name":"Milepost","value":"0.0147"},{"id":17,"name":"Train ID","value":"162-11"},{"id":16,"name":"Locomotive ID","value":"4065"},{"id":130,"name":"Impact","value":""},{"id":150,"name":"Time of Event (Mountain Time)","value":"12:52:13"},{"id":151,"name":"Denver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4065 --day 2017-08-11</v>
      </c>
      <c r="AN76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18:52:13"},{"id":29,"name":"Sharepoint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740</v>
      </c>
      <c r="B77" s="7">
        <v>4020</v>
      </c>
      <c r="C77" s="21" t="s">
        <v>198</v>
      </c>
      <c r="D77" s="21" t="s">
        <v>434</v>
      </c>
      <c r="E77" s="13">
        <v>42958.475162037037</v>
      </c>
      <c r="F77" s="13">
        <v>42958.479872685188</v>
      </c>
      <c r="G77" s="7">
        <v>1</v>
      </c>
      <c r="H77" s="21" t="s">
        <v>884</v>
      </c>
      <c r="I77" s="13">
        <v>42958.505231481482</v>
      </c>
      <c r="J77" s="7">
        <v>0</v>
      </c>
      <c r="K77" s="89" t="str">
        <f t="shared" si="55"/>
        <v>4019/4020</v>
      </c>
      <c r="L77" s="21" t="str">
        <f>VLOOKUP(A77,'Trips&amp;Operators'!$C$1:$G$99999,5,FALSE)</f>
        <v>STEWART MICHAEL</v>
      </c>
      <c r="M77" s="6">
        <f t="shared" si="56"/>
        <v>2.5358796294312924E-2</v>
      </c>
      <c r="N77" s="7">
        <f t="shared" si="57"/>
        <v>36.516666663810611</v>
      </c>
      <c r="O77" s="7"/>
      <c r="P77" s="7"/>
      <c r="Q77" s="22"/>
      <c r="R77" s="170"/>
      <c r="S77" s="213">
        <f t="shared" si="58"/>
        <v>1</v>
      </c>
      <c r="T77" s="195" t="str">
        <f t="shared" si="59"/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7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-11T10:24:14-0600',mode:absolute,to:'2017-08-11T13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7" s="197" t="str">
        <f>IF(AA77&lt;VLOOKUP(AG77,Variables!$AC$3:$AD$8,2,FALSE),"Y","N")</f>
        <v>N</v>
      </c>
      <c r="X77" s="197">
        <f t="shared" si="63"/>
        <v>1</v>
      </c>
      <c r="Y77" s="197">
        <f t="shared" si="68"/>
        <v>4.4900000000000002E-2</v>
      </c>
      <c r="Z77" s="197">
        <f t="shared" si="69"/>
        <v>23.33</v>
      </c>
      <c r="AA77" s="197">
        <f t="shared" si="60"/>
        <v>23.2851</v>
      </c>
      <c r="AB77" s="54" t="e">
        <f>VLOOKUP(A77,Enforcements!$C$7:$K$12,8,0)</f>
        <v>#N/A</v>
      </c>
      <c r="AC77" s="51" t="e">
        <f>VLOOKUP(A77,Enforcements!$C$7:$E$12,3,0)</f>
        <v>#N/A</v>
      </c>
      <c r="AD77" s="206">
        <f t="shared" si="61"/>
        <v>163</v>
      </c>
      <c r="AE77" s="77" t="str">
        <f t="shared" ref="AE77:AE140" si="7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s3://rtdc.mdm.uploadarchive.raw/RTDC4020/ "%USERPROFILE%\AppData\Local\Temp\OnboardLogs"\RTDC4020\2017-08-11 --exclude "*" --recursive --include "*20170811*" &amp; "%USERPROFILE%\Documents\GitHub\mrs-test-scripts\Headless Mode &amp; Sideloading\WalkAndUnGZ.bat" "%USERPROFILE%\AppData\Local\Temp\OnboardLogs"\RTDC4020\2017-08-11 &amp; aws s3 cp s3://rtdc.mdm.uploadarchive.raw/RTDC4020/ "%USERPROFILE%\AppData\Local\Temp\OnboardLogs"\RTDC4020\2017-08-12 --exclude "*" --recursive --include "*20170812*" &amp; "%USERPROFILE%\Documents\GitHub\mrs-test-scripts\Headless Mode &amp; Sideloading\WalkAndUnGZ.bat" "%USERPROFILE%\AppData\Local\Temp\OnboardLogs"\RTDC4020\2017-08-12</v>
      </c>
      <c r="AF77" s="74" t="str">
        <f t="shared" ref="AF77:AF140" si="72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/stypes="app*4020*20170811*" /stext=" 18:.+((SYSTEM_STATE.+slice.+state.+changed )|(ment ac)|(multiple cpu faults)|(system.+state.+changed )|(\[timeout)|(PRM\|1\|D)|(kpr)|(kdp)|(train st.+moving)|(\|lc)|(penalty))"</v>
      </c>
      <c r="AG77" s="209" t="str">
        <f t="shared" si="62"/>
        <v>EC</v>
      </c>
      <c r="AH77" s="78" t="str">
        <f t="shared" si="18"/>
        <v>"%USERPROFILE%\Documents\GitHub\eaglep3\Utilities\RefineRTDCRunTimes.py" --tripid 163-11 --locoid 4020 --swversion DE.1.0.9.0 --startMP 204:449 --initTime 2017-08-11T11:24:14 --startdatetime 2017-08-11T11:31:01 --delay 1 --endMP 204:233300 --enddatetime 2017-08-11T12:07:32 --enforcementcount 0 &gt;&gt;C:\Users\stu\Documents\GitHub\eaglep3-reporting\EC\2017-08-11-refined-times.txt</v>
      </c>
      <c r="AI77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{"issue":{"subject":"","project_id":79,"tracker_id":40,"status_id":1,"priority_id":2,"assigned_to_id":23,"start_date":"2017-08-11","description":"","custom_fields":[{"id":1,"name":"Subdivision","value":"EC"},{"id":4,"name":"Milepost","value":"23.33"},{"id":17,"name":"Train ID","value":"163-11"},{"id":16,"name":"Locomotive ID","value":"4020"},{"id":130,"name":"Impact","value":""},{"id":150,"name":"Time of Event (Mountain Time)","value":"12:07:32"},{"id":151,"name":"Denver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4020 --day 2017-08-11</v>
      </c>
      <c r="AN77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18:07:32"},{"id":29,"name":"Sharepoint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754</v>
      </c>
      <c r="B78" s="7">
        <v>4019</v>
      </c>
      <c r="C78" s="21" t="s">
        <v>198</v>
      </c>
      <c r="D78" s="21" t="s">
        <v>901</v>
      </c>
      <c r="E78" s="13">
        <v>42958.516203703701</v>
      </c>
      <c r="F78" s="13">
        <v>42958.51898148148</v>
      </c>
      <c r="G78" s="7">
        <v>1</v>
      </c>
      <c r="H78" s="21" t="s">
        <v>350</v>
      </c>
      <c r="I78" s="13">
        <v>42958.547199074077</v>
      </c>
      <c r="J78" s="7">
        <v>0</v>
      </c>
      <c r="K78" s="89" t="str">
        <f t="shared" si="55"/>
        <v>4019/4020</v>
      </c>
      <c r="L78" s="21" t="str">
        <f>VLOOKUP(A78,'Trips&amp;Operators'!$C$1:$G$99999,5,FALSE)</f>
        <v>STEWART MICHAEL</v>
      </c>
      <c r="M78" s="6">
        <f t="shared" si="56"/>
        <v>2.8217592596774921E-2</v>
      </c>
      <c r="N78" s="7">
        <f t="shared" si="57"/>
        <v>40.633333339355886</v>
      </c>
      <c r="O78" s="7"/>
      <c r="P78" s="7"/>
      <c r="Q78" s="22"/>
      <c r="R78" s="170"/>
      <c r="S78" s="213">
        <f t="shared" si="58"/>
        <v>1</v>
      </c>
      <c r="T78" s="195" t="str">
        <f t="shared" si="59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70"/>
        <v>https://d0f6bd738d7f1b3e5a7ca70fe4ff75f0.us-east-1.aws.found.io/app/kibana#/discover/Steve-Slow-Train-Analysis-(2080s-and-2083s)?_g=(refreshInterval:(display:Off,pause:!f,section:0,value:0),time:(from:'2017-08-11T11:23:20-0600',mode:absolute,to:'2017-08-11T14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8" s="197" t="str">
        <f>IF(AA78&lt;VLOOKUP(AG78,Variables!$AC$3:$AD$8,2,FALSE),"Y","N")</f>
        <v>N</v>
      </c>
      <c r="X78" s="197">
        <f t="shared" si="63"/>
        <v>1</v>
      </c>
      <c r="Y78" s="197">
        <f t="shared" si="68"/>
        <v>23.297899999999998</v>
      </c>
      <c r="Z78" s="197">
        <f t="shared" si="69"/>
        <v>1.47E-2</v>
      </c>
      <c r="AA78" s="197">
        <f t="shared" si="60"/>
        <v>23.283199999999997</v>
      </c>
      <c r="AB78" s="54" t="e">
        <f>VLOOKUP(A78,Enforcements!$C$7:$K$12,8,0)</f>
        <v>#N/A</v>
      </c>
      <c r="AC78" s="51" t="e">
        <f>VLOOKUP(A78,Enforcements!$C$7:$E$12,3,0)</f>
        <v>#N/A</v>
      </c>
      <c r="AD78" s="206">
        <f t="shared" si="61"/>
        <v>164</v>
      </c>
      <c r="AE78" s="77" t="str">
        <f t="shared" si="71"/>
        <v>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 &amp; aws s3 cp s3://rtdc.mdm.uploadarchive.raw/RTDC4019/ "%USERPROFILE%\AppData\Local\Temp\OnboardLogs"\RTDC4019\2017-08-12 --exclude "*" --recursive --include "*20170812*" &amp; "%USERPROFILE%\Documents\GitHub\mrs-test-scripts\Headless Mode &amp; Sideloading\WalkAndUnGZ.bat" "%USERPROFILE%\AppData\Local\Temp\OnboardLogs"\RTDC4019\2017-08-12</v>
      </c>
      <c r="AF78" s="74" t="str">
        <f t="shared" si="72"/>
        <v>"C:\Program Files (x86)\AstroGrep\AstroGrep.exe" /e /r /s /spath="%USERPROFILE%\AppData\Local\Temp\OnboardLogs" /stypes="app*4019*20170811*" /stext=" 19:.+((SYSTEM_STATE.+slice.+state.+changed )|(ment ac)|(multiple cpu faults)|(system.+state.+changed )|(\[timeout)|(PRM\|1\|D)|(kpr)|(kdp)|(train st.+moving)|(\|lc)|(penalty))"</v>
      </c>
      <c r="AG78" s="209" t="str">
        <f t="shared" si="62"/>
        <v>EC</v>
      </c>
      <c r="AH78" s="78" t="str">
        <f t="shared" si="18"/>
        <v>"%USERPROFILE%\Documents\GitHub\eaglep3\Utilities\RefineRTDCRunTimes.py" --tripid 164-11 --locoid 4019 --swversion DE.1.0.9.0 --startMP 204:232979 --initTime 2017-08-11T12:23:20 --startdatetime 2017-08-11T12:27:20 --delay 1 --endMP 204:147 --enddatetime 2017-08-11T13:07:58 --enforcementcount 0 &gt;&gt;C:\Users\stu\Documents\GitHub\eaglep3-reporting\EC\2017-08-11-refined-times.txt</v>
      </c>
      <c r="AI78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{"issue":{"subject":"","project_id":79,"tracker_id":40,"status_id":1,"priority_id":2,"assigned_to_id":23,"start_date":"2017-08-11","description":"","custom_fields":[{"id":1,"name":"Subdivision","value":"EC"},{"id":4,"name":"Milepost","value":"0.0147"},{"id":17,"name":"Train ID","value":"164-11"},{"id":16,"name":"Locomotive ID","value":"4019"},{"id":130,"name":"Impact","value":""},{"id":150,"name":"Time of Event (Mountain Time)","value":"13:07:58"},{"id":151,"name":"Denver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20"/>
        <v>start /low /b %USERPROFILE%\Documents\GitHub\eaglep3\Utilities\DownloadLogsFromS3.py --loco 4019 --day 2017-08-11</v>
      </c>
      <c r="AN78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19:07:58"},{"id":29,"name":"Sharepoint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747</v>
      </c>
      <c r="B79" s="7">
        <v>4030</v>
      </c>
      <c r="C79" s="21" t="s">
        <v>198</v>
      </c>
      <c r="D79" s="21" t="s">
        <v>524</v>
      </c>
      <c r="E79" s="13">
        <v>42958.485613425924</v>
      </c>
      <c r="F79" s="13">
        <v>42958.49009259259</v>
      </c>
      <c r="G79" s="7">
        <v>1</v>
      </c>
      <c r="H79" s="21" t="s">
        <v>564</v>
      </c>
      <c r="I79" s="13">
        <v>42958.514861111114</v>
      </c>
      <c r="J79" s="7">
        <v>0</v>
      </c>
      <c r="K79" s="89" t="str">
        <f t="shared" si="55"/>
        <v>4029/4030</v>
      </c>
      <c r="L79" s="21" t="str">
        <f>VLOOKUP(A79,'Trips&amp;Operators'!$C$1:$G$99999,5,FALSE)</f>
        <v>WEST BRYAN</v>
      </c>
      <c r="M79" s="6">
        <f t="shared" si="56"/>
        <v>2.4768518524069805E-2</v>
      </c>
      <c r="N79" s="7">
        <f t="shared" si="57"/>
        <v>35.666666674660519</v>
      </c>
      <c r="O79" s="7"/>
      <c r="P79" s="7"/>
      <c r="Q79" s="22"/>
      <c r="R79" s="170"/>
      <c r="S79" s="213">
        <f t="shared" si="58"/>
        <v>1</v>
      </c>
      <c r="T79" s="195" t="str">
        <f t="shared" si="59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70"/>
        <v>https://d0f6bd738d7f1b3e5a7ca70fe4ff75f0.us-east-1.aws.found.io/app/kibana#/discover/Steve-Slow-Train-Analysis-(2080s-and-2083s)?_g=(refreshInterval:(display:Off,pause:!f,section:0,value:0),time:(from:'2017-08-11T10:39:17-0600',mode:absolute,to:'2017-08-11T13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9" s="197" t="str">
        <f>IF(AA79&lt;VLOOKUP(AG79,Variables!$AC$3:$AD$8,2,FALSE),"Y","N")</f>
        <v>N</v>
      </c>
      <c r="X79" s="197">
        <f>VALUE(LEFT(AD79,4))-VALUE(LEFT(AD78,4))</f>
        <v>1</v>
      </c>
      <c r="Y79" s="197">
        <f t="shared" si="68"/>
        <v>4.6600000000000003E-2</v>
      </c>
      <c r="Z79" s="197">
        <f t="shared" si="69"/>
        <v>23.330500000000001</v>
      </c>
      <c r="AA79" s="197">
        <f t="shared" si="60"/>
        <v>23.283899999999999</v>
      </c>
      <c r="AB79" s="54" t="e">
        <f>VLOOKUP(A79,Enforcements!$C$7:$K$12,8,0)</f>
        <v>#N/A</v>
      </c>
      <c r="AC79" s="51" t="e">
        <f>VLOOKUP(A79,Enforcements!$C$7:$E$12,3,0)</f>
        <v>#N/A</v>
      </c>
      <c r="AD79" s="206">
        <f t="shared" si="61"/>
        <v>165</v>
      </c>
      <c r="AE79" s="77" t="str">
        <f t="shared" si="71"/>
        <v>aws s3 cp s3://rtdc.mdm.uploadarchive.raw/RTDC4030/ "%USERPROFILE%\AppData\Local\Temp\OnboardLogs"\RTDC4030\2017-08-11 --exclude "*" --recursive --include "*20170811*" &amp; "%USERPROFILE%\Documents\GitHub\mrs-test-scripts\Headless Mode &amp; Sideloading\WalkAndUnGZ.bat" "%USERPROFILE%\AppData\Local\Temp\OnboardLogs"\RTDC4030\2017-08-11 &amp; aws s3 cp s3://rtdc.mdm.uploadarchive.raw/RTDC4030/ "%USERPROFILE%\AppData\Local\Temp\OnboardLogs"\RTDC4030\2017-08-12 --exclude "*" --recursive --include "*20170812*" &amp; "%USERPROFILE%\Documents\GitHub\mrs-test-scripts\Headless Mode &amp; Sideloading\WalkAndUnGZ.bat" "%USERPROFILE%\AppData\Local\Temp\OnboardLogs"\RTDC4030\2017-08-12</v>
      </c>
      <c r="AF79" s="74" t="str">
        <f t="shared" si="72"/>
        <v>"C:\Program Files (x86)\AstroGrep\AstroGrep.exe" /e /r /s /spath="%USERPROFILE%\AppData\Local\Temp\OnboardLogs" /stypes="app*4030*20170811*" /stext=" 18:.+((SYSTEM_STATE.+slice.+state.+changed )|(ment ac)|(multiple cpu faults)|(system.+state.+changed )|(\[timeout)|(PRM\|1\|D)|(kpr)|(kdp)|(train st.+moving)|(\|lc)|(penalty))"</v>
      </c>
      <c r="AG79" s="209" t="str">
        <f t="shared" si="62"/>
        <v>EC</v>
      </c>
      <c r="AH79" s="78" t="str">
        <f t="shared" si="18"/>
        <v>"%USERPROFILE%\Documents\GitHub\eaglep3\Utilities\RefineRTDCRunTimes.py" --tripid 165-11 --locoid 4030 --swversion DE.1.0.9.0 --startMP 204:466 --initTime 2017-08-11T11:39:17 --startdatetime 2017-08-11T11:45:44 --delay 1 --endMP 204:233305 --enddatetime 2017-08-11T12:21:24 --enforcementcount 0 &gt;&gt;C:\Users\stu\Documents\GitHub\eaglep3-reporting\EC\2017-08-11-refined-times.txt</v>
      </c>
      <c r="AI79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{"issue":{"subject":"","project_id":79,"tracker_id":40,"status_id":1,"priority_id":2,"assigned_to_id":23,"start_date":"2017-08-11","description":"","custom_fields":[{"id":1,"name":"Subdivision","value":"EC"},{"id":4,"name":"Milepost","value":"23.3305"},{"id":17,"name":"Train ID","value":"165-11"},{"id":16,"name":"Locomotive ID","value":"4030"},{"id":130,"name":"Impact","value":""},{"id":150,"name":"Time of Event (Mountain Time)","value":"12:21:24"},{"id":151,"name":"Denver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20"/>
        <v>start /low /b %USERPROFILE%\Documents\GitHub\eaglep3\Utilities\DownloadLogsFromS3.py --loco 4030 --day 2017-08-11</v>
      </c>
      <c r="AN79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18:21:24"},{"id":29,"name":"Sharepoint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620</v>
      </c>
      <c r="B80" s="7">
        <v>4029</v>
      </c>
      <c r="C80" s="21" t="s">
        <v>198</v>
      </c>
      <c r="D80" s="21" t="s">
        <v>892</v>
      </c>
      <c r="E80" s="13">
        <v>42958.52207175926</v>
      </c>
      <c r="F80" s="13">
        <v>42958.529398148145</v>
      </c>
      <c r="G80" s="7">
        <v>1</v>
      </c>
      <c r="H80" s="21" t="s">
        <v>902</v>
      </c>
      <c r="I80" s="13">
        <v>42958.556516203702</v>
      </c>
      <c r="J80" s="7">
        <v>0</v>
      </c>
      <c r="K80" s="89" t="str">
        <f t="shared" si="55"/>
        <v>4029/4030</v>
      </c>
      <c r="L80" s="21" t="str">
        <f>VLOOKUP(A80,'Trips&amp;Operators'!$C$1:$G$99999,5,FALSE)</f>
        <v>WEST BRYAN</v>
      </c>
      <c r="M80" s="6">
        <f t="shared" si="56"/>
        <v>2.7118055557366461E-2</v>
      </c>
      <c r="N80" s="7">
        <f t="shared" si="57"/>
        <v>39.050000002607703</v>
      </c>
      <c r="O80" s="7"/>
      <c r="P80" s="7"/>
      <c r="Q80" s="22"/>
      <c r="R80" s="170"/>
      <c r="S80" s="213">
        <f t="shared" si="58"/>
        <v>1</v>
      </c>
      <c r="T80" s="195" t="str">
        <f t="shared" si="59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70"/>
        <v>https://d0f6bd738d7f1b3e5a7ca70fe4ff75f0.us-east-1.aws.found.io/app/kibana#/discover/Steve-Slow-Train-Analysis-(2080s-and-2083s)?_g=(refreshInterval:(display:Off,pause:!f,section:0,value:0),time:(from:'2017-08-11T11:31:47-0600',mode:absolute,to:'2017-08-11T14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0" s="197" t="str">
        <f>IF(AA80&lt;VLOOKUP(AG80,Variables!$AC$3:$AD$8,2,FALSE),"Y","N")</f>
        <v>N</v>
      </c>
      <c r="X80" s="197">
        <f>VALUE(LEFT(AD80,4))-VALUE(LEFT(AD79,4))</f>
        <v>1</v>
      </c>
      <c r="Y80" s="197">
        <f t="shared" si="68"/>
        <v>23.2986</v>
      </c>
      <c r="Z80" s="197">
        <f t="shared" si="69"/>
        <v>1.8499999999999999E-2</v>
      </c>
      <c r="AA80" s="197">
        <f t="shared" si="60"/>
        <v>23.280100000000001</v>
      </c>
      <c r="AB80" s="54" t="e">
        <f>VLOOKUP(A80,Enforcements!$C$7:$K$12,8,0)</f>
        <v>#N/A</v>
      </c>
      <c r="AC80" s="51" t="e">
        <f>VLOOKUP(A80,Enforcements!$C$7:$E$12,3,0)</f>
        <v>#N/A</v>
      </c>
      <c r="AD80" s="206">
        <f t="shared" si="61"/>
        <v>166</v>
      </c>
      <c r="AE80" s="77" t="str">
        <f t="shared" si="71"/>
        <v>aws s3 cp s3://rtdc.mdm.uploadarchive.raw/RTDC4029/ "%USERPROFILE%\AppData\Local\Temp\OnboardLogs"\RTDC4029\2017-08-11 --exclude "*" --recursive --include "*20170811*" &amp; "%USERPROFILE%\Documents\GitHub\mrs-test-scripts\Headless Mode &amp; Sideloading\WalkAndUnGZ.bat" "%USERPROFILE%\AppData\Local\Temp\OnboardLogs"\RTDC4029\2017-08-11 &amp; aws s3 cp s3://rtdc.mdm.uploadarchive.raw/RTDC4029/ "%USERPROFILE%\AppData\Local\Temp\OnboardLogs"\RTDC4029\2017-08-12 --exclude "*" --recursive --include "*20170812*" &amp; "%USERPROFILE%\Documents\GitHub\mrs-test-scripts\Headless Mode &amp; Sideloading\WalkAndUnGZ.bat" "%USERPROFILE%\AppData\Local\Temp\OnboardLogs"\RTDC4029\2017-08-12</v>
      </c>
      <c r="AF80" s="74" t="str">
        <f t="shared" si="72"/>
        <v>"C:\Program Files (x86)\AstroGrep\AstroGrep.exe" /e /r /s /spath="%USERPROFILE%\AppData\Local\Temp\OnboardLogs" /stypes="app*4029*20170811*" /stext=" 19:.+((SYSTEM_STATE.+slice.+state.+changed )|(ment ac)|(multiple cpu faults)|(system.+state.+changed )|(\[timeout)|(PRM\|1\|D)|(kpr)|(kdp)|(train st.+moving)|(\|lc)|(penalty))"</v>
      </c>
      <c r="AG80" s="209" t="str">
        <f t="shared" si="62"/>
        <v>EC</v>
      </c>
      <c r="AH80" s="78" t="str">
        <f t="shared" si="18"/>
        <v>"%USERPROFILE%\Documents\GitHub\eaglep3\Utilities\RefineRTDCRunTimes.py" --tripid 166-11 --locoid 4029 --swversion DE.1.0.9.0 --startMP 204:232986 --initTime 2017-08-11T12:31:47 --startdatetime 2017-08-11T12:42:20 --delay 1 --endMP 204:185 --enddatetime 2017-08-11T13:21:23 --enforcementcount 0 &gt;&gt;C:\Users\stu\Documents\GitHub\eaglep3-reporting\EC\2017-08-11-refined-times.txt</v>
      </c>
      <c r="AI80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{"issue":{"subject":"","project_id":79,"tracker_id":40,"status_id":1,"priority_id":2,"assigned_to_id":23,"start_date":"2017-08-11","description":"","custom_fields":[{"id":1,"name":"Subdivision","value":"EC"},{"id":4,"name":"Milepost","value":"0.0185"},{"id":17,"name":"Train ID","value":"166-11"},{"id":16,"name":"Locomotive ID","value":"4029"},{"id":130,"name":"Impact","value":""},{"id":150,"name":"Time of Event (Mountain Time)","value":"13:21:23"},{"id":151,"name":"Denver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20"/>
        <v>start /low /b %USERPROFILE%\Documents\GitHub\eaglep3\Utilities\DownloadLogsFromS3.py --loco 4029 --day 2017-08-11</v>
      </c>
      <c r="AN80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19:21:23"},{"id":29,"name":"Sharepoint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749</v>
      </c>
      <c r="B81" s="7">
        <v>4040</v>
      </c>
      <c r="C81" s="21" t="s">
        <v>198</v>
      </c>
      <c r="D81" s="21" t="s">
        <v>346</v>
      </c>
      <c r="E81" s="13">
        <v>42958.496319444443</v>
      </c>
      <c r="F81" s="13">
        <v>42958.500763888886</v>
      </c>
      <c r="G81" s="7">
        <v>2</v>
      </c>
      <c r="H81" s="21" t="s">
        <v>884</v>
      </c>
      <c r="I81" s="13">
        <v>42958.525682870371</v>
      </c>
      <c r="J81" s="7">
        <v>0</v>
      </c>
      <c r="K81" s="89" t="str">
        <f t="shared" si="55"/>
        <v>4039/4040</v>
      </c>
      <c r="L81" s="21" t="str">
        <f>VLOOKUP(A81,'Trips&amp;Operators'!$C$1:$G$99999,5,FALSE)</f>
        <v>YANG JAN</v>
      </c>
      <c r="M81" s="6">
        <f t="shared" si="56"/>
        <v>2.4918981485825498E-2</v>
      </c>
      <c r="N81" s="7">
        <f t="shared" si="57"/>
        <v>35.883333339588717</v>
      </c>
      <c r="O81" s="7"/>
      <c r="P81" s="7"/>
      <c r="Q81" s="22"/>
      <c r="R81" s="170"/>
      <c r="S81" s="213">
        <f t="shared" si="58"/>
        <v>1</v>
      </c>
      <c r="T81" s="195" t="str">
        <f t="shared" si="59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70"/>
        <v>https://d0f6bd738d7f1b3e5a7ca70fe4ff75f0.us-east-1.aws.found.io/app/kibana#/discover/Steve-Slow-Train-Analysis-(2080s-and-2083s)?_g=(refreshInterval:(display:Off,pause:!f,section:0,value:0),time:(from:'2017-08-11T10:54:42-0600',mode:absolute,to:'2017-08-11T13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1" s="197" t="str">
        <f>IF(AA81&lt;VLOOKUP(AG81,Variables!$AC$3:$AD$8,2,FALSE),"Y","N")</f>
        <v>N</v>
      </c>
      <c r="X81" s="197">
        <f>VALUE(LEFT(AD81,4))-VALUE(LEFT(AD80,4))</f>
        <v>1</v>
      </c>
      <c r="Y81" s="197">
        <f t="shared" si="68"/>
        <v>4.4699999999999997E-2</v>
      </c>
      <c r="Z81" s="197">
        <f t="shared" si="69"/>
        <v>23.33</v>
      </c>
      <c r="AA81" s="197">
        <f t="shared" si="60"/>
        <v>23.285299999999999</v>
      </c>
      <c r="AB81" s="54" t="e">
        <f>VLOOKUP(A81,Enforcements!$C$7:$K$12,8,0)</f>
        <v>#N/A</v>
      </c>
      <c r="AC81" s="51" t="e">
        <f>VLOOKUP(A81,Enforcements!$C$7:$E$12,3,0)</f>
        <v>#N/A</v>
      </c>
      <c r="AD81" s="206">
        <f t="shared" si="61"/>
        <v>167</v>
      </c>
      <c r="AE81" s="77" t="str">
        <f t="shared" si="71"/>
        <v>aws s3 cp s3://rtdc.mdm.uploadarchive.raw/RTDC4040/ "%USERPROFILE%\AppData\Local\Temp\OnboardLogs"\RTDC4040\2017-08-11 --exclude "*" --recursive --include "*20170811*" &amp; "%USERPROFILE%\Documents\GitHub\mrs-test-scripts\Headless Mode &amp; Sideloading\WalkAndUnGZ.bat" "%USERPROFILE%\AppData\Local\Temp\OnboardLogs"\RTDC4040\2017-08-11 &amp; aws s3 cp s3://rtdc.mdm.uploadarchive.raw/RTDC4040/ "%USERPROFILE%\AppData\Local\Temp\OnboardLogs"\RTDC4040\2017-08-12 --exclude "*" --recursive --include "*20170812*" &amp; "%USERPROFILE%\Documents\GitHub\mrs-test-scripts\Headless Mode &amp; Sideloading\WalkAndUnGZ.bat" "%USERPROFILE%\AppData\Local\Temp\OnboardLogs"\RTDC4040\2017-08-12</v>
      </c>
      <c r="AF81" s="74" t="str">
        <f t="shared" si="72"/>
        <v>"C:\Program Files (x86)\AstroGrep\AstroGrep.exe" /e /r /s /spath="%USERPROFILE%\AppData\Local\Temp\OnboardLogs" /stypes="app*4040*20170811*" /stext=" 18:.+((SYSTEM_STATE.+slice.+state.+changed )|(ment ac)|(multiple cpu faults)|(system.+state.+changed )|(\[timeout)|(PRM\|1\|D)|(kpr)|(kdp)|(train st.+moving)|(\|lc)|(penalty))"</v>
      </c>
      <c r="AG81" s="209" t="str">
        <f t="shared" si="62"/>
        <v>EC</v>
      </c>
      <c r="AH81" s="78" t="str">
        <f t="shared" si="18"/>
        <v>"%USERPROFILE%\Documents\GitHub\eaglep3\Utilities\RefineRTDCRunTimes.py" --tripid 167-11 --locoid 4040 --swversion DE.1.0.9.0 --startMP 204:447 --initTime 2017-08-11T11:54:42 --startdatetime 2017-08-11T12:01:06 --delay 2 --endMP 204:233300 --enddatetime 2017-08-11T12:36:59 --enforcementcount 0 &gt;&gt;C:\Users\stu\Documents\GitHub\eaglep3-reporting\EC\2017-08-11-refined-times.txt</v>
      </c>
      <c r="AI81" s="96" t="str">
        <f t="shared" si="19"/>
        <v>echo {"issue":{"subject":"","project_id":79,"tracker_id":40,"status_id":1,"priority_id":2,"assigned_to_id":23,"start_date":"2017-08-11","description":"","custom_fields":[{"id":1,"name":"Subdivision","value":"EC"},{"id":4,"name":"Milepost","value":"23.33"},{"id":17,"name":"Train ID","value":"167-11"},{"id":16,"name":"Locomotive ID","value":"4040"},{"id":130,"name":"Impact","value":""},{"id":150,"name":"Time of Event (Mountain Time)","value":"12:36:59"},{"id":151,"name":"Denver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20"/>
        <v>start /low /b %USERPROFILE%\Documents\GitHub\eaglep3\Utilities\DownloadLogsFromS3.py --loco 4040 --day 2017-08-11</v>
      </c>
      <c r="AN81" s="151" t="str">
        <f t="shared" si="21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18:36:59"},{"id":29,"name":"Sharepoint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760</v>
      </c>
      <c r="B82" s="7">
        <v>4039</v>
      </c>
      <c r="C82" s="21" t="s">
        <v>198</v>
      </c>
      <c r="D82" s="21" t="s">
        <v>478</v>
      </c>
      <c r="E82" s="13">
        <v>42958.53628472222</v>
      </c>
      <c r="F82" s="13">
        <v>42958.540011574078</v>
      </c>
      <c r="G82" s="7">
        <v>1</v>
      </c>
      <c r="H82" s="21" t="s">
        <v>349</v>
      </c>
      <c r="I82" s="13">
        <v>42958.565729166665</v>
      </c>
      <c r="J82" s="7">
        <v>0</v>
      </c>
      <c r="K82" s="89" t="str">
        <f t="shared" si="55"/>
        <v>4039/4040</v>
      </c>
      <c r="L82" s="21" t="str">
        <f>VLOOKUP(A82,'Trips&amp;Operators'!$C$1:$G$99999,5,FALSE)</f>
        <v>YANG JAN</v>
      </c>
      <c r="M82" s="6">
        <f t="shared" si="56"/>
        <v>2.5717592587170657E-2</v>
      </c>
      <c r="N82" s="7">
        <f t="shared" si="57"/>
        <v>37.033333325525746</v>
      </c>
      <c r="O82" s="7"/>
      <c r="P82" s="7"/>
      <c r="Q82" s="22"/>
      <c r="R82" s="170"/>
      <c r="S82" s="213">
        <f t="shared" si="58"/>
        <v>1</v>
      </c>
      <c r="T82" s="195" t="str">
        <f t="shared" si="59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70"/>
        <v>https://d0f6bd738d7f1b3e5a7ca70fe4ff75f0.us-east-1.aws.found.io/app/kibana#/discover/Steve-Slow-Train-Analysis-(2080s-and-2083s)?_g=(refreshInterval:(display:Off,pause:!f,section:0,value:0),time:(from:'2017-08-11T11:52:15-0600',mode:absolute,to:'2017-08-11T14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2" s="197" t="str">
        <f>IF(AA82&lt;VLOOKUP(AG82,Variables!$AC$3:$AD$8,2,FALSE),"Y","N")</f>
        <v>N</v>
      </c>
      <c r="X82" s="197">
        <f t="shared" ref="X82:X96" si="73">VALUE(LEFT(AD82,4))-VALUE(LEFT(AD81,4))</f>
        <v>1</v>
      </c>
      <c r="Y82" s="197">
        <f t="shared" ref="Y82:Y95" si="74">RIGHT(D82,LEN(D82)-4)/10000</f>
        <v>23.299299999999999</v>
      </c>
      <c r="Z82" s="197">
        <f t="shared" si="69"/>
        <v>1.41E-2</v>
      </c>
      <c r="AA82" s="197">
        <f t="shared" si="60"/>
        <v>23.2852</v>
      </c>
      <c r="AB82" s="54" t="e">
        <f>VLOOKUP(A82,Enforcements!$C$7:$K$12,8,0)</f>
        <v>#N/A</v>
      </c>
      <c r="AC82" s="51" t="e">
        <f>VLOOKUP(A82,Enforcements!$C$7:$E$12,3,0)</f>
        <v>#N/A</v>
      </c>
      <c r="AD82" s="206">
        <f t="shared" si="61"/>
        <v>168</v>
      </c>
      <c r="AE82" s="77" t="str">
        <f t="shared" si="71"/>
        <v>aws s3 cp s3://rtdc.mdm.uploadarchive.raw/RTDC4039/ "%USERPROFILE%\AppData\Local\Temp\OnboardLogs"\RTDC4039\2017-08-11 --exclude "*" --recursive --include "*20170811*" &amp; "%USERPROFILE%\Documents\GitHub\mrs-test-scripts\Headless Mode &amp; Sideloading\WalkAndUnGZ.bat" "%USERPROFILE%\AppData\Local\Temp\OnboardLogs"\RTDC4039\2017-08-11 &amp; aws s3 cp s3://rtdc.mdm.uploadarchive.raw/RTDC4039/ "%USERPROFILE%\AppData\Local\Temp\OnboardLogs"\RTDC4039\2017-08-12 --exclude "*" --recursive --include "*20170812*" &amp; "%USERPROFILE%\Documents\GitHub\mrs-test-scripts\Headless Mode &amp; Sideloading\WalkAndUnGZ.bat" "%USERPROFILE%\AppData\Local\Temp\OnboardLogs"\RTDC4039\2017-08-12</v>
      </c>
      <c r="AF82" s="74" t="str">
        <f t="shared" si="72"/>
        <v>"C:\Program Files (x86)\AstroGrep\AstroGrep.exe" /e /r /s /spath="%USERPROFILE%\AppData\Local\Temp\OnboardLogs" /stypes="app*4039*20170811*" /stext=" 19:.+((SYSTEM_STATE.+slice.+state.+changed )|(ment ac)|(multiple cpu faults)|(system.+state.+changed )|(\[timeout)|(PRM\|1\|D)|(kpr)|(kdp)|(train st.+moving)|(\|lc)|(penalty))"</v>
      </c>
      <c r="AG82" s="209" t="str">
        <f t="shared" si="62"/>
        <v>EC</v>
      </c>
      <c r="AH82" s="78" t="str">
        <f t="shared" ref="AH82:AH143" si="75">refinertdcruntimes&amp;" --tripid "&amp;A82&amp;" --locoid "&amp;B82&amp;" --swversion "&amp;C82&amp;" --startMP "&amp;D82&amp;" --initTime "&amp;TEXT(E82,"yyyy-mm-ddTHH:MM:SS")&amp;" --startdatetime "&amp;TEXT(F82,"yyyy-mm-ddTHH:MM:SS")&amp;" --delay "&amp;G82&amp;" --endMP "&amp;H82&amp;" --enddatetime "&amp;TEXT(I82,"yyyy-mm-ddTHH:MM:SS")&amp;" --enforcementcount "&amp;J82&amp;IF(outputrefinedruntimes," &gt;&gt;"&amp;RefinedRTDCRunTimesOutputFile,"")</f>
        <v>"%USERPROFILE%\Documents\GitHub\eaglep3\Utilities\RefineRTDCRunTimes.py" --tripid 168-11 --locoid 4039 --swversion DE.1.0.9.0 --startMP 204:232993 --initTime 2017-08-11T12:52:15 --startdatetime 2017-08-11T12:57:37 --delay 1 --endMP 204:141 --enddatetime 2017-08-11T13:34:39 --enforcementcount 0 &gt;&gt;C:\Users\stu\Documents\GitHub\eaglep3-reporting\EC\2017-08-11-refined-times.txt</v>
      </c>
      <c r="AI82" s="96" t="str">
        <f t="shared" ref="AI82:AI143" si="76">"echo {""issue"":{""subject"":"""&amp;R82&amp;""",""project_id"":79,""tracker_id"":40,""status_id"":"&amp;redmine_status&amp;",""priority_id"":"&amp;redmine_priority&amp;",""assigned_to_id"":"&amp;redmine_assignee&amp;",""start_date"":"""&amp;TEXT(I82,"YYYY-mm-dd")&amp;""",""description"":"""&amp;AJ82&amp;""",""custom_fields"":[{""id"":1,""name"":""Subdivision"",""value"":"""&amp;AG82&amp;"""},{""id"":4,""name"":""Milepost"",""value"":"""&amp;Z82&amp;"""},{""id"":17,""name"":""Train ID"",""value"":"""&amp;A82&amp;"""},{""id"":16,""name"":""Locomotive ID"",""value"":"""&amp;B82&amp;"""},{""id"":130,""name"":""Impact"",""value"":"""&amp;AK82&amp;"""},{""id"":150,""name"":""Time of Event (Mountain Time)"",""value"":"""&amp;TEXT(I82,"hh:mm:ss")&amp;"""},{""id"":151,""name"":""Denver Issue ID"",""value"":"""&amp;"""},{""id"":178,""name"":""Operational Impact"",""value"":"""&amp;redmine_op_impact&amp;"""},{""id"":179,""name"":""Denver Segment Assigned"",""value"":"""&amp;AL82&amp;"""}]}}"&amp;"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{"issue":{"subject":"","project_id":79,"tracker_id":40,"status_id":1,"priority_id":2,"assigned_to_id":23,"start_date":"2017-08-11","description":"","custom_fields":[{"id":1,"name":"Subdivision","value":"EC"},{"id":4,"name":"Milepost","value":"0.0141"},{"id":17,"name":"Train ID","value":"168-11"},{"id":16,"name":"Locomotive ID","value":"4039"},{"id":130,"name":"Impact","value":""},{"id":150,"name":"Time of Event (Mountain Time)","value":"13:34:39"},{"id":151,"name":"Denver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ref="AM82:AM143" si="77">"start /low /b "&amp;dls3logs&amp;" --loco "&amp;B82&amp;" --day "&amp;TEXT(F82,"YYYY-MM-DD")</f>
        <v>start /low /b %USERPROFILE%\Documents\GitHub\eaglep3\Utilities\DownloadLogsFromS3.py --loco 4039 --day 2017-08-11</v>
      </c>
      <c r="AN82" s="151" t="str">
        <f t="shared" ref="AN82:AN143" si="78">"echo {""issue"":{""subject"":"""&amp;R82&amp;""",""project_id"":30,""tracker_id"":4,""status_id"":"&amp;redmine_status_wcr&amp;",""priority_id"":"&amp;redmine_priority_wcr&amp;",""assigned_to_id"":"&amp;redmine_assignee_wcr&amp;",""start_date"":"""&amp;TEXT(I82-utc_offset/24,"YYYY-mm-dd")&amp;""",""description"":"""&amp;AJ82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19:34:39"},{"id":29,"name":"Sharepoint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752</v>
      </c>
      <c r="B83" s="7">
        <v>4014</v>
      </c>
      <c r="C83" s="21" t="s">
        <v>198</v>
      </c>
      <c r="D83" s="21" t="s">
        <v>403</v>
      </c>
      <c r="E83" s="13">
        <v>42958.5075462963</v>
      </c>
      <c r="F83" s="13">
        <v>42958.510937500003</v>
      </c>
      <c r="G83" s="7">
        <v>1</v>
      </c>
      <c r="H83" s="21" t="s">
        <v>910</v>
      </c>
      <c r="I83" s="13">
        <v>42958.534953703704</v>
      </c>
      <c r="J83" s="7">
        <v>0</v>
      </c>
      <c r="K83" s="89" t="str">
        <f t="shared" si="55"/>
        <v>4013/4014</v>
      </c>
      <c r="L83" s="21" t="str">
        <f>VLOOKUP(A83,'Trips&amp;Operators'!$C$1:$G$99999,5,FALSE)</f>
        <v>LEVIN SCOTT</v>
      </c>
      <c r="M83" s="6">
        <f t="shared" si="56"/>
        <v>2.4016203700739425E-2</v>
      </c>
      <c r="N83" s="7">
        <f t="shared" si="57"/>
        <v>34.583333329064772</v>
      </c>
      <c r="O83" s="7"/>
      <c r="P83" s="7"/>
      <c r="Q83" s="22"/>
      <c r="R83" s="170"/>
      <c r="S83" s="213">
        <f t="shared" si="58"/>
        <v>1</v>
      </c>
      <c r="T83" s="195" t="str">
        <f t="shared" si="59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70"/>
        <v>https://d0f6bd738d7f1b3e5a7ca70fe4ff75f0.us-east-1.aws.found.io/app/kibana#/discover/Steve-Slow-Train-Analysis-(2080s-and-2083s)?_g=(refreshInterval:(display:Off,pause:!f,section:0,value:0),time:(from:'2017-08-11T11:10:52-0600',mode:absolute,to:'2017-08-11T13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3" s="197" t="str">
        <f>IF(AA83&lt;VLOOKUP(AG83,Variables!$AC$3:$AD$8,2,FALSE),"Y","N")</f>
        <v>N</v>
      </c>
      <c r="X83" s="197">
        <f t="shared" si="73"/>
        <v>1</v>
      </c>
      <c r="Y83" s="197">
        <f t="shared" si="74"/>
        <v>4.58E-2</v>
      </c>
      <c r="Z83" s="197">
        <f t="shared" si="69"/>
        <v>23.342300000000002</v>
      </c>
      <c r="AA83" s="197">
        <f t="shared" si="60"/>
        <v>23.296500000000002</v>
      </c>
      <c r="AB83" s="54" t="e">
        <f>VLOOKUP(A83,Enforcements!$C$7:$K$12,8,0)</f>
        <v>#N/A</v>
      </c>
      <c r="AC83" s="51" t="e">
        <f>VLOOKUP(A83,Enforcements!$C$7:$E$12,3,0)</f>
        <v>#N/A</v>
      </c>
      <c r="AD83" s="206">
        <f t="shared" si="61"/>
        <v>169</v>
      </c>
      <c r="AE83" s="77" t="str">
        <f t="shared" si="71"/>
        <v>aws s3 cp s3://rtdc.mdm.uploadarchive.raw/RTDC4014/ "%USERPROFILE%\AppData\Local\Temp\OnboardLogs"\RTDC4014\2017-08-11 --exclude "*" --recursive --include "*20170811*" &amp; "%USERPROFILE%\Documents\GitHub\mrs-test-scripts\Headless Mode &amp; Sideloading\WalkAndUnGZ.bat" "%USERPROFILE%\AppData\Local\Temp\OnboardLogs"\RTDC4014\2017-08-11 &amp; 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</v>
      </c>
      <c r="AF83" s="74" t="str">
        <f t="shared" si="72"/>
        <v>"C:\Program Files (x86)\AstroGrep\AstroGrep.exe" /e /r /s /spath="%USERPROFILE%\AppData\Local\Temp\OnboardLogs" /stypes="app*4014*20170811*" /stext=" 18:.+((SYSTEM_STATE.+slice.+state.+changed )|(ment ac)|(multiple cpu faults)|(system.+state.+changed )|(\[timeout)|(PRM\|1\|D)|(kpr)|(kdp)|(train st.+moving)|(\|lc)|(penalty))"</v>
      </c>
      <c r="AG83" s="209" t="str">
        <f t="shared" si="62"/>
        <v>EC</v>
      </c>
      <c r="AH83" s="78" t="str">
        <f t="shared" si="75"/>
        <v>"%USERPROFILE%\Documents\GitHub\eaglep3\Utilities\RefineRTDCRunTimes.py" --tripid 169-11 --locoid 4014 --swversion DE.1.0.9.0 --startMP 204:458 --initTime 2017-08-11T12:10:52 --startdatetime 2017-08-11T12:15:45 --delay 1 --endMP 204:233423 --enddatetime 2017-08-11T12:50:20 --enforcementcount 0 &gt;&gt;C:\Users\stu\Documents\GitHub\eaglep3-reporting\EC\2017-08-11-refined-times.txt</v>
      </c>
      <c r="AI83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{"issue":{"subject":"","project_id":79,"tracker_id":40,"status_id":1,"priority_id":2,"assigned_to_id":23,"start_date":"2017-08-11","description":"","custom_fields":[{"id":1,"name":"Subdivision","value":"EC"},{"id":4,"name":"Milepost","value":"23.3423"},{"id":17,"name":"Train ID","value":"169-11"},{"id":16,"name":"Locomotive ID","value":"4014"},{"id":130,"name":"Impact","value":""},{"id":150,"name":"Time of Event (Mountain Time)","value":"12:50:20"},{"id":151,"name":"Denver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77"/>
        <v>start /low /b %USERPROFILE%\Documents\GitHub\eaglep3\Utilities\DownloadLogsFromS3.py --loco 4014 --day 2017-08-11</v>
      </c>
      <c r="AN83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18:50:20"},{"id":29,"name":"Sharepoint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766</v>
      </c>
      <c r="B84" s="7">
        <v>4013</v>
      </c>
      <c r="C84" s="21" t="s">
        <v>198</v>
      </c>
      <c r="D84" s="21" t="s">
        <v>903</v>
      </c>
      <c r="E84" s="13">
        <v>42958.547500000001</v>
      </c>
      <c r="F84" s="13">
        <v>42958.550196759257</v>
      </c>
      <c r="G84" s="7">
        <v>1</v>
      </c>
      <c r="H84" s="21" t="s">
        <v>455</v>
      </c>
      <c r="I84" s="13">
        <v>42958.576701388891</v>
      </c>
      <c r="J84" s="7">
        <v>0</v>
      </c>
      <c r="K84" s="89" t="str">
        <f t="shared" si="55"/>
        <v>4013/4014</v>
      </c>
      <c r="L84" s="21" t="str">
        <f>VLOOKUP(A84,'Trips&amp;Operators'!$C$1:$G$99999,5,FALSE)</f>
        <v>LEVIN SCOTT</v>
      </c>
      <c r="M84" s="6">
        <f t="shared" si="56"/>
        <v>2.6504629633564036E-2</v>
      </c>
      <c r="N84" s="7">
        <f t="shared" si="57"/>
        <v>38.166666672332212</v>
      </c>
      <c r="O84" s="7"/>
      <c r="P84" s="7"/>
      <c r="Q84" s="22"/>
      <c r="R84" s="170"/>
      <c r="S84" s="213">
        <f t="shared" si="58"/>
        <v>1</v>
      </c>
      <c r="T84" s="195" t="str">
        <f t="shared" si="59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70"/>
        <v>https://d0f6bd738d7f1b3e5a7ca70fe4ff75f0.us-east-1.aws.found.io/app/kibana#/discover/Steve-Slow-Train-Analysis-(2080s-and-2083s)?_g=(refreshInterval:(display:Off,pause:!f,section:0,value:0),time:(from:'2017-08-11T12:08:24-0600',mode:absolute,to:'2017-08-11T14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4" s="197" t="str">
        <f>IF(AA84&lt;VLOOKUP(AG84,Variables!$AC$3:$AD$8,2,FALSE),"Y","N")</f>
        <v>N</v>
      </c>
      <c r="X84" s="197">
        <f t="shared" si="73"/>
        <v>1</v>
      </c>
      <c r="Y84" s="197">
        <f t="shared" si="74"/>
        <v>23.308199999999999</v>
      </c>
      <c r="Z84" s="197">
        <f t="shared" si="69"/>
        <v>1.32E-2</v>
      </c>
      <c r="AA84" s="197">
        <f t="shared" si="60"/>
        <v>23.294999999999998</v>
      </c>
      <c r="AB84" s="54" t="e">
        <f>VLOOKUP(A84,Enforcements!$C$7:$K$12,8,0)</f>
        <v>#N/A</v>
      </c>
      <c r="AC84" s="51" t="e">
        <f>VLOOKUP(A84,Enforcements!$C$7:$E$12,3,0)</f>
        <v>#N/A</v>
      </c>
      <c r="AD84" s="206">
        <f t="shared" si="61"/>
        <v>170</v>
      </c>
      <c r="AE84" s="77" t="str">
        <f t="shared" si="71"/>
        <v>aws s3 cp s3://rtdc.mdm.uploadarchive.raw/RTDC4013/ "%USERPROFILE%\AppData\Local\Temp\OnboardLogs"\RTDC4013\2017-08-11 --exclude "*" --recursive --include "*20170811*" &amp; "%USERPROFILE%\Documents\GitHub\mrs-test-scripts\Headless Mode &amp; Sideloading\WalkAndUnGZ.bat" "%USERPROFILE%\AppData\Local\Temp\OnboardLogs"\RTDC4013\2017-08-11 &amp; 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</v>
      </c>
      <c r="AF84" s="74" t="str">
        <f t="shared" si="72"/>
        <v>"C:\Program Files (x86)\AstroGrep\AstroGrep.exe" /e /r /s /spath="%USERPROFILE%\AppData\Local\Temp\OnboardLogs" /stypes="app*4013*20170811*" /stext=" 19:.+((SYSTEM_STATE.+slice.+state.+changed )|(ment ac)|(multiple cpu faults)|(system.+state.+changed )|(\[timeout)|(PRM\|1\|D)|(kpr)|(kdp)|(train st.+moving)|(\|lc)|(penalty))"</v>
      </c>
      <c r="AG84" s="209" t="str">
        <f t="shared" si="62"/>
        <v>EC</v>
      </c>
      <c r="AH84" s="78" t="str">
        <f t="shared" si="75"/>
        <v>"%USERPROFILE%\Documents\GitHub\eaglep3\Utilities\RefineRTDCRunTimes.py" --tripid 170-11 --locoid 4013 --swversion DE.1.0.9.0 --startMP 204:233082 --initTime 2017-08-11T13:08:24 --startdatetime 2017-08-11T13:12:17 --delay 1 --endMP 204:132 --enddatetime 2017-08-11T13:50:27 --enforcementcount 0 &gt;&gt;C:\Users\stu\Documents\GitHub\eaglep3-reporting\EC\2017-08-11-refined-times.txt</v>
      </c>
      <c r="AI84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{"issue":{"subject":"","project_id":79,"tracker_id":40,"status_id":1,"priority_id":2,"assigned_to_id":23,"start_date":"2017-08-11","description":"","custom_fields":[{"id":1,"name":"Subdivision","value":"EC"},{"id":4,"name":"Milepost","value":"0.0132"},{"id":17,"name":"Train ID","value":"170-11"},{"id":16,"name":"Locomotive ID","value":"4013"},{"id":130,"name":"Impact","value":""},{"id":150,"name":"Time of Event (Mountain Time)","value":"13:50:27"},{"id":151,"name":"Denver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77"/>
        <v>start /low /b %USERPROFILE%\Documents\GitHub\eaglep3\Utilities\DownloadLogsFromS3.py --loco 4013 --day 2017-08-11</v>
      </c>
      <c r="AN84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19:50:27"},{"id":29,"name":"Sharepoint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753</v>
      </c>
      <c r="B85" s="7">
        <v>4012</v>
      </c>
      <c r="C85" s="21" t="s">
        <v>198</v>
      </c>
      <c r="D85" s="21" t="s">
        <v>903</v>
      </c>
      <c r="E85" s="13">
        <v>42958.547500000001</v>
      </c>
      <c r="F85" s="13">
        <v>42958.523668981485</v>
      </c>
      <c r="G85" s="7">
        <v>1</v>
      </c>
      <c r="H85" s="21" t="s">
        <v>455</v>
      </c>
      <c r="I85" s="13">
        <v>42958.546284722222</v>
      </c>
      <c r="J85" s="7">
        <v>0</v>
      </c>
      <c r="K85" s="89" t="str">
        <f t="shared" ref="K85:K86" si="79">IF(ISEVEN(B85),(B85-1)&amp;"/"&amp;B85,B85&amp;"/"&amp;(B85+1))</f>
        <v>4011/4012</v>
      </c>
      <c r="L85" s="21" t="str">
        <f>VLOOKUP(A85,'Trips&amp;Operators'!$C$1:$G$99999,5,FALSE)</f>
        <v>SULLIVAN BRANDON</v>
      </c>
      <c r="M85" s="6">
        <f t="shared" ref="M85:M86" si="80">I85-F85</f>
        <v>2.2615740737819578E-2</v>
      </c>
      <c r="N85" s="7">
        <f t="shared" ref="N85:N86" si="81">24*60*SUM($M85:$M85)</f>
        <v>32.566666662460193</v>
      </c>
      <c r="O85" s="7"/>
      <c r="P85" s="7"/>
      <c r="Q85" s="22"/>
      <c r="R85" s="170"/>
      <c r="S85" s="213">
        <f t="shared" ref="S85:S86" si="82">1/IF(AG85="EC",12,1)*SUM(U85:U85)</f>
        <v>1</v>
      </c>
      <c r="T85" s="195" t="str">
        <f t="shared" ref="T85:T86" si="83">IF(ISEVEN(LEFT(AD85,4)),"Southbound","NorthBound")</f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70"/>
        <v>https://d0f6bd738d7f1b3e5a7ca70fe4ff75f0.us-east-1.aws.found.io/app/kibana#/discover/Steve-Slow-Train-Analysis-(2080s-and-2083s)?_g=(refreshInterval:(display:Off,pause:!f,section:0,value:0),time:(from:'2017-08-11T12:08:24-0600',mode:absolute,to:'2017-08-11T14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5" s="197" t="str">
        <f>IF(AA85&lt;VLOOKUP(AG85,Variables!$AC$3:$AD$8,2,FALSE),"Y","N")</f>
        <v>N</v>
      </c>
      <c r="X85" s="197">
        <f t="shared" si="73"/>
        <v>1</v>
      </c>
      <c r="Y85" s="197">
        <v>4.58E-2</v>
      </c>
      <c r="Z85" s="197">
        <v>23.342300000000002</v>
      </c>
      <c r="AA85" s="197">
        <f t="shared" ref="AA85:AA86" si="84">ABS(Z85-Y85)</f>
        <v>23.296500000000002</v>
      </c>
      <c r="AB85" s="54" t="e">
        <f>VLOOKUP(A85,Enforcements!$C$7:$K$12,8,0)</f>
        <v>#N/A</v>
      </c>
      <c r="AC85" s="51" t="e">
        <f>VLOOKUP(A85,Enforcements!$C$7:$E$12,3,0)</f>
        <v>#N/A</v>
      </c>
      <c r="AD85" s="206">
        <f t="shared" ref="AD85:AD86" si="85">VALUE(LEFT(A85,LEN(A85)-3))</f>
        <v>171</v>
      </c>
      <c r="AE85" s="77" t="str">
        <f t="shared" si="71"/>
        <v>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 &amp; aws s3 cp s3://rtdc.mdm.uploadarchive.raw/RTDC4012/ "%USERPROFILE%\AppData\Local\Temp\OnboardLogs"\RTDC4012\2017-08-12 --exclude "*" --recursive --include "*20170812*" &amp; "%USERPROFILE%\Documents\GitHub\mrs-test-scripts\Headless Mode &amp; Sideloading\WalkAndUnGZ.bat" "%USERPROFILE%\AppData\Local\Temp\OnboardLogs"\RTDC4012\2017-08-12</v>
      </c>
      <c r="AF85" s="74" t="str">
        <f t="shared" si="72"/>
        <v>"C:\Program Files (x86)\AstroGrep\AstroGrep.exe" /e /r /s /spath="%USERPROFILE%\AppData\Local\Temp\OnboardLogs" /stypes="app*4012*20170811*" /stext=" 19:.+((SYSTEM_STATE.+slice.+state.+changed )|(ment ac)|(multiple cpu faults)|(system.+state.+changed )|(\[timeout)|(PRM\|1\|D)|(kpr)|(kdp)|(train st.+moving)|(\|lc)|(penalty))"</v>
      </c>
      <c r="AG85" s="209" t="str">
        <f t="shared" ref="AG85:AG86" si="86">DetSubdiv(A85)</f>
        <v>EC</v>
      </c>
      <c r="AH85" s="78" t="str">
        <f t="shared" ref="AH85:AH86" si="87">refinertdcruntimes&amp;" --tripid "&amp;A85&amp;" --locoid "&amp;B85&amp;" --swversion "&amp;C85&amp;" --startMP "&amp;D85&amp;" --initTime "&amp;TEXT(E85,"yyyy-mm-ddTHH:MM:SS")&amp;" --startdatetime "&amp;TEXT(F85,"yyyy-mm-ddTHH:MM:SS")&amp;" --delay "&amp;G85&amp;" --endMP "&amp;H85&amp;" --enddatetime "&amp;TEXT(I85,"yyyy-mm-ddTHH:MM:SS")&amp;" --enforcementcount "&amp;J85&amp;IF(outputrefinedruntimes," &gt;&gt;"&amp;RefinedRTDCRunTimesOutputFile,"")</f>
        <v>"%USERPROFILE%\Documents\GitHub\eaglep3\Utilities\RefineRTDCRunTimes.py" --tripid 171-11 --locoid 4012 --swversion DE.1.0.9.0 --startMP 204:233082 --initTime 2017-08-11T13:08:24 --startdatetime 2017-08-11T12:34:05 --delay 1 --endMP 204:132 --enddatetime 2017-08-11T13:06:39 --enforcementcount 0 &gt;&gt;C:\Users\stu\Documents\GitHub\eaglep3-reporting\EC\2017-08-11-refined-times.txt</v>
      </c>
      <c r="AI85" s="96" t="str">
        <f t="shared" ref="AI85:AI86" si="88">"echo {""issue"":{""subject"":"""&amp;R85&amp;""",""project_id"":79,""tracker_id"":40,""status_id"":"&amp;redmine_status&amp;",""priority_id"":"&amp;redmine_priority&amp;",""assigned_to_id"":"&amp;redmine_assignee&amp;",""start_date"":"""&amp;TEXT(I85,"YYYY-mm-dd")&amp;""",""description"":"""&amp;AJ85&amp;""",""custom_fields"":[{""id"":1,""name"":""Subdivision"",""value"":"""&amp;AG85&amp;"""},{""id"":4,""name"":""Milepost"",""value"":"""&amp;Z85&amp;"""},{""id"":17,""name"":""Train ID"",""value"":"""&amp;A85&amp;"""},{""id"":16,""name"":""Locomotive ID"",""value"":"""&amp;B85&amp;"""},{""id"":130,""name"":""Impact"",""value"":"""&amp;AK85&amp;"""},{""id"":150,""name"":""Time of Event (Mountain Time)"",""value"":"""&amp;TEXT(I85,"hh:mm:ss")&amp;"""},{""id"":151,""name"":""Denver Issue ID"",""value"":"""&amp;"""},{""id"":178,""name"":""Operational Impact"",""value"":"""&amp;redmine_op_impact&amp;"""},{""id"":179,""name"":""Denver Segment Assigned"",""value"":"""&amp;AL85&amp;"""}]}}"&amp;"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{"issue":{"subject":"","project_id":79,"tracker_id":40,"status_id":1,"priority_id":2,"assigned_to_id":23,"start_date":"2017-08-11","description":"","custom_fields":[{"id":1,"name":"Subdivision","value":"EC"},{"id":4,"name":"Milepost","value":"23.3423"},{"id":17,"name":"Train ID","value":"171-11"},{"id":16,"name":"Locomotive ID","value":"4012"},{"id":130,"name":"Impact","value":""},{"id":150,"name":"Time of Event (Mountain Time)","value":"13:06:39"},{"id":151,"name":"Denver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ref="AM85:AM86" si="89">"start /low /b "&amp;dls3logs&amp;" --loco "&amp;B85&amp;" --day "&amp;TEXT(F85,"YYYY-MM-DD")</f>
        <v>start /low /b %USERPROFILE%\Documents\GitHub\eaglep3\Utilities\DownloadLogsFromS3.py --loco 4012 --day 2017-08-11</v>
      </c>
      <c r="AN85" s="151" t="str">
        <f t="shared" ref="AN85:AN86" si="90">"echo {""issue"":{""subject"":"""&amp;R85&amp;""",""project_id"":30,""tracker_id"":4,""status_id"":"&amp;redmine_status_wcr&amp;",""priority_id"":"&amp;redmine_priority_wcr&amp;",""assigned_to_id"":"&amp;redmine_assignee_wcr&amp;",""start_date"":"""&amp;TEXT(I85-utc_offset/24,"YYYY-mm-dd")&amp;""",""description"":"""&amp;AJ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19:06:39"},{"id":29,"name":"Sharepoint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0"/>
      <c r="BP85" s="20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0"/>
      <c r="CD85" s="20"/>
      <c r="CE85" s="20"/>
      <c r="CF85" s="20"/>
      <c r="CG85" s="20"/>
      <c r="CH85" s="20"/>
      <c r="CI85" s="20"/>
      <c r="CJ85" s="20"/>
      <c r="CK85" s="20"/>
      <c r="CL85" s="20"/>
      <c r="CM85" s="20"/>
    </row>
    <row r="86" spans="1:91" s="1" customFormat="1" x14ac:dyDescent="0.25">
      <c r="A86" s="32" t="s">
        <v>768</v>
      </c>
      <c r="B86" s="7">
        <v>4011</v>
      </c>
      <c r="C86" s="21" t="s">
        <v>198</v>
      </c>
      <c r="D86" s="21" t="s">
        <v>903</v>
      </c>
      <c r="E86" s="13">
        <v>42958.547500000001</v>
      </c>
      <c r="F86" s="13">
        <v>42958.560601851852</v>
      </c>
      <c r="G86" s="7">
        <v>1</v>
      </c>
      <c r="H86" s="21" t="s">
        <v>455</v>
      </c>
      <c r="I86" s="13">
        <v>42958.587361111109</v>
      </c>
      <c r="J86" s="7">
        <v>0</v>
      </c>
      <c r="K86" s="89" t="str">
        <f t="shared" si="79"/>
        <v>4011/4012</v>
      </c>
      <c r="L86" s="21" t="str">
        <f>VLOOKUP(A86,'Trips&amp;Operators'!$C$1:$G$99999,5,FALSE)</f>
        <v>SULLIVAN BRANDON</v>
      </c>
      <c r="M86" s="6">
        <f t="shared" si="80"/>
        <v>2.675925925723277E-2</v>
      </c>
      <c r="N86" s="7">
        <f t="shared" si="81"/>
        <v>38.533333330415189</v>
      </c>
      <c r="O86" s="7"/>
      <c r="P86" s="7"/>
      <c r="Q86" s="22"/>
      <c r="R86" s="170"/>
      <c r="S86" s="213">
        <f t="shared" si="82"/>
        <v>1</v>
      </c>
      <c r="T86" s="195" t="str">
        <f t="shared" si="83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70"/>
        <v>https://d0f6bd738d7f1b3e5a7ca70fe4ff75f0.us-east-1.aws.found.io/app/kibana#/discover/Steve-Slow-Train-Analysis-(2080s-and-2083s)?_g=(refreshInterval:(display:Off,pause:!f,section:0,value:0),time:(from:'2017-08-11T12:08:24-0600',mode:absolute,to:'2017-08-11T15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6" s="197" t="str">
        <f>IF(AA86&lt;VLOOKUP(AG86,Variables!$AC$3:$AD$8,2,FALSE),"Y","N")</f>
        <v>N</v>
      </c>
      <c r="X86" s="197">
        <f t="shared" si="73"/>
        <v>1</v>
      </c>
      <c r="Y86" s="197">
        <f t="shared" ref="Y86" si="91">RIGHT(D86,LEN(D86)-4)/10000</f>
        <v>23.308199999999999</v>
      </c>
      <c r="Z86" s="197">
        <f t="shared" ref="Z86" si="92">RIGHT(H86,LEN(H86)-4)/10000</f>
        <v>1.32E-2</v>
      </c>
      <c r="AA86" s="197">
        <f t="shared" si="84"/>
        <v>23.294999999999998</v>
      </c>
      <c r="AB86" s="54" t="e">
        <f>VLOOKUP(A86,Enforcements!$C$7:$K$12,8,0)</f>
        <v>#N/A</v>
      </c>
      <c r="AC86" s="51" t="e">
        <f>VLOOKUP(A86,Enforcements!$C$7:$E$12,3,0)</f>
        <v>#N/A</v>
      </c>
      <c r="AD86" s="206">
        <f t="shared" si="85"/>
        <v>172</v>
      </c>
      <c r="AE86" s="77" t="str">
        <f t="shared" si="71"/>
        <v>aws s3 cp s3://rtdc.mdm.uploadarchive.raw/RTDC4011/ "%USERPROFILE%\AppData\Local\Temp\OnboardLogs"\RTDC4011\2017-08-11 --exclude "*" --recursive --include "*20170811*" &amp; "%USERPROFILE%\Documents\GitHub\mrs-test-scripts\Headless Mode &amp; Sideloading\WalkAndUnGZ.bat" "%USERPROFILE%\AppData\Local\Temp\OnboardLogs"\RTDC4011\2017-08-11 &amp; aws s3 cp s3://rtdc.mdm.uploadarchive.raw/RTDC4011/ "%USERPROFILE%\AppData\Local\Temp\OnboardLogs"\RTDC4011\2017-08-12 --exclude "*" --recursive --include "*20170812*" &amp; "%USERPROFILE%\Documents\GitHub\mrs-test-scripts\Headless Mode &amp; Sideloading\WalkAndUnGZ.bat" "%USERPROFILE%\AppData\Local\Temp\OnboardLogs"\RTDC4011\2017-08-12</v>
      </c>
      <c r="AF86" s="74" t="str">
        <f t="shared" si="72"/>
        <v>"C:\Program Files (x86)\AstroGrep\AstroGrep.exe" /e /r /s /spath="%USERPROFILE%\AppData\Local\Temp\OnboardLogs" /stypes="app*4011*20170811*" /stext=" 20:.+((SYSTEM_STATE.+slice.+state.+changed )|(ment ac)|(multiple cpu faults)|(system.+state.+changed )|(\[timeout)|(PRM\|1\|D)|(kpr)|(kdp)|(train st.+moving)|(\|lc)|(penalty))"</v>
      </c>
      <c r="AG86" s="209" t="str">
        <f t="shared" si="86"/>
        <v>EC</v>
      </c>
      <c r="AH86" s="78" t="str">
        <f t="shared" si="87"/>
        <v>"%USERPROFILE%\Documents\GitHub\eaglep3\Utilities\RefineRTDCRunTimes.py" --tripid 172-11 --locoid 4011 --swversion DE.1.0.9.0 --startMP 204:233082 --initTime 2017-08-11T13:08:24 --startdatetime 2017-08-11T13:27:16 --delay 1 --endMP 204:132 --enddatetime 2017-08-11T14:05:48 --enforcementcount 0 &gt;&gt;C:\Users\stu\Documents\GitHub\eaglep3-reporting\EC\2017-08-11-refined-times.txt</v>
      </c>
      <c r="AI86" s="96" t="str">
        <f t="shared" si="88"/>
        <v>echo {"issue":{"subject":"","project_id":79,"tracker_id":40,"status_id":1,"priority_id":2,"assigned_to_id":23,"start_date":"2017-08-11","description":"","custom_fields":[{"id":1,"name":"Subdivision","value":"EC"},{"id":4,"name":"Milepost","value":"0.0132"},{"id":17,"name":"Train ID","value":"172-11"},{"id":16,"name":"Locomotive ID","value":"4011"},{"id":130,"name":"Impact","value":""},{"id":150,"name":"Time of Event (Mountain Time)","value":"14:05:48"},{"id":151,"name":"Denver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89"/>
        <v>start /low /b %USERPROFILE%\Documents\GitHub\eaglep3\Utilities\DownloadLogsFromS3.py --loco 4011 --day 2017-08-11</v>
      </c>
      <c r="AN86" s="151" t="str">
        <f t="shared" si="90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20:05:48"},{"id":29,"name":"Sharepoint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</row>
    <row r="87" spans="1:91" s="1" customFormat="1" x14ac:dyDescent="0.25">
      <c r="A87" s="32" t="s">
        <v>619</v>
      </c>
      <c r="B87" s="7">
        <v>4060</v>
      </c>
      <c r="C87" s="21" t="s">
        <v>198</v>
      </c>
      <c r="D87" s="21" t="s">
        <v>434</v>
      </c>
      <c r="E87" s="13">
        <v>42958.528495370374</v>
      </c>
      <c r="F87" s="13">
        <v>42958.532002314816</v>
      </c>
      <c r="G87" s="7">
        <v>1</v>
      </c>
      <c r="H87" s="21" t="s">
        <v>904</v>
      </c>
      <c r="I87" s="13">
        <v>42958.556122685186</v>
      </c>
      <c r="J87" s="7">
        <v>0</v>
      </c>
      <c r="K87" s="89" t="str">
        <f t="shared" ref="K87:K118" si="93">IF(ISEVEN(B87),(B87-1)&amp;"/"&amp;B87,B87&amp;"/"&amp;(B87+1))</f>
        <v>4059/4060</v>
      </c>
      <c r="L87" s="21" t="str">
        <f>VLOOKUP(A87,'Trips&amp;Operators'!$C$1:$G$99999,5,FALSE)</f>
        <v>HOLCOMB KAMDEN</v>
      </c>
      <c r="M87" s="6">
        <f t="shared" ref="M87:M118" si="94">I87-F87</f>
        <v>2.4120370369928423E-2</v>
      </c>
      <c r="N87" s="7">
        <f t="shared" ref="N87:N118" si="95">24*60*SUM($M87:$M87)</f>
        <v>34.73333333269693</v>
      </c>
      <c r="O87" s="7"/>
      <c r="P87" s="7"/>
      <c r="Q87" s="22"/>
      <c r="R87" s="170"/>
      <c r="S87" s="213">
        <f t="shared" ref="S87:S118" si="96">1/IF(AG87="EC",12,1)*SUM(U87:U87)</f>
        <v>1</v>
      </c>
      <c r="T87" s="195" t="str">
        <f t="shared" ref="T87:T118" si="97">IF(ISEVEN(LEFT(AD87,4)),"Southbound","NorthBound")</f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70"/>
        <v>https://d0f6bd738d7f1b3e5a7ca70fe4ff75f0.us-east-1.aws.found.io/app/kibana#/discover/Steve-Slow-Train-Analysis-(2080s-and-2083s)?_g=(refreshInterval:(display:Off,pause:!f,section:0,value:0),time:(from:'2017-08-11T11:41:02-0600',mode:absolute,to:'2017-08-11T14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7" s="197" t="str">
        <f>IF(AA87&lt;VLOOKUP(AG87,Variables!$AC$3:$AD$8,2,FALSE),"Y","N")</f>
        <v>N</v>
      </c>
      <c r="X87" s="197">
        <f t="shared" si="73"/>
        <v>1</v>
      </c>
      <c r="Y87" s="197">
        <f t="shared" si="74"/>
        <v>4.4900000000000002E-2</v>
      </c>
      <c r="Z87" s="197">
        <f>RIGHT(H87,LEN(H87)-4)/10000</f>
        <v>23.3385</v>
      </c>
      <c r="AA87" s="197">
        <f t="shared" ref="AA87:AA118" si="98">ABS(Z87-Y87)</f>
        <v>23.293600000000001</v>
      </c>
      <c r="AB87" s="54" t="e">
        <f>VLOOKUP(A87,Enforcements!$C$7:$K$12,8,0)</f>
        <v>#N/A</v>
      </c>
      <c r="AC87" s="51" t="e">
        <f>VLOOKUP(A87,Enforcements!$C$7:$E$12,3,0)</f>
        <v>#N/A</v>
      </c>
      <c r="AD87" s="206">
        <f t="shared" ref="AD87:AD118" si="99">VALUE(LEFT(A87,LEN(A87)-3))</f>
        <v>173</v>
      </c>
      <c r="AE87" s="77" t="str">
        <f t="shared" si="71"/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AF87" s="74" t="str">
        <f t="shared" si="72"/>
        <v>"C:\Program Files (x86)\AstroGrep\AstroGrep.exe" /e /r /s /spath="%USERPROFILE%\AppData\Local\Temp\OnboardLogs" /stypes="app*4060*20170811*" /stext=" 19:.+((SYSTEM_STATE.+slice.+state.+changed )|(ment ac)|(multiple cpu faults)|(system.+state.+changed )|(\[timeout)|(PRM\|1\|D)|(kpr)|(kdp)|(train st.+moving)|(\|lc)|(penalty))"</v>
      </c>
      <c r="AG87" s="209" t="str">
        <f t="shared" ref="AG87:AG118" si="100">DetSubdiv(A87)</f>
        <v>EC</v>
      </c>
      <c r="AH87" s="78" t="str">
        <f t="shared" si="75"/>
        <v>"%USERPROFILE%\Documents\GitHub\eaglep3\Utilities\RefineRTDCRunTimes.py" --tripid 173-11 --locoid 4060 --swversion DE.1.0.9.0 --startMP 204:449 --initTime 2017-08-11T12:41:02 --startdatetime 2017-08-11T12:46:05 --delay 1 --endMP 204:233385 --enddatetime 2017-08-11T13:20:49 --enforcementcount 0 &gt;&gt;C:\Users\stu\Documents\GitHub\eaglep3-reporting\EC\2017-08-11-refined-times.txt</v>
      </c>
      <c r="AI87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{"issue":{"subject":"","project_id":79,"tracker_id":40,"status_id":1,"priority_id":2,"assigned_to_id":23,"start_date":"2017-08-11","description":"","custom_fields":[{"id":1,"name":"Subdivision","value":"EC"},{"id":4,"name":"Milepost","value":"23.3385"},{"id":17,"name":"Train ID","value":"173-11"},{"id":16,"name":"Locomotive ID","value":"4060"},{"id":130,"name":"Impact","value":""},{"id":150,"name":"Time of Event (Mountain Time)","value":"13:20:49"},{"id":151,"name":"Denver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77"/>
        <v>start /low /b %USERPROFILE%\Documents\GitHub\eaglep3\Utilities\DownloadLogsFromS3.py --loco 4060 --day 2017-08-11</v>
      </c>
      <c r="AN87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19:20:49"},{"id":29,"name":"Sharepoint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771</v>
      </c>
      <c r="B88" s="7">
        <v>4059</v>
      </c>
      <c r="C88" s="21" t="s">
        <v>198</v>
      </c>
      <c r="D88" s="21" t="s">
        <v>905</v>
      </c>
      <c r="E88" s="13">
        <v>42958.566365740742</v>
      </c>
      <c r="F88" s="13">
        <v>42958.571030092593</v>
      </c>
      <c r="G88" s="7">
        <v>1</v>
      </c>
      <c r="H88" s="21" t="s">
        <v>482</v>
      </c>
      <c r="I88" s="13">
        <v>42958.597349537034</v>
      </c>
      <c r="J88" s="7">
        <v>0</v>
      </c>
      <c r="K88" s="89" t="str">
        <f t="shared" si="93"/>
        <v>4059/4060</v>
      </c>
      <c r="L88" s="21" t="str">
        <f>VLOOKUP(A88,'Trips&amp;Operators'!$C$1:$G$99999,5,FALSE)</f>
        <v>HOLCOMB KAMDEN</v>
      </c>
      <c r="M88" s="6">
        <f t="shared" si="94"/>
        <v>2.6319444441469386E-2</v>
      </c>
      <c r="N88" s="7">
        <f t="shared" si="95"/>
        <v>37.899999995715916</v>
      </c>
      <c r="O88" s="7"/>
      <c r="P88" s="7"/>
      <c r="Q88" s="22"/>
      <c r="R88" s="170"/>
      <c r="S88" s="213">
        <f t="shared" si="96"/>
        <v>1</v>
      </c>
      <c r="T88" s="195" t="str">
        <f t="shared" si="97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70"/>
        <v>https://d0f6bd738d7f1b3e5a7ca70fe4ff75f0.us-east-1.aws.found.io/app/kibana#/discover/Steve-Slow-Train-Analysis-(2080s-and-2083s)?_g=(refreshInterval:(display:Off,pause:!f,section:0,value:0),time:(from:'2017-08-11T12:35:34-0600',mode:absolute,to:'2017-08-11T15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8" s="197" t="str">
        <f>IF(AA88&lt;VLOOKUP(AG88,Variables!$AC$3:$AD$8,2,FALSE),"Y","N")</f>
        <v>N</v>
      </c>
      <c r="X88" s="197">
        <f t="shared" si="73"/>
        <v>1</v>
      </c>
      <c r="Y88" s="197">
        <f t="shared" si="74"/>
        <v>23.306899999999999</v>
      </c>
      <c r="Z88" s="197">
        <f>RIGHT(H88,LEN(H88)-4)/10000</f>
        <v>1.34E-2</v>
      </c>
      <c r="AA88" s="197">
        <f t="shared" si="98"/>
        <v>23.293499999999998</v>
      </c>
      <c r="AB88" s="54" t="e">
        <f>VLOOKUP(A88,Enforcements!$C$7:$K$12,8,0)</f>
        <v>#N/A</v>
      </c>
      <c r="AC88" s="51" t="e">
        <f>VLOOKUP(A88,Enforcements!$C$7:$E$12,3,0)</f>
        <v>#N/A</v>
      </c>
      <c r="AD88" s="206">
        <f t="shared" si="99"/>
        <v>174</v>
      </c>
      <c r="AE88" s="77" t="str">
        <f t="shared" si="71"/>
        <v>aws s3 cp s3://rtdc.mdm.uploadarchive.raw/RTDC4059/ "%USERPROFILE%\AppData\Local\Temp\OnboardLogs"\RTDC4059\2017-08-11 --exclude "*" --recursive --include "*20170811*" &amp; "%USERPROFILE%\Documents\GitHub\mrs-test-scripts\Headless Mode &amp; Sideloading\WalkAndUnGZ.bat" "%USERPROFILE%\AppData\Local\Temp\OnboardLogs"\RTDC4059\2017-08-11 &amp; aws s3 cp s3://rtdc.mdm.uploadarchive.raw/RTDC4059/ "%USERPROFILE%\AppData\Local\Temp\OnboardLogs"\RTDC4059\2017-08-12 --exclude "*" --recursive --include "*20170812*" &amp; "%USERPROFILE%\Documents\GitHub\mrs-test-scripts\Headless Mode &amp; Sideloading\WalkAndUnGZ.bat" "%USERPROFILE%\AppData\Local\Temp\OnboardLogs"\RTDC4059\2017-08-12</v>
      </c>
      <c r="AF88" s="74" t="str">
        <f t="shared" si="72"/>
        <v>"C:\Program Files (x86)\AstroGrep\AstroGrep.exe" /e /r /s /spath="%USERPROFILE%\AppData\Local\Temp\OnboardLogs" /stypes="app*4059*20170811*" /stext=" 20:.+((SYSTEM_STATE.+slice.+state.+changed )|(ment ac)|(multiple cpu faults)|(system.+state.+changed )|(\[timeout)|(PRM\|1\|D)|(kpr)|(kdp)|(train st.+moving)|(\|lc)|(penalty))"</v>
      </c>
      <c r="AG88" s="209" t="str">
        <f t="shared" si="100"/>
        <v>EC</v>
      </c>
      <c r="AH88" s="78" t="str">
        <f t="shared" si="75"/>
        <v>"%USERPROFILE%\Documents\GitHub\eaglep3\Utilities\RefineRTDCRunTimes.py" --tripid 174-11 --locoid 4059 --swversion DE.1.0.9.0 --startMP 204:233069 --initTime 2017-08-11T13:35:34 --startdatetime 2017-08-11T13:42:17 --delay 1 --endMP 204:134 --enddatetime 2017-08-11T14:20:11 --enforcementcount 0 &gt;&gt;C:\Users\stu\Documents\GitHub\eaglep3-reporting\EC\2017-08-11-refined-times.txt</v>
      </c>
      <c r="AI88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{"issue":{"subject":"","project_id":79,"tracker_id":40,"status_id":1,"priority_id":2,"assigned_to_id":23,"start_date":"2017-08-11","description":"","custom_fields":[{"id":1,"name":"Subdivision","value":"EC"},{"id":4,"name":"Milepost","value":"0.0134"},{"id":17,"name":"Train ID","value":"174-11"},{"id":16,"name":"Locomotive ID","value":"4059"},{"id":130,"name":"Impact","value":""},{"id":150,"name":"Time of Event (Mountain Time)","value":"14:20:11"},{"id":151,"name":"Denver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77"/>
        <v>start /low /b %USERPROFILE%\Documents\GitHub\eaglep3\Utilities\DownloadLogsFromS3.py --loco 4059 --day 2017-08-11</v>
      </c>
      <c r="AN88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20:20:11"},{"id":29,"name":"Sharepoint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621</v>
      </c>
      <c r="B89" s="7">
        <v>4066</v>
      </c>
      <c r="C89" s="21" t="s">
        <v>198</v>
      </c>
      <c r="D89" s="21" t="s">
        <v>393</v>
      </c>
      <c r="E89" s="13">
        <v>42958.540266203701</v>
      </c>
      <c r="F89" s="13">
        <v>42958.542766203704</v>
      </c>
      <c r="G89" s="7">
        <v>1</v>
      </c>
      <c r="H89" s="21" t="s">
        <v>906</v>
      </c>
      <c r="I89" s="13">
        <v>42958.568692129629</v>
      </c>
      <c r="J89" s="7">
        <v>0</v>
      </c>
      <c r="K89" s="89" t="str">
        <f t="shared" si="93"/>
        <v>4065/4066</v>
      </c>
      <c r="L89" s="21" t="str">
        <f>VLOOKUP(A89,'Trips&amp;Operators'!$C$1:$G$99999,5,FALSE)</f>
        <v>THOMPSON LESTER</v>
      </c>
      <c r="M89" s="6">
        <f t="shared" si="94"/>
        <v>2.5925925925548654E-2</v>
      </c>
      <c r="N89" s="7">
        <f t="shared" si="95"/>
        <v>37.333333332790062</v>
      </c>
      <c r="O89" s="7"/>
      <c r="P89" s="7"/>
      <c r="Q89" s="22"/>
      <c r="R89" s="170"/>
      <c r="S89" s="213">
        <f t="shared" si="96"/>
        <v>1</v>
      </c>
      <c r="T89" s="195" t="str">
        <f t="shared" si="97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70"/>
        <v>https://d0f6bd738d7f1b3e5a7ca70fe4ff75f0.us-east-1.aws.found.io/app/kibana#/discover/Steve-Slow-Train-Analysis-(2080s-and-2083s)?_g=(refreshInterval:(display:Off,pause:!f,section:0,value:0),time:(from:'2017-08-11T11:57:59-0600',mode:absolute,to:'2017-08-11T14:38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9" s="197" t="str">
        <f>IF(AA89&lt;VLOOKUP(AG89,Variables!$AC$3:$AD$8,2,FALSE),"Y","N")</f>
        <v>N</v>
      </c>
      <c r="X89" s="197">
        <f t="shared" si="73"/>
        <v>1</v>
      </c>
      <c r="Y89" s="197">
        <f t="shared" si="74"/>
        <v>4.5499999999999999E-2</v>
      </c>
      <c r="Z89" s="197">
        <f>RIGHT(H89,LEN(H89)-4)/10000</f>
        <v>23.340599999999998</v>
      </c>
      <c r="AA89" s="197">
        <f t="shared" si="98"/>
        <v>23.295099999999998</v>
      </c>
      <c r="AB89" s="54" t="e">
        <f>VLOOKUP(A89,Enforcements!$C$7:$K$12,8,0)</f>
        <v>#N/A</v>
      </c>
      <c r="AC89" s="51" t="e">
        <f>VLOOKUP(A89,Enforcements!$C$7:$E$12,3,0)</f>
        <v>#N/A</v>
      </c>
      <c r="AD89" s="206">
        <f t="shared" si="99"/>
        <v>175</v>
      </c>
      <c r="AE89" s="77" t="str">
        <f t="shared" si="71"/>
        <v>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 &amp; aws s3 cp s3://rtdc.mdm.uploadarchive.raw/RTDC4066/ "%USERPROFILE%\AppData\Local\Temp\OnboardLogs"\RTDC4066\2017-08-12 --exclude "*" --recursive --include "*20170812*" &amp; "%USERPROFILE%\Documents\GitHub\mrs-test-scripts\Headless Mode &amp; Sideloading\WalkAndUnGZ.bat" "%USERPROFILE%\AppData\Local\Temp\OnboardLogs"\RTDC4066\2017-08-12</v>
      </c>
      <c r="AF89" s="74" t="str">
        <f t="shared" si="72"/>
        <v>"C:\Program Files (x86)\AstroGrep\AstroGrep.exe" /e /r /s /spath="%USERPROFILE%\AppData\Local\Temp\OnboardLogs" /stypes="app*4066*20170811*" /stext=" 19:.+((SYSTEM_STATE.+slice.+state.+changed )|(ment ac)|(multiple cpu faults)|(system.+state.+changed )|(\[timeout)|(PRM\|1\|D)|(kpr)|(kdp)|(train st.+moving)|(\|lc)|(penalty))"</v>
      </c>
      <c r="AG89" s="209" t="str">
        <f t="shared" si="100"/>
        <v>EC</v>
      </c>
      <c r="AH89" s="78" t="str">
        <f t="shared" si="75"/>
        <v>"%USERPROFILE%\Documents\GitHub\eaglep3\Utilities\RefineRTDCRunTimes.py" --tripid 175-11 --locoid 4066 --swversion DE.1.0.9.0 --startMP 204:455 --initTime 2017-08-11T12:57:59 --startdatetime 2017-08-11T13:01:35 --delay 1 --endMP 204:233406 --enddatetime 2017-08-11T13:38:55 --enforcementcount 0 &gt;&gt;C:\Users\stu\Documents\GitHub\eaglep3-reporting\EC\2017-08-11-refined-times.txt</v>
      </c>
      <c r="AI89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{"issue":{"subject":"","project_id":79,"tracker_id":40,"status_id":1,"priority_id":2,"assigned_to_id":23,"start_date":"2017-08-11","description":"","custom_fields":[{"id":1,"name":"Subdivision","value":"EC"},{"id":4,"name":"Milepost","value":"23.3406"},{"id":17,"name":"Train ID","value":"175-11"},{"id":16,"name":"Locomotive ID","value":"4066"},{"id":130,"name":"Impact","value":""},{"id":150,"name":"Time of Event (Mountain Time)","value":"13:38:55"},{"id":151,"name":"Denver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77"/>
        <v>start /low /b %USERPROFILE%\Documents\GitHub\eaglep3\Utilities\DownloadLogsFromS3.py --loco 4066 --day 2017-08-11</v>
      </c>
      <c r="AN89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19:38:55"},{"id":29,"name":"Sharepoint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624</v>
      </c>
      <c r="B90" s="7">
        <v>4065</v>
      </c>
      <c r="C90" s="21" t="s">
        <v>198</v>
      </c>
      <c r="D90" s="21" t="s">
        <v>393</v>
      </c>
      <c r="E90" s="13">
        <v>42958.540266203701</v>
      </c>
      <c r="F90" s="13">
        <v>42958.581550925926</v>
      </c>
      <c r="G90" s="7">
        <v>1</v>
      </c>
      <c r="H90" s="21" t="s">
        <v>906</v>
      </c>
      <c r="I90" s="13">
        <v>42958.609594907408</v>
      </c>
      <c r="J90" s="7">
        <v>0</v>
      </c>
      <c r="K90" s="89" t="str">
        <f t="shared" si="93"/>
        <v>4065/4066</v>
      </c>
      <c r="L90" s="21" t="str">
        <f>VLOOKUP(A90,'Trips&amp;Operators'!$C$1:$G$99999,5,FALSE)</f>
        <v>THOMPSON LESTER</v>
      </c>
      <c r="M90" s="6">
        <f t="shared" si="94"/>
        <v>2.8043981481459923E-2</v>
      </c>
      <c r="N90" s="7">
        <f t="shared" si="95"/>
        <v>40.383333333302289</v>
      </c>
      <c r="O90" s="7"/>
      <c r="P90" s="7"/>
      <c r="Q90" s="22"/>
      <c r="R90" s="170"/>
      <c r="S90" s="213">
        <f t="shared" si="96"/>
        <v>1</v>
      </c>
      <c r="T90" s="195" t="str">
        <f t="shared" si="97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70"/>
        <v>https://d0f6bd738d7f1b3e5a7ca70fe4ff75f0.us-east-1.aws.found.io/app/kibana#/discover/Steve-Slow-Train-Analysis-(2080s-and-2083s)?_g=(refreshInterval:(display:Off,pause:!f,section:0,value:0),time:(from:'2017-08-11T11:57:59-0600',mode:absolute,to:'2017-08-11T15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0" s="197" t="str">
        <f>IF(AA90&lt;VLOOKUP(AG90,Variables!$AC$3:$AD$8,2,FALSE),"Y","N")</f>
        <v>N</v>
      </c>
      <c r="X90" s="197">
        <f t="shared" si="73"/>
        <v>1</v>
      </c>
      <c r="Y90" s="197">
        <v>23.306899999999999</v>
      </c>
      <c r="Z90" s="197">
        <v>1.34E-2</v>
      </c>
      <c r="AA90" s="197">
        <f t="shared" si="98"/>
        <v>23.293499999999998</v>
      </c>
      <c r="AB90" s="54" t="e">
        <f>VLOOKUP(A90,Enforcements!$C$7:$K$12,8,0)</f>
        <v>#N/A</v>
      </c>
      <c r="AC90" s="51" t="e">
        <f>VLOOKUP(A90,Enforcements!$C$7:$E$12,3,0)</f>
        <v>#N/A</v>
      </c>
      <c r="AD90" s="206">
        <f t="shared" si="99"/>
        <v>176</v>
      </c>
      <c r="AE90" s="77" t="str">
        <f t="shared" si="71"/>
        <v>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 &amp; aws s3 cp s3://rtdc.mdm.uploadarchive.raw/RTDC4065/ "%USERPROFILE%\AppData\Local\Temp\OnboardLogs"\RTDC4065\2017-08-12 --exclude "*" --recursive --include "*20170812*" &amp; "%USERPROFILE%\Documents\GitHub\mrs-test-scripts\Headless Mode &amp; Sideloading\WalkAndUnGZ.bat" "%USERPROFILE%\AppData\Local\Temp\OnboardLogs"\RTDC4065\2017-08-12</v>
      </c>
      <c r="AF90" s="74" t="str">
        <f t="shared" si="72"/>
        <v>"C:\Program Files (x86)\AstroGrep\AstroGrep.exe" /e /r /s /spath="%USERPROFILE%\AppData\Local\Temp\OnboardLogs" /stypes="app*4065*20170811*" /stext=" 20:.+((SYSTEM_STATE.+slice.+state.+changed )|(ment ac)|(multiple cpu faults)|(system.+state.+changed )|(\[timeout)|(PRM\|1\|D)|(kpr)|(kdp)|(train st.+moving)|(\|lc)|(penalty))"</v>
      </c>
      <c r="AG90" s="209" t="str">
        <f t="shared" si="100"/>
        <v>EC</v>
      </c>
      <c r="AH90" s="78" t="str">
        <f t="shared" ref="AH90" si="101">refinertdcruntimes&amp;" --tripid "&amp;A90&amp;" --locoid "&amp;B90&amp;" --swversion "&amp;C90&amp;" --startMP "&amp;D90&amp;" --initTime "&amp;TEXT(E90,"yyyy-mm-ddTHH:MM:SS")&amp;" --startdatetime "&amp;TEXT(F90,"yyyy-mm-ddTHH:MM:SS")&amp;" --delay "&amp;G90&amp;" --endMP "&amp;H90&amp;" --enddatetime "&amp;TEXT(I90,"yyyy-mm-ddTHH:MM:SS")&amp;" --enforcementcount "&amp;J90&amp;IF(outputrefinedruntimes," &gt;&gt;"&amp;RefinedRTDCRunTimesOutputFile,"")</f>
        <v>"%USERPROFILE%\Documents\GitHub\eaglep3\Utilities\RefineRTDCRunTimes.py" --tripid 176-11 --locoid 4065 --swversion DE.1.0.9.0 --startMP 204:455 --initTime 2017-08-11T12:57:59 --startdatetime 2017-08-11T13:57:26 --delay 1 --endMP 204:233406 --enddatetime 2017-08-11T14:37:49 --enforcementcount 0 &gt;&gt;C:\Users\stu\Documents\GitHub\eaglep3-reporting\EC\2017-08-11-refined-times.txt</v>
      </c>
      <c r="AI90" s="96" t="str">
        <f t="shared" ref="AI90" si="102">"echo {""issue"":{""subject"":"""&amp;R90&amp;""",""project_id"":79,""tracker_id"":40,""status_id"":"&amp;redmine_status&amp;",""priority_id"":"&amp;redmine_priority&amp;",""assigned_to_id"":"&amp;redmine_assignee&amp;",""start_date"":"""&amp;TEXT(I90,"YYYY-mm-dd")&amp;""",""description"":"""&amp;AJ90&amp;""",""custom_fields"":[{""id"":1,""name"":""Subdivision"",""value"":"""&amp;AG90&amp;"""},{""id"":4,""name"":""Milepost"",""value"":"""&amp;Z90&amp;"""},{""id"":17,""name"":""Train ID"",""value"":"""&amp;A90&amp;"""},{""id"":16,""name"":""Locomotive ID"",""value"":"""&amp;B90&amp;"""},{""id"":130,""name"":""Impact"",""value"":"""&amp;AK90&amp;"""},{""id"":150,""name"":""Time of Event (Mountain Time)"",""value"":"""&amp;TEXT(I90,"hh:mm:ss")&amp;"""},{""id"":151,""name"":""Denver Issue ID"",""value"":"""&amp;"""},{""id"":178,""name"":""Operational Impact"",""value"":"""&amp;redmine_op_impact&amp;"""},{""id"":179,""name"":""Denver Segment Assigned"",""value"":"""&amp;AL90&amp;"""}]}}"&amp;"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{"issue":{"subject":"","project_id":79,"tracker_id":40,"status_id":1,"priority_id":2,"assigned_to_id":23,"start_date":"2017-08-11","description":"","custom_fields":[{"id":1,"name":"Subdivision","value":"EC"},{"id":4,"name":"Milepost","value":"0.0134"},{"id":17,"name":"Train ID","value":"176-11"},{"id":16,"name":"Locomotive ID","value":"4065"},{"id":130,"name":"Impact","value":""},{"id":150,"name":"Time of Event (Mountain Time)","value":"14:37:49"},{"id":151,"name":"Denver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ref="AM90" si="103">"start /low /b "&amp;dls3logs&amp;" --loco "&amp;B90&amp;" --day "&amp;TEXT(F90,"YYYY-MM-DD")</f>
        <v>start /low /b %USERPROFILE%\Documents\GitHub\eaglep3\Utilities\DownloadLogsFromS3.py --loco 4065 --day 2017-08-11</v>
      </c>
      <c r="AN90" s="151" t="str">
        <f t="shared" ref="AN90" si="104">"echo {""issue"":{""subject"":"""&amp;R90&amp;""",""project_id"":30,""tracker_id"":4,""status_id"":"&amp;redmine_status_wcr&amp;",""priority_id"":"&amp;redmine_priority_wcr&amp;",""assigned_to_id"":"&amp;redmine_assignee_wcr&amp;",""start_date"":"""&amp;TEXT(I90-utc_offset/24,"YYYY-mm-dd")&amp;""",""description"":"""&amp;AJ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20:37:49"},{"id":29,"name":"Sharepoint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0"/>
      <c r="BP90" s="20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0"/>
      <c r="CD90" s="20"/>
      <c r="CE90" s="20"/>
      <c r="CF90" s="20"/>
      <c r="CG90" s="20"/>
      <c r="CH90" s="20"/>
      <c r="CI90" s="20"/>
      <c r="CJ90" s="20"/>
      <c r="CK90" s="20"/>
      <c r="CL90" s="20"/>
      <c r="CM90" s="20"/>
    </row>
    <row r="91" spans="1:91" s="1" customFormat="1" x14ac:dyDescent="0.25">
      <c r="A91" s="32" t="s">
        <v>767</v>
      </c>
      <c r="B91" s="7">
        <v>4020</v>
      </c>
      <c r="C91" s="21" t="s">
        <v>198</v>
      </c>
      <c r="D91" s="21" t="s">
        <v>522</v>
      </c>
      <c r="E91" s="13">
        <v>42958.549375000002</v>
      </c>
      <c r="F91" s="13">
        <v>42958.552662037036</v>
      </c>
      <c r="G91" s="7">
        <v>1</v>
      </c>
      <c r="H91" s="21" t="s">
        <v>567</v>
      </c>
      <c r="I91" s="13">
        <v>42958.577708333331</v>
      </c>
      <c r="J91" s="7">
        <v>0</v>
      </c>
      <c r="K91" s="89" t="str">
        <f t="shared" si="93"/>
        <v>4019/4020</v>
      </c>
      <c r="L91" s="21" t="str">
        <f>VLOOKUP(A91,'Trips&amp;Operators'!$C$1:$G$99999,5,FALSE)</f>
        <v>STEWART MICHAEL</v>
      </c>
      <c r="M91" s="6">
        <f t="shared" si="94"/>
        <v>2.5046296294021886E-2</v>
      </c>
      <c r="N91" s="7">
        <f t="shared" si="95"/>
        <v>36.066666663391516</v>
      </c>
      <c r="O91" s="7"/>
      <c r="P91" s="7"/>
      <c r="Q91" s="22"/>
      <c r="R91" s="170"/>
      <c r="S91" s="213">
        <f t="shared" si="96"/>
        <v>1</v>
      </c>
      <c r="T91" s="195" t="str">
        <f t="shared" si="97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70"/>
        <v>https://d0f6bd738d7f1b3e5a7ca70fe4ff75f0.us-east-1.aws.found.io/app/kibana#/discover/Steve-Slow-Train-Analysis-(2080s-and-2083s)?_g=(refreshInterval:(display:Off,pause:!f,section:0,value:0),time:(from:'2017-08-11T12:11:06-0600',mode:absolute,to:'2017-08-11T14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1" s="197" t="str">
        <f>IF(AA91&lt;VLOOKUP(AG91,Variables!$AC$3:$AD$8,2,FALSE),"Y","N")</f>
        <v>N</v>
      </c>
      <c r="X91" s="197">
        <f t="shared" si="73"/>
        <v>1</v>
      </c>
      <c r="Y91" s="197">
        <f t="shared" si="74"/>
        <v>4.4400000000000002E-2</v>
      </c>
      <c r="Z91" s="197">
        <f t="shared" ref="Z91:Z122" si="105">RIGHT(H91,LEN(H91)-4)/10000</f>
        <v>23.328499999999998</v>
      </c>
      <c r="AA91" s="197">
        <f t="shared" si="98"/>
        <v>23.284099999999999</v>
      </c>
      <c r="AB91" s="54" t="e">
        <f>VLOOKUP(A91,Enforcements!$C$7:$K$12,8,0)</f>
        <v>#N/A</v>
      </c>
      <c r="AC91" s="51" t="e">
        <f>VLOOKUP(A91,Enforcements!$C$7:$E$12,3,0)</f>
        <v>#N/A</v>
      </c>
      <c r="AD91" s="206">
        <f t="shared" si="99"/>
        <v>177</v>
      </c>
      <c r="AE91" s="77" t="str">
        <f t="shared" si="71"/>
        <v>aws s3 cp s3://rtdc.mdm.uploadarchive.raw/RTDC4020/ "%USERPROFILE%\AppData\Local\Temp\OnboardLogs"\RTDC4020\2017-08-11 --exclude "*" --recursive --include "*20170811*" &amp; "%USERPROFILE%\Documents\GitHub\mrs-test-scripts\Headless Mode &amp; Sideloading\WalkAndUnGZ.bat" "%USERPROFILE%\AppData\Local\Temp\OnboardLogs"\RTDC4020\2017-08-11 &amp; aws s3 cp s3://rtdc.mdm.uploadarchive.raw/RTDC4020/ "%USERPROFILE%\AppData\Local\Temp\OnboardLogs"\RTDC4020\2017-08-12 --exclude "*" --recursive --include "*20170812*" &amp; "%USERPROFILE%\Documents\GitHub\mrs-test-scripts\Headless Mode &amp; Sideloading\WalkAndUnGZ.bat" "%USERPROFILE%\AppData\Local\Temp\OnboardLogs"\RTDC4020\2017-08-12</v>
      </c>
      <c r="AF91" s="74" t="str">
        <f t="shared" si="72"/>
        <v>"C:\Program Files (x86)\AstroGrep\AstroGrep.exe" /e /r /s /spath="%USERPROFILE%\AppData\Local\Temp\OnboardLogs" /stypes="app*4020*20170811*" /stext=" 19:.+((SYSTEM_STATE.+slice.+state.+changed )|(ment ac)|(multiple cpu faults)|(system.+state.+changed )|(\[timeout)|(PRM\|1\|D)|(kpr)|(kdp)|(train st.+moving)|(\|lc)|(penalty))"</v>
      </c>
      <c r="AG91" s="209" t="str">
        <f t="shared" si="100"/>
        <v>EC</v>
      </c>
      <c r="AH91" s="78" t="str">
        <f t="shared" si="75"/>
        <v>"%USERPROFILE%\Documents\GitHub\eaglep3\Utilities\RefineRTDCRunTimes.py" --tripid 177-11 --locoid 4020 --swversion DE.1.0.9.0 --startMP 204:444 --initTime 2017-08-11T13:11:06 --startdatetime 2017-08-11T13:15:50 --delay 1 --endMP 204:233285 --enddatetime 2017-08-11T13:51:54 --enforcementcount 0 &gt;&gt;C:\Users\stu\Documents\GitHub\eaglep3-reporting\EC\2017-08-11-refined-times.txt</v>
      </c>
      <c r="AI91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{"issue":{"subject":"","project_id":79,"tracker_id":40,"status_id":1,"priority_id":2,"assigned_to_id":23,"start_date":"2017-08-11","description":"","custom_fields":[{"id":1,"name":"Subdivision","value":"EC"},{"id":4,"name":"Milepost","value":"23.3285"},{"id":17,"name":"Train ID","value":"177-11"},{"id":16,"name":"Locomotive ID","value":"4020"},{"id":130,"name":"Impact","value":""},{"id":150,"name":"Time of Event (Mountain Time)","value":"13:51:54"},{"id":151,"name":"Denver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77"/>
        <v>start /low /b %USERPROFILE%\Documents\GitHub\eaglep3\Utilities\DownloadLogsFromS3.py --loco 4020 --day 2017-08-11</v>
      </c>
      <c r="AN91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19:51:54"},{"id":29,"name":"Sharepoint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777</v>
      </c>
      <c r="B92" s="7">
        <v>4019</v>
      </c>
      <c r="C92" s="21" t="s">
        <v>198</v>
      </c>
      <c r="D92" s="21" t="s">
        <v>465</v>
      </c>
      <c r="E92" s="13">
        <v>42958.587708333333</v>
      </c>
      <c r="F92" s="13">
        <v>42958.591863425929</v>
      </c>
      <c r="G92" s="7">
        <v>1</v>
      </c>
      <c r="H92" s="21" t="s">
        <v>579</v>
      </c>
      <c r="I92" s="13">
        <v>42958.618877314817</v>
      </c>
      <c r="J92" s="7">
        <v>0</v>
      </c>
      <c r="K92" s="89" t="str">
        <f t="shared" si="93"/>
        <v>4019/4020</v>
      </c>
      <c r="L92" s="21" t="str">
        <f>VLOOKUP(A92,'Trips&amp;Operators'!$C$1:$G$99999,5,FALSE)</f>
        <v>STEWART MICHAEL</v>
      </c>
      <c r="M92" s="6">
        <f t="shared" si="94"/>
        <v>2.7013888888177462E-2</v>
      </c>
      <c r="N92" s="7">
        <f t="shared" si="95"/>
        <v>38.899999998975545</v>
      </c>
      <c r="O92" s="7"/>
      <c r="P92" s="7"/>
      <c r="Q92" s="22"/>
      <c r="R92" s="170"/>
      <c r="S92" s="213">
        <f t="shared" si="96"/>
        <v>1</v>
      </c>
      <c r="T92" s="195" t="str">
        <f t="shared" si="97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70"/>
        <v>https://d0f6bd738d7f1b3e5a7ca70fe4ff75f0.us-east-1.aws.found.io/app/kibana#/discover/Steve-Slow-Train-Analysis-(2080s-and-2083s)?_g=(refreshInterval:(display:Off,pause:!f,section:0,value:0),time:(from:'2017-08-11T13:06:18-0600',mode:absolute,to:'2017-08-11T15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2" s="197" t="str">
        <f>IF(AA92&lt;VLOOKUP(AG92,Variables!$AC$3:$AD$8,2,FALSE),"Y","N")</f>
        <v>N</v>
      </c>
      <c r="X92" s="197">
        <f t="shared" si="73"/>
        <v>1</v>
      </c>
      <c r="Y92" s="197">
        <f t="shared" si="74"/>
        <v>23.297799999999999</v>
      </c>
      <c r="Z92" s="197">
        <f t="shared" si="105"/>
        <v>1.67E-2</v>
      </c>
      <c r="AA92" s="197">
        <f t="shared" si="98"/>
        <v>23.281099999999999</v>
      </c>
      <c r="AB92" s="54" t="e">
        <f>VLOOKUP(A92,Enforcements!$C$7:$K$12,8,0)</f>
        <v>#N/A</v>
      </c>
      <c r="AC92" s="51" t="e">
        <f>VLOOKUP(A92,Enforcements!$C$7:$E$12,3,0)</f>
        <v>#N/A</v>
      </c>
      <c r="AD92" s="206">
        <f t="shared" si="99"/>
        <v>178</v>
      </c>
      <c r="AE92" s="77" t="str">
        <f t="shared" si="71"/>
        <v>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 &amp; aws s3 cp s3://rtdc.mdm.uploadarchive.raw/RTDC4019/ "%USERPROFILE%\AppData\Local\Temp\OnboardLogs"\RTDC4019\2017-08-12 --exclude "*" --recursive --include "*20170812*" &amp; "%USERPROFILE%\Documents\GitHub\mrs-test-scripts\Headless Mode &amp; Sideloading\WalkAndUnGZ.bat" "%USERPROFILE%\AppData\Local\Temp\OnboardLogs"\RTDC4019\2017-08-12</v>
      </c>
      <c r="AF92" s="74" t="str">
        <f t="shared" si="72"/>
        <v>"C:\Program Files (x86)\AstroGrep\AstroGrep.exe" /e /r /s /spath="%USERPROFILE%\AppData\Local\Temp\OnboardLogs" /stypes="app*4019*20170811*" /stext=" 20:.+((SYSTEM_STATE.+slice.+state.+changed )|(ment ac)|(multiple cpu faults)|(system.+state.+changed )|(\[timeout)|(PRM\|1\|D)|(kpr)|(kdp)|(train st.+moving)|(\|lc)|(penalty))"</v>
      </c>
      <c r="AG92" s="209" t="str">
        <f t="shared" si="100"/>
        <v>EC</v>
      </c>
      <c r="AH92" s="78" t="str">
        <f t="shared" si="75"/>
        <v>"%USERPROFILE%\Documents\GitHub\eaglep3\Utilities\RefineRTDCRunTimes.py" --tripid 178-11 --locoid 4019 --swversion DE.1.0.9.0 --startMP 204:232978 --initTime 2017-08-11T14:06:18 --startdatetime 2017-08-11T14:12:17 --delay 1 --endMP 204:167 --enddatetime 2017-08-11T14:51:11 --enforcementcount 0 &gt;&gt;C:\Users\stu\Documents\GitHub\eaglep3-reporting\EC\2017-08-11-refined-times.txt</v>
      </c>
      <c r="AI92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{"issue":{"subject":"","project_id":79,"tracker_id":40,"status_id":1,"priority_id":2,"assigned_to_id":23,"start_date":"2017-08-11","description":"","custom_fields":[{"id":1,"name":"Subdivision","value":"EC"},{"id":4,"name":"Milepost","value":"0.0167"},{"id":17,"name":"Train ID","value":"178-11"},{"id":16,"name":"Locomotive ID","value":"4019"},{"id":130,"name":"Impact","value":""},{"id":150,"name":"Time of Event (Mountain Time)","value":"14:51:11"},{"id":151,"name":"Denver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77"/>
        <v>start /low /b %USERPROFILE%\Documents\GitHub\eaglep3\Utilities\DownloadLogsFromS3.py --loco 4019 --day 2017-08-11</v>
      </c>
      <c r="AN92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20:51:11"},{"id":29,"name":"Sharepoint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622</v>
      </c>
      <c r="B93" s="7">
        <v>4030</v>
      </c>
      <c r="C93" s="21" t="s">
        <v>198</v>
      </c>
      <c r="D93" s="21" t="s">
        <v>907</v>
      </c>
      <c r="E93" s="13">
        <v>42958.558657407404</v>
      </c>
      <c r="F93" s="13">
        <v>42958.563078703701</v>
      </c>
      <c r="G93" s="7">
        <v>1</v>
      </c>
      <c r="H93" s="21" t="s">
        <v>529</v>
      </c>
      <c r="I93" s="13">
        <v>42958.588680555556</v>
      </c>
      <c r="J93" s="7">
        <v>0</v>
      </c>
      <c r="K93" s="89" t="str">
        <f t="shared" si="93"/>
        <v>4029/4030</v>
      </c>
      <c r="L93" s="21" t="str">
        <f>VLOOKUP(A93,'Trips&amp;Operators'!$C$1:$G$99999,5,FALSE)</f>
        <v>WEST BRYAN</v>
      </c>
      <c r="M93" s="6">
        <f t="shared" si="94"/>
        <v>2.5601851855753921E-2</v>
      </c>
      <c r="N93" s="7">
        <f t="shared" si="95"/>
        <v>36.866666672285646</v>
      </c>
      <c r="O93" s="7"/>
      <c r="P93" s="7"/>
      <c r="Q93" s="22"/>
      <c r="R93" s="170"/>
      <c r="S93" s="213">
        <f t="shared" si="96"/>
        <v>1</v>
      </c>
      <c r="T93" s="195" t="str">
        <f t="shared" si="97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70"/>
        <v>https://d0f6bd738d7f1b3e5a7ca70fe4ff75f0.us-east-1.aws.found.io/app/kibana#/discover/Steve-Slow-Train-Analysis-(2080s-and-2083s)?_g=(refreshInterval:(display:Off,pause:!f,section:0,value:0),time:(from:'2017-08-11T12:24:28-0600',mode:absolute,to:'2017-08-11T15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3" s="197" t="str">
        <f>IF(AA93&lt;VLOOKUP(AG93,Variables!$AC$3:$AD$8,2,FALSE),"Y","N")</f>
        <v>N</v>
      </c>
      <c r="X93" s="197">
        <f t="shared" si="73"/>
        <v>1</v>
      </c>
      <c r="Y93" s="197">
        <f t="shared" si="74"/>
        <v>4.9799999999999997E-2</v>
      </c>
      <c r="Z93" s="197">
        <f t="shared" si="105"/>
        <v>23.333200000000001</v>
      </c>
      <c r="AA93" s="197">
        <f t="shared" si="98"/>
        <v>23.2834</v>
      </c>
      <c r="AB93" s="54" t="e">
        <f>VLOOKUP(A93,Enforcements!$C$7:$K$12,8,0)</f>
        <v>#N/A</v>
      </c>
      <c r="AC93" s="51" t="e">
        <f>VLOOKUP(A93,Enforcements!$C$7:$E$12,3,0)</f>
        <v>#N/A</v>
      </c>
      <c r="AD93" s="206">
        <f t="shared" si="99"/>
        <v>179</v>
      </c>
      <c r="AE93" s="77" t="str">
        <f t="shared" si="71"/>
        <v>aws s3 cp s3://rtdc.mdm.uploadarchive.raw/RTDC4030/ "%USERPROFILE%\AppData\Local\Temp\OnboardLogs"\RTDC4030\2017-08-11 --exclude "*" --recursive --include "*20170811*" &amp; "%USERPROFILE%\Documents\GitHub\mrs-test-scripts\Headless Mode &amp; Sideloading\WalkAndUnGZ.bat" "%USERPROFILE%\AppData\Local\Temp\OnboardLogs"\RTDC4030\2017-08-11 &amp; aws s3 cp s3://rtdc.mdm.uploadarchive.raw/RTDC4030/ "%USERPROFILE%\AppData\Local\Temp\OnboardLogs"\RTDC4030\2017-08-12 --exclude "*" --recursive --include "*20170812*" &amp; "%USERPROFILE%\Documents\GitHub\mrs-test-scripts\Headless Mode &amp; Sideloading\WalkAndUnGZ.bat" "%USERPROFILE%\AppData\Local\Temp\OnboardLogs"\RTDC4030\2017-08-12</v>
      </c>
      <c r="AF93" s="74" t="str">
        <f t="shared" si="72"/>
        <v>"C:\Program Files (x86)\AstroGrep\AstroGrep.exe" /e /r /s /spath="%USERPROFILE%\AppData\Local\Temp\OnboardLogs" /stypes="app*4030*20170811*" /stext=" 20:.+((SYSTEM_STATE.+slice.+state.+changed )|(ment ac)|(multiple cpu faults)|(system.+state.+changed )|(\[timeout)|(PRM\|1\|D)|(kpr)|(kdp)|(train st.+moving)|(\|lc)|(penalty))"</v>
      </c>
      <c r="AG93" s="209" t="str">
        <f t="shared" si="100"/>
        <v>EC</v>
      </c>
      <c r="AH93" s="78" t="str">
        <f t="shared" si="75"/>
        <v>"%USERPROFILE%\Documents\GitHub\eaglep3\Utilities\RefineRTDCRunTimes.py" --tripid 179-11 --locoid 4030 --swversion DE.1.0.9.0 --startMP 204:498 --initTime 2017-08-11T13:24:28 --startdatetime 2017-08-11T13:30:50 --delay 1 --endMP 204:233332 --enddatetime 2017-08-11T14:07:42 --enforcementcount 0 &gt;&gt;C:\Users\stu\Documents\GitHub\eaglep3-reporting\EC\2017-08-11-refined-times.txt</v>
      </c>
      <c r="AI93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{"issue":{"subject":"","project_id":79,"tracker_id":40,"status_id":1,"priority_id":2,"assigned_to_id":23,"start_date":"2017-08-11","description":"","custom_fields":[{"id":1,"name":"Subdivision","value":"EC"},{"id":4,"name":"Milepost","value":"23.3332"},{"id":17,"name":"Train ID","value":"179-11"},{"id":16,"name":"Locomotive ID","value":"4030"},{"id":130,"name":"Impact","value":""},{"id":150,"name":"Time of Event (Mountain Time)","value":"14:07:42"},{"id":151,"name":"Denver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77"/>
        <v>start /low /b %USERPROFILE%\Documents\GitHub\eaglep3\Utilities\DownloadLogsFromS3.py --loco 4030 --day 2017-08-11</v>
      </c>
      <c r="AN93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20:07:42"},{"id":29,"name":"Sharepoint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778</v>
      </c>
      <c r="B94" s="7">
        <v>4029</v>
      </c>
      <c r="C94" s="21" t="s">
        <v>198</v>
      </c>
      <c r="D94" s="21" t="s">
        <v>480</v>
      </c>
      <c r="E94" s="13">
        <v>42958.595509259256</v>
      </c>
      <c r="F94" s="13">
        <v>42958.60229166667</v>
      </c>
      <c r="G94" s="7">
        <v>1</v>
      </c>
      <c r="H94" s="21" t="s">
        <v>1100</v>
      </c>
      <c r="I94" s="13">
        <v>42958.629490740743</v>
      </c>
      <c r="J94" s="7">
        <v>0</v>
      </c>
      <c r="K94" s="89" t="str">
        <f t="shared" si="93"/>
        <v>4029/4030</v>
      </c>
      <c r="L94" s="21" t="str">
        <f>VLOOKUP(A94,'Trips&amp;Operators'!$C$1:$G$99999,5,FALSE)</f>
        <v>WEST BRYAN</v>
      </c>
      <c r="M94" s="6">
        <f t="shared" si="94"/>
        <v>2.7199074072996154E-2</v>
      </c>
      <c r="N94" s="7">
        <f t="shared" si="95"/>
        <v>39.166666665114462</v>
      </c>
      <c r="O94" s="7"/>
      <c r="P94" s="7"/>
      <c r="Q94" s="22"/>
      <c r="R94" s="170"/>
      <c r="S94" s="213">
        <f t="shared" si="96"/>
        <v>1</v>
      </c>
      <c r="T94" s="195" t="str">
        <f t="shared" si="97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70"/>
        <v>https://d0f6bd738d7f1b3e5a7ca70fe4ff75f0.us-east-1.aws.found.io/app/kibana#/discover/Steve-Slow-Train-Analysis-(2080s-and-2083s)?_g=(refreshInterval:(display:Off,pause:!f,section:0,value:0),time:(from:'2017-08-11T13:17:32-0600',mode:absolute,to:'2017-08-11T16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4" s="197" t="str">
        <f>IF(AA94&lt;VLOOKUP(AG94,Variables!$AC$3:$AD$8,2,FALSE),"Y","N")</f>
        <v>N</v>
      </c>
      <c r="X94" s="197">
        <f t="shared" si="73"/>
        <v>1</v>
      </c>
      <c r="Y94" s="197">
        <f t="shared" si="74"/>
        <v>23.3002</v>
      </c>
      <c r="Z94" s="197">
        <f t="shared" si="105"/>
        <v>1.52E-2</v>
      </c>
      <c r="AA94" s="197">
        <f t="shared" si="98"/>
        <v>23.285</v>
      </c>
      <c r="AB94" s="54" t="e">
        <f>VLOOKUP(A94,Enforcements!$C$7:$K$12,8,0)</f>
        <v>#N/A</v>
      </c>
      <c r="AC94" s="51" t="e">
        <f>VLOOKUP(A94,Enforcements!$C$7:$E$12,3,0)</f>
        <v>#N/A</v>
      </c>
      <c r="AD94" s="206">
        <f t="shared" si="99"/>
        <v>180</v>
      </c>
      <c r="AE94" s="77" t="str">
        <f t="shared" si="71"/>
        <v>aws s3 cp s3://rtdc.mdm.uploadarchive.raw/RTDC4029/ "%USERPROFILE%\AppData\Local\Temp\OnboardLogs"\RTDC4029\2017-08-11 --exclude "*" --recursive --include "*20170811*" &amp; "%USERPROFILE%\Documents\GitHub\mrs-test-scripts\Headless Mode &amp; Sideloading\WalkAndUnGZ.bat" "%USERPROFILE%\AppData\Local\Temp\OnboardLogs"\RTDC4029\2017-08-11 &amp; aws s3 cp s3://rtdc.mdm.uploadarchive.raw/RTDC4029/ "%USERPROFILE%\AppData\Local\Temp\OnboardLogs"\RTDC4029\2017-08-12 --exclude "*" --recursive --include "*20170812*" &amp; "%USERPROFILE%\Documents\GitHub\mrs-test-scripts\Headless Mode &amp; Sideloading\WalkAndUnGZ.bat" "%USERPROFILE%\AppData\Local\Temp\OnboardLogs"\RTDC4029\2017-08-12</v>
      </c>
      <c r="AF94" s="74" t="str">
        <f t="shared" si="72"/>
        <v>"C:\Program Files (x86)\AstroGrep\AstroGrep.exe" /e /r /s /spath="%USERPROFILE%\AppData\Local\Temp\OnboardLogs" /stypes="app*4029*20170811*" /stext=" 21:.+((SYSTEM_STATE.+slice.+state.+changed )|(ment ac)|(multiple cpu faults)|(system.+state.+changed )|(\[timeout)|(PRM\|1\|D)|(kpr)|(kdp)|(train st.+moving)|(\|lc)|(penalty))"</v>
      </c>
      <c r="AG94" s="209" t="str">
        <f t="shared" si="100"/>
        <v>EC</v>
      </c>
      <c r="AH94" s="78" t="str">
        <f t="shared" si="75"/>
        <v>"%USERPROFILE%\Documents\GitHub\eaglep3\Utilities\RefineRTDCRunTimes.py" --tripid 180-11 --locoid 4029 --swversion DE.1.0.9.0 --startMP 204:233002 --initTime 2017-08-11T14:17:32 --startdatetime 2017-08-11T14:27:18 --delay 1 --endMP 204:152 --enddatetime 2017-08-11T15:06:28 --enforcementcount 0 &gt;&gt;C:\Users\stu\Documents\GitHub\eaglep3-reporting\EC\2017-08-11-refined-times.txt</v>
      </c>
      <c r="AI94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{"issue":{"subject":"","project_id":79,"tracker_id":40,"status_id":1,"priority_id":2,"assigned_to_id":23,"start_date":"2017-08-11","description":"","custom_fields":[{"id":1,"name":"Subdivision","value":"EC"},{"id":4,"name":"Milepost","value":"0.0152"},{"id":17,"name":"Train ID","value":"180-11"},{"id":16,"name":"Locomotive ID","value":"4029"},{"id":130,"name":"Impact","value":""},{"id":150,"name":"Time of Event (Mountain Time)","value":"15:06:28"},{"id":151,"name":"Denver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77"/>
        <v>start /low /b %USERPROFILE%\Documents\GitHub\eaglep3\Utilities\DownloadLogsFromS3.py --loco 4029 --day 2017-08-11</v>
      </c>
      <c r="AN94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21:06:28"},{"id":29,"name":"Sharepoint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772</v>
      </c>
      <c r="B95" s="7">
        <v>4040</v>
      </c>
      <c r="C95" s="21" t="s">
        <v>198</v>
      </c>
      <c r="D95" s="21" t="s">
        <v>434</v>
      </c>
      <c r="E95" s="13">
        <v>42958.569004629629</v>
      </c>
      <c r="F95" s="13">
        <v>42958.573495370372</v>
      </c>
      <c r="G95" s="7">
        <v>1</v>
      </c>
      <c r="H95" s="21" t="s">
        <v>577</v>
      </c>
      <c r="I95" s="13">
        <v>42958.598877314813</v>
      </c>
      <c r="J95" s="7">
        <v>0</v>
      </c>
      <c r="K95" s="89" t="str">
        <f t="shared" si="93"/>
        <v>4039/4040</v>
      </c>
      <c r="L95" s="21" t="str">
        <f>VLOOKUP(A95,'Trips&amp;Operators'!$C$1:$G$99999,5,FALSE)</f>
        <v>YANG JAN</v>
      </c>
      <c r="M95" s="6">
        <f t="shared" si="94"/>
        <v>2.5381944440596271E-2</v>
      </c>
      <c r="N95" s="7">
        <f t="shared" si="95"/>
        <v>36.549999994458631</v>
      </c>
      <c r="O95" s="7"/>
      <c r="P95" s="7"/>
      <c r="Q95" s="22"/>
      <c r="R95" s="170"/>
      <c r="S95" s="213">
        <f t="shared" si="96"/>
        <v>1</v>
      </c>
      <c r="T95" s="195" t="str">
        <f t="shared" si="97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70"/>
        <v>https://d0f6bd738d7f1b3e5a7ca70fe4ff75f0.us-east-1.aws.found.io/app/kibana#/discover/Steve-Slow-Train-Analysis-(2080s-and-2083s)?_g=(refreshInterval:(display:Off,pause:!f,section:0,value:0),time:(from:'2017-08-11T12:39:22-0600',mode:absolute,to:'2017-08-11T15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5" s="197" t="str">
        <f>IF(AA95&lt;VLOOKUP(AG95,Variables!$AC$3:$AD$8,2,FALSE),"Y","N")</f>
        <v>N</v>
      </c>
      <c r="X95" s="197">
        <f t="shared" si="73"/>
        <v>1</v>
      </c>
      <c r="Y95" s="197">
        <f t="shared" si="74"/>
        <v>4.4900000000000002E-2</v>
      </c>
      <c r="Z95" s="197">
        <f t="shared" si="105"/>
        <v>23.337</v>
      </c>
      <c r="AA95" s="197">
        <f t="shared" si="98"/>
        <v>23.292100000000001</v>
      </c>
      <c r="AB95" s="54" t="e">
        <f>VLOOKUP(A95,Enforcements!$C$7:$K$12,8,0)</f>
        <v>#N/A</v>
      </c>
      <c r="AC95" s="51" t="e">
        <f>VLOOKUP(A95,Enforcements!$C$7:$E$12,3,0)</f>
        <v>#N/A</v>
      </c>
      <c r="AD95" s="206">
        <f t="shared" si="99"/>
        <v>181</v>
      </c>
      <c r="AE95" s="77" t="str">
        <f t="shared" si="71"/>
        <v>aws s3 cp s3://rtdc.mdm.uploadarchive.raw/RTDC4040/ "%USERPROFILE%\AppData\Local\Temp\OnboardLogs"\RTDC4040\2017-08-11 --exclude "*" --recursive --include "*20170811*" &amp; "%USERPROFILE%\Documents\GitHub\mrs-test-scripts\Headless Mode &amp; Sideloading\WalkAndUnGZ.bat" "%USERPROFILE%\AppData\Local\Temp\OnboardLogs"\RTDC4040\2017-08-11 &amp; aws s3 cp s3://rtdc.mdm.uploadarchive.raw/RTDC4040/ "%USERPROFILE%\AppData\Local\Temp\OnboardLogs"\RTDC4040\2017-08-12 --exclude "*" --recursive --include "*20170812*" &amp; "%USERPROFILE%\Documents\GitHub\mrs-test-scripts\Headless Mode &amp; Sideloading\WalkAndUnGZ.bat" "%USERPROFILE%\AppData\Local\Temp\OnboardLogs"\RTDC4040\2017-08-12</v>
      </c>
      <c r="AF95" s="74" t="str">
        <f t="shared" si="72"/>
        <v>"C:\Program Files (x86)\AstroGrep\AstroGrep.exe" /e /r /s /spath="%USERPROFILE%\AppData\Local\Temp\OnboardLogs" /stypes="app*4040*20170811*" /stext=" 20:.+((SYSTEM_STATE.+slice.+state.+changed )|(ment ac)|(multiple cpu faults)|(system.+state.+changed )|(\[timeout)|(PRM\|1\|D)|(kpr)|(kdp)|(train st.+moving)|(\|lc)|(penalty))"</v>
      </c>
      <c r="AG95" s="209" t="str">
        <f t="shared" si="100"/>
        <v>EC</v>
      </c>
      <c r="AH95" s="78" t="str">
        <f t="shared" si="75"/>
        <v>"%USERPROFILE%\Documents\GitHub\eaglep3\Utilities\RefineRTDCRunTimes.py" --tripid 181-11 --locoid 4040 --swversion DE.1.0.9.0 --startMP 204:449 --initTime 2017-08-11T13:39:22 --startdatetime 2017-08-11T13:45:50 --delay 1 --endMP 204:233370 --enddatetime 2017-08-11T14:22:23 --enforcementcount 0 &gt;&gt;C:\Users\stu\Documents\GitHub\eaglep3-reporting\EC\2017-08-11-refined-times.txt</v>
      </c>
      <c r="AI95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{"issue":{"subject":"","project_id":79,"tracker_id":40,"status_id":1,"priority_id":2,"assigned_to_id":23,"start_date":"2017-08-11","description":"","custom_fields":[{"id":1,"name":"Subdivision","value":"EC"},{"id":4,"name":"Milepost","value":"23.337"},{"id":17,"name":"Train ID","value":"181-11"},{"id":16,"name":"Locomotive ID","value":"4040"},{"id":130,"name":"Impact","value":""},{"id":150,"name":"Time of Event (Mountain Time)","value":"14:22:23"},{"id":151,"name":"Denver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77"/>
        <v>start /low /b %USERPROFILE%\Documents\GitHub\eaglep3\Utilities\DownloadLogsFromS3.py --loco 4040 --day 2017-08-11</v>
      </c>
      <c r="AN95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20:22:23"},{"id":29,"name":"Sharepoint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779</v>
      </c>
      <c r="B96" s="7">
        <v>4039</v>
      </c>
      <c r="C96" s="21" t="s">
        <v>198</v>
      </c>
      <c r="D96" s="21" t="s">
        <v>908</v>
      </c>
      <c r="E96" s="13">
        <v>42958.607245370367</v>
      </c>
      <c r="F96" s="13">
        <v>42958.612870370373</v>
      </c>
      <c r="G96" s="7">
        <v>1</v>
      </c>
      <c r="H96" s="21" t="s">
        <v>349</v>
      </c>
      <c r="I96" s="13">
        <v>42958.638842592591</v>
      </c>
      <c r="J96" s="7">
        <v>0</v>
      </c>
      <c r="K96" s="89" t="str">
        <f t="shared" si="93"/>
        <v>4039/4040</v>
      </c>
      <c r="L96" s="21" t="str">
        <f>VLOOKUP(A96,'Trips&amp;Operators'!$C$1:$G$99999,5,FALSE)</f>
        <v>YANG JAN</v>
      </c>
      <c r="M96" s="6">
        <f t="shared" si="94"/>
        <v>2.5972222218115348E-2</v>
      </c>
      <c r="N96" s="7">
        <f t="shared" si="95"/>
        <v>37.399999994086102</v>
      </c>
      <c r="O96" s="7"/>
      <c r="P96" s="7"/>
      <c r="Q96" s="22"/>
      <c r="R96" s="170"/>
      <c r="S96" s="213">
        <f t="shared" si="96"/>
        <v>1</v>
      </c>
      <c r="T96" s="195" t="str">
        <f t="shared" si="97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70"/>
        <v>https://d0f6bd738d7f1b3e5a7ca70fe4ff75f0.us-east-1.aws.found.io/app/kibana#/discover/Steve-Slow-Train-Analysis-(2080s-and-2083s)?_g=(refreshInterval:(display:Off,pause:!f,section:0,value:0),time:(from:'2017-08-11T13:34:26-0600',mode:absolute,to:'2017-08-11T16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6" s="197" t="str">
        <f>IF(AA96&lt;VLOOKUP(AG96,Variables!$AC$3:$AD$8,2,FALSE),"Y","N")</f>
        <v>N</v>
      </c>
      <c r="X96" s="197">
        <f t="shared" si="73"/>
        <v>1</v>
      </c>
      <c r="Y96" s="197">
        <f t="shared" ref="Y96:Y127" si="106">RIGHT(D96,LEN(D96)-4)/10000</f>
        <v>23.3034</v>
      </c>
      <c r="Z96" s="197">
        <f t="shared" si="105"/>
        <v>1.41E-2</v>
      </c>
      <c r="AA96" s="197">
        <f t="shared" si="98"/>
        <v>23.289300000000001</v>
      </c>
      <c r="AB96" s="54" t="e">
        <f>VLOOKUP(A96,Enforcements!$C$7:$K$12,8,0)</f>
        <v>#N/A</v>
      </c>
      <c r="AC96" s="51" t="e">
        <f>VLOOKUP(A96,Enforcements!$C$7:$E$12,3,0)</f>
        <v>#N/A</v>
      </c>
      <c r="AD96" s="206">
        <f t="shared" si="99"/>
        <v>182</v>
      </c>
      <c r="AE96" s="77" t="str">
        <f t="shared" si="71"/>
        <v>aws s3 cp s3://rtdc.mdm.uploadarchive.raw/RTDC4039/ "%USERPROFILE%\AppData\Local\Temp\OnboardLogs"\RTDC4039\2017-08-11 --exclude "*" --recursive --include "*20170811*" &amp; "%USERPROFILE%\Documents\GitHub\mrs-test-scripts\Headless Mode &amp; Sideloading\WalkAndUnGZ.bat" "%USERPROFILE%\AppData\Local\Temp\OnboardLogs"\RTDC4039\2017-08-11 &amp; aws s3 cp s3://rtdc.mdm.uploadarchive.raw/RTDC4039/ "%USERPROFILE%\AppData\Local\Temp\OnboardLogs"\RTDC4039\2017-08-12 --exclude "*" --recursive --include "*20170812*" &amp; "%USERPROFILE%\Documents\GitHub\mrs-test-scripts\Headless Mode &amp; Sideloading\WalkAndUnGZ.bat" "%USERPROFILE%\AppData\Local\Temp\OnboardLogs"\RTDC4039\2017-08-12</v>
      </c>
      <c r="AF96" s="74" t="str">
        <f t="shared" si="72"/>
        <v>"C:\Program Files (x86)\AstroGrep\AstroGrep.exe" /e /r /s /spath="%USERPROFILE%\AppData\Local\Temp\OnboardLogs" /stypes="app*4039*20170811*" /stext=" 21:.+((SYSTEM_STATE.+slice.+state.+changed )|(ment ac)|(multiple cpu faults)|(system.+state.+changed )|(\[timeout)|(PRM\|1\|D)|(kpr)|(kdp)|(train st.+moving)|(\|lc)|(penalty))"</v>
      </c>
      <c r="AG96" s="209" t="str">
        <f t="shared" si="100"/>
        <v>EC</v>
      </c>
      <c r="AH96" s="78" t="str">
        <f t="shared" si="75"/>
        <v>"%USERPROFILE%\Documents\GitHub\eaglep3\Utilities\RefineRTDCRunTimes.py" --tripid 182-11 --locoid 4039 --swversion DE.1.0.9.0 --startMP 204:233034 --initTime 2017-08-11T14:34:26 --startdatetime 2017-08-11T14:42:32 --delay 1 --endMP 204:141 --enddatetime 2017-08-11T15:19:56 --enforcementcount 0 &gt;&gt;C:\Users\stu\Documents\GitHub\eaglep3-reporting\EC\2017-08-11-refined-times.txt</v>
      </c>
      <c r="AI96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{"issue":{"subject":"","project_id":79,"tracker_id":40,"status_id":1,"priority_id":2,"assigned_to_id":23,"start_date":"2017-08-11","description":"","custom_fields":[{"id":1,"name":"Subdivision","value":"EC"},{"id":4,"name":"Milepost","value":"0.0141"},{"id":17,"name":"Train ID","value":"182-11"},{"id":16,"name":"Locomotive ID","value":"4039"},{"id":130,"name":"Impact","value":""},{"id":150,"name":"Time of Event (Mountain Time)","value":"15:19:56"},{"id":151,"name":"Denver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77"/>
        <v>start /low /b %USERPROFILE%\Documents\GitHub\eaglep3\Utilities\DownloadLogsFromS3.py --loco 4039 --day 2017-08-11</v>
      </c>
      <c r="AN96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21:19:56"},{"id":29,"name":"Sharepoint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623</v>
      </c>
      <c r="B97" s="7">
        <v>4014</v>
      </c>
      <c r="C97" s="21" t="s">
        <v>198</v>
      </c>
      <c r="D97" s="21" t="s">
        <v>909</v>
      </c>
      <c r="E97" s="13">
        <v>42958.580127314817</v>
      </c>
      <c r="F97" s="13">
        <v>42958.58384259259</v>
      </c>
      <c r="G97" s="7">
        <v>1</v>
      </c>
      <c r="H97" s="21" t="s">
        <v>910</v>
      </c>
      <c r="I97" s="13">
        <v>42958.608715277776</v>
      </c>
      <c r="J97" s="7">
        <v>0</v>
      </c>
      <c r="K97" s="89" t="str">
        <f t="shared" si="93"/>
        <v>4013/4014</v>
      </c>
      <c r="L97" s="21" t="str">
        <f>VLOOKUP(A97,'Trips&amp;Operators'!$C$1:$G$99999,5,FALSE)</f>
        <v>LEVIN SCOTT</v>
      </c>
      <c r="M97" s="6">
        <f t="shared" si="94"/>
        <v>2.4872685185982846E-2</v>
      </c>
      <c r="N97" s="7">
        <f t="shared" si="95"/>
        <v>35.816666667815298</v>
      </c>
      <c r="O97" s="7"/>
      <c r="P97" s="7"/>
      <c r="Q97" s="22"/>
      <c r="R97" s="170"/>
      <c r="S97" s="213">
        <f t="shared" si="96"/>
        <v>1</v>
      </c>
      <c r="T97" s="195" t="str">
        <f t="shared" si="97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70"/>
        <v>https://d0f6bd738d7f1b3e5a7ca70fe4ff75f0.us-east-1.aws.found.io/app/kibana#/discover/Steve-Slow-Train-Analysis-(2080s-and-2083s)?_g=(refreshInterval:(display:Off,pause:!f,section:0,value:0),time:(from:'2017-08-11T12:55:23-0600',mode:absolute,to:'2017-08-11T15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7" s="197" t="str">
        <f>IF(AA97&lt;VLOOKUP(AG97,Variables!$AC$3:$AD$8,2,FALSE),"Y","N")</f>
        <v>N</v>
      </c>
      <c r="X97" s="197">
        <f t="shared" ref="X97:X128" si="107">VALUE(LEFT(AD97,4))-VALUE(LEFT(AD96,4))</f>
        <v>1</v>
      </c>
      <c r="Y97" s="197">
        <f t="shared" si="106"/>
        <v>4.3499999999999997E-2</v>
      </c>
      <c r="Z97" s="197">
        <f t="shared" si="105"/>
        <v>23.342300000000002</v>
      </c>
      <c r="AA97" s="197">
        <f t="shared" si="98"/>
        <v>23.2988</v>
      </c>
      <c r="AB97" s="54" t="str">
        <f>VLOOKUP(A97,Enforcements!$C$7:$K$12,8,0)</f>
        <v>Bulletin (2)</v>
      </c>
      <c r="AC97" s="51" t="str">
        <f>VLOOKUP(A97,Enforcements!$C$7:$E$12,3,0)</f>
        <v>GRADE CROSSING</v>
      </c>
      <c r="AD97" s="206">
        <f t="shared" si="99"/>
        <v>183</v>
      </c>
      <c r="AE97" s="77" t="str">
        <f t="shared" si="71"/>
        <v>aws s3 cp s3://rtdc.mdm.uploadarchive.raw/RTDC4014/ "%USERPROFILE%\AppData\Local\Temp\OnboardLogs"\RTDC4014\2017-08-11 --exclude "*" --recursive --include "*20170811*" &amp; "%USERPROFILE%\Documents\GitHub\mrs-test-scripts\Headless Mode &amp; Sideloading\WalkAndUnGZ.bat" "%USERPROFILE%\AppData\Local\Temp\OnboardLogs"\RTDC4014\2017-08-11 &amp; 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</v>
      </c>
      <c r="AF97" s="74" t="str">
        <f t="shared" si="72"/>
        <v>"C:\Program Files (x86)\AstroGrep\AstroGrep.exe" /e /r /s /spath="%USERPROFILE%\AppData\Local\Temp\OnboardLogs" /stypes="app*4014*20170811*" /stext=" 20:.+((SYSTEM_STATE.+slice.+state.+changed )|(ment ac)|(multiple cpu faults)|(system.+state.+changed )|(\[timeout)|(PRM\|1\|D)|(kpr)|(kdp)|(train st.+moving)|(\|lc)|(penalty))"</v>
      </c>
      <c r="AG97" s="209" t="str">
        <f t="shared" si="100"/>
        <v>EC</v>
      </c>
      <c r="AH97" s="78" t="str">
        <f t="shared" si="75"/>
        <v>"%USERPROFILE%\Documents\GitHub\eaglep3\Utilities\RefineRTDCRunTimes.py" --tripid 183-11 --locoid 4014 --swversion DE.1.0.9.0 --startMP 204:435 --initTime 2017-08-11T13:55:23 --startdatetime 2017-08-11T14:00:44 --delay 1 --endMP 204:233423 --enddatetime 2017-08-11T14:36:33 --enforcementcount 0 &gt;&gt;C:\Users\stu\Documents\GitHub\eaglep3-reporting\EC\2017-08-11-refined-times.txt</v>
      </c>
      <c r="AI97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{"issue":{"subject":"","project_id":79,"tracker_id":40,"status_id":1,"priority_id":2,"assigned_to_id":23,"start_date":"2017-08-11","description":"","custom_fields":[{"id":1,"name":"Subdivision","value":"EC"},{"id":4,"name":"Milepost","value":"23.3423"},{"id":17,"name":"Train ID","value":"183-11"},{"id":16,"name":"Locomotive ID","value":"4014"},{"id":130,"name":"Impact","value":""},{"id":150,"name":"Time of Event (Mountain Time)","value":"14:36:33"},{"id":151,"name":"Denver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77"/>
        <v>start /low /b %USERPROFILE%\Documents\GitHub\eaglep3\Utilities\DownloadLogsFromS3.py --loco 4014 --day 2017-08-11</v>
      </c>
      <c r="AN97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20:36:33"},{"id":29,"name":"Sharepoint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</row>
    <row r="98" spans="1:91" s="20" customFormat="1" x14ac:dyDescent="0.25">
      <c r="A98" s="32" t="s">
        <v>782</v>
      </c>
      <c r="B98" s="7">
        <v>4013</v>
      </c>
      <c r="C98" s="21" t="s">
        <v>198</v>
      </c>
      <c r="D98" s="21" t="s">
        <v>911</v>
      </c>
      <c r="E98" s="13">
        <v>42958.618564814817</v>
      </c>
      <c r="F98" s="13">
        <v>42958.623113425929</v>
      </c>
      <c r="G98" s="7">
        <v>1</v>
      </c>
      <c r="H98" s="21" t="s">
        <v>448</v>
      </c>
      <c r="I98" s="13">
        <v>42958.649687500001</v>
      </c>
      <c r="J98" s="7">
        <v>0</v>
      </c>
      <c r="K98" s="89" t="str">
        <f t="shared" si="93"/>
        <v>4013/4014</v>
      </c>
      <c r="L98" s="21" t="str">
        <f>VLOOKUP(A98,'Trips&amp;Operators'!$C$1:$G$99999,5,FALSE)</f>
        <v>LEVIN SCOTT</v>
      </c>
      <c r="M98" s="6">
        <f t="shared" si="94"/>
        <v>2.6574074072414078E-2</v>
      </c>
      <c r="N98" s="7">
        <f t="shared" si="95"/>
        <v>38.266666664276272</v>
      </c>
      <c r="O98" s="7"/>
      <c r="P98" s="7"/>
      <c r="Q98" s="22"/>
      <c r="R98" s="170"/>
      <c r="S98" s="213">
        <f t="shared" si="96"/>
        <v>1</v>
      </c>
      <c r="T98" s="195" t="str">
        <f t="shared" si="97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70"/>
        <v>https://d0f6bd738d7f1b3e5a7ca70fe4ff75f0.us-east-1.aws.found.io/app/kibana#/discover/Steve-Slow-Train-Analysis-(2080s-and-2083s)?_g=(refreshInterval:(display:Off,pause:!f,section:0,value:0),time:(from:'2017-08-11T13:50:44-0600',mode:absolute,to:'2017-08-11T16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8" s="197" t="str">
        <f>IF(AA98&lt;VLOOKUP(AG98,Variables!$AC$3:$AD$8,2,FALSE),"Y","N")</f>
        <v>N</v>
      </c>
      <c r="X98" s="197">
        <f t="shared" si="107"/>
        <v>1</v>
      </c>
      <c r="Y98" s="197">
        <f t="shared" si="106"/>
        <v>23.311699999999998</v>
      </c>
      <c r="Z98" s="197">
        <f t="shared" si="105"/>
        <v>1.5599999999999999E-2</v>
      </c>
      <c r="AA98" s="197">
        <f t="shared" si="98"/>
        <v>23.296099999999999</v>
      </c>
      <c r="AB98" s="54" t="e">
        <f>VLOOKUP(A98,Enforcements!$C$7:$K$12,8,0)</f>
        <v>#N/A</v>
      </c>
      <c r="AC98" s="51" t="e">
        <f>VLOOKUP(A98,Enforcements!$C$7:$E$12,3,0)</f>
        <v>#N/A</v>
      </c>
      <c r="AD98" s="206">
        <f t="shared" si="99"/>
        <v>184</v>
      </c>
      <c r="AE98" s="77" t="str">
        <f t="shared" si="71"/>
        <v>aws s3 cp s3://rtdc.mdm.uploadarchive.raw/RTDC4013/ "%USERPROFILE%\AppData\Local\Temp\OnboardLogs"\RTDC4013\2017-08-11 --exclude "*" --recursive --include "*20170811*" &amp; "%USERPROFILE%\Documents\GitHub\mrs-test-scripts\Headless Mode &amp; Sideloading\WalkAndUnGZ.bat" "%USERPROFILE%\AppData\Local\Temp\OnboardLogs"\RTDC4013\2017-08-11 &amp; 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</v>
      </c>
      <c r="AF98" s="74" t="str">
        <f t="shared" si="72"/>
        <v>"C:\Program Files (x86)\AstroGrep\AstroGrep.exe" /e /r /s /spath="%USERPROFILE%\AppData\Local\Temp\OnboardLogs" /stypes="app*4013*20170811*" /stext=" 21:.+((SYSTEM_STATE.+slice.+state.+changed )|(ment ac)|(multiple cpu faults)|(system.+state.+changed )|(\[timeout)|(PRM\|1\|D)|(kpr)|(kdp)|(train st.+moving)|(\|lc)|(penalty))"</v>
      </c>
      <c r="AG98" s="209" t="str">
        <f t="shared" si="100"/>
        <v>EC</v>
      </c>
      <c r="AH98" s="78" t="str">
        <f t="shared" si="75"/>
        <v>"%USERPROFILE%\Documents\GitHub\eaglep3\Utilities\RefineRTDCRunTimes.py" --tripid 184-11 --locoid 4013 --swversion DE.1.0.9.0 --startMP 204:233117 --initTime 2017-08-11T14:50:44 --startdatetime 2017-08-11T14:57:17 --delay 1 --endMP 204:156 --enddatetime 2017-08-11T15:35:33 --enforcementcount 0 &gt;&gt;C:\Users\stu\Documents\GitHub\eaglep3-reporting\EC\2017-08-11-refined-times.txt</v>
      </c>
      <c r="AI98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{"issue":{"subject":"","project_id":79,"tracker_id":40,"status_id":1,"priority_id":2,"assigned_to_id":23,"start_date":"2017-08-11","description":"","custom_fields":[{"id":1,"name":"Subdivision","value":"EC"},{"id":4,"name":"Milepost","value":"0.0156"},{"id":17,"name":"Train ID","value":"184-11"},{"id":16,"name":"Locomotive ID","value":"4013"},{"id":130,"name":"Impact","value":""},{"id":150,"name":"Time of Event (Mountain Time)","value":"15:35:33"},{"id":151,"name":"Denver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77"/>
        <v>start /low /b %USERPROFILE%\Documents\GitHub\eaglep3\Utilities\DownloadLogsFromS3.py --loco 4013 --day 2017-08-11</v>
      </c>
      <c r="AN98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21:35:33"},{"id":29,"name":"Sharepoint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625</v>
      </c>
      <c r="B99" s="7">
        <v>4012</v>
      </c>
      <c r="C99" s="21" t="s">
        <v>198</v>
      </c>
      <c r="D99" s="21" t="s">
        <v>346</v>
      </c>
      <c r="E99" s="13">
        <v>42958.588761574072</v>
      </c>
      <c r="F99" s="13">
        <v>42958.594270833331</v>
      </c>
      <c r="G99" s="7">
        <v>1</v>
      </c>
      <c r="H99" s="21" t="s">
        <v>912</v>
      </c>
      <c r="I99" s="13">
        <v>42958.619467592594</v>
      </c>
      <c r="J99" s="7">
        <v>0</v>
      </c>
      <c r="K99" s="89" t="str">
        <f t="shared" si="93"/>
        <v>4011/4012</v>
      </c>
      <c r="L99" s="21" t="str">
        <f>VLOOKUP(A99,'Trips&amp;Operators'!$C$1:$G$99999,5,FALSE)</f>
        <v>SULLIVAN BRANDON</v>
      </c>
      <c r="M99" s="6">
        <f t="shared" si="94"/>
        <v>2.5196759263053536E-2</v>
      </c>
      <c r="N99" s="7">
        <f t="shared" si="95"/>
        <v>36.283333338797092</v>
      </c>
      <c r="O99" s="7"/>
      <c r="P99" s="7"/>
      <c r="Q99" s="22"/>
      <c r="R99" s="170"/>
      <c r="S99" s="213">
        <f t="shared" si="96"/>
        <v>1</v>
      </c>
      <c r="T99" s="195" t="str">
        <f t="shared" si="97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70"/>
        <v>https://d0f6bd738d7f1b3e5a7ca70fe4ff75f0.us-east-1.aws.found.io/app/kibana#/discover/Steve-Slow-Train-Analysis-(2080s-and-2083s)?_g=(refreshInterval:(display:Off,pause:!f,section:0,value:0),time:(from:'2017-08-11T13:07:49-0600',mode:absolute,to:'2017-08-11T15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9" s="197" t="str">
        <f>IF(AA99&lt;VLOOKUP(AG99,Variables!$AC$3:$AD$8,2,FALSE),"Y","N")</f>
        <v>N</v>
      </c>
      <c r="X99" s="197">
        <f t="shared" si="107"/>
        <v>1</v>
      </c>
      <c r="Y99" s="197">
        <f t="shared" si="106"/>
        <v>4.4699999999999997E-2</v>
      </c>
      <c r="Z99" s="197">
        <f t="shared" si="105"/>
        <v>23.334499999999998</v>
      </c>
      <c r="AA99" s="197">
        <f t="shared" si="98"/>
        <v>23.2898</v>
      </c>
      <c r="AB99" s="54" t="e">
        <f>VLOOKUP(A99,Enforcements!$C$7:$K$12,8,0)</f>
        <v>#N/A</v>
      </c>
      <c r="AC99" s="51" t="e">
        <f>VLOOKUP(A99,Enforcements!$C$7:$E$12,3,0)</f>
        <v>#N/A</v>
      </c>
      <c r="AD99" s="206">
        <f t="shared" si="99"/>
        <v>185</v>
      </c>
      <c r="AE99" s="77" t="str">
        <f t="shared" si="71"/>
        <v>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 &amp; aws s3 cp s3://rtdc.mdm.uploadarchive.raw/RTDC4012/ "%USERPROFILE%\AppData\Local\Temp\OnboardLogs"\RTDC4012\2017-08-12 --exclude "*" --recursive --include "*20170812*" &amp; "%USERPROFILE%\Documents\GitHub\mrs-test-scripts\Headless Mode &amp; Sideloading\WalkAndUnGZ.bat" "%USERPROFILE%\AppData\Local\Temp\OnboardLogs"\RTDC4012\2017-08-12</v>
      </c>
      <c r="AF99" s="74" t="str">
        <f t="shared" si="72"/>
        <v>"C:\Program Files (x86)\AstroGrep\AstroGrep.exe" /e /r /s /spath="%USERPROFILE%\AppData\Local\Temp\OnboardLogs" /stypes="app*4012*20170811*" /stext=" 20:.+((SYSTEM_STATE.+slice.+state.+changed )|(ment ac)|(multiple cpu faults)|(system.+state.+changed )|(\[timeout)|(PRM\|1\|D)|(kpr)|(kdp)|(train st.+moving)|(\|lc)|(penalty))"</v>
      </c>
      <c r="AG99" s="209" t="str">
        <f t="shared" si="100"/>
        <v>EC</v>
      </c>
      <c r="AH99" s="78" t="str">
        <f t="shared" si="75"/>
        <v>"%USERPROFILE%\Documents\GitHub\eaglep3\Utilities\RefineRTDCRunTimes.py" --tripid 185-11 --locoid 4012 --swversion DE.1.0.9.0 --startMP 204:447 --initTime 2017-08-11T14:07:49 --startdatetime 2017-08-11T14:15:45 --delay 1 --endMP 204:233345 --enddatetime 2017-08-11T14:52:02 --enforcementcount 0 &gt;&gt;C:\Users\stu\Documents\GitHub\eaglep3-reporting\EC\2017-08-11-refined-times.txt</v>
      </c>
      <c r="AI99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{"issue":{"subject":"","project_id":79,"tracker_id":40,"status_id":1,"priority_id":2,"assigned_to_id":23,"start_date":"2017-08-11","description":"","custom_fields":[{"id":1,"name":"Subdivision","value":"EC"},{"id":4,"name":"Milepost","value":"23.3345"},{"id":17,"name":"Train ID","value":"185-11"},{"id":16,"name":"Locomotive ID","value":"4012"},{"id":130,"name":"Impact","value":""},{"id":150,"name":"Time of Event (Mountain Time)","value":"14:52:02"},{"id":151,"name":"Denver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77"/>
        <v>start /low /b %USERPROFILE%\Documents\GitHub\eaglep3\Utilities\DownloadLogsFromS3.py --loco 4012 --day 2017-08-11</v>
      </c>
      <c r="AN99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20:52:02"},{"id":29,"name":"Sharepoint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785</v>
      </c>
      <c r="B100" s="7">
        <v>4011</v>
      </c>
      <c r="C100" s="21" t="s">
        <v>198</v>
      </c>
      <c r="D100" s="21" t="s">
        <v>481</v>
      </c>
      <c r="E100" s="13">
        <v>42958.62736111111</v>
      </c>
      <c r="F100" s="13">
        <v>42958.633530092593</v>
      </c>
      <c r="G100" s="7">
        <v>1</v>
      </c>
      <c r="H100" s="21" t="s">
        <v>342</v>
      </c>
      <c r="I100" s="13">
        <v>42958.661712962959</v>
      </c>
      <c r="J100" s="7">
        <v>0</v>
      </c>
      <c r="K100" s="89" t="str">
        <f t="shared" si="93"/>
        <v>4011/4012</v>
      </c>
      <c r="L100" s="21" t="str">
        <f>VLOOKUP(A100,'Trips&amp;Operators'!$C$1:$G$99999,5,FALSE)</f>
        <v>SULLIVAN BRANDON</v>
      </c>
      <c r="M100" s="6">
        <f t="shared" si="94"/>
        <v>2.8182870366435964E-2</v>
      </c>
      <c r="N100" s="7">
        <f t="shared" si="95"/>
        <v>40.583333327667788</v>
      </c>
      <c r="O100" s="7"/>
      <c r="P100" s="7"/>
      <c r="Q100" s="22"/>
      <c r="R100" s="170"/>
      <c r="S100" s="213">
        <f t="shared" si="96"/>
        <v>1</v>
      </c>
      <c r="T100" s="195" t="str">
        <f t="shared" si="97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70"/>
        <v>https://d0f6bd738d7f1b3e5a7ca70fe4ff75f0.us-east-1.aws.found.io/app/kibana#/discover/Steve-Slow-Train-Analysis-(2080s-and-2083s)?_g=(refreshInterval:(display:Off,pause:!f,section:0,value:0),time:(from:'2017-08-11T14:03:24-0600',mode:absolute,to:'2017-08-11T16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0" s="197" t="str">
        <f>IF(AA100&lt;VLOOKUP(AG100,Variables!$AC$3:$AD$8,2,FALSE),"Y","N")</f>
        <v>N</v>
      </c>
      <c r="X100" s="197">
        <f t="shared" si="107"/>
        <v>1</v>
      </c>
      <c r="Y100" s="197">
        <f t="shared" si="106"/>
        <v>23.303599999999999</v>
      </c>
      <c r="Z100" s="197">
        <f t="shared" si="105"/>
        <v>1.49E-2</v>
      </c>
      <c r="AA100" s="197">
        <f t="shared" si="98"/>
        <v>23.288699999999999</v>
      </c>
      <c r="AB100" s="54" t="e">
        <f>VLOOKUP(A100,Enforcements!$C$7:$K$12,8,0)</f>
        <v>#N/A</v>
      </c>
      <c r="AC100" s="51" t="e">
        <f>VLOOKUP(A100,Enforcements!$C$7:$E$12,3,0)</f>
        <v>#N/A</v>
      </c>
      <c r="AD100" s="206">
        <f t="shared" si="99"/>
        <v>186</v>
      </c>
      <c r="AE100" s="77" t="str">
        <f t="shared" si="71"/>
        <v>aws s3 cp s3://rtdc.mdm.uploadarchive.raw/RTDC4011/ "%USERPROFILE%\AppData\Local\Temp\OnboardLogs"\RTDC4011\2017-08-11 --exclude "*" --recursive --include "*20170811*" &amp; "%USERPROFILE%\Documents\GitHub\mrs-test-scripts\Headless Mode &amp; Sideloading\WalkAndUnGZ.bat" "%USERPROFILE%\AppData\Local\Temp\OnboardLogs"\RTDC4011\2017-08-11 &amp; aws s3 cp s3://rtdc.mdm.uploadarchive.raw/RTDC4011/ "%USERPROFILE%\AppData\Local\Temp\OnboardLogs"\RTDC4011\2017-08-12 --exclude "*" --recursive --include "*20170812*" &amp; "%USERPROFILE%\Documents\GitHub\mrs-test-scripts\Headless Mode &amp; Sideloading\WalkAndUnGZ.bat" "%USERPROFILE%\AppData\Local\Temp\OnboardLogs"\RTDC4011\2017-08-12</v>
      </c>
      <c r="AF100" s="74" t="str">
        <f t="shared" si="72"/>
        <v>"C:\Program Files (x86)\AstroGrep\AstroGrep.exe" /e /r /s /spath="%USERPROFILE%\AppData\Local\Temp\OnboardLogs" /stypes="app*4011*20170811*" /stext=" 21:.+((SYSTEM_STATE.+slice.+state.+changed )|(ment ac)|(multiple cpu faults)|(system.+state.+changed )|(\[timeout)|(PRM\|1\|D)|(kpr)|(kdp)|(train st.+moving)|(\|lc)|(penalty))"</v>
      </c>
      <c r="AG100" s="209" t="str">
        <f t="shared" si="100"/>
        <v>EC</v>
      </c>
      <c r="AH100" s="78" t="str">
        <f t="shared" si="75"/>
        <v>"%USERPROFILE%\Documents\GitHub\eaglep3\Utilities\RefineRTDCRunTimes.py" --tripid 186-11 --locoid 4011 --swversion DE.1.0.9.0 --startMP 204:233036 --initTime 2017-08-11T15:03:24 --startdatetime 2017-08-11T15:12:17 --delay 1 --endMP 204:149 --enddatetime 2017-08-11T15:52:52 --enforcementcount 0 &gt;&gt;C:\Users\stu\Documents\GitHub\eaglep3-reporting\EC\2017-08-11-refined-times.txt</v>
      </c>
      <c r="AI100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{"issue":{"subject":"","project_id":79,"tracker_id":40,"status_id":1,"priority_id":2,"assigned_to_id":23,"start_date":"2017-08-11","description":"","custom_fields":[{"id":1,"name":"Subdivision","value":"EC"},{"id":4,"name":"Milepost","value":"0.0149"},{"id":17,"name":"Train ID","value":"186-11"},{"id":16,"name":"Locomotive ID","value":"4011"},{"id":130,"name":"Impact","value":""},{"id":150,"name":"Time of Event (Mountain Time)","value":"15:52:52"},{"id":151,"name":"Denver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77"/>
        <v>start /low /b %USERPROFILE%\Documents\GitHub\eaglep3\Utilities\DownloadLogsFromS3.py --loco 4011 --day 2017-08-11</v>
      </c>
      <c r="AN100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21:52:52"},{"id":29,"name":"Sharepoint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626</v>
      </c>
      <c r="B101" s="7">
        <v>4060</v>
      </c>
      <c r="C101" s="21" t="s">
        <v>198</v>
      </c>
      <c r="D101" s="21" t="s">
        <v>340</v>
      </c>
      <c r="E101" s="13">
        <v>42958.599050925928</v>
      </c>
      <c r="F101" s="13">
        <v>42958.604687500003</v>
      </c>
      <c r="G101" s="7">
        <v>1</v>
      </c>
      <c r="H101" s="21" t="s">
        <v>479</v>
      </c>
      <c r="I101" s="13">
        <v>42958.629756944443</v>
      </c>
      <c r="J101" s="7">
        <v>0</v>
      </c>
      <c r="K101" s="89" t="str">
        <f t="shared" si="93"/>
        <v>4059/4060</v>
      </c>
      <c r="L101" s="21" t="str">
        <f>VLOOKUP(A101,'Trips&amp;Operators'!$C$1:$G$99999,5,FALSE)</f>
        <v>HOLCOMB KAMDEN</v>
      </c>
      <c r="M101" s="6">
        <f t="shared" si="94"/>
        <v>2.5069444440305233E-2</v>
      </c>
      <c r="N101" s="7">
        <f t="shared" si="95"/>
        <v>36.099999994039536</v>
      </c>
      <c r="O101" s="7"/>
      <c r="P101" s="7"/>
      <c r="Q101" s="22"/>
      <c r="R101" s="170" t="s">
        <v>1114</v>
      </c>
      <c r="S101" s="213">
        <f t="shared" si="96"/>
        <v>1</v>
      </c>
      <c r="T101" s="195" t="str">
        <f t="shared" si="97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70"/>
        <v>https://d0f6bd738d7f1b3e5a7ca70fe4ff75f0.us-east-1.aws.found.io/app/kibana#/discover/Steve-Slow-Train-Analysis-(2080s-and-2083s)?_g=(refreshInterval:(display:Off,pause:!f,section:0,value:0),time:(from:'2017-08-11T13:22:38-0600',mode:absolute,to:'2017-08-11T16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1" s="197" t="str">
        <f>IF(AA101&lt;VLOOKUP(AG101,Variables!$AC$3:$AD$8,2,FALSE),"Y","N")</f>
        <v>N</v>
      </c>
      <c r="X101" s="197">
        <f t="shared" si="107"/>
        <v>1</v>
      </c>
      <c r="Y101" s="197">
        <f t="shared" si="106"/>
        <v>4.4600000000000001E-2</v>
      </c>
      <c r="Z101" s="197">
        <f t="shared" si="105"/>
        <v>23.3306</v>
      </c>
      <c r="AA101" s="197">
        <f t="shared" si="98"/>
        <v>23.286000000000001</v>
      </c>
      <c r="AB101" s="54" t="e">
        <f>VLOOKUP(A101,Enforcements!$C$7:$K$12,8,0)</f>
        <v>#N/A</v>
      </c>
      <c r="AC101" s="51" t="e">
        <f>VLOOKUP(A101,Enforcements!$C$7:$E$12,3,0)</f>
        <v>#N/A</v>
      </c>
      <c r="AD101" s="206">
        <f t="shared" si="99"/>
        <v>187</v>
      </c>
      <c r="AE101" s="77" t="str">
        <f t="shared" si="71"/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AF101" s="74" t="str">
        <f t="shared" si="72"/>
        <v>"C:\Program Files (x86)\AstroGrep\AstroGrep.exe" /e /r /s /spath="%USERPROFILE%\AppData\Local\Temp\OnboardLogs" /stypes="app*4060*20170811*" /stext=" 21:.+((SYSTEM_STATE.+slice.+state.+changed )|(ment ac)|(multiple cpu faults)|(system.+state.+changed )|(\[timeout)|(PRM\|1\|D)|(kpr)|(kdp)|(train st.+moving)|(\|lc)|(penalty))"</v>
      </c>
      <c r="AG101" s="209" t="str">
        <f t="shared" si="100"/>
        <v>EC</v>
      </c>
      <c r="AH101" s="78" t="str">
        <f t="shared" si="75"/>
        <v>"%USERPROFILE%\Documents\GitHub\eaglep3\Utilities\RefineRTDCRunTimes.py" --tripid 187-11 --locoid 4060 --swversion DE.1.0.9.0 --startMP 204:446 --initTime 2017-08-11T14:22:38 --startdatetime 2017-08-11T14:30:45 --delay 1 --endMP 204:233306 --enddatetime 2017-08-11T15:06:51 --enforcementcount 0 &gt;&gt;C:\Users\stu\Documents\GitHub\eaglep3-reporting\EC\2017-08-11-refined-times.txt</v>
      </c>
      <c r="AI101" s="96" t="str">
        <f t="shared" si="76"/>
        <v>echo {"issue":{"subject":"Brief Wi-MAX data drop (no enforcement/cutout)","project_id":79,"tracker_id":40,"status_id":1,"priority_id":2,"assigned_to_id":23,"start_date":"2017-08-11","description":"","custom_fields":[{"id":1,"name":"Subdivision","value":"EC"},{"id":4,"name":"Milepost","value":"23.3306"},{"id":17,"name":"Train ID","value":"187-11"},{"id":16,"name":"Locomotive ID","value":"4060"},{"id":130,"name":"Impact","value":""},{"id":150,"name":"Time of Event (Mountain Time)","value":"15:06:51"},{"id":151,"name":"Denver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77"/>
        <v>start /low /b %USERPROFILE%\Documents\GitHub\eaglep3\Utilities\DownloadLogsFromS3.py --loco 4060 --day 2017-08-11</v>
      </c>
      <c r="AN101" s="151" t="str">
        <f t="shared" si="78"/>
        <v>echo {"issue":{"subject":"Brief Wi-MAX data drop (no enforcement/cutout)","project_id":30,"tracker_id":4,"status_id":1,"priority_id":1,"assigned_to_id":10,"start_date":"2017-08-11","description":"","custom_fields":[{"id":30,"name":"Category","value":"Issue"},{"id":3,"name":"Functional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21:06:51"},{"id":29,"name":"Sharepoint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790</v>
      </c>
      <c r="B102" s="7">
        <v>4059</v>
      </c>
      <c r="C102" s="21" t="s">
        <v>198</v>
      </c>
      <c r="D102" s="21" t="s">
        <v>528</v>
      </c>
      <c r="E102" s="13">
        <v>42958.638611111113</v>
      </c>
      <c r="F102" s="13">
        <v>42958.644050925926</v>
      </c>
      <c r="G102" s="7">
        <v>1</v>
      </c>
      <c r="H102" s="21" t="s">
        <v>350</v>
      </c>
      <c r="I102" s="13">
        <v>42958.670104166667</v>
      </c>
      <c r="J102" s="7">
        <v>0</v>
      </c>
      <c r="K102" s="89" t="str">
        <f t="shared" si="93"/>
        <v>4059/4060</v>
      </c>
      <c r="L102" s="21" t="str">
        <f>VLOOKUP(A102,'Trips&amp;Operators'!$C$1:$G$99999,5,FALSE)</f>
        <v>HOLCOMB KAMDEN</v>
      </c>
      <c r="M102" s="6">
        <f t="shared" si="94"/>
        <v>2.6053240741021E-2</v>
      </c>
      <c r="N102" s="7">
        <f t="shared" si="95"/>
        <v>37.51666666707024</v>
      </c>
      <c r="O102" s="7"/>
      <c r="P102" s="7"/>
      <c r="Q102" s="22"/>
      <c r="R102" s="170"/>
      <c r="S102" s="213">
        <f t="shared" si="96"/>
        <v>1</v>
      </c>
      <c r="T102" s="195" t="str">
        <f t="shared" si="97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70"/>
        <v>https://d0f6bd738d7f1b3e5a7ca70fe4ff75f0.us-east-1.aws.found.io/app/kibana#/discover/Steve-Slow-Train-Analysis-(2080s-and-2083s)?_g=(refreshInterval:(display:Off,pause:!f,section:0,value:0),time:(from:'2017-08-11T14:19:36-0600',mode:absolute,to:'2017-08-11T17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2" s="197" t="str">
        <f>IF(AA102&lt;VLOOKUP(AG102,Variables!$AC$3:$AD$8,2,FALSE),"Y","N")</f>
        <v>N</v>
      </c>
      <c r="X102" s="197">
        <f t="shared" si="107"/>
        <v>1</v>
      </c>
      <c r="Y102" s="197">
        <f t="shared" si="106"/>
        <v>23.298300000000001</v>
      </c>
      <c r="Z102" s="197">
        <f t="shared" si="105"/>
        <v>1.47E-2</v>
      </c>
      <c r="AA102" s="197">
        <f t="shared" si="98"/>
        <v>23.2836</v>
      </c>
      <c r="AB102" s="54" t="e">
        <f>VLOOKUP(A102,Enforcements!$C$7:$K$12,8,0)</f>
        <v>#N/A</v>
      </c>
      <c r="AC102" s="51" t="e">
        <f>VLOOKUP(A102,Enforcements!$C$7:$E$12,3,0)</f>
        <v>#N/A</v>
      </c>
      <c r="AD102" s="206">
        <f t="shared" si="99"/>
        <v>188</v>
      </c>
      <c r="AE102" s="77" t="str">
        <f t="shared" si="71"/>
        <v>aws s3 cp s3://rtdc.mdm.uploadarchive.raw/RTDC4059/ "%USERPROFILE%\AppData\Local\Temp\OnboardLogs"\RTDC4059\2017-08-11 --exclude "*" --recursive --include "*20170811*" &amp; "%USERPROFILE%\Documents\GitHub\mrs-test-scripts\Headless Mode &amp; Sideloading\WalkAndUnGZ.bat" "%USERPROFILE%\AppData\Local\Temp\OnboardLogs"\RTDC4059\2017-08-11 &amp; aws s3 cp s3://rtdc.mdm.uploadarchive.raw/RTDC4059/ "%USERPROFILE%\AppData\Local\Temp\OnboardLogs"\RTDC4059\2017-08-12 --exclude "*" --recursive --include "*20170812*" &amp; "%USERPROFILE%\Documents\GitHub\mrs-test-scripts\Headless Mode &amp; Sideloading\WalkAndUnGZ.bat" "%USERPROFILE%\AppData\Local\Temp\OnboardLogs"\RTDC4059\2017-08-12</v>
      </c>
      <c r="AF102" s="74" t="str">
        <f t="shared" si="72"/>
        <v>"C:\Program Files (x86)\AstroGrep\AstroGrep.exe" /e /r /s /spath="%USERPROFILE%\AppData\Local\Temp\OnboardLogs" /stypes="app*4059*20170811*" /stext=" 22:.+((SYSTEM_STATE.+slice.+state.+changed )|(ment ac)|(multiple cpu faults)|(system.+state.+changed )|(\[timeout)|(PRM\|1\|D)|(kpr)|(kdp)|(train st.+moving)|(\|lc)|(penalty))"</v>
      </c>
      <c r="AG102" s="209" t="str">
        <f t="shared" si="100"/>
        <v>EC</v>
      </c>
      <c r="AH102" s="78" t="str">
        <f t="shared" si="75"/>
        <v>"%USERPROFILE%\Documents\GitHub\eaglep3\Utilities\RefineRTDCRunTimes.py" --tripid 188-11 --locoid 4059 --swversion DE.1.0.9.0 --startMP 204:232983 --initTime 2017-08-11T15:19:36 --startdatetime 2017-08-11T15:27:26 --delay 1 --endMP 204:147 --enddatetime 2017-08-11T16:04:57 --enforcementcount 0 &gt;&gt;C:\Users\stu\Documents\GitHub\eaglep3-reporting\EC\2017-08-11-refined-times.txt</v>
      </c>
      <c r="AI102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{"issue":{"subject":"","project_id":79,"tracker_id":40,"status_id":1,"priority_id":2,"assigned_to_id":23,"start_date":"2017-08-11","description":"","custom_fields":[{"id":1,"name":"Subdivision","value":"EC"},{"id":4,"name":"Milepost","value":"0.0147"},{"id":17,"name":"Train ID","value":"188-11"},{"id":16,"name":"Locomotive ID","value":"4059"},{"id":130,"name":"Impact","value":""},{"id":150,"name":"Time of Event (Mountain Time)","value":"16:04:57"},{"id":151,"name":"Denver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77"/>
        <v>start /low /b %USERPROFILE%\Documents\GitHub\eaglep3\Utilities\DownloadLogsFromS3.py --loco 4059 --day 2017-08-11</v>
      </c>
      <c r="AN102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22:04:57"},{"id":29,"name":"Sharepoint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781</v>
      </c>
      <c r="B103" s="7">
        <v>4058</v>
      </c>
      <c r="C103" s="21" t="s">
        <v>198</v>
      </c>
      <c r="D103" s="21" t="s">
        <v>439</v>
      </c>
      <c r="E103" s="13">
        <v>42958.615439814814</v>
      </c>
      <c r="F103" s="13">
        <v>42958.617199074077</v>
      </c>
      <c r="G103" s="7">
        <v>1</v>
      </c>
      <c r="H103" s="21" t="s">
        <v>1051</v>
      </c>
      <c r="I103" s="13">
        <v>42958.643541666665</v>
      </c>
      <c r="J103" s="7">
        <v>0</v>
      </c>
      <c r="K103" s="89" t="str">
        <f t="shared" si="93"/>
        <v>4057/4058</v>
      </c>
      <c r="L103" s="21" t="str">
        <f>VLOOKUP(A103,'Trips&amp;Operators'!$C$1:$G$99999,5,FALSE)</f>
        <v>THOMPSON LESTER</v>
      </c>
      <c r="M103" s="6">
        <f t="shared" si="94"/>
        <v>2.6342592587752733E-2</v>
      </c>
      <c r="N103" s="7">
        <f t="shared" si="95"/>
        <v>37.933333326363936</v>
      </c>
      <c r="O103" s="7"/>
      <c r="P103" s="7"/>
      <c r="Q103" s="22"/>
      <c r="R103" s="170"/>
      <c r="S103" s="213">
        <f t="shared" si="96"/>
        <v>1</v>
      </c>
      <c r="T103" s="195" t="str">
        <f t="shared" si="97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70"/>
        <v>https://d0f6bd738d7f1b3e5a7ca70fe4ff75f0.us-east-1.aws.found.io/app/kibana#/discover/Steve-Slow-Train-Analysis-(2080s-and-2083s)?_g=(refreshInterval:(display:Off,pause:!f,section:0,value:0),time:(from:'2017-08-11T13:46:14-0600',mode:absolute,to:'2017-08-11T16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3" s="197" t="str">
        <f>IF(AA103&lt;VLOOKUP(AG103,Variables!$AC$3:$AD$8,2,FALSE),"Y","N")</f>
        <v>N</v>
      </c>
      <c r="X103" s="197">
        <f t="shared" si="107"/>
        <v>1</v>
      </c>
      <c r="Y103" s="197">
        <f t="shared" si="106"/>
        <v>4.6699999999999998E-2</v>
      </c>
      <c r="Z103" s="197">
        <f t="shared" si="105"/>
        <v>23.331099999999999</v>
      </c>
      <c r="AA103" s="197">
        <f t="shared" si="98"/>
        <v>23.284399999999998</v>
      </c>
      <c r="AB103" s="54" t="e">
        <f>VLOOKUP(A103,Enforcements!$C$7:$K$12,8,0)</f>
        <v>#N/A</v>
      </c>
      <c r="AC103" s="51" t="e">
        <f>VLOOKUP(A103,Enforcements!$C$7:$E$12,3,0)</f>
        <v>#N/A</v>
      </c>
      <c r="AD103" s="206">
        <f t="shared" si="99"/>
        <v>189</v>
      </c>
      <c r="AE103" s="77" t="str">
        <f t="shared" si="71"/>
        <v>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 &amp; aws s3 cp s3://rtdc.mdm.uploadarchive.raw/RTDC4058/ "%USERPROFILE%\AppData\Local\Temp\OnboardLogs"\RTDC4058\2017-08-12 --exclude "*" --recursive --include "*20170812*" &amp; "%USERPROFILE%\Documents\GitHub\mrs-test-scripts\Headless Mode &amp; Sideloading\WalkAndUnGZ.bat" "%USERPROFILE%\AppData\Local\Temp\OnboardLogs"\RTDC4058\2017-08-12</v>
      </c>
      <c r="AF103" s="74" t="str">
        <f t="shared" si="72"/>
        <v>"C:\Program Files (x86)\AstroGrep\AstroGrep.exe" /e /r /s /spath="%USERPROFILE%\AppData\Local\Temp\OnboardLogs" /stypes="app*4058*20170811*" /stext=" 21:.+((SYSTEM_STATE.+slice.+state.+changed )|(ment ac)|(multiple cpu faults)|(system.+state.+changed )|(\[timeout)|(PRM\|1\|D)|(kpr)|(kdp)|(train st.+moving)|(\|lc)|(penalty))"</v>
      </c>
      <c r="AG103" s="209" t="str">
        <f t="shared" si="100"/>
        <v>EC</v>
      </c>
      <c r="AH103" s="78" t="str">
        <f t="shared" si="75"/>
        <v>"%USERPROFILE%\Documents\GitHub\eaglep3\Utilities\RefineRTDCRunTimes.py" --tripid 189-11 --locoid 4058 --swversion DE.1.0.9.0 --startMP 204:467 --initTime 2017-08-11T14:46:14 --startdatetime 2017-08-11T14:48:46 --delay 1 --endMP 204:233311 --enddatetime 2017-08-11T15:26:42 --enforcementcount 0 &gt;&gt;C:\Users\stu\Documents\GitHub\eaglep3-reporting\EC\2017-08-11-refined-times.txt</v>
      </c>
      <c r="AI103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{"issue":{"subject":"","project_id":79,"tracker_id":40,"status_id":1,"priority_id":2,"assigned_to_id":23,"start_date":"2017-08-11","description":"","custom_fields":[{"id":1,"name":"Subdivision","value":"EC"},{"id":4,"name":"Milepost","value":"23.3311"},{"id":17,"name":"Train ID","value":"189-11"},{"id":16,"name":"Locomotive ID","value":"4058"},{"id":130,"name":"Impact","value":""},{"id":150,"name":"Time of Event (Mountain Time)","value":"15:26:42"},{"id":151,"name":"Denver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77"/>
        <v>start /low /b %USERPROFILE%\Documents\GitHub\eaglep3\Utilities\DownloadLogsFromS3.py --loco 4058 --day 2017-08-11</v>
      </c>
      <c r="AN103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21:26:42"},{"id":29,"name":"Sharepoint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793</v>
      </c>
      <c r="B104" s="7">
        <v>4057</v>
      </c>
      <c r="C104" s="21" t="s">
        <v>198</v>
      </c>
      <c r="D104" s="21" t="s">
        <v>913</v>
      </c>
      <c r="E104" s="13">
        <v>42958.652974537035</v>
      </c>
      <c r="F104" s="13">
        <v>42958.654768518521</v>
      </c>
      <c r="G104" s="7">
        <v>1</v>
      </c>
      <c r="H104" s="21" t="s">
        <v>1052</v>
      </c>
      <c r="I104" s="13">
        <v>42958.681898148148</v>
      </c>
      <c r="J104" s="7">
        <v>0</v>
      </c>
      <c r="K104" s="89" t="str">
        <f t="shared" si="93"/>
        <v>4057/4058</v>
      </c>
      <c r="L104" s="21" t="str">
        <f>VLOOKUP(A104,'Trips&amp;Operators'!$C$1:$G$99999,5,FALSE)</f>
        <v>THOMPSON LESTER</v>
      </c>
      <c r="M104" s="6">
        <f t="shared" si="94"/>
        <v>2.7129629626870155E-2</v>
      </c>
      <c r="N104" s="7">
        <f t="shared" si="95"/>
        <v>39.066666662693024</v>
      </c>
      <c r="O104" s="7"/>
      <c r="P104" s="7"/>
      <c r="Q104" s="22"/>
      <c r="R104" s="170"/>
      <c r="S104" s="213">
        <f t="shared" si="96"/>
        <v>1</v>
      </c>
      <c r="T104" s="195" t="str">
        <f t="shared" si="97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70"/>
        <v>https://d0f6bd738d7f1b3e5a7ca70fe4ff75f0.us-east-1.aws.found.io/app/kibana#/discover/Steve-Slow-Train-Analysis-(2080s-and-2083s)?_g=(refreshInterval:(display:Off,pause:!f,section:0,value:0),time:(from:'2017-08-11T14:40:17-0600',mode:absolute,to:'2017-08-11T17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4" s="197" t="str">
        <f>IF(AA104&lt;VLOOKUP(AG104,Variables!$AC$3:$AD$8,2,FALSE),"Y","N")</f>
        <v>N</v>
      </c>
      <c r="X104" s="197">
        <f t="shared" si="107"/>
        <v>1</v>
      </c>
      <c r="Y104" s="197">
        <f t="shared" si="106"/>
        <v>23.300899999999999</v>
      </c>
      <c r="Z104" s="197">
        <f t="shared" si="105"/>
        <v>1.2999999999999999E-2</v>
      </c>
      <c r="AA104" s="197">
        <f t="shared" si="98"/>
        <v>23.287899999999997</v>
      </c>
      <c r="AB104" s="54" t="e">
        <f>VLOOKUP(A104,Enforcements!$C$7:$K$12,8,0)</f>
        <v>#N/A</v>
      </c>
      <c r="AC104" s="51" t="e">
        <f>VLOOKUP(A104,Enforcements!$C$7:$E$12,3,0)</f>
        <v>#N/A</v>
      </c>
      <c r="AD104" s="206">
        <f t="shared" si="99"/>
        <v>190</v>
      </c>
      <c r="AE104" s="77" t="str">
        <f t="shared" si="71"/>
        <v>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 &amp; aws s3 cp s3://rtdc.mdm.uploadarchive.raw/RTDC4057/ "%USERPROFILE%\AppData\Local\Temp\OnboardLogs"\RTDC4057\2017-08-12 --exclude "*" --recursive --include "*20170812*" &amp; "%USERPROFILE%\Documents\GitHub\mrs-test-scripts\Headless Mode &amp; Sideloading\WalkAndUnGZ.bat" "%USERPROFILE%\AppData\Local\Temp\OnboardLogs"\RTDC4057\2017-08-12</v>
      </c>
      <c r="AF104" s="74" t="str">
        <f t="shared" si="72"/>
        <v>"C:\Program Files (x86)\AstroGrep\AstroGrep.exe" /e /r /s /spath="%USERPROFILE%\AppData\Local\Temp\OnboardLogs" /stypes="app*4057*20170811*" /stext=" 22:.+((SYSTEM_STATE.+slice.+state.+changed )|(ment ac)|(multiple cpu faults)|(system.+state.+changed )|(\[timeout)|(PRM\|1\|D)|(kpr)|(kdp)|(train st.+moving)|(\|lc)|(penalty))"</v>
      </c>
      <c r="AG104" s="209" t="str">
        <f t="shared" si="100"/>
        <v>EC</v>
      </c>
      <c r="AH104" s="78" t="str">
        <f t="shared" si="75"/>
        <v>"%USERPROFILE%\Documents\GitHub\eaglep3\Utilities\RefineRTDCRunTimes.py" --tripid 190-11 --locoid 4057 --swversion DE.1.0.9.0 --startMP 204:233009 --initTime 2017-08-11T15:40:17 --startdatetime 2017-08-11T15:42:52 --delay 1 --endMP 204:130 --enddatetime 2017-08-11T16:21:56 --enforcementcount 0 &gt;&gt;C:\Users\stu\Documents\GitHub\eaglep3-reporting\EC\2017-08-11-refined-times.txt</v>
      </c>
      <c r="AI104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{"issue":{"subject":"","project_id":79,"tracker_id":40,"status_id":1,"priority_id":2,"assigned_to_id":23,"start_date":"2017-08-11","description":"","custom_fields":[{"id":1,"name":"Subdivision","value":"EC"},{"id":4,"name":"Milepost","value":"0.013"},{"id":17,"name":"Train ID","value":"190-11"},{"id":16,"name":"Locomotive ID","value":"4057"},{"id":130,"name":"Impact","value":""},{"id":150,"name":"Time of Event (Mountain Time)","value":"16:21:56"},{"id":151,"name":"Denver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77"/>
        <v>start /low /b %USERPROFILE%\Documents\GitHub\eaglep3\Utilities\DownloadLogsFromS3.py --loco 4057 --day 2017-08-11</v>
      </c>
      <c r="AN104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22:21:56"},{"id":29,"name":"Sharepoint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783</v>
      </c>
      <c r="B105" s="7">
        <v>4020</v>
      </c>
      <c r="C105" s="21" t="s">
        <v>198</v>
      </c>
      <c r="D105" s="21" t="s">
        <v>436</v>
      </c>
      <c r="E105" s="13">
        <v>42958.621481481481</v>
      </c>
      <c r="F105" s="13">
        <v>42958.625787037039</v>
      </c>
      <c r="G105" s="7">
        <v>1</v>
      </c>
      <c r="H105" s="21" t="s">
        <v>567</v>
      </c>
      <c r="I105" s="13">
        <v>42958.650937500002</v>
      </c>
      <c r="J105" s="7">
        <v>0</v>
      </c>
      <c r="K105" s="89" t="str">
        <f t="shared" si="93"/>
        <v>4019/4020</v>
      </c>
      <c r="L105" s="21" t="str">
        <f>VLOOKUP(A105,'Trips&amp;Operators'!$C$1:$G$99999,5,FALSE)</f>
        <v>STEWART MICHAEL</v>
      </c>
      <c r="M105" s="6">
        <f t="shared" si="94"/>
        <v>2.5150462963210884E-2</v>
      </c>
      <c r="N105" s="7">
        <f t="shared" si="95"/>
        <v>36.216666667023674</v>
      </c>
      <c r="O105" s="7"/>
      <c r="P105" s="7"/>
      <c r="Q105" s="22"/>
      <c r="R105" s="170"/>
      <c r="S105" s="213">
        <f t="shared" si="96"/>
        <v>1</v>
      </c>
      <c r="T105" s="195" t="str">
        <f t="shared" si="97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70"/>
        <v>https://d0f6bd738d7f1b3e5a7ca70fe4ff75f0.us-east-1.aws.found.io/app/kibana#/discover/Steve-Slow-Train-Analysis-(2080s-and-2083s)?_g=(refreshInterval:(display:Off,pause:!f,section:0,value:0),time:(from:'2017-08-11T13:54:56-0600',mode:absolute,to:'2017-08-11T16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5" s="197" t="str">
        <f>IF(AA105&lt;VLOOKUP(AG105,Variables!$AC$3:$AD$8,2,FALSE),"Y","N")</f>
        <v>N</v>
      </c>
      <c r="X105" s="197">
        <f t="shared" si="107"/>
        <v>1</v>
      </c>
      <c r="Y105" s="197">
        <f t="shared" si="106"/>
        <v>4.5699999999999998E-2</v>
      </c>
      <c r="Z105" s="197">
        <f t="shared" si="105"/>
        <v>23.328499999999998</v>
      </c>
      <c r="AA105" s="197">
        <f t="shared" si="98"/>
        <v>23.282799999999998</v>
      </c>
      <c r="AB105" s="54" t="e">
        <f>VLOOKUP(A105,Enforcements!$C$7:$K$12,8,0)</f>
        <v>#N/A</v>
      </c>
      <c r="AC105" s="51" t="e">
        <f>VLOOKUP(A105,Enforcements!$C$7:$E$12,3,0)</f>
        <v>#N/A</v>
      </c>
      <c r="AD105" s="206">
        <f t="shared" si="99"/>
        <v>191</v>
      </c>
      <c r="AE105" s="77" t="str">
        <f t="shared" si="71"/>
        <v>aws s3 cp s3://rtdc.mdm.uploadarchive.raw/RTDC4020/ "%USERPROFILE%\AppData\Local\Temp\OnboardLogs"\RTDC4020\2017-08-11 --exclude "*" --recursive --include "*20170811*" &amp; "%USERPROFILE%\Documents\GitHub\mrs-test-scripts\Headless Mode &amp; Sideloading\WalkAndUnGZ.bat" "%USERPROFILE%\AppData\Local\Temp\OnboardLogs"\RTDC4020\2017-08-11 &amp; aws s3 cp s3://rtdc.mdm.uploadarchive.raw/RTDC4020/ "%USERPROFILE%\AppData\Local\Temp\OnboardLogs"\RTDC4020\2017-08-12 --exclude "*" --recursive --include "*20170812*" &amp; "%USERPROFILE%\Documents\GitHub\mrs-test-scripts\Headless Mode &amp; Sideloading\WalkAndUnGZ.bat" "%USERPROFILE%\AppData\Local\Temp\OnboardLogs"\RTDC4020\2017-08-12</v>
      </c>
      <c r="AF105" s="74" t="str">
        <f t="shared" si="72"/>
        <v>"C:\Program Files (x86)\AstroGrep\AstroGrep.exe" /e /r /s /spath="%USERPROFILE%\AppData\Local\Temp\OnboardLogs" /stypes="app*4020*20170811*" /stext=" 21:.+((SYSTEM_STATE.+slice.+state.+changed )|(ment ac)|(multiple cpu faults)|(system.+state.+changed )|(\[timeout)|(PRM\|1\|D)|(kpr)|(kdp)|(train st.+moving)|(\|lc)|(penalty))"</v>
      </c>
      <c r="AG105" s="209" t="str">
        <f t="shared" si="100"/>
        <v>EC</v>
      </c>
      <c r="AH105" s="78" t="str">
        <f t="shared" si="75"/>
        <v>"%USERPROFILE%\Documents\GitHub\eaglep3\Utilities\RefineRTDCRunTimes.py" --tripid 191-11 --locoid 4020 --swversion DE.1.0.9.0 --startMP 204:457 --initTime 2017-08-11T14:54:56 --startdatetime 2017-08-11T15:01:08 --delay 1 --endMP 204:233285 --enddatetime 2017-08-11T15:37:21 --enforcementcount 0 &gt;&gt;C:\Users\stu\Documents\GitHub\eaglep3-reporting\EC\2017-08-11-refined-times.txt</v>
      </c>
      <c r="AI105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{"issue":{"subject":"","project_id":79,"tracker_id":40,"status_id":1,"priority_id":2,"assigned_to_id":23,"start_date":"2017-08-11","description":"","custom_fields":[{"id":1,"name":"Subdivision","value":"EC"},{"id":4,"name":"Milepost","value":"23.3285"},{"id":17,"name":"Train ID","value":"191-11"},{"id":16,"name":"Locomotive ID","value":"4020"},{"id":130,"name":"Impact","value":""},{"id":150,"name":"Time of Event (Mountain Time)","value":"15:37:21"},{"id":151,"name":"Denver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77"/>
        <v>start /low /b %USERPROFILE%\Documents\GitHub\eaglep3\Utilities\DownloadLogsFromS3.py --loco 4020 --day 2017-08-11</v>
      </c>
      <c r="AN105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21:37:21"},{"id":29,"name":"Sharepoint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628</v>
      </c>
      <c r="B106" s="7">
        <v>4019</v>
      </c>
      <c r="C106" s="21" t="s">
        <v>198</v>
      </c>
      <c r="D106" s="21" t="s">
        <v>493</v>
      </c>
      <c r="E106" s="13">
        <v>42958.661041666666</v>
      </c>
      <c r="F106" s="13">
        <v>42958.664988425924</v>
      </c>
      <c r="G106" s="7">
        <v>1</v>
      </c>
      <c r="H106" s="21" t="s">
        <v>914</v>
      </c>
      <c r="I106" s="13">
        <v>42958.691944444443</v>
      </c>
      <c r="J106" s="7">
        <v>0</v>
      </c>
      <c r="K106" s="89" t="str">
        <f t="shared" si="93"/>
        <v>4019/4020</v>
      </c>
      <c r="L106" s="21" t="str">
        <f>VLOOKUP(A106,'Trips&amp;Operators'!$C$1:$G$99999,5,FALSE)</f>
        <v>STEWART MICHAEL</v>
      </c>
      <c r="M106" s="6">
        <f t="shared" si="94"/>
        <v>2.6956018518831115E-2</v>
      </c>
      <c r="N106" s="7">
        <f t="shared" si="95"/>
        <v>38.816666667116806</v>
      </c>
      <c r="O106" s="7"/>
      <c r="P106" s="7"/>
      <c r="Q106" s="22"/>
      <c r="R106" s="170"/>
      <c r="S106" s="213">
        <f t="shared" si="96"/>
        <v>1</v>
      </c>
      <c r="T106" s="195" t="str">
        <f t="shared" si="97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70"/>
        <v>https://d0f6bd738d7f1b3e5a7ca70fe4ff75f0.us-east-1.aws.found.io/app/kibana#/discover/Steve-Slow-Train-Analysis-(2080s-and-2083s)?_g=(refreshInterval:(display:Off,pause:!f,section:0,value:0),time:(from:'2017-08-11T14:51:54-0600',mode:absolute,to:'2017-08-11T17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6" s="197" t="str">
        <f>IF(AA106&lt;VLOOKUP(AG106,Variables!$AC$3:$AD$8,2,FALSE),"Y","N")</f>
        <v>N</v>
      </c>
      <c r="X106" s="197">
        <f t="shared" si="107"/>
        <v>1</v>
      </c>
      <c r="Y106" s="197">
        <f t="shared" si="106"/>
        <v>23.297699999999999</v>
      </c>
      <c r="Z106" s="197">
        <f t="shared" si="105"/>
        <v>1.8700000000000001E-2</v>
      </c>
      <c r="AA106" s="197">
        <f t="shared" si="98"/>
        <v>23.279</v>
      </c>
      <c r="AB106" s="54" t="e">
        <f>VLOOKUP(A106,Enforcements!$C$7:$K$12,8,0)</f>
        <v>#N/A</v>
      </c>
      <c r="AC106" s="51" t="e">
        <f>VLOOKUP(A106,Enforcements!$C$7:$E$12,3,0)</f>
        <v>#N/A</v>
      </c>
      <c r="AD106" s="206">
        <f t="shared" si="99"/>
        <v>192</v>
      </c>
      <c r="AE106" s="77" t="str">
        <f t="shared" si="71"/>
        <v>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 &amp; aws s3 cp s3://rtdc.mdm.uploadarchive.raw/RTDC4019/ "%USERPROFILE%\AppData\Local\Temp\OnboardLogs"\RTDC4019\2017-08-12 --exclude "*" --recursive --include "*20170812*" &amp; "%USERPROFILE%\Documents\GitHub\mrs-test-scripts\Headless Mode &amp; Sideloading\WalkAndUnGZ.bat" "%USERPROFILE%\AppData\Local\Temp\OnboardLogs"\RTDC4019\2017-08-12</v>
      </c>
      <c r="AF106" s="74" t="str">
        <f t="shared" si="72"/>
        <v>"C:\Program Files (x86)\AstroGrep\AstroGrep.exe" /e /r /s /spath="%USERPROFILE%\AppData\Local\Temp\OnboardLogs" /stypes="app*4019*20170811*" /stext=" 22:.+((SYSTEM_STATE.+slice.+state.+changed )|(ment ac)|(multiple cpu faults)|(system.+state.+changed )|(\[timeout)|(PRM\|1\|D)|(kpr)|(kdp)|(train st.+moving)|(\|lc)|(penalty))"</v>
      </c>
      <c r="AG106" s="209" t="str">
        <f t="shared" si="100"/>
        <v>EC</v>
      </c>
      <c r="AH106" s="78" t="str">
        <f t="shared" si="75"/>
        <v>"%USERPROFILE%\Documents\GitHub\eaglep3\Utilities\RefineRTDCRunTimes.py" --tripid 192-11 --locoid 4019 --swversion DE.1.0.9.0 --startMP 204:232977 --initTime 2017-08-11T15:51:54 --startdatetime 2017-08-11T15:57:35 --delay 1 --endMP 204:187 --enddatetime 2017-08-11T16:36:24 --enforcementcount 0 &gt;&gt;C:\Users\stu\Documents\GitHub\eaglep3-reporting\EC\2017-08-11-refined-times.txt</v>
      </c>
      <c r="AI106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{"issue":{"subject":"","project_id":79,"tracker_id":40,"status_id":1,"priority_id":2,"assigned_to_id":23,"start_date":"2017-08-11","description":"","custom_fields":[{"id":1,"name":"Subdivision","value":"EC"},{"id":4,"name":"Milepost","value":"0.0187"},{"id":17,"name":"Train ID","value":"192-11"},{"id":16,"name":"Locomotive ID","value":"4019"},{"id":130,"name":"Impact","value":""},{"id":150,"name":"Time of Event (Mountain Time)","value":"16:36:24"},{"id":151,"name":"Denver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77"/>
        <v>start /low /b %USERPROFILE%\Documents\GitHub\eaglep3\Utilities\DownloadLogsFromS3.py --loco 4019 --day 2017-08-11</v>
      </c>
      <c r="AN106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22:36:24"},{"id":29,"name":"Sharepoint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786</v>
      </c>
      <c r="B107" s="7">
        <v>4030</v>
      </c>
      <c r="C107" s="21" t="s">
        <v>198</v>
      </c>
      <c r="D107" s="21" t="s">
        <v>523</v>
      </c>
      <c r="E107" s="13">
        <v>42958.632152777776</v>
      </c>
      <c r="F107" s="13">
        <v>42958.63621527778</v>
      </c>
      <c r="G107" s="7">
        <v>1</v>
      </c>
      <c r="H107" s="21" t="s">
        <v>915</v>
      </c>
      <c r="I107" s="13">
        <v>42958.661782407406</v>
      </c>
      <c r="J107" s="7">
        <v>0</v>
      </c>
      <c r="K107" s="89" t="str">
        <f t="shared" si="93"/>
        <v>4029/4030</v>
      </c>
      <c r="L107" s="21" t="str">
        <f>VLOOKUP(A107,'Trips&amp;Operators'!$C$1:$G$99999,5,FALSE)</f>
        <v>WEST BRYAN</v>
      </c>
      <c r="M107" s="6">
        <f t="shared" si="94"/>
        <v>2.5567129625414964E-2</v>
      </c>
      <c r="N107" s="7">
        <f t="shared" si="95"/>
        <v>36.816666660597548</v>
      </c>
      <c r="O107" s="7"/>
      <c r="P107" s="7"/>
      <c r="Q107" s="22"/>
      <c r="R107" s="170"/>
      <c r="S107" s="213">
        <f t="shared" si="96"/>
        <v>1</v>
      </c>
      <c r="T107" s="195" t="str">
        <f t="shared" si="97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70"/>
        <v>https://d0f6bd738d7f1b3e5a7ca70fe4ff75f0.us-east-1.aws.found.io/app/kibana#/discover/Steve-Slow-Train-Analysis-(2080s-and-2083s)?_g=(refreshInterval:(display:Off,pause:!f,section:0,value:0),time:(from:'2017-08-11T14:10:18-0600',mode:absolute,to:'2017-08-11T16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7" s="197" t="str">
        <f>IF(AA107&lt;VLOOKUP(AG107,Variables!$AC$3:$AD$8,2,FALSE),"Y","N")</f>
        <v>N</v>
      </c>
      <c r="X107" s="197">
        <f t="shared" si="107"/>
        <v>1</v>
      </c>
      <c r="Y107" s="197">
        <f t="shared" si="106"/>
        <v>4.7100000000000003E-2</v>
      </c>
      <c r="Z107" s="197">
        <f t="shared" si="105"/>
        <v>23.328199999999999</v>
      </c>
      <c r="AA107" s="197">
        <f t="shared" si="98"/>
        <v>23.281099999999999</v>
      </c>
      <c r="AB107" s="54" t="e">
        <f>VLOOKUP(A107,Enforcements!$C$7:$K$12,8,0)</f>
        <v>#N/A</v>
      </c>
      <c r="AC107" s="51" t="e">
        <f>VLOOKUP(A107,Enforcements!$C$7:$E$12,3,0)</f>
        <v>#N/A</v>
      </c>
      <c r="AD107" s="206">
        <f t="shared" si="99"/>
        <v>193</v>
      </c>
      <c r="AE107" s="77" t="str">
        <f t="shared" si="71"/>
        <v>aws s3 cp s3://rtdc.mdm.uploadarchive.raw/RTDC4030/ "%USERPROFILE%\AppData\Local\Temp\OnboardLogs"\RTDC4030\2017-08-11 --exclude "*" --recursive --include "*20170811*" &amp; "%USERPROFILE%\Documents\GitHub\mrs-test-scripts\Headless Mode &amp; Sideloading\WalkAndUnGZ.bat" "%USERPROFILE%\AppData\Local\Temp\OnboardLogs"\RTDC4030\2017-08-11 &amp; aws s3 cp s3://rtdc.mdm.uploadarchive.raw/RTDC4030/ "%USERPROFILE%\AppData\Local\Temp\OnboardLogs"\RTDC4030\2017-08-12 --exclude "*" --recursive --include "*20170812*" &amp; "%USERPROFILE%\Documents\GitHub\mrs-test-scripts\Headless Mode &amp; Sideloading\WalkAndUnGZ.bat" "%USERPROFILE%\AppData\Local\Temp\OnboardLogs"\RTDC4030\2017-08-12</v>
      </c>
      <c r="AF107" s="74" t="str">
        <f t="shared" si="72"/>
        <v>"C:\Program Files (x86)\AstroGrep\AstroGrep.exe" /e /r /s /spath="%USERPROFILE%\AppData\Local\Temp\OnboardLogs" /stypes="app*4030*20170811*" /stext=" 21:.+((SYSTEM_STATE.+slice.+state.+changed )|(ment ac)|(multiple cpu faults)|(system.+state.+changed )|(\[timeout)|(PRM\|1\|D)|(kpr)|(kdp)|(train st.+moving)|(\|lc)|(penalty))"</v>
      </c>
      <c r="AG107" s="209" t="str">
        <f t="shared" si="100"/>
        <v>EC</v>
      </c>
      <c r="AH107" s="78" t="str">
        <f t="shared" si="75"/>
        <v>"%USERPROFILE%\Documents\GitHub\eaglep3\Utilities\RefineRTDCRunTimes.py" --tripid 193-11 --locoid 4030 --swversion DE.1.0.9.0 --startMP 204:471 --initTime 2017-08-11T15:10:18 --startdatetime 2017-08-11T15:16:09 --delay 1 --endMP 204:233282 --enddatetime 2017-08-11T15:52:58 --enforcementcount 0 &gt;&gt;C:\Users\stu\Documents\GitHub\eaglep3-reporting\EC\2017-08-11-refined-times.txt</v>
      </c>
      <c r="AI107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{"issue":{"subject":"","project_id":79,"tracker_id":40,"status_id":1,"priority_id":2,"assigned_to_id":23,"start_date":"2017-08-11","description":"","custom_fields":[{"id":1,"name":"Subdivision","value":"EC"},{"id":4,"name":"Milepost","value":"23.3282"},{"id":17,"name":"Train ID","value":"193-11"},{"id":16,"name":"Locomotive ID","value":"4030"},{"id":130,"name":"Impact","value":""},{"id":150,"name":"Time of Event (Mountain Time)","value":"15:52:58"},{"id":151,"name":"Denver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77"/>
        <v>start /low /b %USERPROFILE%\Documents\GitHub\eaglep3\Utilities\DownloadLogsFromS3.py --loco 4030 --day 2017-08-11</v>
      </c>
      <c r="AN107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21:52:58"},{"id":29,"name":"Sharepoint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630</v>
      </c>
      <c r="B108" s="7">
        <v>4029</v>
      </c>
      <c r="C108" s="21" t="s">
        <v>198</v>
      </c>
      <c r="D108" s="21" t="s">
        <v>580</v>
      </c>
      <c r="E108" s="13">
        <v>42958.670266203706</v>
      </c>
      <c r="F108" s="13">
        <v>42958.675335648149</v>
      </c>
      <c r="G108" s="7">
        <v>1</v>
      </c>
      <c r="H108" s="21" t="s">
        <v>902</v>
      </c>
      <c r="I108" s="13">
        <v>42958.702175925922</v>
      </c>
      <c r="J108" s="7">
        <v>0</v>
      </c>
      <c r="K108" s="89" t="str">
        <f t="shared" si="93"/>
        <v>4029/4030</v>
      </c>
      <c r="L108" s="21" t="str">
        <f>VLOOKUP(A108,'Trips&amp;Operators'!$C$1:$G$99999,5,FALSE)</f>
        <v>WEST BRYAN</v>
      </c>
      <c r="M108" s="6">
        <f t="shared" si="94"/>
        <v>2.6840277772862464E-2</v>
      </c>
      <c r="N108" s="7">
        <f t="shared" si="95"/>
        <v>38.649999992921948</v>
      </c>
      <c r="O108" s="7"/>
      <c r="P108" s="7"/>
      <c r="Q108" s="22"/>
      <c r="R108" s="170"/>
      <c r="S108" s="213">
        <f t="shared" si="96"/>
        <v>1</v>
      </c>
      <c r="T108" s="195" t="str">
        <f t="shared" si="97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70"/>
        <v>https://d0f6bd738d7f1b3e5a7ca70fe4ff75f0.us-east-1.aws.found.io/app/kibana#/discover/Steve-Slow-Train-Analysis-(2080s-and-2083s)?_g=(refreshInterval:(display:Off,pause:!f,section:0,value:0),time:(from:'2017-08-11T15:05:11-0600',mode:absolute,to:'2017-08-11T17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8" s="197" t="str">
        <f>IF(AA108&lt;VLOOKUP(AG108,Variables!$AC$3:$AD$8,2,FALSE),"Y","N")</f>
        <v>N</v>
      </c>
      <c r="X108" s="197">
        <f t="shared" si="107"/>
        <v>1</v>
      </c>
      <c r="Y108" s="197">
        <f t="shared" si="106"/>
        <v>23.296700000000001</v>
      </c>
      <c r="Z108" s="197">
        <f t="shared" si="105"/>
        <v>1.8499999999999999E-2</v>
      </c>
      <c r="AA108" s="197">
        <f t="shared" si="98"/>
        <v>23.278200000000002</v>
      </c>
      <c r="AB108" s="54" t="e">
        <f>VLOOKUP(A108,Enforcements!$C$7:$K$12,8,0)</f>
        <v>#N/A</v>
      </c>
      <c r="AC108" s="51" t="e">
        <f>VLOOKUP(A108,Enforcements!$C$7:$E$12,3,0)</f>
        <v>#N/A</v>
      </c>
      <c r="AD108" s="206">
        <f t="shared" si="99"/>
        <v>194</v>
      </c>
      <c r="AE108" s="77" t="str">
        <f t="shared" si="71"/>
        <v>aws s3 cp s3://rtdc.mdm.uploadarchive.raw/RTDC4029/ "%USERPROFILE%\AppData\Local\Temp\OnboardLogs"\RTDC4029\2017-08-11 --exclude "*" --recursive --include "*20170811*" &amp; "%USERPROFILE%\Documents\GitHub\mrs-test-scripts\Headless Mode &amp; Sideloading\WalkAndUnGZ.bat" "%USERPROFILE%\AppData\Local\Temp\OnboardLogs"\RTDC4029\2017-08-11 &amp; aws s3 cp s3://rtdc.mdm.uploadarchive.raw/RTDC4029/ "%USERPROFILE%\AppData\Local\Temp\OnboardLogs"\RTDC4029\2017-08-12 --exclude "*" --recursive --include "*20170812*" &amp; "%USERPROFILE%\Documents\GitHub\mrs-test-scripts\Headless Mode &amp; Sideloading\WalkAndUnGZ.bat" "%USERPROFILE%\AppData\Local\Temp\OnboardLogs"\RTDC4029\2017-08-12</v>
      </c>
      <c r="AF108" s="74" t="str">
        <f t="shared" si="72"/>
        <v>"C:\Program Files (x86)\AstroGrep\AstroGrep.exe" /e /r /s /spath="%USERPROFILE%\AppData\Local\Temp\OnboardLogs" /stypes="app*4029*20170811*" /stext=" 22:.+((SYSTEM_STATE.+slice.+state.+changed )|(ment ac)|(multiple cpu faults)|(system.+state.+changed )|(\[timeout)|(PRM\|1\|D)|(kpr)|(kdp)|(train st.+moving)|(\|lc)|(penalty))"</v>
      </c>
      <c r="AG108" s="209" t="str">
        <f t="shared" si="100"/>
        <v>EC</v>
      </c>
      <c r="AH108" s="78" t="str">
        <f t="shared" si="75"/>
        <v>"%USERPROFILE%\Documents\GitHub\eaglep3\Utilities\RefineRTDCRunTimes.py" --tripid 194-11 --locoid 4029 --swversion DE.1.0.9.0 --startMP 204:232967 --initTime 2017-08-11T16:05:11 --startdatetime 2017-08-11T16:12:29 --delay 1 --endMP 204:185 --enddatetime 2017-08-11T16:51:08 --enforcementcount 0 &gt;&gt;C:\Users\stu\Documents\GitHub\eaglep3-reporting\EC\2017-08-11-refined-times.txt</v>
      </c>
      <c r="AI108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{"issue":{"subject":"","project_id":79,"tracker_id":40,"status_id":1,"priority_id":2,"assigned_to_id":23,"start_date":"2017-08-11","description":"","custom_fields":[{"id":1,"name":"Subdivision","value":"EC"},{"id":4,"name":"Milepost","value":"0.0185"},{"id":17,"name":"Train ID","value":"194-11"},{"id":16,"name":"Locomotive ID","value":"4029"},{"id":130,"name":"Impact","value":""},{"id":150,"name":"Time of Event (Mountain Time)","value":"16:51:08"},{"id":151,"name":"Denver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77"/>
        <v>start /low /b %USERPROFILE%\Documents\GitHub\eaglep3\Utilities\DownloadLogsFromS3.py --loco 4029 --day 2017-08-11</v>
      </c>
      <c r="AN108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22:51:08"},{"id":29,"name":"Sharepoint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791</v>
      </c>
      <c r="B109" s="7">
        <v>4040</v>
      </c>
      <c r="C109" s="21" t="s">
        <v>198</v>
      </c>
      <c r="D109" s="21" t="s">
        <v>344</v>
      </c>
      <c r="E109" s="13">
        <v>42958.641759259262</v>
      </c>
      <c r="F109" s="13">
        <v>42958.64644675926</v>
      </c>
      <c r="G109" s="7">
        <v>1</v>
      </c>
      <c r="H109" s="21" t="s">
        <v>529</v>
      </c>
      <c r="I109" s="13">
        <v>42958.671226851853</v>
      </c>
      <c r="J109" s="7">
        <v>0</v>
      </c>
      <c r="K109" s="89" t="str">
        <f t="shared" si="93"/>
        <v>4039/4040</v>
      </c>
      <c r="L109" s="21" t="str">
        <f>VLOOKUP(A109,'Trips&amp;Operators'!$C$1:$G$99999,5,FALSE)</f>
        <v>YANG JAN</v>
      </c>
      <c r="M109" s="6">
        <f t="shared" si="94"/>
        <v>2.4780092593573499E-2</v>
      </c>
      <c r="N109" s="7">
        <f t="shared" si="95"/>
        <v>35.683333334745839</v>
      </c>
      <c r="O109" s="7"/>
      <c r="P109" s="7"/>
      <c r="Q109" s="22"/>
      <c r="R109" s="170"/>
      <c r="S109" s="213">
        <f t="shared" si="96"/>
        <v>1</v>
      </c>
      <c r="T109" s="195" t="str">
        <f t="shared" si="97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70"/>
        <v>https://d0f6bd738d7f1b3e5a7ca70fe4ff75f0.us-east-1.aws.found.io/app/kibana#/discover/Steve-Slow-Train-Analysis-(2080s-and-2083s)?_g=(refreshInterval:(display:Off,pause:!f,section:0,value:0),time:(from:'2017-08-11T14:24:08-0600',mode:absolute,to:'2017-08-11T17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9" s="197" t="str">
        <f>IF(AA109&lt;VLOOKUP(AG109,Variables!$AC$3:$AD$8,2,FALSE),"Y","N")</f>
        <v>N</v>
      </c>
      <c r="X109" s="197">
        <f t="shared" si="107"/>
        <v>1</v>
      </c>
      <c r="Y109" s="197">
        <f t="shared" si="106"/>
        <v>4.5100000000000001E-2</v>
      </c>
      <c r="Z109" s="197">
        <f t="shared" si="105"/>
        <v>23.333200000000001</v>
      </c>
      <c r="AA109" s="197">
        <f t="shared" si="98"/>
        <v>23.2881</v>
      </c>
      <c r="AB109" s="54" t="e">
        <f>VLOOKUP(A109,Enforcements!$C$7:$K$12,8,0)</f>
        <v>#N/A</v>
      </c>
      <c r="AC109" s="51" t="e">
        <f>VLOOKUP(A109,Enforcements!$C$7:$E$12,3,0)</f>
        <v>#N/A</v>
      </c>
      <c r="AD109" s="206">
        <f t="shared" si="99"/>
        <v>195</v>
      </c>
      <c r="AE109" s="77" t="str">
        <f t="shared" si="71"/>
        <v>aws s3 cp s3://rtdc.mdm.uploadarchive.raw/RTDC4040/ "%USERPROFILE%\AppData\Local\Temp\OnboardLogs"\RTDC4040\2017-08-11 --exclude "*" --recursive --include "*20170811*" &amp; "%USERPROFILE%\Documents\GitHub\mrs-test-scripts\Headless Mode &amp; Sideloading\WalkAndUnGZ.bat" "%USERPROFILE%\AppData\Local\Temp\OnboardLogs"\RTDC4040\2017-08-11 &amp; aws s3 cp s3://rtdc.mdm.uploadarchive.raw/RTDC4040/ "%USERPROFILE%\AppData\Local\Temp\OnboardLogs"\RTDC4040\2017-08-12 --exclude "*" --recursive --include "*20170812*" &amp; "%USERPROFILE%\Documents\GitHub\mrs-test-scripts\Headless Mode &amp; Sideloading\WalkAndUnGZ.bat" "%USERPROFILE%\AppData\Local\Temp\OnboardLogs"\RTDC4040\2017-08-12</v>
      </c>
      <c r="AF109" s="74" t="str">
        <f t="shared" si="72"/>
        <v>"C:\Program Files (x86)\AstroGrep\AstroGrep.exe" /e /r /s /spath="%USERPROFILE%\AppData\Local\Temp\OnboardLogs" /stypes="app*4040*20170811*" /stext=" 22:.+((SYSTEM_STATE.+slice.+state.+changed )|(ment ac)|(multiple cpu faults)|(system.+state.+changed )|(\[timeout)|(PRM\|1\|D)|(kpr)|(kdp)|(train st.+moving)|(\|lc)|(penalty))"</v>
      </c>
      <c r="AG109" s="209" t="str">
        <f t="shared" si="100"/>
        <v>EC</v>
      </c>
      <c r="AH109" s="78" t="str">
        <f t="shared" si="75"/>
        <v>"%USERPROFILE%\Documents\GitHub\eaglep3\Utilities\RefineRTDCRunTimes.py" --tripid 195-11 --locoid 4040 --swversion DE.1.0.9.0 --startMP 204:451 --initTime 2017-08-11T15:24:08 --startdatetime 2017-08-11T15:30:53 --delay 1 --endMP 204:233332 --enddatetime 2017-08-11T16:06:34 --enforcementcount 0 &gt;&gt;C:\Users\stu\Documents\GitHub\eaglep3-reporting\EC\2017-08-11-refined-times.txt</v>
      </c>
      <c r="AI109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{"issue":{"subject":"","project_id":79,"tracker_id":40,"status_id":1,"priority_id":2,"assigned_to_id":23,"start_date":"2017-08-11","description":"","custom_fields":[{"id":1,"name":"Subdivision","value":"EC"},{"id":4,"name":"Milepost","value":"23.3332"},{"id":17,"name":"Train ID","value":"195-11"},{"id":16,"name":"Locomotive ID","value":"4040"},{"id":130,"name":"Impact","value":""},{"id":150,"name":"Time of Event (Mountain Time)","value":"16:06:34"},{"id":151,"name":"Denver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77"/>
        <v>start /low /b %USERPROFILE%\Documents\GitHub\eaglep3\Utilities\DownloadLogsFromS3.py --loco 4040 --day 2017-08-11</v>
      </c>
      <c r="AN109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22:06:34"},{"id":29,"name":"Sharepoint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802</v>
      </c>
      <c r="B110" s="7">
        <v>4039</v>
      </c>
      <c r="C110" s="21" t="s">
        <v>198</v>
      </c>
      <c r="D110" s="21" t="s">
        <v>916</v>
      </c>
      <c r="E110" s="13">
        <v>42958.681250000001</v>
      </c>
      <c r="F110" s="13">
        <v>42958.685844907406</v>
      </c>
      <c r="G110" s="7">
        <v>1</v>
      </c>
      <c r="H110" s="21" t="s">
        <v>456</v>
      </c>
      <c r="I110" s="13">
        <v>42958.711724537039</v>
      </c>
      <c r="J110" s="7">
        <v>0</v>
      </c>
      <c r="K110" s="89" t="str">
        <f t="shared" si="93"/>
        <v>4039/4040</v>
      </c>
      <c r="L110" s="21" t="str">
        <f>VLOOKUP(A110,'Trips&amp;Operators'!$C$1:$G$99999,5,FALSE)</f>
        <v>YANG JAN</v>
      </c>
      <c r="M110" s="6">
        <f t="shared" si="94"/>
        <v>2.587962963298196E-2</v>
      </c>
      <c r="N110" s="7">
        <f t="shared" si="95"/>
        <v>37.266666671494022</v>
      </c>
      <c r="O110" s="7"/>
      <c r="P110" s="7"/>
      <c r="Q110" s="22"/>
      <c r="R110" s="170"/>
      <c r="S110" s="213">
        <f t="shared" si="96"/>
        <v>1</v>
      </c>
      <c r="T110" s="195" t="str">
        <f t="shared" si="97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70"/>
        <v>https://d0f6bd738d7f1b3e5a7ca70fe4ff75f0.us-east-1.aws.found.io/app/kibana#/discover/Steve-Slow-Train-Analysis-(2080s-and-2083s)?_g=(refreshInterval:(display:Off,pause:!f,section:0,value:0),time:(from:'2017-08-11T15:21:00-0600',mode:absolute,to:'2017-08-11T18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0" s="197" t="str">
        <f>IF(AA110&lt;VLOOKUP(AG110,Variables!$AC$3:$AD$8,2,FALSE),"Y","N")</f>
        <v>N</v>
      </c>
      <c r="X110" s="197">
        <f t="shared" si="107"/>
        <v>1</v>
      </c>
      <c r="Y110" s="197">
        <f t="shared" si="106"/>
        <v>23.300999999999998</v>
      </c>
      <c r="Z110" s="197">
        <f t="shared" si="105"/>
        <v>1.6E-2</v>
      </c>
      <c r="AA110" s="197">
        <f t="shared" si="98"/>
        <v>23.285</v>
      </c>
      <c r="AB110" s="54" t="e">
        <f>VLOOKUP(A110,Enforcements!$C$7:$K$12,8,0)</f>
        <v>#N/A</v>
      </c>
      <c r="AC110" s="51" t="e">
        <f>VLOOKUP(A110,Enforcements!$C$7:$E$12,3,0)</f>
        <v>#N/A</v>
      </c>
      <c r="AD110" s="206">
        <f t="shared" si="99"/>
        <v>196</v>
      </c>
      <c r="AE110" s="77" t="str">
        <f t="shared" si="71"/>
        <v>aws s3 cp s3://rtdc.mdm.uploadarchive.raw/RTDC4039/ "%USERPROFILE%\AppData\Local\Temp\OnboardLogs"\RTDC4039\2017-08-11 --exclude "*" --recursive --include "*20170811*" &amp; "%USERPROFILE%\Documents\GitHub\mrs-test-scripts\Headless Mode &amp; Sideloading\WalkAndUnGZ.bat" "%USERPROFILE%\AppData\Local\Temp\OnboardLogs"\RTDC4039\2017-08-11 &amp; aws s3 cp s3://rtdc.mdm.uploadarchive.raw/RTDC4039/ "%USERPROFILE%\AppData\Local\Temp\OnboardLogs"\RTDC4039\2017-08-12 --exclude "*" --recursive --include "*20170812*" &amp; "%USERPROFILE%\Documents\GitHub\mrs-test-scripts\Headless Mode &amp; Sideloading\WalkAndUnGZ.bat" "%USERPROFILE%\AppData\Local\Temp\OnboardLogs"\RTDC4039\2017-08-12</v>
      </c>
      <c r="AF110" s="74" t="str">
        <f t="shared" si="72"/>
        <v>"C:\Program Files (x86)\AstroGrep\AstroGrep.exe" /e /r /s /spath="%USERPROFILE%\AppData\Local\Temp\OnboardLogs" /stypes="app*4039*20170811*" /stext=" 23:.+((SYSTEM_STATE.+slice.+state.+changed )|(ment ac)|(multiple cpu faults)|(system.+state.+changed )|(\[timeout)|(PRM\|1\|D)|(kpr)|(kdp)|(train st.+moving)|(\|lc)|(penalty))"</v>
      </c>
      <c r="AG110" s="209" t="str">
        <f t="shared" si="100"/>
        <v>EC</v>
      </c>
      <c r="AH110" s="78" t="str">
        <f t="shared" si="75"/>
        <v>"%USERPROFILE%\Documents\GitHub\eaglep3\Utilities\RefineRTDCRunTimes.py" --tripid 196-11 --locoid 4039 --swversion DE.1.0.9.0 --startMP 204:233010 --initTime 2017-08-11T16:21:00 --startdatetime 2017-08-11T16:27:37 --delay 1 --endMP 204:160 --enddatetime 2017-08-11T17:04:53 --enforcementcount 0 &gt;&gt;C:\Users\stu\Documents\GitHub\eaglep3-reporting\EC\2017-08-11-refined-times.txt</v>
      </c>
      <c r="AI110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{"issue":{"subject":"","project_id":79,"tracker_id":40,"status_id":1,"priority_id":2,"assigned_to_id":23,"start_date":"2017-08-11","description":"","custom_fields":[{"id":1,"name":"Subdivision","value":"EC"},{"id":4,"name":"Milepost","value":"0.016"},{"id":17,"name":"Train ID","value":"196-11"},{"id":16,"name":"Locomotive ID","value":"4039"},{"id":130,"name":"Impact","value":""},{"id":150,"name":"Time of Event (Mountain Time)","value":"17:04:53"},{"id":151,"name":"Denver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77"/>
        <v>start /low /b %USERPROFILE%\Documents\GitHub\eaglep3\Utilities\DownloadLogsFromS3.py --loco 4039 --day 2017-08-11</v>
      </c>
      <c r="AN110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23:04:53"},{"id":29,"name":"Sharepoint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794</v>
      </c>
      <c r="B111" s="7">
        <v>4014</v>
      </c>
      <c r="C111" s="21" t="s">
        <v>198</v>
      </c>
      <c r="D111" s="21" t="s">
        <v>434</v>
      </c>
      <c r="E111" s="13">
        <v>42958.653819444444</v>
      </c>
      <c r="F111" s="13">
        <v>42958.656736111108</v>
      </c>
      <c r="G111" s="7">
        <v>1</v>
      </c>
      <c r="H111" s="21" t="s">
        <v>872</v>
      </c>
      <c r="I111" s="13">
        <v>42958.681840277779</v>
      </c>
      <c r="J111" s="7">
        <v>0</v>
      </c>
      <c r="K111" s="89" t="str">
        <f t="shared" si="93"/>
        <v>4013/4014</v>
      </c>
      <c r="L111" s="21" t="str">
        <f>VLOOKUP(A111,'Trips&amp;Operators'!$C$1:$G$99999,5,FALSE)</f>
        <v>LEVIN SCOTT</v>
      </c>
      <c r="M111" s="6">
        <f t="shared" si="94"/>
        <v>2.510416667064419E-2</v>
      </c>
      <c r="N111" s="7">
        <f t="shared" si="95"/>
        <v>36.150000005727634</v>
      </c>
      <c r="O111" s="7"/>
      <c r="P111" s="7"/>
      <c r="Q111" s="22"/>
      <c r="R111" s="170"/>
      <c r="S111" s="213">
        <f t="shared" si="96"/>
        <v>1</v>
      </c>
      <c r="T111" s="195" t="str">
        <f t="shared" si="97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70"/>
        <v>https://d0f6bd738d7f1b3e5a7ca70fe4ff75f0.us-east-1.aws.found.io/app/kibana#/discover/Steve-Slow-Train-Analysis-(2080s-and-2083s)?_g=(refreshInterval:(display:Off,pause:!f,section:0,value:0),time:(from:'2017-08-11T14:41:30-0600',mode:absolute,to:'2017-08-11T17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1" s="197" t="str">
        <f>IF(AA111&lt;VLOOKUP(AG111,Variables!$AC$3:$AD$8,2,FALSE),"Y","N")</f>
        <v>N</v>
      </c>
      <c r="X111" s="197">
        <f t="shared" si="107"/>
        <v>1</v>
      </c>
      <c r="Y111" s="197">
        <f t="shared" si="106"/>
        <v>4.4900000000000002E-2</v>
      </c>
      <c r="Z111" s="197">
        <f t="shared" si="105"/>
        <v>23.3383</v>
      </c>
      <c r="AA111" s="197">
        <f t="shared" si="98"/>
        <v>23.293400000000002</v>
      </c>
      <c r="AB111" s="54" t="e">
        <f>VLOOKUP(A111,Enforcements!$C$7:$K$12,8,0)</f>
        <v>#N/A</v>
      </c>
      <c r="AC111" s="51" t="e">
        <f>VLOOKUP(A111,Enforcements!$C$7:$E$12,3,0)</f>
        <v>#N/A</v>
      </c>
      <c r="AD111" s="206">
        <f t="shared" si="99"/>
        <v>197</v>
      </c>
      <c r="AE111" s="77" t="str">
        <f t="shared" si="71"/>
        <v>aws s3 cp s3://rtdc.mdm.uploadarchive.raw/RTDC4014/ "%USERPROFILE%\AppData\Local\Temp\OnboardLogs"\RTDC4014\2017-08-11 --exclude "*" --recursive --include "*20170811*" &amp; "%USERPROFILE%\Documents\GitHub\mrs-test-scripts\Headless Mode &amp; Sideloading\WalkAndUnGZ.bat" "%USERPROFILE%\AppData\Local\Temp\OnboardLogs"\RTDC4014\2017-08-11 &amp; 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</v>
      </c>
      <c r="AF111" s="74" t="str">
        <f t="shared" si="72"/>
        <v>"C:\Program Files (x86)\AstroGrep\AstroGrep.exe" /e /r /s /spath="%USERPROFILE%\AppData\Local\Temp\OnboardLogs" /stypes="app*4014*20170811*" /stext=" 22:.+((SYSTEM_STATE.+slice.+state.+changed )|(ment ac)|(multiple cpu faults)|(system.+state.+changed )|(\[timeout)|(PRM\|1\|D)|(kpr)|(kdp)|(train st.+moving)|(\|lc)|(penalty))"</v>
      </c>
      <c r="AG111" s="209" t="str">
        <f t="shared" si="100"/>
        <v>EC</v>
      </c>
      <c r="AH111" s="78" t="str">
        <f t="shared" si="75"/>
        <v>"%USERPROFILE%\Documents\GitHub\eaglep3\Utilities\RefineRTDCRunTimes.py" --tripid 197-11 --locoid 4014 --swversion DE.1.0.9.0 --startMP 204:449 --initTime 2017-08-11T15:41:30 --startdatetime 2017-08-11T15:45:42 --delay 1 --endMP 204:233383 --enddatetime 2017-08-11T16:21:51 --enforcementcount 0 &gt;&gt;C:\Users\stu\Documents\GitHub\eaglep3-reporting\EC\2017-08-11-refined-times.txt</v>
      </c>
      <c r="AI111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{"issue":{"subject":"","project_id":79,"tracker_id":40,"status_id":1,"priority_id":2,"assigned_to_id":23,"start_date":"2017-08-11","description":"","custom_fields":[{"id":1,"name":"Subdivision","value":"EC"},{"id":4,"name":"Milepost","value":"23.3383"},{"id":17,"name":"Train ID","value":"197-11"},{"id":16,"name":"Locomotive ID","value":"4014"},{"id":130,"name":"Impact","value":""},{"id":150,"name":"Time of Event (Mountain Time)","value":"16:21:51"},{"id":151,"name":"Denver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77"/>
        <v>start /low /b %USERPROFILE%\Documents\GitHub\eaglep3\Utilities\DownloadLogsFromS3.py --loco 4014 --day 2017-08-11</v>
      </c>
      <c r="AN111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22:21:51"},{"id":29,"name":"Sharepoint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805</v>
      </c>
      <c r="B112" s="7">
        <v>4013</v>
      </c>
      <c r="C112" s="21" t="s">
        <v>198</v>
      </c>
      <c r="D112" s="21" t="s">
        <v>571</v>
      </c>
      <c r="E112" s="13">
        <v>42958.693171296298</v>
      </c>
      <c r="F112" s="13">
        <v>42958.696284722224</v>
      </c>
      <c r="G112" s="7">
        <v>1</v>
      </c>
      <c r="H112" s="21" t="s">
        <v>452</v>
      </c>
      <c r="I112" s="13">
        <v>42958.722777777781</v>
      </c>
      <c r="J112" s="7">
        <v>0</v>
      </c>
      <c r="K112" s="89" t="str">
        <f t="shared" si="93"/>
        <v>4013/4014</v>
      </c>
      <c r="L112" s="21" t="str">
        <f>VLOOKUP(A112,'Trips&amp;Operators'!$C$1:$G$99999,5,FALSE)</f>
        <v>LEVIN SCOTT</v>
      </c>
      <c r="M112" s="6">
        <f t="shared" si="94"/>
        <v>2.6493055556784384E-2</v>
      </c>
      <c r="N112" s="7">
        <f t="shared" si="95"/>
        <v>38.150000001769513</v>
      </c>
      <c r="O112" s="7"/>
      <c r="P112" s="7"/>
      <c r="Q112" s="22"/>
      <c r="R112" s="170"/>
      <c r="S112" s="213">
        <f t="shared" si="96"/>
        <v>1</v>
      </c>
      <c r="T112" s="195" t="str">
        <f t="shared" si="97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70"/>
        <v>https://d0f6bd738d7f1b3e5a7ca70fe4ff75f0.us-east-1.aws.found.io/app/kibana#/discover/Steve-Slow-Train-Analysis-(2080s-and-2083s)?_g=(refreshInterval:(display:Off,pause:!f,section:0,value:0),time:(from:'2017-08-11T15:38:10-0600',mode:absolute,to:'2017-08-11T18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2" s="197" t="str">
        <f>IF(AA112&lt;VLOOKUP(AG112,Variables!$AC$3:$AD$8,2,FALSE),"Y","N")</f>
        <v>N</v>
      </c>
      <c r="X112" s="197">
        <f t="shared" si="107"/>
        <v>1</v>
      </c>
      <c r="Y112" s="197">
        <f t="shared" si="106"/>
        <v>23.3096</v>
      </c>
      <c r="Z112" s="197">
        <f t="shared" si="105"/>
        <v>1.4500000000000001E-2</v>
      </c>
      <c r="AA112" s="197">
        <f t="shared" si="98"/>
        <v>23.295099999999998</v>
      </c>
      <c r="AB112" s="54" t="e">
        <f>VLOOKUP(A112,Enforcements!$C$7:$K$12,8,0)</f>
        <v>#N/A</v>
      </c>
      <c r="AC112" s="51" t="e">
        <f>VLOOKUP(A112,Enforcements!$C$7:$E$12,3,0)</f>
        <v>#N/A</v>
      </c>
      <c r="AD112" s="206">
        <f t="shared" si="99"/>
        <v>198</v>
      </c>
      <c r="AE112" s="77" t="str">
        <f t="shared" si="71"/>
        <v>aws s3 cp s3://rtdc.mdm.uploadarchive.raw/RTDC4013/ "%USERPROFILE%\AppData\Local\Temp\OnboardLogs"\RTDC4013\2017-08-11 --exclude "*" --recursive --include "*20170811*" &amp; "%USERPROFILE%\Documents\GitHub\mrs-test-scripts\Headless Mode &amp; Sideloading\WalkAndUnGZ.bat" "%USERPROFILE%\AppData\Local\Temp\OnboardLogs"\RTDC4013\2017-08-11 &amp; 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</v>
      </c>
      <c r="AF112" s="74" t="str">
        <f t="shared" si="72"/>
        <v>"C:\Program Files (x86)\AstroGrep\AstroGrep.exe" /e /r /s /spath="%USERPROFILE%\AppData\Local\Temp\OnboardLogs" /stypes="app*4013*20170811*" /stext=" 23:.+((SYSTEM_STATE.+slice.+state.+changed )|(ment ac)|(multiple cpu faults)|(system.+state.+changed )|(\[timeout)|(PRM\|1\|D)|(kpr)|(kdp)|(train st.+moving)|(\|lc)|(penalty))"</v>
      </c>
      <c r="AG112" s="209" t="str">
        <f t="shared" si="100"/>
        <v>EC</v>
      </c>
      <c r="AH112" s="78" t="str">
        <f t="shared" si="75"/>
        <v>"%USERPROFILE%\Documents\GitHub\eaglep3\Utilities\RefineRTDCRunTimes.py" --tripid 198-11 --locoid 4013 --swversion DE.1.0.9.0 --startMP 204:233096 --initTime 2017-08-11T16:38:10 --startdatetime 2017-08-11T16:42:39 --delay 1 --endMP 204:145 --enddatetime 2017-08-11T17:20:48 --enforcementcount 0 &gt;&gt;C:\Users\stu\Documents\GitHub\eaglep3-reporting\EC\2017-08-11-refined-times.txt</v>
      </c>
      <c r="AI112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{"issue":{"subject":"","project_id":79,"tracker_id":40,"status_id":1,"priority_id":2,"assigned_to_id":23,"start_date":"2017-08-11","description":"","custom_fields":[{"id":1,"name":"Subdivision","value":"EC"},{"id":4,"name":"Milepost","value":"0.0145"},{"id":17,"name":"Train ID","value":"198-11"},{"id":16,"name":"Locomotive ID","value":"4013"},{"id":130,"name":"Impact","value":""},{"id":150,"name":"Time of Event (Mountain Time)","value":"17:20:48"},{"id":151,"name":"Denver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77"/>
        <v>start /low /b %USERPROFILE%\Documents\GitHub\eaglep3\Utilities\DownloadLogsFromS3.py --loco 4013 --day 2017-08-11</v>
      </c>
      <c r="AN112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23:20:48"},{"id":29,"name":"Sharepoint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795</v>
      </c>
      <c r="B113" s="7">
        <v>4012</v>
      </c>
      <c r="C113" s="21" t="s">
        <v>198</v>
      </c>
      <c r="D113" s="21" t="s">
        <v>374</v>
      </c>
      <c r="E113" s="13">
        <v>42958.662754629629</v>
      </c>
      <c r="F113" s="13">
        <v>42958.667233796295</v>
      </c>
      <c r="G113" s="7">
        <v>1</v>
      </c>
      <c r="H113" s="21" t="s">
        <v>917</v>
      </c>
      <c r="I113" s="13">
        <v>42958.692106481481</v>
      </c>
      <c r="J113" s="7">
        <v>0</v>
      </c>
      <c r="K113" s="89" t="str">
        <f t="shared" si="93"/>
        <v>4011/4012</v>
      </c>
      <c r="L113" s="21" t="str">
        <f>VLOOKUP(A113,'Trips&amp;Operators'!$C$1:$G$99999,5,FALSE)</f>
        <v>SULLIVAN BRANDON</v>
      </c>
      <c r="M113" s="6">
        <f t="shared" si="94"/>
        <v>2.4872685185982846E-2</v>
      </c>
      <c r="N113" s="7">
        <f t="shared" si="95"/>
        <v>35.816666667815298</v>
      </c>
      <c r="O113" s="7"/>
      <c r="P113" s="7"/>
      <c r="Q113" s="22"/>
      <c r="R113" s="170"/>
      <c r="S113" s="213">
        <f t="shared" si="96"/>
        <v>1</v>
      </c>
      <c r="T113" s="195" t="str">
        <f t="shared" si="97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70"/>
        <v>https://d0f6bd738d7f1b3e5a7ca70fe4ff75f0.us-east-1.aws.found.io/app/kibana#/discover/Steve-Slow-Train-Analysis-(2080s-and-2083s)?_g=(refreshInterval:(display:Off,pause:!f,section:0,value:0),time:(from:'2017-08-11T14:54:22-0600',mode:absolute,to:'2017-08-11T17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3" s="197" t="str">
        <f>IF(AA113&lt;VLOOKUP(AG113,Variables!$AC$3:$AD$8,2,FALSE),"Y","N")</f>
        <v>N</v>
      </c>
      <c r="X113" s="197">
        <f t="shared" si="107"/>
        <v>1</v>
      </c>
      <c r="Y113" s="197">
        <f t="shared" si="106"/>
        <v>4.6199999999999998E-2</v>
      </c>
      <c r="Z113" s="197">
        <f t="shared" si="105"/>
        <v>23.341699999999999</v>
      </c>
      <c r="AA113" s="197">
        <f t="shared" si="98"/>
        <v>23.295500000000001</v>
      </c>
      <c r="AB113" s="54" t="e">
        <f>VLOOKUP(A113,Enforcements!$C$7:$K$12,8,0)</f>
        <v>#N/A</v>
      </c>
      <c r="AC113" s="51" t="e">
        <f>VLOOKUP(A113,Enforcements!$C$7:$E$12,3,0)</f>
        <v>#N/A</v>
      </c>
      <c r="AD113" s="206">
        <f t="shared" si="99"/>
        <v>199</v>
      </c>
      <c r="AE113" s="77" t="str">
        <f t="shared" si="71"/>
        <v>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 &amp; aws s3 cp s3://rtdc.mdm.uploadarchive.raw/RTDC4012/ "%USERPROFILE%\AppData\Local\Temp\OnboardLogs"\RTDC4012\2017-08-12 --exclude "*" --recursive --include "*20170812*" &amp; "%USERPROFILE%\Documents\GitHub\mrs-test-scripts\Headless Mode &amp; Sideloading\WalkAndUnGZ.bat" "%USERPROFILE%\AppData\Local\Temp\OnboardLogs"\RTDC4012\2017-08-12</v>
      </c>
      <c r="AF113" s="74" t="str">
        <f t="shared" si="72"/>
        <v>"C:\Program Files (x86)\AstroGrep\AstroGrep.exe" /e /r /s /spath="%USERPROFILE%\AppData\Local\Temp\OnboardLogs" /stypes="app*4012*20170811*" /stext=" 22:.+((SYSTEM_STATE.+slice.+state.+changed )|(ment ac)|(multiple cpu faults)|(system.+state.+changed )|(\[timeout)|(PRM\|1\|D)|(kpr)|(kdp)|(train st.+moving)|(\|lc)|(penalty))"</v>
      </c>
      <c r="AG113" s="209" t="str">
        <f t="shared" si="100"/>
        <v>EC</v>
      </c>
      <c r="AH113" s="78" t="str">
        <f t="shared" si="75"/>
        <v>"%USERPROFILE%\Documents\GitHub\eaglep3\Utilities\RefineRTDCRunTimes.py" --tripid 199-11 --locoid 4012 --swversion DE.1.0.9.0 --startMP 204:462 --initTime 2017-08-11T15:54:22 --startdatetime 2017-08-11T16:00:49 --delay 1 --endMP 204:233417 --enddatetime 2017-08-11T16:36:38 --enforcementcount 0 &gt;&gt;C:\Users\stu\Documents\GitHub\eaglep3-reporting\EC\2017-08-11-refined-times.txt</v>
      </c>
      <c r="AI113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{"issue":{"subject":"","project_id":79,"tracker_id":40,"status_id":1,"priority_id":2,"assigned_to_id":23,"start_date":"2017-08-11","description":"","custom_fields":[{"id":1,"name":"Subdivision","value":"EC"},{"id":4,"name":"Milepost","value":"23.3417"},{"id":17,"name":"Train ID","value":"199-11"},{"id":16,"name":"Locomotive ID","value":"4012"},{"id":130,"name":"Impact","value":""},{"id":150,"name":"Time of Event (Mountain Time)","value":"16:36:38"},{"id":151,"name":"Denver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77"/>
        <v>start /low /b %USERPROFILE%\Documents\GitHub\eaglep3\Utilities\DownloadLogsFromS3.py --loco 4012 --day 2017-08-11</v>
      </c>
      <c r="AN113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808</v>
      </c>
      <c r="B114" s="7">
        <v>4011</v>
      </c>
      <c r="C114" s="21" t="s">
        <v>198</v>
      </c>
      <c r="D114" s="21" t="s">
        <v>918</v>
      </c>
      <c r="E114" s="13">
        <v>42958.700069444443</v>
      </c>
      <c r="F114" s="13">
        <v>42958.706435185188</v>
      </c>
      <c r="G114" s="7">
        <v>1</v>
      </c>
      <c r="H114" s="21" t="s">
        <v>448</v>
      </c>
      <c r="I114" s="13">
        <v>42958.733680555553</v>
      </c>
      <c r="J114" s="7">
        <v>0</v>
      </c>
      <c r="K114" s="89" t="str">
        <f t="shared" si="93"/>
        <v>4011/4012</v>
      </c>
      <c r="L114" s="21" t="str">
        <f>VLOOKUP(A114,'Trips&amp;Operators'!$C$1:$G$99999,5,FALSE)</f>
        <v>SULLIVAN BRANDON</v>
      </c>
      <c r="M114" s="6">
        <f t="shared" si="94"/>
        <v>2.7245370365562849E-2</v>
      </c>
      <c r="N114" s="7">
        <f t="shared" si="95"/>
        <v>39.233333326410502</v>
      </c>
      <c r="O114" s="7"/>
      <c r="P114" s="7"/>
      <c r="Q114" s="22"/>
      <c r="R114" s="170"/>
      <c r="S114" s="213">
        <f t="shared" si="96"/>
        <v>1</v>
      </c>
      <c r="T114" s="195" t="str">
        <f t="shared" si="97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70"/>
        <v>https://d0f6bd738d7f1b3e5a7ca70fe4ff75f0.us-east-1.aws.found.io/app/kibana#/discover/Steve-Slow-Train-Analysis-(2080s-and-2083s)?_g=(refreshInterval:(display:Off,pause:!f,section:0,value:0),time:(from:'2017-08-11T15:48:06-0600',mode:absolute,to:'2017-08-11T18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4" s="197" t="str">
        <f>IF(AA114&lt;VLOOKUP(AG114,Variables!$AC$3:$AD$8,2,FALSE),"Y","N")</f>
        <v>N</v>
      </c>
      <c r="X114" s="197">
        <f t="shared" si="107"/>
        <v>1</v>
      </c>
      <c r="Y114" s="197">
        <f t="shared" si="106"/>
        <v>23.3079</v>
      </c>
      <c r="Z114" s="197">
        <f t="shared" si="105"/>
        <v>1.5599999999999999E-2</v>
      </c>
      <c r="AA114" s="197">
        <f t="shared" si="98"/>
        <v>23.292300000000001</v>
      </c>
      <c r="AB114" s="54" t="e">
        <f>VLOOKUP(A114,Enforcements!$C$7:$K$12,8,0)</f>
        <v>#N/A</v>
      </c>
      <c r="AC114" s="51" t="e">
        <f>VLOOKUP(A114,Enforcements!$C$7:$E$12,3,0)</f>
        <v>#N/A</v>
      </c>
      <c r="AD114" s="206">
        <f t="shared" si="99"/>
        <v>200</v>
      </c>
      <c r="AE114" s="77" t="str">
        <f t="shared" si="71"/>
        <v>aws s3 cp s3://rtdc.mdm.uploadarchive.raw/RTDC4011/ "%USERPROFILE%\AppData\Local\Temp\OnboardLogs"\RTDC4011\2017-08-11 --exclude "*" --recursive --include "*20170811*" &amp; "%USERPROFILE%\Documents\GitHub\mrs-test-scripts\Headless Mode &amp; Sideloading\WalkAndUnGZ.bat" "%USERPROFILE%\AppData\Local\Temp\OnboardLogs"\RTDC4011\2017-08-11 &amp; aws s3 cp s3://rtdc.mdm.uploadarchive.raw/RTDC4011/ "%USERPROFILE%\AppData\Local\Temp\OnboardLogs"\RTDC4011\2017-08-12 --exclude "*" --recursive --include "*20170812*" &amp; "%USERPROFILE%\Documents\GitHub\mrs-test-scripts\Headless Mode &amp; Sideloading\WalkAndUnGZ.bat" "%USERPROFILE%\AppData\Local\Temp\OnboardLogs"\RTDC4011\2017-08-12</v>
      </c>
      <c r="AF114" s="74" t="str">
        <f t="shared" si="72"/>
        <v>"C:\Program Files (x86)\AstroGrep\AstroGrep.exe" /e /r /s /spath="%USERPROFILE%\AppData\Local\Temp\OnboardLogs" /stypes="app*4011*20170811*" /stext=" 23:.+((SYSTEM_STATE.+slice.+state.+changed )|(ment ac)|(multiple cpu faults)|(system.+state.+changed )|(\[timeout)|(PRM\|1\|D)|(kpr)|(kdp)|(train st.+moving)|(\|lc)|(penalty))"</v>
      </c>
      <c r="AG114" s="209" t="str">
        <f t="shared" si="100"/>
        <v>EC</v>
      </c>
      <c r="AH114" s="78" t="str">
        <f t="shared" si="75"/>
        <v>"%USERPROFILE%\Documents\GitHub\eaglep3\Utilities\RefineRTDCRunTimes.py" --tripid 200-11 --locoid 4011 --swversion DE.1.0.9.0 --startMP 204:233079 --initTime 2017-08-11T16:48:06 --startdatetime 2017-08-11T16:57:16 --delay 1 --endMP 204:156 --enddatetime 2017-08-11T17:36:30 --enforcementcount 0 &gt;&gt;C:\Users\stu\Documents\GitHub\eaglep3-reporting\EC\2017-08-11-refined-times.txt</v>
      </c>
      <c r="AI114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{"issue":{"subject":"","project_id":79,"tracker_id":40,"status_id":1,"priority_id":2,"assigned_to_id":23,"start_date":"2017-08-11","description":"","custom_fields":[{"id":1,"name":"Subdivision","value":"EC"},{"id":4,"name":"Milepost","value":"0.0156"},{"id":17,"name":"Train ID","value":"200-11"},{"id":16,"name":"Locomotive ID","value":"4011"},{"id":130,"name":"Impact","value":""},{"id":150,"name":"Time of Event (Mountain Time)","value":"17:36:30"},{"id":151,"name":"Denver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77"/>
        <v>start /low /b %USERPROFILE%\Documents\GitHub\eaglep3\Utilities\DownloadLogsFromS3.py --loco 4011 --day 2017-08-11</v>
      </c>
      <c r="AN114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23:36:30"},{"id":29,"name":"Sharepoint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629</v>
      </c>
      <c r="B115" s="7">
        <v>4060</v>
      </c>
      <c r="C115" s="21" t="s">
        <v>198</v>
      </c>
      <c r="D115" s="21" t="s">
        <v>919</v>
      </c>
      <c r="E115" s="13">
        <v>42958.671458333331</v>
      </c>
      <c r="F115" s="13">
        <v>42958.677615740744</v>
      </c>
      <c r="G115" s="7">
        <v>1</v>
      </c>
      <c r="H115" s="21" t="s">
        <v>576</v>
      </c>
      <c r="I115" s="13">
        <v>42958.704085648147</v>
      </c>
      <c r="J115" s="7">
        <v>0</v>
      </c>
      <c r="K115" s="89" t="str">
        <f t="shared" si="93"/>
        <v>4059/4060</v>
      </c>
      <c r="L115" s="21" t="str">
        <f>VLOOKUP(A115,'Trips&amp;Operators'!$C$1:$G$99999,5,FALSE)</f>
        <v>HOLCOMB KAMDEN</v>
      </c>
      <c r="M115" s="6">
        <f t="shared" si="94"/>
        <v>2.6469907403225079E-2</v>
      </c>
      <c r="N115" s="7">
        <f t="shared" si="95"/>
        <v>38.116666660644114</v>
      </c>
      <c r="O115" s="7"/>
      <c r="P115" s="7"/>
      <c r="Q115" s="22"/>
      <c r="R115" s="170" t="s">
        <v>1114</v>
      </c>
      <c r="S115" s="213">
        <f t="shared" si="96"/>
        <v>1</v>
      </c>
      <c r="T115" s="195" t="str">
        <f t="shared" si="97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70"/>
        <v>https://d0f6bd738d7f1b3e5a7ca70fe4ff75f0.us-east-1.aws.found.io/app/kibana#/discover/Steve-Slow-Train-Analysis-(2080s-and-2083s)?_g=(refreshInterval:(display:Off,pause:!f,section:0,value:0),time:(from:'2017-08-11T15:06:54-0600',mode:absolute,to:'2017-08-11T17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5" s="197" t="str">
        <f>IF(AA115&lt;VLOOKUP(AG115,Variables!$AC$3:$AD$8,2,FALSE),"Y","N")</f>
        <v>N</v>
      </c>
      <c r="X115" s="197">
        <f t="shared" si="107"/>
        <v>1</v>
      </c>
      <c r="Y115" s="197">
        <f t="shared" si="106"/>
        <v>4.2200000000000001E-2</v>
      </c>
      <c r="Z115" s="197">
        <f t="shared" si="105"/>
        <v>23.335999999999999</v>
      </c>
      <c r="AA115" s="197">
        <f t="shared" si="98"/>
        <v>23.293799999999997</v>
      </c>
      <c r="AB115" s="54" t="e">
        <f>VLOOKUP(A115,Enforcements!$C$7:$K$12,8,0)</f>
        <v>#N/A</v>
      </c>
      <c r="AC115" s="51" t="e">
        <f>VLOOKUP(A115,Enforcements!$C$7:$E$12,3,0)</f>
        <v>#N/A</v>
      </c>
      <c r="AD115" s="206">
        <f t="shared" si="99"/>
        <v>201</v>
      </c>
      <c r="AE115" s="77" t="str">
        <f t="shared" si="71"/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AF115" s="74" t="str">
        <f t="shared" si="72"/>
        <v>"C:\Program Files (x86)\AstroGrep\AstroGrep.exe" /e /r /s /spath="%USERPROFILE%\AppData\Local\Temp\OnboardLogs" /stypes="app*4060*20170811*" /stext=" 22:.+((SYSTEM_STATE.+slice.+state.+changed )|(ment ac)|(multiple cpu faults)|(system.+state.+changed )|(\[timeout)|(PRM\|1\|D)|(kpr)|(kdp)|(train st.+moving)|(\|lc)|(penalty))"</v>
      </c>
      <c r="AG115" s="209" t="str">
        <f t="shared" si="100"/>
        <v>EC</v>
      </c>
      <c r="AH115" s="78" t="str">
        <f t="shared" si="75"/>
        <v>"%USERPROFILE%\Documents\GitHub\eaglep3\Utilities\RefineRTDCRunTimes.py" --tripid 201-11 --locoid 4060 --swversion DE.1.0.9.0 --startMP 204:422 --initTime 2017-08-11T16:06:54 --startdatetime 2017-08-11T16:15:46 --delay 1 --endMP 204:233360 --enddatetime 2017-08-11T16:53:53 --enforcementcount 0 &gt;&gt;C:\Users\stu\Documents\GitHub\eaglep3-reporting\EC\2017-08-11-refined-times.txt</v>
      </c>
      <c r="AI115" s="96" t="str">
        <f t="shared" si="76"/>
        <v>echo {"issue":{"subject":"Brief Wi-MAX data drop (no enforcement/cutout)","project_id":79,"tracker_id":40,"status_id":1,"priority_id":2,"assigned_to_id":23,"start_date":"2017-08-11","description":"","custom_fields":[{"id":1,"name":"Subdivision","value":"EC"},{"id":4,"name":"Milepost","value":"23.336"},{"id":17,"name":"Train ID","value":"201-11"},{"id":16,"name":"Locomotive ID","value":"4060"},{"id":130,"name":"Impact","value":""},{"id":150,"name":"Time of Event (Mountain Time)","value":"16:53:53"},{"id":151,"name":"Denver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77"/>
        <v>start /low /b %USERPROFILE%\Documents\GitHub\eaglep3\Utilities\DownloadLogsFromS3.py --loco 4060 --day 2017-08-11</v>
      </c>
      <c r="AN115" s="151" t="str">
        <f t="shared" si="78"/>
        <v>echo {"issue":{"subject":"Brief Wi-MAX data drop (no enforcement/cutout)","project_id":30,"tracker_id":4,"status_id":1,"priority_id":1,"assigned_to_id":10,"start_date":"2017-08-11","description":"","custom_fields":[{"id":30,"name":"Category","value":"Issue"},{"id":3,"name":"Functional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22:53:53"},{"id":29,"name":"Sharepoint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633</v>
      </c>
      <c r="B116" s="7">
        <v>4059</v>
      </c>
      <c r="C116" s="21" t="s">
        <v>198</v>
      </c>
      <c r="D116" s="21" t="s">
        <v>905</v>
      </c>
      <c r="E116" s="13">
        <v>42958.714085648149</v>
      </c>
      <c r="F116" s="13">
        <v>42958.716979166667</v>
      </c>
      <c r="G116" s="7">
        <v>1</v>
      </c>
      <c r="H116" s="21" t="s">
        <v>920</v>
      </c>
      <c r="I116" s="13">
        <v>42958.742951388886</v>
      </c>
      <c r="J116" s="7">
        <v>0</v>
      </c>
      <c r="K116" s="89" t="str">
        <f t="shared" si="93"/>
        <v>4059/4060</v>
      </c>
      <c r="L116" s="21" t="str">
        <f>VLOOKUP(A116,'Trips&amp;Operators'!$C$1:$G$99999,5,FALSE)</f>
        <v>HOLCOMB KAMDEN</v>
      </c>
      <c r="M116" s="6">
        <f t="shared" si="94"/>
        <v>2.5972222218115348E-2</v>
      </c>
      <c r="N116" s="7">
        <f t="shared" si="95"/>
        <v>37.399999994086102</v>
      </c>
      <c r="O116" s="7"/>
      <c r="P116" s="7"/>
      <c r="Q116" s="22"/>
      <c r="R116" s="170"/>
      <c r="S116" s="213">
        <f t="shared" si="96"/>
        <v>1</v>
      </c>
      <c r="T116" s="195" t="str">
        <f t="shared" si="97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70"/>
        <v>https://d0f6bd738d7f1b3e5a7ca70fe4ff75f0.us-east-1.aws.found.io/app/kibana#/discover/Steve-Slow-Train-Analysis-(2080s-and-2083s)?_g=(refreshInterval:(display:Off,pause:!f,section:0,value:0),time:(from:'2017-08-11T16:08:17-0600',mode:absolute,to:'2017-08-11T18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6" s="197" t="str">
        <f>IF(AA116&lt;VLOOKUP(AG116,Variables!$AC$3:$AD$8,2,FALSE),"Y","N")</f>
        <v>N</v>
      </c>
      <c r="X116" s="197">
        <f t="shared" si="107"/>
        <v>1</v>
      </c>
      <c r="Y116" s="197">
        <f t="shared" si="106"/>
        <v>23.306899999999999</v>
      </c>
      <c r="Z116" s="197">
        <f t="shared" si="105"/>
        <v>1.9199999999999998E-2</v>
      </c>
      <c r="AA116" s="197">
        <f t="shared" si="98"/>
        <v>23.287699999999997</v>
      </c>
      <c r="AB116" s="54" t="e">
        <f>VLOOKUP(A116,Enforcements!$C$7:$K$12,8,0)</f>
        <v>#N/A</v>
      </c>
      <c r="AC116" s="51" t="e">
        <f>VLOOKUP(A116,Enforcements!$C$7:$E$12,3,0)</f>
        <v>#N/A</v>
      </c>
      <c r="AD116" s="206">
        <f t="shared" si="99"/>
        <v>202</v>
      </c>
      <c r="AE116" s="77" t="str">
        <f t="shared" si="71"/>
        <v>aws s3 cp s3://rtdc.mdm.uploadarchive.raw/RTDC4059/ "%USERPROFILE%\AppData\Local\Temp\OnboardLogs"\RTDC4059\2017-08-11 --exclude "*" --recursive --include "*20170811*" &amp; "%USERPROFILE%\Documents\GitHub\mrs-test-scripts\Headless Mode &amp; Sideloading\WalkAndUnGZ.bat" "%USERPROFILE%\AppData\Local\Temp\OnboardLogs"\RTDC4059\2017-08-11 &amp; aws s3 cp s3://rtdc.mdm.uploadarchive.raw/RTDC4059/ "%USERPROFILE%\AppData\Local\Temp\OnboardLogs"\RTDC4059\2017-08-12 --exclude "*" --recursive --include "*20170812*" &amp; "%USERPROFILE%\Documents\GitHub\mrs-test-scripts\Headless Mode &amp; Sideloading\WalkAndUnGZ.bat" "%USERPROFILE%\AppData\Local\Temp\OnboardLogs"\RTDC4059\2017-08-12</v>
      </c>
      <c r="AF116" s="74" t="str">
        <f t="shared" si="72"/>
        <v>"C:\Program Files (x86)\AstroGrep\AstroGrep.exe" /e /r /s /spath="%USERPROFILE%\AppData\Local\Temp\OnboardLogs" /stypes="app*4059*20170811*" /stext=" 23:.+((SYSTEM_STATE.+slice.+state.+changed )|(ment ac)|(multiple cpu faults)|(system.+state.+changed )|(\[timeout)|(PRM\|1\|D)|(kpr)|(kdp)|(train st.+moving)|(\|lc)|(penalty))"</v>
      </c>
      <c r="AG116" s="209" t="str">
        <f t="shared" si="100"/>
        <v>EC</v>
      </c>
      <c r="AH116" s="78" t="str">
        <f t="shared" si="75"/>
        <v>"%USERPROFILE%\Documents\GitHub\eaglep3\Utilities\RefineRTDCRunTimes.py" --tripid 202-11 --locoid 4059 --swversion DE.1.0.9.0 --startMP 204:233069 --initTime 2017-08-11T17:08:17 --startdatetime 2017-08-11T17:12:27 --delay 1 --endMP 204:192 --enddatetime 2017-08-11T17:49:51 --enforcementcount 0 &gt;&gt;C:\Users\stu\Documents\GitHub\eaglep3-reporting\EC\2017-08-11-refined-times.txt</v>
      </c>
      <c r="AI116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{"issue":{"subject":"","project_id":79,"tracker_id":40,"status_id":1,"priority_id":2,"assigned_to_id":23,"start_date":"2017-08-11","description":"","custom_fields":[{"id":1,"name":"Subdivision","value":"EC"},{"id":4,"name":"Milepost","value":"0.0192"},{"id":17,"name":"Train ID","value":"202-11"},{"id":16,"name":"Locomotive ID","value":"4059"},{"id":130,"name":"Impact","value":""},{"id":150,"name":"Time of Event (Mountain Time)","value":"17:49:51"},{"id":151,"name":"Denver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77"/>
        <v>start /low /b %USERPROFILE%\Documents\GitHub\eaglep3\Utilities\DownloadLogsFromS3.py --loco 4059 --day 2017-08-11</v>
      </c>
      <c r="AN116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23:49:51"},{"id":29,"name":"Sharepoint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803</v>
      </c>
      <c r="B117" s="7">
        <v>4058</v>
      </c>
      <c r="C117" s="21" t="s">
        <v>198</v>
      </c>
      <c r="D117" s="21" t="s">
        <v>340</v>
      </c>
      <c r="E117" s="13">
        <v>42958.685740740744</v>
      </c>
      <c r="F117" s="13">
        <v>42958.688344907408</v>
      </c>
      <c r="G117" s="7">
        <v>1</v>
      </c>
      <c r="H117" s="21" t="s">
        <v>921</v>
      </c>
      <c r="I117" s="13">
        <v>42958.714606481481</v>
      </c>
      <c r="J117" s="7">
        <v>0</v>
      </c>
      <c r="K117" s="89" t="str">
        <f t="shared" si="93"/>
        <v>4057/4058</v>
      </c>
      <c r="L117" s="21" t="str">
        <f>VLOOKUP(A117,'Trips&amp;Operators'!$C$1:$G$99999,5,FALSE)</f>
        <v>THOMPSON LESTER</v>
      </c>
      <c r="M117" s="6">
        <f t="shared" si="94"/>
        <v>2.626157407212304E-2</v>
      </c>
      <c r="N117" s="7">
        <f t="shared" si="95"/>
        <v>37.816666663857177</v>
      </c>
      <c r="O117" s="7"/>
      <c r="P117" s="7"/>
      <c r="Q117" s="22"/>
      <c r="R117" s="170"/>
      <c r="S117" s="213">
        <f t="shared" si="96"/>
        <v>1</v>
      </c>
      <c r="T117" s="195" t="str">
        <f t="shared" si="97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70"/>
        <v>https://d0f6bd738d7f1b3e5a7ca70fe4ff75f0.us-east-1.aws.found.io/app/kibana#/discover/Steve-Slow-Train-Analysis-(2080s-and-2083s)?_g=(refreshInterval:(display:Off,pause:!f,section:0,value:0),time:(from:'2017-08-11T15:27:28-0600',mode:absolute,to:'2017-08-11T18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7" s="197" t="str">
        <f>IF(AA117&lt;VLOOKUP(AG117,Variables!$AC$3:$AD$8,2,FALSE),"Y","N")</f>
        <v>N</v>
      </c>
      <c r="X117" s="197">
        <f t="shared" si="107"/>
        <v>1</v>
      </c>
      <c r="Y117" s="197">
        <f t="shared" si="106"/>
        <v>4.4600000000000001E-2</v>
      </c>
      <c r="Z117" s="197">
        <f t="shared" si="105"/>
        <v>23.3368</v>
      </c>
      <c r="AA117" s="197">
        <f t="shared" si="98"/>
        <v>23.292200000000001</v>
      </c>
      <c r="AB117" s="54" t="e">
        <f>VLOOKUP(A117,Enforcements!$C$7:$K$12,8,0)</f>
        <v>#N/A</v>
      </c>
      <c r="AC117" s="51" t="e">
        <f>VLOOKUP(A117,Enforcements!$C$7:$E$12,3,0)</f>
        <v>#N/A</v>
      </c>
      <c r="AD117" s="206">
        <f t="shared" si="99"/>
        <v>203</v>
      </c>
      <c r="AE117" s="77" t="str">
        <f t="shared" si="71"/>
        <v>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 &amp; aws s3 cp s3://rtdc.mdm.uploadarchive.raw/RTDC4058/ "%USERPROFILE%\AppData\Local\Temp\OnboardLogs"\RTDC4058\2017-08-12 --exclude "*" --recursive --include "*20170812*" &amp; "%USERPROFILE%\Documents\GitHub\mrs-test-scripts\Headless Mode &amp; Sideloading\WalkAndUnGZ.bat" "%USERPROFILE%\AppData\Local\Temp\OnboardLogs"\RTDC4058\2017-08-12</v>
      </c>
      <c r="AF117" s="74" t="str">
        <f t="shared" si="72"/>
        <v>"C:\Program Files (x86)\AstroGrep\AstroGrep.exe" /e /r /s /spath="%USERPROFILE%\AppData\Local\Temp\OnboardLogs" /stypes="app*4058*20170811*" /stext=" 23:.+((SYSTEM_STATE.+slice.+state.+changed )|(ment ac)|(multiple cpu faults)|(system.+state.+changed )|(\[timeout)|(PRM\|1\|D)|(kpr)|(kdp)|(train st.+moving)|(\|lc)|(penalty))"</v>
      </c>
      <c r="AG117" s="209" t="str">
        <f t="shared" si="100"/>
        <v>EC</v>
      </c>
      <c r="AH117" s="78" t="str">
        <f t="shared" si="75"/>
        <v>"%USERPROFILE%\Documents\GitHub\eaglep3\Utilities\RefineRTDCRunTimes.py" --tripid 203-11 --locoid 4058 --swversion DE.1.0.9.0 --startMP 204:446 --initTime 2017-08-11T16:27:28 --startdatetime 2017-08-11T16:31:13 --delay 1 --endMP 204:233368 --enddatetime 2017-08-11T17:09:02 --enforcementcount 0 &gt;&gt;C:\Users\stu\Documents\GitHub\eaglep3-reporting\EC\2017-08-11-refined-times.txt</v>
      </c>
      <c r="AI117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{"issue":{"subject":"","project_id":79,"tracker_id":40,"status_id":1,"priority_id":2,"assigned_to_id":23,"start_date":"2017-08-11","description":"","custom_fields":[{"id":1,"name":"Subdivision","value":"EC"},{"id":4,"name":"Milepost","value":"23.3368"},{"id":17,"name":"Train ID","value":"203-11"},{"id":16,"name":"Locomotive ID","value":"4058"},{"id":130,"name":"Impact","value":""},{"id":150,"name":"Time of Event (Mountain Time)","value":"17:09:02"},{"id":151,"name":"Denver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77"/>
        <v>start /low /b %USERPROFILE%\Documents\GitHub\eaglep3\Utilities\DownloadLogsFromS3.py --loco 4058 --day 2017-08-11</v>
      </c>
      <c r="AN117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23:09:02"},{"id":29,"name":"Sharepoint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634</v>
      </c>
      <c r="B118" s="7">
        <v>4057</v>
      </c>
      <c r="C118" s="21" t="s">
        <v>198</v>
      </c>
      <c r="D118" s="21" t="s">
        <v>922</v>
      </c>
      <c r="E118" s="13">
        <v>42958.726342592592</v>
      </c>
      <c r="F118" s="13">
        <v>42958.727627314816</v>
      </c>
      <c r="G118" s="7">
        <v>1</v>
      </c>
      <c r="H118" s="21" t="s">
        <v>1053</v>
      </c>
      <c r="I118" s="13">
        <v>42958.756145833337</v>
      </c>
      <c r="J118" s="7">
        <v>0</v>
      </c>
      <c r="K118" s="89" t="str">
        <f t="shared" si="93"/>
        <v>4057/4058</v>
      </c>
      <c r="L118" s="21" t="str">
        <f>VLOOKUP(A118,'Trips&amp;Operators'!$C$1:$G$99999,5,FALSE)</f>
        <v>THOMPSON LESTER</v>
      </c>
      <c r="M118" s="6">
        <f t="shared" si="94"/>
        <v>2.8518518520286307E-2</v>
      </c>
      <c r="N118" s="7">
        <f t="shared" si="95"/>
        <v>41.066666669212282</v>
      </c>
      <c r="O118" s="7"/>
      <c r="P118" s="7"/>
      <c r="Q118" s="22"/>
      <c r="R118" s="170"/>
      <c r="S118" s="213">
        <f t="shared" si="96"/>
        <v>1</v>
      </c>
      <c r="T118" s="195" t="str">
        <f t="shared" si="97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70"/>
        <v>https://d0f6bd738d7f1b3e5a7ca70fe4ff75f0.us-east-1.aws.found.io/app/kibana#/discover/Steve-Slow-Train-Analysis-(2080s-and-2083s)?_g=(refreshInterval:(display:Off,pause:!f,section:0,value:0),time:(from:'2017-08-11T16:25:56-0600',mode:absolute,to:'2017-08-11T19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8" s="197" t="str">
        <f>IF(AA118&lt;VLOOKUP(AG118,Variables!$AC$3:$AD$8,2,FALSE),"Y","N")</f>
        <v>N</v>
      </c>
      <c r="X118" s="197">
        <f t="shared" si="107"/>
        <v>1</v>
      </c>
      <c r="Y118" s="197">
        <f t="shared" si="106"/>
        <v>23.3047</v>
      </c>
      <c r="Z118" s="197">
        <f t="shared" si="105"/>
        <v>1.7600000000000001E-2</v>
      </c>
      <c r="AA118" s="197">
        <f t="shared" si="98"/>
        <v>23.287099999999999</v>
      </c>
      <c r="AB118" s="54" t="e">
        <f>VLOOKUP(A118,Enforcements!$C$7:$K$12,8,0)</f>
        <v>#N/A</v>
      </c>
      <c r="AC118" s="51" t="e">
        <f>VLOOKUP(A118,Enforcements!$C$7:$E$12,3,0)</f>
        <v>#N/A</v>
      </c>
      <c r="AD118" s="206">
        <f t="shared" si="99"/>
        <v>204</v>
      </c>
      <c r="AE118" s="77" t="str">
        <f t="shared" si="71"/>
        <v>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 &amp; aws s3 cp s3://rtdc.mdm.uploadarchive.raw/RTDC4057/ "%USERPROFILE%\AppData\Local\Temp\OnboardLogs"\RTDC4057\2017-08-12 --exclude "*" --recursive --include "*20170812*" &amp; "%USERPROFILE%\Documents\GitHub\mrs-test-scripts\Headless Mode &amp; Sideloading\WalkAndUnGZ.bat" "%USERPROFILE%\AppData\Local\Temp\OnboardLogs"\RTDC4057\2017-08-12</v>
      </c>
      <c r="AF118" s="74" t="str">
        <f t="shared" si="72"/>
        <v>"C:\Program Files (x86)\AstroGrep\AstroGrep.exe" /e /r /s /spath="%USERPROFILE%\AppData\Local\Temp\OnboardLogs" /stypes="app*4057*20170812*" /stext=" 00:.+((SYSTEM_STATE.+slice.+state.+changed )|(ment ac)|(multiple cpu faults)|(system.+state.+changed )|(\[timeout)|(PRM\|1\|D)|(kpr)|(kdp)|(train st.+moving)|(\|lc)|(penalty))"</v>
      </c>
      <c r="AG118" s="209" t="str">
        <f t="shared" si="100"/>
        <v>EC</v>
      </c>
      <c r="AH118" s="78" t="str">
        <f t="shared" si="75"/>
        <v>"%USERPROFILE%\Documents\GitHub\eaglep3\Utilities\RefineRTDCRunTimes.py" --tripid 204-11 --locoid 4057 --swversion DE.1.0.9.0 --startMP 204:233047 --initTime 2017-08-11T17:25:56 --startdatetime 2017-08-11T17:27:47 --delay 1 --endMP 204:176 --enddatetime 2017-08-11T18:08:51 --enforcementcount 0 &gt;&gt;C:\Users\stu\Documents\GitHub\eaglep3-reporting\EC\2017-08-11-refined-times.txt</v>
      </c>
      <c r="AI118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{"issue":{"subject":"","project_id":79,"tracker_id":40,"status_id":1,"priority_id":2,"assigned_to_id":23,"start_date":"2017-08-11","description":"","custom_fields":[{"id":1,"name":"Subdivision","value":"EC"},{"id":4,"name":"Milepost","value":"0.0176"},{"id":17,"name":"Train ID","value":"204-11"},{"id":16,"name":"Locomotive ID","value":"4057"},{"id":130,"name":"Impact","value":""},{"id":150,"name":"Time of Event (Mountain Time)","value":"18:08:51"},{"id":151,"name":"Denver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77"/>
        <v>start /low /b %USERPROFILE%\Documents\GitHub\eaglep3\Utilities\DownloadLogsFromS3.py --loco 4057 --day 2017-08-11</v>
      </c>
      <c r="AN118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00:08:51"},{"id":29,"name":"Sharepoint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807</v>
      </c>
      <c r="B119" s="7">
        <v>4020</v>
      </c>
      <c r="C119" s="21" t="s">
        <v>198</v>
      </c>
      <c r="D119" s="21" t="s">
        <v>923</v>
      </c>
      <c r="E119" s="13">
        <v>42958.694490740738</v>
      </c>
      <c r="F119" s="13">
        <v>42958.698472222219</v>
      </c>
      <c r="G119" s="7">
        <v>1</v>
      </c>
      <c r="H119" s="21" t="s">
        <v>470</v>
      </c>
      <c r="I119" s="13">
        <v>42958.724340277775</v>
      </c>
      <c r="J119" s="7">
        <v>0</v>
      </c>
      <c r="K119" s="89" t="str">
        <f t="shared" ref="K119:K150" si="108">IF(ISEVEN(B119),(B119-1)&amp;"/"&amp;B119,B119&amp;"/"&amp;(B119+1))</f>
        <v>4019/4020</v>
      </c>
      <c r="L119" s="21" t="str">
        <f>VLOOKUP(A119,'Trips&amp;Operators'!$C$1:$G$99999,5,FALSE)</f>
        <v>STEWART MICHAEL</v>
      </c>
      <c r="M119" s="6">
        <f t="shared" ref="M119:M150" si="109">I119-F119</f>
        <v>2.5868055556202307E-2</v>
      </c>
      <c r="N119" s="7">
        <f t="shared" ref="N119:N136" si="110">24*60*SUM($M119:$M119)</f>
        <v>37.250000000931323</v>
      </c>
      <c r="O119" s="7"/>
      <c r="P119" s="7"/>
      <c r="Q119" s="22"/>
      <c r="R119" s="170"/>
      <c r="S119" s="213">
        <f t="shared" ref="S119:S137" si="111">1/IF(AG119="EC",12,1)*SUM(U119:U119)</f>
        <v>1</v>
      </c>
      <c r="T119" s="195" t="str">
        <f t="shared" ref="T119:T150" si="112">IF(ISEVEN(LEFT(AD119,4)),"Southbound","NorthBound")</f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70"/>
        <v>https://d0f6bd738d7f1b3e5a7ca70fe4ff75f0.us-east-1.aws.found.io/app/kibana#/discover/Steve-Slow-Train-Analysis-(2080s-and-2083s)?_g=(refreshInterval:(display:Off,pause:!f,section:0,value:0),time:(from:'2017-08-11T15:40:04-0600',mode:absolute,to:'2017-08-11T18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9" s="197" t="str">
        <f>IF(AA119&lt;VLOOKUP(AG119,Variables!$AC$3:$AD$8,2,FALSE),"Y","N")</f>
        <v>N</v>
      </c>
      <c r="X119" s="197">
        <f t="shared" si="107"/>
        <v>1</v>
      </c>
      <c r="Y119" s="197">
        <f t="shared" si="106"/>
        <v>0.05</v>
      </c>
      <c r="Z119" s="197">
        <f t="shared" si="105"/>
        <v>23.3291</v>
      </c>
      <c r="AA119" s="197">
        <f t="shared" ref="AA119:AA150" si="113">ABS(Z119-Y119)</f>
        <v>23.2791</v>
      </c>
      <c r="AB119" s="54" t="e">
        <f>VLOOKUP(A119,Enforcements!$C$7:$K$12,8,0)</f>
        <v>#N/A</v>
      </c>
      <c r="AC119" s="51" t="e">
        <f>VLOOKUP(A119,Enforcements!$C$7:$E$12,3,0)</f>
        <v>#N/A</v>
      </c>
      <c r="AD119" s="206">
        <f t="shared" ref="AD119:AD150" si="114">VALUE(LEFT(A119,LEN(A119)-3))</f>
        <v>205</v>
      </c>
      <c r="AE119" s="77" t="str">
        <f t="shared" si="71"/>
        <v>aws s3 cp s3://rtdc.mdm.uploadarchive.raw/RTDC4020/ "%USERPROFILE%\AppData\Local\Temp\OnboardLogs"\RTDC4020\2017-08-11 --exclude "*" --recursive --include "*20170811*" &amp; "%USERPROFILE%\Documents\GitHub\mrs-test-scripts\Headless Mode &amp; Sideloading\WalkAndUnGZ.bat" "%USERPROFILE%\AppData\Local\Temp\OnboardLogs"\RTDC4020\2017-08-11 &amp; aws s3 cp s3://rtdc.mdm.uploadarchive.raw/RTDC4020/ "%USERPROFILE%\AppData\Local\Temp\OnboardLogs"\RTDC4020\2017-08-12 --exclude "*" --recursive --include "*20170812*" &amp; "%USERPROFILE%\Documents\GitHub\mrs-test-scripts\Headless Mode &amp; Sideloading\WalkAndUnGZ.bat" "%USERPROFILE%\AppData\Local\Temp\OnboardLogs"\RTDC4020\2017-08-12</v>
      </c>
      <c r="AF119" s="74" t="str">
        <f t="shared" si="72"/>
        <v>"C:\Program Files (x86)\AstroGrep\AstroGrep.exe" /e /r /s /spath="%USERPROFILE%\AppData\Local\Temp\OnboardLogs" /stypes="app*4020*20170811*" /stext=" 23:.+((SYSTEM_STATE.+slice.+state.+changed )|(ment ac)|(multiple cpu faults)|(system.+state.+changed )|(\[timeout)|(PRM\|1\|D)|(kpr)|(kdp)|(train st.+moving)|(\|lc)|(penalty))"</v>
      </c>
      <c r="AG119" s="209" t="str">
        <f t="shared" ref="AG119:AG150" si="115">DetSubdiv(A119)</f>
        <v>EC</v>
      </c>
      <c r="AH119" s="78" t="str">
        <f t="shared" si="75"/>
        <v>"%USERPROFILE%\Documents\GitHub\eaglep3\Utilities\RefineRTDCRunTimes.py" --tripid 205-11 --locoid 4020 --swversion DE.1.0.9.0 --startMP 204:500 --initTime 2017-08-11T16:40:04 --startdatetime 2017-08-11T16:45:48 --delay 1 --endMP 204:233291 --enddatetime 2017-08-11T17:23:03 --enforcementcount 0 &gt;&gt;C:\Users\stu\Documents\GitHub\eaglep3-reporting\EC\2017-08-11-refined-times.txt</v>
      </c>
      <c r="AI119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{"issue":{"subject":"","project_id":79,"tracker_id":40,"status_id":1,"priority_id":2,"assigned_to_id":23,"start_date":"2017-08-11","description":"","custom_fields":[{"id":1,"name":"Subdivision","value":"EC"},{"id":4,"name":"Milepost","value":"23.3291"},{"id":17,"name":"Train ID","value":"205-11"},{"id":16,"name":"Locomotive ID","value":"4020"},{"id":130,"name":"Impact","value":""},{"id":150,"name":"Time of Event (Mountain Time)","value":"17:23:03"},{"id":151,"name":"Denver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77"/>
        <v>start /low /b %USERPROFILE%\Documents\GitHub\eaglep3\Utilities\DownloadLogsFromS3.py --loco 4020 --day 2017-08-11</v>
      </c>
      <c r="AN119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23:23:03"},{"id":29,"name":"Sharepoint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813</v>
      </c>
      <c r="B120" s="7">
        <v>4019</v>
      </c>
      <c r="C120" s="21" t="s">
        <v>198</v>
      </c>
      <c r="D120" s="21" t="s">
        <v>521</v>
      </c>
      <c r="E120" s="13">
        <v>42958.733854166669</v>
      </c>
      <c r="F120" s="13">
        <v>42958.737696759257</v>
      </c>
      <c r="G120" s="7">
        <v>1</v>
      </c>
      <c r="H120" s="21" t="s">
        <v>347</v>
      </c>
      <c r="I120" s="13">
        <v>42958.765092592592</v>
      </c>
      <c r="J120" s="7">
        <v>0</v>
      </c>
      <c r="K120" s="89" t="str">
        <f t="shared" si="108"/>
        <v>4019/4020</v>
      </c>
      <c r="L120" s="21" t="str">
        <f>VLOOKUP(A120,'Trips&amp;Operators'!$C$1:$G$99999,5,FALSE)</f>
        <v>STEWART MICHAEL</v>
      </c>
      <c r="M120" s="6">
        <f t="shared" si="109"/>
        <v>2.7395833334594499E-2</v>
      </c>
      <c r="N120" s="7">
        <f t="shared" si="110"/>
        <v>39.450000001816079</v>
      </c>
      <c r="O120" s="7"/>
      <c r="P120" s="7"/>
      <c r="Q120" s="22"/>
      <c r="R120" s="170"/>
      <c r="S120" s="213">
        <f t="shared" si="111"/>
        <v>1</v>
      </c>
      <c r="T120" s="195" t="str">
        <f t="shared" si="112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70"/>
        <v>https://d0f6bd738d7f1b3e5a7ca70fe4ff75f0.us-east-1.aws.found.io/app/kibana#/discover/Steve-Slow-Train-Analysis-(2080s-and-2083s)?_g=(refreshInterval:(display:Off,pause:!f,section:0,value:0),time:(from:'2017-08-11T16:36:45-0600',mode:absolute,to:'2017-08-11T19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0" s="197" t="str">
        <f>IF(AA120&lt;VLOOKUP(AG120,Variables!$AC$3:$AD$8,2,FALSE),"Y","N")</f>
        <v>N</v>
      </c>
      <c r="X120" s="197">
        <f t="shared" si="107"/>
        <v>1</v>
      </c>
      <c r="Y120" s="197">
        <f t="shared" si="106"/>
        <v>23.2971</v>
      </c>
      <c r="Z120" s="197">
        <f t="shared" si="105"/>
        <v>1.3899999999999999E-2</v>
      </c>
      <c r="AA120" s="197">
        <f t="shared" si="113"/>
        <v>23.283200000000001</v>
      </c>
      <c r="AB120" s="54" t="e">
        <f>VLOOKUP(A120,Enforcements!$C$7:$K$12,8,0)</f>
        <v>#N/A</v>
      </c>
      <c r="AC120" s="51" t="e">
        <f>VLOOKUP(A120,Enforcements!$C$7:$E$12,3,0)</f>
        <v>#N/A</v>
      </c>
      <c r="AD120" s="206">
        <f t="shared" si="114"/>
        <v>206</v>
      </c>
      <c r="AE120" s="77" t="str">
        <f t="shared" si="71"/>
        <v>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 &amp; aws s3 cp s3://rtdc.mdm.uploadarchive.raw/RTDC4019/ "%USERPROFILE%\AppData\Local\Temp\OnboardLogs"\RTDC4019\2017-08-12 --exclude "*" --recursive --include "*20170812*" &amp; "%USERPROFILE%\Documents\GitHub\mrs-test-scripts\Headless Mode &amp; Sideloading\WalkAndUnGZ.bat" "%USERPROFILE%\AppData\Local\Temp\OnboardLogs"\RTDC4019\2017-08-12</v>
      </c>
      <c r="AF120" s="74" t="str">
        <f t="shared" si="72"/>
        <v>"C:\Program Files (x86)\AstroGrep\AstroGrep.exe" /e /r /s /spath="%USERPROFILE%\AppData\Local\Temp\OnboardLogs" /stypes="app*4019*20170812*" /stext=" 00:.+((SYSTEM_STATE.+slice.+state.+changed )|(ment ac)|(multiple cpu faults)|(system.+state.+changed )|(\[timeout)|(PRM\|1\|D)|(kpr)|(kdp)|(train st.+moving)|(\|lc)|(penalty))"</v>
      </c>
      <c r="AG120" s="209" t="str">
        <f t="shared" si="115"/>
        <v>EC</v>
      </c>
      <c r="AH120" s="78" t="str">
        <f t="shared" si="75"/>
        <v>"%USERPROFILE%\Documents\GitHub\eaglep3\Utilities\RefineRTDCRunTimes.py" --tripid 206-11 --locoid 4019 --swversion DE.1.0.9.0 --startMP 204:232971 --initTime 2017-08-11T17:36:45 --startdatetime 2017-08-11T17:42:17 --delay 1 --endMP 204:139 --enddatetime 2017-08-11T18:21:44 --enforcementcount 0 &gt;&gt;C:\Users\stu\Documents\GitHub\eaglep3-reporting\EC\2017-08-11-refined-times.txt</v>
      </c>
      <c r="AI120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{"issue":{"subject":"","project_id":79,"tracker_id":40,"status_id":1,"priority_id":2,"assigned_to_id":23,"start_date":"2017-08-11","description":"","custom_fields":[{"id":1,"name":"Subdivision","value":"EC"},{"id":4,"name":"Milepost","value":"0.0139"},{"id":17,"name":"Train ID","value":"206-11"},{"id":16,"name":"Locomotive ID","value":"4019"},{"id":130,"name":"Impact","value":""},{"id":150,"name":"Time of Event (Mountain Time)","value":"18:21:44"},{"id":151,"name":"Denver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77"/>
        <v>start /low /b %USERPROFILE%\Documents\GitHub\eaglep3\Utilities\DownloadLogsFromS3.py --loco 4019 --day 2017-08-11</v>
      </c>
      <c r="AN120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00:21:44"},{"id":29,"name":"Sharepoint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632</v>
      </c>
      <c r="B121" s="7">
        <v>4030</v>
      </c>
      <c r="C121" s="21" t="s">
        <v>198</v>
      </c>
      <c r="D121" s="21" t="s">
        <v>924</v>
      </c>
      <c r="E121" s="13">
        <v>42958.703900462962</v>
      </c>
      <c r="F121" s="13">
        <v>42958.709027777775</v>
      </c>
      <c r="G121" s="7">
        <v>1</v>
      </c>
      <c r="H121" s="21" t="s">
        <v>898</v>
      </c>
      <c r="I121" s="13">
        <v>42958.735405092593</v>
      </c>
      <c r="J121" s="7">
        <v>0</v>
      </c>
      <c r="K121" s="89" t="str">
        <f t="shared" si="108"/>
        <v>4029/4030</v>
      </c>
      <c r="L121" s="21" t="str">
        <f>VLOOKUP(A121,'Trips&amp;Operators'!$C$1:$G$99999,5,FALSE)</f>
        <v>WEST BRYAN</v>
      </c>
      <c r="M121" s="6">
        <f t="shared" si="109"/>
        <v>2.6377314818091691E-2</v>
      </c>
      <c r="N121" s="7">
        <f t="shared" si="110"/>
        <v>37.983333338052034</v>
      </c>
      <c r="O121" s="7"/>
      <c r="P121" s="7"/>
      <c r="Q121" s="22"/>
      <c r="R121" s="170"/>
      <c r="S121" s="213">
        <f t="shared" si="111"/>
        <v>1</v>
      </c>
      <c r="T121" s="195" t="str">
        <f t="shared" si="112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70"/>
        <v>https://d0f6bd738d7f1b3e5a7ca70fe4ff75f0.us-east-1.aws.found.io/app/kibana#/discover/Steve-Slow-Train-Analysis-(2080s-and-2083s)?_g=(refreshInterval:(display:Off,pause:!f,section:0,value:0),time:(from:'2017-08-11T15:53:37-0600',mode:absolute,to:'2017-08-11T18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1" s="197" t="str">
        <f>IF(AA121&lt;VLOOKUP(AG121,Variables!$AC$3:$AD$8,2,FALSE),"Y","N")</f>
        <v>N</v>
      </c>
      <c r="X121" s="197">
        <f t="shared" si="107"/>
        <v>1</v>
      </c>
      <c r="Y121" s="197">
        <f t="shared" si="106"/>
        <v>4.9099999999999998E-2</v>
      </c>
      <c r="Z121" s="197">
        <f t="shared" si="105"/>
        <v>23.3308</v>
      </c>
      <c r="AA121" s="197">
        <f t="shared" si="113"/>
        <v>23.281700000000001</v>
      </c>
      <c r="AB121" s="54" t="e">
        <f>VLOOKUP(A121,Enforcements!$C$7:$K$12,8,0)</f>
        <v>#N/A</v>
      </c>
      <c r="AC121" s="51" t="e">
        <f>VLOOKUP(A121,Enforcements!$C$7:$E$12,3,0)</f>
        <v>#N/A</v>
      </c>
      <c r="AD121" s="206">
        <f t="shared" si="114"/>
        <v>207</v>
      </c>
      <c r="AE121" s="77" t="str">
        <f t="shared" si="71"/>
        <v>aws s3 cp s3://rtdc.mdm.uploadarchive.raw/RTDC4030/ "%USERPROFILE%\AppData\Local\Temp\OnboardLogs"\RTDC4030\2017-08-11 --exclude "*" --recursive --include "*20170811*" &amp; "%USERPROFILE%\Documents\GitHub\mrs-test-scripts\Headless Mode &amp; Sideloading\WalkAndUnGZ.bat" "%USERPROFILE%\AppData\Local\Temp\OnboardLogs"\RTDC4030\2017-08-11 &amp; aws s3 cp s3://rtdc.mdm.uploadarchive.raw/RTDC4030/ "%USERPROFILE%\AppData\Local\Temp\OnboardLogs"\RTDC4030\2017-08-12 --exclude "*" --recursive --include "*20170812*" &amp; "%USERPROFILE%\Documents\GitHub\mrs-test-scripts\Headless Mode &amp; Sideloading\WalkAndUnGZ.bat" "%USERPROFILE%\AppData\Local\Temp\OnboardLogs"\RTDC4030\2017-08-12</v>
      </c>
      <c r="AF121" s="74" t="str">
        <f t="shared" si="72"/>
        <v>"C:\Program Files (x86)\AstroGrep\AstroGrep.exe" /e /r /s /spath="%USERPROFILE%\AppData\Local\Temp\OnboardLogs" /stypes="app*4030*20170811*" /stext=" 23:.+((SYSTEM_STATE.+slice.+state.+changed )|(ment ac)|(multiple cpu faults)|(system.+state.+changed )|(\[timeout)|(PRM\|1\|D)|(kpr)|(kdp)|(train st.+moving)|(\|lc)|(penalty))"</v>
      </c>
      <c r="AG121" s="209" t="str">
        <f t="shared" si="115"/>
        <v>EC</v>
      </c>
      <c r="AH121" s="78" t="str">
        <f t="shared" si="75"/>
        <v>"%USERPROFILE%\Documents\GitHub\eaglep3\Utilities\RefineRTDCRunTimes.py" --tripid 207-11 --locoid 4030 --swversion DE.1.0.9.0 --startMP 204:491 --initTime 2017-08-11T16:53:37 --startdatetime 2017-08-11T17:01:00 --delay 1 --endMP 204:233308 --enddatetime 2017-08-11T17:38:59 --enforcementcount 0 &gt;&gt;C:\Users\stu\Documents\GitHub\eaglep3-reporting\EC\2017-08-11-refined-times.txt</v>
      </c>
      <c r="AI121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{"issue":{"subject":"","project_id":79,"tracker_id":40,"status_id":1,"priority_id":2,"assigned_to_id":23,"start_date":"2017-08-11","description":"","custom_fields":[{"id":1,"name":"Subdivision","value":"EC"},{"id":4,"name":"Milepost","value":"23.3308"},{"id":17,"name":"Train ID","value":"207-11"},{"id":16,"name":"Locomotive ID","value":"4030"},{"id":130,"name":"Impact","value":""},{"id":150,"name":"Time of Event (Mountain Time)","value":"17:38:59"},{"id":151,"name":"Denver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77"/>
        <v>start /low /b %USERPROFILE%\Documents\GitHub\eaglep3\Utilities\DownloadLogsFromS3.py --loco 4030 --day 2017-08-11</v>
      </c>
      <c r="AN121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23:38:59"},{"id":29,"name":"Sharepoint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635</v>
      </c>
      <c r="B122" s="7">
        <v>4029</v>
      </c>
      <c r="C122" s="21" t="s">
        <v>198</v>
      </c>
      <c r="D122" s="21" t="s">
        <v>493</v>
      </c>
      <c r="E122" s="13">
        <v>42958.742766203701</v>
      </c>
      <c r="F122" s="13">
        <v>42958.748194444444</v>
      </c>
      <c r="G122" s="7">
        <v>1</v>
      </c>
      <c r="H122" s="21" t="s">
        <v>925</v>
      </c>
      <c r="I122" s="13">
        <v>42958.775601851848</v>
      </c>
      <c r="J122" s="7">
        <v>0</v>
      </c>
      <c r="K122" s="89" t="str">
        <f t="shared" si="108"/>
        <v>4029/4030</v>
      </c>
      <c r="L122" s="21" t="str">
        <f>VLOOKUP(A122,'Trips&amp;Operators'!$C$1:$G$99999,5,FALSE)</f>
        <v>WEST BRYAN</v>
      </c>
      <c r="M122" s="6">
        <f t="shared" si="109"/>
        <v>2.7407407404098194E-2</v>
      </c>
      <c r="N122" s="7">
        <f t="shared" si="110"/>
        <v>39.466666661901399</v>
      </c>
      <c r="O122" s="7"/>
      <c r="P122" s="7"/>
      <c r="Q122" s="22"/>
      <c r="R122" s="170"/>
      <c r="S122" s="213">
        <f t="shared" si="111"/>
        <v>1</v>
      </c>
      <c r="T122" s="195" t="str">
        <f t="shared" si="112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70"/>
        <v>https://d0f6bd738d7f1b3e5a7ca70fe4ff75f0.us-east-1.aws.found.io/app/kibana#/discover/Steve-Slow-Train-Analysis-(2080s-and-2083s)?_g=(refreshInterval:(display:Off,pause:!f,section:0,value:0),time:(from:'2017-08-11T16:49:35-0600',mode:absolute,to:'2017-08-11T19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2" s="197" t="str">
        <f>IF(AA122&lt;VLOOKUP(AG122,Variables!$AC$3:$AD$8,2,FALSE),"Y","N")</f>
        <v>N</v>
      </c>
      <c r="X122" s="197">
        <f t="shared" si="107"/>
        <v>1</v>
      </c>
      <c r="Y122" s="197">
        <f t="shared" si="106"/>
        <v>23.297699999999999</v>
      </c>
      <c r="Z122" s="197">
        <f t="shared" si="105"/>
        <v>1.89E-2</v>
      </c>
      <c r="AA122" s="197">
        <f t="shared" si="113"/>
        <v>23.2788</v>
      </c>
      <c r="AB122" s="54" t="e">
        <f>VLOOKUP(A122,Enforcements!$C$7:$K$12,8,0)</f>
        <v>#N/A</v>
      </c>
      <c r="AC122" s="51" t="e">
        <f>VLOOKUP(A122,Enforcements!$C$7:$E$12,3,0)</f>
        <v>#N/A</v>
      </c>
      <c r="AD122" s="206">
        <f t="shared" si="114"/>
        <v>208</v>
      </c>
      <c r="AE122" s="77" t="str">
        <f t="shared" si="71"/>
        <v>aws s3 cp s3://rtdc.mdm.uploadarchive.raw/RTDC4029/ "%USERPROFILE%\AppData\Local\Temp\OnboardLogs"\RTDC4029\2017-08-11 --exclude "*" --recursive --include "*20170811*" &amp; "%USERPROFILE%\Documents\GitHub\mrs-test-scripts\Headless Mode &amp; Sideloading\WalkAndUnGZ.bat" "%USERPROFILE%\AppData\Local\Temp\OnboardLogs"\RTDC4029\2017-08-11 &amp; aws s3 cp s3://rtdc.mdm.uploadarchive.raw/RTDC4029/ "%USERPROFILE%\AppData\Local\Temp\OnboardLogs"\RTDC4029\2017-08-12 --exclude "*" --recursive --include "*20170812*" &amp; "%USERPROFILE%\Documents\GitHub\mrs-test-scripts\Headless Mode &amp; Sideloading\WalkAndUnGZ.bat" "%USERPROFILE%\AppData\Local\Temp\OnboardLogs"\RTDC4029\2017-08-12</v>
      </c>
      <c r="AF122" s="74" t="str">
        <f t="shared" si="72"/>
        <v>"C:\Program Files (x86)\AstroGrep\AstroGrep.exe" /e /r /s /spath="%USERPROFILE%\AppData\Local\Temp\OnboardLogs" /stypes="app*4029*20170812*" /stext=" 00:.+((SYSTEM_STATE.+slice.+state.+changed )|(ment ac)|(multiple cpu faults)|(system.+state.+changed )|(\[timeout)|(PRM\|1\|D)|(kpr)|(kdp)|(train st.+moving)|(\|lc)|(penalty))"</v>
      </c>
      <c r="AG122" s="209" t="str">
        <f t="shared" si="115"/>
        <v>EC</v>
      </c>
      <c r="AH122" s="78" t="str">
        <f t="shared" si="75"/>
        <v>"%USERPROFILE%\Documents\GitHub\eaglep3\Utilities\RefineRTDCRunTimes.py" --tripid 208-11 --locoid 4029 --swversion DE.1.0.9.0 --startMP 204:232977 --initTime 2017-08-11T17:49:35 --startdatetime 2017-08-11T17:57:24 --delay 1 --endMP 204:189 --enddatetime 2017-08-11T18:36:52 --enforcementcount 0 &gt;&gt;C:\Users\stu\Documents\GitHub\eaglep3-reporting\EC\2017-08-11-refined-times.txt</v>
      </c>
      <c r="AI122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{"issue":{"subject":"","project_id":79,"tracker_id":40,"status_id":1,"priority_id":2,"assigned_to_id":23,"start_date":"2017-08-11","description":"","custom_fields":[{"id":1,"name":"Subdivision","value":"EC"},{"id":4,"name":"Milepost","value":"0.0189"},{"id":17,"name":"Train ID","value":"208-11"},{"id":16,"name":"Locomotive ID","value":"4029"},{"id":130,"name":"Impact","value":""},{"id":150,"name":"Time of Event (Mountain Time)","value":"18:36:52"},{"id":151,"name":"Denver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77"/>
        <v>start /low /b %USERPROFILE%\Documents\GitHub\eaglep3\Utilities\DownloadLogsFromS3.py --loco 4029 --day 2017-08-11</v>
      </c>
      <c r="AN122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00:36:52"},{"id":29,"name":"Sharepoint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809</v>
      </c>
      <c r="B123" s="7">
        <v>4040</v>
      </c>
      <c r="C123" s="21" t="s">
        <v>198</v>
      </c>
      <c r="D123" s="21" t="s">
        <v>346</v>
      </c>
      <c r="E123" s="13">
        <v>42958.714560185188</v>
      </c>
      <c r="F123" s="13">
        <v>42958.719409722224</v>
      </c>
      <c r="G123" s="7">
        <v>1</v>
      </c>
      <c r="H123" s="21" t="s">
        <v>926</v>
      </c>
      <c r="I123" s="13">
        <v>42958.744895833333</v>
      </c>
      <c r="J123" s="7">
        <v>0</v>
      </c>
      <c r="K123" s="89" t="str">
        <f t="shared" si="108"/>
        <v>4039/4040</v>
      </c>
      <c r="L123" s="21" t="str">
        <f>VLOOKUP(A123,'Trips&amp;Operators'!$C$1:$G$99999,5,FALSE)</f>
        <v>YANG JAN</v>
      </c>
      <c r="M123" s="6">
        <f t="shared" si="109"/>
        <v>2.548611110978527E-2</v>
      </c>
      <c r="N123" s="7">
        <f t="shared" si="110"/>
        <v>36.699999998090789</v>
      </c>
      <c r="O123" s="7"/>
      <c r="P123" s="7"/>
      <c r="Q123" s="22"/>
      <c r="R123" s="170"/>
      <c r="S123" s="213">
        <f t="shared" si="111"/>
        <v>1</v>
      </c>
      <c r="T123" s="195" t="str">
        <f t="shared" si="112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70"/>
        <v>https://d0f6bd738d7f1b3e5a7ca70fe4ff75f0.us-east-1.aws.found.io/app/kibana#/discover/Steve-Slow-Train-Analysis-(2080s-and-2083s)?_g=(refreshInterval:(display:Off,pause:!f,section:0,value:0),time:(from:'2017-08-11T16:08:58-0600',mode:absolute,to:'2017-08-11T18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3" s="197" t="str">
        <f>IF(AA123&lt;VLOOKUP(AG123,Variables!$AC$3:$AD$8,2,FALSE),"Y","N")</f>
        <v>N</v>
      </c>
      <c r="X123" s="197">
        <f t="shared" si="107"/>
        <v>1</v>
      </c>
      <c r="Y123" s="197">
        <f t="shared" si="106"/>
        <v>4.4699999999999997E-2</v>
      </c>
      <c r="Z123" s="197">
        <f t="shared" ref="Z123:Z154" si="116">RIGHT(H123,LEN(H123)-4)/10000</f>
        <v>23.333600000000001</v>
      </c>
      <c r="AA123" s="197">
        <f t="shared" si="113"/>
        <v>23.288900000000002</v>
      </c>
      <c r="AB123" s="54" t="e">
        <f>VLOOKUP(A123,Enforcements!$C$7:$K$12,8,0)</f>
        <v>#N/A</v>
      </c>
      <c r="AC123" s="51" t="e">
        <f>VLOOKUP(A123,Enforcements!$C$7:$E$12,3,0)</f>
        <v>#N/A</v>
      </c>
      <c r="AD123" s="206">
        <f t="shared" si="114"/>
        <v>209</v>
      </c>
      <c r="AE123" s="77" t="str">
        <f t="shared" si="71"/>
        <v>aws s3 cp s3://rtdc.mdm.uploadarchive.raw/RTDC4040/ "%USERPROFILE%\AppData\Local\Temp\OnboardLogs"\RTDC4040\2017-08-11 --exclude "*" --recursive --include "*20170811*" &amp; "%USERPROFILE%\Documents\GitHub\mrs-test-scripts\Headless Mode &amp; Sideloading\WalkAndUnGZ.bat" "%USERPROFILE%\AppData\Local\Temp\OnboardLogs"\RTDC4040\2017-08-11 &amp; aws s3 cp s3://rtdc.mdm.uploadarchive.raw/RTDC4040/ "%USERPROFILE%\AppData\Local\Temp\OnboardLogs"\RTDC4040\2017-08-12 --exclude "*" --recursive --include "*20170812*" &amp; "%USERPROFILE%\Documents\GitHub\mrs-test-scripts\Headless Mode &amp; Sideloading\WalkAndUnGZ.bat" "%USERPROFILE%\AppData\Local\Temp\OnboardLogs"\RTDC4040\2017-08-12</v>
      </c>
      <c r="AF123" s="74" t="str">
        <f t="shared" si="72"/>
        <v>"C:\Program Files (x86)\AstroGrep\AstroGrep.exe" /e /r /s /spath="%USERPROFILE%\AppData\Local\Temp\OnboardLogs" /stypes="app*4040*20170811*" /stext=" 23:.+((SYSTEM_STATE.+slice.+state.+changed )|(ment ac)|(multiple cpu faults)|(system.+state.+changed )|(\[timeout)|(PRM\|1\|D)|(kpr)|(kdp)|(train st.+moving)|(\|lc)|(penalty))"</v>
      </c>
      <c r="AG123" s="209" t="str">
        <f t="shared" si="115"/>
        <v>EC</v>
      </c>
      <c r="AH123" s="78" t="str">
        <f t="shared" si="75"/>
        <v>"%USERPROFILE%\Documents\GitHub\eaglep3\Utilities\RefineRTDCRunTimes.py" --tripid 209-11 --locoid 4040 --swversion DE.1.0.9.0 --startMP 204:447 --initTime 2017-08-11T17:08:58 --startdatetime 2017-08-11T17:15:57 --delay 1 --endMP 204:233336 --enddatetime 2017-08-11T17:52:39 --enforcementcount 0 &gt;&gt;C:\Users\stu\Documents\GitHub\eaglep3-reporting\EC\2017-08-11-refined-times.txt</v>
      </c>
      <c r="AI123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{"issue":{"subject":"","project_id":79,"tracker_id":40,"status_id":1,"priority_id":2,"assigned_to_id":23,"start_date":"2017-08-11","description":"","custom_fields":[{"id":1,"name":"Subdivision","value":"EC"},{"id":4,"name":"Milepost","value":"23.3336"},{"id":17,"name":"Train ID","value":"209-11"},{"id":16,"name":"Locomotive ID","value":"4040"},{"id":130,"name":"Impact","value":""},{"id":150,"name":"Time of Event (Mountain Time)","value":"17:52:39"},{"id":151,"name":"Denver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77"/>
        <v>start /low /b %USERPROFILE%\Documents\GitHub\eaglep3\Utilities\DownloadLogsFromS3.py --loco 4040 --day 2017-08-11</v>
      </c>
      <c r="AN123" s="151" t="str">
        <f t="shared" si="78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23:52:39"},{"id":29,"name":"Sharepoint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820</v>
      </c>
      <c r="B124" s="7">
        <v>4039</v>
      </c>
      <c r="C124" s="21" t="s">
        <v>198</v>
      </c>
      <c r="D124" s="21" t="s">
        <v>435</v>
      </c>
      <c r="E124" s="13">
        <v>42958.753622685188</v>
      </c>
      <c r="F124" s="13">
        <v>42958.758506944447</v>
      </c>
      <c r="G124" s="7">
        <v>1</v>
      </c>
      <c r="H124" s="21" t="s">
        <v>375</v>
      </c>
      <c r="I124" s="13">
        <v>42958.784560185188</v>
      </c>
      <c r="J124" s="7">
        <v>0</v>
      </c>
      <c r="K124" s="89" t="str">
        <f t="shared" si="108"/>
        <v>4039/4040</v>
      </c>
      <c r="L124" s="21" t="str">
        <f>VLOOKUP(A124,'Trips&amp;Operators'!$C$1:$G$99999,5,FALSE)</f>
        <v>YANG JAN</v>
      </c>
      <c r="M124" s="6">
        <f t="shared" si="109"/>
        <v>2.6053240741021E-2</v>
      </c>
      <c r="N124" s="7">
        <f t="shared" si="110"/>
        <v>37.51666666707024</v>
      </c>
      <c r="O124" s="7"/>
      <c r="P124" s="7"/>
      <c r="Q124" s="22"/>
      <c r="R124" s="170"/>
      <c r="S124" s="213">
        <f t="shared" si="111"/>
        <v>1</v>
      </c>
      <c r="T124" s="195" t="str">
        <f t="shared" si="112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70"/>
        <v>https://d0f6bd738d7f1b3e5a7ca70fe4ff75f0.us-east-1.aws.found.io/app/kibana#/discover/Steve-Slow-Train-Analysis-(2080s-and-2083s)?_g=(refreshInterval:(display:Off,pause:!f,section:0,value:0),time:(from:'2017-08-11T17:05:13-0600',mode:absolute,to:'2017-08-11T19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4" s="197" t="str">
        <f>IF(AA124&lt;VLOOKUP(AG124,Variables!$AC$3:$AD$8,2,FALSE),"Y","N")</f>
        <v>N</v>
      </c>
      <c r="X124" s="197">
        <f t="shared" si="107"/>
        <v>1</v>
      </c>
      <c r="Y124" s="197">
        <f t="shared" si="106"/>
        <v>23.299800000000001</v>
      </c>
      <c r="Z124" s="197">
        <f t="shared" si="116"/>
        <v>1.54E-2</v>
      </c>
      <c r="AA124" s="197">
        <f t="shared" si="113"/>
        <v>23.284400000000002</v>
      </c>
      <c r="AB124" s="54" t="e">
        <f>VLOOKUP(A124,Enforcements!$C$7:$K$12,8,0)</f>
        <v>#N/A</v>
      </c>
      <c r="AC124" s="51" t="e">
        <f>VLOOKUP(A124,Enforcements!$C$7:$E$12,3,0)</f>
        <v>#N/A</v>
      </c>
      <c r="AD124" s="206">
        <f t="shared" si="114"/>
        <v>210</v>
      </c>
      <c r="AE124" s="77" t="str">
        <f t="shared" si="71"/>
        <v>aws s3 cp s3://rtdc.mdm.uploadarchive.raw/RTDC4039/ "%USERPROFILE%\AppData\Local\Temp\OnboardLogs"\RTDC4039\2017-08-11 --exclude "*" --recursive --include "*20170811*" &amp; "%USERPROFILE%\Documents\GitHub\mrs-test-scripts\Headless Mode &amp; Sideloading\WalkAndUnGZ.bat" "%USERPROFILE%\AppData\Local\Temp\OnboardLogs"\RTDC4039\2017-08-11 &amp; aws s3 cp s3://rtdc.mdm.uploadarchive.raw/RTDC4039/ "%USERPROFILE%\AppData\Local\Temp\OnboardLogs"\RTDC4039\2017-08-12 --exclude "*" --recursive --include "*20170812*" &amp; "%USERPROFILE%\Documents\GitHub\mrs-test-scripts\Headless Mode &amp; Sideloading\WalkAndUnGZ.bat" "%USERPROFILE%\AppData\Local\Temp\OnboardLogs"\RTDC4039\2017-08-12</v>
      </c>
      <c r="AF124" s="74" t="str">
        <f t="shared" si="72"/>
        <v>"C:\Program Files (x86)\AstroGrep\AstroGrep.exe" /e /r /s /spath="%USERPROFILE%\AppData\Local\Temp\OnboardLogs" /stypes="app*4039*20170812*" /stext=" 00:.+((SYSTEM_STATE.+slice.+state.+changed )|(ment ac)|(multiple cpu faults)|(system.+state.+changed )|(\[timeout)|(PRM\|1\|D)|(kpr)|(kdp)|(train st.+moving)|(\|lc)|(penalty))"</v>
      </c>
      <c r="AG124" s="209" t="str">
        <f t="shared" si="115"/>
        <v>EC</v>
      </c>
      <c r="AH124" s="78" t="str">
        <f t="shared" si="75"/>
        <v>"%USERPROFILE%\Documents\GitHub\eaglep3\Utilities\RefineRTDCRunTimes.py" --tripid 210-11 --locoid 4039 --swversion DE.1.0.9.0 --startMP 204:232998 --initTime 2017-08-11T18:05:13 --startdatetime 2017-08-11T18:12:15 --delay 1 --endMP 204:154 --enddatetime 2017-08-11T18:49:46 --enforcementcount 0 &gt;&gt;C:\Users\stu\Documents\GitHub\eaglep3-reporting\EC\2017-08-11-refined-times.txt</v>
      </c>
      <c r="AI124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{"issue":{"subject":"","project_id":79,"tracker_id":40,"status_id":1,"priority_id":2,"assigned_to_id":23,"start_date":"2017-08-11","description":"","custom_fields":[{"id":1,"name":"Subdivision","value":"EC"},{"id":4,"name":"Milepost","value":"0.0154"},{"id":17,"name":"Train ID","value":"210-11"},{"id":16,"name":"Locomotive ID","value":"4039"},{"id":130,"name":"Impact","value":""},{"id":150,"name":"Time of Event (Mountain Time)","value":"18:49:46"},{"id":151,"name":"Denver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77"/>
        <v>start /low /b %USERPROFILE%\Documents\GitHub\eaglep3\Utilities\DownloadLogsFromS3.py --loco 4039 --day 2017-08-11</v>
      </c>
      <c r="AN124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00:49:46"},{"id":29,"name":"Sharepoint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811</v>
      </c>
      <c r="B125" s="7">
        <v>4014</v>
      </c>
      <c r="C125" s="21" t="s">
        <v>198</v>
      </c>
      <c r="D125" s="21" t="s">
        <v>393</v>
      </c>
      <c r="E125" s="13">
        <v>42958.724907407406</v>
      </c>
      <c r="F125" s="13">
        <v>42958.729768518519</v>
      </c>
      <c r="G125" s="7">
        <v>1</v>
      </c>
      <c r="H125" s="21" t="s">
        <v>872</v>
      </c>
      <c r="I125" s="13">
        <v>42958.75445601852</v>
      </c>
      <c r="J125" s="7">
        <v>0</v>
      </c>
      <c r="K125" s="89" t="str">
        <f t="shared" si="108"/>
        <v>4013/4014</v>
      </c>
      <c r="L125" s="21" t="str">
        <f>VLOOKUP(A125,'Trips&amp;Operators'!$C$1:$G$99999,5,FALSE)</f>
        <v>LEVIN SCOTT</v>
      </c>
      <c r="M125" s="6">
        <f t="shared" si="109"/>
        <v>2.4687500001164153E-2</v>
      </c>
      <c r="N125" s="7">
        <f t="shared" si="110"/>
        <v>35.550000001676381</v>
      </c>
      <c r="O125" s="7"/>
      <c r="P125" s="7"/>
      <c r="Q125" s="22"/>
      <c r="R125" s="170"/>
      <c r="S125" s="213">
        <f t="shared" si="111"/>
        <v>1</v>
      </c>
      <c r="T125" s="195" t="str">
        <f t="shared" si="112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70"/>
        <v>https://d0f6bd738d7f1b3e5a7ca70fe4ff75f0.us-east-1.aws.found.io/app/kibana#/discover/Steve-Slow-Train-Analysis-(2080s-and-2083s)?_g=(refreshInterval:(display:Off,pause:!f,section:0,value:0),time:(from:'2017-08-11T16:23:52-0600',mode:absolute,to:'2017-08-11T19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5" s="197" t="str">
        <f>IF(AA125&lt;VLOOKUP(AG125,Variables!$AC$3:$AD$8,2,FALSE),"Y","N")</f>
        <v>N</v>
      </c>
      <c r="X125" s="197">
        <f t="shared" si="107"/>
        <v>1</v>
      </c>
      <c r="Y125" s="197">
        <f t="shared" si="106"/>
        <v>4.5499999999999999E-2</v>
      </c>
      <c r="Z125" s="197">
        <f t="shared" si="116"/>
        <v>23.3383</v>
      </c>
      <c r="AA125" s="197">
        <f t="shared" si="113"/>
        <v>23.2928</v>
      </c>
      <c r="AB125" s="54" t="e">
        <f>VLOOKUP(A125,Enforcements!$C$7:$K$12,8,0)</f>
        <v>#N/A</v>
      </c>
      <c r="AC125" s="51" t="e">
        <f>VLOOKUP(A125,Enforcements!$C$7:$E$12,3,0)</f>
        <v>#N/A</v>
      </c>
      <c r="AD125" s="206">
        <f t="shared" si="114"/>
        <v>211</v>
      </c>
      <c r="AE125" s="77" t="str">
        <f t="shared" si="71"/>
        <v>aws s3 cp s3://rtdc.mdm.uploadarchive.raw/RTDC4014/ "%USERPROFILE%\AppData\Local\Temp\OnboardLogs"\RTDC4014\2017-08-11 --exclude "*" --recursive --include "*20170811*" &amp; "%USERPROFILE%\Documents\GitHub\mrs-test-scripts\Headless Mode &amp; Sideloading\WalkAndUnGZ.bat" "%USERPROFILE%\AppData\Local\Temp\OnboardLogs"\RTDC4014\2017-08-11 &amp; 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</v>
      </c>
      <c r="AF125" s="74" t="str">
        <f t="shared" si="72"/>
        <v>"C:\Program Files (x86)\AstroGrep\AstroGrep.exe" /e /r /s /spath="%USERPROFILE%\AppData\Local\Temp\OnboardLogs" /stypes="app*4014*20170812*" /stext=" 00:.+((SYSTEM_STATE.+slice.+state.+changed )|(ment ac)|(multiple cpu faults)|(system.+state.+changed )|(\[timeout)|(PRM\|1\|D)|(kpr)|(kdp)|(train st.+moving)|(\|lc)|(penalty))"</v>
      </c>
      <c r="AG125" s="209" t="str">
        <f t="shared" si="115"/>
        <v>EC</v>
      </c>
      <c r="AH125" s="78" t="str">
        <f t="shared" si="75"/>
        <v>"%USERPROFILE%\Documents\GitHub\eaglep3\Utilities\RefineRTDCRunTimes.py" --tripid 211-11 --locoid 4014 --swversion DE.1.0.9.0 --startMP 204:455 --initTime 2017-08-11T17:23:52 --startdatetime 2017-08-11T17:30:52 --delay 1 --endMP 204:233383 --enddatetime 2017-08-11T18:06:25 --enforcementcount 0 &gt;&gt;C:\Users\stu\Documents\GitHub\eaglep3-reporting\EC\2017-08-11-refined-times.txt</v>
      </c>
      <c r="AI125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{"issue":{"subject":"","project_id":79,"tracker_id":40,"status_id":1,"priority_id":2,"assigned_to_id":23,"start_date":"2017-08-11","description":"","custom_fields":[{"id":1,"name":"Subdivision","value":"EC"},{"id":4,"name":"Milepost","value":"23.3383"},{"id":17,"name":"Train ID","value":"211-11"},{"id":16,"name":"Locomotive ID","value":"4014"},{"id":130,"name":"Impact","value":""},{"id":150,"name":"Time of Event (Mountain Time)","value":"18:06:25"},{"id":151,"name":"Denver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77"/>
        <v>start /low /b %USERPROFILE%\Documents\GitHub\eaglep3\Utilities\DownloadLogsFromS3.py --loco 4014 --day 2017-08-11</v>
      </c>
      <c r="AN125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00:06:25"},{"id":29,"name":"Sharepoint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823</v>
      </c>
      <c r="B126" s="7">
        <v>4013</v>
      </c>
      <c r="C126" s="21" t="s">
        <v>198</v>
      </c>
      <c r="D126" s="21" t="s">
        <v>927</v>
      </c>
      <c r="E126" s="13">
        <v>42958.766122685185</v>
      </c>
      <c r="F126" s="13">
        <v>42958.769085648149</v>
      </c>
      <c r="G126" s="7">
        <v>1</v>
      </c>
      <c r="H126" s="21" t="s">
        <v>343</v>
      </c>
      <c r="I126" s="13">
        <v>42958.794722222221</v>
      </c>
      <c r="J126" s="7">
        <v>0</v>
      </c>
      <c r="K126" s="89" t="str">
        <f t="shared" si="108"/>
        <v>4013/4014</v>
      </c>
      <c r="L126" s="21" t="str">
        <f>VLOOKUP(A126,'Trips&amp;Operators'!$C$1:$G$99999,5,FALSE)</f>
        <v>LEVIN SCOTT</v>
      </c>
      <c r="M126" s="6">
        <f t="shared" si="109"/>
        <v>2.5636574071540963E-2</v>
      </c>
      <c r="N126" s="7">
        <f t="shared" si="110"/>
        <v>36.916666663018987</v>
      </c>
      <c r="O126" s="7"/>
      <c r="P126" s="7"/>
      <c r="Q126" s="22"/>
      <c r="R126" s="170"/>
      <c r="S126" s="213">
        <f t="shared" si="111"/>
        <v>1</v>
      </c>
      <c r="T126" s="195" t="str">
        <f t="shared" si="112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70"/>
        <v>https://d0f6bd738d7f1b3e5a7ca70fe4ff75f0.us-east-1.aws.found.io/app/kibana#/discover/Steve-Slow-Train-Analysis-(2080s-and-2083s)?_g=(refreshInterval:(display:Off,pause:!f,section:0,value:0),time:(from:'2017-08-11T17:23:13-0600',mode:absolute,to:'2017-08-11T20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6" s="197" t="str">
        <f>IF(AA126&lt;VLOOKUP(AG126,Variables!$AC$3:$AD$8,2,FALSE),"Y","N")</f>
        <v>N</v>
      </c>
      <c r="X126" s="197">
        <f t="shared" si="107"/>
        <v>1</v>
      </c>
      <c r="Y126" s="197">
        <f t="shared" si="106"/>
        <v>23.309100000000001</v>
      </c>
      <c r="Z126" s="197">
        <f t="shared" si="116"/>
        <v>1.43E-2</v>
      </c>
      <c r="AA126" s="197">
        <f t="shared" si="113"/>
        <v>23.294800000000002</v>
      </c>
      <c r="AB126" s="54" t="e">
        <f>VLOOKUP(A126,Enforcements!$C$7:$K$12,8,0)</f>
        <v>#N/A</v>
      </c>
      <c r="AC126" s="51" t="e">
        <f>VLOOKUP(A126,Enforcements!$C$7:$E$12,3,0)</f>
        <v>#N/A</v>
      </c>
      <c r="AD126" s="206">
        <f t="shared" si="114"/>
        <v>212</v>
      </c>
      <c r="AE126" s="77" t="str">
        <f t="shared" si="71"/>
        <v>aws s3 cp s3://rtdc.mdm.uploadarchive.raw/RTDC4013/ "%USERPROFILE%\AppData\Local\Temp\OnboardLogs"\RTDC4013\2017-08-11 --exclude "*" --recursive --include "*20170811*" &amp; "%USERPROFILE%\Documents\GitHub\mrs-test-scripts\Headless Mode &amp; Sideloading\WalkAndUnGZ.bat" "%USERPROFILE%\AppData\Local\Temp\OnboardLogs"\RTDC4013\2017-08-11 &amp; 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</v>
      </c>
      <c r="AF126" s="74" t="str">
        <f t="shared" si="72"/>
        <v>"C:\Program Files (x86)\AstroGrep\AstroGrep.exe" /e /r /s /spath="%USERPROFILE%\AppData\Local\Temp\OnboardLogs" /stypes="app*4013*20170812*" /stext=" 01:.+((SYSTEM_STATE.+slice.+state.+changed )|(ment ac)|(multiple cpu faults)|(system.+state.+changed )|(\[timeout)|(PRM\|1\|D)|(kpr)|(kdp)|(train st.+moving)|(\|lc)|(penalty))"</v>
      </c>
      <c r="AG126" s="209" t="str">
        <f t="shared" si="115"/>
        <v>EC</v>
      </c>
      <c r="AH126" s="78" t="str">
        <f t="shared" si="75"/>
        <v>"%USERPROFILE%\Documents\GitHub\eaglep3\Utilities\RefineRTDCRunTimes.py" --tripid 212-11 --locoid 4013 --swversion DE.1.0.9.0 --startMP 204:233091 --initTime 2017-08-11T18:23:13 --startdatetime 2017-08-11T18:27:29 --delay 1 --endMP 204:143 --enddatetime 2017-08-11T19:04:24 --enforcementcount 0 &gt;&gt;C:\Users\stu\Documents\GitHub\eaglep3-reporting\EC\2017-08-11-refined-times.txt</v>
      </c>
      <c r="AI126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{"issue":{"subject":"","project_id":79,"tracker_id":40,"status_id":1,"priority_id":2,"assigned_to_id":23,"start_date":"2017-08-11","description":"","custom_fields":[{"id":1,"name":"Subdivision","value":"EC"},{"id":4,"name":"Milepost","value":"0.0143"},{"id":17,"name":"Train ID","value":"212-11"},{"id":16,"name":"Locomotive ID","value":"4013"},{"id":130,"name":"Impact","value":""},{"id":150,"name":"Time of Event (Mountain Time)","value":"19:04:24"},{"id":151,"name":"Denver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77"/>
        <v>start /low /b %USERPROFILE%\Documents\GitHub\eaglep3\Utilities\DownloadLogsFromS3.py --loco 4013 --day 2017-08-11</v>
      </c>
      <c r="AN126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01:04:24"},{"id":29,"name":"Sharepoint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815</v>
      </c>
      <c r="B127" s="7">
        <v>4012</v>
      </c>
      <c r="C127" s="21" t="s">
        <v>198</v>
      </c>
      <c r="D127" s="21" t="s">
        <v>436</v>
      </c>
      <c r="E127" s="13">
        <v>42958.735844907409</v>
      </c>
      <c r="F127" s="13">
        <v>42958.740231481483</v>
      </c>
      <c r="G127" s="7">
        <v>2</v>
      </c>
      <c r="H127" s="21" t="s">
        <v>928</v>
      </c>
      <c r="I127" s="13">
        <v>42958.765046296299</v>
      </c>
      <c r="J127" s="7">
        <v>0</v>
      </c>
      <c r="K127" s="89" t="str">
        <f t="shared" si="108"/>
        <v>4011/4012</v>
      </c>
      <c r="L127" s="21" t="str">
        <f>VLOOKUP(A127,'Trips&amp;Operators'!$C$1:$G$99999,5,FALSE)</f>
        <v>HELVIE ADAM</v>
      </c>
      <c r="M127" s="6">
        <f t="shared" si="109"/>
        <v>2.4814814816636499E-2</v>
      </c>
      <c r="N127" s="7">
        <f t="shared" si="110"/>
        <v>35.733333335956559</v>
      </c>
      <c r="O127" s="7"/>
      <c r="P127" s="7"/>
      <c r="Q127" s="22"/>
      <c r="R127" s="170"/>
      <c r="S127" s="213">
        <f t="shared" si="111"/>
        <v>1</v>
      </c>
      <c r="T127" s="195" t="str">
        <f t="shared" si="112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70"/>
        <v>https://d0f6bd738d7f1b3e5a7ca70fe4ff75f0.us-east-1.aws.found.io/app/kibana#/discover/Steve-Slow-Train-Analysis-(2080s-and-2083s)?_g=(refreshInterval:(display:Off,pause:!f,section:0,value:0),time:(from:'2017-08-11T16:39:37-0600',mode:absolute,to:'2017-08-11T19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7" s="197" t="str">
        <f>IF(AA127&lt;VLOOKUP(AG127,Variables!$AC$3:$AD$8,2,FALSE),"Y","N")</f>
        <v>N</v>
      </c>
      <c r="X127" s="197">
        <f t="shared" si="107"/>
        <v>1</v>
      </c>
      <c r="Y127" s="197">
        <f t="shared" si="106"/>
        <v>4.5699999999999998E-2</v>
      </c>
      <c r="Z127" s="197">
        <f t="shared" si="116"/>
        <v>23.3261</v>
      </c>
      <c r="AA127" s="197">
        <f t="shared" si="113"/>
        <v>23.2804</v>
      </c>
      <c r="AB127" s="54" t="e">
        <f>VLOOKUP(A127,Enforcements!$C$7:$K$12,8,0)</f>
        <v>#N/A</v>
      </c>
      <c r="AC127" s="51" t="e">
        <f>VLOOKUP(A127,Enforcements!$C$7:$E$12,3,0)</f>
        <v>#N/A</v>
      </c>
      <c r="AD127" s="206">
        <f t="shared" si="114"/>
        <v>213</v>
      </c>
      <c r="AE127" s="77" t="str">
        <f t="shared" si="71"/>
        <v>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 &amp; aws s3 cp s3://rtdc.mdm.uploadarchive.raw/RTDC4012/ "%USERPROFILE%\AppData\Local\Temp\OnboardLogs"\RTDC4012\2017-08-12 --exclude "*" --recursive --include "*20170812*" &amp; "%USERPROFILE%\Documents\GitHub\mrs-test-scripts\Headless Mode &amp; Sideloading\WalkAndUnGZ.bat" "%USERPROFILE%\AppData\Local\Temp\OnboardLogs"\RTDC4012\2017-08-12</v>
      </c>
      <c r="AF127" s="74" t="str">
        <f t="shared" si="72"/>
        <v>"C:\Program Files (x86)\AstroGrep\AstroGrep.exe" /e /r /s /spath="%USERPROFILE%\AppData\Local\Temp\OnboardLogs" /stypes="app*4012*20170812*" /stext=" 00:.+((SYSTEM_STATE.+slice.+state.+changed )|(ment ac)|(multiple cpu faults)|(system.+state.+changed )|(\[timeout)|(PRM\|1\|D)|(kpr)|(kdp)|(train st.+moving)|(\|lc)|(penalty))"</v>
      </c>
      <c r="AG127" s="209" t="str">
        <f t="shared" si="115"/>
        <v>EC</v>
      </c>
      <c r="AH127" s="78" t="str">
        <f t="shared" si="75"/>
        <v>"%USERPROFILE%\Documents\GitHub\eaglep3\Utilities\RefineRTDCRunTimes.py" --tripid 213-11 --locoid 4012 --swversion DE.1.0.9.0 --startMP 204:457 --initTime 2017-08-11T17:39:37 --startdatetime 2017-08-11T17:45:56 --delay 2 --endMP 204:233261 --enddatetime 2017-08-11T18:21:40 --enforcementcount 0 &gt;&gt;C:\Users\stu\Documents\GitHub\eaglep3-reporting\EC\2017-08-11-refined-times.txt</v>
      </c>
      <c r="AI127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{"issue":{"subject":"","project_id":79,"tracker_id":40,"status_id":1,"priority_id":2,"assigned_to_id":23,"start_date":"2017-08-11","description":"","custom_fields":[{"id":1,"name":"Subdivision","value":"EC"},{"id":4,"name":"Milepost","value":"23.3261"},{"id":17,"name":"Train ID","value":"213-11"},{"id":16,"name":"Locomotive ID","value":"4012"},{"id":130,"name":"Impact","value":""},{"id":150,"name":"Time of Event (Mountain Time)","value":"18:21:40"},{"id":151,"name":"Denver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77"/>
        <v>start /low /b %USERPROFILE%\Documents\GitHub\eaglep3\Utilities\DownloadLogsFromS3.py --loco 4012 --day 2017-08-11</v>
      </c>
      <c r="AN127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00:21:40"},{"id":29,"name":"Sharepoint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827</v>
      </c>
      <c r="B128" s="7">
        <v>4011</v>
      </c>
      <c r="C128" s="21" t="s">
        <v>198</v>
      </c>
      <c r="D128" s="21" t="s">
        <v>929</v>
      </c>
      <c r="E128" s="13">
        <v>42958.777094907404</v>
      </c>
      <c r="F128" s="13">
        <v>42958.779432870368</v>
      </c>
      <c r="G128" s="7">
        <v>1</v>
      </c>
      <c r="H128" s="21" t="s">
        <v>456</v>
      </c>
      <c r="I128" s="13">
        <v>42958.805486111109</v>
      </c>
      <c r="J128" s="7">
        <v>0</v>
      </c>
      <c r="K128" s="89" t="str">
        <f t="shared" si="108"/>
        <v>4011/4012</v>
      </c>
      <c r="L128" s="21" t="str">
        <f>VLOOKUP(A128,'Trips&amp;Operators'!$C$1:$G$99999,5,FALSE)</f>
        <v>HELVIE ADAM</v>
      </c>
      <c r="M128" s="6">
        <f t="shared" si="109"/>
        <v>2.6053240741021E-2</v>
      </c>
      <c r="N128" s="7">
        <f t="shared" si="110"/>
        <v>37.51666666707024</v>
      </c>
      <c r="O128" s="7"/>
      <c r="P128" s="7"/>
      <c r="Q128" s="22"/>
      <c r="R128" s="170"/>
      <c r="S128" s="213">
        <f t="shared" si="111"/>
        <v>1</v>
      </c>
      <c r="T128" s="195" t="str">
        <f t="shared" si="112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70"/>
        <v>https://d0f6bd738d7f1b3e5a7ca70fe4ff75f0.us-east-1.aws.found.io/app/kibana#/discover/Steve-Slow-Train-Analysis-(2080s-and-2083s)?_g=(refreshInterval:(display:Off,pause:!f,section:0,value:0),time:(from:'2017-08-11T17:39:01-0600',mode:absolute,to:'2017-08-11T20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8" s="197" t="str">
        <f>IF(AA128&lt;VLOOKUP(AG128,Variables!$AC$3:$AD$8,2,FALSE),"Y","N")</f>
        <v>N</v>
      </c>
      <c r="X128" s="197">
        <f t="shared" si="107"/>
        <v>1</v>
      </c>
      <c r="Y128" s="197">
        <f t="shared" ref="Y128:Y159" si="117">RIGHT(D128,LEN(D128)-4)/10000</f>
        <v>23.2959</v>
      </c>
      <c r="Z128" s="197">
        <f t="shared" si="116"/>
        <v>1.6E-2</v>
      </c>
      <c r="AA128" s="197">
        <f t="shared" si="113"/>
        <v>23.279900000000001</v>
      </c>
      <c r="AB128" s="54" t="e">
        <f>VLOOKUP(A128,Enforcements!$C$7:$K$12,8,0)</f>
        <v>#N/A</v>
      </c>
      <c r="AC128" s="51" t="e">
        <f>VLOOKUP(A128,Enforcements!$C$7:$E$12,3,0)</f>
        <v>#N/A</v>
      </c>
      <c r="AD128" s="206">
        <f t="shared" si="114"/>
        <v>214</v>
      </c>
      <c r="AE128" s="77" t="str">
        <f t="shared" si="71"/>
        <v>aws s3 cp s3://rtdc.mdm.uploadarchive.raw/RTDC4011/ "%USERPROFILE%\AppData\Local\Temp\OnboardLogs"\RTDC4011\2017-08-11 --exclude "*" --recursive --include "*20170811*" &amp; "%USERPROFILE%\Documents\GitHub\mrs-test-scripts\Headless Mode &amp; Sideloading\WalkAndUnGZ.bat" "%USERPROFILE%\AppData\Local\Temp\OnboardLogs"\RTDC4011\2017-08-11 &amp; aws s3 cp s3://rtdc.mdm.uploadarchive.raw/RTDC4011/ "%USERPROFILE%\AppData\Local\Temp\OnboardLogs"\RTDC4011\2017-08-12 --exclude "*" --recursive --include "*20170812*" &amp; "%USERPROFILE%\Documents\GitHub\mrs-test-scripts\Headless Mode &amp; Sideloading\WalkAndUnGZ.bat" "%USERPROFILE%\AppData\Local\Temp\OnboardLogs"\RTDC4011\2017-08-12</v>
      </c>
      <c r="AF128" s="74" t="str">
        <f t="shared" si="72"/>
        <v>"C:\Program Files (x86)\AstroGrep\AstroGrep.exe" /e /r /s /spath="%USERPROFILE%\AppData\Local\Temp\OnboardLogs" /stypes="app*4011*20170812*" /stext=" 01:.+((SYSTEM_STATE.+slice.+state.+changed )|(ment ac)|(multiple cpu faults)|(system.+state.+changed )|(\[timeout)|(PRM\|1\|D)|(kpr)|(kdp)|(train st.+moving)|(\|lc)|(penalty))"</v>
      </c>
      <c r="AG128" s="209" t="str">
        <f t="shared" si="115"/>
        <v>EC</v>
      </c>
      <c r="AH128" s="78" t="str">
        <f t="shared" si="75"/>
        <v>"%USERPROFILE%\Documents\GitHub\eaglep3\Utilities\RefineRTDCRunTimes.py" --tripid 214-11 --locoid 4011 --swversion DE.1.0.9.0 --startMP 204:232959 --initTime 2017-08-11T18:39:01 --startdatetime 2017-08-11T18:42:23 --delay 1 --endMP 204:160 --enddatetime 2017-08-11T19:19:54 --enforcementcount 0 &gt;&gt;C:\Users\stu\Documents\GitHub\eaglep3-reporting\EC\2017-08-11-refined-times.txt</v>
      </c>
      <c r="AI128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{"issue":{"subject":"","project_id":79,"tracker_id":40,"status_id":1,"priority_id":2,"assigned_to_id":23,"start_date":"2017-08-11","description":"","custom_fields":[{"id":1,"name":"Subdivision","value":"EC"},{"id":4,"name":"Milepost","value":"0.016"},{"id":17,"name":"Train ID","value":"214-11"},{"id":16,"name":"Locomotive ID","value":"4011"},{"id":130,"name":"Impact","value":""},{"id":150,"name":"Time of Event (Mountain Time)","value":"19:19:54"},{"id":151,"name":"Denver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77"/>
        <v>start /low /b %USERPROFILE%\Documents\GitHub\eaglep3\Utilities\DownloadLogsFromS3.py --loco 4011 --day 2017-08-11</v>
      </c>
      <c r="AN128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01:19:54"},{"id":29,"name":"Sharepoint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818</v>
      </c>
      <c r="B129" s="7">
        <v>4060</v>
      </c>
      <c r="C129" s="21" t="s">
        <v>198</v>
      </c>
      <c r="D129" s="21" t="s">
        <v>563</v>
      </c>
      <c r="E129" s="13">
        <v>42958.746504629627</v>
      </c>
      <c r="F129" s="13">
        <v>42958.750497685185</v>
      </c>
      <c r="G129" s="7">
        <v>1</v>
      </c>
      <c r="H129" s="21" t="s">
        <v>930</v>
      </c>
      <c r="I129" s="13">
        <v>42958.775787037041</v>
      </c>
      <c r="J129" s="7">
        <v>0</v>
      </c>
      <c r="K129" s="89" t="str">
        <f t="shared" si="108"/>
        <v>4059/4060</v>
      </c>
      <c r="L129" s="21" t="str">
        <f>VLOOKUP(A129,'Trips&amp;Operators'!$C$1:$G$99999,5,FALSE)</f>
        <v>HOLCOMB KAMDEN</v>
      </c>
      <c r="M129" s="6">
        <f t="shared" si="109"/>
        <v>2.5289351855462883E-2</v>
      </c>
      <c r="N129" s="7">
        <f t="shared" si="110"/>
        <v>36.416666671866551</v>
      </c>
      <c r="O129" s="7"/>
      <c r="P129" s="7"/>
      <c r="Q129" s="22"/>
      <c r="R129" s="170"/>
      <c r="S129" s="213">
        <f t="shared" si="111"/>
        <v>1</v>
      </c>
      <c r="T129" s="195" t="str">
        <f t="shared" si="112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70"/>
        <v>https://d0f6bd738d7f1b3e5a7ca70fe4ff75f0.us-east-1.aws.found.io/app/kibana#/discover/Steve-Slow-Train-Analysis-(2080s-and-2083s)?_g=(refreshInterval:(display:Off,pause:!f,section:0,value:0),time:(from:'2017-08-11T16:54:58-0600',mode:absolute,to:'2017-08-11T19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9" s="197" t="str">
        <f>IF(AA129&lt;VLOOKUP(AG129,Variables!$AC$3:$AD$8,2,FALSE),"Y","N")</f>
        <v>N</v>
      </c>
      <c r="X129" s="197">
        <f t="shared" ref="X129:X160" si="118">VALUE(LEFT(AD129,4))-VALUE(LEFT(AD128,4))</f>
        <v>1</v>
      </c>
      <c r="Y129" s="197">
        <f t="shared" si="117"/>
        <v>4.9500000000000002E-2</v>
      </c>
      <c r="Z129" s="197">
        <f t="shared" si="116"/>
        <v>23.336099999999998</v>
      </c>
      <c r="AA129" s="197">
        <f t="shared" si="113"/>
        <v>23.2866</v>
      </c>
      <c r="AB129" s="54" t="e">
        <f>VLOOKUP(A129,Enforcements!$C$7:$K$12,8,0)</f>
        <v>#N/A</v>
      </c>
      <c r="AC129" s="51" t="e">
        <f>VLOOKUP(A129,Enforcements!$C$7:$E$12,3,0)</f>
        <v>#N/A</v>
      </c>
      <c r="AD129" s="206">
        <f t="shared" si="114"/>
        <v>215</v>
      </c>
      <c r="AE129" s="77" t="str">
        <f t="shared" si="71"/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AF129" s="74" t="str">
        <f t="shared" si="72"/>
        <v>"C:\Program Files (x86)\AstroGrep\AstroGrep.exe" /e /r /s /spath="%USERPROFILE%\AppData\Local\Temp\OnboardLogs" /stypes="app*4060*20170812*" /stext=" 00:.+((SYSTEM_STATE.+slice.+state.+changed )|(ment ac)|(multiple cpu faults)|(system.+state.+changed )|(\[timeout)|(PRM\|1\|D)|(kpr)|(kdp)|(train st.+moving)|(\|lc)|(penalty))"</v>
      </c>
      <c r="AG129" s="209" t="str">
        <f t="shared" si="115"/>
        <v>EC</v>
      </c>
      <c r="AH129" s="78" t="str">
        <f t="shared" si="75"/>
        <v>"%USERPROFILE%\Documents\GitHub\eaglep3\Utilities\RefineRTDCRunTimes.py" --tripid 215-11 --locoid 4060 --swversion DE.1.0.9.0 --startMP 204:495 --initTime 2017-08-11T17:54:58 --startdatetime 2017-08-11T18:00:43 --delay 1 --endMP 204:233361 --enddatetime 2017-08-11T18:37:08 --enforcementcount 0 &gt;&gt;C:\Users\stu\Documents\GitHub\eaglep3-reporting\EC\2017-08-11-refined-times.txt</v>
      </c>
      <c r="AI129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{"issue":{"subject":"","project_id":79,"tracker_id":40,"status_id":1,"priority_id":2,"assigned_to_id":23,"start_date":"2017-08-11","description":"","custom_fields":[{"id":1,"name":"Subdivision","value":"EC"},{"id":4,"name":"Milepost","value":"23.3361"},{"id":17,"name":"Train ID","value":"215-11"},{"id":16,"name":"Locomotive ID","value":"4060"},{"id":130,"name":"Impact","value":""},{"id":150,"name":"Time of Event (Mountain Time)","value":"18:37:08"},{"id":151,"name":"Denver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77"/>
        <v>start /low /b %USERPROFILE%\Documents\GitHub\eaglep3\Utilities\DownloadLogsFromS3.py --loco 4060 --day 2017-08-11</v>
      </c>
      <c r="AN129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00:37:08"},{"id":29,"name":"Sharepoint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829</v>
      </c>
      <c r="B130" s="7">
        <v>4059</v>
      </c>
      <c r="C130" s="21" t="s">
        <v>198</v>
      </c>
      <c r="D130" s="21" t="s">
        <v>581</v>
      </c>
      <c r="E130" s="13">
        <v>42958.783958333333</v>
      </c>
      <c r="F130" s="13">
        <v>42958.789814814816</v>
      </c>
      <c r="G130" s="7">
        <v>1</v>
      </c>
      <c r="H130" s="21" t="s">
        <v>572</v>
      </c>
      <c r="I130" s="13">
        <v>42958.815682870372</v>
      </c>
      <c r="J130" s="7">
        <v>0</v>
      </c>
      <c r="K130" s="89" t="str">
        <f t="shared" si="108"/>
        <v>4059/4060</v>
      </c>
      <c r="L130" s="21" t="str">
        <f>VLOOKUP(A130,'Trips&amp;Operators'!$C$1:$G$99999,5,FALSE)</f>
        <v>HOLCOMB KAMDEN</v>
      </c>
      <c r="M130" s="6">
        <f t="shared" si="109"/>
        <v>2.5868055556202307E-2</v>
      </c>
      <c r="N130" s="7">
        <f t="shared" si="110"/>
        <v>37.250000000931323</v>
      </c>
      <c r="O130" s="7"/>
      <c r="P130" s="7"/>
      <c r="Q130" s="22"/>
      <c r="R130" s="170"/>
      <c r="S130" s="213">
        <f t="shared" si="111"/>
        <v>1</v>
      </c>
      <c r="T130" s="195" t="str">
        <f t="shared" si="112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70"/>
        <v>https://d0f6bd738d7f1b3e5a7ca70fe4ff75f0.us-east-1.aws.found.io/app/kibana#/discover/Steve-Slow-Train-Analysis-(2080s-and-2083s)?_g=(refreshInterval:(display:Off,pause:!f,section:0,value:0),time:(from:'2017-08-11T17:48:54-0600',mode:absolute,to:'2017-08-11T20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0" s="197" t="str">
        <f>IF(AA130&lt;VLOOKUP(AG130,Variables!$AC$3:$AD$8,2,FALSE),"Y","N")</f>
        <v>N</v>
      </c>
      <c r="X130" s="197">
        <f t="shared" si="118"/>
        <v>1</v>
      </c>
      <c r="Y130" s="197">
        <f t="shared" si="117"/>
        <v>23.304200000000002</v>
      </c>
      <c r="Z130" s="197">
        <f t="shared" si="116"/>
        <v>1.21E-2</v>
      </c>
      <c r="AA130" s="197">
        <f t="shared" si="113"/>
        <v>23.292100000000001</v>
      </c>
      <c r="AB130" s="54" t="e">
        <f>VLOOKUP(A130,Enforcements!$C$7:$K$12,8,0)</f>
        <v>#N/A</v>
      </c>
      <c r="AC130" s="51" t="e">
        <f>VLOOKUP(A130,Enforcements!$C$7:$E$12,3,0)</f>
        <v>#N/A</v>
      </c>
      <c r="AD130" s="206">
        <f t="shared" si="114"/>
        <v>216</v>
      </c>
      <c r="AE130" s="77" t="str">
        <f t="shared" si="71"/>
        <v>aws s3 cp s3://rtdc.mdm.uploadarchive.raw/RTDC4059/ "%USERPROFILE%\AppData\Local\Temp\OnboardLogs"\RTDC4059\2017-08-11 --exclude "*" --recursive --include "*20170811*" &amp; "%USERPROFILE%\Documents\GitHub\mrs-test-scripts\Headless Mode &amp; Sideloading\WalkAndUnGZ.bat" "%USERPROFILE%\AppData\Local\Temp\OnboardLogs"\RTDC4059\2017-08-11 &amp; aws s3 cp s3://rtdc.mdm.uploadarchive.raw/RTDC4059/ "%USERPROFILE%\AppData\Local\Temp\OnboardLogs"\RTDC4059\2017-08-12 --exclude "*" --recursive --include "*20170812*" &amp; "%USERPROFILE%\Documents\GitHub\mrs-test-scripts\Headless Mode &amp; Sideloading\WalkAndUnGZ.bat" "%USERPROFILE%\AppData\Local\Temp\OnboardLogs"\RTDC4059\2017-08-12</v>
      </c>
      <c r="AF130" s="74" t="str">
        <f t="shared" si="72"/>
        <v>"C:\Program Files (x86)\AstroGrep\AstroGrep.exe" /e /r /s /spath="%USERPROFILE%\AppData\Local\Temp\OnboardLogs" /stypes="app*4059*20170812*" /stext=" 01:.+((SYSTEM_STATE.+slice.+state.+changed )|(ment ac)|(multiple cpu faults)|(system.+state.+changed )|(\[timeout)|(PRM\|1\|D)|(kpr)|(kdp)|(train st.+moving)|(\|lc)|(penalty))"</v>
      </c>
      <c r="AG130" s="209" t="str">
        <f t="shared" si="115"/>
        <v>EC</v>
      </c>
      <c r="AH130" s="78" t="str">
        <f t="shared" si="75"/>
        <v>"%USERPROFILE%\Documents\GitHub\eaglep3\Utilities\RefineRTDCRunTimes.py" --tripid 216-11 --locoid 4059 --swversion DE.1.0.9.0 --startMP 204:233042 --initTime 2017-08-11T18:48:54 --startdatetime 2017-08-11T18:57:20 --delay 1 --endMP 204:121 --enddatetime 2017-08-11T19:34:35 --enforcementcount 0 &gt;&gt;C:\Users\stu\Documents\GitHub\eaglep3-reporting\EC\2017-08-11-refined-times.txt</v>
      </c>
      <c r="AI130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{"issue":{"subject":"","project_id":79,"tracker_id":40,"status_id":1,"priority_id":2,"assigned_to_id":23,"start_date":"2017-08-11","description":"","custom_fields":[{"id":1,"name":"Subdivision","value":"EC"},{"id":4,"name":"Milepost","value":"0.0121"},{"id":17,"name":"Train ID","value":"216-11"},{"id":16,"name":"Locomotive ID","value":"4059"},{"id":130,"name":"Impact","value":""},{"id":150,"name":"Time of Event (Mountain Time)","value":"19:34:35"},{"id":151,"name":"Denver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77"/>
        <v>start /low /b %USERPROFILE%\Documents\GitHub\eaglep3\Utilities\DownloadLogsFromS3.py --loco 4059 --day 2017-08-11</v>
      </c>
      <c r="AN130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01:34:35"},{"id":29,"name":"Sharepoint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822</v>
      </c>
      <c r="B131" s="7">
        <v>4058</v>
      </c>
      <c r="C131" s="21" t="s">
        <v>198</v>
      </c>
      <c r="D131" s="21" t="s">
        <v>433</v>
      </c>
      <c r="E131" s="13">
        <v>42958.758229166669</v>
      </c>
      <c r="F131" s="13">
        <v>42958.761099537034</v>
      </c>
      <c r="G131" s="7">
        <v>1</v>
      </c>
      <c r="H131" s="21" t="s">
        <v>564</v>
      </c>
      <c r="I131" s="13">
        <v>42958.786006944443</v>
      </c>
      <c r="J131" s="7">
        <v>0</v>
      </c>
      <c r="K131" s="89" t="str">
        <f t="shared" si="108"/>
        <v>4057/4058</v>
      </c>
      <c r="L131" s="21" t="str">
        <f>VLOOKUP(A131,'Trips&amp;Operators'!$C$1:$G$99999,5,FALSE)</f>
        <v>PERKINS DARREN</v>
      </c>
      <c r="M131" s="6">
        <f t="shared" si="109"/>
        <v>2.4907407409045845E-2</v>
      </c>
      <c r="N131" s="7">
        <f t="shared" si="110"/>
        <v>35.866666669026017</v>
      </c>
      <c r="O131" s="7"/>
      <c r="P131" s="7"/>
      <c r="Q131" s="22"/>
      <c r="R131" s="170"/>
      <c r="S131" s="213">
        <f t="shared" si="111"/>
        <v>1</v>
      </c>
      <c r="T131" s="195" t="str">
        <f t="shared" si="112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70"/>
        <v>https://d0f6bd738d7f1b3e5a7ca70fe4ff75f0.us-east-1.aws.found.io/app/kibana#/discover/Steve-Slow-Train-Analysis-(2080s-and-2083s)?_g=(refreshInterval:(display:Off,pause:!f,section:0,value:0),time:(from:'2017-08-11T17:11:51-0600',mode:absolute,to:'2017-08-11T19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1" s="197" t="str">
        <f>IF(AA131&lt;VLOOKUP(AG131,Variables!$AC$3:$AD$8,2,FALSE),"Y","N")</f>
        <v>N</v>
      </c>
      <c r="X131" s="197">
        <f t="shared" si="118"/>
        <v>1</v>
      </c>
      <c r="Y131" s="197">
        <f t="shared" si="117"/>
        <v>4.5999999999999999E-2</v>
      </c>
      <c r="Z131" s="197">
        <f t="shared" si="116"/>
        <v>23.330500000000001</v>
      </c>
      <c r="AA131" s="197">
        <f t="shared" si="113"/>
        <v>23.284500000000001</v>
      </c>
      <c r="AB131" s="54" t="e">
        <f>VLOOKUP(A131,Enforcements!$C$7:$K$12,8,0)</f>
        <v>#N/A</v>
      </c>
      <c r="AC131" s="51" t="e">
        <f>VLOOKUP(A131,Enforcements!$C$7:$E$12,3,0)</f>
        <v>#N/A</v>
      </c>
      <c r="AD131" s="206">
        <f t="shared" si="114"/>
        <v>217</v>
      </c>
      <c r="AE131" s="77" t="str">
        <f t="shared" si="71"/>
        <v>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 &amp; aws s3 cp s3://rtdc.mdm.uploadarchive.raw/RTDC4058/ "%USERPROFILE%\AppData\Local\Temp\OnboardLogs"\RTDC4058\2017-08-12 --exclude "*" --recursive --include "*20170812*" &amp; "%USERPROFILE%\Documents\GitHub\mrs-test-scripts\Headless Mode &amp; Sideloading\WalkAndUnGZ.bat" "%USERPROFILE%\AppData\Local\Temp\OnboardLogs"\RTDC4058\2017-08-12</v>
      </c>
      <c r="AF131" s="74" t="str">
        <f t="shared" si="72"/>
        <v>"C:\Program Files (x86)\AstroGrep\AstroGrep.exe" /e /r /s /spath="%USERPROFILE%\AppData\Local\Temp\OnboardLogs" /stypes="app*4058*20170812*" /stext=" 00:.+((SYSTEM_STATE.+slice.+state.+changed )|(ment ac)|(multiple cpu faults)|(system.+state.+changed )|(\[timeout)|(PRM\|1\|D)|(kpr)|(kdp)|(train st.+moving)|(\|lc)|(penalty))"</v>
      </c>
      <c r="AG131" s="209" t="str">
        <f t="shared" si="115"/>
        <v>EC</v>
      </c>
      <c r="AH131" s="78" t="str">
        <f t="shared" si="75"/>
        <v>"%USERPROFILE%\Documents\GitHub\eaglep3\Utilities\RefineRTDCRunTimes.py" --tripid 217-11 --locoid 4058 --swversion DE.1.0.9.0 --startMP 204:460 --initTime 2017-08-11T18:11:51 --startdatetime 2017-08-11T18:15:59 --delay 1 --endMP 204:233305 --enddatetime 2017-08-11T18:51:51 --enforcementcount 0 &gt;&gt;C:\Users\stu\Documents\GitHub\eaglep3-reporting\EC\2017-08-11-refined-times.txt</v>
      </c>
      <c r="AI131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{"issue":{"subject":"","project_id":79,"tracker_id":40,"status_id":1,"priority_id":2,"assigned_to_id":23,"start_date":"2017-08-11","description":"","custom_fields":[{"id":1,"name":"Subdivision","value":"EC"},{"id":4,"name":"Milepost","value":"23.3305"},{"id":17,"name":"Train ID","value":"217-11"},{"id":16,"name":"Locomotive ID","value":"4058"},{"id":130,"name":"Impact","value":""},{"id":150,"name":"Time of Event (Mountain Time)","value":"18:51:51"},{"id":151,"name":"Denver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77"/>
        <v>start /low /b %USERPROFILE%\Documents\GitHub\eaglep3\Utilities\DownloadLogsFromS3.py --loco 4058 --day 2017-08-11</v>
      </c>
      <c r="AN131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00:51:51"},{"id":29,"name":"Sharepoint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830</v>
      </c>
      <c r="B132" s="7">
        <v>4057</v>
      </c>
      <c r="C132" s="21" t="s">
        <v>198</v>
      </c>
      <c r="D132" s="21" t="s">
        <v>894</v>
      </c>
      <c r="E132" s="13">
        <v>42958.794374999998</v>
      </c>
      <c r="F132" s="13">
        <v>42958.800312500003</v>
      </c>
      <c r="G132" s="7">
        <v>1</v>
      </c>
      <c r="H132" s="21" t="s">
        <v>1054</v>
      </c>
      <c r="I132" s="13">
        <v>42958.82644675926</v>
      </c>
      <c r="J132" s="7">
        <v>0</v>
      </c>
      <c r="K132" s="89" t="str">
        <f t="shared" si="108"/>
        <v>4057/4058</v>
      </c>
      <c r="L132" s="21" t="str">
        <f>VLOOKUP(A132,'Trips&amp;Operators'!$C$1:$G$99999,5,FALSE)</f>
        <v>PERKINS DARREN</v>
      </c>
      <c r="M132" s="6">
        <f t="shared" si="109"/>
        <v>2.6134259256650694E-2</v>
      </c>
      <c r="N132" s="7">
        <f t="shared" si="110"/>
        <v>37.633333329576999</v>
      </c>
      <c r="O132" s="7"/>
      <c r="P132" s="7"/>
      <c r="Q132" s="22"/>
      <c r="R132" s="170"/>
      <c r="S132" s="213">
        <f t="shared" si="111"/>
        <v>1</v>
      </c>
      <c r="T132" s="195" t="str">
        <f t="shared" si="112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70"/>
        <v>https://d0f6bd738d7f1b3e5a7ca70fe4ff75f0.us-east-1.aws.found.io/app/kibana#/discover/Steve-Slow-Train-Analysis-(2080s-and-2083s)?_g=(refreshInterval:(display:Off,pause:!f,section:0,value:0),time:(from:'2017-08-11T18:03:54-0600',mode:absolute,to:'2017-08-11T20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2" s="197" t="str">
        <f>IF(AA132&lt;VLOOKUP(AG132,Variables!$AC$3:$AD$8,2,FALSE),"Y","N")</f>
        <v>N</v>
      </c>
      <c r="X132" s="197">
        <f t="shared" si="118"/>
        <v>1</v>
      </c>
      <c r="Y132" s="197">
        <f t="shared" si="117"/>
        <v>23.297999999999998</v>
      </c>
      <c r="Z132" s="197">
        <f t="shared" si="116"/>
        <v>1.1599999999999999E-2</v>
      </c>
      <c r="AA132" s="197">
        <f t="shared" si="113"/>
        <v>23.286399999999997</v>
      </c>
      <c r="AB132" s="54" t="e">
        <f>VLOOKUP(A132,Enforcements!$C$7:$K$12,8,0)</f>
        <v>#N/A</v>
      </c>
      <c r="AC132" s="51" t="e">
        <f>VLOOKUP(A132,Enforcements!$C$7:$E$12,3,0)</f>
        <v>#N/A</v>
      </c>
      <c r="AD132" s="206">
        <f t="shared" si="114"/>
        <v>218</v>
      </c>
      <c r="AE132" s="77" t="str">
        <f t="shared" si="71"/>
        <v>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 &amp; aws s3 cp s3://rtdc.mdm.uploadarchive.raw/RTDC4057/ "%USERPROFILE%\AppData\Local\Temp\OnboardLogs"\RTDC4057\2017-08-12 --exclude "*" --recursive --include "*20170812*" &amp; "%USERPROFILE%\Documents\GitHub\mrs-test-scripts\Headless Mode &amp; Sideloading\WalkAndUnGZ.bat" "%USERPROFILE%\AppData\Local\Temp\OnboardLogs"\RTDC4057\2017-08-12</v>
      </c>
      <c r="AF132" s="74" t="str">
        <f t="shared" si="72"/>
        <v>"C:\Program Files (x86)\AstroGrep\AstroGrep.exe" /e /r /s /spath="%USERPROFILE%\AppData\Local\Temp\OnboardLogs" /stypes="app*4057*20170812*" /stext=" 01:.+((SYSTEM_STATE.+slice.+state.+changed )|(ment ac)|(multiple cpu faults)|(system.+state.+changed )|(\[timeout)|(PRM\|1\|D)|(kpr)|(kdp)|(train st.+moving)|(\|lc)|(penalty))"</v>
      </c>
      <c r="AG132" s="209" t="str">
        <f t="shared" si="115"/>
        <v>EC</v>
      </c>
      <c r="AH132" s="78" t="str">
        <f t="shared" si="75"/>
        <v>"%USERPROFILE%\Documents\GitHub\eaglep3\Utilities\RefineRTDCRunTimes.py" --tripid 218-11 --locoid 4057 --swversion DE.1.0.9.0 --startMP 204:232980 --initTime 2017-08-11T19:03:54 --startdatetime 2017-08-11T19:12:27 --delay 1 --endMP 204:116 --enddatetime 2017-08-11T19:50:05 --enforcementcount 0 &gt;&gt;C:\Users\stu\Documents\GitHub\eaglep3-reporting\EC\2017-08-11-refined-times.txt</v>
      </c>
      <c r="AI132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{"issue":{"subject":"","project_id":79,"tracker_id":40,"status_id":1,"priority_id":2,"assigned_to_id":23,"start_date":"2017-08-11","description":"","custom_fields":[{"id":1,"name":"Subdivision","value":"EC"},{"id":4,"name":"Milepost","value":"0.0116"},{"id":17,"name":"Train ID","value":"218-11"},{"id":16,"name":"Locomotive ID","value":"4057"},{"id":130,"name":"Impact","value":""},{"id":150,"name":"Time of Event (Mountain Time)","value":"19:50:05"},{"id":151,"name":"Denver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77"/>
        <v>start /low /b %USERPROFILE%\Documents\GitHub\eaglep3\Utilities\DownloadLogsFromS3.py --loco 4057 --day 2017-08-11</v>
      </c>
      <c r="AN132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01:50:05"},{"id":29,"name":"Sharepoint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824</v>
      </c>
      <c r="B133" s="7">
        <v>4020</v>
      </c>
      <c r="C133" s="21" t="s">
        <v>198</v>
      </c>
      <c r="D133" s="21" t="s">
        <v>434</v>
      </c>
      <c r="E133" s="13">
        <v>42958.767233796294</v>
      </c>
      <c r="F133" s="13">
        <v>42958.771493055552</v>
      </c>
      <c r="G133" s="7">
        <v>1</v>
      </c>
      <c r="H133" s="21" t="s">
        <v>470</v>
      </c>
      <c r="I133" s="13">
        <v>42958.796215277776</v>
      </c>
      <c r="J133" s="7">
        <v>0</v>
      </c>
      <c r="K133" s="89" t="str">
        <f t="shared" si="108"/>
        <v>4019/4020</v>
      </c>
      <c r="L133" s="21" t="str">
        <f>VLOOKUP(A133,'Trips&amp;Operators'!$C$1:$G$99999,5,FALSE)</f>
        <v>MILLER KEVIN</v>
      </c>
      <c r="M133" s="6">
        <f t="shared" si="109"/>
        <v>2.4722222224227153E-2</v>
      </c>
      <c r="N133" s="7">
        <f t="shared" si="110"/>
        <v>35.6000000028871</v>
      </c>
      <c r="O133" s="7"/>
      <c r="P133" s="7"/>
      <c r="Q133" s="22"/>
      <c r="R133" s="170"/>
      <c r="S133" s="213">
        <f t="shared" si="111"/>
        <v>1</v>
      </c>
      <c r="T133" s="195" t="str">
        <f t="shared" si="112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70"/>
        <v>https://d0f6bd738d7f1b3e5a7ca70fe4ff75f0.us-east-1.aws.found.io/app/kibana#/discover/Steve-Slow-Train-Analysis-(2080s-and-2083s)?_g=(refreshInterval:(display:Off,pause:!f,section:0,value:0),time:(from:'2017-08-11T17:24:49-0600',mode:absolute,to:'2017-08-11T20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3" s="197" t="str">
        <f>IF(AA133&lt;VLOOKUP(AG133,Variables!$AC$3:$AD$8,2,FALSE),"Y","N")</f>
        <v>N</v>
      </c>
      <c r="X133" s="197">
        <f t="shared" si="118"/>
        <v>1</v>
      </c>
      <c r="Y133" s="197">
        <f t="shared" si="117"/>
        <v>4.4900000000000002E-2</v>
      </c>
      <c r="Z133" s="197">
        <f t="shared" si="116"/>
        <v>23.3291</v>
      </c>
      <c r="AA133" s="197">
        <f t="shared" si="113"/>
        <v>23.284200000000002</v>
      </c>
      <c r="AB133" s="54" t="e">
        <f>VLOOKUP(A133,Enforcements!$C$7:$K$12,8,0)</f>
        <v>#N/A</v>
      </c>
      <c r="AC133" s="51" t="e">
        <f>VLOOKUP(A133,Enforcements!$C$7:$E$12,3,0)</f>
        <v>#N/A</v>
      </c>
      <c r="AD133" s="206">
        <f t="shared" si="114"/>
        <v>219</v>
      </c>
      <c r="AE133" s="77" t="str">
        <f t="shared" si="71"/>
        <v>aws s3 cp s3://rtdc.mdm.uploadarchive.raw/RTDC4020/ "%USERPROFILE%\AppData\Local\Temp\OnboardLogs"\RTDC4020\2017-08-11 --exclude "*" --recursive --include "*20170811*" &amp; "%USERPROFILE%\Documents\GitHub\mrs-test-scripts\Headless Mode &amp; Sideloading\WalkAndUnGZ.bat" "%USERPROFILE%\AppData\Local\Temp\OnboardLogs"\RTDC4020\2017-08-11 &amp; aws s3 cp s3://rtdc.mdm.uploadarchive.raw/RTDC4020/ "%USERPROFILE%\AppData\Local\Temp\OnboardLogs"\RTDC4020\2017-08-12 --exclude "*" --recursive --include "*20170812*" &amp; "%USERPROFILE%\Documents\GitHub\mrs-test-scripts\Headless Mode &amp; Sideloading\WalkAndUnGZ.bat" "%USERPROFILE%\AppData\Local\Temp\OnboardLogs"\RTDC4020\2017-08-12</v>
      </c>
      <c r="AF133" s="74" t="str">
        <f t="shared" si="72"/>
        <v>"C:\Program Files (x86)\AstroGrep\AstroGrep.exe" /e /r /s /spath="%USERPROFILE%\AppData\Local\Temp\OnboardLogs" /stypes="app*4020*20170812*" /stext=" 01:.+((SYSTEM_STATE.+slice.+state.+changed )|(ment ac)|(multiple cpu faults)|(system.+state.+changed )|(\[timeout)|(PRM\|1\|D)|(kpr)|(kdp)|(train st.+moving)|(\|lc)|(penalty))"</v>
      </c>
      <c r="AG133" s="209" t="str">
        <f t="shared" si="115"/>
        <v>EC</v>
      </c>
      <c r="AH133" s="78" t="str">
        <f t="shared" si="75"/>
        <v>"%USERPROFILE%\Documents\GitHub\eaglep3\Utilities\RefineRTDCRunTimes.py" --tripid 219-11 --locoid 4020 --swversion DE.1.0.9.0 --startMP 204:449 --initTime 2017-08-11T18:24:49 --startdatetime 2017-08-11T18:30:57 --delay 1 --endMP 204:233291 --enddatetime 2017-08-11T19:06:33 --enforcementcount 0 &gt;&gt;C:\Users\stu\Documents\GitHub\eaglep3-reporting\EC\2017-08-11-refined-times.txt</v>
      </c>
      <c r="AI133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{"issue":{"subject":"","project_id":79,"tracker_id":40,"status_id":1,"priority_id":2,"assigned_to_id":23,"start_date":"2017-08-11","description":"","custom_fields":[{"id":1,"name":"Subdivision","value":"EC"},{"id":4,"name":"Milepost","value":"23.3291"},{"id":17,"name":"Train ID","value":"219-11"},{"id":16,"name":"Locomotive ID","value":"4020"},{"id":130,"name":"Impact","value":""},{"id":150,"name":"Time of Event (Mountain Time)","value":"19:06:33"},{"id":151,"name":"Denver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77"/>
        <v>start /low /b %USERPROFILE%\Documents\GitHub\eaglep3\Utilities\DownloadLogsFromS3.py --loco 4020 --day 2017-08-11</v>
      </c>
      <c r="AN133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01:06:33"},{"id":29,"name":"Sharepoint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636</v>
      </c>
      <c r="B134" s="7">
        <v>4019</v>
      </c>
      <c r="C134" s="21" t="s">
        <v>198</v>
      </c>
      <c r="D134" s="21" t="s">
        <v>931</v>
      </c>
      <c r="E134" s="13">
        <v>42958.797569444447</v>
      </c>
      <c r="F134" s="13">
        <v>42958.810624999998</v>
      </c>
      <c r="G134" s="7">
        <v>1</v>
      </c>
      <c r="H134" s="21" t="s">
        <v>448</v>
      </c>
      <c r="I134" s="13">
        <v>42958.839143518519</v>
      </c>
      <c r="J134" s="7">
        <v>0</v>
      </c>
      <c r="K134" s="89" t="str">
        <f t="shared" si="108"/>
        <v>4019/4020</v>
      </c>
      <c r="L134" s="21" t="str">
        <f>VLOOKUP(A134,'Trips&amp;Operators'!$C$1:$G$99999,5,FALSE)</f>
        <v>MILLER KEVIN</v>
      </c>
      <c r="M134" s="6">
        <f t="shared" si="109"/>
        <v>2.8518518520286307E-2</v>
      </c>
      <c r="N134" s="7">
        <f t="shared" si="110"/>
        <v>41.066666669212282</v>
      </c>
      <c r="O134" s="7"/>
      <c r="P134" s="7"/>
      <c r="Q134" s="22"/>
      <c r="R134" s="170"/>
      <c r="S134" s="213">
        <f t="shared" si="111"/>
        <v>1</v>
      </c>
      <c r="T134" s="195" t="str">
        <f t="shared" si="112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70"/>
        <v>https://d0f6bd738d7f1b3e5a7ca70fe4ff75f0.us-east-1.aws.found.io/app/kibana#/discover/Steve-Slow-Train-Analysis-(2080s-and-2083s)?_g=(refreshInterval:(display:Off,pause:!f,section:0,value:0),time:(from:'2017-08-11T18:08:30-0600',mode:absolute,to:'2017-08-11T21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4" s="197" t="str">
        <f>IF(AA134&lt;VLOOKUP(AG134,Variables!$AC$3:$AD$8,2,FALSE),"Y","N")</f>
        <v>N</v>
      </c>
      <c r="X134" s="197">
        <f t="shared" si="118"/>
        <v>1</v>
      </c>
      <c r="Y134" s="197">
        <f t="shared" si="117"/>
        <v>23.297000000000001</v>
      </c>
      <c r="Z134" s="197">
        <f t="shared" si="116"/>
        <v>1.5599999999999999E-2</v>
      </c>
      <c r="AA134" s="197">
        <f t="shared" si="113"/>
        <v>23.281400000000001</v>
      </c>
      <c r="AB134" s="54" t="e">
        <f>VLOOKUP(A134,Enforcements!$C$7:$K$12,8,0)</f>
        <v>#N/A</v>
      </c>
      <c r="AC134" s="51" t="e">
        <f>VLOOKUP(A134,Enforcements!$C$7:$E$12,3,0)</f>
        <v>#N/A</v>
      </c>
      <c r="AD134" s="206">
        <f t="shared" si="114"/>
        <v>220</v>
      </c>
      <c r="AE134" s="77" t="str">
        <f t="shared" si="71"/>
        <v>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 &amp; aws s3 cp s3://rtdc.mdm.uploadarchive.raw/RTDC4019/ "%USERPROFILE%\AppData\Local\Temp\OnboardLogs"\RTDC4019\2017-08-12 --exclude "*" --recursive --include "*20170812*" &amp; "%USERPROFILE%\Documents\GitHub\mrs-test-scripts\Headless Mode &amp; Sideloading\WalkAndUnGZ.bat" "%USERPROFILE%\AppData\Local\Temp\OnboardLogs"\RTDC4019\2017-08-12</v>
      </c>
      <c r="AF134" s="74" t="str">
        <f t="shared" si="72"/>
        <v>"C:\Program Files (x86)\AstroGrep\AstroGrep.exe" /e /r /s /spath="%USERPROFILE%\AppData\Local\Temp\OnboardLogs" /stypes="app*4019*20170812*" /stext=" 02:.+((SYSTEM_STATE.+slice.+state.+changed )|(ment ac)|(multiple cpu faults)|(system.+state.+changed )|(\[timeout)|(PRM\|1\|D)|(kpr)|(kdp)|(train st.+moving)|(\|lc)|(penalty))"</v>
      </c>
      <c r="AG134" s="209" t="str">
        <f t="shared" si="115"/>
        <v>EC</v>
      </c>
      <c r="AH134" s="78" t="str">
        <f t="shared" si="75"/>
        <v>"%USERPROFILE%\Documents\GitHub\eaglep3\Utilities\RefineRTDCRunTimes.py" --tripid 220-11 --locoid 4019 --swversion DE.1.0.9.0 --startMP 204:232970 --initTime 2017-08-11T19:08:30 --startdatetime 2017-08-11T19:27:18 --delay 1 --endMP 204:156 --enddatetime 2017-08-11T20:08:22 --enforcementcount 0 &gt;&gt;C:\Users\stu\Documents\GitHub\eaglep3-reporting\EC\2017-08-11-refined-times.txt</v>
      </c>
      <c r="AI134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{"issue":{"subject":"","project_id":79,"tracker_id":40,"status_id":1,"priority_id":2,"assigned_to_id":23,"start_date":"2017-08-11","description":"","custom_fields":[{"id":1,"name":"Subdivision","value":"EC"},{"id":4,"name":"Milepost","value":"0.0156"},{"id":17,"name":"Train ID","value":"220-11"},{"id":16,"name":"Locomotive ID","value":"4019"},{"id":130,"name":"Impact","value":""},{"id":150,"name":"Time of Event (Mountain Time)","value":"20:08:22"},{"id":151,"name":"Denver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77"/>
        <v>start /low /b %USERPROFILE%\Documents\GitHub\eaglep3\Utilities\DownloadLogsFromS3.py --loco 4019 --day 2017-08-11</v>
      </c>
      <c r="AN134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02:08:22"},{"id":29,"name":"Sharepoint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638</v>
      </c>
      <c r="B135" s="7">
        <v>4040</v>
      </c>
      <c r="C135" s="21" t="s">
        <v>198</v>
      </c>
      <c r="D135" s="21" t="s">
        <v>565</v>
      </c>
      <c r="E135" s="13">
        <v>42958.787303240744</v>
      </c>
      <c r="F135" s="13">
        <v>42958.792430555557</v>
      </c>
      <c r="G135" s="7">
        <v>1</v>
      </c>
      <c r="H135" s="21" t="s">
        <v>926</v>
      </c>
      <c r="I135" s="13">
        <v>42958.817800925928</v>
      </c>
      <c r="J135" s="7">
        <v>0</v>
      </c>
      <c r="K135" s="89" t="str">
        <f t="shared" si="108"/>
        <v>4039/4040</v>
      </c>
      <c r="L135" s="21" t="str">
        <f>VLOOKUP(A135,'Trips&amp;Operators'!$C$1:$G$99999,5,FALSE)</f>
        <v>LAMAR NEKESHA</v>
      </c>
      <c r="M135" s="6">
        <f t="shared" si="109"/>
        <v>2.5370370371092577E-2</v>
      </c>
      <c r="N135" s="7">
        <f t="shared" si="110"/>
        <v>36.53333333437331</v>
      </c>
      <c r="O135" s="7"/>
      <c r="P135" s="7"/>
      <c r="Q135" s="22"/>
      <c r="R135" s="170"/>
      <c r="S135" s="213">
        <f t="shared" si="111"/>
        <v>1</v>
      </c>
      <c r="T135" s="195" t="str">
        <f t="shared" si="112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70"/>
        <v>https://d0f6bd738d7f1b3e5a7ca70fe4ff75f0.us-east-1.aws.found.io/app/kibana#/discover/Steve-Slow-Train-Analysis-(2080s-and-2083s)?_g=(refreshInterval:(display:Off,pause:!f,section:0,value:0),time:(from:'2017-08-11T17:53:43-0600',mode:absolute,to:'2017-08-11T20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5" s="197" t="str">
        <f>IF(AA135&lt;VLOOKUP(AG135,Variables!$AC$3:$AD$8,2,FALSE),"Y","N")</f>
        <v>N</v>
      </c>
      <c r="X135" s="197">
        <f t="shared" si="118"/>
        <v>1</v>
      </c>
      <c r="Y135" s="197">
        <f t="shared" si="117"/>
        <v>4.7500000000000001E-2</v>
      </c>
      <c r="Z135" s="197">
        <f t="shared" si="116"/>
        <v>23.333600000000001</v>
      </c>
      <c r="AA135" s="197">
        <f t="shared" si="113"/>
        <v>23.286100000000001</v>
      </c>
      <c r="AB135" s="54" t="e">
        <f>VLOOKUP(A135,Enforcements!$C$7:$K$12,8,0)</f>
        <v>#N/A</v>
      </c>
      <c r="AC135" s="51" t="e">
        <f>VLOOKUP(A135,Enforcements!$C$7:$E$12,3,0)</f>
        <v>#N/A</v>
      </c>
      <c r="AD135" s="206">
        <f t="shared" si="114"/>
        <v>221</v>
      </c>
      <c r="AE135" s="77" t="str">
        <f t="shared" si="71"/>
        <v>aws s3 cp s3://rtdc.mdm.uploadarchive.raw/RTDC4040/ "%USERPROFILE%\AppData\Local\Temp\OnboardLogs"\RTDC4040\2017-08-11 --exclude "*" --recursive --include "*20170811*" &amp; "%USERPROFILE%\Documents\GitHub\mrs-test-scripts\Headless Mode &amp; Sideloading\WalkAndUnGZ.bat" "%USERPROFILE%\AppData\Local\Temp\OnboardLogs"\RTDC4040\2017-08-11 &amp; aws s3 cp s3://rtdc.mdm.uploadarchive.raw/RTDC4040/ "%USERPROFILE%\AppData\Local\Temp\OnboardLogs"\RTDC4040\2017-08-12 --exclude "*" --recursive --include "*20170812*" &amp; "%USERPROFILE%\Documents\GitHub\mrs-test-scripts\Headless Mode &amp; Sideloading\WalkAndUnGZ.bat" "%USERPROFILE%\AppData\Local\Temp\OnboardLogs"\RTDC4040\2017-08-12</v>
      </c>
      <c r="AF135" s="74" t="str">
        <f t="shared" si="72"/>
        <v>"C:\Program Files (x86)\AstroGrep\AstroGrep.exe" /e /r /s /spath="%USERPROFILE%\AppData\Local\Temp\OnboardLogs" /stypes="app*4040*20170812*" /stext=" 01:.+((SYSTEM_STATE.+slice.+state.+changed )|(ment ac)|(multiple cpu faults)|(system.+state.+changed )|(\[timeout)|(PRM\|1\|D)|(kpr)|(kdp)|(train st.+moving)|(\|lc)|(penalty))"</v>
      </c>
      <c r="AG135" s="209" t="str">
        <f t="shared" si="115"/>
        <v>EC</v>
      </c>
      <c r="AH135" s="78" t="str">
        <f t="shared" si="75"/>
        <v>"%USERPROFILE%\Documents\GitHub\eaglep3\Utilities\RefineRTDCRunTimes.py" --tripid 221-11 --locoid 4040 --swversion DE.1.0.9.0 --startMP 204:475 --initTime 2017-08-11T18:53:43 --startdatetime 2017-08-11T19:01:06 --delay 1 --endMP 204:233336 --enddatetime 2017-08-11T19:37:38 --enforcementcount 0 &gt;&gt;C:\Users\stu\Documents\GitHub\eaglep3-reporting\EC\2017-08-11-refined-times.txt</v>
      </c>
      <c r="AI135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{"issue":{"subject":"","project_id":79,"tracker_id":40,"status_id":1,"priority_id":2,"assigned_to_id":23,"start_date":"2017-08-11","description":"","custom_fields":[{"id":1,"name":"Subdivision","value":"EC"},{"id":4,"name":"Milepost","value":"23.3336"},{"id":17,"name":"Train ID","value":"221-11"},{"id":16,"name":"Locomotive ID","value":"4040"},{"id":130,"name":"Impact","value":""},{"id":150,"name":"Time of Event (Mountain Time)","value":"19:37:38"},{"id":151,"name":"Denver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77"/>
        <v>start /low /b %USERPROFILE%\Documents\GitHub\eaglep3\Utilities\DownloadLogsFromS3.py --loco 4040 --day 2017-08-11</v>
      </c>
      <c r="AN135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01:37:38"},{"id":29,"name":"Sharepoint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836</v>
      </c>
      <c r="B136" s="7">
        <v>4039</v>
      </c>
      <c r="C136" s="21" t="s">
        <v>198</v>
      </c>
      <c r="D136" s="21" t="s">
        <v>568</v>
      </c>
      <c r="E136" s="13">
        <v>42958.82675925926</v>
      </c>
      <c r="F136" s="13">
        <v>42958.831724537034</v>
      </c>
      <c r="G136" s="7">
        <v>1</v>
      </c>
      <c r="H136" s="21" t="s">
        <v>341</v>
      </c>
      <c r="I136" s="13">
        <v>42958.858796296299</v>
      </c>
      <c r="J136" s="7">
        <v>0</v>
      </c>
      <c r="K136" s="89" t="str">
        <f t="shared" si="108"/>
        <v>4039/4040</v>
      </c>
      <c r="L136" s="21" t="str">
        <f>VLOOKUP(A136,'Trips&amp;Operators'!$C$1:$G$99999,5,FALSE)</f>
        <v>LAMAR NEKESHA</v>
      </c>
      <c r="M136" s="6">
        <f t="shared" si="109"/>
        <v>2.7071759264799766E-2</v>
      </c>
      <c r="N136" s="7">
        <f t="shared" si="110"/>
        <v>38.983333341311663</v>
      </c>
      <c r="O136" s="7"/>
      <c r="P136" s="7"/>
      <c r="Q136" s="22"/>
      <c r="R136" s="170"/>
      <c r="S136" s="213">
        <f t="shared" si="111"/>
        <v>1</v>
      </c>
      <c r="T136" s="195" t="str">
        <f t="shared" si="112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70"/>
        <v>https://d0f6bd738d7f1b3e5a7ca70fe4ff75f0.us-east-1.aws.found.io/app/kibana#/discover/Steve-Slow-Train-Analysis-(2080s-and-2083s)?_g=(refreshInterval:(display:Off,pause:!f,section:0,value:0),time:(from:'2017-08-11T18:50:32-0600',mode:absolute,to:'2017-08-11T21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6" s="197" t="str">
        <f>IF(AA136&lt;VLOOKUP(AG136,Variables!$AC$3:$AD$8,2,FALSE),"Y","N")</f>
        <v>N</v>
      </c>
      <c r="X136" s="197">
        <f t="shared" si="118"/>
        <v>1</v>
      </c>
      <c r="Y136" s="197">
        <f t="shared" si="117"/>
        <v>23.299399999999999</v>
      </c>
      <c r="Z136" s="197">
        <f t="shared" si="116"/>
        <v>1.4999999999999999E-2</v>
      </c>
      <c r="AA136" s="197">
        <f t="shared" si="113"/>
        <v>23.284399999999998</v>
      </c>
      <c r="AB136" s="54" t="e">
        <f>VLOOKUP(A136,Enforcements!$C$7:$K$12,8,0)</f>
        <v>#N/A</v>
      </c>
      <c r="AC136" s="51" t="e">
        <f>VLOOKUP(A136,Enforcements!$C$7:$E$12,3,0)</f>
        <v>#N/A</v>
      </c>
      <c r="AD136" s="206">
        <f t="shared" si="114"/>
        <v>222</v>
      </c>
      <c r="AE136" s="77" t="str">
        <f t="shared" si="71"/>
        <v>aws s3 cp s3://rtdc.mdm.uploadarchive.raw/RTDC4039/ "%USERPROFILE%\AppData\Local\Temp\OnboardLogs"\RTDC4039\2017-08-11 --exclude "*" --recursive --include "*20170811*" &amp; "%USERPROFILE%\Documents\GitHub\mrs-test-scripts\Headless Mode &amp; Sideloading\WalkAndUnGZ.bat" "%USERPROFILE%\AppData\Local\Temp\OnboardLogs"\RTDC4039\2017-08-11 &amp; aws s3 cp s3://rtdc.mdm.uploadarchive.raw/RTDC4039/ "%USERPROFILE%\AppData\Local\Temp\OnboardLogs"\RTDC4039\2017-08-12 --exclude "*" --recursive --include "*20170812*" &amp; "%USERPROFILE%\Documents\GitHub\mrs-test-scripts\Headless Mode &amp; Sideloading\WalkAndUnGZ.bat" "%USERPROFILE%\AppData\Local\Temp\OnboardLogs"\RTDC4039\2017-08-12</v>
      </c>
      <c r="AF136" s="74" t="str">
        <f t="shared" si="72"/>
        <v>"C:\Program Files (x86)\AstroGrep\AstroGrep.exe" /e /r /s /spath="%USERPROFILE%\AppData\Local\Temp\OnboardLogs" /stypes="app*4039*20170812*" /stext=" 02:.+((SYSTEM_STATE.+slice.+state.+changed )|(ment ac)|(multiple cpu faults)|(system.+state.+changed )|(\[timeout)|(PRM\|1\|D)|(kpr)|(kdp)|(train st.+moving)|(\|lc)|(penalty))"</v>
      </c>
      <c r="AG136" s="209" t="str">
        <f t="shared" si="115"/>
        <v>EC</v>
      </c>
      <c r="AH136" s="78" t="str">
        <f t="shared" si="75"/>
        <v>"%USERPROFILE%\Documents\GitHub\eaglep3\Utilities\RefineRTDCRunTimes.py" --tripid 222-11 --locoid 4039 --swversion DE.1.0.9.0 --startMP 204:232994 --initTime 2017-08-11T19:50:32 --startdatetime 2017-08-11T19:57:41 --delay 1 --endMP 204:150 --enddatetime 2017-08-11T20:36:40 --enforcementcount 0 &gt;&gt;C:\Users\stu\Documents\GitHub\eaglep3-reporting\EC\2017-08-11-refined-times.txt</v>
      </c>
      <c r="AI136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{"issue":{"subject":"","project_id":79,"tracker_id":40,"status_id":1,"priority_id":2,"assigned_to_id":23,"start_date":"2017-08-11","description":"","custom_fields":[{"id":1,"name":"Subdivision","value":"EC"},{"id":4,"name":"Milepost","value":"0.015"},{"id":17,"name":"Train ID","value":"222-11"},{"id":16,"name":"Locomotive ID","value":"4039"},{"id":130,"name":"Impact","value":""},{"id":150,"name":"Time of Event (Mountain Time)","value":"20:36:40"},{"id":151,"name":"Denver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77"/>
        <v>start /low /b %USERPROFILE%\Documents\GitHub\eaglep3\Utilities\DownloadLogsFromS3.py --loco 4039 --day 2017-08-11</v>
      </c>
      <c r="AN136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02:36:40"},{"id":29,"name":"Sharepoint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637</v>
      </c>
      <c r="B137" s="7">
        <v>4012</v>
      </c>
      <c r="C137" s="21" t="s">
        <v>198</v>
      </c>
      <c r="D137" s="21" t="s">
        <v>932</v>
      </c>
      <c r="E137" s="13">
        <v>42958.816481481481</v>
      </c>
      <c r="F137" s="13">
        <v>42958.817499999997</v>
      </c>
      <c r="G137" s="7">
        <v>0</v>
      </c>
      <c r="H137" s="21" t="s">
        <v>535</v>
      </c>
      <c r="I137" s="13">
        <v>42958.839004629626</v>
      </c>
      <c r="J137" s="7">
        <v>0</v>
      </c>
      <c r="K137" s="89" t="str">
        <f t="shared" si="108"/>
        <v>4011/4012</v>
      </c>
      <c r="L137" s="21" t="str">
        <f>VLOOKUP(A137,'Trips&amp;Operators'!$C$1:$G$99999,5,FALSE)</f>
        <v>HELVIE ADAM</v>
      </c>
      <c r="M137" s="6">
        <f t="shared" si="109"/>
        <v>2.1504629628907423E-2</v>
      </c>
      <c r="N137" s="7"/>
      <c r="O137" s="7"/>
      <c r="P137" s="7">
        <f>24*60*SUM($M137:$M137)</f>
        <v>30.96666666562669</v>
      </c>
      <c r="Q137" s="22"/>
      <c r="R137" s="170" t="s">
        <v>1108</v>
      </c>
      <c r="S137" s="213">
        <f t="shared" si="111"/>
        <v>1</v>
      </c>
      <c r="T137" s="195" t="str">
        <f t="shared" si="112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70"/>
        <v>https://d0f6bd738d7f1b3e5a7ca70fe4ff75f0.us-east-1.aws.found.io/app/kibana#/discover/Steve-Slow-Train-Analysis-(2080s-and-2083s)?_g=(refreshInterval:(display:Off,pause:!f,section:0,value:0),time:(from:'2017-08-11T18:35:44-0600',mode:absolute,to:'2017-08-11T21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7" s="197" t="str">
        <f>IF(AA137&lt;VLOOKUP(AG137,Variables!$AC$3:$AD$8,2,FALSE),"Y","N")</f>
        <v>Y</v>
      </c>
      <c r="X137" s="197">
        <f t="shared" si="118"/>
        <v>1</v>
      </c>
      <c r="Y137" s="197">
        <f t="shared" si="117"/>
        <v>1.9123000000000001</v>
      </c>
      <c r="Z137" s="197">
        <f t="shared" si="116"/>
        <v>23.3293</v>
      </c>
      <c r="AA137" s="197">
        <f t="shared" si="113"/>
        <v>21.417000000000002</v>
      </c>
      <c r="AB137" s="54" t="e">
        <f>VLOOKUP(A137,Enforcements!$C$7:$K$12,8,0)</f>
        <v>#N/A</v>
      </c>
      <c r="AC137" s="51" t="e">
        <f>VLOOKUP(A137,Enforcements!$C$7:$E$12,3,0)</f>
        <v>#N/A</v>
      </c>
      <c r="AD137" s="206">
        <f t="shared" si="114"/>
        <v>223</v>
      </c>
      <c r="AE137" s="77" t="str">
        <f t="shared" si="71"/>
        <v>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 &amp; aws s3 cp s3://rtdc.mdm.uploadarchive.raw/RTDC4012/ "%USERPROFILE%\AppData\Local\Temp\OnboardLogs"\RTDC4012\2017-08-12 --exclude "*" --recursive --include "*20170812*" &amp; "%USERPROFILE%\Documents\GitHub\mrs-test-scripts\Headless Mode &amp; Sideloading\WalkAndUnGZ.bat" "%USERPROFILE%\AppData\Local\Temp\OnboardLogs"\RTDC4012\2017-08-12</v>
      </c>
      <c r="AF137" s="74" t="str">
        <f t="shared" si="72"/>
        <v>"C:\Program Files (x86)\AstroGrep\AstroGrep.exe" /e /r /s /spath="%USERPROFILE%\AppData\Local\Temp\OnboardLogs" /stypes="app*4012*20170812*" /stext=" 02:.+((SYSTEM_STATE.+slice.+state.+changed )|(ment ac)|(multiple cpu faults)|(system.+state.+changed )|(\[timeout)|(PRM\|1\|D)|(kpr)|(kdp)|(train st.+moving)|(\|lc)|(penalty))"</v>
      </c>
      <c r="AG137" s="209" t="str">
        <f t="shared" si="115"/>
        <v>EC</v>
      </c>
      <c r="AH137" s="78" t="str">
        <f t="shared" si="75"/>
        <v>"%USERPROFILE%\Documents\GitHub\eaglep3\Utilities\RefineRTDCRunTimes.py" --tripid 223-11 --locoid 4012 --swversion DE.1.0.9.0 --startMP 204:19123 --initTime 2017-08-11T19:35:44 --startdatetime 2017-08-11T19:37:12 --delay 0 --endMP 204:233293 --enddatetime 2017-08-11T20:08:10 --enforcementcount 0 &gt;&gt;C:\Users\stu\Documents\GitHub\eaglep3-reporting\EC\2017-08-11-refined-times.txt</v>
      </c>
      <c r="AI137" s="96" t="str">
        <f t="shared" si="76"/>
        <v>echo {"issue":{"subject":"Reverser handle not in forward","project_id":79,"tracker_id":40,"status_id":1,"priority_id":2,"assigned_to_id":23,"start_date":"2017-08-11","description":"","custom_fields":[{"id":1,"name":"Subdivision","value":"EC"},{"id":4,"name":"Milepost","value":"23.3293"},{"id":17,"name":"Train ID","value":"223-11"},{"id":16,"name":"Locomotive ID","value":"4012"},{"id":130,"name":"Impact","value":""},{"id":150,"name":"Time of Event (Mountain Time)","value":"20:08:10"},{"id":151,"name":"Denver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77"/>
        <v>start /low /b %USERPROFILE%\Documents\GitHub\eaglep3\Utilities\DownloadLogsFromS3.py --loco 4012 --day 2017-08-11</v>
      </c>
      <c r="AN137" s="151" t="str">
        <f t="shared" si="78"/>
        <v>echo {"issue":{"subject":"Reverser handle not in forward","project_id":30,"tracker_id":4,"status_id":1,"priority_id":1,"assigned_to_id":10,"start_date":"2017-08-12","description":"","custom_fields":[{"id":30,"name":"Category","value":"Issue"},{"id":3,"name":"Functional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02:08:10"},{"id":29,"name":"Sharepoint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637</v>
      </c>
      <c r="B138" s="7">
        <v>4012</v>
      </c>
      <c r="C138" s="21" t="s">
        <v>198</v>
      </c>
      <c r="D138" s="21" t="s">
        <v>522</v>
      </c>
      <c r="E138" s="13">
        <v>42958.81013888889</v>
      </c>
      <c r="F138" s="13">
        <v>42958.817499999997</v>
      </c>
      <c r="G138" s="7">
        <v>1</v>
      </c>
      <c r="H138" s="21" t="s">
        <v>573</v>
      </c>
      <c r="I138" s="13">
        <v>42958.839004629626</v>
      </c>
      <c r="J138" s="7">
        <v>0</v>
      </c>
      <c r="K138" s="89" t="str">
        <f t="shared" si="108"/>
        <v>4011/4012</v>
      </c>
      <c r="L138" s="21" t="str">
        <f>VLOOKUP(A138,'Trips&amp;Operators'!$C$1:$G$99999,5,FALSE)</f>
        <v>HELVIE ADAM</v>
      </c>
      <c r="M138" s="6">
        <f t="shared" si="109"/>
        <v>2.1504629628907423E-2</v>
      </c>
      <c r="N138" s="7"/>
      <c r="O138" s="7"/>
      <c r="P138" s="7"/>
      <c r="Q138" s="22"/>
      <c r="R138" s="170"/>
      <c r="S138" s="213"/>
      <c r="T138" s="195" t="str">
        <f t="shared" si="112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0</v>
      </c>
      <c r="V138" s="196" t="str">
        <f t="shared" si="70"/>
        <v>https://d0f6bd738d7f1b3e5a7ca70fe4ff75f0.us-east-1.aws.found.io/app/kibana#/discover/Steve-Slow-Train-Analysis-(2080s-and-2083s)?_g=(refreshInterval:(display:Off,pause:!f,section:0,value:0),time:(from:'2017-08-11T18:26:36-0600',mode:absolute,to:'2017-08-11T21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8" s="197" t="str">
        <f>IF(AA138&lt;VLOOKUP(AG138,Variables!$AC$3:$AD$8,2,FALSE),"Y","N")</f>
        <v>Y</v>
      </c>
      <c r="X138" s="197">
        <f t="shared" si="118"/>
        <v>0</v>
      </c>
      <c r="Y138" s="197">
        <f t="shared" si="117"/>
        <v>4.4400000000000002E-2</v>
      </c>
      <c r="Z138" s="197">
        <f t="shared" si="116"/>
        <v>5.8000000000000003E-2</v>
      </c>
      <c r="AA138" s="197">
        <f t="shared" si="113"/>
        <v>1.3600000000000001E-2</v>
      </c>
      <c r="AB138" s="54" t="e">
        <f>VLOOKUP(A138,Enforcements!$C$7:$K$12,8,0)</f>
        <v>#N/A</v>
      </c>
      <c r="AC138" s="51" t="e">
        <f>VLOOKUP(A138,Enforcements!$C$7:$E$12,3,0)</f>
        <v>#N/A</v>
      </c>
      <c r="AD138" s="206">
        <f t="shared" si="114"/>
        <v>223</v>
      </c>
      <c r="AE138" s="77" t="str">
        <f t="shared" si="71"/>
        <v>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 &amp; aws s3 cp s3://rtdc.mdm.uploadarchive.raw/RTDC4012/ "%USERPROFILE%\AppData\Local\Temp\OnboardLogs"\RTDC4012\2017-08-12 --exclude "*" --recursive --include "*20170812*" &amp; "%USERPROFILE%\Documents\GitHub\mrs-test-scripts\Headless Mode &amp; Sideloading\WalkAndUnGZ.bat" "%USERPROFILE%\AppData\Local\Temp\OnboardLogs"\RTDC4012\2017-08-12</v>
      </c>
      <c r="AF138" s="74" t="str">
        <f t="shared" si="72"/>
        <v>"C:\Program Files (x86)\AstroGrep\AstroGrep.exe" /e /r /s /spath="%USERPROFILE%\AppData\Local\Temp\OnboardLogs" /stypes="app*4012*20170812*" /stext=" 02:.+((SYSTEM_STATE.+slice.+state.+changed )|(ment ac)|(multiple cpu faults)|(system.+state.+changed )|(\[timeout)|(PRM\|1\|D)|(kpr)|(kdp)|(train st.+moving)|(\|lc)|(penalty))"</v>
      </c>
      <c r="AG138" s="209" t="str">
        <f t="shared" si="115"/>
        <v>EC</v>
      </c>
      <c r="AH138" s="78" t="str">
        <f t="shared" si="75"/>
        <v>"%USERPROFILE%\Documents\GitHub\eaglep3\Utilities\RefineRTDCRunTimes.py" --tripid 223-11 --locoid 4012 --swversion DE.1.0.9.0 --startMP 204:444 --initTime 2017-08-11T19:26:36 --startdatetime 2017-08-11T19:37:12 --delay 1 --endMP 204:580 --enddatetime 2017-08-11T20:08:10 --enforcementcount 0 &gt;&gt;C:\Users\stu\Documents\GitHub\eaglep3-reporting\EC\2017-08-11-refined-times.txt</v>
      </c>
      <c r="AI138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{"issue":{"subject":"","project_id":79,"tracker_id":40,"status_id":1,"priority_id":2,"assigned_to_id":23,"start_date":"2017-08-11","description":"","custom_fields":[{"id":1,"name":"Subdivision","value":"EC"},{"id":4,"name":"Milepost","value":"0.058"},{"id":17,"name":"Train ID","value":"223-11"},{"id":16,"name":"Locomotive ID","value":"4012"},{"id":130,"name":"Impact","value":""},{"id":150,"name":"Time of Event (Mountain Time)","value":"20:08:10"},{"id":151,"name":"Denver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77"/>
        <v>start /low /b %USERPROFILE%\Documents\GitHub\eaglep3\Utilities\DownloadLogsFromS3.py --loco 4012 --day 2017-08-11</v>
      </c>
      <c r="AN138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02:08:10"},{"id":29,"name":"Sharepoint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840</v>
      </c>
      <c r="B139" s="7">
        <v>4011</v>
      </c>
      <c r="C139" s="21" t="s">
        <v>198</v>
      </c>
      <c r="D139" s="21" t="s">
        <v>580</v>
      </c>
      <c r="E139" s="13">
        <v>42958.849629629629</v>
      </c>
      <c r="F139" s="13">
        <v>42958.852488425924</v>
      </c>
      <c r="G139" s="7">
        <v>1</v>
      </c>
      <c r="H139" s="21" t="s">
        <v>343</v>
      </c>
      <c r="I139" s="13">
        <v>42958.878148148149</v>
      </c>
      <c r="J139" s="7">
        <v>0</v>
      </c>
      <c r="K139" s="89" t="str">
        <f t="shared" si="108"/>
        <v>4011/4012</v>
      </c>
      <c r="L139" s="21" t="str">
        <f>VLOOKUP(A139,'Trips&amp;Operators'!$C$1:$G$99999,5,FALSE)</f>
        <v>HELVIE ADAM</v>
      </c>
      <c r="M139" s="6">
        <f t="shared" si="109"/>
        <v>2.5659722225100268E-2</v>
      </c>
      <c r="N139" s="7">
        <f t="shared" ref="N139:N170" si="119">24*60*SUM($M139:$M139)</f>
        <v>36.950000004144385</v>
      </c>
      <c r="O139" s="7"/>
      <c r="P139" s="7"/>
      <c r="Q139" s="22"/>
      <c r="R139" s="170"/>
      <c r="S139" s="213">
        <f t="shared" ref="S139:S170" si="120">1/IF(AG139="EC",12,1)*SUM(U139:U139)</f>
        <v>1</v>
      </c>
      <c r="T139" s="195" t="str">
        <f t="shared" si="112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70"/>
        <v>https://d0f6bd738d7f1b3e5a7ca70fe4ff75f0.us-east-1.aws.found.io/app/kibana#/discover/Steve-Slow-Train-Analysis-(2080s-and-2083s)?_g=(refreshInterval:(display:Off,pause:!f,section:0,value:0),time:(from:'2017-08-11T19:23:28-0600',mode:absolute,to:'2017-08-11T22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9" s="197" t="str">
        <f>IF(AA139&lt;VLOOKUP(AG139,Variables!$AC$3:$AD$8,2,FALSE),"Y","N")</f>
        <v>N</v>
      </c>
      <c r="X139" s="197">
        <f t="shared" si="118"/>
        <v>1</v>
      </c>
      <c r="Y139" s="197">
        <f t="shared" si="117"/>
        <v>23.296700000000001</v>
      </c>
      <c r="Z139" s="197">
        <f t="shared" si="116"/>
        <v>1.43E-2</v>
      </c>
      <c r="AA139" s="197">
        <f t="shared" si="113"/>
        <v>23.282400000000003</v>
      </c>
      <c r="AB139" s="54" t="e">
        <f>VLOOKUP(A139,Enforcements!$C$7:$K$12,8,0)</f>
        <v>#N/A</v>
      </c>
      <c r="AC139" s="51" t="e">
        <f>VLOOKUP(A139,Enforcements!$C$7:$E$12,3,0)</f>
        <v>#N/A</v>
      </c>
      <c r="AD139" s="206">
        <f t="shared" si="114"/>
        <v>224</v>
      </c>
      <c r="AE139" s="77" t="str">
        <f t="shared" si="71"/>
        <v>aws s3 cp s3://rtdc.mdm.uploadarchive.raw/RTDC4011/ "%USERPROFILE%\AppData\Local\Temp\OnboardLogs"\RTDC4011\2017-08-11 --exclude "*" --recursive --include "*20170811*" &amp; "%USERPROFILE%\Documents\GitHub\mrs-test-scripts\Headless Mode &amp; Sideloading\WalkAndUnGZ.bat" "%USERPROFILE%\AppData\Local\Temp\OnboardLogs"\RTDC4011\2017-08-11 &amp; aws s3 cp s3://rtdc.mdm.uploadarchive.raw/RTDC4011/ "%USERPROFILE%\AppData\Local\Temp\OnboardLogs"\RTDC4011\2017-08-12 --exclude "*" --recursive --include "*20170812*" &amp; "%USERPROFILE%\Documents\GitHub\mrs-test-scripts\Headless Mode &amp; Sideloading\WalkAndUnGZ.bat" "%USERPROFILE%\AppData\Local\Temp\OnboardLogs"\RTDC4011\2017-08-12</v>
      </c>
      <c r="AF139" s="74" t="str">
        <f t="shared" si="72"/>
        <v>"C:\Program Files (x86)\AstroGrep\AstroGrep.exe" /e /r /s /spath="%USERPROFILE%\AppData\Local\Temp\OnboardLogs" /stypes="app*4011*20170812*" /stext=" 03:.+((SYSTEM_STATE.+slice.+state.+changed )|(ment ac)|(multiple cpu faults)|(system.+state.+changed )|(\[timeout)|(PRM\|1\|D)|(kpr)|(kdp)|(train st.+moving)|(\|lc)|(penalty))"</v>
      </c>
      <c r="AG139" s="209" t="str">
        <f t="shared" si="115"/>
        <v>EC</v>
      </c>
      <c r="AH139" s="78" t="str">
        <f t="shared" si="75"/>
        <v>"%USERPROFILE%\Documents\GitHub\eaglep3\Utilities\RefineRTDCRunTimes.py" --tripid 224-11 --locoid 4011 --swversion DE.1.0.9.0 --startMP 204:232967 --initTime 2017-08-11T20:23:28 --startdatetime 2017-08-11T20:27:35 --delay 1 --endMP 204:143 --enddatetime 2017-08-11T21:04:32 --enforcementcount 0 &gt;&gt;C:\Users\stu\Documents\GitHub\eaglep3-reporting\EC\2017-08-11-refined-times.txt</v>
      </c>
      <c r="AI139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{"issue":{"subject":"","project_id":79,"tracker_id":40,"status_id":1,"priority_id":2,"assigned_to_id":23,"start_date":"2017-08-11","description":"","custom_fields":[{"id":1,"name":"Subdivision","value":"EC"},{"id":4,"name":"Milepost","value":"0.0143"},{"id":17,"name":"Train ID","value":"224-11"},{"id":16,"name":"Locomotive ID","value":"4011"},{"id":130,"name":"Impact","value":""},{"id":150,"name":"Time of Event (Mountain Time)","value":"21:04:32"},{"id":151,"name":"Denver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77"/>
        <v>start /low /b %USERPROFILE%\Documents\GitHub\eaglep3\Utilities\DownloadLogsFromS3.py --loco 4011 --day 2017-08-11</v>
      </c>
      <c r="AN139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03:04:32"},{"id":29,"name":"Sharepoint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837</v>
      </c>
      <c r="B140" s="7">
        <v>4058</v>
      </c>
      <c r="C140" s="21" t="s">
        <v>198</v>
      </c>
      <c r="D140" s="21" t="s">
        <v>532</v>
      </c>
      <c r="E140" s="13">
        <v>42958.828136574077</v>
      </c>
      <c r="F140" s="13">
        <v>42958.833854166667</v>
      </c>
      <c r="G140" s="7">
        <v>1</v>
      </c>
      <c r="H140" s="21" t="s">
        <v>569</v>
      </c>
      <c r="I140" s="13">
        <v>42958.859155092592</v>
      </c>
      <c r="J140" s="7">
        <v>0</v>
      </c>
      <c r="K140" s="89" t="str">
        <f t="shared" si="108"/>
        <v>4057/4058</v>
      </c>
      <c r="L140" s="21" t="str">
        <f>VLOOKUP(A140,'Trips&amp;Operators'!$C$1:$G$99999,5,FALSE)</f>
        <v>PERKINS DARREN</v>
      </c>
      <c r="M140" s="6">
        <f t="shared" si="109"/>
        <v>2.5300925924966577E-2</v>
      </c>
      <c r="N140" s="7">
        <f t="shared" si="119"/>
        <v>36.433333331951872</v>
      </c>
      <c r="O140" s="7"/>
      <c r="P140" s="7"/>
      <c r="Q140" s="22"/>
      <c r="R140" s="170"/>
      <c r="S140" s="213">
        <f t="shared" si="120"/>
        <v>1</v>
      </c>
      <c r="T140" s="195" t="str">
        <f t="shared" si="112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70"/>
        <v>https://d0f6bd738d7f1b3e5a7ca70fe4ff75f0.us-east-1.aws.found.io/app/kibana#/discover/Steve-Slow-Train-Analysis-(2080s-and-2083s)?_g=(refreshInterval:(display:Off,pause:!f,section:0,value:0),time:(from:'2017-08-11T18:52:31-0600',mode:absolute,to:'2017-08-11T21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0" s="197" t="str">
        <f>IF(AA140&lt;VLOOKUP(AG140,Variables!$AC$3:$AD$8,2,FALSE),"Y","N")</f>
        <v>N</v>
      </c>
      <c r="X140" s="197">
        <f t="shared" si="118"/>
        <v>1</v>
      </c>
      <c r="Y140" s="197">
        <f t="shared" si="117"/>
        <v>4.24E-2</v>
      </c>
      <c r="Z140" s="197">
        <f t="shared" si="116"/>
        <v>23.339700000000001</v>
      </c>
      <c r="AA140" s="197">
        <f t="shared" si="113"/>
        <v>23.2973</v>
      </c>
      <c r="AB140" s="54" t="e">
        <f>VLOOKUP(A140,Enforcements!$C$7:$K$12,8,0)</f>
        <v>#N/A</v>
      </c>
      <c r="AC140" s="51" t="e">
        <f>VLOOKUP(A140,Enforcements!$C$7:$E$12,3,0)</f>
        <v>#N/A</v>
      </c>
      <c r="AD140" s="206">
        <f t="shared" si="114"/>
        <v>225</v>
      </c>
      <c r="AE140" s="77" t="str">
        <f t="shared" si="71"/>
        <v>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 &amp; aws s3 cp s3://rtdc.mdm.uploadarchive.raw/RTDC4058/ "%USERPROFILE%\AppData\Local\Temp\OnboardLogs"\RTDC4058\2017-08-12 --exclude "*" --recursive --include "*20170812*" &amp; "%USERPROFILE%\Documents\GitHub\mrs-test-scripts\Headless Mode &amp; Sideloading\WalkAndUnGZ.bat" "%USERPROFILE%\AppData\Local\Temp\OnboardLogs"\RTDC4058\2017-08-12</v>
      </c>
      <c r="AF140" s="74" t="str">
        <f t="shared" si="72"/>
        <v>"C:\Program Files (x86)\AstroGrep\AstroGrep.exe" /e /r /s /spath="%USERPROFILE%\AppData\Local\Temp\OnboardLogs" /stypes="app*4058*20170812*" /stext=" 02:.+((SYSTEM_STATE.+slice.+state.+changed )|(ment ac)|(multiple cpu faults)|(system.+state.+changed )|(\[timeout)|(PRM\|1\|D)|(kpr)|(kdp)|(train st.+moving)|(\|lc)|(penalty))"</v>
      </c>
      <c r="AG140" s="209" t="str">
        <f t="shared" si="115"/>
        <v>EC</v>
      </c>
      <c r="AH140" s="78" t="str">
        <f t="shared" si="75"/>
        <v>"%USERPROFILE%\Documents\GitHub\eaglep3\Utilities\RefineRTDCRunTimes.py" --tripid 225-11 --locoid 4058 --swversion DE.1.0.9.0 --startMP 204:424 --initTime 2017-08-11T19:52:31 --startdatetime 2017-08-11T20:00:45 --delay 1 --endMP 204:233397 --enddatetime 2017-08-11T20:37:11 --enforcementcount 0 &gt;&gt;C:\Users\stu\Documents\GitHub\eaglep3-reporting\EC\2017-08-11-refined-times.txt</v>
      </c>
      <c r="AI140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{"issue":{"subject":"","project_id":79,"tracker_id":40,"status_id":1,"priority_id":2,"assigned_to_id":23,"start_date":"2017-08-11","description":"","custom_fields":[{"id":1,"name":"Subdivision","value":"EC"},{"id":4,"name":"Milepost","value":"23.3397"},{"id":17,"name":"Train ID","value":"225-11"},{"id":16,"name":"Locomotive ID","value":"4058"},{"id":130,"name":"Impact","value":""},{"id":150,"name":"Time of Event (Mountain Time)","value":"20:37:11"},{"id":151,"name":"Denver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77"/>
        <v>start /low /b %USERPROFILE%\Documents\GitHub\eaglep3\Utilities\DownloadLogsFromS3.py --loco 4058 --day 2017-08-11</v>
      </c>
      <c r="AN140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02:37:11"},{"id":29,"name":"Sharepoint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842</v>
      </c>
      <c r="B141" s="7">
        <v>4057</v>
      </c>
      <c r="C141" s="21" t="s">
        <v>198</v>
      </c>
      <c r="D141" s="21" t="s">
        <v>900</v>
      </c>
      <c r="E141" s="13">
        <v>42958.864421296297</v>
      </c>
      <c r="F141" s="13">
        <v>42958.873090277775</v>
      </c>
      <c r="G141" s="7">
        <v>1</v>
      </c>
      <c r="H141" s="21" t="s">
        <v>1055</v>
      </c>
      <c r="I141" s="13">
        <v>42958.89980324074</v>
      </c>
      <c r="J141" s="7">
        <v>0</v>
      </c>
      <c r="K141" s="89" t="str">
        <f t="shared" si="108"/>
        <v>4057/4058</v>
      </c>
      <c r="L141" s="21" t="str">
        <f>VLOOKUP(A141,'Trips&amp;Operators'!$C$1:$G$99999,5,FALSE)</f>
        <v>PERKINS DARREN</v>
      </c>
      <c r="M141" s="6">
        <f t="shared" si="109"/>
        <v>2.6712962964666076E-2</v>
      </c>
      <c r="N141" s="7">
        <f t="shared" si="119"/>
        <v>38.466666669119149</v>
      </c>
      <c r="O141" s="7"/>
      <c r="P141" s="7"/>
      <c r="Q141" s="22"/>
      <c r="R141" s="170"/>
      <c r="S141" s="213">
        <f t="shared" si="120"/>
        <v>1</v>
      </c>
      <c r="T141" s="195" t="str">
        <f t="shared" si="112"/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12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-11T19:44:46-0600',mode:absolute,to:'2017-08-11T22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1" s="197" t="str">
        <f>IF(AA141&lt;VLOOKUP(AG141,Variables!$AC$3:$AD$8,2,FALSE),"Y","N")</f>
        <v>N</v>
      </c>
      <c r="X141" s="197">
        <f t="shared" si="118"/>
        <v>1</v>
      </c>
      <c r="Y141" s="197">
        <f t="shared" si="117"/>
        <v>23.307400000000001</v>
      </c>
      <c r="Z141" s="197">
        <f t="shared" si="116"/>
        <v>1.18E-2</v>
      </c>
      <c r="AA141" s="197">
        <f t="shared" si="113"/>
        <v>23.2956</v>
      </c>
      <c r="AB141" s="54" t="e">
        <f>VLOOKUP(A141,Enforcements!$C$7:$K$12,8,0)</f>
        <v>#N/A</v>
      </c>
      <c r="AC141" s="51" t="e">
        <f>VLOOKUP(A141,Enforcements!$C$7:$E$12,3,0)</f>
        <v>#N/A</v>
      </c>
      <c r="AD141" s="206">
        <f t="shared" si="114"/>
        <v>226</v>
      </c>
      <c r="AE141" s="77" t="str">
        <f t="shared" ref="AE141:AE204" si="12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 &amp; aws s3 cp s3://rtdc.mdm.uploadarchive.raw/RTDC4057/ "%USERPROFILE%\AppData\Local\Temp\OnboardLogs"\RTDC4057\2017-08-12 --exclude "*" --recursive --include "*20170812*" &amp; "%USERPROFILE%\Documents\GitHub\mrs-test-scripts\Headless Mode &amp; Sideloading\WalkAndUnGZ.bat" "%USERPROFILE%\AppData\Local\Temp\OnboardLogs"\RTDC4057\2017-08-12</v>
      </c>
      <c r="AF141" s="74" t="str">
        <f t="shared" ref="AF141:AF204" si="12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/stypes="app*4057*20170812*" /stext=" 03:.+((SYSTEM_STATE.+slice.+state.+changed )|(ment ac)|(multiple cpu faults)|(system.+state.+changed )|(\[timeout)|(PRM\|1\|D)|(kpr)|(kdp)|(train st.+moving)|(\|lc)|(penalty))"</v>
      </c>
      <c r="AG141" s="209" t="str">
        <f t="shared" si="115"/>
        <v>EC</v>
      </c>
      <c r="AH141" s="78" t="str">
        <f t="shared" si="75"/>
        <v>"%USERPROFILE%\Documents\GitHub\eaglep3\Utilities\RefineRTDCRunTimes.py" --tripid 226-11 --locoid 4057 --swversion DE.1.0.9.0 --startMP 204:233074 --initTime 2017-08-11T20:44:46 --startdatetime 2017-08-11T20:57:15 --delay 1 --endMP 204:118 --enddatetime 2017-08-11T21:35:43 --enforcementcount 0 &gt;&gt;C:\Users\stu\Documents\GitHub\eaglep3-reporting\EC\2017-08-11-refined-times.txt</v>
      </c>
      <c r="AI141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{"issue":{"subject":"","project_id":79,"tracker_id":40,"status_id":1,"priority_id":2,"assigned_to_id":23,"start_date":"2017-08-11","description":"","custom_fields":[{"id":1,"name":"Subdivision","value":"EC"},{"id":4,"name":"Milepost","value":"0.0118"},{"id":17,"name":"Train ID","value":"226-11"},{"id":16,"name":"Locomotive ID","value":"4057"},{"id":130,"name":"Impact","value":""},{"id":150,"name":"Time of Event (Mountain Time)","value":"21:35:43"},{"id":151,"name":"Denver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77"/>
        <v>start /low /b %USERPROFILE%\Documents\GitHub\eaglep3\Utilities\DownloadLogsFromS3.py --loco 4057 --day 2017-08-11</v>
      </c>
      <c r="AN141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03:35:43"},{"id":29,"name":"Sharepoint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839</v>
      </c>
      <c r="B142" s="7">
        <v>4020</v>
      </c>
      <c r="C142" s="21" t="s">
        <v>198</v>
      </c>
      <c r="D142" s="21" t="s">
        <v>403</v>
      </c>
      <c r="E142" s="13">
        <v>42958.841354166667</v>
      </c>
      <c r="F142" s="13">
        <v>42958.854849537034</v>
      </c>
      <c r="G142" s="7">
        <v>1</v>
      </c>
      <c r="H142" s="21" t="s">
        <v>1056</v>
      </c>
      <c r="I142" s="13">
        <v>42958.880370370367</v>
      </c>
      <c r="J142" s="7">
        <v>0</v>
      </c>
      <c r="K142" s="89" t="str">
        <f t="shared" si="108"/>
        <v>4019/4020</v>
      </c>
      <c r="L142" s="21" t="str">
        <f>VLOOKUP(A142,'Trips&amp;Operators'!$C$1:$G$99999,5,FALSE)</f>
        <v>FORTUNATO FRANK</v>
      </c>
      <c r="M142" s="6">
        <f t="shared" si="109"/>
        <v>2.5520833332848269E-2</v>
      </c>
      <c r="N142" s="7">
        <f t="shared" si="119"/>
        <v>36.749999999301508</v>
      </c>
      <c r="O142" s="7"/>
      <c r="P142" s="7"/>
      <c r="Q142" s="22"/>
      <c r="R142" s="170"/>
      <c r="S142" s="213">
        <f t="shared" si="120"/>
        <v>1</v>
      </c>
      <c r="T142" s="195" t="str">
        <f t="shared" si="112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121"/>
        <v>https://d0f6bd738d7f1b3e5a7ca70fe4ff75f0.us-east-1.aws.found.io/app/kibana#/discover/Steve-Slow-Train-Analysis-(2080s-and-2083s)?_g=(refreshInterval:(display:Off,pause:!f,section:0,value:0),time:(from:'2017-08-11T19:11:33-0600',mode:absolute,to:'2017-08-11T22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2" s="197" t="str">
        <f>IF(AA142&lt;VLOOKUP(AG142,Variables!$AC$3:$AD$8,2,FALSE),"Y","N")</f>
        <v>N</v>
      </c>
      <c r="X142" s="197">
        <f t="shared" si="118"/>
        <v>1</v>
      </c>
      <c r="Y142" s="197">
        <f t="shared" si="117"/>
        <v>4.58E-2</v>
      </c>
      <c r="Z142" s="197">
        <f t="shared" si="116"/>
        <v>23.332799999999999</v>
      </c>
      <c r="AA142" s="197">
        <f t="shared" si="113"/>
        <v>23.286999999999999</v>
      </c>
      <c r="AB142" s="54" t="e">
        <f>VLOOKUP(A142,Enforcements!$C$7:$K$12,8,0)</f>
        <v>#N/A</v>
      </c>
      <c r="AC142" s="51" t="e">
        <f>VLOOKUP(A142,Enforcements!$C$7:$E$12,3,0)</f>
        <v>#N/A</v>
      </c>
      <c r="AD142" s="206">
        <f t="shared" si="114"/>
        <v>227</v>
      </c>
      <c r="AE142" s="77" t="str">
        <f t="shared" si="122"/>
        <v>aws s3 cp s3://rtdc.mdm.uploadarchive.raw/RTDC4020/ "%USERPROFILE%\AppData\Local\Temp\OnboardLogs"\RTDC4020\2017-08-11 --exclude "*" --recursive --include "*20170811*" &amp; "%USERPROFILE%\Documents\GitHub\mrs-test-scripts\Headless Mode &amp; Sideloading\WalkAndUnGZ.bat" "%USERPROFILE%\AppData\Local\Temp\OnboardLogs"\RTDC4020\2017-08-11 &amp; aws s3 cp s3://rtdc.mdm.uploadarchive.raw/RTDC4020/ "%USERPROFILE%\AppData\Local\Temp\OnboardLogs"\RTDC4020\2017-08-12 --exclude "*" --recursive --include "*20170812*" &amp; "%USERPROFILE%\Documents\GitHub\mrs-test-scripts\Headless Mode &amp; Sideloading\WalkAndUnGZ.bat" "%USERPROFILE%\AppData\Local\Temp\OnboardLogs"\RTDC4020\2017-08-12</v>
      </c>
      <c r="AF142" s="74" t="str">
        <f t="shared" si="123"/>
        <v>"C:\Program Files (x86)\AstroGrep\AstroGrep.exe" /e /r /s /spath="%USERPROFILE%\AppData\Local\Temp\OnboardLogs" /stypes="app*4020*20170812*" /stext=" 03:.+((SYSTEM_STATE.+slice.+state.+changed )|(ment ac)|(multiple cpu faults)|(system.+state.+changed )|(\[timeout)|(PRM\|1\|D)|(kpr)|(kdp)|(train st.+moving)|(\|lc)|(penalty))"</v>
      </c>
      <c r="AG142" s="209" t="str">
        <f t="shared" si="115"/>
        <v>EC</v>
      </c>
      <c r="AH142" s="78" t="str">
        <f t="shared" si="75"/>
        <v>"%USERPROFILE%\Documents\GitHub\eaglep3\Utilities\RefineRTDCRunTimes.py" --tripid 227-11 --locoid 4020 --swversion DE.1.0.9.0 --startMP 204:458 --initTime 2017-08-11T20:11:33 --startdatetime 2017-08-11T20:30:59 --delay 1 --endMP 204:233328 --enddatetime 2017-08-11T21:07:44 --enforcementcount 0 &gt;&gt;C:\Users\stu\Documents\GitHub\eaglep3-reporting\EC\2017-08-11-refined-times.txt</v>
      </c>
      <c r="AI142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{"issue":{"subject":"","project_id":79,"tracker_id":40,"status_id":1,"priority_id":2,"assigned_to_id":23,"start_date":"2017-08-11","description":"","custom_fields":[{"id":1,"name":"Subdivision","value":"EC"},{"id":4,"name":"Milepost","value":"23.3328"},{"id":17,"name":"Train ID","value":"227-11"},{"id":16,"name":"Locomotive ID","value":"4020"},{"id":130,"name":"Impact","value":""},{"id":150,"name":"Time of Event (Mountain Time)","value":"21:07:44"},{"id":151,"name":"Denver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77"/>
        <v>start /low /b %USERPROFILE%\Documents\GitHub\eaglep3\Utilities\DownloadLogsFromS3.py --loco 4020 --day 2017-08-11</v>
      </c>
      <c r="AN142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03:07:44"},{"id":29,"name":"Sharepoint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844</v>
      </c>
      <c r="B143" s="7">
        <v>4019</v>
      </c>
      <c r="C143" s="21" t="s">
        <v>198</v>
      </c>
      <c r="D143" s="21" t="s">
        <v>494</v>
      </c>
      <c r="E143" s="13">
        <v>42958.882025462961</v>
      </c>
      <c r="F143" s="13">
        <v>42958.894120370373</v>
      </c>
      <c r="G143" s="7">
        <v>1</v>
      </c>
      <c r="H143" s="21" t="s">
        <v>343</v>
      </c>
      <c r="I143" s="13">
        <v>42958.922106481485</v>
      </c>
      <c r="J143" s="7">
        <v>0</v>
      </c>
      <c r="K143" s="89" t="str">
        <f t="shared" si="108"/>
        <v>4019/4020</v>
      </c>
      <c r="L143" s="21" t="str">
        <f>VLOOKUP(A143,'Trips&amp;Operators'!$C$1:$G$99999,5,FALSE)</f>
        <v>FORTUNATO FRANK</v>
      </c>
      <c r="M143" s="6">
        <f t="shared" si="109"/>
        <v>2.7986111112113576E-2</v>
      </c>
      <c r="N143" s="7">
        <f t="shared" si="119"/>
        <v>40.30000000144355</v>
      </c>
      <c r="O143" s="7"/>
      <c r="P143" s="7"/>
      <c r="Q143" s="22"/>
      <c r="R143" s="170"/>
      <c r="S143" s="213">
        <f t="shared" si="120"/>
        <v>1</v>
      </c>
      <c r="T143" s="195" t="str">
        <f t="shared" si="112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121"/>
        <v>https://d0f6bd738d7f1b3e5a7ca70fe4ff75f0.us-east-1.aws.found.io/app/kibana#/discover/Steve-Slow-Train-Analysis-(2080s-and-2083s)?_g=(refreshInterval:(display:Off,pause:!f,section:0,value:0),time:(from:'2017-08-11T20:10:07-0600',mode:absolute,to:'2017-08-11T23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3" s="197" t="str">
        <f>IF(AA143&lt;VLOOKUP(AG143,Variables!$AC$3:$AD$8,2,FALSE),"Y","N")</f>
        <v>N</v>
      </c>
      <c r="X143" s="197">
        <f t="shared" si="118"/>
        <v>1</v>
      </c>
      <c r="Y143" s="197">
        <f t="shared" si="117"/>
        <v>23.3005</v>
      </c>
      <c r="Z143" s="197">
        <f t="shared" si="116"/>
        <v>1.43E-2</v>
      </c>
      <c r="AA143" s="197">
        <f t="shared" si="113"/>
        <v>23.286200000000001</v>
      </c>
      <c r="AB143" s="54" t="e">
        <f>VLOOKUP(A143,Enforcements!$C$7:$K$12,8,0)</f>
        <v>#N/A</v>
      </c>
      <c r="AC143" s="51" t="e">
        <f>VLOOKUP(A143,Enforcements!$C$7:$E$12,3,0)</f>
        <v>#N/A</v>
      </c>
      <c r="AD143" s="206">
        <f t="shared" si="114"/>
        <v>228</v>
      </c>
      <c r="AE143" s="77" t="str">
        <f t="shared" si="122"/>
        <v>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 &amp; aws s3 cp s3://rtdc.mdm.uploadarchive.raw/RTDC4019/ "%USERPROFILE%\AppData\Local\Temp\OnboardLogs"\RTDC4019\2017-08-12 --exclude "*" --recursive --include "*20170812*" &amp; "%USERPROFILE%\Documents\GitHub\mrs-test-scripts\Headless Mode &amp; Sideloading\WalkAndUnGZ.bat" "%USERPROFILE%\AppData\Local\Temp\OnboardLogs"\RTDC4019\2017-08-12</v>
      </c>
      <c r="AF143" s="74" t="str">
        <f t="shared" si="123"/>
        <v>"C:\Program Files (x86)\AstroGrep\AstroGrep.exe" /e /r /s /spath="%USERPROFILE%\AppData\Local\Temp\OnboardLogs" /stypes="app*4019*20170812*" /stext=" 04:.+((SYSTEM_STATE.+slice.+state.+changed )|(ment ac)|(multiple cpu faults)|(system.+state.+changed )|(\[timeout)|(PRM\|1\|D)|(kpr)|(kdp)|(train st.+moving)|(\|lc)|(penalty))"</v>
      </c>
      <c r="AG143" s="209" t="str">
        <f t="shared" si="115"/>
        <v>EC</v>
      </c>
      <c r="AH143" s="78" t="str">
        <f t="shared" si="75"/>
        <v>"%USERPROFILE%\Documents\GitHub\eaglep3\Utilities\RefineRTDCRunTimes.py" --tripid 228-11 --locoid 4019 --swversion DE.1.0.9.0 --startMP 204:233005 --initTime 2017-08-11T21:10:07 --startdatetime 2017-08-11T21:27:32 --delay 1 --endMP 204:143 --enddatetime 2017-08-11T22:07:50 --enforcementcount 0 &gt;&gt;C:\Users\stu\Documents\GitHub\eaglep3-reporting\EC\2017-08-11-refined-times.txt</v>
      </c>
      <c r="AI143" s="96" t="str">
        <f t="shared" si="76"/>
        <v>echo {"issue":{"subject":"","project_id":79,"tracker_id":40,"status_id":1,"priority_id":2,"assigned_to_id":23,"start_date":"2017-08-11","description":"","custom_fields":[{"id":1,"name":"Subdivision","value":"EC"},{"id":4,"name":"Milepost","value":"0.0143"},{"id":17,"name":"Train ID","value":"228-11"},{"id":16,"name":"Locomotive ID","value":"4019"},{"id":130,"name":"Impact","value":""},{"id":150,"name":"Time of Event (Mountain Time)","value":"22:07:50"},{"id":151,"name":"Denver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77"/>
        <v>start /low /b %USERPROFILE%\Documents\GitHub\eaglep3\Utilities\DownloadLogsFromS3.py --loco 4019 --day 2017-08-11</v>
      </c>
      <c r="AN143" s="151" t="str">
        <f t="shared" si="78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04:07:50"},{"id":29,"name":"Sharepoint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843</v>
      </c>
      <c r="B144" s="7">
        <v>4040</v>
      </c>
      <c r="C144" s="21" t="s">
        <v>198</v>
      </c>
      <c r="D144" s="21" t="s">
        <v>446</v>
      </c>
      <c r="E144" s="13">
        <v>42958.866284722222</v>
      </c>
      <c r="F144" s="13">
        <v>42958.87568287037</v>
      </c>
      <c r="G144" s="7">
        <v>1</v>
      </c>
      <c r="H144" s="21" t="s">
        <v>933</v>
      </c>
      <c r="I144" s="13">
        <v>42958.901574074072</v>
      </c>
      <c r="J144" s="7">
        <v>0</v>
      </c>
      <c r="K144" s="89" t="str">
        <f t="shared" si="108"/>
        <v>4039/4040</v>
      </c>
      <c r="L144" s="21" t="str">
        <f>VLOOKUP(A144,'Trips&amp;Operators'!$C$1:$G$99999,5,FALSE)</f>
        <v>ZEWDU DEREJE</v>
      </c>
      <c r="M144" s="6">
        <f t="shared" si="109"/>
        <v>2.5891203702485655E-2</v>
      </c>
      <c r="N144" s="7">
        <f t="shared" si="119"/>
        <v>37.283333331579342</v>
      </c>
      <c r="O144" s="7"/>
      <c r="P144" s="7"/>
      <c r="Q144" s="22"/>
      <c r="R144" s="170"/>
      <c r="S144" s="213">
        <f t="shared" si="120"/>
        <v>1</v>
      </c>
      <c r="T144" s="195" t="str">
        <f t="shared" si="112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121"/>
        <v>https://d0f6bd738d7f1b3e5a7ca70fe4ff75f0.us-east-1.aws.found.io/app/kibana#/discover/Steve-Slow-Train-Analysis-(2080s-and-2083s)?_g=(refreshInterval:(display:Off,pause:!f,section:0,value:0),time:(from:'2017-08-11T19:47:27-0600',mode:absolute,to:'2017-08-11T22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4" s="197" t="str">
        <f>IF(AA144&lt;VLOOKUP(AG144,Variables!$AC$3:$AD$8,2,FALSE),"Y","N")</f>
        <v>N</v>
      </c>
      <c r="X144" s="197">
        <f t="shared" si="118"/>
        <v>1</v>
      </c>
      <c r="Y144" s="197">
        <f t="shared" si="117"/>
        <v>4.6399999999999997E-2</v>
      </c>
      <c r="Z144" s="197">
        <f t="shared" si="116"/>
        <v>23.327000000000002</v>
      </c>
      <c r="AA144" s="197">
        <f t="shared" si="113"/>
        <v>23.280600000000003</v>
      </c>
      <c r="AB144" s="54" t="e">
        <f>VLOOKUP(A144,Enforcements!$C$7:$K$12,8,0)</f>
        <v>#N/A</v>
      </c>
      <c r="AC144" s="51" t="e">
        <f>VLOOKUP(A144,Enforcements!$C$7:$E$12,3,0)</f>
        <v>#N/A</v>
      </c>
      <c r="AD144" s="206">
        <f t="shared" si="114"/>
        <v>229</v>
      </c>
      <c r="AE144" s="77" t="str">
        <f t="shared" si="122"/>
        <v>aws s3 cp s3://rtdc.mdm.uploadarchive.raw/RTDC4040/ "%USERPROFILE%\AppData\Local\Temp\OnboardLogs"\RTDC4040\2017-08-11 --exclude "*" --recursive --include "*20170811*" &amp; "%USERPROFILE%\Documents\GitHub\mrs-test-scripts\Headless Mode &amp; Sideloading\WalkAndUnGZ.bat" "%USERPROFILE%\AppData\Local\Temp\OnboardLogs"\RTDC4040\2017-08-11 &amp; aws s3 cp s3://rtdc.mdm.uploadarchive.raw/RTDC4040/ "%USERPROFILE%\AppData\Local\Temp\OnboardLogs"\RTDC4040\2017-08-12 --exclude "*" --recursive --include "*20170812*" &amp; "%USERPROFILE%\Documents\GitHub\mrs-test-scripts\Headless Mode &amp; Sideloading\WalkAndUnGZ.bat" "%USERPROFILE%\AppData\Local\Temp\OnboardLogs"\RTDC4040\2017-08-12</v>
      </c>
      <c r="AF144" s="74" t="str">
        <f t="shared" si="123"/>
        <v>"C:\Program Files (x86)\AstroGrep\AstroGrep.exe" /e /r /s /spath="%USERPROFILE%\AppData\Local\Temp\OnboardLogs" /stypes="app*4040*20170812*" /stext=" 03:.+((SYSTEM_STATE.+slice.+state.+changed )|(ment ac)|(multiple cpu faults)|(system.+state.+changed )|(\[timeout)|(PRM\|1\|D)|(kpr)|(kdp)|(train st.+moving)|(\|lc)|(penalty))"</v>
      </c>
      <c r="AG144" s="209" t="str">
        <f t="shared" si="115"/>
        <v>EC</v>
      </c>
      <c r="AH144" s="78" t="str">
        <f t="shared" ref="AH144:AH206" si="124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229-11 --locoid 4040 --swversion DE.1.0.9.0 --startMP 204:464 --initTime 2017-08-11T20:47:27 --startdatetime 2017-08-11T21:00:59 --delay 1 --endMP 204:233270 --enddatetime 2017-08-11T21:38:16 --enforcementcount 0 &gt;&gt;C:\Users\stu\Documents\GitHub\eaglep3-reporting\EC\2017-08-11-refined-times.txt</v>
      </c>
      <c r="AI144" s="96" t="str">
        <f t="shared" ref="AI144:AI206" si="125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{"issue":{"subject":"","project_id":79,"tracker_id":40,"status_id":1,"priority_id":2,"assigned_to_id":23,"start_date":"2017-08-11","description":"","custom_fields":[{"id":1,"name":"Subdivision","value":"EC"},{"id":4,"name":"Milepost","value":"23.327"},{"id":17,"name":"Train ID","value":"229-11"},{"id":16,"name":"Locomotive ID","value":"4040"},{"id":130,"name":"Impact","value":""},{"id":150,"name":"Time of Event (Mountain Time)","value":"21:38:16"},{"id":151,"name":"Denver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:AM206" si="126">"start /low /b "&amp;dls3logs&amp;" --loco "&amp;B144&amp;" --day "&amp;TEXT(F144,"YYYY-MM-DD")</f>
        <v>start /low /b %USERPROFILE%\Documents\GitHub\eaglep3\Utilities\DownloadLogsFromS3.py --loco 4040 --day 2017-08-11</v>
      </c>
      <c r="AN144" s="151" t="str">
        <f t="shared" ref="AN144:AN206" si="127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03:38:16"},{"id":29,"name":"Sharepoint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849</v>
      </c>
      <c r="B145" s="7">
        <v>4039</v>
      </c>
      <c r="C145" s="21" t="s">
        <v>198</v>
      </c>
      <c r="D145" s="21" t="s">
        <v>493</v>
      </c>
      <c r="E145" s="13">
        <v>42958.910914351851</v>
      </c>
      <c r="F145" s="13">
        <v>42958.998194444444</v>
      </c>
      <c r="G145" s="7">
        <v>1</v>
      </c>
      <c r="H145" s="21" t="s">
        <v>457</v>
      </c>
      <c r="I145" s="13">
        <v>42959.025300925925</v>
      </c>
      <c r="J145" s="7">
        <v>0</v>
      </c>
      <c r="K145" s="89" t="str">
        <f t="shared" si="108"/>
        <v>4039/4040</v>
      </c>
      <c r="L145" s="21" t="str">
        <f>VLOOKUP(A145,'Trips&amp;Operators'!$C$1:$G$99999,5,FALSE)</f>
        <v>ZEWDU DEREJE</v>
      </c>
      <c r="M145" s="6">
        <f t="shared" si="109"/>
        <v>2.7106481480586808E-2</v>
      </c>
      <c r="N145" s="7">
        <f t="shared" si="119"/>
        <v>39.033333332045004</v>
      </c>
      <c r="O145" s="7"/>
      <c r="P145" s="7"/>
      <c r="Q145" s="22"/>
      <c r="R145" s="170"/>
      <c r="S145" s="213">
        <f t="shared" si="120"/>
        <v>1</v>
      </c>
      <c r="T145" s="195" t="str">
        <f t="shared" si="112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121"/>
        <v>https://d0f6bd738d7f1b3e5a7ca70fe4ff75f0.us-east-1.aws.found.io/app/kibana#/discover/Steve-Slow-Train-Analysis-(2080s-and-2083s)?_g=(refreshInterval:(display:Off,pause:!f,section:0,value:0),time:(from:'2017-08-11T20:51:43-0600',mode:absolute,to:'2017-08-12T01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5" s="197" t="str">
        <f>IF(AA145&lt;VLOOKUP(AG145,Variables!$AC$3:$AD$8,2,FALSE),"Y","N")</f>
        <v>N</v>
      </c>
      <c r="X145" s="197">
        <f t="shared" si="118"/>
        <v>1</v>
      </c>
      <c r="Y145" s="197">
        <f t="shared" si="117"/>
        <v>23.297699999999999</v>
      </c>
      <c r="Z145" s="197">
        <f t="shared" si="116"/>
        <v>1.6299999999999999E-2</v>
      </c>
      <c r="AA145" s="197">
        <f t="shared" si="113"/>
        <v>23.281399999999998</v>
      </c>
      <c r="AB145" s="54" t="e">
        <f>VLOOKUP(A145,Enforcements!$C$7:$K$12,8,0)</f>
        <v>#N/A</v>
      </c>
      <c r="AC145" s="51" t="e">
        <f>VLOOKUP(A145,Enforcements!$C$7:$E$12,3,0)</f>
        <v>#N/A</v>
      </c>
      <c r="AD145" s="206">
        <f t="shared" si="114"/>
        <v>230</v>
      </c>
      <c r="AE145" s="77" t="str">
        <f t="shared" si="122"/>
        <v>aws s3 cp s3://rtdc.mdm.uploadarchive.raw/RTDC4039/ "%USERPROFILE%\AppData\Local\Temp\OnboardLogs"\RTDC4039\2017-08-11 --exclude "*" --recursive --include "*20170811*" &amp; "%USERPROFILE%\Documents\GitHub\mrs-test-scripts\Headless Mode &amp; Sideloading\WalkAndUnGZ.bat" "%USERPROFILE%\AppData\Local\Temp\OnboardLogs"\RTDC4039\2017-08-11 &amp; aws s3 cp s3://rtdc.mdm.uploadarchive.raw/RTDC4039/ "%USERPROFILE%\AppData\Local\Temp\OnboardLogs"\RTDC4039\2017-08-12 --exclude "*" --recursive --include "*20170812*" &amp; "%USERPROFILE%\Documents\GitHub\mrs-test-scripts\Headless Mode &amp; Sideloading\WalkAndUnGZ.bat" "%USERPROFILE%\AppData\Local\Temp\OnboardLogs"\RTDC4039\2017-08-12</v>
      </c>
      <c r="AF145" s="74" t="str">
        <f t="shared" si="123"/>
        <v>"C:\Program Files (x86)\AstroGrep\AstroGrep.exe" /e /r /s /spath="%USERPROFILE%\AppData\Local\Temp\OnboardLogs" /stypes="app*4039*20170812*" /stext=" 06:.+((SYSTEM_STATE.+slice.+state.+changed )|(ment ac)|(multiple cpu faults)|(system.+state.+changed )|(\[timeout)|(PRM\|1\|D)|(kpr)|(kdp)|(train st.+moving)|(\|lc)|(penalty))"</v>
      </c>
      <c r="AG145" s="209" t="str">
        <f t="shared" si="115"/>
        <v>EC</v>
      </c>
      <c r="AH145" s="78" t="str">
        <f t="shared" si="124"/>
        <v>"%USERPROFILE%\Documents\GitHub\eaglep3\Utilities\RefineRTDCRunTimes.py" --tripid 230-11 --locoid 4039 --swversion DE.1.0.9.0 --startMP 204:232977 --initTime 2017-08-11T21:51:43 --startdatetime 2017-08-11T23:57:24 --delay 1 --endMP 204:163 --enddatetime 2017-08-12T00:36:26 --enforcementcount 0 &gt;&gt;C:\Users\stu\Documents\GitHub\eaglep3-reporting\EC\2017-08-11-refined-times.txt</v>
      </c>
      <c r="AI145" s="96" t="str">
        <f t="shared" si="125"/>
        <v>echo {"issue":{"subject":"","project_id":79,"tracker_id":40,"status_id":1,"priority_id":2,"assigned_to_id":23,"start_date":"2017-08-12","description":"","custom_fields":[{"id":1,"name":"Subdivision","value":"EC"},{"id":4,"name":"Milepost","value":"0.0163"},{"id":17,"name":"Train ID","value":"230-11"},{"id":16,"name":"Locomotive ID","value":"4039"},{"id":130,"name":"Impact","value":""},{"id":150,"name":"Time of Event (Mountain Time)","value":"00:36:26"},{"id":151,"name":"Denver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126"/>
        <v>start /low /b %USERPROFILE%\Documents\GitHub\eaglep3\Utilities\DownloadLogsFromS3.py --loco 4039 --day 2017-08-11</v>
      </c>
      <c r="AN145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06:36:26"},{"id":29,"name":"Sharepoint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846</v>
      </c>
      <c r="B146" s="7">
        <v>4012</v>
      </c>
      <c r="C146" s="21" t="s">
        <v>198</v>
      </c>
      <c r="D146" s="21" t="s">
        <v>523</v>
      </c>
      <c r="E146" s="13">
        <v>42958.892280092594</v>
      </c>
      <c r="F146" s="13">
        <v>42958.896412037036</v>
      </c>
      <c r="G146" s="7">
        <v>1</v>
      </c>
      <c r="H146" s="21" t="s">
        <v>934</v>
      </c>
      <c r="I146" s="13">
        <v>42958.924074074072</v>
      </c>
      <c r="J146" s="7">
        <v>0</v>
      </c>
      <c r="K146" s="89" t="str">
        <f t="shared" si="108"/>
        <v>4011/4012</v>
      </c>
      <c r="L146" s="21" t="str">
        <f>VLOOKUP(A146,'Trips&amp;Operators'!$C$1:$G$99999,5,FALSE)</f>
        <v>HELVIE ADAM</v>
      </c>
      <c r="M146" s="6">
        <f t="shared" si="109"/>
        <v>2.7662037035042886E-2</v>
      </c>
      <c r="N146" s="7">
        <f t="shared" si="119"/>
        <v>39.833333330461755</v>
      </c>
      <c r="O146" s="7"/>
      <c r="P146" s="7"/>
      <c r="Q146" s="22"/>
      <c r="R146" s="170"/>
      <c r="S146" s="213">
        <f t="shared" si="120"/>
        <v>1</v>
      </c>
      <c r="T146" s="195" t="str">
        <f t="shared" si="112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121"/>
        <v>https://d0f6bd738d7f1b3e5a7ca70fe4ff75f0.us-east-1.aws.found.io/app/kibana#/discover/Steve-Slow-Train-Analysis-(2080s-and-2083s)?_g=(refreshInterval:(display:Off,pause:!f,section:0,value:0),time:(from:'2017-08-11T20:24:53-0600',mode:absolute,to:'2017-08-11T23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6" s="197" t="str">
        <f>IF(AA146&lt;VLOOKUP(AG146,Variables!$AC$3:$AD$8,2,FALSE),"Y","N")</f>
        <v>N</v>
      </c>
      <c r="X146" s="197">
        <f t="shared" si="118"/>
        <v>1</v>
      </c>
      <c r="Y146" s="197">
        <f t="shared" si="117"/>
        <v>4.7100000000000003E-2</v>
      </c>
      <c r="Z146" s="197">
        <f t="shared" si="116"/>
        <v>23.328399999999998</v>
      </c>
      <c r="AA146" s="197">
        <f t="shared" si="113"/>
        <v>23.281299999999998</v>
      </c>
      <c r="AB146" s="54" t="e">
        <f>VLOOKUP(A146,Enforcements!$C$7:$K$12,8,0)</f>
        <v>#N/A</v>
      </c>
      <c r="AC146" s="51" t="e">
        <f>VLOOKUP(A146,Enforcements!$C$7:$E$12,3,0)</f>
        <v>#N/A</v>
      </c>
      <c r="AD146" s="206">
        <f t="shared" si="114"/>
        <v>231</v>
      </c>
      <c r="AE146" s="77" t="str">
        <f t="shared" si="122"/>
        <v>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 &amp; aws s3 cp s3://rtdc.mdm.uploadarchive.raw/RTDC4012/ "%USERPROFILE%\AppData\Local\Temp\OnboardLogs"\RTDC4012\2017-08-12 --exclude "*" --recursive --include "*20170812*" &amp; "%USERPROFILE%\Documents\GitHub\mrs-test-scripts\Headless Mode &amp; Sideloading\WalkAndUnGZ.bat" "%USERPROFILE%\AppData\Local\Temp\OnboardLogs"\RTDC4012\2017-08-12</v>
      </c>
      <c r="AF146" s="74" t="str">
        <f t="shared" si="123"/>
        <v>"C:\Program Files (x86)\AstroGrep\AstroGrep.exe" /e /r /s /spath="%USERPROFILE%\AppData\Local\Temp\OnboardLogs" /stypes="app*4012*20170812*" /stext=" 04:.+((SYSTEM_STATE.+slice.+state.+changed )|(ment ac)|(multiple cpu faults)|(system.+state.+changed )|(\[timeout)|(PRM\|1\|D)|(kpr)|(kdp)|(train st.+moving)|(\|lc)|(penalty))"</v>
      </c>
      <c r="AG146" s="209" t="str">
        <f t="shared" si="115"/>
        <v>EC</v>
      </c>
      <c r="AH146" s="78" t="str">
        <f t="shared" si="124"/>
        <v>"%USERPROFILE%\Documents\GitHub\eaglep3\Utilities\RefineRTDCRunTimes.py" --tripid 231-11 --locoid 4012 --swversion DE.1.0.9.0 --startMP 204:471 --initTime 2017-08-11T21:24:53 --startdatetime 2017-08-11T21:30:50 --delay 1 --endMP 204:233284 --enddatetime 2017-08-11T22:10:40 --enforcementcount 0 &gt;&gt;C:\Users\stu\Documents\GitHub\eaglep3-reporting\EC\2017-08-11-refined-times.txt</v>
      </c>
      <c r="AI146" s="96" t="str">
        <f t="shared" si="125"/>
        <v>echo {"issue":{"subject":"","project_id":79,"tracker_id":40,"status_id":1,"priority_id":2,"assigned_to_id":23,"start_date":"2017-08-11","description":"","custom_fields":[{"id":1,"name":"Subdivision","value":"EC"},{"id":4,"name":"Milepost","value":"23.3284"},{"id":17,"name":"Train ID","value":"231-11"},{"id":16,"name":"Locomotive ID","value":"4012"},{"id":130,"name":"Impact","value":""},{"id":150,"name":"Time of Event (Mountain Time)","value":"22:10:40"},{"id":151,"name":"Denver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126"/>
        <v>start /low /b %USERPROFILE%\Documents\GitHub\eaglep3\Utilities\DownloadLogsFromS3.py --loco 4012 --day 2017-08-11</v>
      </c>
      <c r="AN146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04:10:40"},{"id":29,"name":"Sharepoint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851</v>
      </c>
      <c r="B147" s="7">
        <v>4011</v>
      </c>
      <c r="C147" s="21" t="s">
        <v>198</v>
      </c>
      <c r="D147" s="21" t="s">
        <v>454</v>
      </c>
      <c r="E147" s="13">
        <v>42958.932708333334</v>
      </c>
      <c r="F147" s="13">
        <v>42958.935636574075</v>
      </c>
      <c r="G147" s="7">
        <v>1</v>
      </c>
      <c r="H147" s="21" t="s">
        <v>350</v>
      </c>
      <c r="I147" s="13">
        <v>42958.963993055557</v>
      </c>
      <c r="J147" s="7">
        <v>0</v>
      </c>
      <c r="K147" s="89" t="str">
        <f t="shared" si="108"/>
        <v>4011/4012</v>
      </c>
      <c r="L147" s="21" t="str">
        <f>VLOOKUP(A147,'Trips&amp;Operators'!$C$1:$G$99999,5,FALSE)</f>
        <v>HELVIE ADAM</v>
      </c>
      <c r="M147" s="6">
        <f t="shared" si="109"/>
        <v>2.8356481481750961E-2</v>
      </c>
      <c r="N147" s="7">
        <f t="shared" si="119"/>
        <v>40.833333333721384</v>
      </c>
      <c r="O147" s="7"/>
      <c r="P147" s="7"/>
      <c r="Q147" s="22"/>
      <c r="R147" s="170"/>
      <c r="S147" s="213">
        <f t="shared" si="120"/>
        <v>1</v>
      </c>
      <c r="T147" s="195" t="str">
        <f t="shared" si="112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121"/>
        <v>https://d0f6bd738d7f1b3e5a7ca70fe4ff75f0.us-east-1.aws.found.io/app/kibana#/discover/Steve-Slow-Train-Analysis-(2080s-and-2083s)?_g=(refreshInterval:(display:Off,pause:!f,section:0,value:0),time:(from:'2017-08-11T21:23:06-0600',mode:absolute,to:'2017-08-12T00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7" s="197" t="str">
        <f>IF(AA147&lt;VLOOKUP(AG147,Variables!$AC$3:$AD$8,2,FALSE),"Y","N")</f>
        <v>N</v>
      </c>
      <c r="X147" s="197">
        <f t="shared" si="118"/>
        <v>1</v>
      </c>
      <c r="Y147" s="197">
        <f t="shared" si="117"/>
        <v>23.297499999999999</v>
      </c>
      <c r="Z147" s="197">
        <f t="shared" si="116"/>
        <v>1.47E-2</v>
      </c>
      <c r="AA147" s="197">
        <f t="shared" si="113"/>
        <v>23.282799999999998</v>
      </c>
      <c r="AB147" s="54" t="e">
        <f>VLOOKUP(A147,Enforcements!$C$7:$K$12,8,0)</f>
        <v>#N/A</v>
      </c>
      <c r="AC147" s="51" t="e">
        <f>VLOOKUP(A147,Enforcements!$C$7:$E$12,3,0)</f>
        <v>#N/A</v>
      </c>
      <c r="AD147" s="206">
        <f t="shared" si="114"/>
        <v>232</v>
      </c>
      <c r="AE147" s="77" t="str">
        <f t="shared" si="122"/>
        <v>aws s3 cp s3://rtdc.mdm.uploadarchive.raw/RTDC4011/ "%USERPROFILE%\AppData\Local\Temp\OnboardLogs"\RTDC4011\2017-08-11 --exclude "*" --recursive --include "*20170811*" &amp; "%USERPROFILE%\Documents\GitHub\mrs-test-scripts\Headless Mode &amp; Sideloading\WalkAndUnGZ.bat" "%USERPROFILE%\AppData\Local\Temp\OnboardLogs"\RTDC4011\2017-08-11 &amp; aws s3 cp s3://rtdc.mdm.uploadarchive.raw/RTDC4011/ "%USERPROFILE%\AppData\Local\Temp\OnboardLogs"\RTDC4011\2017-08-12 --exclude "*" --recursive --include "*20170812*" &amp; "%USERPROFILE%\Documents\GitHub\mrs-test-scripts\Headless Mode &amp; Sideloading\WalkAndUnGZ.bat" "%USERPROFILE%\AppData\Local\Temp\OnboardLogs"\RTDC4011\2017-08-12</v>
      </c>
      <c r="AF147" s="74" t="str">
        <f t="shared" si="123"/>
        <v>"C:\Program Files (x86)\AstroGrep\AstroGrep.exe" /e /r /s /spath="%USERPROFILE%\AppData\Local\Temp\OnboardLogs" /stypes="app*4011*20170812*" /stext=" 05:.+((SYSTEM_STATE.+slice.+state.+changed )|(ment ac)|(multiple cpu faults)|(system.+state.+changed )|(\[timeout)|(PRM\|1\|D)|(kpr)|(kdp)|(train st.+moving)|(\|lc)|(penalty))"</v>
      </c>
      <c r="AG147" s="209" t="str">
        <f t="shared" si="115"/>
        <v>EC</v>
      </c>
      <c r="AH147" s="78" t="str">
        <f t="shared" si="124"/>
        <v>"%USERPROFILE%\Documents\GitHub\eaglep3\Utilities\RefineRTDCRunTimes.py" --tripid 232-11 --locoid 4011 --swversion DE.1.0.9.0 --startMP 204:232975 --initTime 2017-08-11T22:23:06 --startdatetime 2017-08-11T22:27:19 --delay 1 --endMP 204:147 --enddatetime 2017-08-11T23:08:09 --enforcementcount 0 &gt;&gt;C:\Users\stu\Documents\GitHub\eaglep3-reporting\EC\2017-08-11-refined-times.txt</v>
      </c>
      <c r="AI147" s="96" t="str">
        <f t="shared" si="125"/>
        <v>echo {"issue":{"subject":"","project_id":79,"tracker_id":40,"status_id":1,"priority_id":2,"assigned_to_id":23,"start_date":"2017-08-11","description":"","custom_fields":[{"id":1,"name":"Subdivision","value":"EC"},{"id":4,"name":"Milepost","value":"0.0147"},{"id":17,"name":"Train ID","value":"232-11"},{"id":16,"name":"Locomotive ID","value":"4011"},{"id":130,"name":"Impact","value":""},{"id":150,"name":"Time of Event (Mountain Time)","value":"23:08:09"},{"id":151,"name":"Denver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126"/>
        <v>start /low /b %USERPROFILE%\Documents\GitHub\eaglep3\Utilities\DownloadLogsFromS3.py --loco 4011 --day 2017-08-11</v>
      </c>
      <c r="AN147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05:08:09"},{"id":29,"name":"Sharepoint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848</v>
      </c>
      <c r="B148" s="7">
        <v>4058</v>
      </c>
      <c r="C148" s="21" t="s">
        <v>198</v>
      </c>
      <c r="D148" s="21" t="s">
        <v>909</v>
      </c>
      <c r="E148" s="13">
        <v>42958.905289351853</v>
      </c>
      <c r="F148" s="13">
        <v>42958.917222222219</v>
      </c>
      <c r="G148" s="7">
        <v>1</v>
      </c>
      <c r="H148" s="21" t="s">
        <v>935</v>
      </c>
      <c r="I148" s="13">
        <v>42958.943449074075</v>
      </c>
      <c r="J148" s="7">
        <v>0</v>
      </c>
      <c r="K148" s="89" t="str">
        <f t="shared" si="108"/>
        <v>4057/4058</v>
      </c>
      <c r="L148" s="21" t="str">
        <f>VLOOKUP(A148,'Trips&amp;Operators'!$C$1:$G$99999,5,FALSE)</f>
        <v>PERKINS DARREN</v>
      </c>
      <c r="M148" s="6">
        <f t="shared" si="109"/>
        <v>2.6226851856335998E-2</v>
      </c>
      <c r="N148" s="7">
        <f t="shared" si="119"/>
        <v>37.766666673123837</v>
      </c>
      <c r="O148" s="7"/>
      <c r="P148" s="7"/>
      <c r="Q148" s="22"/>
      <c r="R148" s="170"/>
      <c r="S148" s="213">
        <f t="shared" si="120"/>
        <v>1</v>
      </c>
      <c r="T148" s="195" t="str">
        <f t="shared" si="112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121"/>
        <v>https://d0f6bd738d7f1b3e5a7ca70fe4ff75f0.us-east-1.aws.found.io/app/kibana#/discover/Steve-Slow-Train-Analysis-(2080s-and-2083s)?_g=(refreshInterval:(display:Off,pause:!f,section:0,value:0),time:(from:'2017-08-11T20:43:37-0600',mode:absolute,to:'2017-08-11T23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8" s="197" t="str">
        <f>IF(AA148&lt;VLOOKUP(AG148,Variables!$AC$3:$AD$8,2,FALSE),"Y","N")</f>
        <v>N</v>
      </c>
      <c r="X148" s="197">
        <f t="shared" si="118"/>
        <v>1</v>
      </c>
      <c r="Y148" s="197">
        <f t="shared" si="117"/>
        <v>4.3499999999999997E-2</v>
      </c>
      <c r="Z148" s="197">
        <f t="shared" si="116"/>
        <v>23.341200000000001</v>
      </c>
      <c r="AA148" s="197">
        <f t="shared" si="113"/>
        <v>23.297699999999999</v>
      </c>
      <c r="AB148" s="54" t="e">
        <f>VLOOKUP(A148,Enforcements!$C$7:$K$12,8,0)</f>
        <v>#N/A</v>
      </c>
      <c r="AC148" s="51" t="e">
        <f>VLOOKUP(A148,Enforcements!$C$7:$E$12,3,0)</f>
        <v>#N/A</v>
      </c>
      <c r="AD148" s="206">
        <f t="shared" si="114"/>
        <v>233</v>
      </c>
      <c r="AE148" s="77" t="str">
        <f t="shared" si="122"/>
        <v>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 &amp; aws s3 cp s3://rtdc.mdm.uploadarchive.raw/RTDC4058/ "%USERPROFILE%\AppData\Local\Temp\OnboardLogs"\RTDC4058\2017-08-12 --exclude "*" --recursive --include "*20170812*" &amp; "%USERPROFILE%\Documents\GitHub\mrs-test-scripts\Headless Mode &amp; Sideloading\WalkAndUnGZ.bat" "%USERPROFILE%\AppData\Local\Temp\OnboardLogs"\RTDC4058\2017-08-12</v>
      </c>
      <c r="AF148" s="74" t="str">
        <f t="shared" si="123"/>
        <v>"C:\Program Files (x86)\AstroGrep\AstroGrep.exe" /e /r /s /spath="%USERPROFILE%\AppData\Local\Temp\OnboardLogs" /stypes="app*4058*20170812*" /stext=" 04:.+((SYSTEM_STATE.+slice.+state.+changed )|(ment ac)|(multiple cpu faults)|(system.+state.+changed )|(\[timeout)|(PRM\|1\|D)|(kpr)|(kdp)|(train st.+moving)|(\|lc)|(penalty))"</v>
      </c>
      <c r="AG148" s="209" t="str">
        <f t="shared" si="115"/>
        <v>EC</v>
      </c>
      <c r="AH148" s="78" t="str">
        <f t="shared" si="124"/>
        <v>"%USERPROFILE%\Documents\GitHub\eaglep3\Utilities\RefineRTDCRunTimes.py" --tripid 233-11 --locoid 4058 --swversion DE.1.0.9.0 --startMP 204:435 --initTime 2017-08-11T21:43:37 --startdatetime 2017-08-11T22:00:48 --delay 1 --endMP 204:233412 --enddatetime 2017-08-11T22:38:34 --enforcementcount 0 &gt;&gt;C:\Users\stu\Documents\GitHub\eaglep3-reporting\EC\2017-08-11-refined-times.txt</v>
      </c>
      <c r="AI148" s="96" t="str">
        <f t="shared" si="125"/>
        <v>echo {"issue":{"subject":"","project_id":79,"tracker_id":40,"status_id":1,"priority_id":2,"assigned_to_id":23,"start_date":"2017-08-11","description":"","custom_fields":[{"id":1,"name":"Subdivision","value":"EC"},{"id":4,"name":"Milepost","value":"23.3412"},{"id":17,"name":"Train ID","value":"233-11"},{"id":16,"name":"Locomotive ID","value":"4058"},{"id":130,"name":"Impact","value":""},{"id":150,"name":"Time of Event (Mountain Time)","value":"22:38:34"},{"id":151,"name":"Denver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26"/>
        <v>start /low /b %USERPROFILE%\Documents\GitHub\eaglep3\Utilities\DownloadLogsFromS3.py --loco 4058 --day 2017-08-11</v>
      </c>
      <c r="AN148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04:38:34"},{"id":29,"name":"Sharepoint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853</v>
      </c>
      <c r="B149" s="7">
        <v>4057</v>
      </c>
      <c r="C149" s="21" t="s">
        <v>198</v>
      </c>
      <c r="D149" s="21" t="s">
        <v>900</v>
      </c>
      <c r="E149" s="13">
        <v>42958.945347222223</v>
      </c>
      <c r="F149" s="13">
        <v>42958.956562500003</v>
      </c>
      <c r="G149" s="7">
        <v>1</v>
      </c>
      <c r="H149" s="21" t="s">
        <v>583</v>
      </c>
      <c r="I149" s="13">
        <v>42958.987372685187</v>
      </c>
      <c r="J149" s="7">
        <v>0</v>
      </c>
      <c r="K149" s="89" t="str">
        <f t="shared" si="108"/>
        <v>4057/4058</v>
      </c>
      <c r="L149" s="21" t="str">
        <f>VLOOKUP(A149,'Trips&amp;Operators'!$C$1:$G$99999,5,FALSE)</f>
        <v>PERKINS DARREN</v>
      </c>
      <c r="M149" s="6">
        <f t="shared" si="109"/>
        <v>3.0810185184236616E-2</v>
      </c>
      <c r="N149" s="7">
        <f t="shared" si="119"/>
        <v>44.366666665300727</v>
      </c>
      <c r="O149" s="7"/>
      <c r="P149" s="7"/>
      <c r="Q149" s="22"/>
      <c r="R149" s="170"/>
      <c r="S149" s="213">
        <f t="shared" si="120"/>
        <v>1</v>
      </c>
      <c r="T149" s="195" t="str">
        <f t="shared" si="112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121"/>
        <v>https://d0f6bd738d7f1b3e5a7ca70fe4ff75f0.us-east-1.aws.found.io/app/kibana#/discover/Steve-Slow-Train-Analysis-(2080s-and-2083s)?_g=(refreshInterval:(display:Off,pause:!f,section:0,value:0),time:(from:'2017-08-11T21:41:18-0600',mode:absolute,to:'2017-08-12T00:41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9" s="197" t="str">
        <f>IF(AA149&lt;VLOOKUP(AG149,Variables!$AC$3:$AD$8,2,FALSE),"Y","N")</f>
        <v>N</v>
      </c>
      <c r="X149" s="197">
        <f t="shared" si="118"/>
        <v>1</v>
      </c>
      <c r="Y149" s="197">
        <f t="shared" si="117"/>
        <v>23.307400000000001</v>
      </c>
      <c r="Z149" s="197">
        <f t="shared" si="116"/>
        <v>1.1900000000000001E-2</v>
      </c>
      <c r="AA149" s="197">
        <f t="shared" si="113"/>
        <v>23.295500000000001</v>
      </c>
      <c r="AB149" s="54" t="e">
        <f>VLOOKUP(A149,Enforcements!$C$7:$K$12,8,0)</f>
        <v>#N/A</v>
      </c>
      <c r="AC149" s="51" t="e">
        <f>VLOOKUP(A149,Enforcements!$C$7:$E$12,3,0)</f>
        <v>#N/A</v>
      </c>
      <c r="AD149" s="206">
        <f t="shared" si="114"/>
        <v>234</v>
      </c>
      <c r="AE149" s="77" t="str">
        <f t="shared" si="122"/>
        <v>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 &amp; aws s3 cp s3://rtdc.mdm.uploadarchive.raw/RTDC4057/ "%USERPROFILE%\AppData\Local\Temp\OnboardLogs"\RTDC4057\2017-08-12 --exclude "*" --recursive --include "*20170812*" &amp; "%USERPROFILE%\Documents\GitHub\mrs-test-scripts\Headless Mode &amp; Sideloading\WalkAndUnGZ.bat" "%USERPROFILE%\AppData\Local\Temp\OnboardLogs"\RTDC4057\2017-08-12</v>
      </c>
      <c r="AF149" s="74" t="str">
        <f t="shared" si="123"/>
        <v>"C:\Program Files (x86)\AstroGrep\AstroGrep.exe" /e /r /s /spath="%USERPROFILE%\AppData\Local\Temp\OnboardLogs" /stypes="app*4057*20170812*" /stext=" 05:.+((SYSTEM_STATE.+slice.+state.+changed )|(ment ac)|(multiple cpu faults)|(system.+state.+changed )|(\[timeout)|(PRM\|1\|D)|(kpr)|(kdp)|(train st.+moving)|(\|lc)|(penalty))"</v>
      </c>
      <c r="AG149" s="209" t="str">
        <f t="shared" si="115"/>
        <v>EC</v>
      </c>
      <c r="AH149" s="78" t="str">
        <f t="shared" si="124"/>
        <v>"%USERPROFILE%\Documents\GitHub\eaglep3\Utilities\RefineRTDCRunTimes.py" --tripid 234-11 --locoid 4057 --swversion DE.1.0.9.0 --startMP 204:233074 --initTime 2017-08-11T22:41:18 --startdatetime 2017-08-11T22:57:27 --delay 1 --endMP 204:119 --enddatetime 2017-08-11T23:41:49 --enforcementcount 0 &gt;&gt;C:\Users\stu\Documents\GitHub\eaglep3-reporting\EC\2017-08-11-refined-times.txt</v>
      </c>
      <c r="AI149" s="96" t="str">
        <f t="shared" si="125"/>
        <v>echo {"issue":{"subject":"","project_id":79,"tracker_id":40,"status_id":1,"priority_id":2,"assigned_to_id":23,"start_date":"2017-08-11","description":"","custom_fields":[{"id":1,"name":"Subdivision","value":"EC"},{"id":4,"name":"Milepost","value":"0.0119"},{"id":17,"name":"Train ID","value":"234-11"},{"id":16,"name":"Locomotive ID","value":"4057"},{"id":130,"name":"Impact","value":""},{"id":150,"name":"Time of Event (Mountain Time)","value":"23:41:49"},{"id":151,"name":"Denver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26"/>
        <v>start /low /b %USERPROFILE%\Documents\GitHub\eaglep3\Utilities\DownloadLogsFromS3.py --loco 4057 --day 2017-08-11</v>
      </c>
      <c r="AN149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05:41:49"},{"id":29,"name":"Sharepoint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639</v>
      </c>
      <c r="B150" s="7">
        <v>4020</v>
      </c>
      <c r="C150" s="21" t="s">
        <v>198</v>
      </c>
      <c r="D150" s="21" t="s">
        <v>434</v>
      </c>
      <c r="E150" s="13">
        <v>42958.92392361111</v>
      </c>
      <c r="F150" s="13">
        <v>42958.938055555554</v>
      </c>
      <c r="G150" s="7">
        <v>1</v>
      </c>
      <c r="H150" s="21" t="s">
        <v>893</v>
      </c>
      <c r="I150" s="13">
        <v>42958.966087962966</v>
      </c>
      <c r="J150" s="7">
        <v>0</v>
      </c>
      <c r="K150" s="89" t="str">
        <f t="shared" si="108"/>
        <v>4019/4020</v>
      </c>
      <c r="L150" s="21" t="str">
        <f>VLOOKUP(A150,'Trips&amp;Operators'!$C$1:$G$99999,5,FALSE)</f>
        <v>FORTUNATO FRANK</v>
      </c>
      <c r="M150" s="6">
        <f t="shared" si="109"/>
        <v>2.8032407411956228E-2</v>
      </c>
      <c r="N150" s="7">
        <f t="shared" si="119"/>
        <v>40.366666673216969</v>
      </c>
      <c r="O150" s="7"/>
      <c r="P150" s="7"/>
      <c r="Q150" s="22"/>
      <c r="R150" s="170" t="s">
        <v>1116</v>
      </c>
      <c r="S150" s="213">
        <f t="shared" si="120"/>
        <v>1</v>
      </c>
      <c r="T150" s="195" t="str">
        <f t="shared" si="112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121"/>
        <v>https://d0f6bd738d7f1b3e5a7ca70fe4ff75f0.us-east-1.aws.found.io/app/kibana#/discover/Steve-Slow-Train-Analysis-(2080s-and-2083s)?_g=(refreshInterval:(display:Off,pause:!f,section:0,value:0),time:(from:'2017-08-11T21:10:27-0600',mode:absolute,to:'2017-08-12T00:11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0" s="197" t="str">
        <f>IF(AA150&lt;VLOOKUP(AG150,Variables!$AC$3:$AD$8,2,FALSE),"Y","N")</f>
        <v>N</v>
      </c>
      <c r="X150" s="197">
        <f t="shared" si="118"/>
        <v>1</v>
      </c>
      <c r="Y150" s="197">
        <f t="shared" si="117"/>
        <v>4.4900000000000002E-2</v>
      </c>
      <c r="Z150" s="197">
        <f t="shared" si="116"/>
        <v>23.330200000000001</v>
      </c>
      <c r="AA150" s="197">
        <f t="shared" si="113"/>
        <v>23.285300000000003</v>
      </c>
      <c r="AB150" s="54" t="str">
        <f>VLOOKUP(A150,Enforcements!$C$7:$K$12,8,0)</f>
        <v>Bulletin (2)</v>
      </c>
      <c r="AC150" s="51" t="str">
        <f>VLOOKUP(A150,Enforcements!$C$7:$E$12,3,0)</f>
        <v>GRADE CROSSING</v>
      </c>
      <c r="AD150" s="206">
        <f t="shared" si="114"/>
        <v>235</v>
      </c>
      <c r="AE150" s="77" t="str">
        <f t="shared" si="122"/>
        <v>aws s3 cp s3://rtdc.mdm.uploadarchive.raw/RTDC4020/ "%USERPROFILE%\AppData\Local\Temp\OnboardLogs"\RTDC4020\2017-08-11 --exclude "*" --recursive --include "*20170811*" &amp; "%USERPROFILE%\Documents\GitHub\mrs-test-scripts\Headless Mode &amp; Sideloading\WalkAndUnGZ.bat" "%USERPROFILE%\AppData\Local\Temp\OnboardLogs"\RTDC4020\2017-08-11 &amp; aws s3 cp s3://rtdc.mdm.uploadarchive.raw/RTDC4020/ "%USERPROFILE%\AppData\Local\Temp\OnboardLogs"\RTDC4020\2017-08-12 --exclude "*" --recursive --include "*20170812*" &amp; "%USERPROFILE%\Documents\GitHub\mrs-test-scripts\Headless Mode &amp; Sideloading\WalkAndUnGZ.bat" "%USERPROFILE%\AppData\Local\Temp\OnboardLogs"\RTDC4020\2017-08-12</v>
      </c>
      <c r="AF150" s="74" t="str">
        <f t="shared" si="123"/>
        <v>"C:\Program Files (x86)\AstroGrep\AstroGrep.exe" /e /r /s /spath="%USERPROFILE%\AppData\Local\Temp\OnboardLogs" /stypes="app*4020*20170812*" /stext=" 05:.+((SYSTEM_STATE.+slice.+state.+changed )|(ment ac)|(multiple cpu faults)|(system.+state.+changed )|(\[timeout)|(PRM\|1\|D)|(kpr)|(kdp)|(train st.+moving)|(\|lc)|(penalty))"</v>
      </c>
      <c r="AG150" s="209" t="str">
        <f t="shared" si="115"/>
        <v>EC</v>
      </c>
      <c r="AH150" s="78" t="str">
        <f t="shared" si="124"/>
        <v>"%USERPROFILE%\Documents\GitHub\eaglep3\Utilities\RefineRTDCRunTimes.py" --tripid 235-11 --locoid 4020 --swversion DE.1.0.9.0 --startMP 204:449 --initTime 2017-08-11T22:10:27 --startdatetime 2017-08-11T22:30:48 --delay 1 --endMP 204:233302 --enddatetime 2017-08-11T23:11:10 --enforcementcount 0 &gt;&gt;C:\Users\stu\Documents\GitHub\eaglep3-reporting\EC\2017-08-11-refined-times.txt</v>
      </c>
      <c r="AI150" s="96" t="str">
        <f t="shared" si="125"/>
        <v>echo {"issue":{"subject":"No PTC issues found around 22:47 (a Form C enforcement right before the incident)","project_id":79,"tracker_id":40,"status_id":1,"priority_id":2,"assigned_to_id":23,"start_date":"2017-08-11","description":"","custom_fields":[{"id":1,"name":"Subdivision","value":"EC"},{"id":4,"name":"Milepost","value":"23.3302"},{"id":17,"name":"Train ID","value":"235-11"},{"id":16,"name":"Locomotive ID","value":"4020"},{"id":130,"name":"Impact","value":""},{"id":150,"name":"Time of Event (Mountain Time)","value":"23:11:10"},{"id":151,"name":"Denver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26"/>
        <v>start /low /b %USERPROFILE%\Documents\GitHub\eaglep3\Utilities\DownloadLogsFromS3.py --loco 4020 --day 2017-08-11</v>
      </c>
      <c r="AN150" s="151" t="str">
        <f t="shared" si="127"/>
        <v>echo {"issue":{"subject":"No PTC issues found around 22:47 (a Form C enforcement right before the incident)","project_id":30,"tracker_id":4,"status_id":1,"priority_id":1,"assigned_to_id":10,"start_date":"2017-08-12","description":"","custom_fields":[{"id":30,"name":"Category","value":"Issue"},{"id":3,"name":"Functional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05:11:10"},{"id":29,"name":"Sharepoint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855</v>
      </c>
      <c r="B151" s="7">
        <v>4019</v>
      </c>
      <c r="C151" s="21" t="s">
        <v>198</v>
      </c>
      <c r="D151" s="21" t="s">
        <v>885</v>
      </c>
      <c r="E151" s="13">
        <v>42958.968090277776</v>
      </c>
      <c r="F151" s="13">
        <v>42958.977303240739</v>
      </c>
      <c r="G151" s="7">
        <v>1</v>
      </c>
      <c r="H151" s="21" t="s">
        <v>349</v>
      </c>
      <c r="I151" s="13">
        <v>42959.00513888889</v>
      </c>
      <c r="J151" s="7">
        <v>0</v>
      </c>
      <c r="K151" s="89" t="str">
        <f t="shared" ref="K151:K182" si="128">IF(ISEVEN(B151),(B151-1)&amp;"/"&amp;B151,B151&amp;"/"&amp;(B151+1))</f>
        <v>4019/4020</v>
      </c>
      <c r="L151" s="21" t="str">
        <f>VLOOKUP(A151,'Trips&amp;Operators'!$C$1:$G$99999,5,FALSE)</f>
        <v>FORTUNATO FRANK</v>
      </c>
      <c r="M151" s="6">
        <f t="shared" ref="M151:M182" si="129">I151-F151</f>
        <v>2.7835648150357883E-2</v>
      </c>
      <c r="N151" s="7">
        <f t="shared" si="119"/>
        <v>40.083333336515352</v>
      </c>
      <c r="O151" s="7"/>
      <c r="P151" s="7"/>
      <c r="Q151" s="22"/>
      <c r="R151" s="170"/>
      <c r="S151" s="213">
        <f t="shared" si="120"/>
        <v>1</v>
      </c>
      <c r="T151" s="195" t="str">
        <f t="shared" ref="T151:T182" si="130">IF(ISEVEN(LEFT(AD151,4)),"Southbound","NorthBound")</f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121"/>
        <v>https://d0f6bd738d7f1b3e5a7ca70fe4ff75f0.us-east-1.aws.found.io/app/kibana#/discover/Steve-Slow-Train-Analysis-(2080s-and-2083s)?_g=(refreshInterval:(display:Off,pause:!f,section:0,value:0),time:(from:'2017-08-11T22:14:03-0600',mode:absolute,to:'2017-08-12T01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1" s="197" t="str">
        <f>IF(AA151&lt;VLOOKUP(AG151,Variables!$AC$3:$AD$8,2,FALSE),"Y","N")</f>
        <v>N</v>
      </c>
      <c r="X151" s="197">
        <f t="shared" si="118"/>
        <v>1</v>
      </c>
      <c r="Y151" s="197">
        <f t="shared" si="117"/>
        <v>23.2989</v>
      </c>
      <c r="Z151" s="197">
        <f t="shared" si="116"/>
        <v>1.41E-2</v>
      </c>
      <c r="AA151" s="197">
        <f t="shared" ref="AA151:AA182" si="131">ABS(Z151-Y151)</f>
        <v>23.284800000000001</v>
      </c>
      <c r="AB151" s="54" t="e">
        <f>VLOOKUP(A151,Enforcements!$C$7:$K$12,8,0)</f>
        <v>#N/A</v>
      </c>
      <c r="AC151" s="51" t="e">
        <f>VLOOKUP(A151,Enforcements!$C$7:$E$12,3,0)</f>
        <v>#N/A</v>
      </c>
      <c r="AD151" s="206">
        <f t="shared" ref="AD151:AD182" si="132">VALUE(LEFT(A151,LEN(A151)-3))</f>
        <v>236</v>
      </c>
      <c r="AE151" s="77" t="str">
        <f t="shared" si="122"/>
        <v>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 &amp; aws s3 cp s3://rtdc.mdm.uploadarchive.raw/RTDC4019/ "%USERPROFILE%\AppData\Local\Temp\OnboardLogs"\RTDC4019\2017-08-12 --exclude "*" --recursive --include "*20170812*" &amp; "%USERPROFILE%\Documents\GitHub\mrs-test-scripts\Headless Mode &amp; Sideloading\WalkAndUnGZ.bat" "%USERPROFILE%\AppData\Local\Temp\OnboardLogs"\RTDC4019\2017-08-12</v>
      </c>
      <c r="AF151" s="74" t="str">
        <f t="shared" si="123"/>
        <v>"C:\Program Files (x86)\AstroGrep\AstroGrep.exe" /e /r /s /spath="%USERPROFILE%\AppData\Local\Temp\OnboardLogs" /stypes="app*4019*20170812*" /stext=" 06:.+((SYSTEM_STATE.+slice.+state.+changed )|(ment ac)|(multiple cpu faults)|(system.+state.+changed )|(\[timeout)|(PRM\|1\|D)|(kpr)|(kdp)|(train st.+moving)|(\|lc)|(penalty))"</v>
      </c>
      <c r="AG151" s="209" t="str">
        <f t="shared" ref="AG151:AG182" si="133">DetSubdiv(A151)</f>
        <v>EC</v>
      </c>
      <c r="AH151" s="78" t="str">
        <f t="shared" si="124"/>
        <v>"%USERPROFILE%\Documents\GitHub\eaglep3\Utilities\RefineRTDCRunTimes.py" --tripid 236-11 --locoid 4019 --swversion DE.1.0.9.0 --startMP 204:232989 --initTime 2017-08-11T23:14:03 --startdatetime 2017-08-11T23:27:19 --delay 1 --endMP 204:141 --enddatetime 2017-08-12T00:07:24 --enforcementcount 0 &gt;&gt;C:\Users\stu\Documents\GitHub\eaglep3-reporting\EC\2017-08-11-refined-times.txt</v>
      </c>
      <c r="AI151" s="96" t="str">
        <f t="shared" si="125"/>
        <v>echo {"issue":{"subject":"","project_id":79,"tracker_id":40,"status_id":1,"priority_id":2,"assigned_to_id":23,"start_date":"2017-08-12","description":"","custom_fields":[{"id":1,"name":"Subdivision","value":"EC"},{"id":4,"name":"Milepost","value":"0.0141"},{"id":17,"name":"Train ID","value":"236-11"},{"id":16,"name":"Locomotive ID","value":"4019"},{"id":130,"name":"Impact","value":""},{"id":150,"name":"Time of Event (Mountain Time)","value":"00:07:24"},{"id":151,"name":"Denver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126"/>
        <v>start /low /b %USERPROFILE%\Documents\GitHub\eaglep3\Utilities\DownloadLogsFromS3.py --loco 4019 --day 2017-08-11</v>
      </c>
      <c r="AN151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06:07:24"},{"id":29,"name":"Sharepoint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2" t="s">
        <v>854</v>
      </c>
      <c r="B152" s="7">
        <v>4040</v>
      </c>
      <c r="C152" s="21" t="s">
        <v>198</v>
      </c>
      <c r="D152" s="21" t="s">
        <v>393</v>
      </c>
      <c r="E152" s="13">
        <v>42958.950567129628</v>
      </c>
      <c r="F152" s="13">
        <v>42958.959004629629</v>
      </c>
      <c r="G152" s="7">
        <v>2</v>
      </c>
      <c r="H152" s="21" t="s">
        <v>495</v>
      </c>
      <c r="I152" s="13">
        <v>42958.9846875</v>
      </c>
      <c r="J152" s="7">
        <v>0</v>
      </c>
      <c r="K152" s="89" t="str">
        <f t="shared" si="128"/>
        <v>4039/4040</v>
      </c>
      <c r="L152" s="21" t="str">
        <f>VLOOKUP(A152,'Trips&amp;Operators'!$C$1:$G$99999,5,FALSE)</f>
        <v>LAMAR NEKESHA</v>
      </c>
      <c r="M152" s="6">
        <f t="shared" si="129"/>
        <v>2.5682870371383615E-2</v>
      </c>
      <c r="N152" s="7">
        <f t="shared" si="119"/>
        <v>36.983333334792405</v>
      </c>
      <c r="O152" s="7"/>
      <c r="P152" s="7"/>
      <c r="Q152" s="22"/>
      <c r="R152" s="170"/>
      <c r="S152" s="213">
        <f t="shared" si="120"/>
        <v>1</v>
      </c>
      <c r="T152" s="195" t="str">
        <f t="shared" si="130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121"/>
        <v>https://d0f6bd738d7f1b3e5a7ca70fe4ff75f0.us-east-1.aws.found.io/app/kibana#/discover/Steve-Slow-Train-Analysis-(2080s-and-2083s)?_g=(refreshInterval:(display:Off,pause:!f,section:0,value:0),time:(from:'2017-08-11T21:48:49-0600',mode:absolute,to:'2017-08-12T00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2" s="197" t="str">
        <f>IF(AA152&lt;VLOOKUP(AG152,Variables!$AC$3:$AD$8,2,FALSE),"Y","N")</f>
        <v>N</v>
      </c>
      <c r="X152" s="197">
        <f t="shared" si="118"/>
        <v>1</v>
      </c>
      <c r="Y152" s="197">
        <f t="shared" si="117"/>
        <v>4.5499999999999999E-2</v>
      </c>
      <c r="Z152" s="197">
        <f t="shared" si="116"/>
        <v>23.329499999999999</v>
      </c>
      <c r="AA152" s="197">
        <f t="shared" si="131"/>
        <v>23.283999999999999</v>
      </c>
      <c r="AB152" s="54" t="e">
        <f>VLOOKUP(A152,Enforcements!$C$7:$K$12,8,0)</f>
        <v>#N/A</v>
      </c>
      <c r="AC152" s="51" t="e">
        <f>VLOOKUP(A152,Enforcements!$C$7:$E$12,3,0)</f>
        <v>#N/A</v>
      </c>
      <c r="AD152" s="206">
        <f t="shared" si="132"/>
        <v>237</v>
      </c>
      <c r="AE152" s="77" t="str">
        <f t="shared" si="122"/>
        <v>aws s3 cp s3://rtdc.mdm.uploadarchive.raw/RTDC4040/ "%USERPROFILE%\AppData\Local\Temp\OnboardLogs"\RTDC4040\2017-08-11 --exclude "*" --recursive --include "*20170811*" &amp; "%USERPROFILE%\Documents\GitHub\mrs-test-scripts\Headless Mode &amp; Sideloading\WalkAndUnGZ.bat" "%USERPROFILE%\AppData\Local\Temp\OnboardLogs"\RTDC4040\2017-08-11 &amp; aws s3 cp s3://rtdc.mdm.uploadarchive.raw/RTDC4040/ "%USERPROFILE%\AppData\Local\Temp\OnboardLogs"\RTDC4040\2017-08-12 --exclude "*" --recursive --include "*20170812*" &amp; "%USERPROFILE%\Documents\GitHub\mrs-test-scripts\Headless Mode &amp; Sideloading\WalkAndUnGZ.bat" "%USERPROFILE%\AppData\Local\Temp\OnboardLogs"\RTDC4040\2017-08-12</v>
      </c>
      <c r="AF152" s="74" t="str">
        <f t="shared" si="123"/>
        <v>"C:\Program Files (x86)\AstroGrep\AstroGrep.exe" /e /r /s /spath="%USERPROFILE%\AppData\Local\Temp\OnboardLogs" /stypes="app*4040*20170812*" /stext=" 05:.+((SYSTEM_STATE.+slice.+state.+changed )|(ment ac)|(multiple cpu faults)|(system.+state.+changed )|(\[timeout)|(PRM\|1\|D)|(kpr)|(kdp)|(train st.+moving)|(\|lc)|(penalty))"</v>
      </c>
      <c r="AG152" s="209" t="str">
        <f t="shared" si="133"/>
        <v>EC</v>
      </c>
      <c r="AH152" s="78" t="str">
        <f t="shared" si="124"/>
        <v>"%USERPROFILE%\Documents\GitHub\eaglep3\Utilities\RefineRTDCRunTimes.py" --tripid 237-11 --locoid 4040 --swversion DE.1.0.9.0 --startMP 204:455 --initTime 2017-08-11T22:48:49 --startdatetime 2017-08-11T23:00:58 --delay 2 --endMP 204:233295 --enddatetime 2017-08-11T23:37:57 --enforcementcount 0 &gt;&gt;C:\Users\stu\Documents\GitHub\eaglep3-reporting\EC\2017-08-11-refined-times.txt</v>
      </c>
      <c r="AI152" s="96" t="str">
        <f t="shared" si="125"/>
        <v>echo {"issue":{"subject":"","project_id":79,"tracker_id":40,"status_id":1,"priority_id":2,"assigned_to_id":23,"start_date":"2017-08-11","description":"","custom_fields":[{"id":1,"name":"Subdivision","value":"EC"},{"id":4,"name":"Milepost","value":"23.3295"},{"id":17,"name":"Train ID","value":"237-11"},{"id":16,"name":"Locomotive ID","value":"4040"},{"id":130,"name":"Impact","value":""},{"id":150,"name":"Time of Event (Mountain Time)","value":"23:37:57"},{"id":151,"name":"Denver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126"/>
        <v>start /low /b %USERPROFILE%\Documents\GitHub\eaglep3\Utilities\DownloadLogsFromS3.py --loco 4040 --day 2017-08-11</v>
      </c>
      <c r="AN152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05:37:57"},{"id":29,"name":"Sharepoint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x14ac:dyDescent="0.25">
      <c r="A153" s="32" t="s">
        <v>858</v>
      </c>
      <c r="B153" s="7">
        <v>4039</v>
      </c>
      <c r="C153" s="21" t="s">
        <v>198</v>
      </c>
      <c r="D153" s="21" t="s">
        <v>465</v>
      </c>
      <c r="E153" s="13">
        <v>42958.994733796295</v>
      </c>
      <c r="F153" s="13">
        <v>42958.998194444444</v>
      </c>
      <c r="G153" s="7">
        <v>2</v>
      </c>
      <c r="H153" s="21" t="s">
        <v>341</v>
      </c>
      <c r="I153" s="13">
        <v>42959.025300925925</v>
      </c>
      <c r="J153" s="7">
        <v>0</v>
      </c>
      <c r="K153" s="89" t="str">
        <f t="shared" si="128"/>
        <v>4039/4040</v>
      </c>
      <c r="L153" s="21" t="str">
        <f>VLOOKUP(A153,'Trips&amp;Operators'!$C$1:$G$99999,5,FALSE)</f>
        <v>LAMAR NEKESHA</v>
      </c>
      <c r="M153" s="6">
        <f t="shared" si="129"/>
        <v>2.7106481480586808E-2</v>
      </c>
      <c r="N153" s="7">
        <f t="shared" si="119"/>
        <v>39.033333332045004</v>
      </c>
      <c r="O153" s="7"/>
      <c r="P153" s="7"/>
      <c r="Q153" s="22"/>
      <c r="R153" s="170"/>
      <c r="S153" s="213">
        <f t="shared" si="120"/>
        <v>1</v>
      </c>
      <c r="T153" s="195" t="str">
        <f t="shared" si="130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121"/>
        <v>https://d0f6bd738d7f1b3e5a7ca70fe4ff75f0.us-east-1.aws.found.io/app/kibana#/discover/Steve-Slow-Train-Analysis-(2080s-and-2083s)?_g=(refreshInterval:(display:Off,pause:!f,section:0,value:0),time:(from:'2017-08-11T22:52:25-0600',mode:absolute,to:'2017-08-12T01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3" s="197" t="str">
        <f>IF(AA153&lt;VLOOKUP(AG153,Variables!$AC$3:$AD$8,2,FALSE),"Y","N")</f>
        <v>N</v>
      </c>
      <c r="X153" s="197">
        <f t="shared" si="118"/>
        <v>1</v>
      </c>
      <c r="Y153" s="197">
        <f t="shared" si="117"/>
        <v>23.297799999999999</v>
      </c>
      <c r="Z153" s="197">
        <f t="shared" si="116"/>
        <v>1.4999999999999999E-2</v>
      </c>
      <c r="AA153" s="197">
        <f t="shared" si="131"/>
        <v>23.282799999999998</v>
      </c>
      <c r="AB153" s="54" t="e">
        <f>VLOOKUP(A153,Enforcements!$C$7:$K$12,8,0)</f>
        <v>#N/A</v>
      </c>
      <c r="AC153" s="51" t="e">
        <f>VLOOKUP(A153,Enforcements!$C$7:$E$12,3,0)</f>
        <v>#N/A</v>
      </c>
      <c r="AD153" s="206">
        <f t="shared" si="132"/>
        <v>238</v>
      </c>
      <c r="AE153" s="77" t="str">
        <f t="shared" si="122"/>
        <v>aws s3 cp s3://rtdc.mdm.uploadarchive.raw/RTDC4039/ "%USERPROFILE%\AppData\Local\Temp\OnboardLogs"\RTDC4039\2017-08-11 --exclude "*" --recursive --include "*20170811*" &amp; "%USERPROFILE%\Documents\GitHub\mrs-test-scripts\Headless Mode &amp; Sideloading\WalkAndUnGZ.bat" "%USERPROFILE%\AppData\Local\Temp\OnboardLogs"\RTDC4039\2017-08-11 &amp; aws s3 cp s3://rtdc.mdm.uploadarchive.raw/RTDC4039/ "%USERPROFILE%\AppData\Local\Temp\OnboardLogs"\RTDC4039\2017-08-12 --exclude "*" --recursive --include "*20170812*" &amp; "%USERPROFILE%\Documents\GitHub\mrs-test-scripts\Headless Mode &amp; Sideloading\WalkAndUnGZ.bat" "%USERPROFILE%\AppData\Local\Temp\OnboardLogs"\RTDC4039\2017-08-12</v>
      </c>
      <c r="AF153" s="74" t="str">
        <f t="shared" si="123"/>
        <v>"C:\Program Files (x86)\AstroGrep\AstroGrep.exe" /e /r /s /spath="%USERPROFILE%\AppData\Local\Temp\OnboardLogs" /stypes="app*4039*20170812*" /stext=" 06:.+((SYSTEM_STATE.+slice.+state.+changed )|(ment ac)|(multiple cpu faults)|(system.+state.+changed )|(\[timeout)|(PRM\|1\|D)|(kpr)|(kdp)|(train st.+moving)|(\|lc)|(penalty))"</v>
      </c>
      <c r="AG153" s="209" t="str">
        <f t="shared" si="133"/>
        <v>EC</v>
      </c>
      <c r="AH153" s="78" t="str">
        <f t="shared" si="124"/>
        <v>"%USERPROFILE%\Documents\GitHub\eaglep3\Utilities\RefineRTDCRunTimes.py" --tripid 238-11 --locoid 4039 --swversion DE.1.0.9.0 --startMP 204:232978 --initTime 2017-08-11T23:52:25 --startdatetime 2017-08-11T23:57:24 --delay 2 --endMP 204:150 --enddatetime 2017-08-12T00:36:26 --enforcementcount 0 &gt;&gt;C:\Users\stu\Documents\GitHub\eaglep3-reporting\EC\2017-08-11-refined-times.txt</v>
      </c>
      <c r="AI153" s="96" t="str">
        <f t="shared" si="125"/>
        <v>echo {"issue":{"subject":"","project_id":79,"tracker_id":40,"status_id":1,"priority_id":2,"assigned_to_id":23,"start_date":"2017-08-12","description":"","custom_fields":[{"id":1,"name":"Subdivision","value":"EC"},{"id":4,"name":"Milepost","value":"0.015"},{"id":17,"name":"Train ID","value":"238-11"},{"id":16,"name":"Locomotive ID","value":"4039"},{"id":130,"name":"Impact","value":""},{"id":150,"name":"Time of Event (Mountain Time)","value":"00:36:26"},{"id":151,"name":"Denver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126"/>
        <v>start /low /b %USERPROFILE%\Documents\GitHub\eaglep3\Utilities\DownloadLogsFromS3.py --loco 4039 --day 2017-08-11</v>
      </c>
      <c r="AN153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06:36:26"},{"id":29,"name":"Sharepoint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s="20" customFormat="1" x14ac:dyDescent="0.25">
      <c r="A154" s="32" t="s">
        <v>856</v>
      </c>
      <c r="B154" s="7">
        <v>4012</v>
      </c>
      <c r="C154" s="21" t="s">
        <v>198</v>
      </c>
      <c r="D154" s="21" t="s">
        <v>434</v>
      </c>
      <c r="E154" s="13">
        <v>42958.976990740739</v>
      </c>
      <c r="F154" s="13">
        <v>42958.979675925926</v>
      </c>
      <c r="G154" s="7">
        <v>1</v>
      </c>
      <c r="H154" s="21" t="s">
        <v>915</v>
      </c>
      <c r="I154" s="13">
        <v>42959.004641203705</v>
      </c>
      <c r="J154" s="7">
        <v>0</v>
      </c>
      <c r="K154" s="89" t="str">
        <f t="shared" si="128"/>
        <v>4011/4012</v>
      </c>
      <c r="L154" s="21" t="str">
        <f>VLOOKUP(A154,'Trips&amp;Operators'!$C$1:$G$99999,5,FALSE)</f>
        <v>HELVIE ADAM</v>
      </c>
      <c r="M154" s="6">
        <f t="shared" si="129"/>
        <v>2.4965277778392192E-2</v>
      </c>
      <c r="N154" s="7">
        <f t="shared" si="119"/>
        <v>35.950000000884756</v>
      </c>
      <c r="O154" s="7"/>
      <c r="P154" s="7"/>
      <c r="Q154" s="22"/>
      <c r="R154" s="170"/>
      <c r="S154" s="213">
        <f t="shared" si="120"/>
        <v>1</v>
      </c>
      <c r="T154" s="195" t="str">
        <f t="shared" si="130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121"/>
        <v>https://d0f6bd738d7f1b3e5a7ca70fe4ff75f0.us-east-1.aws.found.io/app/kibana#/discover/Steve-Slow-Train-Analysis-(2080s-and-2083s)?_g=(refreshInterval:(display:Off,pause:!f,section:0,value:0),time:(from:'2017-08-11T22:26:52-0600',mode:absolute,to:'2017-08-12T01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4" s="197" t="str">
        <f>IF(AA154&lt;VLOOKUP(AG154,Variables!$AC$3:$AD$8,2,FALSE),"Y","N")</f>
        <v>N</v>
      </c>
      <c r="X154" s="197">
        <f t="shared" si="118"/>
        <v>1</v>
      </c>
      <c r="Y154" s="197">
        <f t="shared" si="117"/>
        <v>4.4900000000000002E-2</v>
      </c>
      <c r="Z154" s="197">
        <f t="shared" si="116"/>
        <v>23.328199999999999</v>
      </c>
      <c r="AA154" s="197">
        <f t="shared" si="131"/>
        <v>23.283300000000001</v>
      </c>
      <c r="AB154" s="54" t="e">
        <f>VLOOKUP(A154,Enforcements!$C$7:$K$12,8,0)</f>
        <v>#N/A</v>
      </c>
      <c r="AC154" s="51" t="e">
        <f>VLOOKUP(A154,Enforcements!$C$7:$E$12,3,0)</f>
        <v>#N/A</v>
      </c>
      <c r="AD154" s="206">
        <f t="shared" si="132"/>
        <v>239</v>
      </c>
      <c r="AE154" s="77" t="str">
        <f t="shared" si="122"/>
        <v>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 &amp; aws s3 cp s3://rtdc.mdm.uploadarchive.raw/RTDC4012/ "%USERPROFILE%\AppData\Local\Temp\OnboardLogs"\RTDC4012\2017-08-12 --exclude "*" --recursive --include "*20170812*" &amp; "%USERPROFILE%\Documents\GitHub\mrs-test-scripts\Headless Mode &amp; Sideloading\WalkAndUnGZ.bat" "%USERPROFILE%\AppData\Local\Temp\OnboardLogs"\RTDC4012\2017-08-12</v>
      </c>
      <c r="AF154" s="74" t="str">
        <f t="shared" si="123"/>
        <v>"C:\Program Files (x86)\AstroGrep\AstroGrep.exe" /e /r /s /spath="%USERPROFILE%\AppData\Local\Temp\OnboardLogs" /stypes="app*4012*20170812*" /stext=" 06:.+((SYSTEM_STATE.+slice.+state.+changed )|(ment ac)|(multiple cpu faults)|(system.+state.+changed )|(\[timeout)|(PRM\|1\|D)|(kpr)|(kdp)|(train st.+moving)|(\|lc)|(penalty))"</v>
      </c>
      <c r="AG154" s="209" t="str">
        <f t="shared" si="133"/>
        <v>EC</v>
      </c>
      <c r="AH154" s="78" t="str">
        <f t="shared" si="124"/>
        <v>"%USERPROFILE%\Documents\GitHub\eaglep3\Utilities\RefineRTDCRunTimes.py" --tripid 239-11 --locoid 4012 --swversion DE.1.0.9.0 --startMP 204:449 --initTime 2017-08-11T23:26:52 --startdatetime 2017-08-11T23:30:44 --delay 1 --endMP 204:233282 --enddatetime 2017-08-12T00:06:41 --enforcementcount 0 &gt;&gt;C:\Users\stu\Documents\GitHub\eaglep3-reporting\EC\2017-08-11-refined-times.txt</v>
      </c>
      <c r="AI154" s="96" t="str">
        <f t="shared" si="125"/>
        <v>echo {"issue":{"subject":"","project_id":79,"tracker_id":40,"status_id":1,"priority_id":2,"assigned_to_id":23,"start_date":"2017-08-12","description":"","custom_fields":[{"id":1,"name":"Subdivision","value":"EC"},{"id":4,"name":"Milepost","value":"23.3282"},{"id":17,"name":"Train ID","value":"239-11"},{"id":16,"name":"Locomotive ID","value":"4012"},{"id":130,"name":"Impact","value":""},{"id":150,"name":"Time of Event (Mountain Time)","value":"00:06:41"},{"id":151,"name":"Denver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126"/>
        <v>start /low /b %USERPROFILE%\Documents\GitHub\eaglep3\Utilities\DownloadLogsFromS3.py --loco 4012 --day 2017-08-11</v>
      </c>
      <c r="AN154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06:06:41"},{"id":29,"name":"Sharepoint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859</v>
      </c>
      <c r="B155" s="7">
        <v>4011</v>
      </c>
      <c r="C155" s="21" t="s">
        <v>198</v>
      </c>
      <c r="D155" s="21" t="s">
        <v>1057</v>
      </c>
      <c r="E155" s="13">
        <v>42959.012337962966</v>
      </c>
      <c r="F155" s="13">
        <v>42959.019189814811</v>
      </c>
      <c r="G155" s="7">
        <v>1</v>
      </c>
      <c r="H155" s="21" t="s">
        <v>350</v>
      </c>
      <c r="I155" s="13">
        <v>42959.044895833336</v>
      </c>
      <c r="J155" s="7">
        <v>0</v>
      </c>
      <c r="K155" s="89" t="str">
        <f t="shared" si="128"/>
        <v>4011/4012</v>
      </c>
      <c r="L155" s="21" t="str">
        <f>VLOOKUP(A155,'Trips&amp;Operators'!$C$1:$G$99999,5,FALSE)</f>
        <v>HELVIE ADAM</v>
      </c>
      <c r="M155" s="6">
        <f t="shared" si="129"/>
        <v>2.570601852494292E-2</v>
      </c>
      <c r="N155" s="7">
        <f t="shared" si="119"/>
        <v>37.016666675917804</v>
      </c>
      <c r="O155" s="7"/>
      <c r="P155" s="7"/>
      <c r="Q155" s="22"/>
      <c r="R155" s="170"/>
      <c r="S155" s="213">
        <f t="shared" si="120"/>
        <v>1</v>
      </c>
      <c r="T155" s="195" t="str">
        <f t="shared" si="130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121"/>
        <v>https://d0f6bd738d7f1b3e5a7ca70fe4ff75f0.us-east-1.aws.found.io/app/kibana#/discover/Steve-Slow-Train-Analysis-(2080s-and-2083s)?_g=(refreshInterval:(display:Off,pause:!f,section:0,value:0),time:(from:'2017-08-11T23:17:46-0600',mode:absolute,to:'2017-08-12T02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5" s="197" t="str">
        <f>IF(AA155&lt;VLOOKUP(AG155,Variables!$AC$3:$AD$8,2,FALSE),"Y","N")</f>
        <v>N</v>
      </c>
      <c r="X155" s="197">
        <f t="shared" si="118"/>
        <v>1</v>
      </c>
      <c r="Y155" s="197">
        <f t="shared" si="117"/>
        <v>23.296299999999999</v>
      </c>
      <c r="Z155" s="197">
        <f t="shared" ref="Z155:Z186" si="134">RIGHT(H155,LEN(H155)-4)/10000</f>
        <v>1.47E-2</v>
      </c>
      <c r="AA155" s="197">
        <f t="shared" si="131"/>
        <v>23.281599999999997</v>
      </c>
      <c r="AB155" s="54" t="e">
        <f>VLOOKUP(A155,Enforcements!$C$7:$K$12,8,0)</f>
        <v>#N/A</v>
      </c>
      <c r="AC155" s="51" t="e">
        <f>VLOOKUP(A155,Enforcements!$C$7:$E$12,3,0)</f>
        <v>#N/A</v>
      </c>
      <c r="AD155" s="206">
        <f t="shared" si="132"/>
        <v>240</v>
      </c>
      <c r="AE155" s="77" t="str">
        <f t="shared" si="122"/>
        <v>aws s3 cp s3://rtdc.mdm.uploadarchive.raw/RTDC4011/ "%USERPROFILE%\AppData\Local\Temp\OnboardLogs"\RTDC4011\2017-08-12 --exclude "*" --recursive --include "*20170812*" &amp; "%USERPROFILE%\Documents\GitHub\mrs-test-scripts\Headless Mode &amp; Sideloading\WalkAndUnGZ.bat" "%USERPROFILE%\AppData\Local\Temp\OnboardLogs"\RTDC4011\2017-08-12 &amp; aws s3 cp s3://rtdc.mdm.uploadarchive.raw/RTDC4011/ "%USERPROFILE%\AppData\Local\Temp\OnboardLogs"\RTDC4011\2017-08-13 --exclude "*" --recursive --include "*20170813*" &amp; "%USERPROFILE%\Documents\GitHub\mrs-test-scripts\Headless Mode &amp; Sideloading\WalkAndUnGZ.bat" "%USERPROFILE%\AppData\Local\Temp\OnboardLogs"\RTDC4011\2017-08-13</v>
      </c>
      <c r="AF155" s="74" t="str">
        <f t="shared" si="123"/>
        <v>"C:\Program Files (x86)\AstroGrep\AstroGrep.exe" /e /r /s /spath="%USERPROFILE%\AppData\Local\Temp\OnboardLogs" /stypes="app*4011*20170812*" /stext=" 07:.+((SYSTEM_STATE.+slice.+state.+changed )|(ment ac)|(multiple cpu faults)|(system.+state.+changed )|(\[timeout)|(PRM\|1\|D)|(kpr)|(kdp)|(train st.+moving)|(\|lc)|(penalty))"</v>
      </c>
      <c r="AG155" s="209" t="str">
        <f t="shared" si="133"/>
        <v>EC</v>
      </c>
      <c r="AH155" s="78" t="str">
        <f t="shared" si="124"/>
        <v>"%USERPROFILE%\Documents\GitHub\eaglep3\Utilities\RefineRTDCRunTimes.py" --tripid 240-11 --locoid 4011 --swversion DE.1.0.9.0 --startMP 204:232963 --initTime 2017-08-12T00:17:46 --startdatetime 2017-08-12T00:27:38 --delay 1 --endMP 204:147 --enddatetime 2017-08-12T01:04:39 --enforcementcount 0 &gt;&gt;C:\Users\stu\Documents\GitHub\eaglep3-reporting\EC\2017-08-11-refined-times.txt</v>
      </c>
      <c r="AI155" s="96" t="str">
        <f t="shared" si="125"/>
        <v>echo {"issue":{"subject":"","project_id":79,"tracker_id":40,"status_id":1,"priority_id":2,"assigned_to_id":23,"start_date":"2017-08-12","description":"","custom_fields":[{"id":1,"name":"Subdivision","value":"EC"},{"id":4,"name":"Milepost","value":"0.0147"},{"id":17,"name":"Train ID","value":"240-11"},{"id":16,"name":"Locomotive ID","value":"4011"},{"id":130,"name":"Impact","value":""},{"id":150,"name":"Time of Event (Mountain Time)","value":"01:04:39"},{"id":151,"name":"Denver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126"/>
        <v>start /low /b %USERPROFILE%\Documents\GitHub\eaglep3\Utilities\DownloadLogsFromS3.py --loco 4011 --day 2017-08-12</v>
      </c>
      <c r="AN155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07:04:39"},{"id":29,"name":"Sharepoint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x14ac:dyDescent="0.25">
      <c r="A156" s="32" t="s">
        <v>857</v>
      </c>
      <c r="B156" s="7">
        <v>4058</v>
      </c>
      <c r="C156" s="21" t="s">
        <v>198</v>
      </c>
      <c r="D156" s="21" t="s">
        <v>532</v>
      </c>
      <c r="E156" s="13">
        <v>42958.98951388889</v>
      </c>
      <c r="F156" s="13">
        <v>42959.000520833331</v>
      </c>
      <c r="G156" s="7">
        <v>1</v>
      </c>
      <c r="H156" s="21" t="s">
        <v>496</v>
      </c>
      <c r="I156" s="13">
        <v>42959.025138888886</v>
      </c>
      <c r="J156" s="7">
        <v>0</v>
      </c>
      <c r="K156" s="89" t="str">
        <f t="shared" si="128"/>
        <v>4057/4058</v>
      </c>
      <c r="L156" s="21" t="str">
        <f>VLOOKUP(A156,'Trips&amp;Operators'!$C$1:$G$99999,5,FALSE)</f>
        <v>PERKINS DARREN</v>
      </c>
      <c r="M156" s="6">
        <f t="shared" si="129"/>
        <v>2.4618055555038154E-2</v>
      </c>
      <c r="N156" s="7">
        <f t="shared" si="119"/>
        <v>35.449999999254942</v>
      </c>
      <c r="O156" s="7"/>
      <c r="P156" s="7"/>
      <c r="Q156" s="22"/>
      <c r="R156" s="170"/>
      <c r="S156" s="213">
        <f t="shared" si="120"/>
        <v>1</v>
      </c>
      <c r="T156" s="195" t="str">
        <f t="shared" si="130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121"/>
        <v>https://d0f6bd738d7f1b3e5a7ca70fe4ff75f0.us-east-1.aws.found.io/app/kibana#/discover/Steve-Slow-Train-Analysis-(2080s-and-2083s)?_g=(refreshInterval:(display:Off,pause:!f,section:0,value:0),time:(from:'2017-08-11T22:44:54-0600',mode:absolute,to:'2017-08-12T01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6" s="197" t="str">
        <f>IF(AA156&lt;VLOOKUP(AG156,Variables!$AC$3:$AD$8,2,FALSE),"Y","N")</f>
        <v>N</v>
      </c>
      <c r="X156" s="197">
        <f t="shared" si="118"/>
        <v>1</v>
      </c>
      <c r="Y156" s="197">
        <f t="shared" si="117"/>
        <v>4.24E-2</v>
      </c>
      <c r="Z156" s="197">
        <f t="shared" si="134"/>
        <v>23.338000000000001</v>
      </c>
      <c r="AA156" s="197">
        <f t="shared" si="131"/>
        <v>23.2956</v>
      </c>
      <c r="AB156" s="54" t="e">
        <f>VLOOKUP(A156,Enforcements!$C$7:$K$12,8,0)</f>
        <v>#N/A</v>
      </c>
      <c r="AC156" s="51" t="e">
        <f>VLOOKUP(A156,Enforcements!$C$7:$E$12,3,0)</f>
        <v>#N/A</v>
      </c>
      <c r="AD156" s="206">
        <f t="shared" si="132"/>
        <v>241</v>
      </c>
      <c r="AE156" s="77" t="str">
        <f t="shared" si="122"/>
        <v>aws s3 cp s3://rtdc.mdm.uploadarchive.raw/RTDC4058/ "%USERPROFILE%\AppData\Local\Temp\OnboardLogs"\RTDC4058\2017-08-12 --exclude "*" --recursive --include "*20170812*" &amp; "%USERPROFILE%\Documents\GitHub\mrs-test-scripts\Headless Mode &amp; Sideloading\WalkAndUnGZ.bat" "%USERPROFILE%\AppData\Local\Temp\OnboardLogs"\RTDC4058\2017-08-12 &amp; aws s3 cp s3://rtdc.mdm.uploadarchive.raw/RTDC4058/ "%USERPROFILE%\AppData\Local\Temp\OnboardLogs"\RTDC4058\2017-08-13 --exclude "*" --recursive --include "*20170813*" &amp; "%USERPROFILE%\Documents\GitHub\mrs-test-scripts\Headless Mode &amp; Sideloading\WalkAndUnGZ.bat" "%USERPROFILE%\AppData\Local\Temp\OnboardLogs"\RTDC4058\2017-08-13</v>
      </c>
      <c r="AF156" s="74" t="str">
        <f t="shared" si="123"/>
        <v>"C:\Program Files (x86)\AstroGrep\AstroGrep.exe" /e /r /s /spath="%USERPROFILE%\AppData\Local\Temp\OnboardLogs" /stypes="app*4058*20170812*" /stext=" 06:.+((SYSTEM_STATE.+slice.+state.+changed )|(ment ac)|(multiple cpu faults)|(system.+state.+changed )|(\[timeout)|(PRM\|1\|D)|(kpr)|(kdp)|(train st.+moving)|(\|lc)|(penalty))"</v>
      </c>
      <c r="AG156" s="209" t="str">
        <f t="shared" si="133"/>
        <v>EC</v>
      </c>
      <c r="AH156" s="78" t="str">
        <f t="shared" si="124"/>
        <v>"%USERPROFILE%\Documents\GitHub\eaglep3\Utilities\RefineRTDCRunTimes.py" --tripid 241-11 --locoid 4058 --swversion DE.1.0.9.0 --startMP 204:424 --initTime 2017-08-11T23:44:54 --startdatetime 2017-08-12T00:00:45 --delay 1 --endMP 204:233380 --enddatetime 2017-08-12T00:36:12 --enforcementcount 0 &gt;&gt;C:\Users\stu\Documents\GitHub\eaglep3-reporting\EC\2017-08-11-refined-times.txt</v>
      </c>
      <c r="AI156" s="96" t="str">
        <f t="shared" si="125"/>
        <v>echo {"issue":{"subject":"","project_id":79,"tracker_id":40,"status_id":1,"priority_id":2,"assigned_to_id":23,"start_date":"2017-08-12","description":"","custom_fields":[{"id":1,"name":"Subdivision","value":"EC"},{"id":4,"name":"Milepost","value":"23.338"},{"id":17,"name":"Train ID","value":"241-11"},{"id":16,"name":"Locomotive ID","value":"4058"},{"id":130,"name":"Impact","value":""},{"id":150,"name":"Time of Event (Mountain Time)","value":"00:36:12"},{"id":151,"name":"Denver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126"/>
        <v>start /low /b %USERPROFILE%\Documents\GitHub\eaglep3\Utilities\DownloadLogsFromS3.py --loco 4058 --day 2017-08-12</v>
      </c>
      <c r="AN156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06:36:12"},{"id":29,"name":"Sharepoint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s="20" customFormat="1" x14ac:dyDescent="0.25">
      <c r="A157" s="32" t="s">
        <v>861</v>
      </c>
      <c r="B157" s="7">
        <v>4057</v>
      </c>
      <c r="C157" s="21" t="s">
        <v>198</v>
      </c>
      <c r="D157" s="21" t="s">
        <v>936</v>
      </c>
      <c r="E157" s="13">
        <v>42959.028067129628</v>
      </c>
      <c r="F157" s="13">
        <v>42959.039803240739</v>
      </c>
      <c r="G157" s="7">
        <v>1</v>
      </c>
      <c r="H157" s="21" t="s">
        <v>937</v>
      </c>
      <c r="I157" s="13">
        <v>42959.066331018519</v>
      </c>
      <c r="J157" s="7">
        <v>0</v>
      </c>
      <c r="K157" s="89" t="str">
        <f t="shared" si="128"/>
        <v>4057/4058</v>
      </c>
      <c r="L157" s="21" t="str">
        <f>VLOOKUP(A157,'Trips&amp;Operators'!$C$1:$G$99999,5,FALSE)</f>
        <v>PERKINS DARREN</v>
      </c>
      <c r="M157" s="6">
        <f t="shared" si="129"/>
        <v>2.6527777779847383E-2</v>
      </c>
      <c r="N157" s="7">
        <f t="shared" si="119"/>
        <v>38.200000002980232</v>
      </c>
      <c r="O157" s="7"/>
      <c r="P157" s="7"/>
      <c r="Q157" s="22"/>
      <c r="R157" s="170"/>
      <c r="S157" s="213">
        <f t="shared" si="120"/>
        <v>1</v>
      </c>
      <c r="T157" s="195" t="str">
        <f t="shared" si="130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121"/>
        <v>https://d0f6bd738d7f1b3e5a7ca70fe4ff75f0.us-east-1.aws.found.io/app/kibana#/discover/Steve-Slow-Train-Analysis-(2080s-and-2083s)?_g=(refreshInterval:(display:Off,pause:!f,section:0,value:0),time:(from:'2017-08-11T23:40:25-0600',mode:absolute,to:'2017-08-12T02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7" s="197" t="str">
        <f>IF(AA157&lt;VLOOKUP(AG157,Variables!$AC$3:$AD$8,2,FALSE),"Y","N")</f>
        <v>N</v>
      </c>
      <c r="X157" s="197">
        <f t="shared" si="118"/>
        <v>1</v>
      </c>
      <c r="Y157" s="197">
        <f t="shared" si="117"/>
        <v>23.303799999999999</v>
      </c>
      <c r="Z157" s="197">
        <f t="shared" si="134"/>
        <v>2.2100000000000002E-2</v>
      </c>
      <c r="AA157" s="197">
        <f t="shared" si="131"/>
        <v>23.281700000000001</v>
      </c>
      <c r="AB157" s="54" t="e">
        <f>VLOOKUP(A157,Enforcements!$C$7:$K$12,8,0)</f>
        <v>#N/A</v>
      </c>
      <c r="AC157" s="51" t="e">
        <f>VLOOKUP(A157,Enforcements!$C$7:$E$12,3,0)</f>
        <v>#N/A</v>
      </c>
      <c r="AD157" s="206">
        <f t="shared" si="132"/>
        <v>242</v>
      </c>
      <c r="AE157" s="77" t="str">
        <f t="shared" si="122"/>
        <v>aws s3 cp s3://rtdc.mdm.uploadarchive.raw/RTDC4057/ "%USERPROFILE%\AppData\Local\Temp\OnboardLogs"\RTDC4057\2017-08-12 --exclude "*" --recursive --include "*20170812*" &amp; "%USERPROFILE%\Documents\GitHub\mrs-test-scripts\Headless Mode &amp; Sideloading\WalkAndUnGZ.bat" "%USERPROFILE%\AppData\Local\Temp\OnboardLogs"\RTDC4057\2017-08-12 &amp; aws s3 cp s3://rtdc.mdm.uploadarchive.raw/RTDC4057/ "%USERPROFILE%\AppData\Local\Temp\OnboardLogs"\RTDC4057\2017-08-13 --exclude "*" --recursive --include "*20170813*" &amp; "%USERPROFILE%\Documents\GitHub\mrs-test-scripts\Headless Mode &amp; Sideloading\WalkAndUnGZ.bat" "%USERPROFILE%\AppData\Local\Temp\OnboardLogs"\RTDC4057\2017-08-13</v>
      </c>
      <c r="AF157" s="74" t="str">
        <f t="shared" si="123"/>
        <v>"C:\Program Files (x86)\AstroGrep\AstroGrep.exe" /e /r /s /spath="%USERPROFILE%\AppData\Local\Temp\OnboardLogs" /stypes="app*4057*20170812*" /stext=" 07:.+((SYSTEM_STATE.+slice.+state.+changed )|(ment ac)|(multiple cpu faults)|(system.+state.+changed )|(\[timeout)|(PRM\|1\|D)|(kpr)|(kdp)|(train st.+moving)|(\|lc)|(penalty))"</v>
      </c>
      <c r="AG157" s="209" t="str">
        <f t="shared" si="133"/>
        <v>EC</v>
      </c>
      <c r="AH157" s="78" t="str">
        <f t="shared" si="124"/>
        <v>"%USERPROFILE%\Documents\GitHub\eaglep3\Utilities\RefineRTDCRunTimes.py" --tripid 242-11 --locoid 4057 --swversion DE.1.0.9.0 --startMP 204:233038 --initTime 2017-08-12T00:40:25 --startdatetime 2017-08-12T00:57:19 --delay 1 --endMP 204:221 --enddatetime 2017-08-12T01:35:31 --enforcementcount 0 &gt;&gt;C:\Users\stu\Documents\GitHub\eaglep3-reporting\EC\2017-08-11-refined-times.txt</v>
      </c>
      <c r="AI157" s="96" t="str">
        <f t="shared" si="125"/>
        <v>echo {"issue":{"subject":"","project_id":79,"tracker_id":40,"status_id":1,"priority_id":2,"assigned_to_id":23,"start_date":"2017-08-12","description":"","custom_fields":[{"id":1,"name":"Subdivision","value":"EC"},{"id":4,"name":"Milepost","value":"0.0221"},{"id":17,"name":"Train ID","value":"242-11"},{"id":16,"name":"Locomotive ID","value":"4057"},{"id":130,"name":"Impact","value":""},{"id":150,"name":"Time of Event (Mountain Time)","value":"01:35:31"},{"id":151,"name":"Denver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126"/>
        <v>start /low /b %USERPROFILE%\Documents\GitHub\eaglep3\Utilities\DownloadLogsFromS3.py --loco 4057 --day 2017-08-12</v>
      </c>
      <c r="AN157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07:35:31"},{"id":29,"name":"Sharepoint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860</v>
      </c>
      <c r="B158" s="7">
        <v>4020</v>
      </c>
      <c r="C158" s="21" t="s">
        <v>198</v>
      </c>
      <c r="D158" s="21" t="s">
        <v>433</v>
      </c>
      <c r="E158" s="13">
        <v>42959.014548611114</v>
      </c>
      <c r="F158" s="13">
        <v>42959.02134259259</v>
      </c>
      <c r="G158" s="7">
        <v>1</v>
      </c>
      <c r="H158" s="21" t="s">
        <v>897</v>
      </c>
      <c r="I158" s="13">
        <v>42959.047025462962</v>
      </c>
      <c r="J158" s="7">
        <v>0</v>
      </c>
      <c r="K158" s="89" t="str">
        <f t="shared" si="128"/>
        <v>4019/4020</v>
      </c>
      <c r="L158" s="21" t="str">
        <f>VLOOKUP(A158,'Trips&amp;Operators'!$C$1:$G$99999,5,FALSE)</f>
        <v>FORTUNATO FRANK</v>
      </c>
      <c r="M158" s="6">
        <f t="shared" si="129"/>
        <v>2.5682870371383615E-2</v>
      </c>
      <c r="N158" s="7">
        <f t="shared" si="119"/>
        <v>36.983333334792405</v>
      </c>
      <c r="O158" s="7"/>
      <c r="P158" s="7"/>
      <c r="Q158" s="22"/>
      <c r="R158" s="170"/>
      <c r="S158" s="213">
        <f t="shared" si="120"/>
        <v>1</v>
      </c>
      <c r="T158" s="195" t="str">
        <f t="shared" si="130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121"/>
        <v>https://d0f6bd738d7f1b3e5a7ca70fe4ff75f0.us-east-1.aws.found.io/app/kibana#/discover/Steve-Slow-Train-Analysis-(2080s-and-2083s)?_g=(refreshInterval:(display:Off,pause:!f,section:0,value:0),time:(from:'2017-08-11T23:20:57-0600',mode:absolute,to:'2017-08-12T02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8" s="197" t="str">
        <f>IF(AA158&lt;VLOOKUP(AG158,Variables!$AC$3:$AD$8,2,FALSE),"Y","N")</f>
        <v>N</v>
      </c>
      <c r="X158" s="197">
        <f t="shared" si="118"/>
        <v>1</v>
      </c>
      <c r="Y158" s="197">
        <f t="shared" si="117"/>
        <v>4.5999999999999999E-2</v>
      </c>
      <c r="Z158" s="197">
        <f t="shared" si="134"/>
        <v>23.3309</v>
      </c>
      <c r="AA158" s="197">
        <f t="shared" si="131"/>
        <v>23.2849</v>
      </c>
      <c r="AB158" s="54" t="e">
        <f>VLOOKUP(A158,Enforcements!$C$7:$K$12,8,0)</f>
        <v>#N/A</v>
      </c>
      <c r="AC158" s="51" t="e">
        <f>VLOOKUP(A158,Enforcements!$C$7:$E$12,3,0)</f>
        <v>#N/A</v>
      </c>
      <c r="AD158" s="206">
        <f t="shared" si="132"/>
        <v>243</v>
      </c>
      <c r="AE158" s="77" t="str">
        <f t="shared" si="122"/>
        <v>aws s3 cp s3://rtdc.mdm.uploadarchive.raw/RTDC4020/ "%USERPROFILE%\AppData\Local\Temp\OnboardLogs"\RTDC4020\2017-08-12 --exclude "*" --recursive --include "*20170812*" &amp; "%USERPROFILE%\Documents\GitHub\mrs-test-scripts\Headless Mode &amp; Sideloading\WalkAndUnGZ.bat" "%USERPROFILE%\AppData\Local\Temp\OnboardLogs"\RTDC4020\2017-08-12 &amp; aws s3 cp s3://rtdc.mdm.uploadarchive.raw/RTDC4020/ "%USERPROFILE%\AppData\Local\Temp\OnboardLogs"\RTDC4020\2017-08-13 --exclude "*" --recursive --include "*20170813*" &amp; "%USERPROFILE%\Documents\GitHub\mrs-test-scripts\Headless Mode &amp; Sideloading\WalkAndUnGZ.bat" "%USERPROFILE%\AppData\Local\Temp\OnboardLogs"\RTDC4020\2017-08-13</v>
      </c>
      <c r="AF158" s="74" t="str">
        <f t="shared" si="123"/>
        <v>"C:\Program Files (x86)\AstroGrep\AstroGrep.exe" /e /r /s /spath="%USERPROFILE%\AppData\Local\Temp\OnboardLogs" /stypes="app*4020*20170812*" /stext=" 07:.+((SYSTEM_STATE.+slice.+state.+changed )|(ment ac)|(multiple cpu faults)|(system.+state.+changed )|(\[timeout)|(PRM\|1\|D)|(kpr)|(kdp)|(train st.+moving)|(\|lc)|(penalty))"</v>
      </c>
      <c r="AG158" s="209" t="str">
        <f t="shared" si="133"/>
        <v>EC</v>
      </c>
      <c r="AH158" s="78" t="str">
        <f t="shared" si="124"/>
        <v>"%USERPROFILE%\Documents\GitHub\eaglep3\Utilities\RefineRTDCRunTimes.py" --tripid 243-11 --locoid 4020 --swversion DE.1.0.9.0 --startMP 204:460 --initTime 2017-08-12T00:20:57 --startdatetime 2017-08-12T00:30:44 --delay 1 --endMP 204:233309 --enddatetime 2017-08-12T01:07:43 --enforcementcount 0 &gt;&gt;C:\Users\stu\Documents\GitHub\eaglep3-reporting\EC\2017-08-11-refined-times.txt</v>
      </c>
      <c r="AI158" s="96" t="str">
        <f t="shared" si="125"/>
        <v>echo {"issue":{"subject":"","project_id":79,"tracker_id":40,"status_id":1,"priority_id":2,"assigned_to_id":23,"start_date":"2017-08-12","description":"","custom_fields":[{"id":1,"name":"Subdivision","value":"EC"},{"id":4,"name":"Milepost","value":"23.3309"},{"id":17,"name":"Train ID","value":"243-11"},{"id":16,"name":"Locomotive ID","value":"4020"},{"id":130,"name":"Impact","value":""},{"id":150,"name":"Time of Event (Mountain Time)","value":"01:07:43"},{"id":151,"name":"Denver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126"/>
        <v>start /low /b %USERPROFILE%\Documents\GitHub\eaglep3\Utilities\DownloadLogsFromS3.py --loco 4020 --day 2017-08-12</v>
      </c>
      <c r="AN158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07:07:43"},{"id":29,"name":"Sharepoint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864</v>
      </c>
      <c r="B159" s="7">
        <v>4019</v>
      </c>
      <c r="C159" s="21" t="s">
        <v>198</v>
      </c>
      <c r="D159" s="21" t="s">
        <v>892</v>
      </c>
      <c r="E159" s="13">
        <v>42959.048854166664</v>
      </c>
      <c r="F159" s="13">
        <v>42959.060567129629</v>
      </c>
      <c r="G159" s="7">
        <v>0</v>
      </c>
      <c r="H159" s="21" t="s">
        <v>347</v>
      </c>
      <c r="I159" s="13">
        <v>42959.086909722224</v>
      </c>
      <c r="J159" s="7">
        <v>0</v>
      </c>
      <c r="K159" s="89" t="str">
        <f t="shared" si="128"/>
        <v>4019/4020</v>
      </c>
      <c r="L159" s="21" t="str">
        <f>VLOOKUP(A159,'Trips&amp;Operators'!$C$1:$G$99999,5,FALSE)</f>
        <v>FORTUNATO FRANK</v>
      </c>
      <c r="M159" s="6">
        <f t="shared" si="129"/>
        <v>2.6342592595028691E-2</v>
      </c>
      <c r="N159" s="7">
        <f t="shared" si="119"/>
        <v>37.933333336841315</v>
      </c>
      <c r="O159" s="7"/>
      <c r="P159" s="7"/>
      <c r="Q159" s="22"/>
      <c r="R159" s="170"/>
      <c r="S159" s="213">
        <f t="shared" si="120"/>
        <v>1</v>
      </c>
      <c r="T159" s="195" t="str">
        <f t="shared" si="130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121"/>
        <v>https://d0f6bd738d7f1b3e5a7ca70fe4ff75f0.us-east-1.aws.found.io/app/kibana#/discover/Steve-Slow-Train-Analysis-(2080s-and-2083s)?_g=(refreshInterval:(display:Off,pause:!f,section:0,value:0),time:(from:'2017-08-12T00:10:21-0600',mode:absolute,to:'2017-08-12T03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9" s="197" t="str">
        <f>IF(AA159&lt;VLOOKUP(AG159,Variables!$AC$3:$AD$8,2,FALSE),"Y","N")</f>
        <v>N</v>
      </c>
      <c r="X159" s="197">
        <f t="shared" si="118"/>
        <v>1</v>
      </c>
      <c r="Y159" s="197">
        <f t="shared" si="117"/>
        <v>23.2986</v>
      </c>
      <c r="Z159" s="197">
        <f t="shared" si="134"/>
        <v>1.3899999999999999E-2</v>
      </c>
      <c r="AA159" s="197">
        <f t="shared" si="131"/>
        <v>23.284700000000001</v>
      </c>
      <c r="AB159" s="54" t="e">
        <f>VLOOKUP(A159,Enforcements!$C$7:$K$12,8,0)</f>
        <v>#N/A</v>
      </c>
      <c r="AC159" s="51" t="e">
        <f>VLOOKUP(A159,Enforcements!$C$7:$E$12,3,0)</f>
        <v>#N/A</v>
      </c>
      <c r="AD159" s="206">
        <f t="shared" si="132"/>
        <v>244</v>
      </c>
      <c r="AE159" s="77" t="str">
        <f t="shared" si="122"/>
        <v>aws s3 cp s3://rtdc.mdm.uploadarchive.raw/RTDC4019/ "%USERPROFILE%\AppData\Local\Temp\OnboardLogs"\RTDC4019\2017-08-12 --exclude "*" --recursive --include "*20170812*" &amp; "%USERPROFILE%\Documents\GitHub\mrs-test-scripts\Headless Mode &amp; Sideloading\WalkAndUnGZ.bat" "%USERPROFILE%\AppData\Local\Temp\OnboardLogs"\RTDC4019\2017-08-12 &amp; aws s3 cp s3://rtdc.mdm.uploadarchive.raw/RTDC4019/ "%USERPROFILE%\AppData\Local\Temp\OnboardLogs"\RTDC4019\2017-08-13 --exclude "*" --recursive --include "*20170813*" &amp; "%USERPROFILE%\Documents\GitHub\mrs-test-scripts\Headless Mode &amp; Sideloading\WalkAndUnGZ.bat" "%USERPROFILE%\AppData\Local\Temp\OnboardLogs"\RTDC4019\2017-08-13</v>
      </c>
      <c r="AF159" s="74" t="str">
        <f t="shared" si="123"/>
        <v>"C:\Program Files (x86)\AstroGrep\AstroGrep.exe" /e /r /s /spath="%USERPROFILE%\AppData\Local\Temp\OnboardLogs" /stypes="app*4019*20170812*" /stext=" 08:.+((SYSTEM_STATE.+slice.+state.+changed )|(ment ac)|(multiple cpu faults)|(system.+state.+changed )|(\[timeout)|(PRM\|1\|D)|(kpr)|(kdp)|(train st.+moving)|(\|lc)|(penalty))"</v>
      </c>
      <c r="AG159" s="209" t="str">
        <f t="shared" si="133"/>
        <v>EC</v>
      </c>
      <c r="AH159" s="78" t="str">
        <f t="shared" si="124"/>
        <v>"%USERPROFILE%\Documents\GitHub\eaglep3\Utilities\RefineRTDCRunTimes.py" --tripid 244-11 --locoid 4019 --swversion DE.1.0.9.0 --startMP 204:232986 --initTime 2017-08-12T01:10:21 --startdatetime 2017-08-12T01:27:13 --delay 0 --endMP 204:139 --enddatetime 2017-08-12T02:05:09 --enforcementcount 0 &gt;&gt;C:\Users\stu\Documents\GitHub\eaglep3-reporting\EC\2017-08-11-refined-times.txt</v>
      </c>
      <c r="AI159" s="96" t="str">
        <f t="shared" si="125"/>
        <v>echo {"issue":{"subject":"","project_id":79,"tracker_id":40,"status_id":1,"priority_id":2,"assigned_to_id":23,"start_date":"2017-08-12","description":"","custom_fields":[{"id":1,"name":"Subdivision","value":"EC"},{"id":4,"name":"Milepost","value":"0.0139"},{"id":17,"name":"Train ID","value":"244-11"},{"id":16,"name":"Locomotive ID","value":"4019"},{"id":130,"name":"Impact","value":""},{"id":150,"name":"Time of Event (Mountain Time)","value":"02:05:09"},{"id":151,"name":"Denver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126"/>
        <v>start /low /b %USERPROFILE%\Documents\GitHub\eaglep3\Utilities\DownloadLogsFromS3.py --loco 4019 --day 2017-08-12</v>
      </c>
      <c r="AN159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08:05:09"},{"id":29,"name":"Sharepoint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862</v>
      </c>
      <c r="B160" s="7">
        <v>4040</v>
      </c>
      <c r="C160" s="21" t="s">
        <v>198</v>
      </c>
      <c r="D160" s="21" t="s">
        <v>469</v>
      </c>
      <c r="E160" s="13">
        <v>42959.039872685185</v>
      </c>
      <c r="F160" s="13">
        <v>42959.042222222219</v>
      </c>
      <c r="G160" s="7">
        <v>1</v>
      </c>
      <c r="H160" s="21" t="s">
        <v>912</v>
      </c>
      <c r="I160" s="13">
        <v>42959.066770833335</v>
      </c>
      <c r="J160" s="7">
        <v>0</v>
      </c>
      <c r="K160" s="89" t="str">
        <f t="shared" si="128"/>
        <v>4039/4040</v>
      </c>
      <c r="L160" s="21" t="str">
        <f>VLOOKUP(A160,'Trips&amp;Operators'!$C$1:$G$99999,5,FALSE)</f>
        <v>LAMAR NEKESHA</v>
      </c>
      <c r="M160" s="6">
        <f t="shared" si="129"/>
        <v>2.4548611116188113E-2</v>
      </c>
      <c r="N160" s="7">
        <f t="shared" si="119"/>
        <v>35.350000007310882</v>
      </c>
      <c r="O160" s="7"/>
      <c r="P160" s="7"/>
      <c r="Q160" s="22"/>
      <c r="R160" s="170"/>
      <c r="S160" s="213">
        <f t="shared" si="120"/>
        <v>1</v>
      </c>
      <c r="T160" s="195" t="str">
        <f t="shared" si="130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121"/>
        <v>https://d0f6bd738d7f1b3e5a7ca70fe4ff75f0.us-east-1.aws.found.io/app/kibana#/discover/Steve-Slow-Train-Analysis-(2080s-and-2083s)?_g=(refreshInterval:(display:Off,pause:!f,section:0,value:0),time:(from:'2017-08-11T23:57:25-0600',mode:absolute,to:'2017-08-12T02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0" s="197" t="str">
        <f>IF(AA160&lt;VLOOKUP(AG160,Variables!$AC$3:$AD$8,2,FALSE),"Y","N")</f>
        <v>N</v>
      </c>
      <c r="X160" s="197">
        <f t="shared" si="118"/>
        <v>1</v>
      </c>
      <c r="Y160" s="197">
        <f t="shared" ref="Y160:Y191" si="135">RIGHT(D160,LEN(D160)-4)/10000</f>
        <v>4.3999999999999997E-2</v>
      </c>
      <c r="Z160" s="197">
        <f t="shared" si="134"/>
        <v>23.334499999999998</v>
      </c>
      <c r="AA160" s="197">
        <f t="shared" si="131"/>
        <v>23.290499999999998</v>
      </c>
      <c r="AB160" s="54" t="e">
        <f>VLOOKUP(A160,Enforcements!$C$7:$K$12,8,0)</f>
        <v>#N/A</v>
      </c>
      <c r="AC160" s="51" t="e">
        <f>VLOOKUP(A160,Enforcements!$C$7:$E$12,3,0)</f>
        <v>#N/A</v>
      </c>
      <c r="AD160" s="206">
        <f t="shared" si="132"/>
        <v>245</v>
      </c>
      <c r="AE160" s="77" t="str">
        <f t="shared" si="122"/>
        <v>aws s3 cp s3://rtdc.mdm.uploadarchive.raw/RTDC4040/ "%USERPROFILE%\AppData\Local\Temp\OnboardLogs"\RTDC4040\2017-08-12 --exclude "*" --recursive --include "*20170812*" &amp; "%USERPROFILE%\Documents\GitHub\mrs-test-scripts\Headless Mode &amp; Sideloading\WalkAndUnGZ.bat" "%USERPROFILE%\AppData\Local\Temp\OnboardLogs"\RTDC4040\2017-08-12 &amp; aws s3 cp s3://rtdc.mdm.uploadarchive.raw/RTDC4040/ "%USERPROFILE%\AppData\Local\Temp\OnboardLogs"\RTDC4040\2017-08-13 --exclude "*" --recursive --include "*20170813*" &amp; "%USERPROFILE%\Documents\GitHub\mrs-test-scripts\Headless Mode &amp; Sideloading\WalkAndUnGZ.bat" "%USERPROFILE%\AppData\Local\Temp\OnboardLogs"\RTDC4040\2017-08-13</v>
      </c>
      <c r="AF160" s="74" t="str">
        <f t="shared" si="123"/>
        <v>"C:\Program Files (x86)\AstroGrep\AstroGrep.exe" /e /r /s /spath="%USERPROFILE%\AppData\Local\Temp\OnboardLogs" /stypes="app*4040*20170812*" /stext=" 07:.+((SYSTEM_STATE.+slice.+state.+changed )|(ment ac)|(multiple cpu faults)|(system.+state.+changed )|(\[timeout)|(PRM\|1\|D)|(kpr)|(kdp)|(train st.+moving)|(\|lc)|(penalty))"</v>
      </c>
      <c r="AG160" s="209" t="str">
        <f t="shared" si="133"/>
        <v>EC</v>
      </c>
      <c r="AH160" s="78" t="str">
        <f t="shared" si="124"/>
        <v>"%USERPROFILE%\Documents\GitHub\eaglep3\Utilities\RefineRTDCRunTimes.py" --tripid 245-11 --locoid 4040 --swversion DE.1.0.9.0 --startMP 204:440 --initTime 2017-08-12T00:57:25 --startdatetime 2017-08-12T01:00:48 --delay 1 --endMP 204:233345 --enddatetime 2017-08-12T01:36:09 --enforcementcount 0 &gt;&gt;C:\Users\stu\Documents\GitHub\eaglep3-reporting\EC\2017-08-11-refined-times.txt</v>
      </c>
      <c r="AI160" s="96" t="str">
        <f t="shared" si="125"/>
        <v>echo {"issue":{"subject":"","project_id":79,"tracker_id":40,"status_id":1,"priority_id":2,"assigned_to_id":23,"start_date":"2017-08-12","description":"","custom_fields":[{"id":1,"name":"Subdivision","value":"EC"},{"id":4,"name":"Milepost","value":"23.3345"},{"id":17,"name":"Train ID","value":"245-11"},{"id":16,"name":"Locomotive ID","value":"4040"},{"id":130,"name":"Impact","value":""},{"id":150,"name":"Time of Event (Mountain Time)","value":"01:36:09"},{"id":151,"name":"Denver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126"/>
        <v>start /low /b %USERPROFILE%\Documents\GitHub\eaglep3\Utilities\DownloadLogsFromS3.py --loco 4040 --day 2017-08-12</v>
      </c>
      <c r="AN160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07:36:09"},{"id":29,"name":"Sharepoint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865</v>
      </c>
      <c r="B161" s="7">
        <v>4039</v>
      </c>
      <c r="C161" s="21" t="s">
        <v>198</v>
      </c>
      <c r="D161" s="21" t="s">
        <v>938</v>
      </c>
      <c r="E161" s="13">
        <v>42959.078217592592</v>
      </c>
      <c r="F161" s="13">
        <v>42959.081423611111</v>
      </c>
      <c r="G161" s="7">
        <v>1</v>
      </c>
      <c r="H161" s="21" t="s">
        <v>468</v>
      </c>
      <c r="I161" s="13">
        <v>42959.107534722221</v>
      </c>
      <c r="J161" s="7">
        <v>0</v>
      </c>
      <c r="K161" s="89" t="str">
        <f t="shared" si="128"/>
        <v>4039/4040</v>
      </c>
      <c r="L161" s="21" t="str">
        <f>VLOOKUP(A161,'Trips&amp;Operators'!$C$1:$G$99999,5,FALSE)</f>
        <v>LAMAR NEKESHA</v>
      </c>
      <c r="M161" s="6">
        <f t="shared" si="129"/>
        <v>2.6111111110367347E-2</v>
      </c>
      <c r="N161" s="7">
        <f t="shared" si="119"/>
        <v>37.599999998928979</v>
      </c>
      <c r="O161" s="7"/>
      <c r="P161" s="7"/>
      <c r="Q161" s="22"/>
      <c r="R161" s="170"/>
      <c r="S161" s="213">
        <f t="shared" si="120"/>
        <v>1</v>
      </c>
      <c r="T161" s="195" t="str">
        <f t="shared" si="130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6" t="str">
        <f t="shared" si="121"/>
        <v>https://d0f6bd738d7f1b3e5a7ca70fe4ff75f0.us-east-1.aws.found.io/app/kibana#/discover/Steve-Slow-Train-Analysis-(2080s-and-2083s)?_g=(refreshInterval:(display:Off,pause:!f,section:0,value:0),time:(from:'2017-08-12T00:52:38-0600',mode:absolute,to:'2017-08-12T03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1" s="197" t="str">
        <f>IF(AA161&lt;VLOOKUP(AG161,Variables!$AC$3:$AD$8,2,FALSE),"Y","N")</f>
        <v>N</v>
      </c>
      <c r="X161" s="197">
        <f t="shared" ref="X161:X181" si="136">VALUE(LEFT(AD161,4))-VALUE(LEFT(AD160,4))</f>
        <v>1</v>
      </c>
      <c r="Y161" s="197">
        <f t="shared" si="135"/>
        <v>23.302499999999998</v>
      </c>
      <c r="Z161" s="197">
        <f t="shared" si="134"/>
        <v>1.38E-2</v>
      </c>
      <c r="AA161" s="197">
        <f t="shared" si="131"/>
        <v>23.288699999999999</v>
      </c>
      <c r="AB161" s="54" t="e">
        <f>VLOOKUP(A161,Enforcements!$C$7:$K$12,8,0)</f>
        <v>#N/A</v>
      </c>
      <c r="AC161" s="51" t="e">
        <f>VLOOKUP(A161,Enforcements!$C$7:$E$12,3,0)</f>
        <v>#N/A</v>
      </c>
      <c r="AD161" s="206">
        <f t="shared" si="132"/>
        <v>246</v>
      </c>
      <c r="AE161" s="77" t="str">
        <f t="shared" si="122"/>
        <v>aws s3 cp s3://rtdc.mdm.uploadarchive.raw/RTDC4039/ "%USERPROFILE%\AppData\Local\Temp\OnboardLogs"\RTDC4039\2017-08-12 --exclude "*" --recursive --include "*20170812*" &amp; "%USERPROFILE%\Documents\GitHub\mrs-test-scripts\Headless Mode &amp; Sideloading\WalkAndUnGZ.bat" "%USERPROFILE%\AppData\Local\Temp\OnboardLogs"\RTDC4039\2017-08-12 &amp; aws s3 cp s3://rtdc.mdm.uploadarchive.raw/RTDC4039/ "%USERPROFILE%\AppData\Local\Temp\OnboardLogs"\RTDC4039\2017-08-13 --exclude "*" --recursive --include "*20170813*" &amp; "%USERPROFILE%\Documents\GitHub\mrs-test-scripts\Headless Mode &amp; Sideloading\WalkAndUnGZ.bat" "%USERPROFILE%\AppData\Local\Temp\OnboardLogs"\RTDC4039\2017-08-13</v>
      </c>
      <c r="AF161" s="74" t="str">
        <f t="shared" si="123"/>
        <v>"C:\Program Files (x86)\AstroGrep\AstroGrep.exe" /e /r /s /spath="%USERPROFILE%\AppData\Local\Temp\OnboardLogs" /stypes="app*4039*20170812*" /stext=" 08:.+((SYSTEM_STATE.+slice.+state.+changed )|(ment ac)|(multiple cpu faults)|(system.+state.+changed )|(\[timeout)|(PRM\|1\|D)|(kpr)|(kdp)|(train st.+moving)|(\|lc)|(penalty))"</v>
      </c>
      <c r="AG161" s="209" t="str">
        <f t="shared" si="133"/>
        <v>EC</v>
      </c>
      <c r="AH161" s="78" t="str">
        <f t="shared" si="124"/>
        <v>"%USERPROFILE%\Documents\GitHub\eaglep3\Utilities\RefineRTDCRunTimes.py" --tripid 246-11 --locoid 4039 --swversion DE.1.0.9.0 --startMP 204:233025 --initTime 2017-08-12T01:52:38 --startdatetime 2017-08-12T01:57:15 --delay 1 --endMP 204:138 --enddatetime 2017-08-12T02:34:51 --enforcementcount 0 &gt;&gt;C:\Users\stu\Documents\GitHub\eaglep3-reporting\EC\2017-08-11-refined-times.txt</v>
      </c>
      <c r="AI161" s="96" t="str">
        <f t="shared" si="125"/>
        <v>echo {"issue":{"subject":"","project_id":79,"tracker_id":40,"status_id":1,"priority_id":2,"assigned_to_id":23,"start_date":"2017-08-12","description":"","custom_fields":[{"id":1,"name":"Subdivision","value":"EC"},{"id":4,"name":"Milepost","value":"0.0138"},{"id":17,"name":"Train ID","value":"246-11"},{"id":16,"name":"Locomotive ID","value":"4039"},{"id":130,"name":"Impact","value":""},{"id":150,"name":"Time of Event (Mountain Time)","value":"02:34:51"},{"id":151,"name":"Denver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126"/>
        <v>start /low /b %USERPROFILE%\Documents\GitHub\eaglep3\Utilities\DownloadLogsFromS3.py --loco 4039 --day 2017-08-12</v>
      </c>
      <c r="AN161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08:34:51"},{"id":29,"name":"Sharepoint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656</v>
      </c>
      <c r="B162" s="7">
        <v>4017</v>
      </c>
      <c r="C162" s="21" t="s">
        <v>198</v>
      </c>
      <c r="D162" s="21" t="s">
        <v>485</v>
      </c>
      <c r="E162" s="13">
        <v>42958.210462962961</v>
      </c>
      <c r="F162" s="13">
        <v>42958.211863425924</v>
      </c>
      <c r="G162" s="7">
        <v>1</v>
      </c>
      <c r="H162" s="21" t="s">
        <v>1001</v>
      </c>
      <c r="I162" s="13">
        <v>42958.225995370369</v>
      </c>
      <c r="J162" s="7">
        <v>0</v>
      </c>
      <c r="K162" s="89" t="str">
        <f t="shared" si="128"/>
        <v>4017/4018</v>
      </c>
      <c r="L162" s="21" t="str">
        <f>VLOOKUP(A162,'Trips&amp;Operators'!$C$1:$G$99999,5,FALSE)</f>
        <v>GUZMAN DANNY</v>
      </c>
      <c r="M162" s="6">
        <f t="shared" si="129"/>
        <v>1.4131944444670808E-2</v>
      </c>
      <c r="N162" s="7">
        <f t="shared" si="119"/>
        <v>20.350000000325963</v>
      </c>
      <c r="O162" s="7"/>
      <c r="P162" s="7"/>
      <c r="Q162" s="22"/>
      <c r="R162" s="170"/>
      <c r="S162" s="213">
        <f t="shared" si="120"/>
        <v>1</v>
      </c>
      <c r="T162" s="195" t="str">
        <f t="shared" si="130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121"/>
        <v>https://d0f6bd738d7f1b3e5a7ca70fe4ff75f0.us-east-1.aws.found.io/app/kibana#/discover/Steve-Slow-Train-Analysis-(2080s-and-2083s)?_g=(refreshInterval:(display:Off,pause:!f,section:0,value:0),time:(from:'2017-08-11T04:03:04-0600',mode:absolute,to:'2017-08-11T06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2" s="197" t="str">
        <f>IF(AA162&lt;VLOOKUP(AG162,Variables!$AC$3:$AD$8,2,FALSE),"Y","N")</f>
        <v>N</v>
      </c>
      <c r="X162" s="197">
        <f t="shared" si="136"/>
        <v>554</v>
      </c>
      <c r="Y162" s="197">
        <f t="shared" si="135"/>
        <v>5.8616999999999999</v>
      </c>
      <c r="Z162" s="197">
        <f t="shared" si="134"/>
        <v>7.1300000000000002E-2</v>
      </c>
      <c r="AA162" s="197">
        <f t="shared" si="131"/>
        <v>5.7904</v>
      </c>
      <c r="AB162" s="54" t="e">
        <f>VLOOKUP(A162,Enforcements!$C$7:$K$12,8,0)</f>
        <v>#N/A</v>
      </c>
      <c r="AC162" s="51" t="e">
        <f>VLOOKUP(A162,Enforcements!$C$7:$E$12,3,0)</f>
        <v>#N/A</v>
      </c>
      <c r="AD162" s="206">
        <f t="shared" si="132"/>
        <v>800</v>
      </c>
      <c r="AE162" s="77" t="str">
        <f t="shared" si="122"/>
        <v>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 &amp; aws s3 cp s3://rtdc.mdm.uploadarchive.raw/RTDC4017/ "%USERPROFILE%\AppData\Local\Temp\OnboardLogs"\RTDC4017\2017-08-12 --exclude "*" --recursive --include "*20170812*" &amp; "%USERPROFILE%\Documents\GitHub\mrs-test-scripts\Headless Mode &amp; Sideloading\WalkAndUnGZ.bat" "%USERPROFILE%\AppData\Local\Temp\OnboardLogs"\RTDC4017\2017-08-12</v>
      </c>
      <c r="AF162" s="74" t="str">
        <f t="shared" si="123"/>
        <v>"C:\Program Files (x86)\AstroGrep\AstroGrep.exe" /e /r /s /spath="%USERPROFILE%\AppData\Local\Temp\OnboardLogs" /stypes="app*4017*20170811*" /stext=" 11:.+((SYSTEM_STATE.+slice.+state.+changed )|(ment ac)|(multiple cpu faults)|(system.+state.+changed )|(\[timeout)|(PRM\|1\|D)|(kpr)|(kdp)|(train st.+moving)|(\|lc)|(penalty))"</v>
      </c>
      <c r="AG162" s="209" t="str">
        <f t="shared" si="133"/>
        <v>NW</v>
      </c>
      <c r="AH162" s="78" t="str">
        <f t="shared" si="124"/>
        <v>"%USERPROFILE%\Documents\GitHub\eaglep3\Utilities\RefineRTDCRunTimes.py" --tripid 800-11 --locoid 4017 --swversion DE.1.0.9.0 --startMP 300:58617 --initTime 2017-08-11T05:03:04 --startdatetime 2017-08-11T05:05:05 --delay 1 --endMP 204:713 --enddatetime 2017-08-11T05:25:26 --enforcementcount 0 &gt;&gt;C:\Users\stu\Documents\GitHub\eaglep3-reporting\EC\2017-08-11-refined-times.txt</v>
      </c>
      <c r="AI162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{"issue":{"subject":"","project_id":79,"tracker_id":40,"status_id":1,"priority_id":2,"assigned_to_id":23,"start_date":"2017-08-11","description":"","custom_fields":[{"id":1,"name":"Subdivision","value":"NW"},{"id":4,"name":"Milepost","value":"0.0713"},{"id":17,"name":"Train ID","value":"800-11"},{"id":16,"name":"Locomotive ID","value":"4017"},{"id":130,"name":"Impact","value":""},{"id":150,"name":"Time of Event (Mountain Time)","value":"05:25:26"},{"id":151,"name":"Denver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126"/>
        <v>start /low /b %USERPROFILE%\Documents\GitHub\eaglep3\Utilities\DownloadLogsFromS3.py --loco 4017 --day 2017-08-11</v>
      </c>
      <c r="AN162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11:25:26"},{"id":29,"name":"Sharepoint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663</v>
      </c>
      <c r="B163" s="7">
        <v>4018</v>
      </c>
      <c r="C163" s="21" t="s">
        <v>198</v>
      </c>
      <c r="D163" s="21" t="s">
        <v>500</v>
      </c>
      <c r="E163" s="13">
        <v>42958.227696759262</v>
      </c>
      <c r="F163" s="13">
        <v>42958.243993055556</v>
      </c>
      <c r="G163" s="7">
        <v>1</v>
      </c>
      <c r="H163" s="21" t="s">
        <v>1066</v>
      </c>
      <c r="I163" s="13">
        <v>42958.253391203703</v>
      </c>
      <c r="J163" s="7">
        <v>0</v>
      </c>
      <c r="K163" s="89" t="str">
        <f t="shared" si="128"/>
        <v>4017/4018</v>
      </c>
      <c r="L163" s="21" t="str">
        <f>VLOOKUP(A163,'Trips&amp;Operators'!$C$1:$G$99999,5,FALSE)</f>
        <v>GUZMAN DANNY</v>
      </c>
      <c r="M163" s="6">
        <f t="shared" si="129"/>
        <v>9.3981481477385387E-3</v>
      </c>
      <c r="N163" s="7">
        <f t="shared" si="119"/>
        <v>13.533333332743496</v>
      </c>
      <c r="O163" s="7"/>
      <c r="P163" s="7"/>
      <c r="Q163" s="22"/>
      <c r="R163" s="170"/>
      <c r="S163" s="213">
        <f t="shared" si="120"/>
        <v>1</v>
      </c>
      <c r="T163" s="195" t="str">
        <f t="shared" si="130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121"/>
        <v>https://d0f6bd738d7f1b3e5a7ca70fe4ff75f0.us-east-1.aws.found.io/app/kibana#/discover/Steve-Slow-Train-Analysis-(2080s-and-2083s)?_g=(refreshInterval:(display:Off,pause:!f,section:0,value:0),time:(from:'2017-08-11T04:27:53-0600',mode:absolute,to:'2017-08-11T07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3" s="197" t="str">
        <f>IF(AA163&lt;VLOOKUP(AG163,Variables!$AC$3:$AD$8,2,FALSE),"Y","N")</f>
        <v>N</v>
      </c>
      <c r="X163" s="197">
        <f t="shared" si="136"/>
        <v>1</v>
      </c>
      <c r="Y163" s="197">
        <f t="shared" si="135"/>
        <v>9.5699999999999993E-2</v>
      </c>
      <c r="Z163" s="197">
        <f t="shared" si="134"/>
        <v>5.8935000000000004</v>
      </c>
      <c r="AA163" s="197">
        <f t="shared" si="131"/>
        <v>5.7978000000000005</v>
      </c>
      <c r="AB163" s="54" t="e">
        <f>VLOOKUP(A163,Enforcements!$C$7:$K$12,8,0)</f>
        <v>#N/A</v>
      </c>
      <c r="AC163" s="51" t="e">
        <f>VLOOKUP(A163,Enforcements!$C$7:$E$12,3,0)</f>
        <v>#N/A</v>
      </c>
      <c r="AD163" s="206">
        <f t="shared" si="132"/>
        <v>801</v>
      </c>
      <c r="AE163" s="77" t="str">
        <f t="shared" si="122"/>
        <v>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 &amp; aws s3 cp s3://rtdc.mdm.uploadarchive.raw/RTDC4018/ "%USERPROFILE%\AppData\Local\Temp\OnboardLogs"\RTDC4018\2017-08-12 --exclude "*" --recursive --include "*20170812*" &amp; "%USERPROFILE%\Documents\GitHub\mrs-test-scripts\Headless Mode &amp; Sideloading\WalkAndUnGZ.bat" "%USERPROFILE%\AppData\Local\Temp\OnboardLogs"\RTDC4018\2017-08-12</v>
      </c>
      <c r="AF163" s="74" t="str">
        <f t="shared" si="123"/>
        <v>"C:\Program Files (x86)\AstroGrep\AstroGrep.exe" /e /r /s /spath="%USERPROFILE%\AppData\Local\Temp\OnboardLogs" /stypes="app*4018*20170811*" /stext=" 12:.+((SYSTEM_STATE.+slice.+state.+changed )|(ment ac)|(multiple cpu faults)|(system.+state.+changed )|(\[timeout)|(PRM\|1\|D)|(kpr)|(kdp)|(train st.+moving)|(\|lc)|(penalty))"</v>
      </c>
      <c r="AG163" s="209" t="str">
        <f t="shared" si="133"/>
        <v>NW</v>
      </c>
      <c r="AH163" s="78" t="str">
        <f t="shared" si="124"/>
        <v>"%USERPROFILE%\Documents\GitHub\eaglep3\Utilities\RefineRTDCRunTimes.py" --tripid 801-11 --locoid 4018 --swversion DE.1.0.9.0 --startMP 204:957 --initTime 2017-08-11T05:27:53 --startdatetime 2017-08-11T05:51:21 --delay 1 --endMP 300:58935 --enddatetime 2017-08-11T06:04:53 --enforcementcount 0 &gt;&gt;C:\Users\stu\Documents\GitHub\eaglep3-reporting\EC\2017-08-11-refined-times.txt</v>
      </c>
      <c r="AI163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{"issue":{"subject":"","project_id":79,"tracker_id":40,"status_id":1,"priority_id":2,"assigned_to_id":23,"start_date":"2017-08-11","description":"","custom_fields":[{"id":1,"name":"Subdivision","value":"NW"},{"id":4,"name":"Milepost","value":"5.8935"},{"id":17,"name":"Train ID","value":"801-11"},{"id":16,"name":"Locomotive ID","value":"4018"},{"id":130,"name":"Impact","value":""},{"id":150,"name":"Time of Event (Mountain Time)","value":"06:04:53"},{"id":151,"name":"Denver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126"/>
        <v>start /low /b %USERPROFILE%\Documents\GitHub\eaglep3\Utilities\DownloadLogsFromS3.py --loco 4018 --day 2017-08-11</v>
      </c>
      <c r="AN163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12:04:53"},{"id":29,"name":"Sharepoint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673</v>
      </c>
      <c r="B164" s="7">
        <v>4017</v>
      </c>
      <c r="C164" s="21" t="s">
        <v>198</v>
      </c>
      <c r="D164" s="21" t="s">
        <v>1002</v>
      </c>
      <c r="E164" s="13">
        <v>42958.254432870373</v>
      </c>
      <c r="F164" s="13">
        <v>42958.255752314813</v>
      </c>
      <c r="G164" s="7">
        <v>1</v>
      </c>
      <c r="H164" s="21" t="s">
        <v>1067</v>
      </c>
      <c r="I164" s="13">
        <v>42958.267395833333</v>
      </c>
      <c r="J164" s="7">
        <v>0</v>
      </c>
      <c r="K164" s="89" t="str">
        <f t="shared" si="128"/>
        <v>4017/4018</v>
      </c>
      <c r="L164" s="21" t="str">
        <f>VLOOKUP(A164,'Trips&amp;Operators'!$C$1:$G$99999,5,FALSE)</f>
        <v>GUZMAN DANNY</v>
      </c>
      <c r="M164" s="6">
        <f t="shared" si="129"/>
        <v>1.1643518519122154E-2</v>
      </c>
      <c r="N164" s="7">
        <f t="shared" si="119"/>
        <v>16.766666667535901</v>
      </c>
      <c r="O164" s="7"/>
      <c r="P164" s="7"/>
      <c r="Q164" s="22"/>
      <c r="R164" s="170"/>
      <c r="S164" s="213">
        <f t="shared" si="120"/>
        <v>1</v>
      </c>
      <c r="T164" s="195" t="str">
        <f t="shared" si="130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121"/>
        <v>https://d0f6bd738d7f1b3e5a7ca70fe4ff75f0.us-east-1.aws.found.io/app/kibana#/discover/Steve-Slow-Train-Analysis-(2080s-and-2083s)?_g=(refreshInterval:(display:Off,pause:!f,section:0,value:0),time:(from:'2017-08-11T05:06:23-0600',mode:absolute,to:'2017-08-11T07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4" s="197" t="str">
        <f>IF(AA164&lt;VLOOKUP(AG164,Variables!$AC$3:$AD$8,2,FALSE),"Y","N")</f>
        <v>N</v>
      </c>
      <c r="X164" s="197">
        <f t="shared" si="136"/>
        <v>1</v>
      </c>
      <c r="Y164" s="197">
        <f t="shared" si="135"/>
        <v>5.8619000000000003</v>
      </c>
      <c r="Z164" s="197">
        <f t="shared" si="134"/>
        <v>6.9199999999999998E-2</v>
      </c>
      <c r="AA164" s="197">
        <f t="shared" si="131"/>
        <v>5.7927</v>
      </c>
      <c r="AB164" s="54" t="e">
        <f>VLOOKUP(A164,Enforcements!$C$7:$K$12,8,0)</f>
        <v>#N/A</v>
      </c>
      <c r="AC164" s="51" t="e">
        <f>VLOOKUP(A164,Enforcements!$C$7:$E$12,3,0)</f>
        <v>#N/A</v>
      </c>
      <c r="AD164" s="206">
        <f t="shared" si="132"/>
        <v>802</v>
      </c>
      <c r="AE164" s="77" t="str">
        <f t="shared" si="122"/>
        <v>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 &amp; aws s3 cp s3://rtdc.mdm.uploadarchive.raw/RTDC4017/ "%USERPROFILE%\AppData\Local\Temp\OnboardLogs"\RTDC4017\2017-08-12 --exclude "*" --recursive --include "*20170812*" &amp; "%USERPROFILE%\Documents\GitHub\mrs-test-scripts\Headless Mode &amp; Sideloading\WalkAndUnGZ.bat" "%USERPROFILE%\AppData\Local\Temp\OnboardLogs"\RTDC4017\2017-08-12</v>
      </c>
      <c r="AF164" s="74" t="str">
        <f t="shared" si="123"/>
        <v>"C:\Program Files (x86)\AstroGrep\AstroGrep.exe" /e /r /s /spath="%USERPROFILE%\AppData\Local\Temp\OnboardLogs" /stypes="app*4017*20170811*" /stext=" 12:.+((SYSTEM_STATE.+slice.+state.+changed )|(ment ac)|(multiple cpu faults)|(system.+state.+changed )|(\[timeout)|(PRM\|1\|D)|(kpr)|(kdp)|(train st.+moving)|(\|lc)|(penalty))"</v>
      </c>
      <c r="AG164" s="209" t="str">
        <f t="shared" si="133"/>
        <v>NW</v>
      </c>
      <c r="AH164" s="78" t="str">
        <f t="shared" si="124"/>
        <v>"%USERPROFILE%\Documents\GitHub\eaglep3\Utilities\RefineRTDCRunTimes.py" --tripid 802-11 --locoid 4017 --swversion DE.1.0.9.0 --startMP 300:58619 --initTime 2017-08-11T06:06:23 --startdatetime 2017-08-11T06:08:17 --delay 1 --endMP 204:692 --enddatetime 2017-08-11T06:25:03 --enforcementcount 0 &gt;&gt;C:\Users\stu\Documents\GitHub\eaglep3-reporting\EC\2017-08-11-refined-times.txt</v>
      </c>
      <c r="AI164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{"issue":{"subject":"","project_id":79,"tracker_id":40,"status_id":1,"priority_id":2,"assigned_to_id":23,"start_date":"2017-08-11","description":"","custom_fields":[{"id":1,"name":"Subdivision","value":"NW"},{"id":4,"name":"Milepost","value":"0.0692"},{"id":17,"name":"Train ID","value":"802-11"},{"id":16,"name":"Locomotive ID","value":"4017"},{"id":130,"name":"Impact","value":""},{"id":150,"name":"Time of Event (Mountain Time)","value":"06:25:03"},{"id":151,"name":"Denver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126"/>
        <v>start /low /b %USERPROFILE%\Documents\GitHub\eaglep3\Utilities\DownloadLogsFromS3.py --loco 4017 --day 2017-08-11</v>
      </c>
      <c r="AN164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12:25:03"},{"id":29,"name":"Sharepoint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674</v>
      </c>
      <c r="B165" s="7">
        <v>4062</v>
      </c>
      <c r="C165" s="21" t="s">
        <v>198</v>
      </c>
      <c r="D165" s="21" t="s">
        <v>596</v>
      </c>
      <c r="E165" s="13">
        <v>42958.260358796295</v>
      </c>
      <c r="F165" s="13">
        <v>42958.264745370368</v>
      </c>
      <c r="G165" s="7">
        <v>1</v>
      </c>
      <c r="H165" s="21" t="s">
        <v>1003</v>
      </c>
      <c r="I165" s="13">
        <v>42958.273877314816</v>
      </c>
      <c r="J165" s="7">
        <v>0</v>
      </c>
      <c r="K165" s="89" t="str">
        <f t="shared" si="128"/>
        <v>4061/4062</v>
      </c>
      <c r="L165" s="21" t="str">
        <f>VLOOKUP(A165,'Trips&amp;Operators'!$C$1:$G$99999,5,FALSE)</f>
        <v>LALONDE GREGORY</v>
      </c>
      <c r="M165" s="6">
        <f t="shared" si="129"/>
        <v>9.1319444472901523E-3</v>
      </c>
      <c r="N165" s="7">
        <f t="shared" si="119"/>
        <v>13.150000004097819</v>
      </c>
      <c r="O165" s="7"/>
      <c r="P165" s="7"/>
      <c r="Q165" s="22"/>
      <c r="R165" s="170"/>
      <c r="S165" s="213">
        <f t="shared" si="120"/>
        <v>1</v>
      </c>
      <c r="T165" s="195" t="str">
        <f t="shared" si="130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121"/>
        <v>https://d0f6bd738d7f1b3e5a7ca70fe4ff75f0.us-east-1.aws.found.io/app/kibana#/discover/Steve-Slow-Train-Analysis-(2080s-and-2083s)?_g=(refreshInterval:(display:Off,pause:!f,section:0,value:0),time:(from:'2017-08-11T05:14:55-0600',mode:absolute,to:'2017-08-11T07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5" s="197" t="str">
        <f>IF(AA165&lt;VLOOKUP(AG165,Variables!$AC$3:$AD$8,2,FALSE),"Y","N")</f>
        <v>N</v>
      </c>
      <c r="X165" s="197">
        <f t="shared" si="136"/>
        <v>1</v>
      </c>
      <c r="Y165" s="197">
        <f t="shared" si="135"/>
        <v>9.8799999999999999E-2</v>
      </c>
      <c r="Z165" s="197">
        <f t="shared" si="134"/>
        <v>5.8964999999999996</v>
      </c>
      <c r="AA165" s="197">
        <f t="shared" si="131"/>
        <v>5.7976999999999999</v>
      </c>
      <c r="AB165" s="54" t="e">
        <f>VLOOKUP(A165,Enforcements!$C$7:$K$12,8,0)</f>
        <v>#N/A</v>
      </c>
      <c r="AC165" s="51" t="e">
        <f>VLOOKUP(A165,Enforcements!$C$7:$E$12,3,0)</f>
        <v>#N/A</v>
      </c>
      <c r="AD165" s="206">
        <f t="shared" si="132"/>
        <v>803</v>
      </c>
      <c r="AE165" s="77" t="str">
        <f t="shared" si="122"/>
        <v>aws s3 cp s3://rtdc.mdm.uploadarchive.raw/RTDC4062/ "%USERPROFILE%\AppData\Local\Temp\OnboardLogs"\RTDC4062\2017-08-11 --exclude "*" --recursive --include "*20170811*" &amp; "%USERPROFILE%\Documents\GitHub\mrs-test-scripts\Headless Mode &amp; Sideloading\WalkAndUnGZ.bat" "%USERPROFILE%\AppData\Local\Temp\OnboardLogs"\RTDC4062\2017-08-11 &amp; aws s3 cp s3://rtdc.mdm.uploadarchive.raw/RTDC4062/ "%USERPROFILE%\AppData\Local\Temp\OnboardLogs"\RTDC4062\2017-08-12 --exclude "*" --recursive --include "*20170812*" &amp; "%USERPROFILE%\Documents\GitHub\mrs-test-scripts\Headless Mode &amp; Sideloading\WalkAndUnGZ.bat" "%USERPROFILE%\AppData\Local\Temp\OnboardLogs"\RTDC4062\2017-08-12</v>
      </c>
      <c r="AF165" s="74" t="str">
        <f t="shared" si="123"/>
        <v>"C:\Program Files (x86)\AstroGrep\AstroGrep.exe" /e /r /s /spath="%USERPROFILE%\AppData\Local\Temp\OnboardLogs" /stypes="app*4062*20170811*" /stext=" 12:.+((SYSTEM_STATE.+slice.+state.+changed )|(ment ac)|(multiple cpu faults)|(system.+state.+changed )|(\[timeout)|(PRM\|1\|D)|(kpr)|(kdp)|(train st.+moving)|(\|lc)|(penalty))"</v>
      </c>
      <c r="AG165" s="209" t="str">
        <f t="shared" si="133"/>
        <v>NW</v>
      </c>
      <c r="AH165" s="78" t="str">
        <f t="shared" si="124"/>
        <v>"%USERPROFILE%\Documents\GitHub\eaglep3\Utilities\RefineRTDCRunTimes.py" --tripid 803-11 --locoid 4062 --swversion DE.1.0.9.0 --startMP 204:988 --initTime 2017-08-11T06:14:55 --startdatetime 2017-08-11T06:21:14 --delay 1 --endMP 300:58965 --enddatetime 2017-08-11T06:34:23 --enforcementcount 0 &gt;&gt;C:\Users\stu\Documents\GitHub\eaglep3-reporting\EC\2017-08-11-refined-times.txt</v>
      </c>
      <c r="AI165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{"issue":{"subject":"","project_id":79,"tracker_id":40,"status_id":1,"priority_id":2,"assigned_to_id":23,"start_date":"2017-08-11","description":"","custom_fields":[{"id":1,"name":"Subdivision","value":"NW"},{"id":4,"name":"Milepost","value":"5.8965"},{"id":17,"name":"Train ID","value":"803-11"},{"id":16,"name":"Locomotive ID","value":"4062"},{"id":130,"name":"Impact","value":""},{"id":150,"name":"Time of Event (Mountain Time)","value":"06:34:23"},{"id":151,"name":"Denver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126"/>
        <v>start /low /b %USERPROFILE%\Documents\GitHub\eaglep3\Utilities\DownloadLogsFromS3.py --loco 4062 --day 2017-08-11</v>
      </c>
      <c r="AN165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12:34:23"},{"id":29,"name":"Sharepoint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677</v>
      </c>
      <c r="B166" s="7">
        <v>4061</v>
      </c>
      <c r="C166" s="21" t="s">
        <v>198</v>
      </c>
      <c r="D166" s="21" t="s">
        <v>1004</v>
      </c>
      <c r="E166" s="13">
        <v>42958.274583333332</v>
      </c>
      <c r="F166" s="13">
        <v>42958.276087962964</v>
      </c>
      <c r="G166" s="7">
        <v>1</v>
      </c>
      <c r="H166" s="21" t="s">
        <v>483</v>
      </c>
      <c r="I166" s="13">
        <v>42958.288148148145</v>
      </c>
      <c r="J166" s="7">
        <v>0</v>
      </c>
      <c r="K166" s="89" t="str">
        <f t="shared" si="128"/>
        <v>4061/4062</v>
      </c>
      <c r="L166" s="21" t="str">
        <f>VLOOKUP(A166,'Trips&amp;Operators'!$C$1:$G$99999,5,FALSE)</f>
        <v>LALONDE GREGORY</v>
      </c>
      <c r="M166" s="6">
        <f t="shared" si="129"/>
        <v>1.2060185181326233E-2</v>
      </c>
      <c r="N166" s="7">
        <f t="shared" si="119"/>
        <v>17.366666661109775</v>
      </c>
      <c r="O166" s="7"/>
      <c r="P166" s="7"/>
      <c r="Q166" s="22"/>
      <c r="R166" s="170"/>
      <c r="S166" s="213">
        <f t="shared" si="120"/>
        <v>1</v>
      </c>
      <c r="T166" s="195" t="str">
        <f t="shared" si="130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121"/>
        <v>https://d0f6bd738d7f1b3e5a7ca70fe4ff75f0.us-east-1.aws.found.io/app/kibana#/discover/Steve-Slow-Train-Analysis-(2080s-and-2083s)?_g=(refreshInterval:(display:Off,pause:!f,section:0,value:0),time:(from:'2017-08-11T05:35:24-0600',mode:absolute,to:'2017-08-11T07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6" s="197" t="str">
        <f>IF(AA166&lt;VLOOKUP(AG166,Variables!$AC$3:$AD$8,2,FALSE),"Y","N")</f>
        <v>N</v>
      </c>
      <c r="X166" s="197">
        <f t="shared" si="136"/>
        <v>1</v>
      </c>
      <c r="Y166" s="197">
        <f t="shared" si="135"/>
        <v>5.8663999999999996</v>
      </c>
      <c r="Z166" s="197">
        <f t="shared" si="134"/>
        <v>6.8199999999999997E-2</v>
      </c>
      <c r="AA166" s="197">
        <f t="shared" si="131"/>
        <v>5.7981999999999996</v>
      </c>
      <c r="AB166" s="54" t="e">
        <f>VLOOKUP(A166,Enforcements!$C$7:$K$12,8,0)</f>
        <v>#N/A</v>
      </c>
      <c r="AC166" s="51" t="e">
        <f>VLOOKUP(A166,Enforcements!$C$7:$E$12,3,0)</f>
        <v>#N/A</v>
      </c>
      <c r="AD166" s="206">
        <f t="shared" si="132"/>
        <v>804</v>
      </c>
      <c r="AE166" s="77" t="str">
        <f t="shared" si="122"/>
        <v>aws s3 cp s3://rtdc.mdm.uploadarchive.raw/RTDC4061/ "%USERPROFILE%\AppData\Local\Temp\OnboardLogs"\RTDC4061\2017-08-11 --exclude "*" --recursive --include "*20170811*" &amp; "%USERPROFILE%\Documents\GitHub\mrs-test-scripts\Headless Mode &amp; Sideloading\WalkAndUnGZ.bat" "%USERPROFILE%\AppData\Local\Temp\OnboardLogs"\RTDC4061\2017-08-11 &amp; aws s3 cp s3://rtdc.mdm.uploadarchive.raw/RTDC4061/ "%USERPROFILE%\AppData\Local\Temp\OnboardLogs"\RTDC4061\2017-08-12 --exclude "*" --recursive --include "*20170812*" &amp; "%USERPROFILE%\Documents\GitHub\mrs-test-scripts\Headless Mode &amp; Sideloading\WalkAndUnGZ.bat" "%USERPROFILE%\AppData\Local\Temp\OnboardLogs"\RTDC4061\2017-08-12</v>
      </c>
      <c r="AF166" s="74" t="str">
        <f t="shared" si="123"/>
        <v>"C:\Program Files (x86)\AstroGrep\AstroGrep.exe" /e /r /s /spath="%USERPROFILE%\AppData\Local\Temp\OnboardLogs" /stypes="app*4061*20170811*" /stext=" 12:.+((SYSTEM_STATE.+slice.+state.+changed )|(ment ac)|(multiple cpu faults)|(system.+state.+changed )|(\[timeout)|(PRM\|1\|D)|(kpr)|(kdp)|(train st.+moving)|(\|lc)|(penalty))"</v>
      </c>
      <c r="AG166" s="209" t="str">
        <f t="shared" si="133"/>
        <v>NW</v>
      </c>
      <c r="AH166" s="78" t="str">
        <f t="shared" si="124"/>
        <v>"%USERPROFILE%\Documents\GitHub\eaglep3\Utilities\RefineRTDCRunTimes.py" --tripid 804-11 --locoid 4061 --swversion DE.1.0.9.0 --startMP 300:58664 --initTime 2017-08-11T06:35:24 --startdatetime 2017-08-11T06:37:34 --delay 1 --endMP 204:682 --enddatetime 2017-08-11T06:54:56 --enforcementcount 0 &gt;&gt;C:\Users\stu\Documents\GitHub\eaglep3-reporting\EC\2017-08-11-refined-times.txt</v>
      </c>
      <c r="AI166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{"issue":{"subject":"","project_id":79,"tracker_id":40,"status_id":1,"priority_id":2,"assigned_to_id":23,"start_date":"2017-08-11","description":"","custom_fields":[{"id":1,"name":"Subdivision","value":"NW"},{"id":4,"name":"Milepost","value":"0.0682"},{"id":17,"name":"Train ID","value":"804-11"},{"id":16,"name":"Locomotive ID","value":"4061"},{"id":130,"name":"Impact","value":""},{"id":150,"name":"Time of Event (Mountain Time)","value":"06:54:56"},{"id":151,"name":"Denver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126"/>
        <v>start /low /b %USERPROFILE%\Documents\GitHub\eaglep3\Utilities\DownloadLogsFromS3.py --loco 4061 --day 2017-08-11</v>
      </c>
      <c r="AN166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12:54:56"},{"id":29,"name":"Sharepoint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x14ac:dyDescent="0.25">
      <c r="A167" s="32" t="s">
        <v>676</v>
      </c>
      <c r="B167" s="7">
        <v>4018</v>
      </c>
      <c r="C167" s="21" t="s">
        <v>198</v>
      </c>
      <c r="D167" s="21" t="s">
        <v>1005</v>
      </c>
      <c r="E167" s="13">
        <v>42958.269236111111</v>
      </c>
      <c r="F167" s="13">
        <v>42958.285590277781</v>
      </c>
      <c r="G167" s="7">
        <v>1</v>
      </c>
      <c r="H167" s="21" t="s">
        <v>1068</v>
      </c>
      <c r="I167" s="13">
        <v>42958.294571759259</v>
      </c>
      <c r="J167" s="7">
        <v>0</v>
      </c>
      <c r="K167" s="89" t="str">
        <f t="shared" si="128"/>
        <v>4017/4018</v>
      </c>
      <c r="L167" s="21" t="str">
        <f>VLOOKUP(A167,'Trips&amp;Operators'!$C$1:$G$99999,5,FALSE)</f>
        <v>GUZMAN DANNY</v>
      </c>
      <c r="M167" s="6">
        <f t="shared" si="129"/>
        <v>8.9814814782585017E-3</v>
      </c>
      <c r="N167" s="7">
        <f t="shared" si="119"/>
        <v>12.933333328692243</v>
      </c>
      <c r="O167" s="7"/>
      <c r="P167" s="7"/>
      <c r="Q167" s="22"/>
      <c r="R167" s="170"/>
      <c r="S167" s="213">
        <f t="shared" si="120"/>
        <v>1</v>
      </c>
      <c r="T167" s="195" t="str">
        <f t="shared" si="130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121"/>
        <v>https://d0f6bd738d7f1b3e5a7ca70fe4ff75f0.us-east-1.aws.found.io/app/kibana#/discover/Steve-Slow-Train-Analysis-(2080s-and-2083s)?_g=(refreshInterval:(display:Off,pause:!f,section:0,value:0),time:(from:'2017-08-11T05:27:42-0600',mode:absolute,to:'2017-08-11T08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7" s="197" t="str">
        <f>IF(AA167&lt;VLOOKUP(AG167,Variables!$AC$3:$AD$8,2,FALSE),"Y","N")</f>
        <v>N</v>
      </c>
      <c r="X167" s="197">
        <f t="shared" si="136"/>
        <v>1</v>
      </c>
      <c r="Y167" s="197">
        <f t="shared" si="135"/>
        <v>9.9900000000000003E-2</v>
      </c>
      <c r="Z167" s="197">
        <f t="shared" si="134"/>
        <v>5.8949999999999996</v>
      </c>
      <c r="AA167" s="197">
        <f t="shared" si="131"/>
        <v>5.7950999999999997</v>
      </c>
      <c r="AB167" s="54" t="e">
        <f>VLOOKUP(A167,Enforcements!$C$7:$K$12,8,0)</f>
        <v>#N/A</v>
      </c>
      <c r="AC167" s="51" t="e">
        <f>VLOOKUP(A167,Enforcements!$C$7:$E$12,3,0)</f>
        <v>#N/A</v>
      </c>
      <c r="AD167" s="206">
        <f t="shared" si="132"/>
        <v>805</v>
      </c>
      <c r="AE167" s="77" t="str">
        <f t="shared" si="122"/>
        <v>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 &amp; aws s3 cp s3://rtdc.mdm.uploadarchive.raw/RTDC4018/ "%USERPROFILE%\AppData\Local\Temp\OnboardLogs"\RTDC4018\2017-08-12 --exclude "*" --recursive --include "*20170812*" &amp; "%USERPROFILE%\Documents\GitHub\mrs-test-scripts\Headless Mode &amp; Sideloading\WalkAndUnGZ.bat" "%USERPROFILE%\AppData\Local\Temp\OnboardLogs"\RTDC4018\2017-08-12</v>
      </c>
      <c r="AF167" s="74" t="str">
        <f t="shared" si="123"/>
        <v>"C:\Program Files (x86)\AstroGrep\AstroGrep.exe" /e /r /s /spath="%USERPROFILE%\AppData\Local\Temp\OnboardLogs" /stypes="app*4018*20170811*" /stext=" 13:.+((SYSTEM_STATE.+slice.+state.+changed )|(ment ac)|(multiple cpu faults)|(system.+state.+changed )|(\[timeout)|(PRM\|1\|D)|(kpr)|(kdp)|(train st.+moving)|(\|lc)|(penalty))"</v>
      </c>
      <c r="AG167" s="209" t="str">
        <f t="shared" si="133"/>
        <v>NW</v>
      </c>
      <c r="AH167" s="78" t="str">
        <f t="shared" si="124"/>
        <v>"%USERPROFILE%\Documents\GitHub\eaglep3\Utilities\RefineRTDCRunTimes.py" --tripid 805-11 --locoid 4018 --swversion DE.1.0.9.0 --startMP 204:999 --initTime 2017-08-11T06:27:42 --startdatetime 2017-08-11T06:51:15 --delay 1 --endMP 300:58950 --enddatetime 2017-08-11T07:04:11 --enforcementcount 0 &gt;&gt;C:\Users\stu\Documents\GitHub\eaglep3-reporting\EC\2017-08-11-refined-times.txt</v>
      </c>
      <c r="AI167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{"issue":{"subject":"","project_id":79,"tracker_id":40,"status_id":1,"priority_id":2,"assigned_to_id":23,"start_date":"2017-08-11","description":"","custom_fields":[{"id":1,"name":"Subdivision","value":"NW"},{"id":4,"name":"Milepost","value":"5.895"},{"id":17,"name":"Train ID","value":"805-11"},{"id":16,"name":"Locomotive ID","value":"4018"},{"id":130,"name":"Impact","value":""},{"id":150,"name":"Time of Event (Mountain Time)","value":"07:04:11"},{"id":151,"name":"Denver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126"/>
        <v>start /low /b %USERPROFILE%\Documents\GitHub\eaglep3\Utilities\DownloadLogsFromS3.py --loco 4018 --day 2017-08-11</v>
      </c>
      <c r="AN167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13:04:11"},{"id":29,"name":"Sharepoint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s="20" customFormat="1" x14ac:dyDescent="0.25">
      <c r="A168" s="32" t="s">
        <v>679</v>
      </c>
      <c r="B168" s="7">
        <v>4017</v>
      </c>
      <c r="C168" s="21" t="s">
        <v>198</v>
      </c>
      <c r="D168" s="21" t="s">
        <v>1006</v>
      </c>
      <c r="E168" s="13">
        <v>42958.295717592591</v>
      </c>
      <c r="F168" s="13">
        <v>42958.297118055554</v>
      </c>
      <c r="G168" s="7">
        <v>1</v>
      </c>
      <c r="H168" s="21" t="s">
        <v>1035</v>
      </c>
      <c r="I168" s="13">
        <v>42958.309155092589</v>
      </c>
      <c r="J168" s="7">
        <v>0</v>
      </c>
      <c r="K168" s="89" t="str">
        <f t="shared" si="128"/>
        <v>4017/4018</v>
      </c>
      <c r="L168" s="21" t="str">
        <f>VLOOKUP(A168,'Trips&amp;Operators'!$C$1:$G$99999,5,FALSE)</f>
        <v>GUZMAN DANNY</v>
      </c>
      <c r="M168" s="6">
        <f t="shared" si="129"/>
        <v>1.2037037035042886E-2</v>
      </c>
      <c r="N168" s="7">
        <f t="shared" si="119"/>
        <v>17.333333330461755</v>
      </c>
      <c r="O168" s="7"/>
      <c r="P168" s="7"/>
      <c r="Q168" s="22"/>
      <c r="R168" s="170"/>
      <c r="S168" s="213">
        <f t="shared" si="120"/>
        <v>1</v>
      </c>
      <c r="T168" s="195" t="str">
        <f t="shared" si="130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121"/>
        <v>https://d0f6bd738d7f1b3e5a7ca70fe4ff75f0.us-east-1.aws.found.io/app/kibana#/discover/Steve-Slow-Train-Analysis-(2080s-and-2083s)?_g=(refreshInterval:(display:Off,pause:!f,section:0,value:0),time:(from:'2017-08-11T06:05:50-0600',mode:absolute,to:'2017-08-11T08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8" s="197" t="str">
        <f>IF(AA168&lt;VLOOKUP(AG168,Variables!$AC$3:$AD$8,2,FALSE),"Y","N")</f>
        <v>N</v>
      </c>
      <c r="X168" s="197">
        <f t="shared" si="136"/>
        <v>1</v>
      </c>
      <c r="Y168" s="197">
        <f t="shared" si="135"/>
        <v>5.8634000000000004</v>
      </c>
      <c r="Z168" s="197">
        <f t="shared" si="134"/>
        <v>6.9900000000000004E-2</v>
      </c>
      <c r="AA168" s="197">
        <f t="shared" si="131"/>
        <v>5.7935000000000008</v>
      </c>
      <c r="AB168" s="54" t="e">
        <f>VLOOKUP(A168,Enforcements!$C$7:$K$12,8,0)</f>
        <v>#N/A</v>
      </c>
      <c r="AC168" s="51" t="e">
        <f>VLOOKUP(A168,Enforcements!$C$7:$E$12,3,0)</f>
        <v>#N/A</v>
      </c>
      <c r="AD168" s="206">
        <f t="shared" si="132"/>
        <v>806</v>
      </c>
      <c r="AE168" s="77" t="str">
        <f t="shared" si="122"/>
        <v>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 &amp; aws s3 cp s3://rtdc.mdm.uploadarchive.raw/RTDC4017/ "%USERPROFILE%\AppData\Local\Temp\OnboardLogs"\RTDC4017\2017-08-12 --exclude "*" --recursive --include "*20170812*" &amp; "%USERPROFILE%\Documents\GitHub\mrs-test-scripts\Headless Mode &amp; Sideloading\WalkAndUnGZ.bat" "%USERPROFILE%\AppData\Local\Temp\OnboardLogs"\RTDC4017\2017-08-12</v>
      </c>
      <c r="AF168" s="74" t="str">
        <f t="shared" si="123"/>
        <v>"C:\Program Files (x86)\AstroGrep\AstroGrep.exe" /e /r /s /spath="%USERPROFILE%\AppData\Local\Temp\OnboardLogs" /stypes="app*4017*20170811*" /stext=" 13:.+((SYSTEM_STATE.+slice.+state.+changed )|(ment ac)|(multiple cpu faults)|(system.+state.+changed )|(\[timeout)|(PRM\|1\|D)|(kpr)|(kdp)|(train st.+moving)|(\|lc)|(penalty))"</v>
      </c>
      <c r="AG168" s="209" t="str">
        <f t="shared" si="133"/>
        <v>NW</v>
      </c>
      <c r="AH168" s="78" t="str">
        <f t="shared" si="124"/>
        <v>"%USERPROFILE%\Documents\GitHub\eaglep3\Utilities\RefineRTDCRunTimes.py" --tripid 806-11 --locoid 4017 --swversion DE.1.0.9.0 --startMP 300:58634 --initTime 2017-08-11T07:05:50 --startdatetime 2017-08-11T07:07:51 --delay 1 --endMP 204:699 --enddatetime 2017-08-11T07:25:11 --enforcementcount 0 &gt;&gt;C:\Users\stu\Documents\GitHub\eaglep3-reporting\EC\2017-08-11-refined-times.txt</v>
      </c>
      <c r="AI168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{"issue":{"subject":"","project_id":79,"tracker_id":40,"status_id":1,"priority_id":2,"assigned_to_id":23,"start_date":"2017-08-11","description":"","custom_fields":[{"id":1,"name":"Subdivision","value":"NW"},{"id":4,"name":"Milepost","value":"0.0699"},{"id":17,"name":"Train ID","value":"806-11"},{"id":16,"name":"Locomotive ID","value":"4017"},{"id":130,"name":"Impact","value":""},{"id":150,"name":"Time of Event (Mountain Time)","value":"07:25:11"},{"id":151,"name":"Denver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126"/>
        <v>start /low /b %USERPROFILE%\Documents\GitHub\eaglep3\Utilities\DownloadLogsFromS3.py --loco 4017 --day 2017-08-11</v>
      </c>
      <c r="AN168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13:25:11"},{"id":29,"name":"Sharepoint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678</v>
      </c>
      <c r="B169" s="7">
        <v>4062</v>
      </c>
      <c r="C169" s="21" t="s">
        <v>198</v>
      </c>
      <c r="D169" s="21" t="s">
        <v>599</v>
      </c>
      <c r="E169" s="13">
        <v>42958.289618055554</v>
      </c>
      <c r="F169" s="13">
        <v>42958.30641203704</v>
      </c>
      <c r="G169" s="7">
        <v>0</v>
      </c>
      <c r="H169" s="21" t="s">
        <v>1007</v>
      </c>
      <c r="I169" s="13">
        <v>42958.315370370372</v>
      </c>
      <c r="J169" s="7">
        <v>0</v>
      </c>
      <c r="K169" s="89" t="str">
        <f t="shared" si="128"/>
        <v>4061/4062</v>
      </c>
      <c r="L169" s="21" t="str">
        <f>VLOOKUP(A169,'Trips&amp;Operators'!$C$1:$G$99999,5,FALSE)</f>
        <v>LALONDE GREGORY</v>
      </c>
      <c r="M169" s="6">
        <f t="shared" si="129"/>
        <v>8.9583333319751546E-3</v>
      </c>
      <c r="N169" s="7">
        <f t="shared" si="119"/>
        <v>12.899999998044223</v>
      </c>
      <c r="O169" s="7"/>
      <c r="P169" s="7"/>
      <c r="Q169" s="22"/>
      <c r="R169" s="170"/>
      <c r="S169" s="213">
        <f t="shared" si="120"/>
        <v>1</v>
      </c>
      <c r="T169" s="195" t="str">
        <f t="shared" si="130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121"/>
        <v>https://d0f6bd738d7f1b3e5a7ca70fe4ff75f0.us-east-1.aws.found.io/app/kibana#/discover/Steve-Slow-Train-Analysis-(2080s-and-2083s)?_g=(refreshInterval:(display:Off,pause:!f,section:0,value:0),time:(from:'2017-08-11T05:57:03-0600',mode:absolute,to:'2017-08-11T08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9" s="197" t="str">
        <f>IF(AA169&lt;VLOOKUP(AG169,Variables!$AC$3:$AD$8,2,FALSE),"Y","N")</f>
        <v>N</v>
      </c>
      <c r="X169" s="197">
        <f t="shared" si="136"/>
        <v>1</v>
      </c>
      <c r="Y169" s="197">
        <f t="shared" si="135"/>
        <v>9.64E-2</v>
      </c>
      <c r="Z169" s="197">
        <f t="shared" si="134"/>
        <v>5.8975</v>
      </c>
      <c r="AA169" s="197">
        <f t="shared" si="131"/>
        <v>5.8010999999999999</v>
      </c>
      <c r="AB169" s="54" t="e">
        <f>VLOOKUP(A169,Enforcements!$C$7:$K$12,8,0)</f>
        <v>#N/A</v>
      </c>
      <c r="AC169" s="51" t="e">
        <f>VLOOKUP(A169,Enforcements!$C$7:$E$12,3,0)</f>
        <v>#N/A</v>
      </c>
      <c r="AD169" s="206">
        <f t="shared" si="132"/>
        <v>807</v>
      </c>
      <c r="AE169" s="77" t="str">
        <f t="shared" si="122"/>
        <v>aws s3 cp s3://rtdc.mdm.uploadarchive.raw/RTDC4062/ "%USERPROFILE%\AppData\Local\Temp\OnboardLogs"\RTDC4062\2017-08-11 --exclude "*" --recursive --include "*20170811*" &amp; "%USERPROFILE%\Documents\GitHub\mrs-test-scripts\Headless Mode &amp; Sideloading\WalkAndUnGZ.bat" "%USERPROFILE%\AppData\Local\Temp\OnboardLogs"\RTDC4062\2017-08-11 &amp; aws s3 cp s3://rtdc.mdm.uploadarchive.raw/RTDC4062/ "%USERPROFILE%\AppData\Local\Temp\OnboardLogs"\RTDC4062\2017-08-12 --exclude "*" --recursive --include "*20170812*" &amp; "%USERPROFILE%\Documents\GitHub\mrs-test-scripts\Headless Mode &amp; Sideloading\WalkAndUnGZ.bat" "%USERPROFILE%\AppData\Local\Temp\OnboardLogs"\RTDC4062\2017-08-12</v>
      </c>
      <c r="AF169" s="74" t="str">
        <f t="shared" si="123"/>
        <v>"C:\Program Files (x86)\AstroGrep\AstroGrep.exe" /e /r /s /spath="%USERPROFILE%\AppData\Local\Temp\OnboardLogs" /stypes="app*4062*20170811*" /stext=" 13:.+((SYSTEM_STATE.+slice.+state.+changed )|(ment ac)|(multiple cpu faults)|(system.+state.+changed )|(\[timeout)|(PRM\|1\|D)|(kpr)|(kdp)|(train st.+moving)|(\|lc)|(penalty))"</v>
      </c>
      <c r="AG169" s="209" t="str">
        <f t="shared" si="133"/>
        <v>NW</v>
      </c>
      <c r="AH169" s="78" t="str">
        <f t="shared" si="124"/>
        <v>"%USERPROFILE%\Documents\GitHub\eaglep3\Utilities\RefineRTDCRunTimes.py" --tripid 807-11 --locoid 4062 --swversion DE.1.0.9.0 --startMP 204:964 --initTime 2017-08-11T06:57:03 --startdatetime 2017-08-11T07:21:14 --delay 0 --endMP 300:58975 --enddatetime 2017-08-11T07:34:08 --enforcementcount 0 &gt;&gt;C:\Users\stu\Documents\GitHub\eaglep3-reporting\EC\2017-08-11-refined-times.txt</v>
      </c>
      <c r="AI169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{"issue":{"subject":"","project_id":79,"tracker_id":40,"status_id":1,"priority_id":2,"assigned_to_id":23,"start_date":"2017-08-11","description":"","custom_fields":[{"id":1,"name":"Subdivision","value":"NW"},{"id":4,"name":"Milepost","value":"5.8975"},{"id":17,"name":"Train ID","value":"807-11"},{"id":16,"name":"Locomotive ID","value":"4062"},{"id":130,"name":"Impact","value":""},{"id":150,"name":"Time of Event (Mountain Time)","value":"07:34:08"},{"id":151,"name":"Denver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126"/>
        <v>start /low /b %USERPROFILE%\Documents\GitHub\eaglep3\Utilities\DownloadLogsFromS3.py --loco 4062 --day 2017-08-11</v>
      </c>
      <c r="AN169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13:34:08"},{"id":29,"name":"Sharepoint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684</v>
      </c>
      <c r="B170" s="7">
        <v>4061</v>
      </c>
      <c r="C170" s="21" t="s">
        <v>198</v>
      </c>
      <c r="D170" s="21" t="s">
        <v>1008</v>
      </c>
      <c r="E170" s="13">
        <v>42958.316099537034</v>
      </c>
      <c r="F170" s="13">
        <v>42958.317453703705</v>
      </c>
      <c r="G170" s="7">
        <v>0</v>
      </c>
      <c r="H170" s="21" t="s">
        <v>1067</v>
      </c>
      <c r="I170" s="13">
        <v>42958.330138888887</v>
      </c>
      <c r="J170" s="7">
        <v>0</v>
      </c>
      <c r="K170" s="89" t="str">
        <f t="shared" si="128"/>
        <v>4061/4062</v>
      </c>
      <c r="L170" s="21" t="str">
        <f>VLOOKUP(A170,'Trips&amp;Operators'!$C$1:$G$99999,5,FALSE)</f>
        <v>LALONDE GREGORY</v>
      </c>
      <c r="M170" s="6">
        <f t="shared" si="129"/>
        <v>1.2685185181908309E-2</v>
      </c>
      <c r="N170" s="7">
        <f t="shared" si="119"/>
        <v>18.266666661947966</v>
      </c>
      <c r="O170" s="7"/>
      <c r="P170" s="7"/>
      <c r="Q170" s="22"/>
      <c r="R170" s="170"/>
      <c r="S170" s="213">
        <f t="shared" si="120"/>
        <v>1</v>
      </c>
      <c r="T170" s="195" t="str">
        <f t="shared" si="130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121"/>
        <v>https://d0f6bd738d7f1b3e5a7ca70fe4ff75f0.us-east-1.aws.found.io/app/kibana#/discover/Steve-Slow-Train-Analysis-(2080s-and-2083s)?_g=(refreshInterval:(display:Off,pause:!f,section:0,value:0),time:(from:'2017-08-11T06:35:11-0600',mode:absolute,to:'2017-08-11T08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0" s="197" t="str">
        <f>IF(AA170&lt;VLOOKUP(AG170,Variables!$AC$3:$AD$8,2,FALSE),"Y","N")</f>
        <v>N</v>
      </c>
      <c r="X170" s="197">
        <f t="shared" si="136"/>
        <v>1</v>
      </c>
      <c r="Y170" s="197">
        <f t="shared" si="135"/>
        <v>5.8653000000000004</v>
      </c>
      <c r="Z170" s="197">
        <f t="shared" si="134"/>
        <v>6.9199999999999998E-2</v>
      </c>
      <c r="AA170" s="197">
        <f t="shared" si="131"/>
        <v>5.7961</v>
      </c>
      <c r="AB170" s="54" t="e">
        <f>VLOOKUP(A170,Enforcements!$C$7:$K$12,8,0)</f>
        <v>#N/A</v>
      </c>
      <c r="AC170" s="51" t="e">
        <f>VLOOKUP(A170,Enforcements!$C$7:$E$12,3,0)</f>
        <v>#N/A</v>
      </c>
      <c r="AD170" s="206">
        <f t="shared" si="132"/>
        <v>808</v>
      </c>
      <c r="AE170" s="77" t="str">
        <f t="shared" si="122"/>
        <v>aws s3 cp s3://rtdc.mdm.uploadarchive.raw/RTDC4061/ "%USERPROFILE%\AppData\Local\Temp\OnboardLogs"\RTDC4061\2017-08-11 --exclude "*" --recursive --include "*20170811*" &amp; "%USERPROFILE%\Documents\GitHub\mrs-test-scripts\Headless Mode &amp; Sideloading\WalkAndUnGZ.bat" "%USERPROFILE%\AppData\Local\Temp\OnboardLogs"\RTDC4061\2017-08-11 &amp; aws s3 cp s3://rtdc.mdm.uploadarchive.raw/RTDC4061/ "%USERPROFILE%\AppData\Local\Temp\OnboardLogs"\RTDC4061\2017-08-12 --exclude "*" --recursive --include "*20170812*" &amp; "%USERPROFILE%\Documents\GitHub\mrs-test-scripts\Headless Mode &amp; Sideloading\WalkAndUnGZ.bat" "%USERPROFILE%\AppData\Local\Temp\OnboardLogs"\RTDC4061\2017-08-12</v>
      </c>
      <c r="AF170" s="74" t="str">
        <f t="shared" si="123"/>
        <v>"C:\Program Files (x86)\AstroGrep\AstroGrep.exe" /e /r /s /spath="%USERPROFILE%\AppData\Local\Temp\OnboardLogs" /stypes="app*4061*20170811*" /stext=" 13:.+((SYSTEM_STATE.+slice.+state.+changed )|(ment ac)|(multiple cpu faults)|(system.+state.+changed )|(\[timeout)|(PRM\|1\|D)|(kpr)|(kdp)|(train st.+moving)|(\|lc)|(penalty))"</v>
      </c>
      <c r="AG170" s="209" t="str">
        <f t="shared" si="133"/>
        <v>NW</v>
      </c>
      <c r="AH170" s="78" t="str">
        <f t="shared" si="124"/>
        <v>"%USERPROFILE%\Documents\GitHub\eaglep3\Utilities\RefineRTDCRunTimes.py" --tripid 808-11 --locoid 4061 --swversion DE.1.0.9.0 --startMP 300:58653 --initTime 2017-08-11T07:35:11 --startdatetime 2017-08-11T07:37:08 --delay 0 --endMP 204:692 --enddatetime 2017-08-11T07:55:24 --enforcementcount 0 &gt;&gt;C:\Users\stu\Documents\GitHub\eaglep3-reporting\EC\2017-08-11-refined-times.txt</v>
      </c>
      <c r="AI170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{"issue":{"subject":"","project_id":79,"tracker_id":40,"status_id":1,"priority_id":2,"assigned_to_id":23,"start_date":"2017-08-11","description":"","custom_fields":[{"id":1,"name":"Subdivision","value":"NW"},{"id":4,"name":"Milepost","value":"0.0692"},{"id":17,"name":"Train ID","value":"808-11"},{"id":16,"name":"Locomotive ID","value":"4061"},{"id":130,"name":"Impact","value":""},{"id":150,"name":"Time of Event (Mountain Time)","value":"07:55:24"},{"id":151,"name":"Denver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126"/>
        <v>start /low /b %USERPROFILE%\Documents\GitHub\eaglep3\Utilities\DownloadLogsFromS3.py --loco 4061 --day 2017-08-11</v>
      </c>
      <c r="AN170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683</v>
      </c>
      <c r="B171" s="7">
        <v>4018</v>
      </c>
      <c r="C171" s="21" t="s">
        <v>198</v>
      </c>
      <c r="D171" s="21" t="s">
        <v>590</v>
      </c>
      <c r="E171" s="13">
        <v>42958.310914351852</v>
      </c>
      <c r="F171" s="13">
        <v>42958.327418981484</v>
      </c>
      <c r="G171" s="7">
        <v>1</v>
      </c>
      <c r="H171" s="21" t="s">
        <v>1025</v>
      </c>
      <c r="I171" s="13">
        <v>42958.336481481485</v>
      </c>
      <c r="J171" s="7">
        <v>0</v>
      </c>
      <c r="K171" s="89" t="str">
        <f t="shared" si="128"/>
        <v>4017/4018</v>
      </c>
      <c r="L171" s="21" t="str">
        <f>VLOOKUP(A171,'Trips&amp;Operators'!$C$1:$G$99999,5,FALSE)</f>
        <v>GUZMAN DANNY</v>
      </c>
      <c r="M171" s="6">
        <f t="shared" si="129"/>
        <v>9.0625000011641532E-3</v>
      </c>
      <c r="N171" s="7">
        <f t="shared" ref="N171:N202" si="137">24*60*SUM($M171:$M171)</f>
        <v>13.050000001676381</v>
      </c>
      <c r="O171" s="7"/>
      <c r="P171" s="7"/>
      <c r="Q171" s="22"/>
      <c r="R171" s="170"/>
      <c r="S171" s="213">
        <f t="shared" ref="S171:S202" si="138">1/IF(AG171="EC",12,1)*SUM(U171:U171)</f>
        <v>1</v>
      </c>
      <c r="T171" s="195" t="str">
        <f t="shared" si="130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121"/>
        <v>https://d0f6bd738d7f1b3e5a7ca70fe4ff75f0.us-east-1.aws.found.io/app/kibana#/discover/Steve-Slow-Train-Analysis-(2080s-and-2083s)?_g=(refreshInterval:(display:Off,pause:!f,section:0,value:0),time:(from:'2017-08-11T06:27:43-0600',mode:absolute,to:'2017-08-11T09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1" s="197" t="str">
        <f>IF(AA171&lt;VLOOKUP(AG171,Variables!$AC$3:$AD$8,2,FALSE),"Y","N")</f>
        <v>N</v>
      </c>
      <c r="X171" s="197">
        <f t="shared" si="136"/>
        <v>1</v>
      </c>
      <c r="Y171" s="197">
        <f t="shared" si="135"/>
        <v>9.7199999999999995E-2</v>
      </c>
      <c r="Z171" s="197">
        <f t="shared" si="134"/>
        <v>5.8936999999999999</v>
      </c>
      <c r="AA171" s="197">
        <f t="shared" si="131"/>
        <v>5.7965</v>
      </c>
      <c r="AB171" s="54" t="e">
        <f>VLOOKUP(A171,Enforcements!$C$7:$K$12,8,0)</f>
        <v>#N/A</v>
      </c>
      <c r="AC171" s="51" t="e">
        <f>VLOOKUP(A171,Enforcements!$C$7:$E$12,3,0)</f>
        <v>#N/A</v>
      </c>
      <c r="AD171" s="206">
        <f t="shared" si="132"/>
        <v>809</v>
      </c>
      <c r="AE171" s="77" t="str">
        <f t="shared" si="122"/>
        <v>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 &amp; aws s3 cp s3://rtdc.mdm.uploadarchive.raw/RTDC4018/ "%USERPROFILE%\AppData\Local\Temp\OnboardLogs"\RTDC4018\2017-08-12 --exclude "*" --recursive --include "*20170812*" &amp; "%USERPROFILE%\Documents\GitHub\mrs-test-scripts\Headless Mode &amp; Sideloading\WalkAndUnGZ.bat" "%USERPROFILE%\AppData\Local\Temp\OnboardLogs"\RTDC4018\2017-08-12</v>
      </c>
      <c r="AF171" s="74" t="str">
        <f t="shared" si="123"/>
        <v>"C:\Program Files (x86)\AstroGrep\AstroGrep.exe" /e /r /s /spath="%USERPROFILE%\AppData\Local\Temp\OnboardLogs" /stypes="app*4018*20170811*" /stext=" 14:.+((SYSTEM_STATE.+slice.+state.+changed )|(ment ac)|(multiple cpu faults)|(system.+state.+changed )|(\[timeout)|(PRM\|1\|D)|(kpr)|(kdp)|(train st.+moving)|(\|lc)|(penalty))"</v>
      </c>
      <c r="AG171" s="209" t="str">
        <f t="shared" si="133"/>
        <v>NW</v>
      </c>
      <c r="AH171" s="78" t="str">
        <f t="shared" si="124"/>
        <v>"%USERPROFILE%\Documents\GitHub\eaglep3\Utilities\RefineRTDCRunTimes.py" --tripid 809-11 --locoid 4018 --swversion DE.1.0.9.0 --startMP 204:972 --initTime 2017-08-11T07:27:43 --startdatetime 2017-08-11T07:51:29 --delay 1 --endMP 300:58937 --enddatetime 2017-08-11T08:04:32 --enforcementcount 0 &gt;&gt;C:\Users\stu\Documents\GitHub\eaglep3-reporting\EC\2017-08-11-refined-times.txt</v>
      </c>
      <c r="AI171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{"issue":{"subject":"","project_id":79,"tracker_id":40,"status_id":1,"priority_id":2,"assigned_to_id":23,"start_date":"2017-08-11","description":"","custom_fields":[{"id":1,"name":"Subdivision","value":"NW"},{"id":4,"name":"Milepost","value":"5.8937"},{"id":17,"name":"Train ID","value":"809-11"},{"id":16,"name":"Locomotive ID","value":"4018"},{"id":130,"name":"Impact","value":""},{"id":150,"name":"Time of Event (Mountain Time)","value":"08:04:32"},{"id":151,"name":"Denver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126"/>
        <v>start /low /b %USERPROFILE%\Documents\GitHub\eaglep3\Utilities\DownloadLogsFromS3.py --loco 4018 --day 2017-08-11</v>
      </c>
      <c r="AN171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14:04:32"},{"id":29,"name":"Sharepoint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690</v>
      </c>
      <c r="B172" s="7">
        <v>4017</v>
      </c>
      <c r="C172" s="21" t="s">
        <v>198</v>
      </c>
      <c r="D172" s="21" t="s">
        <v>593</v>
      </c>
      <c r="E172" s="13">
        <v>42958.337604166663</v>
      </c>
      <c r="F172" s="13">
        <v>42958.338935185187</v>
      </c>
      <c r="G172" s="7">
        <v>1</v>
      </c>
      <c r="H172" s="21" t="s">
        <v>1069</v>
      </c>
      <c r="I172" s="13">
        <v>42958.350868055553</v>
      </c>
      <c r="J172" s="7">
        <v>0</v>
      </c>
      <c r="K172" s="89" t="str">
        <f t="shared" si="128"/>
        <v>4017/4018</v>
      </c>
      <c r="L172" s="21" t="str">
        <f>VLOOKUP(A172,'Trips&amp;Operators'!$C$1:$G$99999,5,FALSE)</f>
        <v>GUZMAN DANNY</v>
      </c>
      <c r="M172" s="6">
        <f t="shared" si="129"/>
        <v>1.1932870365853887E-2</v>
      </c>
      <c r="N172" s="7">
        <f t="shared" si="137"/>
        <v>17.183333326829597</v>
      </c>
      <c r="O172" s="7"/>
      <c r="P172" s="7"/>
      <c r="Q172" s="22"/>
      <c r="R172" s="170"/>
      <c r="S172" s="213">
        <f t="shared" si="138"/>
        <v>1</v>
      </c>
      <c r="T172" s="195" t="str">
        <f t="shared" si="130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121"/>
        <v>https://d0f6bd738d7f1b3e5a7ca70fe4ff75f0.us-east-1.aws.found.io/app/kibana#/discover/Steve-Slow-Train-Analysis-(2080s-and-2083s)?_g=(refreshInterval:(display:Off,pause:!f,section:0,value:0),time:(from:'2017-08-11T07:06:09-0600',mode:absolute,to:'2017-08-11T09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2" s="197" t="str">
        <f>IF(AA172&lt;VLOOKUP(AG172,Variables!$AC$3:$AD$8,2,FALSE),"Y","N")</f>
        <v>N</v>
      </c>
      <c r="X172" s="197">
        <f t="shared" si="136"/>
        <v>1</v>
      </c>
      <c r="Y172" s="197">
        <f t="shared" si="135"/>
        <v>5.8609</v>
      </c>
      <c r="Z172" s="197">
        <f t="shared" si="134"/>
        <v>6.8900000000000003E-2</v>
      </c>
      <c r="AA172" s="197">
        <f t="shared" si="131"/>
        <v>5.7919999999999998</v>
      </c>
      <c r="AB172" s="54" t="e">
        <f>VLOOKUP(A172,Enforcements!$C$7:$K$12,8,0)</f>
        <v>#N/A</v>
      </c>
      <c r="AC172" s="51" t="e">
        <f>VLOOKUP(A172,Enforcements!$C$7:$E$12,3,0)</f>
        <v>#N/A</v>
      </c>
      <c r="AD172" s="206">
        <f t="shared" si="132"/>
        <v>810</v>
      </c>
      <c r="AE172" s="77" t="str">
        <f t="shared" si="122"/>
        <v>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 &amp; aws s3 cp s3://rtdc.mdm.uploadarchive.raw/RTDC4017/ "%USERPROFILE%\AppData\Local\Temp\OnboardLogs"\RTDC4017\2017-08-12 --exclude "*" --recursive --include "*20170812*" &amp; "%USERPROFILE%\Documents\GitHub\mrs-test-scripts\Headless Mode &amp; Sideloading\WalkAndUnGZ.bat" "%USERPROFILE%\AppData\Local\Temp\OnboardLogs"\RTDC4017\2017-08-12</v>
      </c>
      <c r="AF172" s="74" t="str">
        <f t="shared" si="123"/>
        <v>"C:\Program Files (x86)\AstroGrep\AstroGrep.exe" /e /r /s /spath="%USERPROFILE%\AppData\Local\Temp\OnboardLogs" /stypes="app*4017*20170811*" /stext=" 14:.+((SYSTEM_STATE.+slice.+state.+changed )|(ment ac)|(multiple cpu faults)|(system.+state.+changed )|(\[timeout)|(PRM\|1\|D)|(kpr)|(kdp)|(train st.+moving)|(\|lc)|(penalty))"</v>
      </c>
      <c r="AG172" s="209" t="str">
        <f t="shared" si="133"/>
        <v>NW</v>
      </c>
      <c r="AH172" s="78" t="str">
        <f t="shared" si="124"/>
        <v>"%USERPROFILE%\Documents\GitHub\eaglep3\Utilities\RefineRTDCRunTimes.py" --tripid 810-11 --locoid 4017 --swversion DE.1.0.9.0 --startMP 300:58609 --initTime 2017-08-11T08:06:09 --startdatetime 2017-08-11T08:08:04 --delay 1 --endMP 204:689 --enddatetime 2017-08-11T08:25:15 --enforcementcount 0 &gt;&gt;C:\Users\stu\Documents\GitHub\eaglep3-reporting\EC\2017-08-11-refined-times.txt</v>
      </c>
      <c r="AI172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{"issue":{"subject":"","project_id":79,"tracker_id":40,"status_id":1,"priority_id":2,"assigned_to_id":23,"start_date":"2017-08-11","description":"","custom_fields":[{"id":1,"name":"Subdivision","value":"NW"},{"id":4,"name":"Milepost","value":"0.0689"},{"id":17,"name":"Train ID","value":"810-11"},{"id":16,"name":"Locomotive ID","value":"4017"},{"id":130,"name":"Impact","value":""},{"id":150,"name":"Time of Event (Mountain Time)","value":"08:25:15"},{"id":151,"name":"Denver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126"/>
        <v>start /low /b %USERPROFILE%\Documents\GitHub\eaglep3\Utilities\DownloadLogsFromS3.py --loco 4017 --day 2017-08-11</v>
      </c>
      <c r="AN172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14:25:15"},{"id":29,"name":"Sharepoint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s="20" customFormat="1" x14ac:dyDescent="0.25">
      <c r="A173" s="32" t="s">
        <v>689</v>
      </c>
      <c r="B173" s="7">
        <v>4062</v>
      </c>
      <c r="C173" s="21" t="s">
        <v>198</v>
      </c>
      <c r="D173" s="21" t="s">
        <v>590</v>
      </c>
      <c r="E173" s="13">
        <v>42958.331608796296</v>
      </c>
      <c r="F173" s="13">
        <v>42958.348090277781</v>
      </c>
      <c r="G173" s="7">
        <v>1</v>
      </c>
      <c r="H173" s="21" t="s">
        <v>1009</v>
      </c>
      <c r="I173" s="13">
        <v>42958.356840277775</v>
      </c>
      <c r="J173" s="7">
        <v>0</v>
      </c>
      <c r="K173" s="89" t="str">
        <f t="shared" si="128"/>
        <v>4061/4062</v>
      </c>
      <c r="L173" s="21" t="str">
        <f>VLOOKUP(A173,'Trips&amp;Operators'!$C$1:$G$99999,5,FALSE)</f>
        <v>LALONDE GREGORY</v>
      </c>
      <c r="M173" s="6">
        <f t="shared" si="129"/>
        <v>8.7499999935971573E-3</v>
      </c>
      <c r="N173" s="7">
        <f t="shared" si="137"/>
        <v>12.599999990779907</v>
      </c>
      <c r="O173" s="7"/>
      <c r="P173" s="7"/>
      <c r="Q173" s="22"/>
      <c r="R173" s="170"/>
      <c r="S173" s="213">
        <f t="shared" si="138"/>
        <v>1</v>
      </c>
      <c r="T173" s="195" t="str">
        <f t="shared" si="130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121"/>
        <v>https://d0f6bd738d7f1b3e5a7ca70fe4ff75f0.us-east-1.aws.found.io/app/kibana#/discover/Steve-Slow-Train-Analysis-(2080s-and-2083s)?_g=(refreshInterval:(display:Off,pause:!f,section:0,value:0),time:(from:'2017-08-11T06:57:31-0600',mode:absolute,to:'2017-08-11T09:33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3" s="197" t="str">
        <f>IF(AA173&lt;VLOOKUP(AG173,Variables!$AC$3:$AD$8,2,FALSE),"Y","N")</f>
        <v>N</v>
      </c>
      <c r="X173" s="197">
        <f t="shared" si="136"/>
        <v>1</v>
      </c>
      <c r="Y173" s="197">
        <f t="shared" si="135"/>
        <v>9.7199999999999995E-2</v>
      </c>
      <c r="Z173" s="197">
        <f t="shared" si="134"/>
        <v>5.8967000000000001</v>
      </c>
      <c r="AA173" s="197">
        <f t="shared" si="131"/>
        <v>5.7995000000000001</v>
      </c>
      <c r="AB173" s="54" t="e">
        <f>VLOOKUP(A173,Enforcements!$C$7:$K$12,8,0)</f>
        <v>#N/A</v>
      </c>
      <c r="AC173" s="51" t="e">
        <f>VLOOKUP(A173,Enforcements!$C$7:$E$12,3,0)</f>
        <v>#N/A</v>
      </c>
      <c r="AD173" s="206">
        <f t="shared" si="132"/>
        <v>811</v>
      </c>
      <c r="AE173" s="77" t="str">
        <f t="shared" si="122"/>
        <v>aws s3 cp s3://rtdc.mdm.uploadarchive.raw/RTDC4062/ "%USERPROFILE%\AppData\Local\Temp\OnboardLogs"\RTDC4062\2017-08-11 --exclude "*" --recursive --include "*20170811*" &amp; "%USERPROFILE%\Documents\GitHub\mrs-test-scripts\Headless Mode &amp; Sideloading\WalkAndUnGZ.bat" "%USERPROFILE%\AppData\Local\Temp\OnboardLogs"\RTDC4062\2017-08-11 &amp; aws s3 cp s3://rtdc.mdm.uploadarchive.raw/RTDC4062/ "%USERPROFILE%\AppData\Local\Temp\OnboardLogs"\RTDC4062\2017-08-12 --exclude "*" --recursive --include "*20170812*" &amp; "%USERPROFILE%\Documents\GitHub\mrs-test-scripts\Headless Mode &amp; Sideloading\WalkAndUnGZ.bat" "%USERPROFILE%\AppData\Local\Temp\OnboardLogs"\RTDC4062\2017-08-12</v>
      </c>
      <c r="AF173" s="74" t="str">
        <f t="shared" si="123"/>
        <v>"C:\Program Files (x86)\AstroGrep\AstroGrep.exe" /e /r /s /spath="%USERPROFILE%\AppData\Local\Temp\OnboardLogs" /stypes="app*4062*20170811*" /stext=" 14:.+((SYSTEM_STATE.+slice.+state.+changed )|(ment ac)|(multiple cpu faults)|(system.+state.+changed )|(\[timeout)|(PRM\|1\|D)|(kpr)|(kdp)|(train st.+moving)|(\|lc)|(penalty))"</v>
      </c>
      <c r="AG173" s="209" t="str">
        <f t="shared" si="133"/>
        <v>NW</v>
      </c>
      <c r="AH173" s="78" t="str">
        <f t="shared" si="124"/>
        <v>"%USERPROFILE%\Documents\GitHub\eaglep3\Utilities\RefineRTDCRunTimes.py" --tripid 811-11 --locoid 4062 --swversion DE.1.0.9.0 --startMP 204:972 --initTime 2017-08-11T07:57:31 --startdatetime 2017-08-11T08:21:15 --delay 1 --endMP 300:58967 --enddatetime 2017-08-11T08:33:51 --enforcementcount 0 &gt;&gt;C:\Users\stu\Documents\GitHub\eaglep3-reporting\EC\2017-08-11-refined-times.txt</v>
      </c>
      <c r="AI173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{"issue":{"subject":"","project_id":79,"tracker_id":40,"status_id":1,"priority_id":2,"assigned_to_id":23,"start_date":"2017-08-11","description":"","custom_fields":[{"id":1,"name":"Subdivision","value":"NW"},{"id":4,"name":"Milepost","value":"5.8967"},{"id":17,"name":"Train ID","value":"811-11"},{"id":16,"name":"Locomotive ID","value":"4062"},{"id":130,"name":"Impact","value":""},{"id":150,"name":"Time of Event (Mountain Time)","value":"08:33:51"},{"id":151,"name":"Denver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126"/>
        <v>start /low /b %USERPROFILE%\Documents\GitHub\eaglep3\Utilities\DownloadLogsFromS3.py --loco 4062 --day 2017-08-11</v>
      </c>
      <c r="AN173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14:33:51"},{"id":29,"name":"Sharepoint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696</v>
      </c>
      <c r="B174" s="7">
        <v>4061</v>
      </c>
      <c r="C174" s="21" t="s">
        <v>198</v>
      </c>
      <c r="D174" s="21" t="s">
        <v>1010</v>
      </c>
      <c r="E174" s="13">
        <v>42958.357615740744</v>
      </c>
      <c r="F174" s="13">
        <v>42958.3590625</v>
      </c>
      <c r="G174" s="7">
        <v>1</v>
      </c>
      <c r="H174" s="21" t="s">
        <v>597</v>
      </c>
      <c r="I174" s="13">
        <v>42958.37091435185</v>
      </c>
      <c r="J174" s="7">
        <v>0</v>
      </c>
      <c r="K174" s="89" t="str">
        <f t="shared" si="128"/>
        <v>4061/4062</v>
      </c>
      <c r="L174" s="21" t="str">
        <f>VLOOKUP(A174,'Trips&amp;Operators'!$C$1:$G$99999,5,FALSE)</f>
        <v>LALONDE GREGORY</v>
      </c>
      <c r="M174" s="6">
        <f t="shared" si="129"/>
        <v>1.1851851850224193E-2</v>
      </c>
      <c r="N174" s="7">
        <f t="shared" si="137"/>
        <v>17.066666664322838</v>
      </c>
      <c r="O174" s="7"/>
      <c r="P174" s="7"/>
      <c r="Q174" s="22"/>
      <c r="R174" s="170"/>
      <c r="S174" s="213">
        <f t="shared" si="138"/>
        <v>1</v>
      </c>
      <c r="T174" s="195" t="str">
        <f t="shared" si="130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121"/>
        <v>https://d0f6bd738d7f1b3e5a7ca70fe4ff75f0.us-east-1.aws.found.io/app/kibana#/discover/Steve-Slow-Train-Analysis-(2080s-and-2083s)?_g=(refreshInterval:(display:Off,pause:!f,section:0,value:0),time:(from:'2017-08-11T07:34:58-0600',mode:absolute,to:'2017-08-11T09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4" s="197" t="str">
        <f>IF(AA174&lt;VLOOKUP(AG174,Variables!$AC$3:$AD$8,2,FALSE),"Y","N")</f>
        <v>N</v>
      </c>
      <c r="X174" s="197">
        <f t="shared" si="136"/>
        <v>1</v>
      </c>
      <c r="Y174" s="197">
        <f t="shared" si="135"/>
        <v>5.8658000000000001</v>
      </c>
      <c r="Z174" s="197">
        <f t="shared" si="134"/>
        <v>6.7699999999999996E-2</v>
      </c>
      <c r="AA174" s="197">
        <f t="shared" si="131"/>
        <v>5.7980999999999998</v>
      </c>
      <c r="AB174" s="54" t="e">
        <f>VLOOKUP(A174,Enforcements!$C$7:$K$12,8,0)</f>
        <v>#N/A</v>
      </c>
      <c r="AC174" s="51" t="e">
        <f>VLOOKUP(A174,Enforcements!$C$7:$E$12,3,0)</f>
        <v>#N/A</v>
      </c>
      <c r="AD174" s="206">
        <f t="shared" si="132"/>
        <v>812</v>
      </c>
      <c r="AE174" s="77" t="str">
        <f t="shared" si="122"/>
        <v>aws s3 cp s3://rtdc.mdm.uploadarchive.raw/RTDC4061/ "%USERPROFILE%\AppData\Local\Temp\OnboardLogs"\RTDC4061\2017-08-11 --exclude "*" --recursive --include "*20170811*" &amp; "%USERPROFILE%\Documents\GitHub\mrs-test-scripts\Headless Mode &amp; Sideloading\WalkAndUnGZ.bat" "%USERPROFILE%\AppData\Local\Temp\OnboardLogs"\RTDC4061\2017-08-11 &amp; aws s3 cp s3://rtdc.mdm.uploadarchive.raw/RTDC4061/ "%USERPROFILE%\AppData\Local\Temp\OnboardLogs"\RTDC4061\2017-08-12 --exclude "*" --recursive --include "*20170812*" &amp; "%USERPROFILE%\Documents\GitHub\mrs-test-scripts\Headless Mode &amp; Sideloading\WalkAndUnGZ.bat" "%USERPROFILE%\AppData\Local\Temp\OnboardLogs"\RTDC4061\2017-08-12</v>
      </c>
      <c r="AF174" s="74" t="str">
        <f t="shared" si="123"/>
        <v>"C:\Program Files (x86)\AstroGrep\AstroGrep.exe" /e /r /s /spath="%USERPROFILE%\AppData\Local\Temp\OnboardLogs" /stypes="app*4061*20170811*" /stext=" 14:.+((SYSTEM_STATE.+slice.+state.+changed )|(ment ac)|(multiple cpu faults)|(system.+state.+changed )|(\[timeout)|(PRM\|1\|D)|(kpr)|(kdp)|(train st.+moving)|(\|lc)|(penalty))"</v>
      </c>
      <c r="AG174" s="209" t="str">
        <f t="shared" si="133"/>
        <v>NW</v>
      </c>
      <c r="AH174" s="78" t="str">
        <f t="shared" si="124"/>
        <v>"%USERPROFILE%\Documents\GitHub\eaglep3\Utilities\RefineRTDCRunTimes.py" --tripid 812-11 --locoid 4061 --swversion DE.1.0.9.0 --startMP 300:58658 --initTime 2017-08-11T08:34:58 --startdatetime 2017-08-11T08:37:03 --delay 1 --endMP 204:677 --enddatetime 2017-08-11T08:54:07 --enforcementcount 0 &gt;&gt;C:\Users\stu\Documents\GitHub\eaglep3-reporting\EC\2017-08-11-refined-times.txt</v>
      </c>
      <c r="AI174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{"issue":{"subject":"","project_id":79,"tracker_id":40,"status_id":1,"priority_id":2,"assigned_to_id":23,"start_date":"2017-08-11","description":"","custom_fields":[{"id":1,"name":"Subdivision","value":"NW"},{"id":4,"name":"Milepost","value":"0.0677"},{"id":17,"name":"Train ID","value":"812-11"},{"id":16,"name":"Locomotive ID","value":"4061"},{"id":130,"name":"Impact","value":""},{"id":150,"name":"Time of Event (Mountain Time)","value":"08:54:07"},{"id":151,"name":"Denver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126"/>
        <v>start /low /b %USERPROFILE%\Documents\GitHub\eaglep3\Utilities\DownloadLogsFromS3.py --loco 4061 --day 2017-08-11</v>
      </c>
      <c r="AN174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14:54:07"},{"id":29,"name":"Sharepoint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699</v>
      </c>
      <c r="B175" s="7">
        <v>4062</v>
      </c>
      <c r="C175" s="21" t="s">
        <v>198</v>
      </c>
      <c r="D175" s="21" t="s">
        <v>1011</v>
      </c>
      <c r="E175" s="13">
        <v>42958.379652777781</v>
      </c>
      <c r="F175" s="13">
        <v>42958.389745370368</v>
      </c>
      <c r="G175" s="7">
        <v>1</v>
      </c>
      <c r="H175" s="21" t="s">
        <v>1070</v>
      </c>
      <c r="I175" s="13">
        <v>42958.399537037039</v>
      </c>
      <c r="J175" s="7">
        <v>0</v>
      </c>
      <c r="K175" s="89" t="str">
        <f t="shared" si="128"/>
        <v>4061/4062</v>
      </c>
      <c r="L175" s="21" t="str">
        <f>VLOOKUP(A175,'Trips&amp;Operators'!$C$1:$G$99999,5,FALSE)</f>
        <v>STARKS ANGELINA</v>
      </c>
      <c r="M175" s="6">
        <f t="shared" si="129"/>
        <v>9.7916666709352285E-3</v>
      </c>
      <c r="N175" s="7">
        <f t="shared" si="137"/>
        <v>14.100000006146729</v>
      </c>
      <c r="O175" s="7"/>
      <c r="P175" s="7"/>
      <c r="Q175" s="22"/>
      <c r="R175" s="170"/>
      <c r="S175" s="213">
        <f t="shared" si="138"/>
        <v>1</v>
      </c>
      <c r="T175" s="195" t="str">
        <f t="shared" si="130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121"/>
        <v>https://d0f6bd738d7f1b3e5a7ca70fe4ff75f0.us-east-1.aws.found.io/app/kibana#/discover/Steve-Slow-Train-Analysis-(2080s-and-2083s)?_g=(refreshInterval:(display:Off,pause:!f,section:0,value:0),time:(from:'2017-08-11T08:06:42-0600',mode:absolute,to:'2017-08-11T10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5" s="197" t="str">
        <f>IF(AA175&lt;VLOOKUP(AG175,Variables!$AC$3:$AD$8,2,FALSE),"Y","N")</f>
        <v>N</v>
      </c>
      <c r="X175" s="197">
        <f t="shared" si="136"/>
        <v>1</v>
      </c>
      <c r="Y175" s="197">
        <f t="shared" si="135"/>
        <v>9.9299999999999999E-2</v>
      </c>
      <c r="Z175" s="197">
        <f t="shared" si="134"/>
        <v>5.8917999999999999</v>
      </c>
      <c r="AA175" s="197">
        <f t="shared" si="131"/>
        <v>5.7924999999999995</v>
      </c>
      <c r="AB175" s="54" t="e">
        <f>VLOOKUP(A175,Enforcements!$C$7:$K$12,8,0)</f>
        <v>#N/A</v>
      </c>
      <c r="AC175" s="51" t="e">
        <f>VLOOKUP(A175,Enforcements!$C$7:$E$12,3,0)</f>
        <v>#N/A</v>
      </c>
      <c r="AD175" s="206">
        <f t="shared" si="132"/>
        <v>813</v>
      </c>
      <c r="AE175" s="77" t="str">
        <f t="shared" si="122"/>
        <v>aws s3 cp s3://rtdc.mdm.uploadarchive.raw/RTDC4062/ "%USERPROFILE%\AppData\Local\Temp\OnboardLogs"\RTDC4062\2017-08-11 --exclude "*" --recursive --include "*20170811*" &amp; "%USERPROFILE%\Documents\GitHub\mrs-test-scripts\Headless Mode &amp; Sideloading\WalkAndUnGZ.bat" "%USERPROFILE%\AppData\Local\Temp\OnboardLogs"\RTDC4062\2017-08-11 &amp; aws s3 cp s3://rtdc.mdm.uploadarchive.raw/RTDC4062/ "%USERPROFILE%\AppData\Local\Temp\OnboardLogs"\RTDC4062\2017-08-12 --exclude "*" --recursive --include "*20170812*" &amp; "%USERPROFILE%\Documents\GitHub\mrs-test-scripts\Headless Mode &amp; Sideloading\WalkAndUnGZ.bat" "%USERPROFILE%\AppData\Local\Temp\OnboardLogs"\RTDC4062\2017-08-12</v>
      </c>
      <c r="AF175" s="74" t="str">
        <f t="shared" si="123"/>
        <v>"C:\Program Files (x86)\AstroGrep\AstroGrep.exe" /e /r /s /spath="%USERPROFILE%\AppData\Local\Temp\OnboardLogs" /stypes="app*4062*20170811*" /stext=" 15:.+((SYSTEM_STATE.+slice.+state.+changed )|(ment ac)|(multiple cpu faults)|(system.+state.+changed )|(\[timeout)|(PRM\|1\|D)|(kpr)|(kdp)|(train st.+moving)|(\|lc)|(penalty))"</v>
      </c>
      <c r="AG175" s="209" t="str">
        <f t="shared" si="133"/>
        <v>NW</v>
      </c>
      <c r="AH175" s="78" t="str">
        <f t="shared" si="124"/>
        <v>"%USERPROFILE%\Documents\GitHub\eaglep3\Utilities\RefineRTDCRunTimes.py" --tripid 813-11 --locoid 4062 --swversion DE.1.0.9.0 --startMP 204:993 --initTime 2017-08-11T09:06:42 --startdatetime 2017-08-11T09:21:14 --delay 1 --endMP 300:58918 --enddatetime 2017-08-11T09:35:20 --enforcementcount 0 &gt;&gt;C:\Users\stu\Documents\GitHub\eaglep3-reporting\EC\2017-08-11-refined-times.txt</v>
      </c>
      <c r="AI175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{"issue":{"subject":"","project_id":79,"tracker_id":40,"status_id":1,"priority_id":2,"assigned_to_id":23,"start_date":"2017-08-11","description":"","custom_fields":[{"id":1,"name":"Subdivision","value":"NW"},{"id":4,"name":"Milepost","value":"5.8918"},{"id":17,"name":"Train ID","value":"813-11"},{"id":16,"name":"Locomotive ID","value":"4062"},{"id":130,"name":"Impact","value":""},{"id":150,"name":"Time of Event (Mountain Time)","value":"09:35:20"},{"id":151,"name":"Denver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126"/>
        <v>start /low /b %USERPROFILE%\Documents\GitHub\eaglep3\Utilities\DownloadLogsFromS3.py --loco 4062 --day 2017-08-11</v>
      </c>
      <c r="AN175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15:35:20"},{"id":29,"name":"Sharepoint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706</v>
      </c>
      <c r="B176" s="7">
        <v>4061</v>
      </c>
      <c r="C176" s="21" t="s">
        <v>198</v>
      </c>
      <c r="D176" s="21" t="s">
        <v>1012</v>
      </c>
      <c r="E176" s="13">
        <v>42958.400381944448</v>
      </c>
      <c r="F176" s="13">
        <v>42958.401666666665</v>
      </c>
      <c r="G176" s="7">
        <v>1</v>
      </c>
      <c r="H176" s="21" t="s">
        <v>1013</v>
      </c>
      <c r="I176" s="13">
        <v>42958.413564814815</v>
      </c>
      <c r="J176" s="7">
        <v>0</v>
      </c>
      <c r="K176" s="89" t="str">
        <f t="shared" si="128"/>
        <v>4061/4062</v>
      </c>
      <c r="L176" s="21" t="str">
        <f>VLOOKUP(A176,'Trips&amp;Operators'!$C$1:$G$99999,5,FALSE)</f>
        <v>STARKS ANGELINA</v>
      </c>
      <c r="M176" s="6">
        <f t="shared" si="129"/>
        <v>1.1898148150066845E-2</v>
      </c>
      <c r="N176" s="7">
        <f t="shared" si="137"/>
        <v>17.133333336096257</v>
      </c>
      <c r="O176" s="7"/>
      <c r="P176" s="7"/>
      <c r="Q176" s="22"/>
      <c r="R176" s="170"/>
      <c r="S176" s="213">
        <f t="shared" si="138"/>
        <v>1</v>
      </c>
      <c r="T176" s="195" t="str">
        <f t="shared" si="130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121"/>
        <v>https://d0f6bd738d7f1b3e5a7ca70fe4ff75f0.us-east-1.aws.found.io/app/kibana#/discover/Steve-Slow-Train-Analysis-(2080s-and-2083s)?_g=(refreshInterval:(display:Off,pause:!f,section:0,value:0),time:(from:'2017-08-11T08:36:33-0600',mode:absolute,to:'2017-08-11T10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6" s="197" t="str">
        <f>IF(AA176&lt;VLOOKUP(AG176,Variables!$AC$3:$AD$8,2,FALSE),"Y","N")</f>
        <v>N</v>
      </c>
      <c r="X176" s="197">
        <f t="shared" si="136"/>
        <v>1</v>
      </c>
      <c r="Y176" s="197">
        <f t="shared" si="135"/>
        <v>5.8613</v>
      </c>
      <c r="Z176" s="197">
        <f t="shared" si="134"/>
        <v>7.0800000000000002E-2</v>
      </c>
      <c r="AA176" s="197">
        <f t="shared" si="131"/>
        <v>5.7904999999999998</v>
      </c>
      <c r="AB176" s="54" t="e">
        <f>VLOOKUP(A176,Enforcements!$C$7:$K$12,8,0)</f>
        <v>#N/A</v>
      </c>
      <c r="AC176" s="51" t="e">
        <f>VLOOKUP(A176,Enforcements!$C$7:$E$12,3,0)</f>
        <v>#N/A</v>
      </c>
      <c r="AD176" s="206">
        <f t="shared" si="132"/>
        <v>814</v>
      </c>
      <c r="AE176" s="77" t="str">
        <f t="shared" si="122"/>
        <v>aws s3 cp s3://rtdc.mdm.uploadarchive.raw/RTDC4061/ "%USERPROFILE%\AppData\Local\Temp\OnboardLogs"\RTDC4061\2017-08-11 --exclude "*" --recursive --include "*20170811*" &amp; "%USERPROFILE%\Documents\GitHub\mrs-test-scripts\Headless Mode &amp; Sideloading\WalkAndUnGZ.bat" "%USERPROFILE%\AppData\Local\Temp\OnboardLogs"\RTDC4061\2017-08-11 &amp; aws s3 cp s3://rtdc.mdm.uploadarchive.raw/RTDC4061/ "%USERPROFILE%\AppData\Local\Temp\OnboardLogs"\RTDC4061\2017-08-12 --exclude "*" --recursive --include "*20170812*" &amp; "%USERPROFILE%\Documents\GitHub\mrs-test-scripts\Headless Mode &amp; Sideloading\WalkAndUnGZ.bat" "%USERPROFILE%\AppData\Local\Temp\OnboardLogs"\RTDC4061\2017-08-12</v>
      </c>
      <c r="AF176" s="74" t="str">
        <f t="shared" si="123"/>
        <v>"C:\Program Files (x86)\AstroGrep\AstroGrep.exe" /e /r /s /spath="%USERPROFILE%\AppData\Local\Temp\OnboardLogs" /stypes="app*4061*20170811*" /stext=" 15:.+((SYSTEM_STATE.+slice.+state.+changed )|(ment ac)|(multiple cpu faults)|(system.+state.+changed )|(\[timeout)|(PRM\|1\|D)|(kpr)|(kdp)|(train st.+moving)|(\|lc)|(penalty))"</v>
      </c>
      <c r="AG176" s="209" t="str">
        <f t="shared" si="133"/>
        <v>NW</v>
      </c>
      <c r="AH176" s="78" t="str">
        <f t="shared" si="124"/>
        <v>"%USERPROFILE%\Documents\GitHub\eaglep3\Utilities\RefineRTDCRunTimes.py" --tripid 814-11 --locoid 4061 --swversion DE.1.0.9.0 --startMP 300:58613 --initTime 2017-08-11T09:36:33 --startdatetime 2017-08-11T09:38:24 --delay 1 --endMP 204:708 --enddatetime 2017-08-11T09:55:32 --enforcementcount 0 &gt;&gt;C:\Users\stu\Documents\GitHub\eaglep3-reporting\EC\2017-08-11-refined-times.txt</v>
      </c>
      <c r="AI176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{"issue":{"subject":"","project_id":79,"tracker_id":40,"status_id":1,"priority_id":2,"assigned_to_id":23,"start_date":"2017-08-11","description":"","custom_fields":[{"id":1,"name":"Subdivision","value":"NW"},{"id":4,"name":"Milepost","value":"0.0708"},{"id":17,"name":"Train ID","value":"814-11"},{"id":16,"name":"Locomotive ID","value":"4061"},{"id":130,"name":"Impact","value":""},{"id":150,"name":"Time of Event (Mountain Time)","value":"09:55:32"},{"id":151,"name":"Denver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126"/>
        <v>start /low /b %USERPROFILE%\Documents\GitHub\eaglep3\Utilities\DownloadLogsFromS3.py --loco 4061 --day 2017-08-11</v>
      </c>
      <c r="AN176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15:55:32"},{"id":29,"name":"Sharepoint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713</v>
      </c>
      <c r="B177" s="7">
        <v>4062</v>
      </c>
      <c r="C177" s="21" t="s">
        <v>198</v>
      </c>
      <c r="D177" s="21" t="s">
        <v>1014</v>
      </c>
      <c r="E177" s="13">
        <v>42958.415185185186</v>
      </c>
      <c r="F177" s="13">
        <v>42958.431446759256</v>
      </c>
      <c r="G177" s="7">
        <v>1</v>
      </c>
      <c r="H177" s="21" t="s">
        <v>1003</v>
      </c>
      <c r="I177" s="13">
        <v>42958.440729166665</v>
      </c>
      <c r="J177" s="7">
        <v>0</v>
      </c>
      <c r="K177" s="89" t="str">
        <f t="shared" si="128"/>
        <v>4061/4062</v>
      </c>
      <c r="L177" s="21" t="str">
        <f>VLOOKUP(A177,'Trips&amp;Operators'!$C$1:$G$99999,5,FALSE)</f>
        <v>LALONDE GREGORY</v>
      </c>
      <c r="M177" s="6">
        <f t="shared" si="129"/>
        <v>9.2824074090458453E-3</v>
      </c>
      <c r="N177" s="7">
        <f t="shared" si="137"/>
        <v>13.366666669026017</v>
      </c>
      <c r="O177" s="7"/>
      <c r="P177" s="7"/>
      <c r="Q177" s="22"/>
      <c r="R177" s="170"/>
      <c r="S177" s="213">
        <f t="shared" si="138"/>
        <v>1</v>
      </c>
      <c r="T177" s="195" t="str">
        <f t="shared" si="130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121"/>
        <v>https://d0f6bd738d7f1b3e5a7ca70fe4ff75f0.us-east-1.aws.found.io/app/kibana#/discover/Steve-Slow-Train-Analysis-(2080s-and-2083s)?_g=(refreshInterval:(display:Off,pause:!f,section:0,value:0),time:(from:'2017-08-11T08:57:52-0600',mode:absolute,to:'2017-08-11T11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7" s="197" t="str">
        <f>IF(AA177&lt;VLOOKUP(AG177,Variables!$AC$3:$AD$8,2,FALSE),"Y","N")</f>
        <v>N</v>
      </c>
      <c r="X177" s="197">
        <f t="shared" si="136"/>
        <v>1</v>
      </c>
      <c r="Y177" s="197">
        <f t="shared" si="135"/>
        <v>0.1</v>
      </c>
      <c r="Z177" s="197">
        <f t="shared" si="134"/>
        <v>5.8964999999999996</v>
      </c>
      <c r="AA177" s="197">
        <f t="shared" si="131"/>
        <v>5.7965</v>
      </c>
      <c r="AB177" s="54" t="e">
        <f>VLOOKUP(A177,Enforcements!$C$7:$K$12,8,0)</f>
        <v>#N/A</v>
      </c>
      <c r="AC177" s="51" t="e">
        <f>VLOOKUP(A177,Enforcements!$C$7:$E$12,3,0)</f>
        <v>#N/A</v>
      </c>
      <c r="AD177" s="206">
        <f t="shared" si="132"/>
        <v>815</v>
      </c>
      <c r="AE177" s="77" t="str">
        <f t="shared" si="122"/>
        <v>aws s3 cp s3://rtdc.mdm.uploadarchive.raw/RTDC4062/ "%USERPROFILE%\AppData\Local\Temp\OnboardLogs"\RTDC4062\2017-08-11 --exclude "*" --recursive --include "*20170811*" &amp; "%USERPROFILE%\Documents\GitHub\mrs-test-scripts\Headless Mode &amp; Sideloading\WalkAndUnGZ.bat" "%USERPROFILE%\AppData\Local\Temp\OnboardLogs"\RTDC4062\2017-08-11 &amp; aws s3 cp s3://rtdc.mdm.uploadarchive.raw/RTDC4062/ "%USERPROFILE%\AppData\Local\Temp\OnboardLogs"\RTDC4062\2017-08-12 --exclude "*" --recursive --include "*20170812*" &amp; "%USERPROFILE%\Documents\GitHub\mrs-test-scripts\Headless Mode &amp; Sideloading\WalkAndUnGZ.bat" "%USERPROFILE%\AppData\Local\Temp\OnboardLogs"\RTDC4062\2017-08-12</v>
      </c>
      <c r="AF177" s="74" t="str">
        <f t="shared" si="123"/>
        <v>"C:\Program Files (x86)\AstroGrep\AstroGrep.exe" /e /r /s /spath="%USERPROFILE%\AppData\Local\Temp\OnboardLogs" /stypes="app*4062*20170811*" /stext=" 16:.+((SYSTEM_STATE.+slice.+state.+changed )|(ment ac)|(multiple cpu faults)|(system.+state.+changed )|(\[timeout)|(PRM\|1\|D)|(kpr)|(kdp)|(train st.+moving)|(\|lc)|(penalty))"</v>
      </c>
      <c r="AG177" s="209" t="str">
        <f t="shared" si="133"/>
        <v>NW</v>
      </c>
      <c r="AH177" s="78" t="str">
        <f t="shared" si="124"/>
        <v>"%USERPROFILE%\Documents\GitHub\eaglep3\Utilities\RefineRTDCRunTimes.py" --tripid 815-11 --locoid 4062 --swversion DE.1.0.9.0 --startMP 204:1000 --initTime 2017-08-11T09:57:52 --startdatetime 2017-08-11T10:21:17 --delay 1 --endMP 300:58965 --enddatetime 2017-08-11T10:34:39 --enforcementcount 0 &gt;&gt;C:\Users\stu\Documents\GitHub\eaglep3-reporting\EC\2017-08-11-refined-times.txt</v>
      </c>
      <c r="AI177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{"issue":{"subject":"","project_id":79,"tracker_id":40,"status_id":1,"priority_id":2,"assigned_to_id":23,"start_date":"2017-08-11","description":"","custom_fields":[{"id":1,"name":"Subdivision","value":"NW"},{"id":4,"name":"Milepost","value":"5.8965"},{"id":17,"name":"Train ID","value":"815-11"},{"id":16,"name":"Locomotive ID","value":"4062"},{"id":130,"name":"Impact","value":""},{"id":150,"name":"Time of Event (Mountain Time)","value":"10:34:39"},{"id":151,"name":"Denver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126"/>
        <v>start /low /b %USERPROFILE%\Documents\GitHub\eaglep3\Utilities\DownloadLogsFromS3.py --loco 4062 --day 2017-08-11</v>
      </c>
      <c r="AN177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723</v>
      </c>
      <c r="B178" s="7">
        <v>4061</v>
      </c>
      <c r="C178" s="21" t="s">
        <v>198</v>
      </c>
      <c r="D178" s="21" t="s">
        <v>1015</v>
      </c>
      <c r="E178" s="13">
        <v>42958.441666666666</v>
      </c>
      <c r="F178" s="13">
        <v>42958.443124999998</v>
      </c>
      <c r="G178" s="7">
        <v>1</v>
      </c>
      <c r="H178" s="21" t="s">
        <v>543</v>
      </c>
      <c r="I178" s="13">
        <v>42958.454421296294</v>
      </c>
      <c r="J178" s="7">
        <v>0</v>
      </c>
      <c r="K178" s="89" t="str">
        <f t="shared" si="128"/>
        <v>4061/4062</v>
      </c>
      <c r="L178" s="21" t="str">
        <f>VLOOKUP(A178,'Trips&amp;Operators'!$C$1:$G$99999,5,FALSE)</f>
        <v>LALONDE GREGORY</v>
      </c>
      <c r="M178" s="6">
        <f t="shared" si="129"/>
        <v>1.1296296295768116E-2</v>
      </c>
      <c r="N178" s="7">
        <f t="shared" si="137"/>
        <v>16.266666665906087</v>
      </c>
      <c r="O178" s="7"/>
      <c r="P178" s="7"/>
      <c r="Q178" s="22"/>
      <c r="R178" s="170"/>
      <c r="S178" s="213">
        <f t="shared" si="138"/>
        <v>1</v>
      </c>
      <c r="T178" s="195" t="str">
        <f t="shared" si="130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121"/>
        <v>https://d0f6bd738d7f1b3e5a7ca70fe4ff75f0.us-east-1.aws.found.io/app/kibana#/discover/Steve-Slow-Train-Analysis-(2080s-and-2083s)?_g=(refreshInterval:(display:Off,pause:!f,section:0,value:0),time:(from:'2017-08-11T09:36:00-0600',mode:absolute,to:'2017-08-11T11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8" s="197" t="str">
        <f>IF(AA178&lt;VLOOKUP(AG178,Variables!$AC$3:$AD$8,2,FALSE),"Y","N")</f>
        <v>N</v>
      </c>
      <c r="X178" s="197">
        <f t="shared" si="136"/>
        <v>1</v>
      </c>
      <c r="Y178" s="197">
        <f t="shared" si="135"/>
        <v>5.8655999999999997</v>
      </c>
      <c r="Z178" s="197">
        <f t="shared" si="134"/>
        <v>6.8400000000000002E-2</v>
      </c>
      <c r="AA178" s="197">
        <f t="shared" si="131"/>
        <v>5.7972000000000001</v>
      </c>
      <c r="AB178" s="54" t="e">
        <f>VLOOKUP(A178,Enforcements!$C$7:$K$12,8,0)</f>
        <v>#N/A</v>
      </c>
      <c r="AC178" s="51" t="e">
        <f>VLOOKUP(A178,Enforcements!$C$7:$E$12,3,0)</f>
        <v>#N/A</v>
      </c>
      <c r="AD178" s="206">
        <f t="shared" si="132"/>
        <v>816</v>
      </c>
      <c r="AE178" s="77" t="str">
        <f t="shared" si="122"/>
        <v>aws s3 cp s3://rtdc.mdm.uploadarchive.raw/RTDC4061/ "%USERPROFILE%\AppData\Local\Temp\OnboardLogs"\RTDC4061\2017-08-11 --exclude "*" --recursive --include "*20170811*" &amp; "%USERPROFILE%\Documents\GitHub\mrs-test-scripts\Headless Mode &amp; Sideloading\WalkAndUnGZ.bat" "%USERPROFILE%\AppData\Local\Temp\OnboardLogs"\RTDC4061\2017-08-11 &amp; aws s3 cp s3://rtdc.mdm.uploadarchive.raw/RTDC4061/ "%USERPROFILE%\AppData\Local\Temp\OnboardLogs"\RTDC4061\2017-08-12 --exclude "*" --recursive --include "*20170812*" &amp; "%USERPROFILE%\Documents\GitHub\mrs-test-scripts\Headless Mode &amp; Sideloading\WalkAndUnGZ.bat" "%USERPROFILE%\AppData\Local\Temp\OnboardLogs"\RTDC4061\2017-08-12</v>
      </c>
      <c r="AF178" s="74" t="str">
        <f t="shared" si="123"/>
        <v>"C:\Program Files (x86)\AstroGrep\AstroGrep.exe" /e /r /s /spath="%USERPROFILE%\AppData\Local\Temp\OnboardLogs" /stypes="app*4061*20170811*" /stext=" 16:.+((SYSTEM_STATE.+slice.+state.+changed )|(ment ac)|(multiple cpu faults)|(system.+state.+changed )|(\[timeout)|(PRM\|1\|D)|(kpr)|(kdp)|(train st.+moving)|(\|lc)|(penalty))"</v>
      </c>
      <c r="AG178" s="209" t="str">
        <f t="shared" si="133"/>
        <v>NW</v>
      </c>
      <c r="AH178" s="78" t="str">
        <f t="shared" si="124"/>
        <v>"%USERPROFILE%\Documents\GitHub\eaglep3\Utilities\RefineRTDCRunTimes.py" --tripid 816-11 --locoid 4061 --swversion DE.1.0.9.0 --startMP 300:58656 --initTime 2017-08-11T10:36:00 --startdatetime 2017-08-11T10:38:06 --delay 1 --endMP 204:684 --enddatetime 2017-08-11T10:54:22 --enforcementcount 0 &gt;&gt;C:\Users\stu\Documents\GitHub\eaglep3-reporting\EC\2017-08-11-refined-times.txt</v>
      </c>
      <c r="AI178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{"issue":{"subject":"","project_id":79,"tracker_id":40,"status_id":1,"priority_id":2,"assigned_to_id":23,"start_date":"2017-08-11","description":"","custom_fields":[{"id":1,"name":"Subdivision","value":"NW"},{"id":4,"name":"Milepost","value":"0.0684"},{"id":17,"name":"Train ID","value":"816-11"},{"id":16,"name":"Locomotive ID","value":"4061"},{"id":130,"name":"Impact","value":""},{"id":150,"name":"Time of Event (Mountain Time)","value":"10:54:22"},{"id":151,"name":"Denver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126"/>
        <v>start /low /b %USERPROFILE%\Documents\GitHub\eaglep3\Utilities\DownloadLogsFromS3.py --loco 4061 --day 2017-08-11</v>
      </c>
      <c r="AN178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734</v>
      </c>
      <c r="B179" s="7">
        <v>4062</v>
      </c>
      <c r="C179" s="21" t="s">
        <v>198</v>
      </c>
      <c r="D179" s="21" t="s">
        <v>1016</v>
      </c>
      <c r="E179" s="13">
        <v>42958.456145833334</v>
      </c>
      <c r="F179" s="13">
        <v>42958.473124999997</v>
      </c>
      <c r="G179" s="7">
        <v>1</v>
      </c>
      <c r="H179" s="21" t="s">
        <v>1036</v>
      </c>
      <c r="I179" s="13">
        <v>42958.482187499998</v>
      </c>
      <c r="J179" s="7">
        <v>0</v>
      </c>
      <c r="K179" s="89" t="str">
        <f t="shared" si="128"/>
        <v>4061/4062</v>
      </c>
      <c r="L179" s="21" t="str">
        <f>VLOOKUP(A179,'Trips&amp;Operators'!$C$1:$G$99999,5,FALSE)</f>
        <v>LALONDE GREGORY</v>
      </c>
      <c r="M179" s="6">
        <f t="shared" si="129"/>
        <v>9.0625000011641532E-3</v>
      </c>
      <c r="N179" s="7">
        <f t="shared" si="137"/>
        <v>13.050000001676381</v>
      </c>
      <c r="O179" s="7"/>
      <c r="P179" s="7"/>
      <c r="Q179" s="22"/>
      <c r="R179" s="170"/>
      <c r="S179" s="213">
        <f t="shared" si="138"/>
        <v>1</v>
      </c>
      <c r="T179" s="195" t="str">
        <f t="shared" si="130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121"/>
        <v>https://d0f6bd738d7f1b3e5a7ca70fe4ff75f0.us-east-1.aws.found.io/app/kibana#/discover/Steve-Slow-Train-Analysis-(2080s-and-2083s)?_g=(refreshInterval:(display:Off,pause:!f,section:0,value:0),time:(from:'2017-08-11T09:56:51-0600',mode:absolute,to:'2017-08-11T12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9" s="197" t="str">
        <f>IF(AA179&lt;VLOOKUP(AG179,Variables!$AC$3:$AD$8,2,FALSE),"Y","N")</f>
        <v>N</v>
      </c>
      <c r="X179" s="197">
        <f t="shared" si="136"/>
        <v>1</v>
      </c>
      <c r="Y179" s="197">
        <f t="shared" si="135"/>
        <v>9.6699999999999994E-2</v>
      </c>
      <c r="Z179" s="197">
        <f t="shared" si="134"/>
        <v>5.8960999999999997</v>
      </c>
      <c r="AA179" s="197">
        <f t="shared" si="131"/>
        <v>5.7993999999999994</v>
      </c>
      <c r="AB179" s="54" t="e">
        <f>VLOOKUP(A179,Enforcements!$C$7:$K$12,8,0)</f>
        <v>#N/A</v>
      </c>
      <c r="AC179" s="51" t="e">
        <f>VLOOKUP(A179,Enforcements!$C$7:$E$12,3,0)</f>
        <v>#N/A</v>
      </c>
      <c r="AD179" s="206">
        <f t="shared" si="132"/>
        <v>817</v>
      </c>
      <c r="AE179" s="77" t="str">
        <f t="shared" si="122"/>
        <v>aws s3 cp s3://rtdc.mdm.uploadarchive.raw/RTDC4062/ "%USERPROFILE%\AppData\Local\Temp\OnboardLogs"\RTDC4062\2017-08-11 --exclude "*" --recursive --include "*20170811*" &amp; "%USERPROFILE%\Documents\GitHub\mrs-test-scripts\Headless Mode &amp; Sideloading\WalkAndUnGZ.bat" "%USERPROFILE%\AppData\Local\Temp\OnboardLogs"\RTDC4062\2017-08-11 &amp; aws s3 cp s3://rtdc.mdm.uploadarchive.raw/RTDC4062/ "%USERPROFILE%\AppData\Local\Temp\OnboardLogs"\RTDC4062\2017-08-12 --exclude "*" --recursive --include "*20170812*" &amp; "%USERPROFILE%\Documents\GitHub\mrs-test-scripts\Headless Mode &amp; Sideloading\WalkAndUnGZ.bat" "%USERPROFILE%\AppData\Local\Temp\OnboardLogs"\RTDC4062\2017-08-12</v>
      </c>
      <c r="AF179" s="74" t="str">
        <f t="shared" si="123"/>
        <v>"C:\Program Files (x86)\AstroGrep\AstroGrep.exe" /e /r /s /spath="%USERPROFILE%\AppData\Local\Temp\OnboardLogs" /stypes="app*4062*20170811*" /stext=" 17:.+((SYSTEM_STATE.+slice.+state.+changed )|(ment ac)|(multiple cpu faults)|(system.+state.+changed )|(\[timeout)|(PRM\|1\|D)|(kpr)|(kdp)|(train st.+moving)|(\|lc)|(penalty))"</v>
      </c>
      <c r="AG179" s="209" t="str">
        <f t="shared" si="133"/>
        <v>NW</v>
      </c>
      <c r="AH179" s="78" t="str">
        <f t="shared" si="124"/>
        <v>"%USERPROFILE%\Documents\GitHub\eaglep3\Utilities\RefineRTDCRunTimes.py" --tripid 817-11 --locoid 4062 --swversion DE.1.0.9.0 --startMP 204:967 --initTime 2017-08-11T10:56:51 --startdatetime 2017-08-11T11:21:18 --delay 1 --endMP 300:58961 --enddatetime 2017-08-11T11:34:21 --enforcementcount 0 &gt;&gt;C:\Users\stu\Documents\GitHub\eaglep3-reporting\EC\2017-08-11-refined-times.txt</v>
      </c>
      <c r="AI179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{"issue":{"subject":"","project_id":79,"tracker_id":40,"status_id":1,"priority_id":2,"assigned_to_id":23,"start_date":"2017-08-11","description":"","custom_fields":[{"id":1,"name":"Subdivision","value":"NW"},{"id":4,"name":"Milepost","value":"5.8961"},{"id":17,"name":"Train ID","value":"817-11"},{"id":16,"name":"Locomotive ID","value":"4062"},{"id":130,"name":"Impact","value":""},{"id":150,"name":"Time of Event (Mountain Time)","value":"11:34:21"},{"id":151,"name":"Denver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126"/>
        <v>start /low /b %USERPROFILE%\Documents\GitHub\eaglep3\Utilities\DownloadLogsFromS3.py --loco 4062 --day 2017-08-11</v>
      </c>
      <c r="AN179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17:34:21"},{"id":29,"name":"Sharepoint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746</v>
      </c>
      <c r="B180" s="7">
        <v>4061</v>
      </c>
      <c r="C180" s="21" t="s">
        <v>198</v>
      </c>
      <c r="D180" s="21" t="s">
        <v>598</v>
      </c>
      <c r="E180" s="13">
        <v>42958.482928240737</v>
      </c>
      <c r="F180" s="13">
        <v>42958.484247685185</v>
      </c>
      <c r="G180" s="7">
        <v>0</v>
      </c>
      <c r="H180" s="21" t="s">
        <v>540</v>
      </c>
      <c r="I180" s="13">
        <v>42958.496099537035</v>
      </c>
      <c r="J180" s="7">
        <v>0</v>
      </c>
      <c r="K180" s="89" t="str">
        <f t="shared" si="128"/>
        <v>4061/4062</v>
      </c>
      <c r="L180" s="21" t="str">
        <f>VLOOKUP(A180,'Trips&amp;Operators'!$C$1:$G$99999,5,FALSE)</f>
        <v>LALONDE GREGORY</v>
      </c>
      <c r="M180" s="6">
        <f t="shared" si="129"/>
        <v>1.1851851850224193E-2</v>
      </c>
      <c r="N180" s="7">
        <f t="shared" si="137"/>
        <v>17.066666664322838</v>
      </c>
      <c r="O180" s="7"/>
      <c r="P180" s="7"/>
      <c r="Q180" s="22"/>
      <c r="R180" s="170"/>
      <c r="S180" s="213">
        <f t="shared" si="138"/>
        <v>1</v>
      </c>
      <c r="T180" s="195" t="str">
        <f t="shared" si="130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121"/>
        <v>https://d0f6bd738d7f1b3e5a7ca70fe4ff75f0.us-east-1.aws.found.io/app/kibana#/discover/Steve-Slow-Train-Analysis-(2080s-and-2083s)?_g=(refreshInterval:(display:Off,pause:!f,section:0,value:0),time:(from:'2017-08-11T10:35:25-0600',mode:absolute,to:'2017-08-11T12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0" s="197" t="str">
        <f>IF(AA180&lt;VLOOKUP(AG180,Variables!$AC$3:$AD$8,2,FALSE),"Y","N")</f>
        <v>N</v>
      </c>
      <c r="X180" s="197">
        <f t="shared" si="136"/>
        <v>1</v>
      </c>
      <c r="Y180" s="197">
        <f t="shared" si="135"/>
        <v>5.8635999999999999</v>
      </c>
      <c r="Z180" s="197">
        <f t="shared" si="134"/>
        <v>6.8000000000000005E-2</v>
      </c>
      <c r="AA180" s="197">
        <f t="shared" si="131"/>
        <v>5.7956000000000003</v>
      </c>
      <c r="AB180" s="54" t="e">
        <f>VLOOKUP(A180,Enforcements!$C$7:$K$12,8,0)</f>
        <v>#N/A</v>
      </c>
      <c r="AC180" s="51" t="e">
        <f>VLOOKUP(A180,Enforcements!$C$7:$E$12,3,0)</f>
        <v>#N/A</v>
      </c>
      <c r="AD180" s="206">
        <f t="shared" si="132"/>
        <v>818</v>
      </c>
      <c r="AE180" s="77" t="str">
        <f t="shared" si="122"/>
        <v>aws s3 cp s3://rtdc.mdm.uploadarchive.raw/RTDC4061/ "%USERPROFILE%\AppData\Local\Temp\OnboardLogs"\RTDC4061\2017-08-11 --exclude "*" --recursive --include "*20170811*" &amp; "%USERPROFILE%\Documents\GitHub\mrs-test-scripts\Headless Mode &amp; Sideloading\WalkAndUnGZ.bat" "%USERPROFILE%\AppData\Local\Temp\OnboardLogs"\RTDC4061\2017-08-11 &amp; aws s3 cp s3://rtdc.mdm.uploadarchive.raw/RTDC4061/ "%USERPROFILE%\AppData\Local\Temp\OnboardLogs"\RTDC4061\2017-08-12 --exclude "*" --recursive --include "*20170812*" &amp; "%USERPROFILE%\Documents\GitHub\mrs-test-scripts\Headless Mode &amp; Sideloading\WalkAndUnGZ.bat" "%USERPROFILE%\AppData\Local\Temp\OnboardLogs"\RTDC4061\2017-08-12</v>
      </c>
      <c r="AF180" s="74" t="str">
        <f t="shared" si="123"/>
        <v>"C:\Program Files (x86)\AstroGrep\AstroGrep.exe" /e /r /s /spath="%USERPROFILE%\AppData\Local\Temp\OnboardLogs" /stypes="app*4061*20170811*" /stext=" 17:.+((SYSTEM_STATE.+slice.+state.+changed )|(ment ac)|(multiple cpu faults)|(system.+state.+changed )|(\[timeout)|(PRM\|1\|D)|(kpr)|(kdp)|(train st.+moving)|(\|lc)|(penalty))"</v>
      </c>
      <c r="AG180" s="209" t="str">
        <f t="shared" si="133"/>
        <v>NW</v>
      </c>
      <c r="AH180" s="78" t="str">
        <f t="shared" si="124"/>
        <v>"%USERPROFILE%\Documents\GitHub\eaglep3\Utilities\RefineRTDCRunTimes.py" --tripid 818-11 --locoid 4061 --swversion DE.1.0.9.0 --startMP 300:58636 --initTime 2017-08-11T11:35:25 --startdatetime 2017-08-11T11:37:19 --delay 0 --endMP 204:680 --enddatetime 2017-08-11T11:54:23 --enforcementcount 0 &gt;&gt;C:\Users\stu\Documents\GitHub\eaglep3-reporting\EC\2017-08-11-refined-times.txt</v>
      </c>
      <c r="AI180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{"issue":{"subject":"","project_id":79,"tracker_id":40,"status_id":1,"priority_id":2,"assigned_to_id":23,"start_date":"2017-08-11","description":"","custom_fields":[{"id":1,"name":"Subdivision","value":"NW"},{"id":4,"name":"Milepost","value":"0.068"},{"id":17,"name":"Train ID","value":"818-11"},{"id":16,"name":"Locomotive ID","value":"4061"},{"id":130,"name":"Impact","value":""},{"id":150,"name":"Time of Event (Mountain Time)","value":"11:54:23"},{"id":151,"name":"Denver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126"/>
        <v>start /low /b %USERPROFILE%\Documents\GitHub\eaglep3\Utilities\DownloadLogsFromS3.py --loco 4061 --day 2017-08-11</v>
      </c>
      <c r="AN180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17:54:23"},{"id":29,"name":"Sharepoint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750</v>
      </c>
      <c r="B181" s="7">
        <v>4062</v>
      </c>
      <c r="C181" s="21" t="s">
        <v>198</v>
      </c>
      <c r="D181" s="21" t="s">
        <v>1016</v>
      </c>
      <c r="E181" s="13">
        <v>42958.497256944444</v>
      </c>
      <c r="F181" s="13">
        <v>42958.515231481484</v>
      </c>
      <c r="G181" s="7">
        <v>1</v>
      </c>
      <c r="H181" s="21" t="s">
        <v>538</v>
      </c>
      <c r="I181" s="13">
        <v>42958.524282407408</v>
      </c>
      <c r="J181" s="7">
        <v>0</v>
      </c>
      <c r="K181" s="89" t="str">
        <f t="shared" si="128"/>
        <v>4061/4062</v>
      </c>
      <c r="L181" s="21" t="str">
        <f>VLOOKUP(A181,'Trips&amp;Operators'!$C$1:$G$99999,5,FALSE)</f>
        <v>LALONDE GREGORY</v>
      </c>
      <c r="M181" s="6">
        <f t="shared" si="129"/>
        <v>9.0509259243845008E-3</v>
      </c>
      <c r="N181" s="7">
        <f t="shared" si="137"/>
        <v>13.033333331113681</v>
      </c>
      <c r="O181" s="7"/>
      <c r="P181" s="7"/>
      <c r="Q181" s="22"/>
      <c r="R181" s="170"/>
      <c r="S181" s="213">
        <f t="shared" si="138"/>
        <v>1</v>
      </c>
      <c r="T181" s="195" t="str">
        <f t="shared" si="130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121"/>
        <v>https://d0f6bd738d7f1b3e5a7ca70fe4ff75f0.us-east-1.aws.found.io/app/kibana#/discover/Steve-Slow-Train-Analysis-(2080s-and-2083s)?_g=(refreshInterval:(display:Off,pause:!f,section:0,value:0),time:(from:'2017-08-11T10:56:03-0600',mode:absolute,to:'2017-08-11T13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1" s="197" t="str">
        <f>IF(AA181&lt;VLOOKUP(AG181,Variables!$AC$3:$AD$8,2,FALSE),"Y","N")</f>
        <v>N</v>
      </c>
      <c r="X181" s="197">
        <f t="shared" si="136"/>
        <v>1</v>
      </c>
      <c r="Y181" s="197">
        <f t="shared" si="135"/>
        <v>9.6699999999999994E-2</v>
      </c>
      <c r="Z181" s="197">
        <f t="shared" si="134"/>
        <v>5.8968999999999996</v>
      </c>
      <c r="AA181" s="197">
        <f t="shared" si="131"/>
        <v>5.8001999999999994</v>
      </c>
      <c r="AB181" s="54" t="e">
        <f>VLOOKUP(A181,Enforcements!$C$7:$K$12,8,0)</f>
        <v>#N/A</v>
      </c>
      <c r="AC181" s="51" t="e">
        <f>VLOOKUP(A181,Enforcements!$C$7:$E$12,3,0)</f>
        <v>#N/A</v>
      </c>
      <c r="AD181" s="206">
        <f t="shared" si="132"/>
        <v>819</v>
      </c>
      <c r="AE181" s="77" t="str">
        <f t="shared" si="122"/>
        <v>aws s3 cp s3://rtdc.mdm.uploadarchive.raw/RTDC4062/ "%USERPROFILE%\AppData\Local\Temp\OnboardLogs"\RTDC4062\2017-08-11 --exclude "*" --recursive --include "*20170811*" &amp; "%USERPROFILE%\Documents\GitHub\mrs-test-scripts\Headless Mode &amp; Sideloading\WalkAndUnGZ.bat" "%USERPROFILE%\AppData\Local\Temp\OnboardLogs"\RTDC4062\2017-08-11 &amp; aws s3 cp s3://rtdc.mdm.uploadarchive.raw/RTDC4062/ "%USERPROFILE%\AppData\Local\Temp\OnboardLogs"\RTDC4062\2017-08-12 --exclude "*" --recursive --include "*20170812*" &amp; "%USERPROFILE%\Documents\GitHub\mrs-test-scripts\Headless Mode &amp; Sideloading\WalkAndUnGZ.bat" "%USERPROFILE%\AppData\Local\Temp\OnboardLogs"\RTDC4062\2017-08-12</v>
      </c>
      <c r="AF181" s="74" t="str">
        <f t="shared" si="123"/>
        <v>"C:\Program Files (x86)\AstroGrep\AstroGrep.exe" /e /r /s /spath="%USERPROFILE%\AppData\Local\Temp\OnboardLogs" /stypes="app*4062*20170811*" /stext=" 18:.+((SYSTEM_STATE.+slice.+state.+changed )|(ment ac)|(multiple cpu faults)|(system.+state.+changed )|(\[timeout)|(PRM\|1\|D)|(kpr)|(kdp)|(train st.+moving)|(\|lc)|(penalty))"</v>
      </c>
      <c r="AG181" s="209" t="str">
        <f t="shared" si="133"/>
        <v>NW</v>
      </c>
      <c r="AH181" s="78" t="str">
        <f t="shared" si="124"/>
        <v>"%USERPROFILE%\Documents\GitHub\eaglep3\Utilities\RefineRTDCRunTimes.py" --tripid 819-11 --locoid 4062 --swversion DE.1.0.9.0 --startMP 204:967 --initTime 2017-08-11T11:56:03 --startdatetime 2017-08-11T12:21:56 --delay 1 --endMP 300:58969 --enddatetime 2017-08-11T12:34:58 --enforcementcount 0 &gt;&gt;C:\Users\stu\Documents\GitHub\eaglep3-reporting\EC\2017-08-11-refined-times.txt</v>
      </c>
      <c r="AI181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{"issue":{"subject":"","project_id":79,"tracker_id":40,"status_id":1,"priority_id":2,"assigned_to_id":23,"start_date":"2017-08-11","description":"","custom_fields":[{"id":1,"name":"Subdivision","value":"NW"},{"id":4,"name":"Milepost","value":"5.8969"},{"id":17,"name":"Train ID","value":"819-11"},{"id":16,"name":"Locomotive ID","value":"4062"},{"id":130,"name":"Impact","value":""},{"id":150,"name":"Time of Event (Mountain Time)","value":"12:34:58"},{"id":151,"name":"Denver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126"/>
        <v>start /low /b %USERPROFILE%\Documents\GitHub\eaglep3\Utilities\DownloadLogsFromS3.py --loco 4062 --day 2017-08-11</v>
      </c>
      <c r="AN181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18:34:58"},{"id":29,"name":"Sharepoint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759</v>
      </c>
      <c r="B182" s="7">
        <v>4061</v>
      </c>
      <c r="C182" s="21" t="s">
        <v>198</v>
      </c>
      <c r="D182" s="21" t="s">
        <v>1008</v>
      </c>
      <c r="E182" s="13">
        <v>42958.525023148148</v>
      </c>
      <c r="F182" s="13">
        <v>42958.526493055557</v>
      </c>
      <c r="G182" s="7">
        <v>1</v>
      </c>
      <c r="H182" s="21" t="s">
        <v>1017</v>
      </c>
      <c r="I182" s="13">
        <v>42958.537789351853</v>
      </c>
      <c r="J182" s="7">
        <v>0</v>
      </c>
      <c r="K182" s="89" t="str">
        <f t="shared" si="128"/>
        <v>4061/4062</v>
      </c>
      <c r="L182" s="21" t="str">
        <f>VLOOKUP(A182,'Trips&amp;Operators'!$C$1:$G$99999,5,FALSE)</f>
        <v>LALONDE GREGORY</v>
      </c>
      <c r="M182" s="6">
        <f t="shared" si="129"/>
        <v>1.1296296295768116E-2</v>
      </c>
      <c r="N182" s="7">
        <f t="shared" si="137"/>
        <v>16.266666665906087</v>
      </c>
      <c r="O182" s="7"/>
      <c r="P182" s="7"/>
      <c r="Q182" s="22"/>
      <c r="R182" s="170"/>
      <c r="S182" s="213">
        <f t="shared" si="138"/>
        <v>1</v>
      </c>
      <c r="T182" s="195" t="str">
        <f t="shared" si="130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121"/>
        <v>https://d0f6bd738d7f1b3e5a7ca70fe4ff75f0.us-east-1.aws.found.io/app/kibana#/discover/Steve-Slow-Train-Analysis-(2080s-and-2083s)?_g=(refreshInterval:(display:Off,pause:!f,section:0,value:0),time:(from:'2017-08-11T11:36:02-0600',mode:absolute,to:'2017-08-11T13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2" s="197" t="str">
        <f>IF(AA182&lt;VLOOKUP(AG182,Variables!$AC$3:$AD$8,2,FALSE),"Y","N")</f>
        <v>N</v>
      </c>
      <c r="X182" s="197">
        <f t="shared" ref="X182:X186" si="139">VALUE(LEFT(AD182,4))-VALUE(LEFT(AD181,4))</f>
        <v>1</v>
      </c>
      <c r="Y182" s="197">
        <f t="shared" si="135"/>
        <v>5.8653000000000004</v>
      </c>
      <c r="Z182" s="197">
        <f t="shared" si="134"/>
        <v>6.7100000000000007E-2</v>
      </c>
      <c r="AA182" s="197">
        <f t="shared" si="131"/>
        <v>5.7982000000000005</v>
      </c>
      <c r="AB182" s="54" t="e">
        <f>VLOOKUP(A182,Enforcements!$C$7:$K$12,8,0)</f>
        <v>#N/A</v>
      </c>
      <c r="AC182" s="51" t="e">
        <f>VLOOKUP(A182,Enforcements!$C$7:$E$12,3,0)</f>
        <v>#N/A</v>
      </c>
      <c r="AD182" s="206">
        <f t="shared" si="132"/>
        <v>820</v>
      </c>
      <c r="AE182" s="77" t="str">
        <f t="shared" si="122"/>
        <v>aws s3 cp s3://rtdc.mdm.uploadarchive.raw/RTDC4061/ "%USERPROFILE%\AppData\Local\Temp\OnboardLogs"\RTDC4061\2017-08-11 --exclude "*" --recursive --include "*20170811*" &amp; "%USERPROFILE%\Documents\GitHub\mrs-test-scripts\Headless Mode &amp; Sideloading\WalkAndUnGZ.bat" "%USERPROFILE%\AppData\Local\Temp\OnboardLogs"\RTDC4061\2017-08-11 &amp; aws s3 cp s3://rtdc.mdm.uploadarchive.raw/RTDC4061/ "%USERPROFILE%\AppData\Local\Temp\OnboardLogs"\RTDC4061\2017-08-12 --exclude "*" --recursive --include "*20170812*" &amp; "%USERPROFILE%\Documents\GitHub\mrs-test-scripts\Headless Mode &amp; Sideloading\WalkAndUnGZ.bat" "%USERPROFILE%\AppData\Local\Temp\OnboardLogs"\RTDC4061\2017-08-12</v>
      </c>
      <c r="AF182" s="74" t="str">
        <f t="shared" si="123"/>
        <v>"C:\Program Files (x86)\AstroGrep\AstroGrep.exe" /e /r /s /spath="%USERPROFILE%\AppData\Local\Temp\OnboardLogs" /stypes="app*4061*20170811*" /stext=" 18:.+((SYSTEM_STATE.+slice.+state.+changed )|(ment ac)|(multiple cpu faults)|(system.+state.+changed )|(\[timeout)|(PRM\|1\|D)|(kpr)|(kdp)|(train st.+moving)|(\|lc)|(penalty))"</v>
      </c>
      <c r="AG182" s="209" t="str">
        <f t="shared" si="133"/>
        <v>NW</v>
      </c>
      <c r="AH182" s="78" t="str">
        <f t="shared" si="124"/>
        <v>"%USERPROFILE%\Documents\GitHub\eaglep3\Utilities\RefineRTDCRunTimes.py" --tripid 820-11 --locoid 4061 --swversion DE.1.0.9.0 --startMP 300:58653 --initTime 2017-08-11T12:36:02 --startdatetime 2017-08-11T12:38:09 --delay 1 --endMP 204:671 --enddatetime 2017-08-11T12:54:25 --enforcementcount 0 &gt;&gt;C:\Users\stu\Documents\GitHub\eaglep3-reporting\EC\2017-08-11-refined-times.txt</v>
      </c>
      <c r="AI182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{"issue":{"subject":"","project_id":79,"tracker_id":40,"status_id":1,"priority_id":2,"assigned_to_id":23,"start_date":"2017-08-11","description":"","custom_fields":[{"id":1,"name":"Subdivision","value":"NW"},{"id":4,"name":"Milepost","value":"0.0671"},{"id":17,"name":"Train ID","value":"820-11"},{"id":16,"name":"Locomotive ID","value":"4061"},{"id":130,"name":"Impact","value":""},{"id":150,"name":"Time of Event (Mountain Time)","value":"12:54:25"},{"id":151,"name":"Denver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126"/>
        <v>start /low /b %USERPROFILE%\Documents\GitHub\eaglep3\Utilities\DownloadLogsFromS3.py --loco 4061 --day 2017-08-11</v>
      </c>
      <c r="AN182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18:54:25"},{"id":29,"name":"Sharepoint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765</v>
      </c>
      <c r="B183" s="7">
        <v>4062</v>
      </c>
      <c r="C183" s="21" t="s">
        <v>198</v>
      </c>
      <c r="D183" s="21" t="s">
        <v>594</v>
      </c>
      <c r="E183" s="13">
        <v>42958.542951388888</v>
      </c>
      <c r="F183" s="13">
        <v>42958.556493055556</v>
      </c>
      <c r="G183" s="7">
        <v>12</v>
      </c>
      <c r="H183" s="21" t="s">
        <v>1103</v>
      </c>
      <c r="I183" s="13">
        <v>42958.566099537034</v>
      </c>
      <c r="J183" s="7">
        <v>0</v>
      </c>
      <c r="K183" s="89" t="str">
        <f t="shared" ref="K183:K214" si="140">IF(ISEVEN(B183),(B183-1)&amp;"/"&amp;B183,B183&amp;"/"&amp;(B183+1))</f>
        <v>4061/4062</v>
      </c>
      <c r="L183" s="21" t="str">
        <f>VLOOKUP(A183,'Trips&amp;Operators'!$C$1:$G$99999,5,FALSE)</f>
        <v>DELGADO DIANAH</v>
      </c>
      <c r="M183" s="6">
        <f t="shared" ref="M183:M214" si="141">I183-F183</f>
        <v>9.6064814788405783E-3</v>
      </c>
      <c r="N183" s="7">
        <f t="shared" si="137"/>
        <v>13.833333329530433</v>
      </c>
      <c r="O183" s="7"/>
      <c r="P183" s="7"/>
      <c r="Q183" s="22"/>
      <c r="R183" s="170"/>
      <c r="S183" s="213">
        <f t="shared" si="138"/>
        <v>1</v>
      </c>
      <c r="T183" s="195" t="str">
        <f t="shared" ref="T183:T214" si="142">IF(ISEVEN(LEFT(AD183,4)),"Southbound","NorthBound")</f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121"/>
        <v>https://d0f6bd738d7f1b3e5a7ca70fe4ff75f0.us-east-1.aws.found.io/app/kibana#/discover/Steve-Slow-Train-Analysis-(2080s-and-2083s)?_g=(refreshInterval:(display:Off,pause:!f,section:0,value:0),time:(from:'2017-08-11T12:01:51-0600',mode:absolute,to:'2017-08-11T14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3" s="197" t="str">
        <f>IF(AA183&lt;VLOOKUP(AG183,Variables!$AC$3:$AD$8,2,FALSE),"Y","N")</f>
        <v>N</v>
      </c>
      <c r="X183" s="197">
        <f t="shared" si="139"/>
        <v>1</v>
      </c>
      <c r="Y183" s="197">
        <f t="shared" si="135"/>
        <v>9.6500000000000002E-2</v>
      </c>
      <c r="Z183" s="197">
        <f t="shared" si="134"/>
        <v>5.8959999999999999</v>
      </c>
      <c r="AA183" s="197">
        <f t="shared" ref="AA183:AA214" si="143">ABS(Z183-Y183)</f>
        <v>5.7995000000000001</v>
      </c>
      <c r="AB183" s="54" t="e">
        <f>VLOOKUP(A183,Enforcements!$C$7:$K$12,8,0)</f>
        <v>#N/A</v>
      </c>
      <c r="AC183" s="51" t="e">
        <f>VLOOKUP(A183,Enforcements!$C$7:$E$12,3,0)</f>
        <v>#N/A</v>
      </c>
      <c r="AD183" s="206">
        <f t="shared" ref="AD183:AD214" si="144">VALUE(LEFT(A183,LEN(A183)-3))</f>
        <v>821</v>
      </c>
      <c r="AE183" s="77" t="str">
        <f t="shared" si="122"/>
        <v>aws s3 cp s3://rtdc.mdm.uploadarchive.raw/RTDC4062/ "%USERPROFILE%\AppData\Local\Temp\OnboardLogs"\RTDC4062\2017-08-11 --exclude "*" --recursive --include "*20170811*" &amp; "%USERPROFILE%\Documents\GitHub\mrs-test-scripts\Headless Mode &amp; Sideloading\WalkAndUnGZ.bat" "%USERPROFILE%\AppData\Local\Temp\OnboardLogs"\RTDC4062\2017-08-11 &amp; aws s3 cp s3://rtdc.mdm.uploadarchive.raw/RTDC4062/ "%USERPROFILE%\AppData\Local\Temp\OnboardLogs"\RTDC4062\2017-08-12 --exclude "*" --recursive --include "*20170812*" &amp; "%USERPROFILE%\Documents\GitHub\mrs-test-scripts\Headless Mode &amp; Sideloading\WalkAndUnGZ.bat" "%USERPROFILE%\AppData\Local\Temp\OnboardLogs"\RTDC4062\2017-08-12</v>
      </c>
      <c r="AF183" s="74" t="str">
        <f t="shared" si="123"/>
        <v>"C:\Program Files (x86)\AstroGrep\AstroGrep.exe" /e /r /s /spath="%USERPROFILE%\AppData\Local\Temp\OnboardLogs" /stypes="app*4062*20170811*" /stext=" 19:.+((SYSTEM_STATE.+slice.+state.+changed )|(ment ac)|(multiple cpu faults)|(system.+state.+changed )|(\[timeout)|(PRM\|1\|D)|(kpr)|(kdp)|(train st.+moving)|(\|lc)|(penalty))"</v>
      </c>
      <c r="AG183" s="209" t="str">
        <f t="shared" ref="AG183:AG214" si="145">DetSubdiv(A183)</f>
        <v>NW</v>
      </c>
      <c r="AH183" s="78" t="str">
        <f t="shared" si="124"/>
        <v>"%USERPROFILE%\Documents\GitHub\eaglep3\Utilities\RefineRTDCRunTimes.py" --tripid 821-11 --locoid 4062 --swversion DE.1.0.9.0 --startMP 204:965 --initTime 2017-08-11T13:01:51 --startdatetime 2017-08-11T13:21:21 --delay 12 --endMP 300:58960 --enddatetime 2017-08-11T13:35:11 --enforcementcount 0 &gt;&gt;C:\Users\stu\Documents\GitHub\eaglep3-reporting\EC\2017-08-11-refined-times.txt</v>
      </c>
      <c r="AI183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{"issue":{"subject":"","project_id":79,"tracker_id":40,"status_id":1,"priority_id":2,"assigned_to_id":23,"start_date":"2017-08-11","description":"","custom_fields":[{"id":1,"name":"Subdivision","value":"NW"},{"id":4,"name":"Milepost","value":"5.896"},{"id":17,"name":"Train ID","value":"821-11"},{"id":16,"name":"Locomotive ID","value":"4062"},{"id":130,"name":"Impact","value":""},{"id":150,"name":"Time of Event (Mountain Time)","value":"13:35:11"},{"id":151,"name":"Denver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126"/>
        <v>start /low /b %USERPROFILE%\Documents\GitHub\eaglep3\Utilities\DownloadLogsFromS3.py --loco 4062 --day 2017-08-11</v>
      </c>
      <c r="AN183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19:35:11"},{"id":29,"name":"Sharepoint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773</v>
      </c>
      <c r="B184" s="7">
        <v>4061</v>
      </c>
      <c r="C184" s="21" t="s">
        <v>198</v>
      </c>
      <c r="D184" s="21" t="s">
        <v>598</v>
      </c>
      <c r="E184" s="13">
        <v>42958.567291666666</v>
      </c>
      <c r="F184" s="13">
        <v>42958.570173611108</v>
      </c>
      <c r="G184" s="7">
        <v>3</v>
      </c>
      <c r="H184" s="21" t="s">
        <v>1018</v>
      </c>
      <c r="I184" s="13">
        <v>42958.579918981479</v>
      </c>
      <c r="J184" s="7">
        <v>0</v>
      </c>
      <c r="K184" s="89" t="str">
        <f t="shared" si="140"/>
        <v>4061/4062</v>
      </c>
      <c r="L184" s="21" t="str">
        <f>VLOOKUP(A184,'Trips&amp;Operators'!$C$1:$G$99999,5,FALSE)</f>
        <v>DELGADO DIANAH</v>
      </c>
      <c r="M184" s="6">
        <f t="shared" si="141"/>
        <v>9.7453703710925765E-3</v>
      </c>
      <c r="N184" s="7">
        <f t="shared" si="137"/>
        <v>14.03333333437331</v>
      </c>
      <c r="O184" s="7"/>
      <c r="P184" s="7"/>
      <c r="Q184" s="22"/>
      <c r="R184" s="170"/>
      <c r="S184" s="213">
        <f t="shared" si="138"/>
        <v>1</v>
      </c>
      <c r="T184" s="195" t="str">
        <f t="shared" si="142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121"/>
        <v>https://d0f6bd738d7f1b3e5a7ca70fe4ff75f0.us-east-1.aws.found.io/app/kibana#/discover/Steve-Slow-Train-Analysis-(2080s-and-2083s)?_g=(refreshInterval:(display:Off,pause:!f,section:0,value:0),time:(from:'2017-08-11T12:36:54-0600',mode:absolute,to:'2017-08-11T14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4" s="197" t="str">
        <f>IF(AA184&lt;VLOOKUP(AG184,Variables!$AC$3:$AD$8,2,FALSE),"Y","N")</f>
        <v>N</v>
      </c>
      <c r="X184" s="197">
        <f t="shared" si="139"/>
        <v>1</v>
      </c>
      <c r="Y184" s="197">
        <f t="shared" si="135"/>
        <v>5.8635999999999999</v>
      </c>
      <c r="Z184" s="197">
        <f t="shared" si="134"/>
        <v>6.5600000000000006E-2</v>
      </c>
      <c r="AA184" s="197">
        <f t="shared" si="143"/>
        <v>5.798</v>
      </c>
      <c r="AB184" s="54" t="e">
        <f>VLOOKUP(A184,Enforcements!$C$7:$K$12,8,0)</f>
        <v>#N/A</v>
      </c>
      <c r="AC184" s="51" t="e">
        <f>VLOOKUP(A184,Enforcements!$C$7:$E$12,3,0)</f>
        <v>#N/A</v>
      </c>
      <c r="AD184" s="206">
        <f t="shared" si="144"/>
        <v>822</v>
      </c>
      <c r="AE184" s="77" t="str">
        <f t="shared" si="122"/>
        <v>aws s3 cp s3://rtdc.mdm.uploadarchive.raw/RTDC4061/ "%USERPROFILE%\AppData\Local\Temp\OnboardLogs"\RTDC4061\2017-08-11 --exclude "*" --recursive --include "*20170811*" &amp; "%USERPROFILE%\Documents\GitHub\mrs-test-scripts\Headless Mode &amp; Sideloading\WalkAndUnGZ.bat" "%USERPROFILE%\AppData\Local\Temp\OnboardLogs"\RTDC4061\2017-08-11 &amp; aws s3 cp s3://rtdc.mdm.uploadarchive.raw/RTDC4061/ "%USERPROFILE%\AppData\Local\Temp\OnboardLogs"\RTDC4061\2017-08-12 --exclude "*" --recursive --include "*20170812*" &amp; "%USERPROFILE%\Documents\GitHub\mrs-test-scripts\Headless Mode &amp; Sideloading\WalkAndUnGZ.bat" "%USERPROFILE%\AppData\Local\Temp\OnboardLogs"\RTDC4061\2017-08-12</v>
      </c>
      <c r="AF184" s="74" t="str">
        <f t="shared" si="123"/>
        <v>"C:\Program Files (x86)\AstroGrep\AstroGrep.exe" /e /r /s /spath="%USERPROFILE%\AppData\Local\Temp\OnboardLogs" /stypes="app*4061*20170811*" /stext=" 19:.+((SYSTEM_STATE.+slice.+state.+changed )|(ment ac)|(multiple cpu faults)|(system.+state.+changed )|(\[timeout)|(PRM\|1\|D)|(kpr)|(kdp)|(train st.+moving)|(\|lc)|(penalty))"</v>
      </c>
      <c r="AG184" s="209" t="str">
        <f t="shared" si="145"/>
        <v>NW</v>
      </c>
      <c r="AH184" s="78" t="str">
        <f t="shared" si="124"/>
        <v>"%USERPROFILE%\Documents\GitHub\eaglep3\Utilities\RefineRTDCRunTimes.py" --tripid 822-11 --locoid 4061 --swversion DE.1.0.9.0 --startMP 300:58636 --initTime 2017-08-11T13:36:54 --startdatetime 2017-08-11T13:41:03 --delay 3 --endMP 204:656 --enddatetime 2017-08-11T13:55:05 --enforcementcount 0 &gt;&gt;C:\Users\stu\Documents\GitHub\eaglep3-reporting\EC\2017-08-11-refined-times.txt</v>
      </c>
      <c r="AI184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{"issue":{"subject":"","project_id":79,"tracker_id":40,"status_id":1,"priority_id":2,"assigned_to_id":23,"start_date":"2017-08-11","description":"","custom_fields":[{"id":1,"name":"Subdivision","value":"NW"},{"id":4,"name":"Milepost","value":"0.0656"},{"id":17,"name":"Train ID","value":"822-11"},{"id":16,"name":"Locomotive ID","value":"4061"},{"id":130,"name":"Impact","value":""},{"id":150,"name":"Time of Event (Mountain Time)","value":"13:55:05"},{"id":151,"name":"Denver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126"/>
        <v>start /low /b %USERPROFILE%\Documents\GitHub\eaglep3\Utilities\DownloadLogsFromS3.py --loco 4061 --day 2017-08-11</v>
      </c>
      <c r="AN184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19:55:05"},{"id":29,"name":"Sharepoint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s="20" customFormat="1" x14ac:dyDescent="0.25">
      <c r="A185" s="32" t="s">
        <v>776</v>
      </c>
      <c r="B185" s="7">
        <v>4062</v>
      </c>
      <c r="C185" s="21" t="s">
        <v>198</v>
      </c>
      <c r="D185" s="21" t="s">
        <v>599</v>
      </c>
      <c r="E185" s="13">
        <v>42958.582442129627</v>
      </c>
      <c r="F185" s="13">
        <v>42958.598101851851</v>
      </c>
      <c r="G185" s="7">
        <v>1</v>
      </c>
      <c r="H185" s="21" t="s">
        <v>1104</v>
      </c>
      <c r="I185" s="13">
        <v>42958.607627314814</v>
      </c>
      <c r="J185" s="7">
        <v>0</v>
      </c>
      <c r="K185" s="89" t="str">
        <f t="shared" si="140"/>
        <v>4061/4062</v>
      </c>
      <c r="L185" s="21" t="str">
        <f>VLOOKUP(A185,'Trips&amp;Operators'!$C$1:$G$99999,5,FALSE)</f>
        <v>DELGADO DIANAH</v>
      </c>
      <c r="M185" s="6">
        <f t="shared" si="141"/>
        <v>9.5254629632108845E-3</v>
      </c>
      <c r="N185" s="7">
        <f t="shared" si="137"/>
        <v>13.716666667023674</v>
      </c>
      <c r="O185" s="7"/>
      <c r="P185" s="7"/>
      <c r="Q185" s="22"/>
      <c r="R185" s="170"/>
      <c r="S185" s="213">
        <f t="shared" si="138"/>
        <v>1</v>
      </c>
      <c r="T185" s="195" t="str">
        <f t="shared" si="142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121"/>
        <v>https://d0f6bd738d7f1b3e5a7ca70fe4ff75f0.us-east-1.aws.found.io/app/kibana#/discover/Steve-Slow-Train-Analysis-(2080s-and-2083s)?_g=(refreshInterval:(display:Off,pause:!f,section:0,value:0),time:(from:'2017-08-11T12:58:43-0600',mode:absolute,to:'2017-08-11T15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5" s="197" t="str">
        <f>IF(AA185&lt;VLOOKUP(AG185,Variables!$AC$3:$AD$8,2,FALSE),"Y","N")</f>
        <v>N</v>
      </c>
      <c r="X185" s="197">
        <f t="shared" si="139"/>
        <v>1</v>
      </c>
      <c r="Y185" s="197">
        <f t="shared" si="135"/>
        <v>9.64E-2</v>
      </c>
      <c r="Z185" s="197">
        <f t="shared" si="134"/>
        <v>5.8952</v>
      </c>
      <c r="AA185" s="197">
        <f t="shared" si="143"/>
        <v>5.7988</v>
      </c>
      <c r="AB185" s="54" t="e">
        <f>VLOOKUP(A185,Enforcements!$C$7:$K$12,8,0)</f>
        <v>#N/A</v>
      </c>
      <c r="AC185" s="51" t="e">
        <f>VLOOKUP(A185,Enforcements!$C$7:$E$12,3,0)</f>
        <v>#N/A</v>
      </c>
      <c r="AD185" s="206">
        <f t="shared" si="144"/>
        <v>823</v>
      </c>
      <c r="AE185" s="77" t="str">
        <f t="shared" si="122"/>
        <v>aws s3 cp s3://rtdc.mdm.uploadarchive.raw/RTDC4062/ "%USERPROFILE%\AppData\Local\Temp\OnboardLogs"\RTDC4062\2017-08-11 --exclude "*" --recursive --include "*20170811*" &amp; "%USERPROFILE%\Documents\GitHub\mrs-test-scripts\Headless Mode &amp; Sideloading\WalkAndUnGZ.bat" "%USERPROFILE%\AppData\Local\Temp\OnboardLogs"\RTDC4062\2017-08-11 &amp; aws s3 cp s3://rtdc.mdm.uploadarchive.raw/RTDC4062/ "%USERPROFILE%\AppData\Local\Temp\OnboardLogs"\RTDC4062\2017-08-12 --exclude "*" --recursive --include "*20170812*" &amp; "%USERPROFILE%\Documents\GitHub\mrs-test-scripts\Headless Mode &amp; Sideloading\WalkAndUnGZ.bat" "%USERPROFILE%\AppData\Local\Temp\OnboardLogs"\RTDC4062\2017-08-12</v>
      </c>
      <c r="AF185" s="74" t="str">
        <f t="shared" si="123"/>
        <v>"C:\Program Files (x86)\AstroGrep\AstroGrep.exe" /e /r /s /spath="%USERPROFILE%\AppData\Local\Temp\OnboardLogs" /stypes="app*4062*20170811*" /stext=" 20:.+((SYSTEM_STATE.+slice.+state.+changed )|(ment ac)|(multiple cpu faults)|(system.+state.+changed )|(\[timeout)|(PRM\|1\|D)|(kpr)|(kdp)|(train st.+moving)|(\|lc)|(penalty))"</v>
      </c>
      <c r="AG185" s="209" t="str">
        <f t="shared" si="145"/>
        <v>NW</v>
      </c>
      <c r="AH185" s="78" t="str">
        <f t="shared" si="124"/>
        <v>"%USERPROFILE%\Documents\GitHub\eaglep3\Utilities\RefineRTDCRunTimes.py" --tripid 823-11 --locoid 4062 --swversion DE.1.0.9.0 --startMP 204:964 --initTime 2017-08-11T13:58:43 --startdatetime 2017-08-11T14:21:16 --delay 1 --endMP 300:58952 --enddatetime 2017-08-11T14:34:59 --enforcementcount 0 &gt;&gt;C:\Users\stu\Documents\GitHub\eaglep3-reporting\EC\2017-08-11-refined-times.txt</v>
      </c>
      <c r="AI185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{"issue":{"subject":"","project_id":79,"tracker_id":40,"status_id":1,"priority_id":2,"assigned_to_id":23,"start_date":"2017-08-11","description":"","custom_fields":[{"id":1,"name":"Subdivision","value":"NW"},{"id":4,"name":"Milepost","value":"5.8952"},{"id":17,"name":"Train ID","value":"823-11"},{"id":16,"name":"Locomotive ID","value":"4062"},{"id":130,"name":"Impact","value":""},{"id":150,"name":"Time of Event (Mountain Time)","value":"14:34:59"},{"id":151,"name":"Denver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126"/>
        <v>start /low /b %USERPROFILE%\Documents\GitHub\eaglep3\Utilities\DownloadLogsFromS3.py --loco 4062 --day 2017-08-11</v>
      </c>
      <c r="AN185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20:34:59"},{"id":29,"name":"Sharepoint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780</v>
      </c>
      <c r="B186" s="7">
        <v>4061</v>
      </c>
      <c r="C186" s="21" t="s">
        <v>198</v>
      </c>
      <c r="D186" s="21" t="s">
        <v>598</v>
      </c>
      <c r="E186" s="13">
        <v>42958.609039351853</v>
      </c>
      <c r="F186" s="13">
        <v>42958.61109953704</v>
      </c>
      <c r="G186" s="7">
        <v>1</v>
      </c>
      <c r="H186" s="21" t="s">
        <v>1020</v>
      </c>
      <c r="I186" s="13">
        <v>42958.621412037035</v>
      </c>
      <c r="J186" s="7">
        <v>0</v>
      </c>
      <c r="K186" s="89" t="str">
        <f t="shared" si="140"/>
        <v>4061/4062</v>
      </c>
      <c r="L186" s="21" t="str">
        <f>VLOOKUP(A186,'Trips&amp;Operators'!$C$1:$G$99999,5,FALSE)</f>
        <v>DELGADO DIANAH</v>
      </c>
      <c r="M186" s="6">
        <f t="shared" si="141"/>
        <v>1.0312499995052349E-2</v>
      </c>
      <c r="N186" s="7">
        <f t="shared" si="137"/>
        <v>14.849999992875382</v>
      </c>
      <c r="O186" s="7"/>
      <c r="P186" s="7"/>
      <c r="Q186" s="22"/>
      <c r="R186" s="170"/>
      <c r="S186" s="213">
        <f t="shared" si="138"/>
        <v>1</v>
      </c>
      <c r="T186" s="195" t="str">
        <f t="shared" si="142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121"/>
        <v>https://d0f6bd738d7f1b3e5a7ca70fe4ff75f0.us-east-1.aws.found.io/app/kibana#/discover/Steve-Slow-Train-Analysis-(2080s-and-2083s)?_g=(refreshInterval:(display:Off,pause:!f,section:0,value:0),time:(from:'2017-08-11T13:37:01-0600',mode:absolute,to:'2017-08-11T15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6" s="197" t="str">
        <f>IF(AA186&lt;VLOOKUP(AG186,Variables!$AC$3:$AD$8,2,FALSE),"Y","N")</f>
        <v>N</v>
      </c>
      <c r="X186" s="197">
        <f t="shared" si="139"/>
        <v>1</v>
      </c>
      <c r="Y186" s="197">
        <f t="shared" si="135"/>
        <v>5.8635999999999999</v>
      </c>
      <c r="Z186" s="197">
        <f t="shared" si="134"/>
        <v>6.5199999999999994E-2</v>
      </c>
      <c r="AA186" s="197">
        <f t="shared" si="143"/>
        <v>5.7984</v>
      </c>
      <c r="AB186" s="54" t="e">
        <f>VLOOKUP(A186,Enforcements!$C$7:$K$12,8,0)</f>
        <v>#N/A</v>
      </c>
      <c r="AC186" s="51" t="e">
        <f>VLOOKUP(A186,Enforcements!$C$7:$E$12,3,0)</f>
        <v>#N/A</v>
      </c>
      <c r="AD186" s="206">
        <f t="shared" si="144"/>
        <v>824</v>
      </c>
      <c r="AE186" s="77" t="str">
        <f t="shared" si="122"/>
        <v>aws s3 cp s3://rtdc.mdm.uploadarchive.raw/RTDC4061/ "%USERPROFILE%\AppData\Local\Temp\OnboardLogs"\RTDC4061\2017-08-11 --exclude "*" --recursive --include "*20170811*" &amp; "%USERPROFILE%\Documents\GitHub\mrs-test-scripts\Headless Mode &amp; Sideloading\WalkAndUnGZ.bat" "%USERPROFILE%\AppData\Local\Temp\OnboardLogs"\RTDC4061\2017-08-11 &amp; aws s3 cp s3://rtdc.mdm.uploadarchive.raw/RTDC4061/ "%USERPROFILE%\AppData\Local\Temp\OnboardLogs"\RTDC4061\2017-08-12 --exclude "*" --recursive --include "*20170812*" &amp; "%USERPROFILE%\Documents\GitHub\mrs-test-scripts\Headless Mode &amp; Sideloading\WalkAndUnGZ.bat" "%USERPROFILE%\AppData\Local\Temp\OnboardLogs"\RTDC4061\2017-08-12</v>
      </c>
      <c r="AF186" s="74" t="str">
        <f t="shared" si="123"/>
        <v>"C:\Program Files (x86)\AstroGrep\AstroGrep.exe" /e /r /s /spath="%USERPROFILE%\AppData\Local\Temp\OnboardLogs" /stypes="app*4061*20170811*" /stext=" 20:.+((SYSTEM_STATE.+slice.+state.+changed )|(ment ac)|(multiple cpu faults)|(system.+state.+changed )|(\[timeout)|(PRM\|1\|D)|(kpr)|(kdp)|(train st.+moving)|(\|lc)|(penalty))"</v>
      </c>
      <c r="AG186" s="209" t="str">
        <f t="shared" si="145"/>
        <v>NW</v>
      </c>
      <c r="AH186" s="78" t="str">
        <f t="shared" si="124"/>
        <v>"%USERPROFILE%\Documents\GitHub\eaglep3\Utilities\RefineRTDCRunTimes.py" --tripid 824-11 --locoid 4061 --swversion DE.1.0.9.0 --startMP 300:58636 --initTime 2017-08-11T14:37:01 --startdatetime 2017-08-11T14:39:59 --delay 1 --endMP 204:652 --enddatetime 2017-08-11T14:54:50 --enforcementcount 0 &gt;&gt;C:\Users\stu\Documents\GitHub\eaglep3-reporting\EC\2017-08-11-refined-times.txt</v>
      </c>
      <c r="AI186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{"issue":{"subject":"","project_id":79,"tracker_id":40,"status_id":1,"priority_id":2,"assigned_to_id":23,"start_date":"2017-08-11","description":"","custom_fields":[{"id":1,"name":"Subdivision","value":"NW"},{"id":4,"name":"Milepost","value":"0.0652"},{"id":17,"name":"Train ID","value":"824-11"},{"id":16,"name":"Locomotive ID","value":"4061"},{"id":130,"name":"Impact","value":""},{"id":150,"name":"Time of Event (Mountain Time)","value":"14:54:50"},{"id":151,"name":"Denver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126"/>
        <v>start /low /b %USERPROFILE%\Documents\GitHub\eaglep3\Utilities\DownloadLogsFromS3.py --loco 4061 --day 2017-08-11</v>
      </c>
      <c r="AN186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20:54:50"},{"id":29,"name":"Sharepoint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784</v>
      </c>
      <c r="B187" s="7">
        <v>4062</v>
      </c>
      <c r="C187" s="21" t="s">
        <v>198</v>
      </c>
      <c r="D187" s="21" t="s">
        <v>541</v>
      </c>
      <c r="E187" s="13">
        <v>42958.623206018521</v>
      </c>
      <c r="F187" s="13">
        <v>42958.640208333331</v>
      </c>
      <c r="G187" s="7">
        <v>21</v>
      </c>
      <c r="H187" s="21" t="s">
        <v>1019</v>
      </c>
      <c r="I187" s="13">
        <v>42958.649363425924</v>
      </c>
      <c r="J187" s="7">
        <v>0</v>
      </c>
      <c r="K187" s="89" t="str">
        <f t="shared" si="140"/>
        <v>4061/4062</v>
      </c>
      <c r="L187" s="21" t="str">
        <f>VLOOKUP(A187,'Trips&amp;Operators'!$C$1:$G$99999,5,FALSE)</f>
        <v>DELGADO DIANAH</v>
      </c>
      <c r="M187" s="6">
        <f t="shared" si="141"/>
        <v>9.1550925935734995E-3</v>
      </c>
      <c r="N187" s="7">
        <f t="shared" si="137"/>
        <v>13.183333334745839</v>
      </c>
      <c r="O187" s="7"/>
      <c r="P187" s="7"/>
      <c r="Q187" s="22"/>
      <c r="R187" s="170"/>
      <c r="S187" s="213">
        <f t="shared" si="138"/>
        <v>1</v>
      </c>
      <c r="T187" s="195" t="str">
        <f t="shared" si="142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121"/>
        <v>https://d0f6bd738d7f1b3e5a7ca70fe4ff75f0.us-east-1.aws.found.io/app/kibana#/discover/Steve-Slow-Train-Analysis-(2080s-and-2083s)?_g=(refreshInterval:(display:Off,pause:!f,section:0,value:0),time:(from:'2017-08-11T13:57:25-0600',mode:absolute,to:'2017-08-11T16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7" s="197" t="str">
        <f>IF(AA187&lt;VLOOKUP(AG187,Variables!$AC$3:$AD$8,2,FALSE),"Y","N")</f>
        <v>N</v>
      </c>
      <c r="X187" s="197">
        <f t="shared" ref="X187:X218" si="146">VALUE(LEFT(AD187,4))-VALUE(LEFT(AD186,4))</f>
        <v>1</v>
      </c>
      <c r="Y187" s="197">
        <f t="shared" si="135"/>
        <v>9.69E-2</v>
      </c>
      <c r="Z187" s="197">
        <f t="shared" ref="Z187:Z218" si="147">RIGHT(H187,LEN(H187)-4)/10000</f>
        <v>5.8954000000000004</v>
      </c>
      <c r="AA187" s="197">
        <f t="shared" si="143"/>
        <v>5.7985000000000007</v>
      </c>
      <c r="AB187" s="54" t="e">
        <f>VLOOKUP(A187,Enforcements!$C$7:$K$12,8,0)</f>
        <v>#N/A</v>
      </c>
      <c r="AC187" s="51" t="e">
        <f>VLOOKUP(A187,Enforcements!$C$7:$E$12,3,0)</f>
        <v>#N/A</v>
      </c>
      <c r="AD187" s="206">
        <f t="shared" si="144"/>
        <v>825</v>
      </c>
      <c r="AE187" s="77" t="str">
        <f t="shared" si="122"/>
        <v>aws s3 cp s3://rtdc.mdm.uploadarchive.raw/RTDC4062/ "%USERPROFILE%\AppData\Local\Temp\OnboardLogs"\RTDC4062\2017-08-11 --exclude "*" --recursive --include "*20170811*" &amp; "%USERPROFILE%\Documents\GitHub\mrs-test-scripts\Headless Mode &amp; Sideloading\WalkAndUnGZ.bat" "%USERPROFILE%\AppData\Local\Temp\OnboardLogs"\RTDC4062\2017-08-11 &amp; aws s3 cp s3://rtdc.mdm.uploadarchive.raw/RTDC4062/ "%USERPROFILE%\AppData\Local\Temp\OnboardLogs"\RTDC4062\2017-08-12 --exclude "*" --recursive --include "*20170812*" &amp; "%USERPROFILE%\Documents\GitHub\mrs-test-scripts\Headless Mode &amp; Sideloading\WalkAndUnGZ.bat" "%USERPROFILE%\AppData\Local\Temp\OnboardLogs"\RTDC4062\2017-08-12</v>
      </c>
      <c r="AF187" s="74" t="str">
        <f t="shared" si="123"/>
        <v>"C:\Program Files (x86)\AstroGrep\AstroGrep.exe" /e /r /s /spath="%USERPROFILE%\AppData\Local\Temp\OnboardLogs" /stypes="app*4062*20170811*" /stext=" 21:.+((SYSTEM_STATE.+slice.+state.+changed )|(ment ac)|(multiple cpu faults)|(system.+state.+changed )|(\[timeout)|(PRM\|1\|D)|(kpr)|(kdp)|(train st.+moving)|(\|lc)|(penalty))"</v>
      </c>
      <c r="AG187" s="209" t="str">
        <f t="shared" si="145"/>
        <v>NW</v>
      </c>
      <c r="AH187" s="78" t="str">
        <f t="shared" si="124"/>
        <v>"%USERPROFILE%\Documents\GitHub\eaglep3\Utilities\RefineRTDCRunTimes.py" --tripid 825-11 --locoid 4062 --swversion DE.1.0.9.0 --startMP 204:969 --initTime 2017-08-11T14:57:25 --startdatetime 2017-08-11T15:21:54 --delay 21 --endMP 300:58954 --enddatetime 2017-08-11T15:35:05 --enforcementcount 0 &gt;&gt;C:\Users\stu\Documents\GitHub\eaglep3-reporting\EC\2017-08-11-refined-times.txt</v>
      </c>
      <c r="AI187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{"issue":{"subject":"","project_id":79,"tracker_id":40,"status_id":1,"priority_id":2,"assigned_to_id":23,"start_date":"2017-08-11","description":"","custom_fields":[{"id":1,"name":"Subdivision","value":"NW"},{"id":4,"name":"Milepost","value":"5.8954"},{"id":17,"name":"Train ID","value":"825-11"},{"id":16,"name":"Locomotive ID","value":"4062"},{"id":130,"name":"Impact","value":""},{"id":150,"name":"Time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126"/>
        <v>start /low /b %USERPROFILE%\Documents\GitHub\eaglep3\Utilities\DownloadLogsFromS3.py --loco 4062 --day 2017-08-11</v>
      </c>
      <c r="AN187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21:35:05"},{"id":29,"name":"Sharepoint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627</v>
      </c>
      <c r="B188" s="7">
        <v>4061</v>
      </c>
      <c r="C188" s="21" t="s">
        <v>198</v>
      </c>
      <c r="D188" s="21" t="s">
        <v>1006</v>
      </c>
      <c r="E188" s="13">
        <v>42958.650439814817</v>
      </c>
      <c r="F188" s="13">
        <v>42958.652048611111</v>
      </c>
      <c r="G188" s="7">
        <v>1</v>
      </c>
      <c r="H188" s="21" t="s">
        <v>589</v>
      </c>
      <c r="I188" s="13">
        <v>42958.663483796299</v>
      </c>
      <c r="J188" s="7">
        <v>0</v>
      </c>
      <c r="K188" s="89" t="str">
        <f t="shared" si="140"/>
        <v>4061/4062</v>
      </c>
      <c r="L188" s="21" t="str">
        <f>VLOOKUP(A188,'Trips&amp;Operators'!$C$1:$G$99999,5,FALSE)</f>
        <v>DELGADO DIANAH</v>
      </c>
      <c r="M188" s="6">
        <f t="shared" si="141"/>
        <v>1.1435185188020114E-2</v>
      </c>
      <c r="N188" s="7">
        <f t="shared" si="137"/>
        <v>16.466666670748964</v>
      </c>
      <c r="O188" s="7"/>
      <c r="P188" s="7"/>
      <c r="Q188" s="22"/>
      <c r="R188" s="170"/>
      <c r="S188" s="213">
        <f t="shared" si="138"/>
        <v>1</v>
      </c>
      <c r="T188" s="195" t="str">
        <f t="shared" si="142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121"/>
        <v>https://d0f6bd738d7f1b3e5a7ca70fe4ff75f0.us-east-1.aws.found.io/app/kibana#/discover/Steve-Slow-Train-Analysis-(2080s-and-2083s)?_g=(refreshInterval:(display:Off,pause:!f,section:0,value:0),time:(from:'2017-08-11T14:36:38-0600',mode:absolute,to:'2017-08-11T16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8" s="197" t="str">
        <f>IF(AA188&lt;VLOOKUP(AG188,Variables!$AC$3:$AD$8,2,FALSE),"Y","N")</f>
        <v>N</v>
      </c>
      <c r="X188" s="197">
        <f t="shared" si="146"/>
        <v>1</v>
      </c>
      <c r="Y188" s="197">
        <f t="shared" si="135"/>
        <v>5.8634000000000004</v>
      </c>
      <c r="Z188" s="197">
        <f t="shared" si="147"/>
        <v>6.4299999999999996E-2</v>
      </c>
      <c r="AA188" s="197">
        <f t="shared" si="143"/>
        <v>5.7991000000000001</v>
      </c>
      <c r="AB188" s="54" t="e">
        <f>VLOOKUP(A188,Enforcements!$C$7:$K$12,8,0)</f>
        <v>#N/A</v>
      </c>
      <c r="AC188" s="51" t="e">
        <f>VLOOKUP(A188,Enforcements!$C$7:$E$12,3,0)</f>
        <v>#N/A</v>
      </c>
      <c r="AD188" s="206">
        <f t="shared" si="144"/>
        <v>826</v>
      </c>
      <c r="AE188" s="77" t="str">
        <f t="shared" si="122"/>
        <v>aws s3 cp s3://rtdc.mdm.uploadarchive.raw/RTDC4061/ "%USERPROFILE%\AppData\Local\Temp\OnboardLogs"\RTDC4061\2017-08-11 --exclude "*" --recursive --include "*20170811*" &amp; "%USERPROFILE%\Documents\GitHub\mrs-test-scripts\Headless Mode &amp; Sideloading\WalkAndUnGZ.bat" "%USERPROFILE%\AppData\Local\Temp\OnboardLogs"\RTDC4061\2017-08-11 &amp; aws s3 cp s3://rtdc.mdm.uploadarchive.raw/RTDC4061/ "%USERPROFILE%\AppData\Local\Temp\OnboardLogs"\RTDC4061\2017-08-12 --exclude "*" --recursive --include "*20170812*" &amp; "%USERPROFILE%\Documents\GitHub\mrs-test-scripts\Headless Mode &amp; Sideloading\WalkAndUnGZ.bat" "%USERPROFILE%\AppData\Local\Temp\OnboardLogs"\RTDC4061\2017-08-12</v>
      </c>
      <c r="AF188" s="74" t="str">
        <f t="shared" si="123"/>
        <v>"C:\Program Files (x86)\AstroGrep\AstroGrep.exe" /e /r /s /spath="%USERPROFILE%\AppData\Local\Temp\OnboardLogs" /stypes="app*4061*20170811*" /stext=" 21:.+((SYSTEM_STATE.+slice.+state.+changed )|(ment ac)|(multiple cpu faults)|(system.+state.+changed )|(\[timeout)|(PRM\|1\|D)|(kpr)|(kdp)|(train st.+moving)|(\|lc)|(penalty))"</v>
      </c>
      <c r="AG188" s="209" t="str">
        <f t="shared" si="145"/>
        <v>NW</v>
      </c>
      <c r="AH188" s="78" t="str">
        <f t="shared" si="124"/>
        <v>"%USERPROFILE%\Documents\GitHub\eaglep3\Utilities\RefineRTDCRunTimes.py" --tripid 826-11 --locoid 4061 --swversion DE.1.0.9.0 --startMP 300:58634 --initTime 2017-08-11T15:36:38 --startdatetime 2017-08-11T15:38:57 --delay 1 --endMP 204:643 --enddatetime 2017-08-11T15:55:25 --enforcementcount 0 &gt;&gt;C:\Users\stu\Documents\GitHub\eaglep3-reporting\EC\2017-08-11-refined-times.txt</v>
      </c>
      <c r="AI188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{"issue":{"subject":"","project_id":79,"tracker_id":40,"status_id":1,"priority_id":2,"assigned_to_id":23,"start_date":"2017-08-11","description":"","custom_fields":[{"id":1,"name":"Subdivision","value":"NW"},{"id":4,"name":"Milepost","value":"0.0643"},{"id":17,"name":"Train ID","value":"826-11"},{"id":16,"name":"Locomotive ID","value":"4061"},{"id":130,"name":"Impact","value":""},{"id":150,"name":"Time of Event (Mountain Time)","value":"15:55:25"},{"id":151,"name":"Denver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126"/>
        <v>start /low /b %USERPROFILE%\Documents\GitHub\eaglep3\Utilities\DownloadLogsFromS3.py --loco 4061 --day 2017-08-11</v>
      </c>
      <c r="AN188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21:55:25"},{"id":29,"name":"Sharepoint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792</v>
      </c>
      <c r="B189" s="7">
        <v>4018</v>
      </c>
      <c r="C189" s="21" t="s">
        <v>198</v>
      </c>
      <c r="D189" s="21" t="s">
        <v>544</v>
      </c>
      <c r="E189" s="13">
        <v>42958.646018518521</v>
      </c>
      <c r="F189" s="13">
        <v>42958.660613425927</v>
      </c>
      <c r="G189" s="7">
        <v>1</v>
      </c>
      <c r="H189" s="21" t="s">
        <v>1071</v>
      </c>
      <c r="I189" s="13">
        <v>42958.670162037037</v>
      </c>
      <c r="J189" s="7">
        <v>0</v>
      </c>
      <c r="K189" s="89" t="str">
        <f t="shared" si="140"/>
        <v>4017/4018</v>
      </c>
      <c r="L189" s="21" t="str">
        <f>VLOOKUP(A189,'Trips&amp;Operators'!$C$1:$G$99999,5,FALSE)</f>
        <v>MCREYNOLDS KYLE</v>
      </c>
      <c r="M189" s="6">
        <f t="shared" si="141"/>
        <v>9.5486111094942316E-3</v>
      </c>
      <c r="N189" s="7">
        <f t="shared" si="137"/>
        <v>13.749999997671694</v>
      </c>
      <c r="O189" s="7"/>
      <c r="P189" s="7"/>
      <c r="Q189" s="22"/>
      <c r="R189" s="170"/>
      <c r="S189" s="213">
        <f t="shared" si="138"/>
        <v>1</v>
      </c>
      <c r="T189" s="195" t="str">
        <f t="shared" si="142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121"/>
        <v>https://d0f6bd738d7f1b3e5a7ca70fe4ff75f0.us-east-1.aws.found.io/app/kibana#/discover/Steve-Slow-Train-Analysis-(2080s-and-2083s)?_g=(refreshInterval:(display:Off,pause:!f,section:0,value:0),time:(from:'2017-08-11T14:30:16-0600',mode:absolute,to:'2017-08-11T17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9" s="197" t="str">
        <f>IF(AA189&lt;VLOOKUP(AG189,Variables!$AC$3:$AD$8,2,FALSE),"Y","N")</f>
        <v>N</v>
      </c>
      <c r="X189" s="197">
        <f t="shared" si="146"/>
        <v>1</v>
      </c>
      <c r="Y189" s="197">
        <f t="shared" si="135"/>
        <v>9.7900000000000001E-2</v>
      </c>
      <c r="Z189" s="197">
        <f t="shared" si="147"/>
        <v>5.8971</v>
      </c>
      <c r="AA189" s="197">
        <f t="shared" si="143"/>
        <v>5.7991999999999999</v>
      </c>
      <c r="AB189" s="54" t="e">
        <f>VLOOKUP(A189,Enforcements!$C$7:$K$12,8,0)</f>
        <v>#N/A</v>
      </c>
      <c r="AC189" s="51" t="e">
        <f>VLOOKUP(A189,Enforcements!$C$7:$E$12,3,0)</f>
        <v>#N/A</v>
      </c>
      <c r="AD189" s="206">
        <f t="shared" si="144"/>
        <v>827</v>
      </c>
      <c r="AE189" s="77" t="str">
        <f t="shared" si="122"/>
        <v>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 &amp; aws s3 cp s3://rtdc.mdm.uploadarchive.raw/RTDC4018/ "%USERPROFILE%\AppData\Local\Temp\OnboardLogs"\RTDC4018\2017-08-12 --exclude "*" --recursive --include "*20170812*" &amp; "%USERPROFILE%\Documents\GitHub\mrs-test-scripts\Headless Mode &amp; Sideloading\WalkAndUnGZ.bat" "%USERPROFILE%\AppData\Local\Temp\OnboardLogs"\RTDC4018\2017-08-12</v>
      </c>
      <c r="AF189" s="74" t="str">
        <f t="shared" si="123"/>
        <v>"C:\Program Files (x86)\AstroGrep\AstroGrep.exe" /e /r /s /spath="%USERPROFILE%\AppData\Local\Temp\OnboardLogs" /stypes="app*4018*20170811*" /stext=" 22:.+((SYSTEM_STATE.+slice.+state.+changed )|(ment ac)|(multiple cpu faults)|(system.+state.+changed )|(\[timeout)|(PRM\|1\|D)|(kpr)|(kdp)|(train st.+moving)|(\|lc)|(penalty))"</v>
      </c>
      <c r="AG189" s="209" t="str">
        <f t="shared" si="145"/>
        <v>NW</v>
      </c>
      <c r="AH189" s="78" t="str">
        <f t="shared" si="124"/>
        <v>"%USERPROFILE%\Documents\GitHub\eaglep3\Utilities\RefineRTDCRunTimes.py" --tripid 827-11 --locoid 4018 --swversion DE.1.0.9.0 --startMP 204:979 --initTime 2017-08-11T15:30:16 --startdatetime 2017-08-11T15:51:17 --delay 1 --endMP 300:58971 --enddatetime 2017-08-11T16:05:02 --enforcementcount 0 &gt;&gt;C:\Users\stu\Documents\GitHub\eaglep3-reporting\EC\2017-08-11-refined-times.txt</v>
      </c>
      <c r="AI189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{"issue":{"subject":"","project_id":79,"tracker_id":40,"status_id":1,"priority_id":2,"assigned_to_id":23,"start_date":"2017-08-11","description":"","custom_fields":[{"id":1,"name":"Subdivision","value":"NW"},{"id":4,"name":"Milepost","value":"5.8971"},{"id":17,"name":"Train ID","value":"827-11"},{"id":16,"name":"Locomotive ID","value":"4018"},{"id":130,"name":"Impact","value":""},{"id":150,"name":"Time of Event (Mountain Time)","value":"16:05:02"},{"id":151,"name":"Denver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126"/>
        <v>start /low /b %USERPROFILE%\Documents\GitHub\eaglep3\Utilities\DownloadLogsFromS3.py --loco 4018 --day 2017-08-11</v>
      </c>
      <c r="AN189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22:05:02"},{"id":29,"name":"Sharepoint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796</v>
      </c>
      <c r="B190" s="7">
        <v>4017</v>
      </c>
      <c r="C190" s="21" t="s">
        <v>198</v>
      </c>
      <c r="D190" s="21" t="s">
        <v>1021</v>
      </c>
      <c r="E190" s="13">
        <v>42958.671400462961</v>
      </c>
      <c r="F190" s="13">
        <v>42958.673194444447</v>
      </c>
      <c r="G190" s="7">
        <v>1</v>
      </c>
      <c r="H190" s="21" t="s">
        <v>1072</v>
      </c>
      <c r="I190" s="13">
        <v>42958.684618055559</v>
      </c>
      <c r="J190" s="7">
        <v>0</v>
      </c>
      <c r="K190" s="89" t="str">
        <f t="shared" si="140"/>
        <v>4017/4018</v>
      </c>
      <c r="L190" s="21" t="str">
        <f>VLOOKUP(A190,'Trips&amp;Operators'!$C$1:$G$99999,5,FALSE)</f>
        <v>MCREYNOLDS KYLE</v>
      </c>
      <c r="M190" s="6">
        <f t="shared" si="141"/>
        <v>1.1423611111240461E-2</v>
      </c>
      <c r="N190" s="7">
        <f t="shared" si="137"/>
        <v>16.450000000186265</v>
      </c>
      <c r="O190" s="7"/>
      <c r="P190" s="7"/>
      <c r="Q190" s="22"/>
      <c r="R190" s="170"/>
      <c r="S190" s="213">
        <f t="shared" si="138"/>
        <v>1</v>
      </c>
      <c r="T190" s="195" t="str">
        <f t="shared" si="142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121"/>
        <v>https://d0f6bd738d7f1b3e5a7ca70fe4ff75f0.us-east-1.aws.found.io/app/kibana#/discover/Steve-Slow-Train-Analysis-(2080s-and-2083s)?_g=(refreshInterval:(display:Off,pause:!f,section:0,value:0),time:(from:'2017-08-11T15:06:49-0600',mode:absolute,to:'2017-08-11T17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0" s="197" t="str">
        <f>IF(AA190&lt;VLOOKUP(AG190,Variables!$AC$3:$AD$8,2,FALSE),"Y","N")</f>
        <v>N</v>
      </c>
      <c r="X190" s="197">
        <f t="shared" si="146"/>
        <v>1</v>
      </c>
      <c r="Y190" s="197">
        <f t="shared" si="135"/>
        <v>5.8651</v>
      </c>
      <c r="Z190" s="197">
        <f t="shared" si="147"/>
        <v>7.0499999999999993E-2</v>
      </c>
      <c r="AA190" s="197">
        <f t="shared" si="143"/>
        <v>5.7946</v>
      </c>
      <c r="AB190" s="54" t="e">
        <f>VLOOKUP(A190,Enforcements!$C$7:$K$12,8,0)</f>
        <v>#N/A</v>
      </c>
      <c r="AC190" s="51" t="e">
        <f>VLOOKUP(A190,Enforcements!$C$7:$E$12,3,0)</f>
        <v>#N/A</v>
      </c>
      <c r="AD190" s="206">
        <f t="shared" si="144"/>
        <v>828</v>
      </c>
      <c r="AE190" s="77" t="str">
        <f t="shared" si="122"/>
        <v>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 &amp; aws s3 cp s3://rtdc.mdm.uploadarchive.raw/RTDC4017/ "%USERPROFILE%\AppData\Local\Temp\OnboardLogs"\RTDC4017\2017-08-12 --exclude "*" --recursive --include "*20170812*" &amp; "%USERPROFILE%\Documents\GitHub\mrs-test-scripts\Headless Mode &amp; Sideloading\WalkAndUnGZ.bat" "%USERPROFILE%\AppData\Local\Temp\OnboardLogs"\RTDC4017\2017-08-12</v>
      </c>
      <c r="AF190" s="74" t="str">
        <f t="shared" si="123"/>
        <v>"C:\Program Files (x86)\AstroGrep\AstroGrep.exe" /e /r /s /spath="%USERPROFILE%\AppData\Local\Temp\OnboardLogs" /stypes="app*4017*20170811*" /stext=" 22:.+((SYSTEM_STATE.+slice.+state.+changed )|(ment ac)|(multiple cpu faults)|(system.+state.+changed )|(\[timeout)|(PRM\|1\|D)|(kpr)|(kdp)|(train st.+moving)|(\|lc)|(penalty))"</v>
      </c>
      <c r="AG190" s="209" t="str">
        <f t="shared" si="145"/>
        <v>NW</v>
      </c>
      <c r="AH190" s="78" t="str">
        <f t="shared" si="124"/>
        <v>"%USERPROFILE%\Documents\GitHub\eaglep3\Utilities\RefineRTDCRunTimes.py" --tripid 828-11 --locoid 4017 --swversion DE.1.0.9.0 --startMP 300:58651 --initTime 2017-08-11T16:06:49 --startdatetime 2017-08-11T16:09:24 --delay 1 --endMP 204:705 --enddatetime 2017-08-11T16:25:51 --enforcementcount 0 &gt;&gt;C:\Users\stu\Documents\GitHub\eaglep3-reporting\EC\2017-08-11-refined-times.txt</v>
      </c>
      <c r="AI190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{"issue":{"subject":"","project_id":79,"tracker_id":40,"status_id":1,"priority_id":2,"assigned_to_id":23,"start_date":"2017-08-11","description":"","custom_fields":[{"id":1,"name":"Subdivision","value":"NW"},{"id":4,"name":"Milepost","value":"0.0705"},{"id":17,"name":"Train ID","value":"828-11"},{"id":16,"name":"Locomotive ID","value":"4017"},{"id":130,"name":"Impact","value":""},{"id":150,"name":"Time of Event (Mountain Time)","value":"16:25:51"},{"id":151,"name":"Denver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126"/>
        <v>start /low /b %USERPROFILE%\Documents\GitHub\eaglep3\Utilities\DownloadLogsFromS3.py --loco 4017 --day 2017-08-11</v>
      </c>
      <c r="AN190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22:25:51"},{"id":29,"name":"Sharepoint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801</v>
      </c>
      <c r="B191" s="7">
        <v>4062</v>
      </c>
      <c r="C191" s="21" t="s">
        <v>198</v>
      </c>
      <c r="D191" s="21" t="s">
        <v>500</v>
      </c>
      <c r="E191" s="13">
        <v>42958.678969907407</v>
      </c>
      <c r="F191" s="13">
        <v>42958.694814814815</v>
      </c>
      <c r="G191" s="7">
        <v>1</v>
      </c>
      <c r="H191" s="21" t="s">
        <v>1031</v>
      </c>
      <c r="I191" s="13">
        <v>42958.704722222225</v>
      </c>
      <c r="J191" s="7">
        <v>0</v>
      </c>
      <c r="K191" s="89" t="str">
        <f t="shared" si="140"/>
        <v>4061/4062</v>
      </c>
      <c r="L191" s="21" t="str">
        <f>VLOOKUP(A191,'Trips&amp;Operators'!$C$1:$G$99999,5,FALSE)</f>
        <v>DELGADO DIANAH</v>
      </c>
      <c r="M191" s="6">
        <f t="shared" si="141"/>
        <v>9.9074074096279219E-3</v>
      </c>
      <c r="N191" s="7">
        <f t="shared" si="137"/>
        <v>14.266666669864208</v>
      </c>
      <c r="O191" s="7"/>
      <c r="P191" s="7"/>
      <c r="Q191" s="22"/>
      <c r="R191" s="170"/>
      <c r="S191" s="213">
        <f t="shared" si="138"/>
        <v>1</v>
      </c>
      <c r="T191" s="195" t="str">
        <f t="shared" si="142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121"/>
        <v>https://d0f6bd738d7f1b3e5a7ca70fe4ff75f0.us-east-1.aws.found.io/app/kibana#/discover/Steve-Slow-Train-Analysis-(2080s-and-2083s)?_g=(refreshInterval:(display:Off,pause:!f,section:0,value:0),time:(from:'2017-08-11T15:17:43-0600',mode:absolute,to:'2017-08-11T17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1" s="197" t="str">
        <f>IF(AA191&lt;VLOOKUP(AG191,Variables!$AC$3:$AD$8,2,FALSE),"Y","N")</f>
        <v>N</v>
      </c>
      <c r="X191" s="197">
        <f t="shared" si="146"/>
        <v>1</v>
      </c>
      <c r="Y191" s="197">
        <f t="shared" si="135"/>
        <v>9.5699999999999993E-2</v>
      </c>
      <c r="Z191" s="197">
        <f t="shared" si="147"/>
        <v>5.8948</v>
      </c>
      <c r="AA191" s="197">
        <f t="shared" si="143"/>
        <v>5.7991000000000001</v>
      </c>
      <c r="AB191" s="54" t="e">
        <f>VLOOKUP(A191,Enforcements!$C$7:$K$12,8,0)</f>
        <v>#N/A</v>
      </c>
      <c r="AC191" s="51" t="e">
        <f>VLOOKUP(A191,Enforcements!$C$7:$E$12,3,0)</f>
        <v>#N/A</v>
      </c>
      <c r="AD191" s="206">
        <f t="shared" si="144"/>
        <v>829</v>
      </c>
      <c r="AE191" s="77" t="str">
        <f t="shared" si="122"/>
        <v>aws s3 cp s3://rtdc.mdm.uploadarchive.raw/RTDC4062/ "%USERPROFILE%\AppData\Local\Temp\OnboardLogs"\RTDC4062\2017-08-11 --exclude "*" --recursive --include "*20170811*" &amp; "%USERPROFILE%\Documents\GitHub\mrs-test-scripts\Headless Mode &amp; Sideloading\WalkAndUnGZ.bat" "%USERPROFILE%\AppData\Local\Temp\OnboardLogs"\RTDC4062\2017-08-11 &amp; aws s3 cp s3://rtdc.mdm.uploadarchive.raw/RTDC4062/ "%USERPROFILE%\AppData\Local\Temp\OnboardLogs"\RTDC4062\2017-08-12 --exclude "*" --recursive --include "*20170812*" &amp; "%USERPROFILE%\Documents\GitHub\mrs-test-scripts\Headless Mode &amp; Sideloading\WalkAndUnGZ.bat" "%USERPROFILE%\AppData\Local\Temp\OnboardLogs"\RTDC4062\2017-08-12</v>
      </c>
      <c r="AF191" s="74" t="str">
        <f t="shared" si="123"/>
        <v>"C:\Program Files (x86)\AstroGrep\AstroGrep.exe" /e /r /s /spath="%USERPROFILE%\AppData\Local\Temp\OnboardLogs" /stypes="app*4062*20170811*" /stext=" 22:.+((SYSTEM_STATE.+slice.+state.+changed )|(ment ac)|(multiple cpu faults)|(system.+state.+changed )|(\[timeout)|(PRM\|1\|D)|(kpr)|(kdp)|(train st.+moving)|(\|lc)|(penalty))"</v>
      </c>
      <c r="AG191" s="209" t="str">
        <f t="shared" si="145"/>
        <v>NW</v>
      </c>
      <c r="AH191" s="78" t="str">
        <f t="shared" si="124"/>
        <v>"%USERPROFILE%\Documents\GitHub\eaglep3\Utilities\RefineRTDCRunTimes.py" --tripid 829-11 --locoid 4062 --swversion DE.1.0.9.0 --startMP 204:957 --initTime 2017-08-11T16:17:43 --startdatetime 2017-08-11T16:40:32 --delay 1 --endMP 300:58948 --enddatetime 2017-08-11T16:54:48 --enforcementcount 0 &gt;&gt;C:\Users\stu\Documents\GitHub\eaglep3-reporting\EC\2017-08-11-refined-times.txt</v>
      </c>
      <c r="AI191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{"issue":{"subject":"","project_id":79,"tracker_id":40,"status_id":1,"priority_id":2,"assigned_to_id":23,"start_date":"2017-08-11","description":"","custom_fields":[{"id":1,"name":"Subdivision","value":"NW"},{"id":4,"name":"Milepost","value":"5.8948"},{"id":17,"name":"Train ID","value":"829-11"},{"id":16,"name":"Locomotive ID","value":"4062"},{"id":130,"name":"Impact","value":""},{"id":150,"name":"Time of Event (Mountain Time)","value":"16:54:48"},{"id":151,"name":"Denver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126"/>
        <v>start /low /b %USERPROFILE%\Documents\GitHub\eaglep3\Utilities\DownloadLogsFromS3.py --loco 4062 --day 2017-08-11</v>
      </c>
      <c r="AN191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22:54:48"},{"id":29,"name":"Sharepoint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806</v>
      </c>
      <c r="B192" s="7">
        <v>4061</v>
      </c>
      <c r="C192" s="21" t="s">
        <v>198</v>
      </c>
      <c r="D192" s="21" t="s">
        <v>498</v>
      </c>
      <c r="E192" s="13">
        <v>42958.693437499998</v>
      </c>
      <c r="F192" s="13">
        <v>42958.694814814815</v>
      </c>
      <c r="G192" s="7">
        <v>1</v>
      </c>
      <c r="H192" s="21" t="s">
        <v>1073</v>
      </c>
      <c r="I192" s="13">
        <v>42958.704722222225</v>
      </c>
      <c r="J192" s="7">
        <v>0</v>
      </c>
      <c r="K192" s="89" t="str">
        <f t="shared" si="140"/>
        <v>4061/4062</v>
      </c>
      <c r="L192" s="21" t="str">
        <f>VLOOKUP(A192,'Trips&amp;Operators'!$C$1:$G$99999,5,FALSE)</f>
        <v>DELGADO DIANAH</v>
      </c>
      <c r="M192" s="6">
        <f t="shared" si="141"/>
        <v>9.9074074096279219E-3</v>
      </c>
      <c r="N192" s="7">
        <f t="shared" si="137"/>
        <v>14.266666669864208</v>
      </c>
      <c r="O192" s="7"/>
      <c r="P192" s="7"/>
      <c r="Q192" s="22"/>
      <c r="R192" s="170"/>
      <c r="S192" s="213">
        <f t="shared" si="138"/>
        <v>1</v>
      </c>
      <c r="T192" s="195" t="str">
        <f t="shared" si="142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121"/>
        <v>https://d0f6bd738d7f1b3e5a7ca70fe4ff75f0.us-east-1.aws.found.io/app/kibana#/discover/Steve-Slow-Train-Analysis-(2080s-and-2083s)?_g=(refreshInterval:(display:Off,pause:!f,section:0,value:0),time:(from:'2017-08-11T15:38:33-0600',mode:absolute,to:'2017-08-11T17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2" s="197" t="str">
        <f>IF(AA192&lt;VLOOKUP(AG192,Variables!$AC$3:$AD$8,2,FALSE),"Y","N")</f>
        <v>N</v>
      </c>
      <c r="X192" s="197">
        <f t="shared" si="146"/>
        <v>1</v>
      </c>
      <c r="Y192" s="197">
        <f t="shared" ref="Y192:Y223" si="148">RIGHT(D192,LEN(D192)-4)/10000</f>
        <v>5.8620999999999999</v>
      </c>
      <c r="Z192" s="197">
        <f t="shared" si="147"/>
        <v>1.1299999999999999E-2</v>
      </c>
      <c r="AA192" s="197">
        <f t="shared" si="143"/>
        <v>5.8507999999999996</v>
      </c>
      <c r="AB192" s="54" t="e">
        <f>VLOOKUP(A192,Enforcements!$C$7:$K$12,8,0)</f>
        <v>#N/A</v>
      </c>
      <c r="AC192" s="51" t="e">
        <f>VLOOKUP(A192,Enforcements!$C$7:$E$12,3,0)</f>
        <v>#N/A</v>
      </c>
      <c r="AD192" s="206">
        <f t="shared" si="144"/>
        <v>830</v>
      </c>
      <c r="AE192" s="77" t="str">
        <f t="shared" si="122"/>
        <v>aws s3 cp s3://rtdc.mdm.uploadarchive.raw/RTDC4061/ "%USERPROFILE%\AppData\Local\Temp\OnboardLogs"\RTDC4061\2017-08-11 --exclude "*" --recursive --include "*20170811*" &amp; "%USERPROFILE%\Documents\GitHub\mrs-test-scripts\Headless Mode &amp; Sideloading\WalkAndUnGZ.bat" "%USERPROFILE%\AppData\Local\Temp\OnboardLogs"\RTDC4061\2017-08-11 &amp; aws s3 cp s3://rtdc.mdm.uploadarchive.raw/RTDC4061/ "%USERPROFILE%\AppData\Local\Temp\OnboardLogs"\RTDC4061\2017-08-12 --exclude "*" --recursive --include "*20170812*" &amp; "%USERPROFILE%\Documents\GitHub\mrs-test-scripts\Headless Mode &amp; Sideloading\WalkAndUnGZ.bat" "%USERPROFILE%\AppData\Local\Temp\OnboardLogs"\RTDC4061\2017-08-12</v>
      </c>
      <c r="AF192" s="74" t="str">
        <f t="shared" si="123"/>
        <v>"C:\Program Files (x86)\AstroGrep\AstroGrep.exe" /e /r /s /spath="%USERPROFILE%\AppData\Local\Temp\OnboardLogs" /stypes="app*4061*20170811*" /stext=" 22:.+((SYSTEM_STATE.+slice.+state.+changed )|(ment ac)|(multiple cpu faults)|(system.+state.+changed )|(\[timeout)|(PRM\|1\|D)|(kpr)|(kdp)|(train st.+moving)|(\|lc)|(penalty))"</v>
      </c>
      <c r="AG192" s="209" t="str">
        <f t="shared" si="145"/>
        <v>NW</v>
      </c>
      <c r="AH192" s="78" t="str">
        <f t="shared" si="124"/>
        <v>"%USERPROFILE%\Documents\GitHub\eaglep3\Utilities\RefineRTDCRunTimes.py" --tripid 830-11 --locoid 4061 --swversion DE.1.0.9.0 --startMP 300:58621 --initTime 2017-08-11T16:38:33 --startdatetime 2017-08-11T16:40:32 --delay 1 --endMP 204:113 --enddatetime 2017-08-11T16:54:48 --enforcementcount 0 &gt;&gt;C:\Users\stu\Documents\GitHub\eaglep3-reporting\EC\2017-08-11-refined-times.txt</v>
      </c>
      <c r="AI192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{"issue":{"subject":"","project_id":79,"tracker_id":40,"status_id":1,"priority_id":2,"assigned_to_id":23,"start_date":"2017-08-11","description":"","custom_fields":[{"id":1,"name":"Subdivision","value":"NW"},{"id":4,"name":"Milepost","value":"0.0113"},{"id":17,"name":"Train ID","value":"830-11"},{"id":16,"name":"Locomotive ID","value":"4061"},{"id":130,"name":"Impact","value":""},{"id":150,"name":"Time of Event (Mountain Time)","value":"16:54:48"},{"id":151,"name":"Denver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126"/>
        <v>start /low /b %USERPROFILE%\Documents\GitHub\eaglep3\Utilities\DownloadLogsFromS3.py --loco 4061 --day 2017-08-11</v>
      </c>
      <c r="AN192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22:54:48"},{"id":29,"name":"Sharepoint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804</v>
      </c>
      <c r="B193" s="7">
        <v>4018</v>
      </c>
      <c r="C193" s="21" t="s">
        <v>198</v>
      </c>
      <c r="D193" s="21" t="s">
        <v>539</v>
      </c>
      <c r="E193" s="13">
        <v>42958.686122685183</v>
      </c>
      <c r="F193" s="13">
        <v>42958.702245370368</v>
      </c>
      <c r="G193" s="7">
        <v>1</v>
      </c>
      <c r="H193" s="21" t="s">
        <v>1022</v>
      </c>
      <c r="I193" s="13">
        <v>42958.711956018517</v>
      </c>
      <c r="J193" s="7">
        <v>0</v>
      </c>
      <c r="K193" s="89" t="str">
        <f t="shared" si="140"/>
        <v>4017/4018</v>
      </c>
      <c r="L193" s="21" t="str">
        <f>VLOOKUP(A193,'Trips&amp;Operators'!$C$1:$G$99999,5,FALSE)</f>
        <v>MCREYNOLDS KYLE</v>
      </c>
      <c r="M193" s="6">
        <f t="shared" si="141"/>
        <v>9.710648148029577E-3</v>
      </c>
      <c r="N193" s="7">
        <f t="shared" si="137"/>
        <v>13.983333333162591</v>
      </c>
      <c r="O193" s="7"/>
      <c r="P193" s="7"/>
      <c r="Q193" s="22"/>
      <c r="R193" s="170"/>
      <c r="S193" s="213">
        <f t="shared" si="138"/>
        <v>1</v>
      </c>
      <c r="T193" s="195" t="str">
        <f t="shared" si="142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121"/>
        <v>https://d0f6bd738d7f1b3e5a7ca70fe4ff75f0.us-east-1.aws.found.io/app/kibana#/discover/Steve-Slow-Train-Analysis-(2080s-and-2083s)?_g=(refreshInterval:(display:Off,pause:!f,section:0,value:0),time:(from:'2017-08-11T15:28:01-0600',mode:absolute,to:'2017-08-11T18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3" s="197" t="str">
        <f>IF(AA193&lt;VLOOKUP(AG193,Variables!$AC$3:$AD$8,2,FALSE),"Y","N")</f>
        <v>N</v>
      </c>
      <c r="X193" s="197">
        <f t="shared" si="146"/>
        <v>1</v>
      </c>
      <c r="Y193" s="197">
        <f t="shared" si="148"/>
        <v>9.7799999999999998E-2</v>
      </c>
      <c r="Z193" s="197">
        <f t="shared" si="147"/>
        <v>5.8993000000000002</v>
      </c>
      <c r="AA193" s="197">
        <f t="shared" si="143"/>
        <v>5.8014999999999999</v>
      </c>
      <c r="AB193" s="54" t="e">
        <f>VLOOKUP(A193,Enforcements!$C$7:$K$12,8,0)</f>
        <v>#N/A</v>
      </c>
      <c r="AC193" s="51" t="e">
        <f>VLOOKUP(A193,Enforcements!$C$7:$E$12,3,0)</f>
        <v>#N/A</v>
      </c>
      <c r="AD193" s="206">
        <f t="shared" si="144"/>
        <v>831</v>
      </c>
      <c r="AE193" s="77" t="str">
        <f t="shared" si="122"/>
        <v>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 &amp; aws s3 cp s3://rtdc.mdm.uploadarchive.raw/RTDC4018/ "%USERPROFILE%\AppData\Local\Temp\OnboardLogs"\RTDC4018\2017-08-12 --exclude "*" --recursive --include "*20170812*" &amp; "%USERPROFILE%\Documents\GitHub\mrs-test-scripts\Headless Mode &amp; Sideloading\WalkAndUnGZ.bat" "%USERPROFILE%\AppData\Local\Temp\OnboardLogs"\RTDC4018\2017-08-12</v>
      </c>
      <c r="AF193" s="74" t="str">
        <f t="shared" si="123"/>
        <v>"C:\Program Files (x86)\AstroGrep\AstroGrep.exe" /e /r /s /spath="%USERPROFILE%\AppData\Local\Temp\OnboardLogs" /stypes="app*4018*20170811*" /stext=" 23:.+((SYSTEM_STATE.+slice.+state.+changed )|(ment ac)|(multiple cpu faults)|(system.+state.+changed )|(\[timeout)|(PRM\|1\|D)|(kpr)|(kdp)|(train st.+moving)|(\|lc)|(penalty))"</v>
      </c>
      <c r="AG193" s="209" t="str">
        <f t="shared" si="145"/>
        <v>NW</v>
      </c>
      <c r="AH193" s="78" t="str">
        <f t="shared" si="124"/>
        <v>"%USERPROFILE%\Documents\GitHub\eaglep3\Utilities\RefineRTDCRunTimes.py" --tripid 831-11 --locoid 4018 --swversion DE.1.0.9.0 --startMP 204:978 --initTime 2017-08-11T16:28:01 --startdatetime 2017-08-11T16:51:14 --delay 1 --endMP 300:58993 --enddatetime 2017-08-11T17:05:13 --enforcementcount 0 &gt;&gt;C:\Users\stu\Documents\GitHub\eaglep3-reporting\EC\2017-08-11-refined-times.txt</v>
      </c>
      <c r="AI193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{"issue":{"subject":"","project_id":79,"tracker_id":40,"status_id":1,"priority_id":2,"assigned_to_id":23,"start_date":"2017-08-11","description":"","custom_fields":[{"id":1,"name":"Subdivision","value":"NW"},{"id":4,"name":"Milepost","value":"5.8993"},{"id":17,"name":"Train ID","value":"831-11"},{"id":16,"name":"Locomotive ID","value":"4018"},{"id":130,"name":"Impact","value":""},{"id":150,"name":"Time of Event (Mountain Time)","value":"17:05:13"},{"id":151,"name":"Denver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126"/>
        <v>start /low /b %USERPROFILE%\Documents\GitHub\eaglep3\Utilities\DownloadLogsFromS3.py --loco 4018 --day 2017-08-11</v>
      </c>
      <c r="AN193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23:05:13"},{"id":29,"name":"Sharepoint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631</v>
      </c>
      <c r="B194" s="7">
        <v>4017</v>
      </c>
      <c r="C194" s="21" t="s">
        <v>198</v>
      </c>
      <c r="D194" s="21" t="s">
        <v>1023</v>
      </c>
      <c r="E194" s="13">
        <v>42958.713518518518</v>
      </c>
      <c r="F194" s="13">
        <v>42958.715879629628</v>
      </c>
      <c r="G194" s="7">
        <v>1</v>
      </c>
      <c r="H194" s="21" t="s">
        <v>1074</v>
      </c>
      <c r="I194" s="13">
        <v>42958.724502314813</v>
      </c>
      <c r="J194" s="7">
        <v>0</v>
      </c>
      <c r="K194" s="89" t="str">
        <f t="shared" si="140"/>
        <v>4017/4018</v>
      </c>
      <c r="L194" s="21" t="str">
        <f>VLOOKUP(A194,'Trips&amp;Operators'!$C$1:$G$99999,5,FALSE)</f>
        <v>MCREYNOLDS KYLE</v>
      </c>
      <c r="M194" s="6">
        <f t="shared" si="141"/>
        <v>8.6226851854007691E-3</v>
      </c>
      <c r="N194" s="7">
        <f t="shared" si="137"/>
        <v>12.416666666977108</v>
      </c>
      <c r="O194" s="7"/>
      <c r="P194" s="7"/>
      <c r="Q194" s="22"/>
      <c r="R194" s="170"/>
      <c r="S194" s="213">
        <f t="shared" si="138"/>
        <v>1</v>
      </c>
      <c r="T194" s="195" t="str">
        <f t="shared" si="142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121"/>
        <v>https://d0f6bd738d7f1b3e5a7ca70fe4ff75f0.us-east-1.aws.found.io/app/kibana#/discover/Steve-Slow-Train-Analysis-(2080s-and-2083s)?_g=(refreshInterval:(display:Off,pause:!f,section:0,value:0),time:(from:'2017-08-11T16:07:28-0600',mode:absolute,to:'2017-08-11T18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4" s="197" t="str">
        <f>IF(AA194&lt;VLOOKUP(AG194,Variables!$AC$3:$AD$8,2,FALSE),"Y","N")</f>
        <v>Y</v>
      </c>
      <c r="X194" s="197">
        <f t="shared" si="146"/>
        <v>1</v>
      </c>
      <c r="Y194" s="197">
        <f t="shared" si="148"/>
        <v>5.8677000000000001</v>
      </c>
      <c r="Z194" s="197">
        <f t="shared" si="147"/>
        <v>0.44019999999999998</v>
      </c>
      <c r="AA194" s="197">
        <f t="shared" si="143"/>
        <v>5.4275000000000002</v>
      </c>
      <c r="AB194" s="54" t="e">
        <f>VLOOKUP(A194,Enforcements!$C$7:$K$12,8,0)</f>
        <v>#N/A</v>
      </c>
      <c r="AC194" s="51" t="e">
        <f>VLOOKUP(A194,Enforcements!$C$7:$E$12,3,0)</f>
        <v>#N/A</v>
      </c>
      <c r="AD194" s="206">
        <f t="shared" si="144"/>
        <v>832</v>
      </c>
      <c r="AE194" s="77" t="str">
        <f t="shared" si="122"/>
        <v>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 &amp; aws s3 cp s3://rtdc.mdm.uploadarchive.raw/RTDC4017/ "%USERPROFILE%\AppData\Local\Temp\OnboardLogs"\RTDC4017\2017-08-12 --exclude "*" --recursive --include "*20170812*" &amp; "%USERPROFILE%\Documents\GitHub\mrs-test-scripts\Headless Mode &amp; Sideloading\WalkAndUnGZ.bat" "%USERPROFILE%\AppData\Local\Temp\OnboardLogs"\RTDC4017\2017-08-12</v>
      </c>
      <c r="AF194" s="74" t="str">
        <f t="shared" si="123"/>
        <v>"C:\Program Files (x86)\AstroGrep\AstroGrep.exe" /e /r /s /spath="%USERPROFILE%\AppData\Local\Temp\OnboardLogs" /stypes="app*4017*20170811*" /stext=" 23:.+((SYSTEM_STATE.+slice.+state.+changed )|(ment ac)|(multiple cpu faults)|(system.+state.+changed )|(\[timeout)|(PRM\|1\|D)|(kpr)|(kdp)|(train st.+moving)|(\|lc)|(penalty))"</v>
      </c>
      <c r="AG194" s="209" t="str">
        <f t="shared" si="145"/>
        <v>NW</v>
      </c>
      <c r="AH194" s="78" t="str">
        <f t="shared" si="124"/>
        <v>"%USERPROFILE%\Documents\GitHub\eaglep3\Utilities\RefineRTDCRunTimes.py" --tripid 832-11 --locoid 4017 --swversion DE.1.0.9.0 --startMP 300:58677 --initTime 2017-08-11T17:07:28 --startdatetime 2017-08-11T17:10:52 --delay 1 --endMP 204:4402 --enddatetime 2017-08-11T17:23:17 --enforcementcount 0 &gt;&gt;C:\Users\stu\Documents\GitHub\eaglep3-reporting\EC\2017-08-11-refined-times.txt</v>
      </c>
      <c r="AI194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{"issue":{"subject":"","project_id":79,"tracker_id":40,"status_id":1,"priority_id":2,"assigned_to_id":23,"start_date":"2017-08-11","description":"","custom_fields":[{"id":1,"name":"Subdivision","value":"NW"},{"id":4,"name":"Milepost","value":"0.4402"},{"id":17,"name":"Train ID","value":"832-11"},{"id":16,"name":"Locomotive ID","value":"4017"},{"id":130,"name":"Impact","value":""},{"id":150,"name":"Time of Event (Mountain Time)","value":"17:23:17"},{"id":151,"name":"Denver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126"/>
        <v>start /low /b %USERPROFILE%\Documents\GitHub\eaglep3\Utilities\DownloadLogsFromS3.py --loco 4017 --day 2017-08-11</v>
      </c>
      <c r="AN194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23:23:17"},{"id":29,"name":"Sharepoint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810</v>
      </c>
      <c r="B195" s="7">
        <v>4016</v>
      </c>
      <c r="C195" s="21" t="s">
        <v>198</v>
      </c>
      <c r="D195" s="21" t="s">
        <v>1024</v>
      </c>
      <c r="E195" s="13">
        <v>42958.720034722224</v>
      </c>
      <c r="F195" s="13">
        <v>42958.723113425927</v>
      </c>
      <c r="G195" s="7">
        <v>1</v>
      </c>
      <c r="H195" s="21" t="s">
        <v>1025</v>
      </c>
      <c r="I195" s="13">
        <v>42958.732581018521</v>
      </c>
      <c r="J195" s="7">
        <v>0</v>
      </c>
      <c r="K195" s="89" t="str">
        <f t="shared" si="140"/>
        <v>4015/4016</v>
      </c>
      <c r="L195" s="21" t="str">
        <f>VLOOKUP(A195,'Trips&amp;Operators'!$C$1:$G$99999,5,FALSE)</f>
        <v>DELGADO DIANAH</v>
      </c>
      <c r="M195" s="6">
        <f t="shared" si="141"/>
        <v>9.4675925938645378E-3</v>
      </c>
      <c r="N195" s="7">
        <f t="shared" si="137"/>
        <v>13.633333335164934</v>
      </c>
      <c r="O195" s="7"/>
      <c r="P195" s="7"/>
      <c r="Q195" s="22"/>
      <c r="R195" s="170"/>
      <c r="S195" s="213">
        <f t="shared" si="138"/>
        <v>1</v>
      </c>
      <c r="T195" s="195" t="str">
        <f t="shared" si="142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121"/>
        <v>https://d0f6bd738d7f1b3e5a7ca70fe4ff75f0.us-east-1.aws.found.io/app/kibana#/discover/Steve-Slow-Train-Analysis-(2080s-and-2083s)?_g=(refreshInterval:(display:Off,pause:!f,section:0,value:0),time:(from:'2017-08-11T16:16:51-0600',mode:absolute,to:'2017-08-11T18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5" s="197" t="str">
        <f>IF(AA195&lt;VLOOKUP(AG195,Variables!$AC$3:$AD$8,2,FALSE),"Y","N")</f>
        <v>N</v>
      </c>
      <c r="X195" s="197">
        <f t="shared" si="146"/>
        <v>1</v>
      </c>
      <c r="Y195" s="197">
        <f t="shared" si="148"/>
        <v>9.01E-2</v>
      </c>
      <c r="Z195" s="197">
        <f t="shared" si="147"/>
        <v>5.8936999999999999</v>
      </c>
      <c r="AA195" s="197">
        <f t="shared" si="143"/>
        <v>5.8036000000000003</v>
      </c>
      <c r="AB195" s="54" t="e">
        <f>VLOOKUP(A195,Enforcements!$C$7:$K$12,8,0)</f>
        <v>#N/A</v>
      </c>
      <c r="AC195" s="51" t="e">
        <f>VLOOKUP(A195,Enforcements!$C$7:$E$12,3,0)</f>
        <v>#N/A</v>
      </c>
      <c r="AD195" s="206">
        <f t="shared" si="144"/>
        <v>833</v>
      </c>
      <c r="AE195" s="77" t="str">
        <f t="shared" si="122"/>
        <v>aws s3 cp s3://rtdc.mdm.uploadarchive.raw/RTDC4016/ "%USERPROFILE%\AppData\Local\Temp\OnboardLogs"\RTDC4016\2017-08-11 --exclude "*" --recursive --include "*20170811*" &amp; "%USERPROFILE%\Documents\GitHub\mrs-test-scripts\Headless Mode &amp; Sideloading\WalkAndUnGZ.bat" "%USERPROFILE%\AppData\Local\Temp\OnboardLogs"\RTDC4016\2017-08-11 &amp; 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</v>
      </c>
      <c r="AF195" s="74" t="str">
        <f t="shared" si="123"/>
        <v>"C:\Program Files (x86)\AstroGrep\AstroGrep.exe" /e /r /s /spath="%USERPROFILE%\AppData\Local\Temp\OnboardLogs" /stypes="app*4016*20170811*" /stext=" 23:.+((SYSTEM_STATE.+slice.+state.+changed )|(ment ac)|(multiple cpu faults)|(system.+state.+changed )|(\[timeout)|(PRM\|1\|D)|(kpr)|(kdp)|(train st.+moving)|(\|lc)|(penalty))"</v>
      </c>
      <c r="AG195" s="209" t="str">
        <f t="shared" si="145"/>
        <v>NW</v>
      </c>
      <c r="AH195" s="78" t="str">
        <f t="shared" si="124"/>
        <v>"%USERPROFILE%\Documents\GitHub\eaglep3\Utilities\RefineRTDCRunTimes.py" --tripid 833-11 --locoid 4016 --swversion DE.1.0.9.0 --startMP 204:901 --initTime 2017-08-11T17:16:51 --startdatetime 2017-08-11T17:21:17 --delay 1 --endMP 300:58937 --enddatetime 2017-08-11T17:34:55 --enforcementcount 0 &gt;&gt;C:\Users\stu\Documents\GitHub\eaglep3-reporting\EC\2017-08-11-refined-times.txt</v>
      </c>
      <c r="AI195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{"issue":{"subject":"","project_id":79,"tracker_id":40,"status_id":1,"priority_id":2,"assigned_to_id":23,"start_date":"2017-08-11","description":"","custom_fields":[{"id":1,"name":"Subdivision","value":"NW"},{"id":4,"name":"Milepost","value":"5.8937"},{"id":17,"name":"Train ID","value":"833-11"},{"id":16,"name":"Locomotive ID","value":"4016"},{"id":130,"name":"Impact","value":""},{"id":150,"name":"Time of Event (Mountain Time)","value":"17:34:55"},{"id":151,"name":"Denver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126"/>
        <v>start /low /b %USERPROFILE%\Documents\GitHub\eaglep3\Utilities\DownloadLogsFromS3.py --loco 4016 --day 2017-08-11</v>
      </c>
      <c r="AN195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23:34:55"},{"id":29,"name":"Sharepoint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814</v>
      </c>
      <c r="B196" s="7">
        <v>4015</v>
      </c>
      <c r="C196" s="21" t="s">
        <v>198</v>
      </c>
      <c r="D196" s="21" t="s">
        <v>498</v>
      </c>
      <c r="E196" s="13">
        <v>42958.733773148146</v>
      </c>
      <c r="F196" s="13">
        <v>42958.735879629632</v>
      </c>
      <c r="G196" s="7">
        <v>1</v>
      </c>
      <c r="H196" s="21" t="s">
        <v>1020</v>
      </c>
      <c r="I196" s="13">
        <v>42958.746678240743</v>
      </c>
      <c r="J196" s="7">
        <v>0</v>
      </c>
      <c r="K196" s="89" t="str">
        <f t="shared" si="140"/>
        <v>4015/4016</v>
      </c>
      <c r="L196" s="21" t="str">
        <f>VLOOKUP(A196,'Trips&amp;Operators'!$C$1:$G$99999,5,FALSE)</f>
        <v>DELGADO DIANAH</v>
      </c>
      <c r="M196" s="6">
        <f t="shared" si="141"/>
        <v>1.0798611110658385E-2</v>
      </c>
      <c r="N196" s="7">
        <f t="shared" si="137"/>
        <v>15.549999999348074</v>
      </c>
      <c r="O196" s="7"/>
      <c r="P196" s="7"/>
      <c r="Q196" s="22"/>
      <c r="R196" s="170"/>
      <c r="S196" s="213">
        <f t="shared" si="138"/>
        <v>1</v>
      </c>
      <c r="T196" s="195" t="str">
        <f t="shared" si="142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121"/>
        <v>https://d0f6bd738d7f1b3e5a7ca70fe4ff75f0.us-east-1.aws.found.io/app/kibana#/discover/Steve-Slow-Train-Analysis-(2080s-and-2083s)?_g=(refreshInterval:(display:Off,pause:!f,section:0,value:0),time:(from:'2017-08-11T16:36:38-0600',mode:absolute,to:'2017-08-11T18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6" s="197" t="str">
        <f>IF(AA196&lt;VLOOKUP(AG196,Variables!$AC$3:$AD$8,2,FALSE),"Y","N")</f>
        <v>N</v>
      </c>
      <c r="X196" s="197">
        <f t="shared" si="146"/>
        <v>1</v>
      </c>
      <c r="Y196" s="197">
        <f t="shared" si="148"/>
        <v>5.8620999999999999</v>
      </c>
      <c r="Z196" s="197">
        <f t="shared" si="147"/>
        <v>6.5199999999999994E-2</v>
      </c>
      <c r="AA196" s="197">
        <f t="shared" si="143"/>
        <v>5.7968999999999999</v>
      </c>
      <c r="AB196" s="54" t="e">
        <f>VLOOKUP(A196,Enforcements!$C$7:$K$12,8,0)</f>
        <v>#N/A</v>
      </c>
      <c r="AC196" s="51" t="e">
        <f>VLOOKUP(A196,Enforcements!$C$7:$E$12,3,0)</f>
        <v>#N/A</v>
      </c>
      <c r="AD196" s="206">
        <f t="shared" si="144"/>
        <v>834</v>
      </c>
      <c r="AE196" s="77" t="str">
        <f t="shared" si="122"/>
        <v>aws s3 cp s3://rtdc.mdm.uploadarchive.raw/RTDC4015/ "%USERPROFILE%\AppData\Local\Temp\OnboardLogs"\RTDC4015\2017-08-11 --exclude "*" --recursive --include "*20170811*" &amp; "%USERPROFILE%\Documents\GitHub\mrs-test-scripts\Headless Mode &amp; Sideloading\WalkAndUnGZ.bat" "%USERPROFILE%\AppData\Local\Temp\OnboardLogs"\RTDC4015\2017-08-11 &amp; 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</v>
      </c>
      <c r="AF196" s="74" t="str">
        <f t="shared" si="123"/>
        <v>"C:\Program Files (x86)\AstroGrep\AstroGrep.exe" /e /r /s /spath="%USERPROFILE%\AppData\Local\Temp\OnboardLogs" /stypes="app*4015*20170811*" /stext=" 23:.+((SYSTEM_STATE.+slice.+state.+changed )|(ment ac)|(multiple cpu faults)|(system.+state.+changed )|(\[timeout)|(PRM\|1\|D)|(kpr)|(kdp)|(train st.+moving)|(\|lc)|(penalty))"</v>
      </c>
      <c r="AG196" s="209" t="str">
        <f t="shared" si="145"/>
        <v>NW</v>
      </c>
      <c r="AH196" s="78" t="str">
        <f t="shared" si="124"/>
        <v>"%USERPROFILE%\Documents\GitHub\eaglep3\Utilities\RefineRTDCRunTimes.py" --tripid 834-11 --locoid 4015 --swversion DE.1.0.9.0 --startMP 300:58621 --initTime 2017-08-11T17:36:38 --startdatetime 2017-08-11T17:39:40 --delay 1 --endMP 204:652 --enddatetime 2017-08-11T17:55:13 --enforcementcount 0 &gt;&gt;C:\Users\stu\Documents\GitHub\eaglep3-reporting\EC\2017-08-11-refined-times.txt</v>
      </c>
      <c r="AI196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{"issue":{"subject":"","project_id":79,"tracker_id":40,"status_id":1,"priority_id":2,"assigned_to_id":23,"start_date":"2017-08-11","description":"","custom_fields":[{"id":1,"name":"Subdivision","value":"NW"},{"id":4,"name":"Milepost","value":"0.0652"},{"id":17,"name":"Train ID","value":"834-11"},{"id":16,"name":"Locomotive ID","value":"4015"},{"id":130,"name":"Impact","value":""},{"id":150,"name":"Time of Event (Mountain Time)","value":"17:55:13"},{"id":151,"name":"Denver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126"/>
        <v>start /low /b %USERPROFILE%\Documents\GitHub\eaglep3\Utilities\DownloadLogsFromS3.py --loco 4015 --day 2017-08-11</v>
      </c>
      <c r="AN196" s="151" t="str">
        <f t="shared" si="12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23:55:13"},{"id":29,"name":"Sharepoint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812</v>
      </c>
      <c r="B197" s="7">
        <v>4018</v>
      </c>
      <c r="C197" s="21" t="s">
        <v>198</v>
      </c>
      <c r="D197" s="21" t="s">
        <v>1026</v>
      </c>
      <c r="E197" s="13">
        <v>42958.728750000002</v>
      </c>
      <c r="F197" s="13">
        <v>42958.744004629632</v>
      </c>
      <c r="G197" s="7">
        <v>1</v>
      </c>
      <c r="H197" s="21" t="s">
        <v>1031</v>
      </c>
      <c r="I197" s="13">
        <v>42958.753530092596</v>
      </c>
      <c r="J197" s="7">
        <v>0</v>
      </c>
      <c r="K197" s="89" t="str">
        <f t="shared" si="140"/>
        <v>4017/4018</v>
      </c>
      <c r="L197" s="21" t="str">
        <f>VLOOKUP(A197,'Trips&amp;Operators'!$C$1:$G$99999,5,FALSE)</f>
        <v>MCREYNOLDS KYLE</v>
      </c>
      <c r="M197" s="6">
        <f t="shared" si="141"/>
        <v>9.5254629632108845E-3</v>
      </c>
      <c r="N197" s="7">
        <f t="shared" si="137"/>
        <v>13.716666667023674</v>
      </c>
      <c r="O197" s="7"/>
      <c r="P197" s="7"/>
      <c r="Q197" s="22"/>
      <c r="R197" s="170"/>
      <c r="S197" s="213">
        <f t="shared" si="138"/>
        <v>1</v>
      </c>
      <c r="T197" s="195" t="str">
        <f t="shared" si="142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121"/>
        <v>https://d0f6bd738d7f1b3e5a7ca70fe4ff75f0.us-east-1.aws.found.io/app/kibana#/discover/Steve-Slow-Train-Analysis-(2080s-and-2083s)?_g=(refreshInterval:(display:Off,pause:!f,section:0,value:0),time:(from:'2017-08-11T16:29:24-0600',mode:absolute,to:'2017-08-11T19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7" s="197" t="str">
        <f>IF(AA197&lt;VLOOKUP(AG197,Variables!$AC$3:$AD$8,2,FALSE),"Y","N")</f>
        <v>N</v>
      </c>
      <c r="X197" s="197">
        <f t="shared" si="146"/>
        <v>1</v>
      </c>
      <c r="Y197" s="197">
        <f t="shared" si="148"/>
        <v>9.5799999999999996E-2</v>
      </c>
      <c r="Z197" s="197">
        <f t="shared" si="147"/>
        <v>5.8948</v>
      </c>
      <c r="AA197" s="197">
        <f t="shared" si="143"/>
        <v>5.7990000000000004</v>
      </c>
      <c r="AB197" s="54" t="e">
        <f>VLOOKUP(A197,Enforcements!$C$7:$K$12,8,0)</f>
        <v>#N/A</v>
      </c>
      <c r="AC197" s="51" t="e">
        <f>VLOOKUP(A197,Enforcements!$C$7:$E$12,3,0)</f>
        <v>#N/A</v>
      </c>
      <c r="AD197" s="206">
        <f t="shared" si="144"/>
        <v>835</v>
      </c>
      <c r="AE197" s="77" t="str">
        <f t="shared" si="122"/>
        <v>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 &amp; aws s3 cp s3://rtdc.mdm.uploadarchive.raw/RTDC4018/ "%USERPROFILE%\AppData\Local\Temp\OnboardLogs"\RTDC4018\2017-08-12 --exclude "*" --recursive --include "*20170812*" &amp; "%USERPROFILE%\Documents\GitHub\mrs-test-scripts\Headless Mode &amp; Sideloading\WalkAndUnGZ.bat" "%USERPROFILE%\AppData\Local\Temp\OnboardLogs"\RTDC4018\2017-08-12</v>
      </c>
      <c r="AF197" s="74" t="str">
        <f t="shared" si="123"/>
        <v>"C:\Program Files (x86)\AstroGrep\AstroGrep.exe" /e /r /s /spath="%USERPROFILE%\AppData\Local\Temp\OnboardLogs" /stypes="app*4018*20170812*" /stext=" 00:.+((SYSTEM_STATE.+slice.+state.+changed )|(ment ac)|(multiple cpu faults)|(system.+state.+changed )|(\[timeout)|(PRM\|1\|D)|(kpr)|(kdp)|(train st.+moving)|(\|lc)|(penalty))"</v>
      </c>
      <c r="AG197" s="209" t="str">
        <f t="shared" si="145"/>
        <v>NW</v>
      </c>
      <c r="AH197" s="78" t="str">
        <f t="shared" si="124"/>
        <v>"%USERPROFILE%\Documents\GitHub\eaglep3\Utilities\RefineRTDCRunTimes.py" --tripid 835-11 --locoid 4018 --swversion DE.1.0.9.0 --startMP 204:958 --initTime 2017-08-11T17:29:24 --startdatetime 2017-08-11T17:51:22 --delay 1 --endMP 300:58948 --enddatetime 2017-08-11T18:05:05 --enforcementcount 0 &gt;&gt;C:\Users\stu\Documents\GitHub\eaglep3-reporting\EC\2017-08-11-refined-times.txt</v>
      </c>
      <c r="AI197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{"issue":{"subject":"","project_id":79,"tracker_id":40,"status_id":1,"priority_id":2,"assigned_to_id":23,"start_date":"2017-08-11","description":"","custom_fields":[{"id":1,"name":"Subdivision","value":"NW"},{"id":4,"name":"Milepost","value":"5.8948"},{"id":17,"name":"Train ID","value":"835-11"},{"id":16,"name":"Locomotive ID","value":"4018"},{"id":130,"name":"Impact","value":""},{"id":150,"name":"Time of Event (Mountain Time)","value":"18:05:05"},{"id":151,"name":"Denver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126"/>
        <v>start /low /b %USERPROFILE%\Documents\GitHub\eaglep3\Utilities\DownloadLogsFromS3.py --loco 4018 --day 2017-08-11</v>
      </c>
      <c r="AN197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00:05:05"},{"id":29,"name":"Sharepoint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821</v>
      </c>
      <c r="B198" s="7">
        <v>4017</v>
      </c>
      <c r="C198" s="21" t="s">
        <v>198</v>
      </c>
      <c r="D198" s="21" t="s">
        <v>591</v>
      </c>
      <c r="E198" s="13">
        <v>42958.754872685182</v>
      </c>
      <c r="F198" s="13">
        <v>42958.75677083333</v>
      </c>
      <c r="G198" s="7">
        <v>1</v>
      </c>
      <c r="H198" s="21" t="s">
        <v>1075</v>
      </c>
      <c r="I198" s="13">
        <v>42958.76767361111</v>
      </c>
      <c r="J198" s="7">
        <v>0</v>
      </c>
      <c r="K198" s="89" t="str">
        <f t="shared" si="140"/>
        <v>4017/4018</v>
      </c>
      <c r="L198" s="21" t="str">
        <f>VLOOKUP(A198,'Trips&amp;Operators'!$C$1:$G$99999,5,FALSE)</f>
        <v>MCREYNOLDS KYLE</v>
      </c>
      <c r="M198" s="6">
        <f t="shared" si="141"/>
        <v>1.0902777779847383E-2</v>
      </c>
      <c r="N198" s="7">
        <f t="shared" si="137"/>
        <v>15.700000002980232</v>
      </c>
      <c r="O198" s="7"/>
      <c r="P198" s="7"/>
      <c r="Q198" s="22"/>
      <c r="R198" s="170"/>
      <c r="S198" s="213">
        <f t="shared" si="138"/>
        <v>1</v>
      </c>
      <c r="T198" s="195" t="str">
        <f t="shared" si="142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121"/>
        <v>https://d0f6bd738d7f1b3e5a7ca70fe4ff75f0.us-east-1.aws.found.io/app/kibana#/discover/Steve-Slow-Train-Analysis-(2080s-and-2083s)?_g=(refreshInterval:(display:Off,pause:!f,section:0,value:0),time:(from:'2017-08-11T17:07:01-0600',mode:absolute,to:'2017-08-11T19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8" s="197" t="str">
        <f>IF(AA198&lt;VLOOKUP(AG198,Variables!$AC$3:$AD$8,2,FALSE),"Y","N")</f>
        <v>N</v>
      </c>
      <c r="X198" s="197">
        <f t="shared" si="146"/>
        <v>1</v>
      </c>
      <c r="Y198" s="197">
        <f t="shared" si="148"/>
        <v>5.8630000000000004</v>
      </c>
      <c r="Z198" s="197">
        <f t="shared" si="147"/>
        <v>7.0300000000000001E-2</v>
      </c>
      <c r="AA198" s="197">
        <f t="shared" si="143"/>
        <v>5.7927000000000008</v>
      </c>
      <c r="AB198" s="54" t="e">
        <f>VLOOKUP(A198,Enforcements!$C$7:$K$12,8,0)</f>
        <v>#N/A</v>
      </c>
      <c r="AC198" s="51" t="e">
        <f>VLOOKUP(A198,Enforcements!$C$7:$E$12,3,0)</f>
        <v>#N/A</v>
      </c>
      <c r="AD198" s="206">
        <f t="shared" si="144"/>
        <v>836</v>
      </c>
      <c r="AE198" s="77" t="str">
        <f t="shared" si="122"/>
        <v>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 &amp; aws s3 cp s3://rtdc.mdm.uploadarchive.raw/RTDC4017/ "%USERPROFILE%\AppData\Local\Temp\OnboardLogs"\RTDC4017\2017-08-12 --exclude "*" --recursive --include "*20170812*" &amp; "%USERPROFILE%\Documents\GitHub\mrs-test-scripts\Headless Mode &amp; Sideloading\WalkAndUnGZ.bat" "%USERPROFILE%\AppData\Local\Temp\OnboardLogs"\RTDC4017\2017-08-12</v>
      </c>
      <c r="AF198" s="74" t="str">
        <f t="shared" si="123"/>
        <v>"C:\Program Files (x86)\AstroGrep\AstroGrep.exe" /e /r /s /spath="%USERPROFILE%\AppData\Local\Temp\OnboardLogs" /stypes="app*4017*20170812*" /stext=" 00:.+((SYSTEM_STATE.+slice.+state.+changed )|(ment ac)|(multiple cpu faults)|(system.+state.+changed )|(\[timeout)|(PRM\|1\|D)|(kpr)|(kdp)|(train st.+moving)|(\|lc)|(penalty))"</v>
      </c>
      <c r="AG198" s="209" t="str">
        <f t="shared" si="145"/>
        <v>NW</v>
      </c>
      <c r="AH198" s="78" t="str">
        <f t="shared" si="124"/>
        <v>"%USERPROFILE%\Documents\GitHub\eaglep3\Utilities\RefineRTDCRunTimes.py" --tripid 836-11 --locoid 4017 --swversion DE.1.0.9.0 --startMP 300:58630 --initTime 2017-08-11T18:07:01 --startdatetime 2017-08-11T18:09:45 --delay 1 --endMP 204:703 --enddatetime 2017-08-11T18:25:27 --enforcementcount 0 &gt;&gt;C:\Users\stu\Documents\GitHub\eaglep3-reporting\EC\2017-08-11-refined-times.txt</v>
      </c>
      <c r="AI198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{"issue":{"subject":"","project_id":79,"tracker_id":40,"status_id":1,"priority_id":2,"assigned_to_id":23,"start_date":"2017-08-11","description":"","custom_fields":[{"id":1,"name":"Subdivision","value":"NW"},{"id":4,"name":"Milepost","value":"0.0703"},{"id":17,"name":"Train ID","value":"836-11"},{"id":16,"name":"Locomotive ID","value":"4017"},{"id":130,"name":"Impact","value":""},{"id":150,"name":"Time of Event (Mountain Time)","value":"18:25:27"},{"id":151,"name":"Denver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126"/>
        <v>start /low /b %USERPROFILE%\Documents\GitHub\eaglep3\Utilities\DownloadLogsFromS3.py --loco 4017 --day 2017-08-11</v>
      </c>
      <c r="AN198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00:25:27"},{"id":29,"name":"Sharepoint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819</v>
      </c>
      <c r="B199" s="7">
        <v>4016</v>
      </c>
      <c r="C199" s="21" t="s">
        <v>198</v>
      </c>
      <c r="D199" s="21" t="s">
        <v>1027</v>
      </c>
      <c r="E199" s="13">
        <v>42958.749340277776</v>
      </c>
      <c r="F199" s="13">
        <v>42958.765046296299</v>
      </c>
      <c r="G199" s="7">
        <v>18</v>
      </c>
      <c r="H199" s="21" t="s">
        <v>1028</v>
      </c>
      <c r="I199" s="13">
        <v>42958.774386574078</v>
      </c>
      <c r="J199" s="7">
        <v>0</v>
      </c>
      <c r="K199" s="89" t="str">
        <f t="shared" si="140"/>
        <v>4015/4016</v>
      </c>
      <c r="L199" s="21" t="str">
        <f>VLOOKUP(A199,'Trips&amp;Operators'!$C$1:$G$99999,5,FALSE)</f>
        <v>DELGADO DIANAH</v>
      </c>
      <c r="M199" s="6">
        <f t="shared" si="141"/>
        <v>9.340277778392192E-3</v>
      </c>
      <c r="N199" s="7">
        <f t="shared" si="137"/>
        <v>13.450000000884756</v>
      </c>
      <c r="O199" s="7"/>
      <c r="P199" s="7"/>
      <c r="Q199" s="22"/>
      <c r="R199" s="170"/>
      <c r="S199" s="213">
        <f t="shared" si="138"/>
        <v>1</v>
      </c>
      <c r="T199" s="195" t="str">
        <f t="shared" si="142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121"/>
        <v>https://d0f6bd738d7f1b3e5a7ca70fe4ff75f0.us-east-1.aws.found.io/app/kibana#/discover/Steve-Slow-Train-Analysis-(2080s-and-2083s)?_g=(refreshInterval:(display:Off,pause:!f,section:0,value:0),time:(from:'2017-08-11T16:59:03-0600',mode:absolute,to:'2017-08-11T19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9" s="197" t="str">
        <f>IF(AA199&lt;VLOOKUP(AG199,Variables!$AC$3:$AD$8,2,FALSE),"Y","N")</f>
        <v>N</v>
      </c>
      <c r="X199" s="197">
        <f t="shared" si="146"/>
        <v>1</v>
      </c>
      <c r="Y199" s="197">
        <f t="shared" si="148"/>
        <v>9.4100000000000003E-2</v>
      </c>
      <c r="Z199" s="197">
        <f t="shared" si="147"/>
        <v>5.8945999999999996</v>
      </c>
      <c r="AA199" s="197">
        <f t="shared" si="143"/>
        <v>5.8004999999999995</v>
      </c>
      <c r="AB199" s="54" t="e">
        <f>VLOOKUP(A199,Enforcements!$C$7:$K$12,8,0)</f>
        <v>#N/A</v>
      </c>
      <c r="AC199" s="51" t="e">
        <f>VLOOKUP(A199,Enforcements!$C$7:$E$12,3,0)</f>
        <v>#N/A</v>
      </c>
      <c r="AD199" s="206">
        <f t="shared" si="144"/>
        <v>837</v>
      </c>
      <c r="AE199" s="77" t="str">
        <f t="shared" si="122"/>
        <v>aws s3 cp s3://rtdc.mdm.uploadarchive.raw/RTDC4016/ "%USERPROFILE%\AppData\Local\Temp\OnboardLogs"\RTDC4016\2017-08-11 --exclude "*" --recursive --include "*20170811*" &amp; "%USERPROFILE%\Documents\GitHub\mrs-test-scripts\Headless Mode &amp; Sideloading\WalkAndUnGZ.bat" "%USERPROFILE%\AppData\Local\Temp\OnboardLogs"\RTDC4016\2017-08-11 &amp; 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</v>
      </c>
      <c r="AF199" s="74" t="str">
        <f t="shared" si="123"/>
        <v>"C:\Program Files (x86)\AstroGrep\AstroGrep.exe" /e /r /s /spath="%USERPROFILE%\AppData\Local\Temp\OnboardLogs" /stypes="app*4016*20170812*" /stext=" 00:.+((SYSTEM_STATE.+slice.+state.+changed )|(ment ac)|(multiple cpu faults)|(system.+state.+changed )|(\[timeout)|(PRM\|1\|D)|(kpr)|(kdp)|(train st.+moving)|(\|lc)|(penalty))"</v>
      </c>
      <c r="AG199" s="209" t="str">
        <f t="shared" si="145"/>
        <v>NW</v>
      </c>
      <c r="AH199" s="78" t="str">
        <f t="shared" si="124"/>
        <v>"%USERPROFILE%\Documents\GitHub\eaglep3\Utilities\RefineRTDCRunTimes.py" --tripid 837-11 --locoid 4016 --swversion DE.1.0.9.0 --startMP 204:941 --initTime 2017-08-11T17:59:03 --startdatetime 2017-08-11T18:21:40 --delay 18 --endMP 300:58946 --enddatetime 2017-08-11T18:35:07 --enforcementcount 0 &gt;&gt;C:\Users\stu\Documents\GitHub\eaglep3-reporting\EC\2017-08-11-refined-times.txt</v>
      </c>
      <c r="AI199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{"issue":{"subject":"","project_id":79,"tracker_id":40,"status_id":1,"priority_id":2,"assigned_to_id":23,"start_date":"2017-08-11","description":"","custom_fields":[{"id":1,"name":"Subdivision","value":"NW"},{"id":4,"name":"Milepost","value":"5.8946"},{"id":17,"name":"Train ID","value":"837-11"},{"id":16,"name":"Locomotive ID","value":"4016"},{"id":130,"name":"Impact","value":""},{"id":150,"name":"Time of Event (Mountain Time)","value":"18:35:07"},{"id":151,"name":"Denver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126"/>
        <v>start /low /b %USERPROFILE%\Documents\GitHub\eaglep3\Utilities\DownloadLogsFromS3.py --loco 4016 --day 2017-08-11</v>
      </c>
      <c r="AN199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00:35:07"},{"id":29,"name":"Sharepoint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826</v>
      </c>
      <c r="B200" s="7">
        <v>4015</v>
      </c>
      <c r="C200" s="21" t="s">
        <v>198</v>
      </c>
      <c r="D200" s="21" t="s">
        <v>1029</v>
      </c>
      <c r="E200" s="13">
        <v>42958.775706018518</v>
      </c>
      <c r="F200" s="13">
        <v>42958.777569444443</v>
      </c>
      <c r="G200" s="7">
        <v>1</v>
      </c>
      <c r="H200" s="21" t="s">
        <v>588</v>
      </c>
      <c r="I200" s="13">
        <v>42958.789895833332</v>
      </c>
      <c r="J200" s="7">
        <v>0</v>
      </c>
      <c r="K200" s="89" t="str">
        <f t="shared" si="140"/>
        <v>4015/4016</v>
      </c>
      <c r="L200" s="21" t="str">
        <f>VLOOKUP(A200,'Trips&amp;Operators'!$C$1:$G$99999,5,FALSE)</f>
        <v>DELGADO DIANAH</v>
      </c>
      <c r="M200" s="6">
        <f t="shared" si="141"/>
        <v>1.2326388889050577E-2</v>
      </c>
      <c r="N200" s="7">
        <f t="shared" si="137"/>
        <v>17.750000000232831</v>
      </c>
      <c r="O200" s="7"/>
      <c r="P200" s="7"/>
      <c r="Q200" s="22"/>
      <c r="R200" s="170"/>
      <c r="S200" s="213">
        <f t="shared" si="138"/>
        <v>1</v>
      </c>
      <c r="T200" s="195" t="str">
        <f t="shared" si="142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121"/>
        <v>https://d0f6bd738d7f1b3e5a7ca70fe4ff75f0.us-east-1.aws.found.io/app/kibana#/discover/Steve-Slow-Train-Analysis-(2080s-and-2083s)?_g=(refreshInterval:(display:Off,pause:!f,section:0,value:0),time:(from:'2017-08-11T17:37:01-0600',mode:absolute,to:'2017-08-11T19:57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0" s="197" t="str">
        <f>IF(AA200&lt;VLOOKUP(AG200,Variables!$AC$3:$AD$8,2,FALSE),"Y","N")</f>
        <v>N</v>
      </c>
      <c r="X200" s="197">
        <f t="shared" si="146"/>
        <v>1</v>
      </c>
      <c r="Y200" s="197">
        <f t="shared" si="148"/>
        <v>5.8628</v>
      </c>
      <c r="Z200" s="197">
        <f t="shared" si="147"/>
        <v>6.4199999999999993E-2</v>
      </c>
      <c r="AA200" s="197">
        <f t="shared" si="143"/>
        <v>5.7986000000000004</v>
      </c>
      <c r="AB200" s="54" t="e">
        <f>VLOOKUP(A200,Enforcements!$C$7:$K$12,8,0)</f>
        <v>#N/A</v>
      </c>
      <c r="AC200" s="51" t="e">
        <f>VLOOKUP(A200,Enforcements!$C$7:$E$12,3,0)</f>
        <v>#N/A</v>
      </c>
      <c r="AD200" s="206">
        <f t="shared" si="144"/>
        <v>838</v>
      </c>
      <c r="AE200" s="77" t="str">
        <f t="shared" si="122"/>
        <v>aws s3 cp s3://rtdc.mdm.uploadarchive.raw/RTDC4015/ "%USERPROFILE%\AppData\Local\Temp\OnboardLogs"\RTDC4015\2017-08-11 --exclude "*" --recursive --include "*20170811*" &amp; "%USERPROFILE%\Documents\GitHub\mrs-test-scripts\Headless Mode &amp; Sideloading\WalkAndUnGZ.bat" "%USERPROFILE%\AppData\Local\Temp\OnboardLogs"\RTDC4015\2017-08-11 &amp; 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</v>
      </c>
      <c r="AF200" s="74" t="str">
        <f t="shared" si="123"/>
        <v>"C:\Program Files (x86)\AstroGrep\AstroGrep.exe" /e /r /s /spath="%USERPROFILE%\AppData\Local\Temp\OnboardLogs" /stypes="app*4015*20170812*" /stext=" 00:.+((SYSTEM_STATE.+slice.+state.+changed )|(ment ac)|(multiple cpu faults)|(system.+state.+changed )|(\[timeout)|(PRM\|1\|D)|(kpr)|(kdp)|(train st.+moving)|(\|lc)|(penalty))"</v>
      </c>
      <c r="AG200" s="209" t="str">
        <f t="shared" si="145"/>
        <v>NW</v>
      </c>
      <c r="AH200" s="78" t="str">
        <f t="shared" si="124"/>
        <v>"%USERPROFILE%\Documents\GitHub\eaglep3\Utilities\RefineRTDCRunTimes.py" --tripid 838-11 --locoid 4015 --swversion DE.1.0.9.0 --startMP 300:58628 --initTime 2017-08-11T18:37:01 --startdatetime 2017-08-11T18:39:42 --delay 1 --endMP 204:642 --enddatetime 2017-08-11T18:57:27 --enforcementcount 0 &gt;&gt;C:\Users\stu\Documents\GitHub\eaglep3-reporting\EC\2017-08-11-refined-times.txt</v>
      </c>
      <c r="AI200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{"issue":{"subject":"","project_id":79,"tracker_id":40,"status_id":1,"priority_id":2,"assigned_to_id":23,"start_date":"2017-08-11","description":"","custom_fields":[{"id":1,"name":"Subdivision","value":"NW"},{"id":4,"name":"Milepost","value":"0.0642"},{"id":17,"name":"Train ID","value":"838-11"},{"id":16,"name":"Locomotive ID","value":"4015"},{"id":130,"name":"Impact","value":""},{"id":150,"name":"Time of Event (Mountain Time)","value":"18:57:27"},{"id":151,"name":"Denver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126"/>
        <v>start /low /b %USERPROFILE%\Documents\GitHub\eaglep3\Utilities\DownloadLogsFromS3.py --loco 4015 --day 2017-08-11</v>
      </c>
      <c r="AN200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00:57:27"},{"id":29,"name":"Sharepoint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825</v>
      </c>
      <c r="B201" s="7">
        <v>4018</v>
      </c>
      <c r="C201" s="21" t="s">
        <v>198</v>
      </c>
      <c r="D201" s="21" t="s">
        <v>1030</v>
      </c>
      <c r="E201" s="13">
        <v>42958.768877314818</v>
      </c>
      <c r="F201" s="13">
        <v>42958.785682870373</v>
      </c>
      <c r="G201" s="7">
        <v>1</v>
      </c>
      <c r="H201" s="21" t="s">
        <v>1031</v>
      </c>
      <c r="I201" s="13">
        <v>42958.795393518521</v>
      </c>
      <c r="J201" s="7">
        <v>0</v>
      </c>
      <c r="K201" s="89" t="str">
        <f t="shared" si="140"/>
        <v>4017/4018</v>
      </c>
      <c r="L201" s="21" t="str">
        <f>VLOOKUP(A201,'Trips&amp;Operators'!$C$1:$G$99999,5,FALSE)</f>
        <v>MCREYNOLDS KYLE</v>
      </c>
      <c r="M201" s="6">
        <f t="shared" si="141"/>
        <v>9.710648148029577E-3</v>
      </c>
      <c r="N201" s="7">
        <f t="shared" si="137"/>
        <v>13.983333333162591</v>
      </c>
      <c r="O201" s="7"/>
      <c r="P201" s="7"/>
      <c r="Q201" s="22"/>
      <c r="R201" s="170"/>
      <c r="S201" s="213">
        <f t="shared" si="138"/>
        <v>1</v>
      </c>
      <c r="T201" s="195" t="str">
        <f t="shared" si="142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121"/>
        <v>https://d0f6bd738d7f1b3e5a7ca70fe4ff75f0.us-east-1.aws.found.io/app/kibana#/discover/Steve-Slow-Train-Analysis-(2080s-and-2083s)?_g=(refreshInterval:(display:Off,pause:!f,section:0,value:0),time:(from:'2017-08-11T17:27:11-0600',mode:absolute,to:'2017-08-11T20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1" s="197" t="str">
        <f>IF(AA201&lt;VLOOKUP(AG201,Variables!$AC$3:$AD$8,2,FALSE),"Y","N")</f>
        <v>N</v>
      </c>
      <c r="X201" s="197">
        <f t="shared" si="146"/>
        <v>1</v>
      </c>
      <c r="Y201" s="197">
        <f t="shared" si="148"/>
        <v>9.9699999999999997E-2</v>
      </c>
      <c r="Z201" s="197">
        <f t="shared" si="147"/>
        <v>5.8948</v>
      </c>
      <c r="AA201" s="197">
        <f t="shared" si="143"/>
        <v>5.7950999999999997</v>
      </c>
      <c r="AB201" s="54" t="e">
        <f>VLOOKUP(A201,Enforcements!$C$7:$K$12,8,0)</f>
        <v>#N/A</v>
      </c>
      <c r="AC201" s="51" t="e">
        <f>VLOOKUP(A201,Enforcements!$C$7:$E$12,3,0)</f>
        <v>#N/A</v>
      </c>
      <c r="AD201" s="206">
        <f t="shared" si="144"/>
        <v>839</v>
      </c>
      <c r="AE201" s="77" t="str">
        <f t="shared" si="122"/>
        <v>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 &amp; aws s3 cp s3://rtdc.mdm.uploadarchive.raw/RTDC4018/ "%USERPROFILE%\AppData\Local\Temp\OnboardLogs"\RTDC4018\2017-08-12 --exclude "*" --recursive --include "*20170812*" &amp; "%USERPROFILE%\Documents\GitHub\mrs-test-scripts\Headless Mode &amp; Sideloading\WalkAndUnGZ.bat" "%USERPROFILE%\AppData\Local\Temp\OnboardLogs"\RTDC4018\2017-08-12</v>
      </c>
      <c r="AF201" s="74" t="str">
        <f t="shared" si="123"/>
        <v>"C:\Program Files (x86)\AstroGrep\AstroGrep.exe" /e /r /s /spath="%USERPROFILE%\AppData\Local\Temp\OnboardLogs" /stypes="app*4018*20170812*" /stext=" 01:.+((SYSTEM_STATE.+slice.+state.+changed )|(ment ac)|(multiple cpu faults)|(system.+state.+changed )|(\[timeout)|(PRM\|1\|D)|(kpr)|(kdp)|(train st.+moving)|(\|lc)|(penalty))"</v>
      </c>
      <c r="AG201" s="209" t="str">
        <f t="shared" si="145"/>
        <v>NW</v>
      </c>
      <c r="AH201" s="78" t="str">
        <f t="shared" si="124"/>
        <v>"%USERPROFILE%\Documents\GitHub\eaglep3\Utilities\RefineRTDCRunTimes.py" --tripid 839-11 --locoid 4018 --swversion DE.1.0.9.0 --startMP 204:997 --initTime 2017-08-11T18:27:11 --startdatetime 2017-08-11T18:51:23 --delay 1 --endMP 300:58948 --enddatetime 2017-08-11T19:05:22 --enforcementcount 0 &gt;&gt;C:\Users\stu\Documents\GitHub\eaglep3-reporting\EC\2017-08-11-refined-times.txt</v>
      </c>
      <c r="AI201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{"issue":{"subject":"","project_id":79,"tracker_id":40,"status_id":1,"priority_id":2,"assigned_to_id":23,"start_date":"2017-08-11","description":"","custom_fields":[{"id":1,"name":"Subdivision","value":"NW"},{"id":4,"name":"Milepost","value":"5.8948"},{"id":17,"name":"Train ID","value":"839-11"},{"id":16,"name":"Locomotive ID","value":"4018"},{"id":130,"name":"Impact","value":""},{"id":150,"name":"Time of Event (Mountain Time)","value":"19:05:22"},{"id":151,"name":"Denver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126"/>
        <v>start /low /b %USERPROFILE%\Documents\GitHub\eaglep3\Utilities\DownloadLogsFromS3.py --loco 4018 --day 2017-08-11</v>
      </c>
      <c r="AN201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01:05:22"},{"id":29,"name":"Sharepoint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833</v>
      </c>
      <c r="B202" s="7">
        <v>4015</v>
      </c>
      <c r="C202" s="21" t="s">
        <v>198</v>
      </c>
      <c r="D202" s="21" t="s">
        <v>1021</v>
      </c>
      <c r="E202" s="13">
        <v>42958.816354166665</v>
      </c>
      <c r="F202" s="13">
        <v>42958.817974537036</v>
      </c>
      <c r="G202" s="7">
        <v>1</v>
      </c>
      <c r="H202" s="21" t="s">
        <v>542</v>
      </c>
      <c r="I202" s="13">
        <v>42958.830150462964</v>
      </c>
      <c r="J202" s="7">
        <v>0</v>
      </c>
      <c r="K202" s="89" t="str">
        <f t="shared" si="140"/>
        <v>4015/4016</v>
      </c>
      <c r="L202" s="21" t="str">
        <f>VLOOKUP(A202,'Trips&amp;Operators'!$C$1:$G$99999,5,FALSE)</f>
        <v>DELGADO DIANAH</v>
      </c>
      <c r="M202" s="6">
        <f t="shared" si="141"/>
        <v>1.2175925927294884E-2</v>
      </c>
      <c r="N202" s="7">
        <f t="shared" si="137"/>
        <v>17.533333335304633</v>
      </c>
      <c r="O202" s="7"/>
      <c r="P202" s="7"/>
      <c r="Q202" s="22"/>
      <c r="R202" s="170" t="s">
        <v>1115</v>
      </c>
      <c r="S202" s="213">
        <f t="shared" si="138"/>
        <v>1</v>
      </c>
      <c r="T202" s="195" t="str">
        <f t="shared" si="142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121"/>
        <v>https://d0f6bd738d7f1b3e5a7ca70fe4ff75f0.us-east-1.aws.found.io/app/kibana#/discover/Steve-Slow-Train-Analysis-(2080s-and-2083s)?_g=(refreshInterval:(display:Off,pause:!f,section:0,value:0),time:(from:'2017-08-11T18:35:33-0600',mode:absolute,to:'2017-08-11T20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2" s="197" t="str">
        <f>IF(AA202&lt;VLOOKUP(AG202,Variables!$AC$3:$AD$8,2,FALSE),"Y","N")</f>
        <v>N</v>
      </c>
      <c r="X202" s="197">
        <f t="shared" si="146"/>
        <v>1</v>
      </c>
      <c r="Y202" s="197">
        <f t="shared" si="148"/>
        <v>5.8651</v>
      </c>
      <c r="Z202" s="197">
        <f t="shared" si="147"/>
        <v>6.7500000000000004E-2</v>
      </c>
      <c r="AA202" s="197">
        <f t="shared" si="143"/>
        <v>5.7976000000000001</v>
      </c>
      <c r="AB202" s="54" t="e">
        <f>VLOOKUP(A202,Enforcements!$C$7:$K$12,8,0)</f>
        <v>#N/A</v>
      </c>
      <c r="AC202" s="51" t="e">
        <f>VLOOKUP(A202,Enforcements!$C$7:$E$12,3,0)</f>
        <v>#N/A</v>
      </c>
      <c r="AD202" s="206">
        <f t="shared" si="144"/>
        <v>840</v>
      </c>
      <c r="AE202" s="77" t="str">
        <f t="shared" si="122"/>
        <v>aws s3 cp s3://rtdc.mdm.uploadarchive.raw/RTDC4015/ "%USERPROFILE%\AppData\Local\Temp\OnboardLogs"\RTDC4015\2017-08-11 --exclude "*" --recursive --include "*20170811*" &amp; "%USERPROFILE%\Documents\GitHub\mrs-test-scripts\Headless Mode &amp; Sideloading\WalkAndUnGZ.bat" "%USERPROFILE%\AppData\Local\Temp\OnboardLogs"\RTDC4015\2017-08-11 &amp; 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</v>
      </c>
      <c r="AF202" s="74" t="str">
        <f t="shared" si="123"/>
        <v>"C:\Program Files (x86)\AstroGrep\AstroGrep.exe" /e /r /s /spath="%USERPROFILE%\AppData\Local\Temp\OnboardLogs" /stypes="app*4015*20170812*" /stext=" 01:.+((SYSTEM_STATE.+slice.+state.+changed )|(ment ac)|(multiple cpu faults)|(system.+state.+changed )|(\[timeout)|(PRM\|1\|D)|(kpr)|(kdp)|(train st.+moving)|(\|lc)|(penalty))"</v>
      </c>
      <c r="AG202" s="209" t="str">
        <f t="shared" si="145"/>
        <v>NW</v>
      </c>
      <c r="AH202" s="78" t="str">
        <f t="shared" si="124"/>
        <v>"%USERPROFILE%\Documents\GitHub\eaglep3\Utilities\RefineRTDCRunTimes.py" --tripid 840-11 --locoid 4015 --swversion DE.1.0.9.0 --startMP 300:58651 --initTime 2017-08-11T19:35:33 --startdatetime 2017-08-11T19:37:53 --delay 1 --endMP 204:675 --enddatetime 2017-08-11T19:55:25 --enforcementcount 0 &gt;&gt;C:\Users\stu\Documents\GitHub\eaglep3-reporting\EC\2017-08-11-refined-times.txt</v>
      </c>
      <c r="AI202" s="96" t="str">
        <f t="shared" si="125"/>
        <v>echo {"issue":{"subject":"Banner without braking at TRACK WARRANT target while approaching DUS","project_id":79,"tracker_id":40,"status_id":1,"priority_id":2,"assigned_to_id":23,"start_date":"2017-08-11","description":"","custom_fields":[{"id":1,"name":"Subdivision","value":"NW"},{"id":4,"name":"Milepost","value":"0.0675"},{"id":17,"name":"Train ID","value":"840-11"},{"id":16,"name":"Locomotive ID","value":"4015"},{"id":130,"name":"Impact","value":""},{"id":150,"name":"Time of Event (Mountain Time)","value":"19:55:25"},{"id":151,"name":"Denver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126"/>
        <v>start /low /b %USERPROFILE%\Documents\GitHub\eaglep3\Utilities\DownloadLogsFromS3.py --loco 4015 --day 2017-08-11</v>
      </c>
      <c r="AN202" s="151" t="str">
        <f t="shared" si="127"/>
        <v>echo {"issue":{"subject":"Banner without braking at TRACK WARRANT target while approaching DUS","project_id":30,"tracker_id":4,"status_id":1,"priority_id":1,"assigned_to_id":10,"start_date":"2017-08-12","description":"","custom_fields":[{"id":30,"name":"Category","value":"Issue"},{"id":3,"name":"Functional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01:55:25"},{"id":29,"name":"Sharepoint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834</v>
      </c>
      <c r="B203" s="7">
        <v>4016</v>
      </c>
      <c r="C203" s="21" t="s">
        <v>198</v>
      </c>
      <c r="D203" s="21" t="s">
        <v>1032</v>
      </c>
      <c r="E203" s="13">
        <v>42958.803402777776</v>
      </c>
      <c r="F203" s="13">
        <v>42958.806435185186</v>
      </c>
      <c r="G203" s="7">
        <v>2</v>
      </c>
      <c r="H203" s="21" t="s">
        <v>592</v>
      </c>
      <c r="I203" s="13">
        <v>42958.815162037034</v>
      </c>
      <c r="J203" s="7">
        <v>0</v>
      </c>
      <c r="K203" s="89" t="str">
        <f t="shared" si="140"/>
        <v>4015/4016</v>
      </c>
      <c r="L203" s="21" t="str">
        <f>VLOOKUP(A203,'Trips&amp;Operators'!$C$1:$G$99999,5,FALSE)</f>
        <v>DELGADO DIANAH</v>
      </c>
      <c r="M203" s="6">
        <f t="shared" si="141"/>
        <v>8.7268518473138101E-3</v>
      </c>
      <c r="N203" s="7">
        <f t="shared" ref="N203:N234" si="149">24*60*SUM($M203:$M203)</f>
        <v>12.566666660131887</v>
      </c>
      <c r="O203" s="7"/>
      <c r="P203" s="7"/>
      <c r="Q203" s="22"/>
      <c r="R203" s="170"/>
      <c r="S203" s="213">
        <f t="shared" ref="S203:S234" si="150">1/IF(AG203="EC",12,1)*SUM(U203:U203)</f>
        <v>1</v>
      </c>
      <c r="T203" s="195" t="str">
        <f t="shared" si="142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121"/>
        <v>https://d0f6bd738d7f1b3e5a7ca70fe4ff75f0.us-east-1.aws.found.io/app/kibana#/discover/Steve-Slow-Train-Analysis-(2080s-and-2083s)?_g=(refreshInterval:(display:Off,pause:!f,section:0,value:0),time:(from:'2017-08-11T18:16:54-0600',mode:absolute,to:'2017-08-11T20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3" s="197" t="str">
        <f>IF(AA203&lt;VLOOKUP(AG203,Variables!$AC$3:$AD$8,2,FALSE),"Y","N")</f>
        <v>N</v>
      </c>
      <c r="X203" s="197">
        <f t="shared" si="146"/>
        <v>1</v>
      </c>
      <c r="Y203" s="197">
        <f t="shared" si="148"/>
        <v>9.5500000000000002E-2</v>
      </c>
      <c r="Z203" s="197">
        <f t="shared" si="147"/>
        <v>5.8925999999999998</v>
      </c>
      <c r="AA203" s="197">
        <f t="shared" si="143"/>
        <v>5.7970999999999995</v>
      </c>
      <c r="AB203" s="54" t="e">
        <f>VLOOKUP(A203,Enforcements!$C$7:$K$12,8,0)</f>
        <v>#N/A</v>
      </c>
      <c r="AC203" s="51" t="e">
        <f>VLOOKUP(A203,Enforcements!$C$7:$E$12,3,0)</f>
        <v>#N/A</v>
      </c>
      <c r="AD203" s="206">
        <f t="shared" si="144"/>
        <v>841</v>
      </c>
      <c r="AE203" s="77" t="str">
        <f t="shared" si="122"/>
        <v>aws s3 cp s3://rtdc.mdm.uploadarchive.raw/RTDC4016/ "%USERPROFILE%\AppData\Local\Temp\OnboardLogs"\RTDC4016\2017-08-11 --exclude "*" --recursive --include "*20170811*" &amp; "%USERPROFILE%\Documents\GitHub\mrs-test-scripts\Headless Mode &amp; Sideloading\WalkAndUnGZ.bat" "%USERPROFILE%\AppData\Local\Temp\OnboardLogs"\RTDC4016\2017-08-11 &amp; 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</v>
      </c>
      <c r="AF203" s="74" t="str">
        <f t="shared" si="123"/>
        <v>"C:\Program Files (x86)\AstroGrep\AstroGrep.exe" /e /r /s /spath="%USERPROFILE%\AppData\Local\Temp\OnboardLogs" /stypes="app*4016*20170812*" /stext=" 01:.+((SYSTEM_STATE.+slice.+state.+changed )|(ment ac)|(multiple cpu faults)|(system.+state.+changed )|(\[timeout)|(PRM\|1\|D)|(kpr)|(kdp)|(train st.+moving)|(\|lc)|(penalty))"</v>
      </c>
      <c r="AG203" s="209" t="str">
        <f t="shared" si="145"/>
        <v>NW</v>
      </c>
      <c r="AH203" s="78" t="str">
        <f t="shared" si="124"/>
        <v>"%USERPROFILE%\Documents\GitHub\eaglep3\Utilities\RefineRTDCRunTimes.py" --tripid 841-11 --locoid 4016 --swversion DE.1.0.9.0 --startMP 204:955 --initTime 2017-08-11T19:16:54 --startdatetime 2017-08-11T19:21:16 --delay 2 --endMP 300:58926 --enddatetime 2017-08-11T19:33:50 --enforcementcount 0 &gt;&gt;C:\Users\stu\Documents\GitHub\eaglep3-reporting\EC\2017-08-11-refined-times.txt</v>
      </c>
      <c r="AI203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{"issue":{"subject":"","project_id":79,"tracker_id":40,"status_id":1,"priority_id":2,"assigned_to_id":23,"start_date":"2017-08-11","description":"","custom_fields":[{"id":1,"name":"Subdivision","value":"NW"},{"id":4,"name":"Milepost","value":"5.8926"},{"id":17,"name":"Train ID","value":"841-11"},{"id":16,"name":"Locomotive ID","value":"4016"},{"id":130,"name":"Impact","value":""},{"id":150,"name":"Time of Event (Mountain Time)","value":"19:33:50"},{"id":151,"name":"Denver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126"/>
        <v>start /low /b %USERPROFILE%\Documents\GitHub\eaglep3\Utilities\DownloadLogsFromS3.py --loco 4016 --day 2017-08-11</v>
      </c>
      <c r="AN203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01:33:50"},{"id":29,"name":"Sharepoint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841</v>
      </c>
      <c r="B204" s="7">
        <v>4015</v>
      </c>
      <c r="C204" s="21" t="s">
        <v>198</v>
      </c>
      <c r="D204" s="21" t="s">
        <v>1033</v>
      </c>
      <c r="E204" s="13">
        <v>42958.858912037038</v>
      </c>
      <c r="F204" s="13">
        <v>42958.861134259256</v>
      </c>
      <c r="G204" s="7">
        <v>2</v>
      </c>
      <c r="H204" s="21" t="s">
        <v>595</v>
      </c>
      <c r="I204" s="13">
        <v>42958.871747685182</v>
      </c>
      <c r="J204" s="7">
        <v>0</v>
      </c>
      <c r="K204" s="89" t="str">
        <f t="shared" si="140"/>
        <v>4015/4016</v>
      </c>
      <c r="L204" s="21" t="str">
        <f>VLOOKUP(A204,'Trips&amp;Operators'!$C$1:$G$99999,5,FALSE)</f>
        <v>DELGADO DIANAH</v>
      </c>
      <c r="M204" s="6">
        <f t="shared" si="141"/>
        <v>1.0613425925839692E-2</v>
      </c>
      <c r="N204" s="7">
        <f t="shared" si="149"/>
        <v>15.283333333209157</v>
      </c>
      <c r="O204" s="7"/>
      <c r="P204" s="7"/>
      <c r="Q204" s="22"/>
      <c r="R204" s="170"/>
      <c r="S204" s="213">
        <f t="shared" si="150"/>
        <v>1</v>
      </c>
      <c r="T204" s="195" t="str">
        <f t="shared" si="142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121"/>
        <v>https://d0f6bd738d7f1b3e5a7ca70fe4ff75f0.us-east-1.aws.found.io/app/kibana#/discover/Steve-Slow-Train-Analysis-(2080s-and-2083s)?_g=(refreshInterval:(display:Off,pause:!f,section:0,value:0),time:(from:'2017-08-11T19:36:50-0600',mode:absolute,to:'2017-08-11T21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4" s="197" t="str">
        <f>IF(AA204&lt;VLOOKUP(AG204,Variables!$AC$3:$AD$8,2,FALSE),"Y","N")</f>
        <v>N</v>
      </c>
      <c r="X204" s="197">
        <f t="shared" si="146"/>
        <v>1</v>
      </c>
      <c r="Y204" s="197">
        <f t="shared" si="148"/>
        <v>5.8639999999999999</v>
      </c>
      <c r="Z204" s="197">
        <f t="shared" si="147"/>
        <v>6.7299999999999999E-2</v>
      </c>
      <c r="AA204" s="197">
        <f t="shared" si="143"/>
        <v>5.7966999999999995</v>
      </c>
      <c r="AB204" s="54" t="e">
        <f>VLOOKUP(A204,Enforcements!$C$7:$K$12,8,0)</f>
        <v>#N/A</v>
      </c>
      <c r="AC204" s="51" t="e">
        <f>VLOOKUP(A204,Enforcements!$C$7:$E$12,3,0)</f>
        <v>#N/A</v>
      </c>
      <c r="AD204" s="206">
        <f t="shared" si="144"/>
        <v>842</v>
      </c>
      <c r="AE204" s="77" t="str">
        <f t="shared" si="122"/>
        <v>aws s3 cp s3://rtdc.mdm.uploadarchive.raw/RTDC4015/ "%USERPROFILE%\AppData\Local\Temp\OnboardLogs"\RTDC4015\2017-08-11 --exclude "*" --recursive --include "*20170811*" &amp; "%USERPROFILE%\Documents\GitHub\mrs-test-scripts\Headless Mode &amp; Sideloading\WalkAndUnGZ.bat" "%USERPROFILE%\AppData\Local\Temp\OnboardLogs"\RTDC4015\2017-08-11 &amp; 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</v>
      </c>
      <c r="AF204" s="74" t="str">
        <f t="shared" si="123"/>
        <v>"C:\Program Files (x86)\AstroGrep\AstroGrep.exe" /e /r /s /spath="%USERPROFILE%\AppData\Local\Temp\OnboardLogs" /stypes="app*4015*20170812*" /stext=" 02:.+((SYSTEM_STATE.+slice.+state.+changed )|(ment ac)|(multiple cpu faults)|(system.+state.+changed )|(\[timeout)|(PRM\|1\|D)|(kpr)|(kdp)|(train st.+moving)|(\|lc)|(penalty))"</v>
      </c>
      <c r="AG204" s="209" t="str">
        <f t="shared" si="145"/>
        <v>NW</v>
      </c>
      <c r="AH204" s="78" t="str">
        <f t="shared" si="124"/>
        <v>"%USERPROFILE%\Documents\GitHub\eaglep3\Utilities\RefineRTDCRunTimes.py" --tripid 842-11 --locoid 4015 --swversion DE.1.0.9.0 --startMP 300:58640 --initTime 2017-08-11T20:36:50 --startdatetime 2017-08-11T20:40:02 --delay 2 --endMP 204:673 --enddatetime 2017-08-11T20:55:19 --enforcementcount 0 &gt;&gt;C:\Users\stu\Documents\GitHub\eaglep3-reporting\EC\2017-08-11-refined-times.txt</v>
      </c>
      <c r="AI204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{"issue":{"subject":"","project_id":79,"tracker_id":40,"status_id":1,"priority_id":2,"assigned_to_id":23,"start_date":"2017-08-11","description":"","custom_fields":[{"id":1,"name":"Subdivision","value":"NW"},{"id":4,"name":"Milepost","value":"0.0673"},{"id":17,"name":"Train ID","value":"842-11"},{"id":16,"name":"Locomotive ID","value":"4015"},{"id":130,"name":"Impact","value":""},{"id":150,"name":"Time of Event (Mountain Time)","value":"20:55:19"},{"id":151,"name":"Denver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126"/>
        <v>start /low /b %USERPROFILE%\Documents\GitHub\eaglep3\Utilities\DownloadLogsFromS3.py --loco 4015 --day 2017-08-11</v>
      </c>
      <c r="AN204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838</v>
      </c>
      <c r="B205" s="7">
        <v>4016</v>
      </c>
      <c r="C205" s="21" t="s">
        <v>198</v>
      </c>
      <c r="D205" s="21" t="s">
        <v>484</v>
      </c>
      <c r="E205" s="13">
        <v>42958.838773148149</v>
      </c>
      <c r="F205" s="13">
        <v>42958.848101851851</v>
      </c>
      <c r="G205" s="7">
        <v>2</v>
      </c>
      <c r="H205" s="21" t="s">
        <v>1076</v>
      </c>
      <c r="I205" s="13">
        <v>42958.857569444444</v>
      </c>
      <c r="J205" s="7">
        <v>0</v>
      </c>
      <c r="K205" s="89" t="str">
        <f t="shared" si="140"/>
        <v>4015/4016</v>
      </c>
      <c r="L205" s="21" t="str">
        <f>VLOOKUP(A205,'Trips&amp;Operators'!$C$1:$G$99999,5,FALSE)</f>
        <v>DELGADO DIANAH</v>
      </c>
      <c r="M205" s="6">
        <f t="shared" si="141"/>
        <v>9.4675925938645378E-3</v>
      </c>
      <c r="N205" s="7">
        <f t="shared" si="149"/>
        <v>13.633333335164934</v>
      </c>
      <c r="O205" s="7"/>
      <c r="P205" s="7"/>
      <c r="Q205" s="22"/>
      <c r="R205" s="170"/>
      <c r="S205" s="213">
        <f t="shared" si="150"/>
        <v>1</v>
      </c>
      <c r="T205" s="195" t="str">
        <f t="shared" si="142"/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65" si="15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-11T19:07:50-0600',mode:absolute,to:'2017-08-11T21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5" s="197" t="str">
        <f>IF(AA205&lt;VLOOKUP(AG205,Variables!$AC$3:$AD$8,2,FALSE),"Y","N")</f>
        <v>N</v>
      </c>
      <c r="X205" s="197">
        <f t="shared" si="146"/>
        <v>1</v>
      </c>
      <c r="Y205" s="197">
        <f t="shared" si="148"/>
        <v>9.6000000000000002E-2</v>
      </c>
      <c r="Z205" s="197">
        <f t="shared" si="147"/>
        <v>5.8958000000000004</v>
      </c>
      <c r="AA205" s="197">
        <f t="shared" si="143"/>
        <v>5.7998000000000003</v>
      </c>
      <c r="AB205" s="54" t="e">
        <f>VLOOKUP(A205,Enforcements!$C$7:$K$12,8,0)</f>
        <v>#N/A</v>
      </c>
      <c r="AC205" s="51" t="e">
        <f>VLOOKUP(A205,Enforcements!$C$7:$E$12,3,0)</f>
        <v>#N/A</v>
      </c>
      <c r="AD205" s="206">
        <f t="shared" si="144"/>
        <v>843</v>
      </c>
      <c r="AE205" s="77" t="str">
        <f t="shared" ref="AE205:AE265" si="15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s3://rtdc.mdm.uploadarchive.raw/RTDC4016/ "%USERPROFILE%\AppData\Local\Temp\OnboardLogs"\RTDC4016\2017-08-11 --exclude "*" --recursive --include "*20170811*" &amp; "%USERPROFILE%\Documents\GitHub\mrs-test-scripts\Headless Mode &amp; Sideloading\WalkAndUnGZ.bat" "%USERPROFILE%\AppData\Local\Temp\OnboardLogs"\RTDC4016\2017-08-11 &amp; 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</v>
      </c>
      <c r="AF205" s="74" t="str">
        <f t="shared" ref="AF205:AF265" si="153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/stypes="app*4016*20170812*" /stext=" 02:.+((SYSTEM_STATE.+slice.+state.+changed )|(ment ac)|(multiple cpu faults)|(system.+state.+changed )|(\[timeout)|(PRM\|1\|D)|(kpr)|(kdp)|(train st.+moving)|(\|lc)|(penalty))"</v>
      </c>
      <c r="AG205" s="209" t="str">
        <f t="shared" si="145"/>
        <v>NW</v>
      </c>
      <c r="AH205" s="78" t="str">
        <f t="shared" si="124"/>
        <v>"%USERPROFILE%\Documents\GitHub\eaglep3\Utilities\RefineRTDCRunTimes.py" --tripid 843-11 --locoid 4016 --swversion DE.1.0.9.0 --startMP 204:960 --initTime 2017-08-11T20:07:50 --startdatetime 2017-08-11T20:21:16 --delay 2 --endMP 300:58958 --enddatetime 2017-08-11T20:34:54 --enforcementcount 0 &gt;&gt;C:\Users\stu\Documents\GitHub\eaglep3-reporting\EC\2017-08-11-refined-times.txt</v>
      </c>
      <c r="AI205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{"issue":{"subject":"","project_id":79,"tracker_id":40,"status_id":1,"priority_id":2,"assigned_to_id":23,"start_date":"2017-08-11","description":"","custom_fields":[{"id":1,"name":"Subdivision","value":"NW"},{"id":4,"name":"Milepost","value":"5.8958"},{"id":17,"name":"Train ID","value":"843-11"},{"id":16,"name":"Locomotive ID","value":"4016"},{"id":130,"name":"Impact","value":""},{"id":150,"name":"Time of Event (Mountain Time)","value":"20:34:54"},{"id":151,"name":"Denver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126"/>
        <v>start /low /b %USERPROFILE%\Documents\GitHub\eaglep3\Utilities\DownloadLogsFromS3.py --loco 4016 --day 2017-08-11</v>
      </c>
      <c r="AN205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02:34:54"},{"id":29,"name":"Sharepoint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847</v>
      </c>
      <c r="B206" s="7">
        <v>4015</v>
      </c>
      <c r="C206" s="21" t="s">
        <v>198</v>
      </c>
      <c r="D206" s="21" t="s">
        <v>1034</v>
      </c>
      <c r="E206" s="13">
        <v>42958.902233796296</v>
      </c>
      <c r="F206" s="13">
        <v>42958.903912037036</v>
      </c>
      <c r="G206" s="7">
        <v>1</v>
      </c>
      <c r="H206" s="21" t="s">
        <v>1035</v>
      </c>
      <c r="I206" s="13">
        <v>42958.913171296299</v>
      </c>
      <c r="J206" s="7">
        <v>0</v>
      </c>
      <c r="K206" s="89" t="str">
        <f t="shared" si="140"/>
        <v>4015/4016</v>
      </c>
      <c r="L206" s="21" t="str">
        <f>VLOOKUP(A206,'Trips&amp;Operators'!$C$1:$G$99999,5,FALSE)</f>
        <v>MCREYNOLDS KYLE</v>
      </c>
      <c r="M206" s="6">
        <f t="shared" si="141"/>
        <v>9.2592592627624981E-3</v>
      </c>
      <c r="N206" s="7">
        <f t="shared" si="149"/>
        <v>13.333333338377997</v>
      </c>
      <c r="O206" s="7"/>
      <c r="P206" s="7"/>
      <c r="Q206" s="22"/>
      <c r="R206" s="170"/>
      <c r="S206" s="213">
        <f t="shared" si="150"/>
        <v>1</v>
      </c>
      <c r="T206" s="195" t="str">
        <f t="shared" si="142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151"/>
        <v>https://d0f6bd738d7f1b3e5a7ca70fe4ff75f0.us-east-1.aws.found.io/app/kibana#/discover/Steve-Slow-Train-Analysis-(2080s-and-2083s)?_g=(refreshInterval:(display:Off,pause:!f,section:0,value:0),time:(from:'2017-08-11T20:39:13-0600',mode:absolute,to:'2017-08-11T22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6" s="197" t="str">
        <f>IF(AA206&lt;VLOOKUP(AG206,Variables!$AC$3:$AD$8,2,FALSE),"Y","N")</f>
        <v>N</v>
      </c>
      <c r="X206" s="197">
        <f t="shared" si="146"/>
        <v>1</v>
      </c>
      <c r="Y206" s="197">
        <f t="shared" si="148"/>
        <v>5.8647</v>
      </c>
      <c r="Z206" s="197">
        <f t="shared" si="147"/>
        <v>6.9900000000000004E-2</v>
      </c>
      <c r="AA206" s="197">
        <f t="shared" si="143"/>
        <v>5.7948000000000004</v>
      </c>
      <c r="AB206" s="54" t="e">
        <f>VLOOKUP(A206,Enforcements!$C$7:$K$12,8,0)</f>
        <v>#N/A</v>
      </c>
      <c r="AC206" s="51" t="e">
        <f>VLOOKUP(A206,Enforcements!$C$7:$E$12,3,0)</f>
        <v>#N/A</v>
      </c>
      <c r="AD206" s="206">
        <f t="shared" si="144"/>
        <v>844</v>
      </c>
      <c r="AE206" s="77" t="str">
        <f t="shared" si="152"/>
        <v>aws s3 cp s3://rtdc.mdm.uploadarchive.raw/RTDC4015/ "%USERPROFILE%\AppData\Local\Temp\OnboardLogs"\RTDC4015\2017-08-11 --exclude "*" --recursive --include "*20170811*" &amp; "%USERPROFILE%\Documents\GitHub\mrs-test-scripts\Headless Mode &amp; Sideloading\WalkAndUnGZ.bat" "%USERPROFILE%\AppData\Local\Temp\OnboardLogs"\RTDC4015\2017-08-11 &amp; 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</v>
      </c>
      <c r="AF206" s="74" t="str">
        <f t="shared" si="153"/>
        <v>"C:\Program Files (x86)\AstroGrep\AstroGrep.exe" /e /r /s /spath="%USERPROFILE%\AppData\Local\Temp\OnboardLogs" /stypes="app*4015*20170812*" /stext=" 03:.+((SYSTEM_STATE.+slice.+state.+changed )|(ment ac)|(multiple cpu faults)|(system.+state.+changed )|(\[timeout)|(PRM\|1\|D)|(kpr)|(kdp)|(train st.+moving)|(\|lc)|(penalty))"</v>
      </c>
      <c r="AG206" s="209" t="str">
        <f t="shared" si="145"/>
        <v>NW</v>
      </c>
      <c r="AH206" s="78" t="str">
        <f t="shared" si="124"/>
        <v>"%USERPROFILE%\Documents\GitHub\eaglep3\Utilities\RefineRTDCRunTimes.py" --tripid 844-11 --locoid 4015 --swversion DE.1.0.9.0 --startMP 300:58647 --initTime 2017-08-11T21:39:13 --startdatetime 2017-08-11T21:41:38 --delay 1 --endMP 204:699 --enddatetime 2017-08-11T21:54:58 --enforcementcount 0 &gt;&gt;C:\Users\stu\Documents\GitHub\eaglep3-reporting\EC\2017-08-11-refined-times.txt</v>
      </c>
      <c r="AI206" s="96" t="str">
        <f t="shared" si="125"/>
        <v>echo {"issue":{"subject":"","project_id":79,"tracker_id":40,"status_id":1,"priority_id":2,"assigned_to_id":23,"start_date":"2017-08-11","description":"","custom_fields":[{"id":1,"name":"Subdivision","value":"NW"},{"id":4,"name":"Milepost","value":"0.0699"},{"id":17,"name":"Train ID","value":"844-11"},{"id":16,"name":"Locomotive ID","value":"4015"},{"id":130,"name":"Impact","value":""},{"id":150,"name":"Time of Event (Mountain Time)","value":"21:54:58"},{"id":151,"name":"Denver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126"/>
        <v>start /low /b %USERPROFILE%\Documents\GitHub\eaglep3\Utilities\DownloadLogsFromS3.py --loco 4015 --day 2017-08-11</v>
      </c>
      <c r="AN206" s="151" t="str">
        <f t="shared" si="12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03:54:58"},{"id":29,"name":"Sharepoint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845</v>
      </c>
      <c r="B207" s="7">
        <v>4016</v>
      </c>
      <c r="C207" s="21" t="s">
        <v>198</v>
      </c>
      <c r="D207" s="21" t="s">
        <v>1016</v>
      </c>
      <c r="E207" s="13">
        <v>42958.883715277778</v>
      </c>
      <c r="F207" s="13">
        <v>42958.890081018515</v>
      </c>
      <c r="G207" s="7">
        <v>1</v>
      </c>
      <c r="H207" s="21" t="s">
        <v>1036</v>
      </c>
      <c r="I207" s="13">
        <v>42958.900370370371</v>
      </c>
      <c r="J207" s="7">
        <v>0</v>
      </c>
      <c r="K207" s="89" t="str">
        <f t="shared" si="140"/>
        <v>4015/4016</v>
      </c>
      <c r="L207" s="21" t="str">
        <f>VLOOKUP(A207,'Trips&amp;Operators'!$C$1:$G$99999,5,FALSE)</f>
        <v>MCREYNOLDS KYLE</v>
      </c>
      <c r="M207" s="6">
        <f t="shared" si="141"/>
        <v>1.0289351856044959E-2</v>
      </c>
      <c r="N207" s="7">
        <f t="shared" si="149"/>
        <v>14.816666672704741</v>
      </c>
      <c r="O207" s="7"/>
      <c r="P207" s="7"/>
      <c r="Q207" s="22"/>
      <c r="R207" s="170"/>
      <c r="S207" s="213">
        <f t="shared" si="150"/>
        <v>1</v>
      </c>
      <c r="T207" s="195" t="str">
        <f t="shared" si="142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151"/>
        <v>https://d0f6bd738d7f1b3e5a7ca70fe4ff75f0.us-east-1.aws.found.io/app/kibana#/discover/Steve-Slow-Train-Analysis-(2080s-and-2083s)?_g=(refreshInterval:(display:Off,pause:!f,section:0,value:0),time:(from:'2017-08-11T20:12:33-0600',mode:absolute,to:'2017-08-11T22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7" s="197" t="str">
        <f>IF(AA207&lt;VLOOKUP(AG207,Variables!$AC$3:$AD$8,2,FALSE),"Y","N")</f>
        <v>N</v>
      </c>
      <c r="X207" s="197">
        <f t="shared" si="146"/>
        <v>1</v>
      </c>
      <c r="Y207" s="197">
        <f t="shared" si="148"/>
        <v>9.6699999999999994E-2</v>
      </c>
      <c r="Z207" s="197">
        <f t="shared" si="147"/>
        <v>5.8960999999999997</v>
      </c>
      <c r="AA207" s="197">
        <f t="shared" si="143"/>
        <v>5.7993999999999994</v>
      </c>
      <c r="AB207" s="54" t="e">
        <f>VLOOKUP(A207,Enforcements!$C$7:$K$12,8,0)</f>
        <v>#N/A</v>
      </c>
      <c r="AC207" s="51" t="e">
        <f>VLOOKUP(A207,Enforcements!$C$7:$E$12,3,0)</f>
        <v>#N/A</v>
      </c>
      <c r="AD207" s="206">
        <f t="shared" si="144"/>
        <v>845</v>
      </c>
      <c r="AE207" s="77" t="str">
        <f t="shared" si="152"/>
        <v>aws s3 cp s3://rtdc.mdm.uploadarchive.raw/RTDC4016/ "%USERPROFILE%\AppData\Local\Temp\OnboardLogs"\RTDC4016\2017-08-11 --exclude "*" --recursive --include "*20170811*" &amp; "%USERPROFILE%\Documents\GitHub\mrs-test-scripts\Headless Mode &amp; Sideloading\WalkAndUnGZ.bat" "%USERPROFILE%\AppData\Local\Temp\OnboardLogs"\RTDC4016\2017-08-11 &amp; 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</v>
      </c>
      <c r="AF207" s="74" t="str">
        <f t="shared" si="153"/>
        <v>"C:\Program Files (x86)\AstroGrep\AstroGrep.exe" /e /r /s /spath="%USERPROFILE%\AppData\Local\Temp\OnboardLogs" /stypes="app*4016*20170812*" /stext=" 03:.+((SYSTEM_STATE.+slice.+state.+changed )|(ment ac)|(multiple cpu faults)|(system.+state.+changed )|(\[timeout)|(PRM\|1\|D)|(kpr)|(kdp)|(train st.+moving)|(\|lc)|(penalty))"</v>
      </c>
      <c r="AG207" s="209" t="str">
        <f t="shared" si="145"/>
        <v>NW</v>
      </c>
      <c r="AH207" s="78" t="str">
        <f t="shared" ref="AH207:AH265" si="154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845-11 --locoid 4016 --swversion DE.1.0.9.0 --startMP 204:967 --initTime 2017-08-11T21:12:33 --startdatetime 2017-08-11T21:21:43 --delay 1 --endMP 300:58961 --enddatetime 2017-08-11T21:36:32 --enforcementcount 0 &gt;&gt;C:\Users\stu\Documents\GitHub\eaglep3-reporting\EC\2017-08-11-refined-times.txt</v>
      </c>
      <c r="AI207" s="96" t="str">
        <f t="shared" ref="AI207:AI265" si="155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{"issue":{"subject":"","project_id":79,"tracker_id":40,"status_id":1,"priority_id":2,"assigned_to_id":23,"start_date":"2017-08-11","description":"","custom_fields":[{"id":1,"name":"Subdivision","value":"NW"},{"id":4,"name":"Milepost","value":"5.8961"},{"id":17,"name":"Train ID","value":"845-11"},{"id":16,"name":"Locomotive ID","value":"4016"},{"id":130,"name":"Impact","value":""},{"id":150,"name":"Time of Event (Mountain Time)","value":"21:36:32"},{"id":151,"name":"Denver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ref="AM207:AM265" si="156">"start /low /b "&amp;dls3logs&amp;" --loco "&amp;B207&amp;" --day "&amp;TEXT(F207,"YYYY-MM-DD")</f>
        <v>start /low /b %USERPROFILE%\Documents\GitHub\eaglep3\Utilities\DownloadLogsFromS3.py --loco 4016 --day 2017-08-11</v>
      </c>
      <c r="AN207" s="151" t="str">
        <f t="shared" ref="AN207:AN265" si="157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03:36:32"},{"id":29,"name":"Sharepoint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850</v>
      </c>
      <c r="B208" s="7">
        <v>4016</v>
      </c>
      <c r="C208" s="21" t="s">
        <v>198</v>
      </c>
      <c r="D208" s="21" t="s">
        <v>1016</v>
      </c>
      <c r="E208" s="13">
        <v>42958.914502314816</v>
      </c>
      <c r="F208" s="13">
        <v>42958.931620370371</v>
      </c>
      <c r="G208" s="7">
        <v>2</v>
      </c>
      <c r="H208" s="21" t="s">
        <v>1037</v>
      </c>
      <c r="I208" s="13">
        <v>42958.941365740742</v>
      </c>
      <c r="J208" s="7">
        <v>0</v>
      </c>
      <c r="K208" s="89" t="str">
        <f t="shared" si="140"/>
        <v>4015/4016</v>
      </c>
      <c r="L208" s="21" t="str">
        <f>VLOOKUP(A208,'Trips&amp;Operators'!$C$1:$G$99999,5,FALSE)</f>
        <v>MCREYNOLDS KYLE</v>
      </c>
      <c r="M208" s="6">
        <f t="shared" si="141"/>
        <v>9.7453703710925765E-3</v>
      </c>
      <c r="N208" s="7">
        <f t="shared" si="149"/>
        <v>14.03333333437331</v>
      </c>
      <c r="O208" s="7"/>
      <c r="P208" s="7"/>
      <c r="Q208" s="22"/>
      <c r="R208" s="170"/>
      <c r="S208" s="213">
        <f t="shared" si="150"/>
        <v>1</v>
      </c>
      <c r="T208" s="195" t="str">
        <f t="shared" si="142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151"/>
        <v>https://d0f6bd738d7f1b3e5a7ca70fe4ff75f0.us-east-1.aws.found.io/app/kibana#/discover/Steve-Slow-Train-Analysis-(2080s-and-2083s)?_g=(refreshInterval:(display:Off,pause:!f,section:0,value:0),time:(from:'2017-08-11T20:56:53-0600',mode:absolute,to:'2017-08-11T23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8" s="197" t="str">
        <f>IF(AA208&lt;VLOOKUP(AG208,Variables!$AC$3:$AD$8,2,FALSE),"Y","N")</f>
        <v>N</v>
      </c>
      <c r="X208" s="197">
        <f t="shared" si="146"/>
        <v>2</v>
      </c>
      <c r="Y208" s="197">
        <f t="shared" si="148"/>
        <v>9.6699999999999994E-2</v>
      </c>
      <c r="Z208" s="197">
        <f t="shared" si="147"/>
        <v>5.8977000000000004</v>
      </c>
      <c r="AA208" s="197">
        <f t="shared" si="143"/>
        <v>5.8010000000000002</v>
      </c>
      <c r="AB208" s="54" t="e">
        <f>VLOOKUP(A208,Enforcements!$C$7:$K$12,8,0)</f>
        <v>#N/A</v>
      </c>
      <c r="AC208" s="51" t="e">
        <f>VLOOKUP(A208,Enforcements!$C$7:$E$12,3,0)</f>
        <v>#N/A</v>
      </c>
      <c r="AD208" s="206">
        <f t="shared" si="144"/>
        <v>847</v>
      </c>
      <c r="AE208" s="77" t="str">
        <f t="shared" si="152"/>
        <v>aws s3 cp s3://rtdc.mdm.uploadarchive.raw/RTDC4016/ "%USERPROFILE%\AppData\Local\Temp\OnboardLogs"\RTDC4016\2017-08-11 --exclude "*" --recursive --include "*20170811*" &amp; "%USERPROFILE%\Documents\GitHub\mrs-test-scripts\Headless Mode &amp; Sideloading\WalkAndUnGZ.bat" "%USERPROFILE%\AppData\Local\Temp\OnboardLogs"\RTDC4016\2017-08-11 &amp; 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</v>
      </c>
      <c r="AF208" s="74" t="str">
        <f t="shared" si="153"/>
        <v>"C:\Program Files (x86)\AstroGrep\AstroGrep.exe" /e /r /s /spath="%USERPROFILE%\AppData\Local\Temp\OnboardLogs" /stypes="app*4016*20170812*" /stext=" 04:.+((SYSTEM_STATE.+slice.+state.+changed )|(ment ac)|(multiple cpu faults)|(system.+state.+changed )|(\[timeout)|(PRM\|1\|D)|(kpr)|(kdp)|(train st.+moving)|(\|lc)|(penalty))"</v>
      </c>
      <c r="AG208" s="209" t="str">
        <f t="shared" si="145"/>
        <v>NW</v>
      </c>
      <c r="AH208" s="78" t="str">
        <f t="shared" si="154"/>
        <v>"%USERPROFILE%\Documents\GitHub\eaglep3\Utilities\RefineRTDCRunTimes.py" --tripid 847-11 --locoid 4016 --swversion DE.1.0.9.0 --startMP 204:967 --initTime 2017-08-11T21:56:53 --startdatetime 2017-08-11T22:21:32 --delay 2 --endMP 300:58977 --enddatetime 2017-08-11T22:35:34 --enforcementcount 0 &gt;&gt;C:\Users\stu\Documents\GitHub\eaglep3-reporting\EC\2017-08-11-refined-times.txt</v>
      </c>
      <c r="AI208" s="96" t="str">
        <f t="shared" si="155"/>
        <v>echo {"issue":{"subject":"","project_id":79,"tracker_id":40,"status_id":1,"priority_id":2,"assigned_to_id":23,"start_date":"2017-08-11","description":"","custom_fields":[{"id":1,"name":"Subdivision","value":"NW"},{"id":4,"name":"Milepost","value":"5.8977"},{"id":17,"name":"Train ID","value":"847-11"},{"id":16,"name":"Locomotive ID","value":"4016"},{"id":130,"name":"Impact","value":""},{"id":150,"name":"Time of Event (Mountain Time)","value":"22:35:34"},{"id":151,"name":"Denver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156"/>
        <v>start /low /b %USERPROFILE%\Documents\GitHub\eaglep3\Utilities\DownloadLogsFromS3.py --loco 4016 --day 2017-08-11</v>
      </c>
      <c r="AN208" s="151" t="str">
        <f t="shared" si="15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04:35:34"},{"id":29,"name":"Sharepoint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641</v>
      </c>
      <c r="B209" s="7">
        <v>4019</v>
      </c>
      <c r="C209" s="21" t="s">
        <v>198</v>
      </c>
      <c r="D209" s="21" t="s">
        <v>939</v>
      </c>
      <c r="E209" s="13">
        <v>42958.114745370367</v>
      </c>
      <c r="F209" s="13">
        <v>42958.117164351854</v>
      </c>
      <c r="G209" s="7">
        <v>1</v>
      </c>
      <c r="H209" s="21" t="s">
        <v>375</v>
      </c>
      <c r="I209" s="13">
        <v>42958.117326388892</v>
      </c>
      <c r="J209" s="7">
        <v>0</v>
      </c>
      <c r="K209" s="89" t="str">
        <f t="shared" si="140"/>
        <v>4019/4020</v>
      </c>
      <c r="L209" s="21" t="str">
        <f>VLOOKUP(A209,'Trips&amp;Operators'!$C$1:$G$99999,5,FALSE)</f>
        <v>STARKS ANGELINA</v>
      </c>
      <c r="M209" s="6">
        <f t="shared" si="141"/>
        <v>1.6203703853534535E-4</v>
      </c>
      <c r="N209" s="7">
        <f t="shared" si="149"/>
        <v>0.2333333354908973</v>
      </c>
      <c r="O209" s="7"/>
      <c r="P209" s="7"/>
      <c r="Q209" s="22"/>
      <c r="R209" s="170"/>
      <c r="S209" s="213">
        <f t="shared" si="150"/>
        <v>1</v>
      </c>
      <c r="T209" s="195" t="str">
        <f t="shared" si="142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151"/>
        <v>https://d0f6bd738d7f1b3e5a7ca70fe4ff75f0.us-east-1.aws.found.io/app/kibana#/discover/Steve-Slow-Train-Analysis-(2080s-and-2083s)?_g=(refreshInterval:(display:Off,pause:!f,section:0,value:0),time:(from:'2017-08-11T01:45:14-0600',mode:absolute,to:'2017-08-11T03:48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9" s="197" t="str">
        <f>IF(AA209&lt;VLOOKUP(AG209,Variables!$AC$3:$AD$8,2,FALSE),"Y","N")</f>
        <v>Y</v>
      </c>
      <c r="X209" s="197">
        <f t="shared" si="146"/>
        <v>-547</v>
      </c>
      <c r="Y209" s="197">
        <f t="shared" si="148"/>
        <v>2.5108999999999999</v>
      </c>
      <c r="Z209" s="197">
        <f t="shared" si="147"/>
        <v>1.54E-2</v>
      </c>
      <c r="AA209" s="197">
        <f t="shared" si="143"/>
        <v>2.4954999999999998</v>
      </c>
      <c r="AB209" s="54" t="e">
        <f>VLOOKUP(A209,Enforcements!$C$7:$K$12,8,0)</f>
        <v>#N/A</v>
      </c>
      <c r="AC209" s="51" t="e">
        <f>VLOOKUP(A209,Enforcements!$C$7:$E$12,3,0)</f>
        <v>#N/A</v>
      </c>
      <c r="AD209" s="206">
        <f t="shared" si="144"/>
        <v>300</v>
      </c>
      <c r="AE209" s="77" t="str">
        <f t="shared" si="152"/>
        <v>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 &amp; aws s3 cp s3://rtdc.mdm.uploadarchive.raw/RTDC4019/ "%USERPROFILE%\AppData\Local\Temp\OnboardLogs"\RTDC4019\2017-08-12 --exclude "*" --recursive --include "*20170812*" &amp; "%USERPROFILE%\Documents\GitHub\mrs-test-scripts\Headless Mode &amp; Sideloading\WalkAndUnGZ.bat" "%USERPROFILE%\AppData\Local\Temp\OnboardLogs"\RTDC4019\2017-08-12</v>
      </c>
      <c r="AF209" s="74" t="str">
        <f t="shared" si="153"/>
        <v>"C:\Program Files (x86)\AstroGrep\AstroGrep.exe" /e /r /s /spath="%USERPROFILE%\AppData\Local\Temp\OnboardLogs" /stypes="app*4019*20170811*" /stext=" 08:.+((SYSTEM_STATE.+slice.+state.+changed )|(ment ac)|(multiple cpu faults)|(system.+state.+changed )|(\[timeout)|(PRM\|1\|D)|(kpr)|(kdp)|(train st.+moving)|(\|lc)|(penalty))"</v>
      </c>
      <c r="AG209" s="209" t="str">
        <f t="shared" si="145"/>
        <v>Other</v>
      </c>
      <c r="AH209" s="78" t="str">
        <f t="shared" si="154"/>
        <v>"%USERPROFILE%\Documents\GitHub\eaglep3\Utilities\RefineRTDCRunTimes.py" --tripid 300-11 --locoid 4019 --swversion DE.1.0.9.0 --startMP 300:25109 --initTime 2017-08-11T02:45:14 --startdatetime 2017-08-11T02:48:43 --delay 1 --endMP 204:154 --enddatetime 2017-08-11T02:48:57 --enforcementcount 0 &gt;&gt;C:\Users\stu\Documents\GitHub\eaglep3-reporting\EC\2017-08-11-refined-times.txt</v>
      </c>
      <c r="AI209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{"issue":{"subject":"","project_id":79,"tracker_id":40,"status_id":1,"priority_id":2,"assigned_to_id":23,"start_date":"2017-08-11","description":"","custom_fields":[{"id":1,"name":"Subdivision","value":"Other"},{"id":4,"name":"Milepost","value":"0.0154"},{"id":17,"name":"Train ID","value":"300-11"},{"id":16,"name":"Locomotive ID","value":"4019"},{"id":130,"name":"Impact","value":""},{"id":150,"name":"Time of Event (Mountain Time)","value":"02:48:57"},{"id":151,"name":"Denver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156"/>
        <v>start /low /b %USERPROFILE%\Documents\GitHub\eaglep3\Utilities\DownloadLogsFromS3.py --loco 4019 --day 2017-08-11</v>
      </c>
      <c r="AN209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08:48:57"},{"id":29,"name":"Sharepoint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868</v>
      </c>
      <c r="B210" s="7">
        <v>4041</v>
      </c>
      <c r="C210" s="21" t="s">
        <v>198</v>
      </c>
      <c r="D210" s="21" t="s">
        <v>1058</v>
      </c>
      <c r="E210" s="13">
        <v>42959.11377314815</v>
      </c>
      <c r="F210" s="13">
        <v>42959.121655092589</v>
      </c>
      <c r="G210" s="7">
        <v>11</v>
      </c>
      <c r="H210" s="21" t="s">
        <v>455</v>
      </c>
      <c r="I210" s="13">
        <v>42959.127280092594</v>
      </c>
      <c r="J210" s="7">
        <v>0</v>
      </c>
      <c r="K210" s="89" t="str">
        <f t="shared" si="140"/>
        <v>4041/4042</v>
      </c>
      <c r="L210" s="21" t="str">
        <f>VLOOKUP(A210,'Trips&amp;Operators'!$C$1:$G$99999,5,FALSE)</f>
        <v>MAELZER KURT</v>
      </c>
      <c r="M210" s="6">
        <f t="shared" si="141"/>
        <v>5.6250000052386895E-3</v>
      </c>
      <c r="N210" s="7">
        <f t="shared" si="149"/>
        <v>8.1000000075437129</v>
      </c>
      <c r="O210" s="7"/>
      <c r="P210" s="7"/>
      <c r="Q210" s="22"/>
      <c r="R210" s="170"/>
      <c r="S210" s="213">
        <f t="shared" si="150"/>
        <v>1</v>
      </c>
      <c r="T210" s="195" t="str">
        <f t="shared" si="142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151"/>
        <v>https://d0f6bd738d7f1b3e5a7ca70fe4ff75f0.us-east-1.aws.found.io/app/kibana#/discover/Steve-Slow-Train-Analysis-(2080s-and-2083s)?_g=(refreshInterval:(display:Off,pause:!f,section:0,value:0),time:(from:'2017-08-12T01:43:50-0600',mode:absolute,to:'2017-08-12T04:03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0" s="197" t="str">
        <f>IF(AA210&lt;VLOOKUP(AG210,Variables!$AC$3:$AD$8,2,FALSE),"Y","N")</f>
        <v>Y</v>
      </c>
      <c r="X210" s="197">
        <f t="shared" si="146"/>
        <v>0</v>
      </c>
      <c r="Y210" s="197">
        <f t="shared" si="148"/>
        <v>2.2052999999999998</v>
      </c>
      <c r="Z210" s="197">
        <f t="shared" si="147"/>
        <v>1.32E-2</v>
      </c>
      <c r="AA210" s="197">
        <f t="shared" si="143"/>
        <v>2.1920999999999999</v>
      </c>
      <c r="AB210" s="54" t="e">
        <f>VLOOKUP(A210,Enforcements!$C$7:$K$12,8,0)</f>
        <v>#N/A</v>
      </c>
      <c r="AC210" s="51" t="e">
        <f>VLOOKUP(A210,Enforcements!$C$7:$E$12,3,0)</f>
        <v>#N/A</v>
      </c>
      <c r="AD210" s="206">
        <f t="shared" si="144"/>
        <v>300</v>
      </c>
      <c r="AE210" s="77" t="str">
        <f t="shared" si="152"/>
        <v>aws s3 cp s3://rtdc.mdm.uploadarchive.raw/RTDC4041/ "%USERPROFILE%\AppData\Local\Temp\OnboardLogs"\RTDC4041\2017-08-12 --exclude "*" --recursive --include "*20170812*" &amp; "%USERPROFILE%\Documents\GitHub\mrs-test-scripts\Headless Mode &amp; Sideloading\WalkAndUnGZ.bat" "%USERPROFILE%\AppData\Local\Temp\OnboardLogs"\RTDC4041\2017-08-12 &amp; 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</v>
      </c>
      <c r="AF210" s="74" t="str">
        <f t="shared" si="153"/>
        <v>"C:\Program Files (x86)\AstroGrep\AstroGrep.exe" /e /r /s /spath="%USERPROFILE%\AppData\Local\Temp\OnboardLogs" /stypes="app*4041*20170812*" /stext=" 09:.+((SYSTEM_STATE.+slice.+state.+changed )|(ment ac)|(multiple cpu faults)|(system.+state.+changed )|(\[timeout)|(PRM\|1\|D)|(kpr)|(kdp)|(train st.+moving)|(\|lc)|(penalty))"</v>
      </c>
      <c r="AG210" s="209" t="str">
        <f t="shared" si="145"/>
        <v>Other</v>
      </c>
      <c r="AH210" s="78" t="str">
        <f t="shared" si="154"/>
        <v>"%USERPROFILE%\Documents\GitHub\eaglep3\Utilities\RefineRTDCRunTimes.py" --tripid 300-12 --locoid 4041 --swversion DE.1.0.9.0 --startMP 300:22053 --initTime 2017-08-12T02:43:50 --startdatetime 2017-08-12T02:55:11 --delay 11 --endMP 204:132 --enddatetime 2017-08-12T03:03:17 --enforcementcount 0 &gt;&gt;C:\Users\stu\Documents\GitHub\eaglep3-reporting\EC\2017-08-11-refined-times.txt</v>
      </c>
      <c r="AI210" s="96" t="str">
        <f t="shared" si="155"/>
        <v>echo {"issue":{"subject":"","project_id":79,"tracker_id":40,"status_id":1,"priority_id":2,"assigned_to_id":23,"start_date":"2017-08-12","description":"","custom_fields":[{"id":1,"name":"Subdivision","value":"Other"},{"id":4,"name":"Milepost","value":"0.0132"},{"id":17,"name":"Train ID","value":"300-12"},{"id":16,"name":"Locomotive ID","value":"4041"},{"id":130,"name":"Impact","value":""},{"id":150,"name":"Time of Event (Mountain Time)","value":"03:03:17"},{"id":151,"name":"Denver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56"/>
        <v>start /low /b %USERPROFILE%\Documents\GitHub\eaglep3\Utilities\DownloadLogsFromS3.py --loco 4041 --day 2017-08-12</v>
      </c>
      <c r="AN210" s="151" t="str">
        <f t="shared" si="15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09:03:17"},{"id":29,"name":"Sharepoint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828</v>
      </c>
      <c r="B211" s="7">
        <v>4030</v>
      </c>
      <c r="C211" s="21" t="s">
        <v>198</v>
      </c>
      <c r="D211" s="21" t="s">
        <v>940</v>
      </c>
      <c r="E211" s="13">
        <v>42958.777581018519</v>
      </c>
      <c r="F211" s="13">
        <v>42958.779409722221</v>
      </c>
      <c r="G211" s="7">
        <v>1</v>
      </c>
      <c r="H211" s="21" t="s">
        <v>941</v>
      </c>
      <c r="I211" s="13">
        <v>42958.785069444442</v>
      </c>
      <c r="J211" s="7">
        <v>0</v>
      </c>
      <c r="K211" s="89" t="str">
        <f t="shared" si="140"/>
        <v>4029/4030</v>
      </c>
      <c r="L211" s="21" t="str">
        <f>VLOOKUP(A211,'Trips&amp;Operators'!$C$1:$G$99999,5,FALSE)</f>
        <v>WEST BRYAN</v>
      </c>
      <c r="M211" s="6">
        <f t="shared" si="141"/>
        <v>5.6597222210257314E-3</v>
      </c>
      <c r="N211" s="7">
        <f t="shared" si="149"/>
        <v>8.1499999982770532</v>
      </c>
      <c r="O211" s="7"/>
      <c r="P211" s="7"/>
      <c r="Q211" s="22"/>
      <c r="R211" s="170"/>
      <c r="S211" s="213">
        <f t="shared" si="150"/>
        <v>1</v>
      </c>
      <c r="T211" s="195" t="str">
        <f t="shared" si="142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151"/>
        <v>https://d0f6bd738d7f1b3e5a7ca70fe4ff75f0.us-east-1.aws.found.io/app/kibana#/discover/Steve-Slow-Train-Analysis-(2080s-and-2083s)?_g=(refreshInterval:(display:Off,pause:!f,section:0,value:0),time:(from:'2017-08-11T17:39:43-0600',mode:absolute,to:'2017-08-11T19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1" s="197" t="str">
        <f>IF(AA211&lt;VLOOKUP(AG211,Variables!$AC$3:$AD$8,2,FALSE),"Y","N")</f>
        <v>Y</v>
      </c>
      <c r="X211" s="197">
        <f t="shared" si="146"/>
        <v>1</v>
      </c>
      <c r="Y211" s="197">
        <f t="shared" si="148"/>
        <v>5.1499999999999997E-2</v>
      </c>
      <c r="Z211" s="197">
        <f t="shared" si="147"/>
        <v>2.3294999999999999</v>
      </c>
      <c r="AA211" s="197">
        <f t="shared" si="143"/>
        <v>2.278</v>
      </c>
      <c r="AB211" s="54" t="e">
        <f>VLOOKUP(A211,Enforcements!$C$7:$K$12,8,0)</f>
        <v>#N/A</v>
      </c>
      <c r="AC211" s="51" t="e">
        <f>VLOOKUP(A211,Enforcements!$C$7:$E$12,3,0)</f>
        <v>#N/A</v>
      </c>
      <c r="AD211" s="206">
        <f t="shared" si="144"/>
        <v>301</v>
      </c>
      <c r="AE211" s="77" t="str">
        <f t="shared" si="152"/>
        <v>aws s3 cp s3://rtdc.mdm.uploadarchive.raw/RTDC4030/ "%USERPROFILE%\AppData\Local\Temp\OnboardLogs"\RTDC4030\2017-08-11 --exclude "*" --recursive --include "*20170811*" &amp; "%USERPROFILE%\Documents\GitHub\mrs-test-scripts\Headless Mode &amp; Sideloading\WalkAndUnGZ.bat" "%USERPROFILE%\AppData\Local\Temp\OnboardLogs"\RTDC4030\2017-08-11 &amp; aws s3 cp s3://rtdc.mdm.uploadarchive.raw/RTDC4030/ "%USERPROFILE%\AppData\Local\Temp\OnboardLogs"\RTDC4030\2017-08-12 --exclude "*" --recursive --include "*20170812*" &amp; "%USERPROFILE%\Documents\GitHub\mrs-test-scripts\Headless Mode &amp; Sideloading\WalkAndUnGZ.bat" "%USERPROFILE%\AppData\Local\Temp\OnboardLogs"\RTDC4030\2017-08-12</v>
      </c>
      <c r="AF211" s="74" t="str">
        <f t="shared" si="153"/>
        <v>"C:\Program Files (x86)\AstroGrep\AstroGrep.exe" /e /r /s /spath="%USERPROFILE%\AppData\Local\Temp\OnboardLogs" /stypes="app*4030*20170812*" /stext=" 00:.+((SYSTEM_STATE.+slice.+state.+changed )|(ment ac)|(multiple cpu faults)|(system.+state.+changed )|(\[timeout)|(PRM\|1\|D)|(kpr)|(kdp)|(train st.+moving)|(\|lc)|(penalty))"</v>
      </c>
      <c r="AG211" s="209" t="str">
        <f t="shared" si="145"/>
        <v>Other</v>
      </c>
      <c r="AH211" s="78" t="str">
        <f t="shared" si="154"/>
        <v>"%USERPROFILE%\Documents\GitHub\eaglep3\Utilities\RefineRTDCRunTimes.py" --tripid 301-11 --locoid 4030 --swversion DE.1.0.9.0 --startMP 204:515 --initTime 2017-08-11T18:39:43 --startdatetime 2017-08-11T18:42:21 --delay 1 --endMP 300:23295 --enddatetime 2017-08-11T18:50:30 --enforcementcount 0 &gt;&gt;C:\Users\stu\Documents\GitHub\eaglep3-reporting\EC\2017-08-11-refined-times.txt</v>
      </c>
      <c r="AI211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{"issue":{"subject":"","project_id":79,"tracker_id":40,"status_id":1,"priority_id":2,"assigned_to_id":23,"start_date":"2017-08-11","description":"","custom_fields":[{"id":1,"name":"Subdivision","value":"Other"},{"id":4,"name":"Milepost","value":"2.3295"},{"id":17,"name":"Train ID","value":"301-11"},{"id":16,"name":"Locomotive ID","value":"4030"},{"id":130,"name":"Impact","value":""},{"id":150,"name":"Time of Event (Mountain Time)","value":"18:50:30"},{"id":151,"name":"Denver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56"/>
        <v>start /low /b %USERPROFILE%\Documents\GitHub\eaglep3\Utilities\DownloadLogsFromS3.py --loco 4030 --day 2017-08-11</v>
      </c>
      <c r="AN211" s="151" t="str">
        <f t="shared" si="15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00:50:30"},{"id":29,"name":"Sharepoint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644</v>
      </c>
      <c r="B212" s="7">
        <v>4011</v>
      </c>
      <c r="C212" s="21" t="s">
        <v>198</v>
      </c>
      <c r="D212" s="21" t="s">
        <v>942</v>
      </c>
      <c r="E212" s="13">
        <v>42958.136828703704</v>
      </c>
      <c r="F212" s="13">
        <v>42958.139988425923</v>
      </c>
      <c r="G212" s="7">
        <v>4</v>
      </c>
      <c r="H212" s="21" t="s">
        <v>579</v>
      </c>
      <c r="I212" s="13">
        <v>42958.146481481483</v>
      </c>
      <c r="J212" s="7">
        <v>0</v>
      </c>
      <c r="K212" s="89" t="str">
        <f t="shared" si="140"/>
        <v>4011/4012</v>
      </c>
      <c r="L212" s="21" t="str">
        <f>VLOOKUP(A212,'Trips&amp;Operators'!$C$1:$G$99999,5,FALSE)</f>
        <v>WILLIAMS DONTE</v>
      </c>
      <c r="M212" s="6">
        <f t="shared" si="141"/>
        <v>6.4930555599858053E-3</v>
      </c>
      <c r="N212" s="7">
        <f t="shared" si="149"/>
        <v>9.3500000063795596</v>
      </c>
      <c r="O212" s="7"/>
      <c r="P212" s="7"/>
      <c r="Q212" s="22"/>
      <c r="R212" s="170"/>
      <c r="S212" s="213">
        <f t="shared" si="150"/>
        <v>1</v>
      </c>
      <c r="T212" s="195" t="str">
        <f t="shared" si="142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151"/>
        <v>https://d0f6bd738d7f1b3e5a7ca70fe4ff75f0.us-east-1.aws.found.io/app/kibana#/discover/Steve-Slow-Train-Analysis-(2080s-and-2083s)?_g=(refreshInterval:(display:Off,pause:!f,section:0,value:0),time:(from:'2017-08-11T02:17:02-0600',mode:absolute,to:'2017-08-11T04:30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2" s="197" t="str">
        <f>IF(AA212&lt;VLOOKUP(AG212,Variables!$AC$3:$AD$8,2,FALSE),"Y","N")</f>
        <v>Y</v>
      </c>
      <c r="X212" s="197">
        <f t="shared" si="146"/>
        <v>1</v>
      </c>
      <c r="Y212" s="197">
        <f t="shared" si="148"/>
        <v>2.3451</v>
      </c>
      <c r="Z212" s="197">
        <f t="shared" si="147"/>
        <v>1.67E-2</v>
      </c>
      <c r="AA212" s="197">
        <f t="shared" si="143"/>
        <v>2.3283999999999998</v>
      </c>
      <c r="AB212" s="54" t="e">
        <f>VLOOKUP(A212,Enforcements!$C$7:$K$12,8,0)</f>
        <v>#N/A</v>
      </c>
      <c r="AC212" s="51" t="e">
        <f>VLOOKUP(A212,Enforcements!$C$7:$E$12,3,0)</f>
        <v>#N/A</v>
      </c>
      <c r="AD212" s="206">
        <f t="shared" si="144"/>
        <v>302</v>
      </c>
      <c r="AE212" s="77" t="str">
        <f t="shared" si="152"/>
        <v>aws s3 cp s3://rtdc.mdm.uploadarchive.raw/RTDC4011/ "%USERPROFILE%\AppData\Local\Temp\OnboardLogs"\RTDC4011\2017-08-11 --exclude "*" --recursive --include "*20170811*" &amp; "%USERPROFILE%\Documents\GitHub\mrs-test-scripts\Headless Mode &amp; Sideloading\WalkAndUnGZ.bat" "%USERPROFILE%\AppData\Local\Temp\OnboardLogs"\RTDC4011\2017-08-11 &amp; aws s3 cp s3://rtdc.mdm.uploadarchive.raw/RTDC4011/ "%USERPROFILE%\AppData\Local\Temp\OnboardLogs"\RTDC4011\2017-08-12 --exclude "*" --recursive --include "*20170812*" &amp; "%USERPROFILE%\Documents\GitHub\mrs-test-scripts\Headless Mode &amp; Sideloading\WalkAndUnGZ.bat" "%USERPROFILE%\AppData\Local\Temp\OnboardLogs"\RTDC4011\2017-08-12</v>
      </c>
      <c r="AF212" s="74" t="str">
        <f t="shared" si="153"/>
        <v>"C:\Program Files (x86)\AstroGrep\AstroGrep.exe" /e /r /s /spath="%USERPROFILE%\AppData\Local\Temp\OnboardLogs" /stypes="app*4011*20170811*" /stext=" 09:.+((SYSTEM_STATE.+slice.+state.+changed )|(ment ac)|(multiple cpu faults)|(system.+state.+changed )|(\[timeout)|(PRM\|1\|D)|(kpr)|(kdp)|(train st.+moving)|(\|lc)|(penalty))"</v>
      </c>
      <c r="AG212" s="209" t="str">
        <f t="shared" si="145"/>
        <v>Other</v>
      </c>
      <c r="AH212" s="78" t="str">
        <f t="shared" si="154"/>
        <v>"%USERPROFILE%\Documents\GitHub\eaglep3\Utilities\RefineRTDCRunTimes.py" --tripid 302-11 --locoid 4011 --swversion DE.1.0.9.0 --startMP 300:23451 --initTime 2017-08-11T03:17:02 --startdatetime 2017-08-11T03:21:35 --delay 4 --endMP 204:167 --enddatetime 2017-08-11T03:30:56 --enforcementcount 0 &gt;&gt;C:\Users\stu\Documents\GitHub\eaglep3-reporting\EC\2017-08-11-refined-times.txt</v>
      </c>
      <c r="AI212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{"issue":{"subject":"","project_id":79,"tracker_id":40,"status_id":1,"priority_id":2,"assigned_to_id":23,"start_date":"2017-08-11","description":"","custom_fields":[{"id":1,"name":"Subdivision","value":"Other"},{"id":4,"name":"Milepost","value":"0.0167"},{"id":17,"name":"Train ID","value":"302-11"},{"id":16,"name":"Locomotive ID","value":"4011"},{"id":130,"name":"Impact","value":""},{"id":150,"name":"Time of Event (Mountain Time)","value":"03:30:56"},{"id":151,"name":"Denver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56"/>
        <v>start /low /b %USERPROFILE%\Documents\GitHub\eaglep3\Utilities\DownloadLogsFromS3.py --loco 4011 --day 2017-08-11</v>
      </c>
      <c r="AN212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09:30:56"},{"id":29,"name":"Sharepoint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s="20" customFormat="1" x14ac:dyDescent="0.25">
      <c r="A213" s="32" t="s">
        <v>832</v>
      </c>
      <c r="B213" s="7">
        <v>4014</v>
      </c>
      <c r="C213" s="21" t="s">
        <v>198</v>
      </c>
      <c r="D213" s="21" t="s">
        <v>943</v>
      </c>
      <c r="E213" s="13">
        <v>42958.797951388886</v>
      </c>
      <c r="F213" s="13">
        <v>42958.799490740741</v>
      </c>
      <c r="G213" s="7">
        <v>1</v>
      </c>
      <c r="H213" s="21" t="s">
        <v>345</v>
      </c>
      <c r="I213" s="13">
        <v>42958.805462962962</v>
      </c>
      <c r="J213" s="7">
        <v>0</v>
      </c>
      <c r="K213" s="89" t="str">
        <f t="shared" si="140"/>
        <v>4013/4014</v>
      </c>
      <c r="L213" s="21" t="str">
        <f>VLOOKUP(A213,'Trips&amp;Operators'!$C$1:$G$99999,5,FALSE)</f>
        <v>LEVIN SCOTT</v>
      </c>
      <c r="M213" s="6">
        <f t="shared" si="141"/>
        <v>5.9722222213167697E-3</v>
      </c>
      <c r="N213" s="7">
        <f t="shared" si="149"/>
        <v>8.5999999986961484</v>
      </c>
      <c r="O213" s="7"/>
      <c r="P213" s="7"/>
      <c r="Q213" s="22"/>
      <c r="R213" s="170"/>
      <c r="S213" s="213">
        <f t="shared" si="150"/>
        <v>1</v>
      </c>
      <c r="T213" s="195" t="str">
        <f t="shared" si="142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151"/>
        <v>https://d0f6bd738d7f1b3e5a7ca70fe4ff75f0.us-east-1.aws.found.io/app/kibana#/discover/Steve-Slow-Train-Analysis-(2080s-and-2083s)?_g=(refreshInterval:(display:Off,pause:!f,section:0,value:0),time:(from:'2017-08-11T18:09:03-0600',mode:absolute,to:'2017-08-11T20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3" s="197" t="str">
        <f>IF(AA213&lt;VLOOKUP(AG213,Variables!$AC$3:$AD$8,2,FALSE),"Y","N")</f>
        <v>Y</v>
      </c>
      <c r="X213" s="197">
        <f t="shared" si="146"/>
        <v>1</v>
      </c>
      <c r="Y213" s="197">
        <f t="shared" si="148"/>
        <v>4.3799999999999999E-2</v>
      </c>
      <c r="Z213" s="197">
        <f t="shared" si="147"/>
        <v>2.3346</v>
      </c>
      <c r="AA213" s="197">
        <f t="shared" si="143"/>
        <v>2.2907999999999999</v>
      </c>
      <c r="AB213" s="54" t="e">
        <f>VLOOKUP(A213,Enforcements!$C$7:$K$12,8,0)</f>
        <v>#N/A</v>
      </c>
      <c r="AC213" s="51" t="e">
        <f>VLOOKUP(A213,Enforcements!$C$7:$E$12,3,0)</f>
        <v>#N/A</v>
      </c>
      <c r="AD213" s="206">
        <f t="shared" si="144"/>
        <v>303</v>
      </c>
      <c r="AE213" s="77" t="str">
        <f t="shared" si="152"/>
        <v>aws s3 cp s3://rtdc.mdm.uploadarchive.raw/RTDC4014/ "%USERPROFILE%\AppData\Local\Temp\OnboardLogs"\RTDC4014\2017-08-11 --exclude "*" --recursive --include "*20170811*" &amp; "%USERPROFILE%\Documents\GitHub\mrs-test-scripts\Headless Mode &amp; Sideloading\WalkAndUnGZ.bat" "%USERPROFILE%\AppData\Local\Temp\OnboardLogs"\RTDC4014\2017-08-11 &amp; 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</v>
      </c>
      <c r="AF213" s="74" t="str">
        <f t="shared" si="153"/>
        <v>"C:\Program Files (x86)\AstroGrep\AstroGrep.exe" /e /r /s /spath="%USERPROFILE%\AppData\Local\Temp\OnboardLogs" /stypes="app*4014*20170812*" /stext=" 01:.+((SYSTEM_STATE.+slice.+state.+changed )|(ment ac)|(multiple cpu faults)|(system.+state.+changed )|(\[timeout)|(PRM\|1\|D)|(kpr)|(kdp)|(train st.+moving)|(\|lc)|(penalty))"</v>
      </c>
      <c r="AG213" s="209" t="str">
        <f t="shared" si="145"/>
        <v>Other</v>
      </c>
      <c r="AH213" s="78" t="str">
        <f t="shared" si="154"/>
        <v>"%USERPROFILE%\Documents\GitHub\eaglep3\Utilities\RefineRTDCRunTimes.py" --tripid 303-11 --locoid 4014 --swversion DE.1.0.9.0 --startMP 204:438 --initTime 2017-08-11T19:09:03 --startdatetime 2017-08-11T19:11:16 --delay 1 --endMP 300:23346 --enddatetime 2017-08-11T19:19:52 --enforcementcount 0 &gt;&gt;C:\Users\stu\Documents\GitHub\eaglep3-reporting\EC\2017-08-11-refined-times.txt</v>
      </c>
      <c r="AI213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{"issue":{"subject":"","project_id":79,"tracker_id":40,"status_id":1,"priority_id":2,"assigned_to_id":23,"start_date":"2017-08-11","description":"","custom_fields":[{"id":1,"name":"Subdivision","value":"Other"},{"id":4,"name":"Milepost","value":"2.3346"},{"id":17,"name":"Train ID","value":"303-11"},{"id":16,"name":"Locomotive ID","value":"4014"},{"id":130,"name":"Impact","value":""},{"id":150,"name":"Time of Event (Mountain Time)","value":"19:19:52"},{"id":151,"name":"Denver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56"/>
        <v>start /low /b %USERPROFILE%\Documents\GitHub\eaglep3\Utilities\DownloadLogsFromS3.py --loco 4014 --day 2017-08-11</v>
      </c>
      <c r="AN213" s="151" t="str">
        <f t="shared" si="15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01:19:52"},{"id":29,"name":"Sharepoint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832</v>
      </c>
      <c r="B214" s="7">
        <v>4014</v>
      </c>
      <c r="C214" s="21" t="s">
        <v>198</v>
      </c>
      <c r="D214" s="21" t="s">
        <v>345</v>
      </c>
      <c r="E214" s="13">
        <v>42958.797951388886</v>
      </c>
      <c r="F214" s="13">
        <v>42958.799490740741</v>
      </c>
      <c r="G214" s="7">
        <v>10</v>
      </c>
      <c r="H214" s="21" t="s">
        <v>345</v>
      </c>
      <c r="I214" s="13">
        <v>42958.805462962962</v>
      </c>
      <c r="J214" s="7">
        <v>0</v>
      </c>
      <c r="K214" s="89" t="str">
        <f t="shared" si="140"/>
        <v>4013/4014</v>
      </c>
      <c r="L214" s="21" t="str">
        <f>VLOOKUP(A214,'Trips&amp;Operators'!$C$1:$G$99999,5,FALSE)</f>
        <v>LEVIN SCOTT</v>
      </c>
      <c r="M214" s="6">
        <f t="shared" si="141"/>
        <v>5.9722222213167697E-3</v>
      </c>
      <c r="N214" s="7">
        <f t="shared" si="149"/>
        <v>8.5999999986961484</v>
      </c>
      <c r="O214" s="7"/>
      <c r="P214" s="7"/>
      <c r="Q214" s="22"/>
      <c r="R214" s="170"/>
      <c r="S214" s="213">
        <f t="shared" si="150"/>
        <v>0</v>
      </c>
      <c r="T214" s="195" t="str">
        <f t="shared" si="142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151"/>
        <v>https://d0f6bd738d7f1b3e5a7ca70fe4ff75f0.us-east-1.aws.found.io/app/kibana#/discover/Steve-Slow-Train-Analysis-(2080s-and-2083s)?_g=(refreshInterval:(display:Off,pause:!f,section:0,value:0),time:(from:'2017-08-11T18:09:03-0600',mode:absolute,to:'2017-08-11T20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4" s="197" t="str">
        <f>IF(AA214&lt;VLOOKUP(AG214,Variables!$AC$3:$AD$8,2,FALSE),"Y","N")</f>
        <v>Y</v>
      </c>
      <c r="X214" s="197">
        <f t="shared" si="146"/>
        <v>0</v>
      </c>
      <c r="Y214" s="197">
        <f t="shared" si="148"/>
        <v>2.3346</v>
      </c>
      <c r="Z214" s="197">
        <f t="shared" si="147"/>
        <v>2.3346</v>
      </c>
      <c r="AA214" s="197">
        <f t="shared" si="143"/>
        <v>0</v>
      </c>
      <c r="AB214" s="54" t="e">
        <f>VLOOKUP(A214,Enforcements!$C$7:$K$12,8,0)</f>
        <v>#N/A</v>
      </c>
      <c r="AC214" s="51" t="e">
        <f>VLOOKUP(A214,Enforcements!$C$7:$E$12,3,0)</f>
        <v>#N/A</v>
      </c>
      <c r="AD214" s="206">
        <f t="shared" si="144"/>
        <v>303</v>
      </c>
      <c r="AE214" s="77" t="str">
        <f t="shared" si="152"/>
        <v>aws s3 cp s3://rtdc.mdm.uploadarchive.raw/RTDC4014/ "%USERPROFILE%\AppData\Local\Temp\OnboardLogs"\RTDC4014\2017-08-11 --exclude "*" --recursive --include "*20170811*" &amp; "%USERPROFILE%\Documents\GitHub\mrs-test-scripts\Headless Mode &amp; Sideloading\WalkAndUnGZ.bat" "%USERPROFILE%\AppData\Local\Temp\OnboardLogs"\RTDC4014\2017-08-11 &amp; 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</v>
      </c>
      <c r="AF214" s="74" t="str">
        <f t="shared" si="153"/>
        <v>"C:\Program Files (x86)\AstroGrep\AstroGrep.exe" /e /r /s /spath="%USERPROFILE%\AppData\Local\Temp\OnboardLogs" /stypes="app*4014*20170812*" /stext=" 01:.+((SYSTEM_STATE.+slice.+state.+changed )|(ment ac)|(multiple cpu faults)|(system.+state.+changed )|(\[timeout)|(PRM\|1\|D)|(kpr)|(kdp)|(train st.+moving)|(\|lc)|(penalty))"</v>
      </c>
      <c r="AG214" s="209" t="str">
        <f t="shared" si="145"/>
        <v>Other</v>
      </c>
      <c r="AH214" s="78" t="str">
        <f t="shared" si="154"/>
        <v>"%USERPROFILE%\Documents\GitHub\eaglep3\Utilities\RefineRTDCRunTimes.py" --tripid 303-11 --locoid 4014 --swversion DE.1.0.9.0 --startMP 300:23346 --initTime 2017-08-11T19:09:03 --startdatetime 2017-08-11T19:11:16 --delay 10 --endMP 300:23346 --enddatetime 2017-08-11T19:19:52 --enforcementcount 0 &gt;&gt;C:\Users\stu\Documents\GitHub\eaglep3-reporting\EC\2017-08-11-refined-times.txt</v>
      </c>
      <c r="AI214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{"issue":{"subject":"","project_id":79,"tracker_id":40,"status_id":1,"priority_id":2,"assigned_to_id":23,"start_date":"2017-08-11","description":"","custom_fields":[{"id":1,"name":"Subdivision","value":"Other"},{"id":4,"name":"Milepost","value":"2.3346"},{"id":17,"name":"Train ID","value":"303-11"},{"id":16,"name":"Locomotive ID","value":"4014"},{"id":130,"name":"Impact","value":""},{"id":150,"name":"Time of Event (Mountain Time)","value":"19:19:52"},{"id":151,"name":"Denver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56"/>
        <v>start /low /b %USERPROFILE%\Documents\GitHub\eaglep3\Utilities\DownloadLogsFromS3.py --loco 4014 --day 2017-08-11</v>
      </c>
      <c r="AN214" s="151" t="str">
        <f t="shared" si="15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01:19:52"},{"id":29,"name":"Sharepoint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648</v>
      </c>
      <c r="B215" s="7">
        <v>4065</v>
      </c>
      <c r="C215" s="21" t="s">
        <v>198</v>
      </c>
      <c r="D215" s="21" t="s">
        <v>944</v>
      </c>
      <c r="E215" s="13">
        <v>42958.15996527778</v>
      </c>
      <c r="F215" s="13">
        <v>42958.163761574076</v>
      </c>
      <c r="G215" s="7">
        <v>5</v>
      </c>
      <c r="H215" s="21" t="s">
        <v>452</v>
      </c>
      <c r="I215" s="13">
        <v>42958.169791666667</v>
      </c>
      <c r="J215" s="7">
        <v>0</v>
      </c>
      <c r="K215" s="89" t="str">
        <f t="shared" ref="K215:K246" si="158">IF(ISEVEN(B215),(B215-1)&amp;"/"&amp;B215,B215&amp;"/"&amp;(B215+1))</f>
        <v>4065/4066</v>
      </c>
      <c r="L215" s="21" t="str">
        <f>VLOOKUP(A215,'Trips&amp;Operators'!$C$1:$G$99999,5,FALSE)</f>
        <v>GUNTHIER ERIC</v>
      </c>
      <c r="M215" s="6">
        <f t="shared" ref="M215:M246" si="159">I215-F215</f>
        <v>6.0300925906631164E-3</v>
      </c>
      <c r="N215" s="7">
        <f t="shared" si="149"/>
        <v>8.6833333305548877</v>
      </c>
      <c r="O215" s="7"/>
      <c r="P215" s="7"/>
      <c r="Q215" s="22"/>
      <c r="R215" s="170"/>
      <c r="S215" s="213">
        <f t="shared" si="150"/>
        <v>1</v>
      </c>
      <c r="T215" s="195" t="str">
        <f t="shared" ref="T215:T246" si="160">IF(ISEVEN(LEFT(AD215,4)),"Southbound","NorthBound")</f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151"/>
        <v>https://d0f6bd738d7f1b3e5a7ca70fe4ff75f0.us-east-1.aws.found.io/app/kibana#/discover/Steve-Slow-Train-Analysis-(2080s-and-2083s)?_g=(refreshInterval:(display:Off,pause:!f,section:0,value:0),time:(from:'2017-08-11T02:50:21-0600',mode:absolute,to:'2017-08-11T05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5" s="197" t="str">
        <f>IF(AA215&lt;VLOOKUP(AG215,Variables!$AC$3:$AD$8,2,FALSE),"Y","N")</f>
        <v>Y</v>
      </c>
      <c r="X215" s="197">
        <f t="shared" si="146"/>
        <v>1</v>
      </c>
      <c r="Y215" s="197">
        <f t="shared" si="148"/>
        <v>2.3445999999999998</v>
      </c>
      <c r="Z215" s="197">
        <f t="shared" si="147"/>
        <v>1.4500000000000001E-2</v>
      </c>
      <c r="AA215" s="197">
        <f t="shared" ref="AA215:AA246" si="161">ABS(Z215-Y215)</f>
        <v>2.3300999999999998</v>
      </c>
      <c r="AB215" s="54" t="e">
        <f>VLOOKUP(A215,Enforcements!$C$7:$K$12,8,0)</f>
        <v>#N/A</v>
      </c>
      <c r="AC215" s="51" t="e">
        <f>VLOOKUP(A215,Enforcements!$C$7:$E$12,3,0)</f>
        <v>#N/A</v>
      </c>
      <c r="AD215" s="206">
        <f t="shared" ref="AD215:AD246" si="162">VALUE(LEFT(A215,LEN(A215)-3))</f>
        <v>304</v>
      </c>
      <c r="AE215" s="77" t="str">
        <f t="shared" si="152"/>
        <v>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 &amp; aws s3 cp s3://rtdc.mdm.uploadarchive.raw/RTDC4065/ "%USERPROFILE%\AppData\Local\Temp\OnboardLogs"\RTDC4065\2017-08-12 --exclude "*" --recursive --include "*20170812*" &amp; "%USERPROFILE%\Documents\GitHub\mrs-test-scripts\Headless Mode &amp; Sideloading\WalkAndUnGZ.bat" "%USERPROFILE%\AppData\Local\Temp\OnboardLogs"\RTDC4065\2017-08-12</v>
      </c>
      <c r="AF215" s="74" t="str">
        <f t="shared" si="153"/>
        <v>"C:\Program Files (x86)\AstroGrep\AstroGrep.exe" /e /r /s /spath="%USERPROFILE%\AppData\Local\Temp\OnboardLogs" /stypes="app*4065*20170811*" /stext=" 10:.+((SYSTEM_STATE.+slice.+state.+changed )|(ment ac)|(multiple cpu faults)|(system.+state.+changed )|(\[timeout)|(PRM\|1\|D)|(kpr)|(kdp)|(train st.+moving)|(\|lc)|(penalty))"</v>
      </c>
      <c r="AG215" s="209" t="str">
        <f t="shared" ref="AG215:AG246" si="163">DetSubdiv(A215)</f>
        <v>Other</v>
      </c>
      <c r="AH215" s="78" t="str">
        <f t="shared" si="154"/>
        <v>"%USERPROFILE%\Documents\GitHub\eaglep3\Utilities\RefineRTDCRunTimes.py" --tripid 304-11 --locoid 4065 --swversion DE.1.0.9.0 --startMP 300:23446 --initTime 2017-08-11T03:50:21 --startdatetime 2017-08-11T03:55:49 --delay 5 --endMP 204:145 --enddatetime 2017-08-11T04:04:30 --enforcementcount 0 &gt;&gt;C:\Users\stu\Documents\GitHub\eaglep3-reporting\EC\2017-08-11-refined-times.txt</v>
      </c>
      <c r="AI215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{"issue":{"subject":"","project_id":79,"tracker_id":40,"status_id":1,"priority_id":2,"assigned_to_id":23,"start_date":"2017-08-11","description":"","custom_fields":[{"id":1,"name":"Subdivision","value":"Other"},{"id":4,"name":"Milepost","value":"0.0145"},{"id":17,"name":"Train ID","value":"304-11"},{"id":16,"name":"Locomotive ID","value":"4065"},{"id":130,"name":"Impact","value":""},{"id":150,"name":"Time of Event (Mountain Time)","value":"04:04:30"},{"id":151,"name":"Denver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56"/>
        <v>start /low /b %USERPROFILE%\Documents\GitHub\eaglep3\Utilities\DownloadLogsFromS3.py --loco 4065 --day 2017-08-11</v>
      </c>
      <c r="AN215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10:04:30"},{"id":29,"name":"Sharepoint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835</v>
      </c>
      <c r="B216" s="7">
        <v>4060</v>
      </c>
      <c r="C216" s="21" t="s">
        <v>198</v>
      </c>
      <c r="D216" s="21" t="s">
        <v>526</v>
      </c>
      <c r="E216" s="13">
        <v>42958.817893518521</v>
      </c>
      <c r="F216" s="13">
        <v>42958.819953703707</v>
      </c>
      <c r="G216" s="7">
        <v>1</v>
      </c>
      <c r="H216" s="21" t="s">
        <v>584</v>
      </c>
      <c r="I216" s="13">
        <v>42958.826041666667</v>
      </c>
      <c r="J216" s="7">
        <v>0</v>
      </c>
      <c r="K216" s="89" t="str">
        <f t="shared" si="158"/>
        <v>4059/4060</v>
      </c>
      <c r="L216" s="21" t="str">
        <f>VLOOKUP(A216,'Trips&amp;Operators'!$C$1:$G$99999,5,FALSE)</f>
        <v>HOLCOMB KAMDEN</v>
      </c>
      <c r="M216" s="6">
        <f t="shared" si="159"/>
        <v>6.0879629600094631E-3</v>
      </c>
      <c r="N216" s="7">
        <f t="shared" si="149"/>
        <v>8.7666666624136269</v>
      </c>
      <c r="O216" s="7"/>
      <c r="P216" s="7"/>
      <c r="Q216" s="22"/>
      <c r="R216" s="170"/>
      <c r="S216" s="213">
        <f t="shared" si="150"/>
        <v>1</v>
      </c>
      <c r="T216" s="195" t="str">
        <f t="shared" si="160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151"/>
        <v>https://d0f6bd738d7f1b3e5a7ca70fe4ff75f0.us-east-1.aws.found.io/app/kibana#/discover/Steve-Slow-Train-Analysis-(2080s-and-2083s)?_g=(refreshInterval:(display:Off,pause:!f,section:0,value:0),time:(from:'2017-08-11T18:37:46-0600',mode:absolute,to:'2017-08-11T20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6" s="197" t="str">
        <f>IF(AA216&lt;VLOOKUP(AG216,Variables!$AC$3:$AD$8,2,FALSE),"Y","N")</f>
        <v>Y</v>
      </c>
      <c r="X216" s="197">
        <f t="shared" si="146"/>
        <v>1</v>
      </c>
      <c r="Y216" s="197">
        <f t="shared" si="148"/>
        <v>4.3099999999999999E-2</v>
      </c>
      <c r="Z216" s="197">
        <f t="shared" si="147"/>
        <v>2.3300999999999998</v>
      </c>
      <c r="AA216" s="197">
        <f t="shared" si="161"/>
        <v>2.2869999999999999</v>
      </c>
      <c r="AB216" s="54" t="e">
        <f>VLOOKUP(A216,Enforcements!$C$7:$K$12,8,0)</f>
        <v>#N/A</v>
      </c>
      <c r="AC216" s="51" t="e">
        <f>VLOOKUP(A216,Enforcements!$C$7:$E$12,3,0)</f>
        <v>#N/A</v>
      </c>
      <c r="AD216" s="206">
        <f t="shared" si="162"/>
        <v>305</v>
      </c>
      <c r="AE216" s="77" t="str">
        <f t="shared" si="152"/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AF216" s="74" t="str">
        <f t="shared" si="153"/>
        <v>"C:\Program Files (x86)\AstroGrep\AstroGrep.exe" /e /r /s /spath="%USERPROFILE%\AppData\Local\Temp\OnboardLogs" /stypes="app*4060*20170812*" /stext=" 01:.+((SYSTEM_STATE.+slice.+state.+changed )|(ment ac)|(multiple cpu faults)|(system.+state.+changed )|(\[timeout)|(PRM\|1\|D)|(kpr)|(kdp)|(train st.+moving)|(\|lc)|(penalty))"</v>
      </c>
      <c r="AG216" s="209" t="str">
        <f t="shared" si="163"/>
        <v>Other</v>
      </c>
      <c r="AH216" s="78" t="str">
        <f t="shared" si="154"/>
        <v>"%USERPROFILE%\Documents\GitHub\eaglep3\Utilities\RefineRTDCRunTimes.py" --tripid 305-11 --locoid 4060 --swversion DE.1.0.9.0 --startMP 204:431 --initTime 2017-08-11T19:37:46 --startdatetime 2017-08-11T19:40:44 --delay 1 --endMP 300:23301 --enddatetime 2017-08-11T19:49:30 --enforcementcount 0 &gt;&gt;C:\Users\stu\Documents\GitHub\eaglep3-reporting\EC\2017-08-11-refined-times.txt</v>
      </c>
      <c r="AI216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{"issue":{"subject":"","project_id":79,"tracker_id":40,"status_id":1,"priority_id":2,"assigned_to_id":23,"start_date":"2017-08-11","description":"","custom_fields":[{"id":1,"name":"Subdivision","value":"Other"},{"id":4,"name":"Milepost","value":"2.3301"},{"id":17,"name":"Train ID","value":"305-11"},{"id":16,"name":"Locomotive ID","value":"4060"},{"id":130,"name":"Impact","value":""},{"id":150,"name":"Time of Event (Mountain Time)","value":"19:49:30"},{"id":151,"name":"Denver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56"/>
        <v>start /low /b %USERPROFILE%\Documents\GitHub\eaglep3\Utilities\DownloadLogsFromS3.py --loco 4060 --day 2017-08-11</v>
      </c>
      <c r="AN216" s="151" t="str">
        <f t="shared" si="15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01:49:30"},{"id":29,"name":"Sharepoint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600</v>
      </c>
      <c r="B217" s="7">
        <v>4057</v>
      </c>
      <c r="C217" s="21" t="s">
        <v>198</v>
      </c>
      <c r="D217" s="21" t="s">
        <v>945</v>
      </c>
      <c r="E217" s="13">
        <v>42958.167858796296</v>
      </c>
      <c r="F217" s="13">
        <v>42958.175821759258</v>
      </c>
      <c r="G217" s="7">
        <v>11</v>
      </c>
      <c r="H217" s="21" t="s">
        <v>482</v>
      </c>
      <c r="I217" s="13">
        <v>42958.175983796296</v>
      </c>
      <c r="J217" s="7">
        <v>0</v>
      </c>
      <c r="K217" s="89" t="str">
        <f t="shared" si="158"/>
        <v>4057/4058</v>
      </c>
      <c r="L217" s="21" t="str">
        <f>VLOOKUP(A217,'Trips&amp;Operators'!$C$1:$G$99999,5,FALSE)</f>
        <v>BARRON PERLA</v>
      </c>
      <c r="M217" s="6">
        <f t="shared" si="159"/>
        <v>1.6203703853534535E-4</v>
      </c>
      <c r="N217" s="7">
        <f t="shared" si="149"/>
        <v>0.2333333354908973</v>
      </c>
      <c r="O217" s="7"/>
      <c r="P217" s="7"/>
      <c r="Q217" s="22"/>
      <c r="R217" s="170"/>
      <c r="S217" s="213">
        <f t="shared" si="150"/>
        <v>1</v>
      </c>
      <c r="T217" s="195" t="str">
        <f t="shared" si="160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151"/>
        <v>https://d0f6bd738d7f1b3e5a7ca70fe4ff75f0.us-east-1.aws.found.io/app/kibana#/discover/Steve-Slow-Train-Analysis-(2080s-and-2083s)?_g=(refreshInterval:(display:Off,pause:!f,section:0,value:0),time:(from:'2017-08-11T03:01:43-0600',mode:absolute,to:'2017-08-11T05:13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7" s="197" t="str">
        <f>IF(AA217&lt;VLOOKUP(AG217,Variables!$AC$3:$AD$8,2,FALSE),"Y","N")</f>
        <v>Y</v>
      </c>
      <c r="X217" s="197">
        <f t="shared" si="146"/>
        <v>1</v>
      </c>
      <c r="Y217" s="197">
        <f t="shared" si="148"/>
        <v>2.3601000000000001</v>
      </c>
      <c r="Z217" s="197">
        <f t="shared" si="147"/>
        <v>1.34E-2</v>
      </c>
      <c r="AA217" s="197">
        <f t="shared" si="161"/>
        <v>2.3467000000000002</v>
      </c>
      <c r="AB217" s="54" t="e">
        <f>VLOOKUP(A217,Enforcements!$C$7:$K$12,8,0)</f>
        <v>#N/A</v>
      </c>
      <c r="AC217" s="51" t="e">
        <f>VLOOKUP(A217,Enforcements!$C$7:$E$12,3,0)</f>
        <v>#N/A</v>
      </c>
      <c r="AD217" s="206">
        <f t="shared" si="162"/>
        <v>306</v>
      </c>
      <c r="AE217" s="77" t="str">
        <f t="shared" si="152"/>
        <v>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 &amp; aws s3 cp s3://rtdc.mdm.uploadarchive.raw/RTDC4057/ "%USERPROFILE%\AppData\Local\Temp\OnboardLogs"\RTDC4057\2017-08-12 --exclude "*" --recursive --include "*20170812*" &amp; "%USERPROFILE%\Documents\GitHub\mrs-test-scripts\Headless Mode &amp; Sideloading\WalkAndUnGZ.bat" "%USERPROFILE%\AppData\Local\Temp\OnboardLogs"\RTDC4057\2017-08-12</v>
      </c>
      <c r="AF217" s="74" t="str">
        <f t="shared" si="153"/>
        <v>"C:\Program Files (x86)\AstroGrep\AstroGrep.exe" /e /r /s /spath="%USERPROFILE%\AppData\Local\Temp\OnboardLogs" /stypes="app*4057*20170811*" /stext=" 10:.+((SYSTEM_STATE.+slice.+state.+changed )|(ment ac)|(multiple cpu faults)|(system.+state.+changed )|(\[timeout)|(PRM\|1\|D)|(kpr)|(kdp)|(train st.+moving)|(\|lc)|(penalty))"</v>
      </c>
      <c r="AG217" s="209" t="str">
        <f t="shared" si="163"/>
        <v>Other</v>
      </c>
      <c r="AH217" s="78" t="str">
        <f t="shared" si="154"/>
        <v>"%USERPROFILE%\Documents\GitHub\eaglep3\Utilities\RefineRTDCRunTimes.py" --tripid 306-11 --locoid 4057 --swversion DE.1.0.9.0 --startMP 300:23601 --initTime 2017-08-11T04:01:43 --startdatetime 2017-08-11T04:13:11 --delay 11 --endMP 204:134 --enddatetime 2017-08-11T04:13:25 --enforcementcount 0 &gt;&gt;C:\Users\stu\Documents\GitHub\eaglep3-reporting\EC\2017-08-11-refined-times.txt</v>
      </c>
      <c r="AI217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{"issue":{"subject":"","project_id":79,"tracker_id":40,"status_id":1,"priority_id":2,"assigned_to_id":23,"start_date":"2017-08-11","description":"","custom_fields":[{"id":1,"name":"Subdivision","value":"Other"},{"id":4,"name":"Milepost","value":"0.0134"},{"id":17,"name":"Train ID","value":"306-11"},{"id":16,"name":"Locomotive ID","value":"4057"},{"id":130,"name":"Impact","value":""},{"id":150,"name":"Time of Event (Mountain Time)","value":"04:13:25"},{"id":151,"name":"Denver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56"/>
        <v>start /low /b %USERPROFILE%\Documents\GitHub\eaglep3\Utilities\DownloadLogsFromS3.py --loco 4057 --day 2017-08-11</v>
      </c>
      <c r="AN217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10:13:25"},{"id":29,"name":"Sharepoint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863</v>
      </c>
      <c r="B218" s="7">
        <v>4012</v>
      </c>
      <c r="C218" s="21" t="s">
        <v>198</v>
      </c>
      <c r="D218" s="21" t="s">
        <v>446</v>
      </c>
      <c r="E218" s="13">
        <v>42959.046990740739</v>
      </c>
      <c r="F218" s="13">
        <v>42959.048356481479</v>
      </c>
      <c r="G218" s="7">
        <v>0</v>
      </c>
      <c r="H218" s="21" t="s">
        <v>946</v>
      </c>
      <c r="I218" s="13">
        <v>25568.708333333332</v>
      </c>
      <c r="J218" s="7">
        <v>0</v>
      </c>
      <c r="K218" s="89" t="str">
        <f t="shared" si="158"/>
        <v>4011/4012</v>
      </c>
      <c r="L218" s="21" t="str">
        <f>VLOOKUP(A218,'Trips&amp;Operators'!$C$1:$G$99999,5,FALSE)</f>
        <v>HELVIE ADAM</v>
      </c>
      <c r="M218" s="6">
        <f t="shared" si="159"/>
        <v>-17390.340023148146</v>
      </c>
      <c r="N218" s="7">
        <f t="shared" si="149"/>
        <v>-25042089.633333329</v>
      </c>
      <c r="O218" s="7"/>
      <c r="P218" s="7"/>
      <c r="Q218" s="22"/>
      <c r="R218" s="170"/>
      <c r="S218" s="213">
        <f t="shared" si="150"/>
        <v>1</v>
      </c>
      <c r="T218" s="195" t="str">
        <f t="shared" si="160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151"/>
        <v>https://d0f6bd738d7f1b3e5a7ca70fe4ff75f0.us-east-1.aws.found.io/app/kibana#/discover/Steve-Slow-Train-Analysis-(2080s-and-2083s)?_g=(refreshInterval:(display:Off,pause:!f,section:0,value:0),time:(from:'2017-08-12T00:07:40-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8" s="197" t="str">
        <f>IF(AA218&lt;VLOOKUP(AG218,Variables!$AC$3:$AD$8,2,FALSE),"Y","N")</f>
        <v>Y</v>
      </c>
      <c r="X218" s="197">
        <f t="shared" si="146"/>
        <v>1</v>
      </c>
      <c r="Y218" s="197">
        <f t="shared" si="148"/>
        <v>4.6399999999999997E-2</v>
      </c>
      <c r="Z218" s="197">
        <f t="shared" si="147"/>
        <v>1.7430000000000001</v>
      </c>
      <c r="AA218" s="197">
        <f t="shared" si="161"/>
        <v>1.6966000000000001</v>
      </c>
      <c r="AB218" s="54" t="e">
        <f>VLOOKUP(A218,Enforcements!$C$7:$K$12,8,0)</f>
        <v>#N/A</v>
      </c>
      <c r="AC218" s="51" t="e">
        <f>VLOOKUP(A218,Enforcements!$C$7:$E$12,3,0)</f>
        <v>#N/A</v>
      </c>
      <c r="AD218" s="206">
        <f t="shared" si="162"/>
        <v>307</v>
      </c>
      <c r="AE218" s="77" t="str">
        <f t="shared" si="152"/>
        <v>aws s3 cp s3://rtdc.mdm.uploadarchive.raw/RTDC4012/ "%USERPROFILE%\AppData\Local\Temp\OnboardLogs"\RTDC4012\2017-08-12 --exclude "*" --recursive --include "*20170812*" &amp; "%USERPROFILE%\Documents\GitHub\mrs-test-scripts\Headless Mode &amp; Sideloading\WalkAndUnGZ.bat" "%USERPROFILE%\AppData\Local\Temp\OnboardLogs"\RTDC4012\2017-08-12 &amp; aws s3 cp s3://rtdc.mdm.uploadarchive.raw/RTDC4012/ "%USERPROFILE%\AppData\Local\Temp\OnboardLogs"\RTDC4012\2017-08-13 --exclude "*" --recursive --include "*20170813*" &amp; "%USERPROFILE%\Documents\GitHub\mrs-test-scripts\Headless Mode &amp; Sideloading\WalkAndUnGZ.bat" "%USERPROFILE%\AppData\Local\Temp\OnboardLogs"\RTDC4012\2017-08-13</v>
      </c>
      <c r="AF218" s="74" t="str">
        <f t="shared" si="153"/>
        <v>"C:\Program Files (x86)\AstroGrep\AstroGrep.exe" /e /r /s /spath="%USERPROFILE%\AppData\Local\Temp\OnboardLogs" /stypes="app*4012*19691231*" /stext=" 23:.+((SYSTEM_STATE.+slice.+state.+changed )|(ment ac)|(multiple cpu faults)|(system.+state.+changed )|(\[timeout)|(PRM\|1\|D)|(kpr)|(kdp)|(train st.+moving)|(\|lc)|(penalty))"</v>
      </c>
      <c r="AG218" s="209" t="str">
        <f t="shared" si="163"/>
        <v>Other</v>
      </c>
      <c r="AH218" s="78" t="str">
        <f t="shared" si="154"/>
        <v>"%USERPROFILE%\Documents\GitHub\eaglep3\Utilities\RefineRTDCRunTimes.py" --tripid 307-11 --locoid 4012 --swversion DE.1.0.9.0 --startMP 204:464 --initTime 2017-08-12T01:07:40 --startdatetime 2017-08-12T01:09:38 --delay 0 --endMP 300:17430 --enddatetime 1969-12-31T17:00:00 --enforcementcount 0 &gt;&gt;C:\Users\stu\Documents\GitHub\eaglep3-reporting\EC\2017-08-11-refined-times.txt</v>
      </c>
      <c r="AI218" s="96" t="str">
        <f t="shared" si="155"/>
        <v>echo {"issue":{"subject":"","project_id":79,"tracker_id":40,"status_id":1,"priority_id":2,"assigned_to_id":23,"start_date":"1969-12-31","description":"","custom_fields":[{"id":1,"name":"Subdivision","value":"Other"},{"id":4,"name":"Milepost","value":"1.743"},{"id":17,"name":"Train ID","value":"307-11"},{"id":16,"name":"Locomotive ID","value":"4012"},{"id":130,"name":"Impact","value":""},{"id":150,"name":"Time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56"/>
        <v>start /low /b %USERPROFILE%\Documents\GitHub\eaglep3\Utilities\DownloadLogsFromS3.py --loco 4012 --day 2017-08-12</v>
      </c>
      <c r="AN218" s="151" t="str">
        <f t="shared" si="15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s="20" customFormat="1" x14ac:dyDescent="0.25">
      <c r="A219" s="32" t="s">
        <v>601</v>
      </c>
      <c r="B219" s="7">
        <v>4029</v>
      </c>
      <c r="C219" s="21" t="s">
        <v>198</v>
      </c>
      <c r="D219" s="21" t="s">
        <v>947</v>
      </c>
      <c r="E219" s="13">
        <v>42958.18068287037</v>
      </c>
      <c r="F219" s="13">
        <v>42958.185127314813</v>
      </c>
      <c r="G219" s="7">
        <v>6</v>
      </c>
      <c r="H219" s="21" t="s">
        <v>948</v>
      </c>
      <c r="I219" s="13">
        <v>42958.185266203705</v>
      </c>
      <c r="J219" s="7">
        <v>0</v>
      </c>
      <c r="K219" s="89" t="str">
        <f t="shared" si="158"/>
        <v>4029/4030</v>
      </c>
      <c r="L219" s="21" t="str">
        <f>VLOOKUP(A219,'Trips&amp;Operators'!$C$1:$G$99999,5,FALSE)</f>
        <v>DAVIS WENDY</v>
      </c>
      <c r="M219" s="6">
        <f t="shared" si="159"/>
        <v>1.3888889225199819E-4</v>
      </c>
      <c r="N219" s="7">
        <f t="shared" si="149"/>
        <v>0.20000000484287739</v>
      </c>
      <c r="O219" s="7"/>
      <c r="P219" s="7"/>
      <c r="Q219" s="22"/>
      <c r="R219" s="170"/>
      <c r="S219" s="213">
        <f t="shared" si="150"/>
        <v>0</v>
      </c>
      <c r="T219" s="195" t="str">
        <f t="shared" si="160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6" t="str">
        <f t="shared" si="151"/>
        <v>https://d0f6bd738d7f1b3e5a7ca70fe4ff75f0.us-east-1.aws.found.io/app/kibana#/discover/Steve-Slow-Train-Analysis-(2080s-and-2083s)?_g=(refreshInterval:(display:Off,pause:!f,section:0,value:0),time:(from:'2017-08-11T03:20:11-0600',mode:absolute,to:'2017-08-11T05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9" s="197" t="str">
        <f>IF(AA219&lt;VLOOKUP(AG219,Variables!$AC$3:$AD$8,2,FALSE),"Y","N")</f>
        <v>Y</v>
      </c>
      <c r="X219" s="197">
        <f t="shared" ref="X219:X250" si="164">VALUE(LEFT(AD219,4))-VALUE(LEFT(AD218,4))</f>
        <v>1</v>
      </c>
      <c r="Y219" s="197">
        <f t="shared" si="148"/>
        <v>2.2904</v>
      </c>
      <c r="Z219" s="197">
        <f t="shared" ref="Z219:Z250" si="165">RIGHT(H219,LEN(H219)-4)/10000</f>
        <v>2.238</v>
      </c>
      <c r="AA219" s="197">
        <f t="shared" si="161"/>
        <v>5.2400000000000002E-2</v>
      </c>
      <c r="AB219" s="54" t="e">
        <f>VLOOKUP(A219,Enforcements!$C$7:$K$12,8,0)</f>
        <v>#N/A</v>
      </c>
      <c r="AC219" s="51" t="e">
        <f>VLOOKUP(A219,Enforcements!$C$7:$E$12,3,0)</f>
        <v>#N/A</v>
      </c>
      <c r="AD219" s="206">
        <f t="shared" si="162"/>
        <v>308</v>
      </c>
      <c r="AE219" s="77" t="str">
        <f t="shared" si="152"/>
        <v>aws s3 cp s3://rtdc.mdm.uploadarchive.raw/RTDC4029/ "%USERPROFILE%\AppData\Local\Temp\OnboardLogs"\RTDC4029\2017-08-11 --exclude "*" --recursive --include "*20170811*" &amp; "%USERPROFILE%\Documents\GitHub\mrs-test-scripts\Headless Mode &amp; Sideloading\WalkAndUnGZ.bat" "%USERPROFILE%\AppData\Local\Temp\OnboardLogs"\RTDC4029\2017-08-11 &amp; aws s3 cp s3://rtdc.mdm.uploadarchive.raw/RTDC4029/ "%USERPROFILE%\AppData\Local\Temp\OnboardLogs"\RTDC4029\2017-08-12 --exclude "*" --recursive --include "*20170812*" &amp; "%USERPROFILE%\Documents\GitHub\mrs-test-scripts\Headless Mode &amp; Sideloading\WalkAndUnGZ.bat" "%USERPROFILE%\AppData\Local\Temp\OnboardLogs"\RTDC4029\2017-08-12</v>
      </c>
      <c r="AF219" s="74" t="str">
        <f t="shared" si="153"/>
        <v>"C:\Program Files (x86)\AstroGrep\AstroGrep.exe" /e /r /s /spath="%USERPROFILE%\AppData\Local\Temp\OnboardLogs" /stypes="app*4029*20170811*" /stext=" 10:.+((SYSTEM_STATE.+slice.+state.+changed )|(ment ac)|(multiple cpu faults)|(system.+state.+changed )|(\[timeout)|(PRM\|1\|D)|(kpr)|(kdp)|(train st.+moving)|(\|lc)|(penalty))"</v>
      </c>
      <c r="AG219" s="209" t="str">
        <f t="shared" si="163"/>
        <v>Other</v>
      </c>
      <c r="AH219" s="78" t="str">
        <f t="shared" si="154"/>
        <v>"%USERPROFILE%\Documents\GitHub\eaglep3\Utilities\RefineRTDCRunTimes.py" --tripid 308-11 --locoid 4029 --swversion DE.1.0.9.0 --startMP 300:22904 --initTime 2017-08-11T04:20:11 --startdatetime 2017-08-11T04:26:35 --delay 6 --endMP 300:22380 --enddatetime 2017-08-11T04:26:47 --enforcementcount 0 &gt;&gt;C:\Users\stu\Documents\GitHub\eaglep3-reporting\EC\2017-08-11-refined-times.txt</v>
      </c>
      <c r="AI219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{"issue":{"subject":"","project_id":79,"tracker_id":40,"status_id":1,"priority_id":2,"assigned_to_id":23,"start_date":"2017-08-11","description":"","custom_fields":[{"id":1,"name":"Subdivision","value":"Other"},{"id":4,"name":"Milepost","value":"2.238"},{"id":17,"name":"Train ID","value":"308-11"},{"id":16,"name":"Locomotive ID","value":"4029"},{"id":130,"name":"Impact","value":""},{"id":150,"name":"Time of Event (Mountain Time)","value":"04:26:47"},{"id":151,"name":"Denver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156"/>
        <v>start /low /b %USERPROFILE%\Documents\GitHub\eaglep3\Utilities\DownloadLogsFromS3.py --loco 4029 --day 2017-08-11</v>
      </c>
      <c r="AN219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10:26:47"},{"id":29,"name":"Sharepoint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640</v>
      </c>
      <c r="B220" s="7">
        <v>4058</v>
      </c>
      <c r="C220" s="21" t="s">
        <v>198</v>
      </c>
      <c r="D220" s="21" t="s">
        <v>949</v>
      </c>
      <c r="E220" s="13">
        <v>42959.068194444444</v>
      </c>
      <c r="F220" s="13">
        <v>42959.069965277777</v>
      </c>
      <c r="G220" s="7">
        <v>1</v>
      </c>
      <c r="H220" s="21" t="s">
        <v>585</v>
      </c>
      <c r="I220" s="13">
        <v>42959.084351851852</v>
      </c>
      <c r="J220" s="7">
        <v>0</v>
      </c>
      <c r="K220" s="89" t="str">
        <f t="shared" si="158"/>
        <v>4057/4058</v>
      </c>
      <c r="L220" s="21" t="str">
        <f>VLOOKUP(A220,'Trips&amp;Operators'!$C$1:$G$99999,5,FALSE)</f>
        <v>PERKINS DARREN</v>
      </c>
      <c r="M220" s="6">
        <f t="shared" si="159"/>
        <v>1.4386574075615499E-2</v>
      </c>
      <c r="N220" s="7">
        <f t="shared" si="149"/>
        <v>20.716666668886319</v>
      </c>
      <c r="O220" s="7"/>
      <c r="P220" s="7"/>
      <c r="Q220" s="22"/>
      <c r="R220" s="170"/>
      <c r="S220" s="213">
        <f t="shared" si="150"/>
        <v>1</v>
      </c>
      <c r="T220" s="195" t="str">
        <f t="shared" si="160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151"/>
        <v>https://d0f6bd738d7f1b3e5a7ca70fe4ff75f0.us-east-1.aws.found.io/app/kibana#/discover/Steve-Slow-Train-Analysis-(2080s-and-2083s)?_g=(refreshInterval:(display:Off,pause:!f,section:0,value:0),time:(from:'2017-08-12T00:38:12-0600',mode:absolute,to:'2017-08-12T03:01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0" s="197" t="str">
        <f>IF(AA220&lt;VLOOKUP(AG220,Variables!$AC$3:$AD$8,2,FALSE),"Y","N")</f>
        <v>Y</v>
      </c>
      <c r="X220" s="197">
        <f t="shared" si="164"/>
        <v>1</v>
      </c>
      <c r="Y220" s="197">
        <f t="shared" si="148"/>
        <v>5.0599999999999999E-2</v>
      </c>
      <c r="Z220" s="197">
        <f t="shared" si="165"/>
        <v>2.3304</v>
      </c>
      <c r="AA220" s="197">
        <f t="shared" si="161"/>
        <v>2.2797999999999998</v>
      </c>
      <c r="AB220" s="54" t="e">
        <f>VLOOKUP(A220,Enforcements!$C$7:$K$12,8,0)</f>
        <v>#N/A</v>
      </c>
      <c r="AC220" s="51" t="e">
        <f>VLOOKUP(A220,Enforcements!$C$7:$E$12,3,0)</f>
        <v>#N/A</v>
      </c>
      <c r="AD220" s="206">
        <f t="shared" si="162"/>
        <v>309</v>
      </c>
      <c r="AE220" s="77" t="str">
        <f t="shared" si="152"/>
        <v>aws s3 cp s3://rtdc.mdm.uploadarchive.raw/RTDC4058/ "%USERPROFILE%\AppData\Local\Temp\OnboardLogs"\RTDC4058\2017-08-12 --exclude "*" --recursive --include "*20170812*" &amp; "%USERPROFILE%\Documents\GitHub\mrs-test-scripts\Headless Mode &amp; Sideloading\WalkAndUnGZ.bat" "%USERPROFILE%\AppData\Local\Temp\OnboardLogs"\RTDC4058\2017-08-12 &amp; aws s3 cp s3://rtdc.mdm.uploadarchive.raw/RTDC4058/ "%USERPROFILE%\AppData\Local\Temp\OnboardLogs"\RTDC4058\2017-08-13 --exclude "*" --recursive --include "*20170813*" &amp; "%USERPROFILE%\Documents\GitHub\mrs-test-scripts\Headless Mode &amp; Sideloading\WalkAndUnGZ.bat" "%USERPROFILE%\AppData\Local\Temp\OnboardLogs"\RTDC4058\2017-08-13</v>
      </c>
      <c r="AF220" s="74" t="str">
        <f t="shared" si="153"/>
        <v>"C:\Program Files (x86)\AstroGrep\AstroGrep.exe" /e /r /s /spath="%USERPROFILE%\AppData\Local\Temp\OnboardLogs" /stypes="app*4058*20170812*" /stext=" 08:.+((SYSTEM_STATE.+slice.+state.+changed )|(ment ac)|(multiple cpu faults)|(system.+state.+changed )|(\[timeout)|(PRM\|1\|D)|(kpr)|(kdp)|(train st.+moving)|(\|lc)|(penalty))"</v>
      </c>
      <c r="AG220" s="209" t="str">
        <f t="shared" si="163"/>
        <v>Other</v>
      </c>
      <c r="AH220" s="78" t="str">
        <f t="shared" si="154"/>
        <v>"%USERPROFILE%\Documents\GitHub\eaglep3\Utilities\RefineRTDCRunTimes.py" --tripid 309-11 --locoid 4058 --swversion DE.1.0.9.0 --startMP 204:506 --initTime 2017-08-12T01:38:12 --startdatetime 2017-08-12T01:40:45 --delay 1 --endMP 300:23304 --enddatetime 2017-08-12T02:01:28 --enforcementcount 0 &gt;&gt;C:\Users\stu\Documents\GitHub\eaglep3-reporting\EC\2017-08-11-refined-times.txt</v>
      </c>
      <c r="AI220" s="96" t="str">
        <f t="shared" si="155"/>
        <v>echo {"issue":{"subject":"","project_id":79,"tracker_id":40,"status_id":1,"priority_id":2,"assigned_to_id":23,"start_date":"2017-08-12","description":"","custom_fields":[{"id":1,"name":"Subdivision","value":"Other"},{"id":4,"name":"Milepost","value":"2.3304"},{"id":17,"name":"Train ID","value":"309-11"},{"id":16,"name":"Locomotive ID","value":"4058"},{"id":130,"name":"Impact","value":""},{"id":150,"name":"Time of Event (Mountain Time)","value":"02:01:28"},{"id":151,"name":"Denver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56"/>
        <v>start /low /b %USERPROFILE%\Documents\GitHub\eaglep3\Utilities\DownloadLogsFromS3.py --loco 4058 --day 2017-08-12</v>
      </c>
      <c r="AN220" s="151" t="str">
        <f t="shared" si="15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08:01:28"},{"id":29,"name":"Sharepoint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651</v>
      </c>
      <c r="B221" s="7">
        <v>4013</v>
      </c>
      <c r="C221" s="21" t="s">
        <v>198</v>
      </c>
      <c r="D221" s="21" t="s">
        <v>950</v>
      </c>
      <c r="E221" s="13">
        <v>42958.208379629628</v>
      </c>
      <c r="F221" s="13">
        <v>42958.2109375</v>
      </c>
      <c r="G221" s="7">
        <v>3</v>
      </c>
      <c r="H221" s="21" t="s">
        <v>342</v>
      </c>
      <c r="I221" s="13">
        <v>42958.216562499998</v>
      </c>
      <c r="J221" s="7">
        <v>0</v>
      </c>
      <c r="K221" s="89" t="str">
        <f t="shared" si="158"/>
        <v>4013/4014</v>
      </c>
      <c r="L221" s="21" t="str">
        <f>VLOOKUP(A221,'Trips&amp;Operators'!$C$1:$G$99999,5,FALSE)</f>
        <v>DAVIDSON DAVID</v>
      </c>
      <c r="M221" s="6">
        <f t="shared" si="159"/>
        <v>5.6249999979627319E-3</v>
      </c>
      <c r="N221" s="7">
        <f t="shared" si="149"/>
        <v>8.0999999970663339</v>
      </c>
      <c r="O221" s="7"/>
      <c r="P221" s="7"/>
      <c r="Q221" s="22"/>
      <c r="R221" s="170"/>
      <c r="S221" s="213">
        <f t="shared" si="150"/>
        <v>1</v>
      </c>
      <c r="T221" s="195" t="str">
        <f t="shared" si="160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151"/>
        <v>https://d0f6bd738d7f1b3e5a7ca70fe4ff75f0.us-east-1.aws.found.io/app/kibana#/discover/Steve-Slow-Train-Analysis-(2080s-and-2083s)?_g=(refreshInterval:(display:Off,pause:!f,section:0,value:0),time:(from:'2017-08-11T04:00:04-0600',mode:absolute,to:'2017-08-11T06:11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1" s="197" t="str">
        <f>IF(AA221&lt;VLOOKUP(AG221,Variables!$AC$3:$AD$8,2,FALSE),"Y","N")</f>
        <v>Y</v>
      </c>
      <c r="X221" s="197">
        <f t="shared" si="164"/>
        <v>1</v>
      </c>
      <c r="Y221" s="197">
        <f t="shared" si="148"/>
        <v>2.3386999999999998</v>
      </c>
      <c r="Z221" s="197">
        <f t="shared" si="165"/>
        <v>1.49E-2</v>
      </c>
      <c r="AA221" s="197">
        <f t="shared" si="161"/>
        <v>2.3237999999999999</v>
      </c>
      <c r="AB221" s="54" t="e">
        <f>VLOOKUP(A221,Enforcements!$C$7:$K$12,8,0)</f>
        <v>#N/A</v>
      </c>
      <c r="AC221" s="51" t="e">
        <f>VLOOKUP(A221,Enforcements!$C$7:$E$12,3,0)</f>
        <v>#N/A</v>
      </c>
      <c r="AD221" s="206">
        <f t="shared" si="162"/>
        <v>310</v>
      </c>
      <c r="AE221" s="77" t="str">
        <f t="shared" si="152"/>
        <v>aws s3 cp s3://rtdc.mdm.uploadarchive.raw/RTDC4013/ "%USERPROFILE%\AppData\Local\Temp\OnboardLogs"\RTDC4013\2017-08-11 --exclude "*" --recursive --include "*20170811*" &amp; "%USERPROFILE%\Documents\GitHub\mrs-test-scripts\Headless Mode &amp; Sideloading\WalkAndUnGZ.bat" "%USERPROFILE%\AppData\Local\Temp\OnboardLogs"\RTDC4013\2017-08-11 &amp; 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</v>
      </c>
      <c r="AF221" s="74" t="str">
        <f t="shared" si="153"/>
        <v>"C:\Program Files (x86)\AstroGrep\AstroGrep.exe" /e /r /s /spath="%USERPROFILE%\AppData\Local\Temp\OnboardLogs" /stypes="app*4013*20170811*" /stext=" 11:.+((SYSTEM_STATE.+slice.+state.+changed )|(ment ac)|(multiple cpu faults)|(system.+state.+changed )|(\[timeout)|(PRM\|1\|D)|(kpr)|(kdp)|(train st.+moving)|(\|lc)|(penalty))"</v>
      </c>
      <c r="AG221" s="209" t="str">
        <f t="shared" si="163"/>
        <v>Other</v>
      </c>
      <c r="AH221" s="78" t="str">
        <f t="shared" si="154"/>
        <v>"%USERPROFILE%\Documents\GitHub\eaglep3\Utilities\RefineRTDCRunTimes.py" --tripid 310-11 --locoid 4013 --swversion DE.1.0.9.0 --startMP 300:23387 --initTime 2017-08-11T05:00:04 --startdatetime 2017-08-11T05:03:45 --delay 3 --endMP 204:149 --enddatetime 2017-08-11T05:11:51 --enforcementcount 0 &gt;&gt;C:\Users\stu\Documents\GitHub\eaglep3-reporting\EC\2017-08-11-refined-times.txt</v>
      </c>
      <c r="AI221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{"issue":{"subject":"","project_id":79,"tracker_id":40,"status_id":1,"priority_id":2,"assigned_to_id":23,"start_date":"2017-08-11","description":"","custom_fields":[{"id":1,"name":"Subdivision","value":"Other"},{"id":4,"name":"Milepost","value":"0.0149"},{"id":17,"name":"Train ID","value":"310-11"},{"id":16,"name":"Locomotive ID","value":"4013"},{"id":130,"name":"Impact","value":""},{"id":150,"name":"Time of Event (Mountain Time)","value":"05:11:51"},{"id":151,"name":"Denver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56"/>
        <v>start /low /b %USERPROFILE%\Documents\GitHub\eaglep3\Utilities\DownloadLogsFromS3.py --loco 4013 --day 2017-08-11</v>
      </c>
      <c r="AN221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11:11:51"},{"id":29,"name":"Sharepoint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866</v>
      </c>
      <c r="B222" s="7">
        <v>4020</v>
      </c>
      <c r="C222" s="21" t="s">
        <v>198</v>
      </c>
      <c r="D222" s="21" t="s">
        <v>951</v>
      </c>
      <c r="E222" s="13">
        <v>42959.089062500003</v>
      </c>
      <c r="F222" s="13">
        <v>42959.09134259259</v>
      </c>
      <c r="G222" s="7">
        <v>1</v>
      </c>
      <c r="H222" s="21" t="s">
        <v>586</v>
      </c>
      <c r="I222" s="13">
        <v>42959.100983796299</v>
      </c>
      <c r="J222" s="7">
        <v>0</v>
      </c>
      <c r="K222" s="89" t="str">
        <f t="shared" si="158"/>
        <v>4019/4020</v>
      </c>
      <c r="L222" s="21" t="str">
        <f>VLOOKUP(A222,'Trips&amp;Operators'!$C$1:$G$99999,5,FALSE)</f>
        <v>FORTUNATO FRANK</v>
      </c>
      <c r="M222" s="6">
        <f t="shared" si="159"/>
        <v>9.6412037091795355E-3</v>
      </c>
      <c r="N222" s="7">
        <f t="shared" si="149"/>
        <v>13.883333341218531</v>
      </c>
      <c r="O222" s="7"/>
      <c r="P222" s="7"/>
      <c r="Q222" s="22"/>
      <c r="R222" s="170"/>
      <c r="S222" s="213">
        <f t="shared" si="150"/>
        <v>1</v>
      </c>
      <c r="T222" s="195" t="str">
        <f t="shared" si="160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151"/>
        <v>https://d0f6bd738d7f1b3e5a7ca70fe4ff75f0.us-east-1.aws.found.io/app/kibana#/discover/Steve-Slow-Train-Analysis-(2080s-and-2083s)?_g=(refreshInterval:(display:Off,pause:!f,section:0,value:0),time:(from:'2017-08-12T01:08:15-0600',mode:absolute,to:'2017-08-12T03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2" s="197" t="str">
        <f>IF(AA222&lt;VLOOKUP(AG222,Variables!$AC$3:$AD$8,2,FALSE),"Y","N")</f>
        <v>Y</v>
      </c>
      <c r="X222" s="197">
        <f t="shared" si="164"/>
        <v>1</v>
      </c>
      <c r="Y222" s="197">
        <f t="shared" si="148"/>
        <v>4.2000000000000003E-2</v>
      </c>
      <c r="Z222" s="197">
        <f t="shared" si="165"/>
        <v>2.331</v>
      </c>
      <c r="AA222" s="197">
        <f t="shared" si="161"/>
        <v>2.2890000000000001</v>
      </c>
      <c r="AB222" s="54" t="e">
        <f>VLOOKUP(A222,Enforcements!$C$7:$K$12,8,0)</f>
        <v>#N/A</v>
      </c>
      <c r="AC222" s="51" t="e">
        <f>VLOOKUP(A222,Enforcements!$C$7:$E$12,3,0)</f>
        <v>#N/A</v>
      </c>
      <c r="AD222" s="206">
        <f t="shared" si="162"/>
        <v>311</v>
      </c>
      <c r="AE222" s="77" t="str">
        <f t="shared" si="152"/>
        <v>aws s3 cp s3://rtdc.mdm.uploadarchive.raw/RTDC4020/ "%USERPROFILE%\AppData\Local\Temp\OnboardLogs"\RTDC4020\2017-08-12 --exclude "*" --recursive --include "*20170812*" &amp; "%USERPROFILE%\Documents\GitHub\mrs-test-scripts\Headless Mode &amp; Sideloading\WalkAndUnGZ.bat" "%USERPROFILE%\AppData\Local\Temp\OnboardLogs"\RTDC4020\2017-08-12 &amp; aws s3 cp s3://rtdc.mdm.uploadarchive.raw/RTDC4020/ "%USERPROFILE%\AppData\Local\Temp\OnboardLogs"\RTDC4020\2017-08-13 --exclude "*" --recursive --include "*20170813*" &amp; "%USERPROFILE%\Documents\GitHub\mrs-test-scripts\Headless Mode &amp; Sideloading\WalkAndUnGZ.bat" "%USERPROFILE%\AppData\Local\Temp\OnboardLogs"\RTDC4020\2017-08-13</v>
      </c>
      <c r="AF222" s="74" t="str">
        <f t="shared" si="153"/>
        <v>"C:\Program Files (x86)\AstroGrep\AstroGrep.exe" /e /r /s /spath="%USERPROFILE%\AppData\Local\Temp\OnboardLogs" /stypes="app*4020*20170812*" /stext=" 08:.+((SYSTEM_STATE.+slice.+state.+changed )|(ment ac)|(multiple cpu faults)|(system.+state.+changed )|(\[timeout)|(PRM\|1\|D)|(kpr)|(kdp)|(train st.+moving)|(\|lc)|(penalty))"</v>
      </c>
      <c r="AG222" s="209" t="str">
        <f t="shared" si="163"/>
        <v>Other</v>
      </c>
      <c r="AH222" s="78" t="str">
        <f t="shared" si="154"/>
        <v>"%USERPROFILE%\Documents\GitHub\eaglep3\Utilities\RefineRTDCRunTimes.py" --tripid 311-11 --locoid 4020 --swversion DE.1.0.9.0 --startMP 204:420 --initTime 2017-08-12T02:08:15 --startdatetime 2017-08-12T02:11:32 --delay 1 --endMP 300:23310 --enddatetime 2017-08-12T02:25:25 --enforcementcount 0 &gt;&gt;C:\Users\stu\Documents\GitHub\eaglep3-reporting\EC\2017-08-11-refined-times.txt</v>
      </c>
      <c r="AI222" s="96" t="str">
        <f t="shared" si="155"/>
        <v>echo {"issue":{"subject":"","project_id":79,"tracker_id":40,"status_id":1,"priority_id":2,"assigned_to_id":23,"start_date":"2017-08-12","description":"","custom_fields":[{"id":1,"name":"Subdivision","value":"Other"},{"id":4,"name":"Milepost","value":"2.331"},{"id":17,"name":"Train ID","value":"311-11"},{"id":16,"name":"Locomotive ID","value":"4020"},{"id":130,"name":"Impact","value":""},{"id":150,"name":"Time of Event (Mountain Time)","value":"02:25:25"},{"id":151,"name":"Denver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56"/>
        <v>start /low /b %USERPROFILE%\Documents\GitHub\eaglep3\Utilities\DownloadLogsFromS3.py --loco 4020 --day 2017-08-12</v>
      </c>
      <c r="AN222" s="151" t="str">
        <f t="shared" si="15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08:25:25"},{"id":29,"name":"Sharepoint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606</v>
      </c>
      <c r="B223" s="7">
        <v>4059</v>
      </c>
      <c r="C223" s="21" t="s">
        <v>198</v>
      </c>
      <c r="D223" s="21" t="s">
        <v>952</v>
      </c>
      <c r="E223" s="13">
        <v>42958.224976851852</v>
      </c>
      <c r="F223" s="13">
        <v>42958.230983796297</v>
      </c>
      <c r="G223" s="7">
        <v>8</v>
      </c>
      <c r="H223" s="21" t="s">
        <v>342</v>
      </c>
      <c r="I223" s="13">
        <v>42958.236527777779</v>
      </c>
      <c r="J223" s="7">
        <v>0</v>
      </c>
      <c r="K223" s="89" t="str">
        <f t="shared" si="158"/>
        <v>4059/4060</v>
      </c>
      <c r="L223" s="21" t="str">
        <f>VLOOKUP(A223,'Trips&amp;Operators'!$C$1:$G$99999,5,FALSE)</f>
        <v>TOUSIGNAUT CARL</v>
      </c>
      <c r="M223" s="6">
        <f t="shared" si="159"/>
        <v>5.543981482333038E-3</v>
      </c>
      <c r="N223" s="7">
        <f t="shared" si="149"/>
        <v>7.9833333345595747</v>
      </c>
      <c r="O223" s="7"/>
      <c r="P223" s="7"/>
      <c r="Q223" s="22"/>
      <c r="R223" s="170"/>
      <c r="S223" s="213">
        <f t="shared" si="150"/>
        <v>1</v>
      </c>
      <c r="T223" s="195" t="str">
        <f t="shared" si="160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151"/>
        <v>https://d0f6bd738d7f1b3e5a7ca70fe4ff75f0.us-east-1.aws.found.io/app/kibana#/discover/Steve-Slow-Train-Analysis-(2080s-and-2083s)?_g=(refreshInterval:(display:Off,pause:!f,section:0,value:0),time:(from:'2017-08-11T04:23:58-0600',mode:absolute,to:'2017-08-11T06:40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3" s="197" t="str">
        <f>IF(AA223&lt;VLOOKUP(AG223,Variables!$AC$3:$AD$8,2,FALSE),"Y","N")</f>
        <v>Y</v>
      </c>
      <c r="X223" s="197">
        <f t="shared" si="164"/>
        <v>1</v>
      </c>
      <c r="Y223" s="197">
        <f t="shared" si="148"/>
        <v>2.2058</v>
      </c>
      <c r="Z223" s="197">
        <f t="shared" si="165"/>
        <v>1.49E-2</v>
      </c>
      <c r="AA223" s="197">
        <f t="shared" si="161"/>
        <v>2.1909000000000001</v>
      </c>
      <c r="AB223" s="54" t="e">
        <f>VLOOKUP(A223,Enforcements!$C$7:$K$12,8,0)</f>
        <v>#N/A</v>
      </c>
      <c r="AC223" s="51" t="e">
        <f>VLOOKUP(A223,Enforcements!$C$7:$E$12,3,0)</f>
        <v>#N/A</v>
      </c>
      <c r="AD223" s="206">
        <f t="shared" si="162"/>
        <v>312</v>
      </c>
      <c r="AE223" s="77" t="str">
        <f t="shared" si="152"/>
        <v>aws s3 cp s3://rtdc.mdm.uploadarchive.raw/RTDC4059/ "%USERPROFILE%\AppData\Local\Temp\OnboardLogs"\RTDC4059\2017-08-11 --exclude "*" --recursive --include "*20170811*" &amp; "%USERPROFILE%\Documents\GitHub\mrs-test-scripts\Headless Mode &amp; Sideloading\WalkAndUnGZ.bat" "%USERPROFILE%\AppData\Local\Temp\OnboardLogs"\RTDC4059\2017-08-11 &amp; aws s3 cp s3://rtdc.mdm.uploadarchive.raw/RTDC4059/ "%USERPROFILE%\AppData\Local\Temp\OnboardLogs"\RTDC4059\2017-08-12 --exclude "*" --recursive --include "*20170812*" &amp; "%USERPROFILE%\Documents\GitHub\mrs-test-scripts\Headless Mode &amp; Sideloading\WalkAndUnGZ.bat" "%USERPROFILE%\AppData\Local\Temp\OnboardLogs"\RTDC4059\2017-08-12</v>
      </c>
      <c r="AF223" s="74" t="str">
        <f t="shared" si="153"/>
        <v>"C:\Program Files (x86)\AstroGrep\AstroGrep.exe" /e /r /s /spath="%USERPROFILE%\AppData\Local\Temp\OnboardLogs" /stypes="app*4059*20170811*" /stext=" 11:.+((SYSTEM_STATE.+slice.+state.+changed )|(ment ac)|(multiple cpu faults)|(system.+state.+changed )|(\[timeout)|(PRM\|1\|D)|(kpr)|(kdp)|(train st.+moving)|(\|lc)|(penalty))"</v>
      </c>
      <c r="AG223" s="209" t="str">
        <f t="shared" si="163"/>
        <v>Other</v>
      </c>
      <c r="AH223" s="78" t="str">
        <f t="shared" si="154"/>
        <v>"%USERPROFILE%\Documents\GitHub\eaglep3\Utilities\RefineRTDCRunTimes.py" --tripid 312-11 --locoid 4059 --swversion DE.1.0.9.0 --startMP 300:22058 --initTime 2017-08-11T05:23:58 --startdatetime 2017-08-11T05:32:37 --delay 8 --endMP 204:149 --enddatetime 2017-08-11T05:40:36 --enforcementcount 0 &gt;&gt;C:\Users\stu\Documents\GitHub\eaglep3-reporting\EC\2017-08-11-refined-times.txt</v>
      </c>
      <c r="AI223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{"issue":{"subject":"","project_id":79,"tracker_id":40,"status_id":1,"priority_id":2,"assigned_to_id":23,"start_date":"2017-08-11","description":"","custom_fields":[{"id":1,"name":"Subdivision","value":"Other"},{"id":4,"name":"Milepost","value":"0.0149"},{"id":17,"name":"Train ID","value":"312-11"},{"id":16,"name":"Locomotive ID","value":"4059"},{"id":130,"name":"Impact","value":""},{"id":150,"name":"Time of Event (Mountain Time)","value":"05:40:36"},{"id":151,"name":"Denver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56"/>
        <v>start /low /b %USERPROFILE%\Documents\GitHub\eaglep3\Utilities\DownloadLogsFromS3.py --loco 4059 --day 2017-08-11</v>
      </c>
      <c r="AN223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11:40:36"},{"id":29,"name":"Sharepoint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561</v>
      </c>
      <c r="B224" s="7">
        <v>4008</v>
      </c>
      <c r="C224" s="21" t="s">
        <v>198</v>
      </c>
      <c r="D224" s="21" t="s">
        <v>346</v>
      </c>
      <c r="E224" s="13">
        <v>42958.089502314811</v>
      </c>
      <c r="F224" s="13">
        <v>42958.090717592589</v>
      </c>
      <c r="G224" s="7">
        <v>1</v>
      </c>
      <c r="H224" s="21" t="s">
        <v>345</v>
      </c>
      <c r="I224" s="13">
        <v>42958.098460648151</v>
      </c>
      <c r="J224" s="7">
        <v>0</v>
      </c>
      <c r="K224" s="89" t="str">
        <f t="shared" si="158"/>
        <v>4007/4008</v>
      </c>
      <c r="L224" s="21" t="str">
        <f>VLOOKUP(A224,'Trips&amp;Operators'!$C$1:$G$99999,5,FALSE)</f>
        <v>FORTUNATO FRANK</v>
      </c>
      <c r="M224" s="6">
        <f t="shared" si="159"/>
        <v>7.7430555611499585E-3</v>
      </c>
      <c r="N224" s="7">
        <f t="shared" si="149"/>
        <v>11.15000000805594</v>
      </c>
      <c r="O224" s="7"/>
      <c r="P224" s="7"/>
      <c r="Q224" s="22"/>
      <c r="R224" s="170"/>
      <c r="S224" s="213">
        <f t="shared" si="150"/>
        <v>1</v>
      </c>
      <c r="T224" s="195" t="str">
        <f t="shared" si="160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151"/>
        <v>https://d0f6bd738d7f1b3e5a7ca70fe4ff75f0.us-east-1.aws.found.io/app/kibana#/discover/Steve-Slow-Train-Analysis-(2080s-and-2083s)?_g=(refreshInterval:(display:Off,pause:!f,section:0,value:0),time:(from:'2017-08-11T01:08:53-0600',mode:absolute,to:'2017-08-11T03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4" s="197" t="str">
        <f>IF(AA224&lt;VLOOKUP(AG224,Variables!$AC$3:$AD$8,2,FALSE),"Y","N")</f>
        <v>Y</v>
      </c>
      <c r="X224" s="197">
        <f t="shared" si="164"/>
        <v>1</v>
      </c>
      <c r="Y224" s="197">
        <f t="shared" ref="Y224:Y255" si="166">RIGHT(D224,LEN(D224)-4)/10000</f>
        <v>4.4699999999999997E-2</v>
      </c>
      <c r="Z224" s="197">
        <f t="shared" si="165"/>
        <v>2.3346</v>
      </c>
      <c r="AA224" s="197">
        <f t="shared" si="161"/>
        <v>2.2898999999999998</v>
      </c>
      <c r="AB224" s="54" t="e">
        <f>VLOOKUP(A224,Enforcements!$C$7:$K$12,8,0)</f>
        <v>#N/A</v>
      </c>
      <c r="AC224" s="51" t="e">
        <f>VLOOKUP(A224,Enforcements!$C$7:$E$12,3,0)</f>
        <v>#N/A</v>
      </c>
      <c r="AD224" s="206">
        <f t="shared" si="162"/>
        <v>313</v>
      </c>
      <c r="AE224" s="77" t="str">
        <f t="shared" si="152"/>
        <v>aws s3 cp s3://rtdc.mdm.uploadarchive.raw/RTDC4008/ "%USERPROFILE%\AppData\Local\Temp\OnboardLogs"\RTDC4008\2017-08-11 --exclude "*" --recursive --include "*20170811*" &amp; "%USERPROFILE%\Documents\GitHub\mrs-test-scripts\Headless Mode &amp; Sideloading\WalkAndUnGZ.bat" "%USERPROFILE%\AppData\Local\Temp\OnboardLogs"\RTDC4008\2017-08-11 &amp; aws s3 cp s3://rtdc.mdm.uploadarchive.raw/RTDC4008/ "%USERPROFILE%\AppData\Local\Temp\OnboardLogs"\RTDC4008\2017-08-12 --exclude "*" --recursive --include "*20170812*" &amp; "%USERPROFILE%\Documents\GitHub\mrs-test-scripts\Headless Mode &amp; Sideloading\WalkAndUnGZ.bat" "%USERPROFILE%\AppData\Local\Temp\OnboardLogs"\RTDC4008\2017-08-12</v>
      </c>
      <c r="AF224" s="74" t="str">
        <f t="shared" si="153"/>
        <v>"C:\Program Files (x86)\AstroGrep\AstroGrep.exe" /e /r /s /spath="%USERPROFILE%\AppData\Local\Temp\OnboardLogs" /stypes="app*4008*20170811*" /stext=" 08:.+((SYSTEM_STATE.+slice.+state.+changed )|(ment ac)|(multiple cpu faults)|(system.+state.+changed )|(\[timeout)|(PRM\|1\|D)|(kpr)|(kdp)|(train st.+moving)|(\|lc)|(penalty))"</v>
      </c>
      <c r="AG224" s="209" t="str">
        <f t="shared" si="163"/>
        <v>Other</v>
      </c>
      <c r="AH224" s="78" t="str">
        <f t="shared" si="154"/>
        <v>"%USERPROFILE%\Documents\GitHub\eaglep3\Utilities\RefineRTDCRunTimes.py" --tripid 313-10 --locoid 4008 --swversion DE.1.0.9.0 --startMP 204:447 --initTime 2017-08-11T02:08:53 --startdatetime 2017-08-11T02:10:38 --delay 1 --endMP 300:23346 --enddatetime 2017-08-11T02:21:47 --enforcementcount 0 &gt;&gt;C:\Users\stu\Documents\GitHub\eaglep3-reporting\EC\2017-08-11-refined-times.txt</v>
      </c>
      <c r="AI224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{"issue":{"subject":"","project_id":79,"tracker_id":40,"status_id":1,"priority_id":2,"assigned_to_id":23,"start_date":"2017-08-11","description":"","custom_fields":[{"id":1,"name":"Subdivision","value":"Other"},{"id":4,"name":"Milepost","value":"2.3346"},{"id":17,"name":"Train ID","value":"313-10"},{"id":16,"name":"Locomotive ID","value":"4008"},{"id":130,"name":"Impact","value":""},{"id":150,"name":"Time of Event (Mountain Time)","value":"02:21:47"},{"id":151,"name":"Denver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56"/>
        <v>start /low /b %USERPROFILE%\Documents\GitHub\eaglep3\Utilities\DownloadLogsFromS3.py --loco 4008 --day 2017-08-11</v>
      </c>
      <c r="AN224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08:21:47"},{"id":29,"name":"Sharepoint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867</v>
      </c>
      <c r="B225" s="7">
        <v>4040</v>
      </c>
      <c r="C225" s="21" t="s">
        <v>198</v>
      </c>
      <c r="D225" s="21" t="s">
        <v>441</v>
      </c>
      <c r="E225" s="13">
        <v>42959.109675925924</v>
      </c>
      <c r="F225" s="13">
        <v>42959.111493055556</v>
      </c>
      <c r="G225" s="7">
        <v>2</v>
      </c>
      <c r="H225" s="21" t="s">
        <v>953</v>
      </c>
      <c r="I225" s="13">
        <v>42959.119409722225</v>
      </c>
      <c r="J225" s="7">
        <v>0</v>
      </c>
      <c r="K225" s="89" t="str">
        <f t="shared" si="158"/>
        <v>4039/4040</v>
      </c>
      <c r="L225" s="21" t="str">
        <f>VLOOKUP(A225,'Trips&amp;Operators'!$C$1:$G$99999,5,FALSE)</f>
        <v>LAMAR NEKESHA</v>
      </c>
      <c r="M225" s="6">
        <f t="shared" si="159"/>
        <v>7.9166666691889986E-3</v>
      </c>
      <c r="N225" s="7">
        <f t="shared" si="149"/>
        <v>11.400000003632158</v>
      </c>
      <c r="O225" s="7"/>
      <c r="P225" s="7"/>
      <c r="Q225" s="22"/>
      <c r="R225" s="170"/>
      <c r="S225" s="213">
        <f t="shared" si="150"/>
        <v>1</v>
      </c>
      <c r="T225" s="195" t="str">
        <f t="shared" si="160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151"/>
        <v>https://d0f6bd738d7f1b3e5a7ca70fe4ff75f0.us-east-1.aws.found.io/app/kibana#/discover/Steve-Slow-Train-Analysis-(2080s-and-2083s)?_g=(refreshInterval:(display:Off,pause:!f,section:0,value:0),time:(from:'2017-08-12T01:37:56-0600',mode:absolute,to:'2017-08-12T03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5" s="197" t="str">
        <f>IF(AA225&lt;VLOOKUP(AG225,Variables!$AC$3:$AD$8,2,FALSE),"Y","N")</f>
        <v>Y</v>
      </c>
      <c r="X225" s="197">
        <f t="shared" si="164"/>
        <v>0</v>
      </c>
      <c r="Y225" s="197">
        <f t="shared" si="166"/>
        <v>4.7300000000000002E-2</v>
      </c>
      <c r="Z225" s="197">
        <f t="shared" si="165"/>
        <v>2.3311999999999999</v>
      </c>
      <c r="AA225" s="197">
        <f t="shared" si="161"/>
        <v>2.2839</v>
      </c>
      <c r="AB225" s="54" t="e">
        <f>VLOOKUP(A225,Enforcements!$C$7:$K$12,8,0)</f>
        <v>#N/A</v>
      </c>
      <c r="AC225" s="51" t="e">
        <f>VLOOKUP(A225,Enforcements!$C$7:$E$12,3,0)</f>
        <v>#N/A</v>
      </c>
      <c r="AD225" s="206">
        <f t="shared" si="162"/>
        <v>313</v>
      </c>
      <c r="AE225" s="77" t="str">
        <f t="shared" si="152"/>
        <v>aws s3 cp s3://rtdc.mdm.uploadarchive.raw/RTDC4040/ "%USERPROFILE%\AppData\Local\Temp\OnboardLogs"\RTDC4040\2017-08-12 --exclude "*" --recursive --include "*20170812*" &amp; "%USERPROFILE%\Documents\GitHub\mrs-test-scripts\Headless Mode &amp; Sideloading\WalkAndUnGZ.bat" "%USERPROFILE%\AppData\Local\Temp\OnboardLogs"\RTDC4040\2017-08-12 &amp; aws s3 cp s3://rtdc.mdm.uploadarchive.raw/RTDC4040/ "%USERPROFILE%\AppData\Local\Temp\OnboardLogs"\RTDC4040\2017-08-13 --exclude "*" --recursive --include "*20170813*" &amp; "%USERPROFILE%\Documents\GitHub\mrs-test-scripts\Headless Mode &amp; Sideloading\WalkAndUnGZ.bat" "%USERPROFILE%\AppData\Local\Temp\OnboardLogs"\RTDC4040\2017-08-13</v>
      </c>
      <c r="AF225" s="74" t="str">
        <f t="shared" si="153"/>
        <v>"C:\Program Files (x86)\AstroGrep\AstroGrep.exe" /e /r /s /spath="%USERPROFILE%\AppData\Local\Temp\OnboardLogs" /stypes="app*4040*20170812*" /stext=" 08:.+((SYSTEM_STATE.+slice.+state.+changed )|(ment ac)|(multiple cpu faults)|(system.+state.+changed )|(\[timeout)|(PRM\|1\|D)|(kpr)|(kdp)|(train st.+moving)|(\|lc)|(penalty))"</v>
      </c>
      <c r="AG225" s="209" t="str">
        <f t="shared" si="163"/>
        <v>Other</v>
      </c>
      <c r="AH225" s="78" t="str">
        <f t="shared" si="154"/>
        <v>"%USERPROFILE%\Documents\GitHub\eaglep3\Utilities\RefineRTDCRunTimes.py" --tripid 313-11 --locoid 4040 --swversion DE.1.0.9.0 --startMP 204:473 --initTime 2017-08-12T02:37:56 --startdatetime 2017-08-12T02:40:33 --delay 2 --endMP 300:23312 --enddatetime 2017-08-12T02:51:57 --enforcementcount 0 &gt;&gt;C:\Users\stu\Documents\GitHub\eaglep3-reporting\EC\2017-08-11-refined-times.txt</v>
      </c>
      <c r="AI225" s="96" t="str">
        <f t="shared" si="155"/>
        <v>echo {"issue":{"subject":"","project_id":79,"tracker_id":40,"status_id":1,"priority_id":2,"assigned_to_id":23,"start_date":"2017-08-12","description":"","custom_fields":[{"id":1,"name":"Subdivision","value":"Other"},{"id":4,"name":"Milepost","value":"2.3312"},{"id":17,"name":"Train ID","value":"313-11"},{"id":16,"name":"Locomotive ID","value":"4040"},{"id":130,"name":"Impact","value":""},{"id":150,"name":"Time of Event (Mountain Time)","value":"02:51:57"},{"id":151,"name":"Denver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56"/>
        <v>start /low /b %USERPROFILE%\Documents\GitHub\eaglep3\Utilities\DownloadLogsFromS3.py --loco 4040 --day 2017-08-12</v>
      </c>
      <c r="AN225" s="151" t="str">
        <f t="shared" si="15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08:51:57"},{"id":29,"name":"Sharepoint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654</v>
      </c>
      <c r="B226" s="7">
        <v>4018</v>
      </c>
      <c r="C226" s="21" t="s">
        <v>198</v>
      </c>
      <c r="D226" s="21" t="s">
        <v>1038</v>
      </c>
      <c r="E226" s="13">
        <v>42958.198194444441</v>
      </c>
      <c r="F226" s="13">
        <v>42958.203506944446</v>
      </c>
      <c r="G226" s="7">
        <v>7</v>
      </c>
      <c r="H226" s="21" t="s">
        <v>1077</v>
      </c>
      <c r="I226" s="13">
        <v>42958.209201388891</v>
      </c>
      <c r="J226" s="7">
        <v>0</v>
      </c>
      <c r="K226" s="89" t="str">
        <f t="shared" si="158"/>
        <v>4017/4018</v>
      </c>
      <c r="L226" s="21" t="str">
        <f>VLOOKUP(A226,'Trips&amp;Operators'!$C$1:$G$99999,5,FALSE)</f>
        <v>GUZMAN DANNY</v>
      </c>
      <c r="M226" s="6">
        <f t="shared" si="159"/>
        <v>5.694444444088731E-3</v>
      </c>
      <c r="N226" s="7">
        <f t="shared" si="149"/>
        <v>8.1999999994877726</v>
      </c>
      <c r="O226" s="7"/>
      <c r="P226" s="7"/>
      <c r="Q226" s="22"/>
      <c r="R226" s="170"/>
      <c r="S226" s="213">
        <f t="shared" si="150"/>
        <v>0</v>
      </c>
      <c r="T226" s="195" t="str">
        <f t="shared" si="160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151"/>
        <v>https://d0f6bd738d7f1b3e5a7ca70fe4ff75f0.us-east-1.aws.found.io/app/kibana#/discover/Steve-Slow-Train-Analysis-(2080s-and-2083s)?_g=(refreshInterval:(display:Off,pause:!f,section:0,value:0),time:(from:'2017-08-11T03:45:24-0600',mode:absolute,to:'2017-08-11T06:01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6" s="197" t="str">
        <f>IF(AA226&lt;VLOOKUP(AG226,Variables!$AC$3:$AD$8,2,FALSE),"Y","N")</f>
        <v>Y</v>
      </c>
      <c r="X226" s="197">
        <f t="shared" si="164"/>
        <v>588</v>
      </c>
      <c r="Y226" s="197">
        <f t="shared" si="166"/>
        <v>3.0144000000000002</v>
      </c>
      <c r="Z226" s="197">
        <f t="shared" si="165"/>
        <v>5.8933</v>
      </c>
      <c r="AA226" s="197">
        <f t="shared" si="161"/>
        <v>2.8788999999999998</v>
      </c>
      <c r="AB226" s="54" t="e">
        <f>VLOOKUP(A226,Enforcements!$C$7:$K$12,8,0)</f>
        <v>#N/A</v>
      </c>
      <c r="AC226" s="51" t="e">
        <f>VLOOKUP(A226,Enforcements!$C$7:$E$12,3,0)</f>
        <v>#N/A</v>
      </c>
      <c r="AD226" s="206">
        <f t="shared" si="162"/>
        <v>901</v>
      </c>
      <c r="AE226" s="77" t="str">
        <f t="shared" si="152"/>
        <v>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 &amp; aws s3 cp s3://rtdc.mdm.uploadarchive.raw/RTDC4018/ "%USERPROFILE%\AppData\Local\Temp\OnboardLogs"\RTDC4018\2017-08-12 --exclude "*" --recursive --include "*20170812*" &amp; "%USERPROFILE%\Documents\GitHub\mrs-test-scripts\Headless Mode &amp; Sideloading\WalkAndUnGZ.bat" "%USERPROFILE%\AppData\Local\Temp\OnboardLogs"\RTDC4018\2017-08-12</v>
      </c>
      <c r="AF226" s="74" t="str">
        <f t="shared" si="153"/>
        <v>"C:\Program Files (x86)\AstroGrep\AstroGrep.exe" /e /r /s /spath="%USERPROFILE%\AppData\Local\Temp\OnboardLogs" /stypes="app*4018*20170811*" /stext=" 11:.+((SYSTEM_STATE.+slice.+state.+changed )|(ment ac)|(multiple cpu faults)|(system.+state.+changed )|(\[timeout)|(PRM\|1\|D)|(kpr)|(kdp)|(train st.+moving)|(\|lc)|(penalty))"</v>
      </c>
      <c r="AG226" s="209" t="str">
        <f t="shared" si="163"/>
        <v>Other</v>
      </c>
      <c r="AH226" s="78" t="str">
        <f t="shared" si="154"/>
        <v>"%USERPROFILE%\Documents\GitHub\eaglep3\Utilities\RefineRTDCRunTimes.py" --tripid 901-11 --locoid 4018 --swversion DE.1.0.9.0 --startMP 300:30144 --initTime 2017-08-11T04:45:24 --startdatetime 2017-08-11T04:53:03 --delay 7 --endMP 300:58933 --enddatetime 2017-08-11T05:01:15 --enforcementcount 0 &gt;&gt;C:\Users\stu\Documents\GitHub\eaglep3-reporting\EC\2017-08-11-refined-times.txt</v>
      </c>
      <c r="AI226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{"issue":{"subject":"","project_id":79,"tracker_id":40,"status_id":1,"priority_id":2,"assigned_to_id":23,"start_date":"2017-08-11","description":"","custom_fields":[{"id":1,"name":"Subdivision","value":"Other"},{"id":4,"name":"Milepost","value":"5.8933"},{"id":17,"name":"Train ID","value":"901-11"},{"id":16,"name":"Locomotive ID","value":"4018"},{"id":130,"name":"Impact","value":""},{"id":150,"name":"Time of Event (Mountain Time)","value":"05:01:15"},{"id":151,"name":"Denver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56"/>
        <v>start /low /b %USERPROFILE%\Documents\GitHub\eaglep3\Utilities\DownloadLogsFromS3.py --loco 4018 --day 2017-08-11</v>
      </c>
      <c r="AN226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11:01:15"},{"id":29,"name":"Sharepoint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670</v>
      </c>
      <c r="B227" s="7">
        <v>4061</v>
      </c>
      <c r="C227" s="21" t="s">
        <v>198</v>
      </c>
      <c r="D227" s="21" t="s">
        <v>1039</v>
      </c>
      <c r="E227" s="13">
        <v>42958.249027777776</v>
      </c>
      <c r="F227" s="13">
        <v>42958.252222222225</v>
      </c>
      <c r="G227" s="7">
        <v>4</v>
      </c>
      <c r="H227" s="21" t="s">
        <v>483</v>
      </c>
      <c r="I227" s="13">
        <v>42958.257175925923</v>
      </c>
      <c r="J227" s="7">
        <v>0</v>
      </c>
      <c r="K227" s="89" t="str">
        <f t="shared" si="158"/>
        <v>4061/4062</v>
      </c>
      <c r="L227" s="21" t="str">
        <f>VLOOKUP(A227,'Trips&amp;Operators'!$C$1:$G$99999,5,FALSE)</f>
        <v>LALONDE GREGORY</v>
      </c>
      <c r="M227" s="6">
        <f t="shared" si="159"/>
        <v>4.9537036975380033E-3</v>
      </c>
      <c r="N227" s="7">
        <f t="shared" si="149"/>
        <v>7.1333333244547248</v>
      </c>
      <c r="O227" s="7"/>
      <c r="P227" s="7"/>
      <c r="Q227" s="22"/>
      <c r="R227" s="170"/>
      <c r="S227" s="213">
        <f t="shared" si="150"/>
        <v>1</v>
      </c>
      <c r="T227" s="195" t="str">
        <f t="shared" si="160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 t="shared" si="151"/>
        <v>https://d0f6bd738d7f1b3e5a7ca70fe4ff75f0.us-east-1.aws.found.io/app/kibana#/discover/Steve-Slow-Train-Analysis-(2080s-and-2083s)?_g=(refreshInterval:(display:Off,pause:!f,section:0,value:0),time:(from:'2017-08-11T04:58:36-0600',mode:absolute,to:'2017-08-11T07:10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7" s="197" t="str">
        <f>IF(AA227&lt;VLOOKUP(AG227,Variables!$AC$3:$AD$8,2,FALSE),"Y","N")</f>
        <v>Y</v>
      </c>
      <c r="X227" s="197">
        <f t="shared" si="164"/>
        <v>1</v>
      </c>
      <c r="Y227" s="197">
        <f t="shared" si="166"/>
        <v>2.343</v>
      </c>
      <c r="Z227" s="197">
        <f t="shared" si="165"/>
        <v>6.8199999999999997E-2</v>
      </c>
      <c r="AA227" s="197">
        <f t="shared" si="161"/>
        <v>2.2747999999999999</v>
      </c>
      <c r="AB227" s="54" t="e">
        <f>VLOOKUP(A227,Enforcements!$C$7:$K$12,8,0)</f>
        <v>#N/A</v>
      </c>
      <c r="AC227" s="51" t="e">
        <f>VLOOKUP(A227,Enforcements!$C$7:$E$12,3,0)</f>
        <v>#N/A</v>
      </c>
      <c r="AD227" s="206">
        <f t="shared" si="162"/>
        <v>902</v>
      </c>
      <c r="AE227" s="77" t="str">
        <f t="shared" si="152"/>
        <v>aws s3 cp s3://rtdc.mdm.uploadarchive.raw/RTDC4061/ "%USERPROFILE%\AppData\Local\Temp\OnboardLogs"\RTDC4061\2017-08-11 --exclude "*" --recursive --include "*20170811*" &amp; "%USERPROFILE%\Documents\GitHub\mrs-test-scripts\Headless Mode &amp; Sideloading\WalkAndUnGZ.bat" "%USERPROFILE%\AppData\Local\Temp\OnboardLogs"\RTDC4061\2017-08-11 &amp; aws s3 cp s3://rtdc.mdm.uploadarchive.raw/RTDC4061/ "%USERPROFILE%\AppData\Local\Temp\OnboardLogs"\RTDC4061\2017-08-12 --exclude "*" --recursive --include "*20170812*" &amp; "%USERPROFILE%\Documents\GitHub\mrs-test-scripts\Headless Mode &amp; Sideloading\WalkAndUnGZ.bat" "%USERPROFILE%\AppData\Local\Temp\OnboardLogs"\RTDC4061\2017-08-12</v>
      </c>
      <c r="AF227" s="74" t="str">
        <f t="shared" si="153"/>
        <v>"C:\Program Files (x86)\AstroGrep\AstroGrep.exe" /e /r /s /spath="%USERPROFILE%\AppData\Local\Temp\OnboardLogs" /stypes="app*4061*20170811*" /stext=" 12:.+((SYSTEM_STATE.+slice.+state.+changed )|(ment ac)|(multiple cpu faults)|(system.+state.+changed )|(\[timeout)|(PRM\|1\|D)|(kpr)|(kdp)|(train st.+moving)|(\|lc)|(penalty))"</v>
      </c>
      <c r="AG227" s="209" t="str">
        <f t="shared" si="163"/>
        <v>Other</v>
      </c>
      <c r="AH227" s="78" t="str">
        <f t="shared" si="154"/>
        <v>"%USERPROFILE%\Documents\GitHub\eaglep3\Utilities\RefineRTDCRunTimes.py" --tripid 902-11 --locoid 4061 --swversion DE.1.0.9.0 --startMP 300:23430 --initTime 2017-08-11T05:58:36 --startdatetime 2017-08-11T06:03:12 --delay 4 --endMP 204:682 --enddatetime 2017-08-11T06:10:20 --enforcementcount 0 &gt;&gt;C:\Users\stu\Documents\GitHub\eaglep3-reporting\EC\2017-08-11-refined-times.txt</v>
      </c>
      <c r="AI227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{"issue":{"subject":"","project_id":79,"tracker_id":40,"status_id":1,"priority_id":2,"assigned_to_id":23,"start_date":"2017-08-11","description":"","custom_fields":[{"id":1,"name":"Subdivision","value":"Other"},{"id":4,"name":"Milepost","value":"0.0682"},{"id":17,"name":"Train ID","value":"902-11"},{"id":16,"name":"Locomotive ID","value":"4061"},{"id":130,"name":"Impact","value":""},{"id":150,"name":"Time of Event (Mountain Time)","value":"06:10:20"},{"id":151,"name":"Denver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56"/>
        <v>start /low /b %USERPROFILE%\Documents\GitHub\eaglep3\Utilities\DownloadLogsFromS3.py --loco 4061 --day 2017-08-11</v>
      </c>
      <c r="AN227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12:10:20"},{"id":29,"name":"Sharepoint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693</v>
      </c>
      <c r="B228" s="7">
        <v>4018</v>
      </c>
      <c r="C228" s="21" t="s">
        <v>198</v>
      </c>
      <c r="D228" s="21" t="s">
        <v>499</v>
      </c>
      <c r="E228" s="13">
        <v>42958.353032407409</v>
      </c>
      <c r="F228" s="13">
        <v>42958.354409722226</v>
      </c>
      <c r="G228" s="7">
        <v>1</v>
      </c>
      <c r="H228" s="21" t="s">
        <v>992</v>
      </c>
      <c r="I228" s="13">
        <v>42958.36</v>
      </c>
      <c r="J228" s="7">
        <v>0</v>
      </c>
      <c r="K228" s="89" t="str">
        <f t="shared" si="158"/>
        <v>4017/4018</v>
      </c>
      <c r="L228" s="21" t="str">
        <f>VLOOKUP(A228,'Trips&amp;Operators'!$C$1:$G$99999,5,FALSE)</f>
        <v>GUZMAN DANNY</v>
      </c>
      <c r="M228" s="6">
        <f t="shared" si="159"/>
        <v>5.5902777748997323E-3</v>
      </c>
      <c r="N228" s="7">
        <f t="shared" si="149"/>
        <v>8.0499999958556145</v>
      </c>
      <c r="O228" s="7"/>
      <c r="P228" s="7"/>
      <c r="Q228" s="22"/>
      <c r="R228" s="170"/>
      <c r="S228" s="213">
        <f t="shared" si="150"/>
        <v>1</v>
      </c>
      <c r="T228" s="195" t="str">
        <f t="shared" si="160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151"/>
        <v>https://d0f6bd738d7f1b3e5a7ca70fe4ff75f0.us-east-1.aws.found.io/app/kibana#/discover/Steve-Slow-Train-Analysis-(2080s-and-2083s)?_g=(refreshInterval:(display:Off,pause:!f,section:0,value:0),time:(from:'2017-08-11T07:28:22-0600',mode:absolute,to:'2017-08-11T09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8" s="197" t="str">
        <f>IF(AA228&lt;VLOOKUP(AG228,Variables!$AC$3:$AD$8,2,FALSE),"Y","N")</f>
        <v>Y</v>
      </c>
      <c r="X228" s="197">
        <f t="shared" si="164"/>
        <v>1</v>
      </c>
      <c r="Y228" s="197">
        <f t="shared" si="166"/>
        <v>9.7600000000000006E-2</v>
      </c>
      <c r="Z228" s="197">
        <f t="shared" si="165"/>
        <v>2.4228999999999998</v>
      </c>
      <c r="AA228" s="197">
        <f t="shared" si="161"/>
        <v>2.3252999999999999</v>
      </c>
      <c r="AB228" s="54" t="e">
        <f>VLOOKUP(A228,Enforcements!$C$7:$K$12,8,0)</f>
        <v>#N/A</v>
      </c>
      <c r="AC228" s="51" t="e">
        <f>VLOOKUP(A228,Enforcements!$C$7:$E$12,3,0)</f>
        <v>#N/A</v>
      </c>
      <c r="AD228" s="206">
        <f t="shared" si="162"/>
        <v>903</v>
      </c>
      <c r="AE228" s="77" t="str">
        <f t="shared" si="152"/>
        <v>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 &amp; aws s3 cp s3://rtdc.mdm.uploadarchive.raw/RTDC4018/ "%USERPROFILE%\AppData\Local\Temp\OnboardLogs"\RTDC4018\2017-08-12 --exclude "*" --recursive --include "*20170812*" &amp; "%USERPROFILE%\Documents\GitHub\mrs-test-scripts\Headless Mode &amp; Sideloading\WalkAndUnGZ.bat" "%USERPROFILE%\AppData\Local\Temp\OnboardLogs"\RTDC4018\2017-08-12</v>
      </c>
      <c r="AF228" s="74" t="str">
        <f t="shared" si="153"/>
        <v>"C:\Program Files (x86)\AstroGrep\AstroGrep.exe" /e /r /s /spath="%USERPROFILE%\AppData\Local\Temp\OnboardLogs" /stypes="app*4018*20170811*" /stext=" 14:.+((SYSTEM_STATE.+slice.+state.+changed )|(ment ac)|(multiple cpu faults)|(system.+state.+changed )|(\[timeout)|(PRM\|1\|D)|(kpr)|(kdp)|(train st.+moving)|(\|lc)|(penalty))"</v>
      </c>
      <c r="AG228" s="209" t="str">
        <f t="shared" si="163"/>
        <v>Other</v>
      </c>
      <c r="AH228" s="78" t="str">
        <f t="shared" si="154"/>
        <v>"%USERPROFILE%\Documents\GitHub\eaglep3\Utilities\RefineRTDCRunTimes.py" --tripid 903-11 --locoid 4018 --swversion DE.1.0.9.0 --startMP 204:976 --initTime 2017-08-11T08:28:22 --startdatetime 2017-08-11T08:30:21 --delay 1 --endMP 300:24229 --enddatetime 2017-08-11T08:38:24 --enforcementcount 0 &gt;&gt;C:\Users\stu\Documents\GitHub\eaglep3-reporting\EC\2017-08-11-refined-times.txt</v>
      </c>
      <c r="AI228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{"issue":{"subject":"","project_id":79,"tracker_id":40,"status_id":1,"priority_id":2,"assigned_to_id":23,"start_date":"2017-08-11","description":"","custom_fields":[{"id":1,"name":"Subdivision","value":"Other"},{"id":4,"name":"Milepost","value":"2.4229"},{"id":17,"name":"Train ID","value":"903-11"},{"id":16,"name":"Locomotive ID","value":"4018"},{"id":130,"name":"Impact","value":""},{"id":150,"name":"Time of Event (Mountain Time)","value":"08:38:24"},{"id":151,"name":"Denver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56"/>
        <v>start /low /b %USERPROFILE%\Documents\GitHub\eaglep3\Utilities\DownloadLogsFromS3.py --loco 4018 --day 2017-08-11</v>
      </c>
      <c r="AN228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14:38:24"},{"id":29,"name":"Sharepoint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787</v>
      </c>
      <c r="B229" s="7">
        <v>4017</v>
      </c>
      <c r="C229" s="21" t="s">
        <v>198</v>
      </c>
      <c r="D229" s="21" t="s">
        <v>1040</v>
      </c>
      <c r="E229" s="13">
        <v>42958.634328703702</v>
      </c>
      <c r="F229" s="13">
        <v>42958.63758101852</v>
      </c>
      <c r="G229" s="7">
        <v>4</v>
      </c>
      <c r="H229" s="21" t="s">
        <v>543</v>
      </c>
      <c r="I229" s="13">
        <v>42958.643645833334</v>
      </c>
      <c r="J229" s="7">
        <v>0</v>
      </c>
      <c r="K229" s="89" t="str">
        <f t="shared" si="158"/>
        <v>4017/4018</v>
      </c>
      <c r="L229" s="21" t="str">
        <f>VLOOKUP(A229,'Trips&amp;Operators'!$C$1:$G$99999,5,FALSE)</f>
        <v>MCREYNOLDS KYLE</v>
      </c>
      <c r="M229" s="6">
        <f t="shared" si="159"/>
        <v>6.064814813726116E-3</v>
      </c>
      <c r="N229" s="7">
        <f t="shared" si="149"/>
        <v>8.733333331765607</v>
      </c>
      <c r="O229" s="7"/>
      <c r="P229" s="7"/>
      <c r="Q229" s="22"/>
      <c r="R229" s="170"/>
      <c r="S229" s="213">
        <f t="shared" si="150"/>
        <v>1</v>
      </c>
      <c r="T229" s="195" t="str">
        <f t="shared" si="160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6" t="str">
        <f t="shared" si="151"/>
        <v>https://d0f6bd738d7f1b3e5a7ca70fe4ff75f0.us-east-1.aws.found.io/app/kibana#/discover/Steve-Slow-Train-Analysis-(2080s-and-2083s)?_g=(refreshInterval:(display:Off,pause:!f,section:0,value:0),time:(from:'2017-08-11T14:13:26-0600',mode:absolute,to:'2017-08-11T16:26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9" s="197" t="str">
        <f>IF(AA229&lt;VLOOKUP(AG229,Variables!$AC$3:$AD$8,2,FALSE),"Y","N")</f>
        <v>Y</v>
      </c>
      <c r="X229" s="197">
        <f t="shared" si="164"/>
        <v>1</v>
      </c>
      <c r="Y229" s="197">
        <f t="shared" si="166"/>
        <v>2.3616000000000001</v>
      </c>
      <c r="Z229" s="197">
        <f t="shared" si="165"/>
        <v>6.8400000000000002E-2</v>
      </c>
      <c r="AA229" s="197">
        <f t="shared" si="161"/>
        <v>2.2932000000000001</v>
      </c>
      <c r="AB229" s="54" t="e">
        <f>VLOOKUP(A229,Enforcements!$C$7:$K$12,8,0)</f>
        <v>#N/A</v>
      </c>
      <c r="AC229" s="51" t="e">
        <f>VLOOKUP(A229,Enforcements!$C$7:$E$12,3,0)</f>
        <v>#N/A</v>
      </c>
      <c r="AD229" s="206">
        <f t="shared" si="162"/>
        <v>904</v>
      </c>
      <c r="AE229" s="77" t="str">
        <f t="shared" si="152"/>
        <v>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 &amp; aws s3 cp s3://rtdc.mdm.uploadarchive.raw/RTDC4017/ "%USERPROFILE%\AppData\Local\Temp\OnboardLogs"\RTDC4017\2017-08-12 --exclude "*" --recursive --include "*20170812*" &amp; "%USERPROFILE%\Documents\GitHub\mrs-test-scripts\Headless Mode &amp; Sideloading\WalkAndUnGZ.bat" "%USERPROFILE%\AppData\Local\Temp\OnboardLogs"\RTDC4017\2017-08-12</v>
      </c>
      <c r="AF229" s="74" t="str">
        <f t="shared" si="153"/>
        <v>"C:\Program Files (x86)\AstroGrep\AstroGrep.exe" /e /r /s /spath="%USERPROFILE%\AppData\Local\Temp\OnboardLogs" /stypes="app*4017*20170811*" /stext=" 21:.+((SYSTEM_STATE.+slice.+state.+changed )|(ment ac)|(multiple cpu faults)|(system.+state.+changed )|(\[timeout)|(PRM\|1\|D)|(kpr)|(kdp)|(train st.+moving)|(\|lc)|(penalty))"</v>
      </c>
      <c r="AG229" s="209" t="str">
        <f t="shared" si="163"/>
        <v>Other</v>
      </c>
      <c r="AH229" s="78" t="str">
        <f t="shared" si="154"/>
        <v>"%USERPROFILE%\Documents\GitHub\eaglep3\Utilities\RefineRTDCRunTimes.py" --tripid 904-11 --locoid 4017 --swversion DE.1.0.9.0 --startMP 300:23616 --initTime 2017-08-11T15:13:26 --startdatetime 2017-08-11T15:18:07 --delay 4 --endMP 204:684 --enddatetime 2017-08-11T15:26:51 --enforcementcount 0 &gt;&gt;C:\Users\stu\Documents\GitHub\eaglep3-reporting\EC\2017-08-11-refined-times.txt</v>
      </c>
      <c r="AI229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{"issue":{"subject":"","project_id":79,"tracker_id":40,"status_id":1,"priority_id":2,"assigned_to_id":23,"start_date":"2017-08-11","description":"","custom_fields":[{"id":1,"name":"Subdivision","value":"Other"},{"id":4,"name":"Milepost","value":"0.0684"},{"id":17,"name":"Train ID","value":"904-11"},{"id":16,"name":"Locomotive ID","value":"4017"},{"id":130,"name":"Impact","value":""},{"id":150,"name":"Time of Event (Mountain Time)","value":"15:26:51"},{"id":151,"name":"Denver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56"/>
        <v>start /low /b %USERPROFILE%\Documents\GitHub\eaglep3\Utilities\DownloadLogsFromS3.py --loco 4017 --day 2017-08-11</v>
      </c>
      <c r="AN229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21:26:51"},{"id":29,"name":"Sharepoint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831</v>
      </c>
      <c r="B230" s="7">
        <v>4017</v>
      </c>
      <c r="C230" s="21" t="s">
        <v>198</v>
      </c>
      <c r="D230" s="21" t="s">
        <v>1041</v>
      </c>
      <c r="E230" s="13">
        <v>42958.7968287037</v>
      </c>
      <c r="F230" s="13">
        <v>42958.798263888886</v>
      </c>
      <c r="G230" s="7">
        <v>1</v>
      </c>
      <c r="H230" s="21" t="s">
        <v>1042</v>
      </c>
      <c r="I230" s="13">
        <v>42958.806863425925</v>
      </c>
      <c r="J230" s="7">
        <v>0</v>
      </c>
      <c r="K230" s="89" t="str">
        <f t="shared" si="158"/>
        <v>4017/4018</v>
      </c>
      <c r="L230" s="21" t="str">
        <f>VLOOKUP(A230,'Trips&amp;Operators'!$C$1:$G$99999,5,FALSE)</f>
        <v>MCREYNOLDS KYLE</v>
      </c>
      <c r="M230" s="6">
        <f t="shared" si="159"/>
        <v>8.599537039117422E-3</v>
      </c>
      <c r="N230" s="7">
        <f t="shared" si="149"/>
        <v>12.383333336329088</v>
      </c>
      <c r="O230" s="7"/>
      <c r="P230" s="7"/>
      <c r="Q230" s="22"/>
      <c r="R230" s="170"/>
      <c r="S230" s="213">
        <f t="shared" si="150"/>
        <v>0</v>
      </c>
      <c r="T230" s="195" t="str">
        <f t="shared" si="160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151"/>
        <v>https://d0f6bd738d7f1b3e5a7ca70fe4ff75f0.us-east-1.aws.found.io/app/kibana#/discover/Steve-Slow-Train-Analysis-(2080s-and-2083s)?_g=(refreshInterval:(display:Off,pause:!f,section:0,value:0),time:(from:'2017-08-11T18:07:26-0600',mode:absolute,to:'2017-08-11T20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0" s="197" t="str">
        <f>IF(AA230&lt;VLOOKUP(AG230,Variables!$AC$3:$AD$8,2,FALSE),"Y","N")</f>
        <v>Y</v>
      </c>
      <c r="X230" s="197">
        <f t="shared" si="164"/>
        <v>2</v>
      </c>
      <c r="Y230" s="197">
        <f t="shared" si="166"/>
        <v>5.8640999999999996</v>
      </c>
      <c r="Z230" s="197">
        <f t="shared" si="165"/>
        <v>2.8774000000000002</v>
      </c>
      <c r="AA230" s="197">
        <f t="shared" si="161"/>
        <v>2.9866999999999995</v>
      </c>
      <c r="AB230" s="54" t="e">
        <f>VLOOKUP(A230,Enforcements!$C$7:$K$12,8,0)</f>
        <v>#N/A</v>
      </c>
      <c r="AC230" s="51" t="e">
        <f>VLOOKUP(A230,Enforcements!$C$7:$E$12,3,0)</f>
        <v>#N/A</v>
      </c>
      <c r="AD230" s="206">
        <f t="shared" si="162"/>
        <v>906</v>
      </c>
      <c r="AE230" s="77" t="str">
        <f t="shared" si="152"/>
        <v>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 &amp; aws s3 cp s3://rtdc.mdm.uploadarchive.raw/RTDC4017/ "%USERPROFILE%\AppData\Local\Temp\OnboardLogs"\RTDC4017\2017-08-12 --exclude "*" --recursive --include "*20170812*" &amp; "%USERPROFILE%\Documents\GitHub\mrs-test-scripts\Headless Mode &amp; Sideloading\WalkAndUnGZ.bat" "%USERPROFILE%\AppData\Local\Temp\OnboardLogs"\RTDC4017\2017-08-12</v>
      </c>
      <c r="AF230" s="74" t="str">
        <f t="shared" si="153"/>
        <v>"C:\Program Files (x86)\AstroGrep\AstroGrep.exe" /e /r /s /spath="%USERPROFILE%\AppData\Local\Temp\OnboardLogs" /stypes="app*4017*20170812*" /stext=" 01:.+((SYSTEM_STATE.+slice.+state.+changed )|(ment ac)|(multiple cpu faults)|(system.+state.+changed )|(\[timeout)|(PRM\|1\|D)|(kpr)|(kdp)|(train st.+moving)|(\|lc)|(penalty))"</v>
      </c>
      <c r="AG230" s="209" t="str">
        <f t="shared" si="163"/>
        <v>Other</v>
      </c>
      <c r="AH230" s="78" t="str">
        <f t="shared" si="154"/>
        <v>"%USERPROFILE%\Documents\GitHub\eaglep3\Utilities\RefineRTDCRunTimes.py" --tripid 906-11 --locoid 4017 --swversion DE.1.0.9.0 --startMP 300:58641 --initTime 2017-08-11T19:07:26 --startdatetime 2017-08-11T19:09:30 --delay 1 --endMP 300:28774 --enddatetime 2017-08-11T19:21:53 --enforcementcount 0 &gt;&gt;C:\Users\stu\Documents\GitHub\eaglep3-reporting\EC\2017-08-11-refined-times.txt</v>
      </c>
      <c r="AI230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{"issue":{"subject":"","project_id":79,"tracker_id":40,"status_id":1,"priority_id":2,"assigned_to_id":23,"start_date":"2017-08-11","description":"","custom_fields":[{"id":1,"name":"Subdivision","value":"Other"},{"id":4,"name":"Milepost","value":"2.8774"},{"id":17,"name":"Train ID","value":"906-11"},{"id":16,"name":"Locomotive ID","value":"4017"},{"id":130,"name":"Impact","value":""},{"id":150,"name":"Time of Event (Mountain Time)","value":"19:21:53"},{"id":151,"name":"Denver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56"/>
        <v>start /low /b %USERPROFILE%\Documents\GitHub\eaglep3\Utilities\DownloadLogsFromS3.py --loco 4017 --day 2017-08-11</v>
      </c>
      <c r="AN230" s="151" t="str">
        <f t="shared" si="15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01:21:53"},{"id":29,"name":"Sharepoint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852</v>
      </c>
      <c r="B231" s="7">
        <v>4015</v>
      </c>
      <c r="C231" s="21" t="s">
        <v>198</v>
      </c>
      <c r="D231" s="21" t="s">
        <v>1043</v>
      </c>
      <c r="E231" s="13">
        <v>42958.943136574075</v>
      </c>
      <c r="F231" s="13">
        <v>42958.944733796299</v>
      </c>
      <c r="G231" s="7">
        <v>1</v>
      </c>
      <c r="H231" s="21" t="s">
        <v>1044</v>
      </c>
      <c r="I231" s="13">
        <v>42958.953564814816</v>
      </c>
      <c r="J231" s="7">
        <v>0</v>
      </c>
      <c r="K231" s="89" t="str">
        <f t="shared" si="158"/>
        <v>4015/4016</v>
      </c>
      <c r="L231" s="21" t="str">
        <f>VLOOKUP(A231,'Trips&amp;Operators'!$C$1:$G$99999,5,FALSE)</f>
        <v>MCREYNOLDS KYLE</v>
      </c>
      <c r="M231" s="6">
        <f t="shared" si="159"/>
        <v>8.8310185165028088E-3</v>
      </c>
      <c r="N231" s="7">
        <f t="shared" si="149"/>
        <v>12.716666663764045</v>
      </c>
      <c r="O231" s="7"/>
      <c r="P231" s="7"/>
      <c r="Q231" s="22"/>
      <c r="R231" s="170"/>
      <c r="S231" s="213">
        <f t="shared" si="150"/>
        <v>0</v>
      </c>
      <c r="T231" s="195" t="str">
        <f t="shared" si="160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151"/>
        <v>https://d0f6bd738d7f1b3e5a7ca70fe4ff75f0.us-east-1.aws.found.io/app/kibana#/discover/Steve-Slow-Train-Analysis-(2080s-and-2083s)?_g=(refreshInterval:(display:Off,pause:!f,section:0,value:0),time:(from:'2017-08-11T21:38:07-0600',mode:absolute,to:'2017-08-11T23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1" s="197" t="str">
        <f>IF(AA231&lt;VLOOKUP(AG231,Variables!$AC$3:$AD$8,2,FALSE),"Y","N")</f>
        <v>Y</v>
      </c>
      <c r="X231" s="197">
        <f t="shared" si="164"/>
        <v>2</v>
      </c>
      <c r="Y231" s="197">
        <f t="shared" si="166"/>
        <v>5.8666</v>
      </c>
      <c r="Z231" s="197">
        <f t="shared" si="165"/>
        <v>2.8797000000000001</v>
      </c>
      <c r="AA231" s="197">
        <f t="shared" si="161"/>
        <v>2.9868999999999999</v>
      </c>
      <c r="AB231" s="54" t="e">
        <f>VLOOKUP(A231,Enforcements!$C$7:$K$12,8,0)</f>
        <v>#N/A</v>
      </c>
      <c r="AC231" s="51" t="e">
        <f>VLOOKUP(A231,Enforcements!$C$7:$E$12,3,0)</f>
        <v>#N/A</v>
      </c>
      <c r="AD231" s="206">
        <f t="shared" si="162"/>
        <v>908</v>
      </c>
      <c r="AE231" s="77" t="str">
        <f t="shared" si="152"/>
        <v>aws s3 cp s3://rtdc.mdm.uploadarchive.raw/RTDC4015/ "%USERPROFILE%\AppData\Local\Temp\OnboardLogs"\RTDC4015\2017-08-11 --exclude "*" --recursive --include "*20170811*" &amp; "%USERPROFILE%\Documents\GitHub\mrs-test-scripts\Headless Mode &amp; Sideloading\WalkAndUnGZ.bat" "%USERPROFILE%\AppData\Local\Temp\OnboardLogs"\RTDC4015\2017-08-11 &amp; 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</v>
      </c>
      <c r="AF231" s="74" t="str">
        <f t="shared" si="153"/>
        <v>"C:\Program Files (x86)\AstroGrep\AstroGrep.exe" /e /r /s /spath="%USERPROFILE%\AppData\Local\Temp\OnboardLogs" /stypes="app*4015*20170812*" /stext=" 04:.+((SYSTEM_STATE.+slice.+state.+changed )|(ment ac)|(multiple cpu faults)|(system.+state.+changed )|(\[timeout)|(PRM\|1\|D)|(kpr)|(kdp)|(train st.+moving)|(\|lc)|(penalty))"</v>
      </c>
      <c r="AG231" s="209" t="str">
        <f t="shared" si="163"/>
        <v>Other</v>
      </c>
      <c r="AH231" s="78" t="str">
        <f t="shared" si="154"/>
        <v>"%USERPROFILE%\Documents\GitHub\eaglep3\Utilities\RefineRTDCRunTimes.py" --tripid 908-11 --locoid 4015 --swversion DE.1.0.9.0 --startMP 300:58666 --initTime 2017-08-11T22:38:07 --startdatetime 2017-08-11T22:40:25 --delay 1 --endMP 300:28797 --enddatetime 2017-08-11T22:53:08 --enforcementcount 0 &gt;&gt;C:\Users\stu\Documents\GitHub\eaglep3-reporting\EC\2017-08-11-refined-times.txt</v>
      </c>
      <c r="AI231" s="96" t="str">
        <f t="shared" si="155"/>
        <v>echo {"issue":{"subject":"","project_id":79,"tracker_id":40,"status_id":1,"priority_id":2,"assigned_to_id":23,"start_date":"2017-08-11","description":"","custom_fields":[{"id":1,"name":"Subdivision","value":"Other"},{"id":4,"name":"Milepost","value":"2.8797"},{"id":17,"name":"Train ID","value":"908-11"},{"id":16,"name":"Locomotive ID","value":"4015"},{"id":130,"name":"Impact","value":""},{"id":150,"name":"Time of Event (Mountain Time)","value":"22:53:08"},{"id":151,"name":"Denver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56"/>
        <v>start /low /b %USERPROFILE%\Documents\GitHub\eaglep3\Utilities\DownloadLogsFromS3.py --loco 4015 --day 2017-08-11</v>
      </c>
      <c r="AN231" s="151" t="str">
        <f t="shared" si="15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04:53:08"},{"id":29,"name":"Sharepoint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700</v>
      </c>
      <c r="B232" s="7">
        <v>4003</v>
      </c>
      <c r="C232" s="21" t="s">
        <v>198</v>
      </c>
      <c r="D232" s="21" t="s">
        <v>954</v>
      </c>
      <c r="E232" s="13">
        <v>42958.397118055553</v>
      </c>
      <c r="F232" s="13">
        <v>42958.398819444446</v>
      </c>
      <c r="G232" s="7">
        <v>1</v>
      </c>
      <c r="H232" s="21" t="s">
        <v>955</v>
      </c>
      <c r="I232" s="13">
        <v>42958.40283564815</v>
      </c>
      <c r="J232" s="7">
        <v>0</v>
      </c>
      <c r="K232" s="89" t="str">
        <f t="shared" si="158"/>
        <v>4003/4004</v>
      </c>
      <c r="L232" s="21" t="str">
        <f>VLOOKUP(A232,'Trips&amp;Operators'!$C$1:$G$99999,5,FALSE)</f>
        <v>GONZALEZ ARMANDO</v>
      </c>
      <c r="M232" s="6">
        <f t="shared" si="159"/>
        <v>4.016203703940846E-3</v>
      </c>
      <c r="N232" s="7">
        <f t="shared" si="149"/>
        <v>5.7833333336748183</v>
      </c>
      <c r="O232" s="7"/>
      <c r="P232" s="7"/>
      <c r="Q232" s="22"/>
      <c r="R232" s="170"/>
      <c r="S232" s="213">
        <f t="shared" si="150"/>
        <v>0</v>
      </c>
      <c r="T232" s="195" t="str">
        <f t="shared" si="160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151"/>
        <v>https://d0f6bd738d7f1b3e5a7ca70fe4ff75f0.us-east-1.aws.found.io/app/kibana#/discover/Steve-Slow-Train-Analysis-(2080s-and-2083s)?_g=(refreshInterval:(display:Off,pause:!f,section:0,value:0),time:(from:'2017-08-11T08:31:51-0600',mode:absolute,to:'2017-08-11T10:40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2" s="197" t="str">
        <f>IF(AA232&lt;VLOOKUP(AG232,Variables!$AC$3:$AD$8,2,FALSE),"Y","N")</f>
        <v>Y</v>
      </c>
      <c r="X232" s="197">
        <f t="shared" si="164"/>
        <v>-858</v>
      </c>
      <c r="Y232" s="197">
        <f t="shared" si="166"/>
        <v>3.1257999999999999</v>
      </c>
      <c r="Z232" s="197">
        <f t="shared" si="165"/>
        <v>2.8776000000000002</v>
      </c>
      <c r="AA232" s="197">
        <f t="shared" si="161"/>
        <v>0.24819999999999975</v>
      </c>
      <c r="AB232" s="54" t="e">
        <f>VLOOKUP(A232,Enforcements!$C$7:$K$12,8,0)</f>
        <v>#N/A</v>
      </c>
      <c r="AC232" s="51" t="e">
        <f>VLOOKUP(A232,Enforcements!$C$7:$E$12,3,0)</f>
        <v>#N/A</v>
      </c>
      <c r="AD232" s="206">
        <f t="shared" si="162"/>
        <v>50</v>
      </c>
      <c r="AE232" s="77" t="str">
        <f t="shared" si="152"/>
        <v>aws s3 cp s3://rtdc.mdm.uploadarchive.raw/RTDC4003/ "%USERPROFILE%\AppData\Local\Temp\OnboardLogs"\RTDC4003\2017-08-11 --exclude "*" --recursive --include "*20170811*" &amp; "%USERPROFILE%\Documents\GitHub\mrs-test-scripts\Headless Mode &amp; Sideloading\WalkAndUnGZ.bat" "%USERPROFILE%\AppData\Local\Temp\OnboardLogs"\RTDC4003\2017-08-11 &amp; aws s3 cp s3://rtdc.mdm.uploadarchive.raw/RTDC4003/ "%USERPROFILE%\AppData\Local\Temp\OnboardLogs"\RTDC4003\2017-08-12 --exclude "*" --recursive --include "*20170812*" &amp; "%USERPROFILE%\Documents\GitHub\mrs-test-scripts\Headless Mode &amp; Sideloading\WalkAndUnGZ.bat" "%USERPROFILE%\AppData\Local\Temp\OnboardLogs"\RTDC4003\2017-08-12</v>
      </c>
      <c r="AF232" s="74" t="str">
        <f t="shared" si="153"/>
        <v>"C:\Program Files (x86)\AstroGrep\AstroGrep.exe" /e /r /s /spath="%USERPROFILE%\AppData\Local\Temp\OnboardLogs" /stypes="app*4003*20170811*" /stext=" 15:.+((SYSTEM_STATE.+slice.+state.+changed )|(ment ac)|(multiple cpu faults)|(system.+state.+changed )|(\[timeout)|(PRM\|1\|D)|(kpr)|(kdp)|(train st.+moving)|(\|lc)|(penalty))"</v>
      </c>
      <c r="AG232" s="209" t="str">
        <f t="shared" si="163"/>
        <v>Shuttle/Test</v>
      </c>
      <c r="AH232" s="78" t="str">
        <f t="shared" si="154"/>
        <v>"%USERPROFILE%\Documents\GitHub\eaglep3\Utilities\RefineRTDCRunTimes.py" --tripid 50-11 --locoid 4003 --swversion DE.1.0.9.0 --startMP 300:31258 --initTime 2017-08-11T09:31:51 --startdatetime 2017-08-11T09:34:18 --delay 1 --endMP 300:28776 --enddatetime 2017-08-11T09:40:05 --enforcementcount 0 &gt;&gt;C:\Users\stu\Documents\GitHub\eaglep3-reporting\EC\2017-08-11-refined-times.txt</v>
      </c>
      <c r="AI232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2.8776"},{"id":17,"name":"Train ID","value":"50-11"},{"id":16,"name":"Locomotive ID","value":"4003"},{"id":130,"name":"Impact","value":""},{"id":150,"name":"Time of Event (Mountain Time)","value":"09:40:05"},{"id":151,"name":"Denver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156"/>
        <v>start /low /b %USERPROFILE%\Documents\GitHub\eaglep3\Utilities\DownloadLogsFromS3.py --loco 4003 --day 2017-08-11</v>
      </c>
      <c r="AN232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15:40:05"},{"id":29,"name":"Sharepoint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642</v>
      </c>
      <c r="B233" s="7">
        <v>4004</v>
      </c>
      <c r="C233" s="21" t="s">
        <v>198</v>
      </c>
      <c r="D233" s="21" t="s">
        <v>957</v>
      </c>
      <c r="E233" s="13">
        <v>42958.390798611108</v>
      </c>
      <c r="F233" s="13">
        <v>42958.394363425927</v>
      </c>
      <c r="G233" s="7">
        <v>3</v>
      </c>
      <c r="H233" s="21" t="s">
        <v>958</v>
      </c>
      <c r="I233" s="13">
        <v>42958.395844907405</v>
      </c>
      <c r="J233" s="7">
        <v>0</v>
      </c>
      <c r="K233" s="89" t="str">
        <f t="shared" si="158"/>
        <v>4003/4004</v>
      </c>
      <c r="L233" s="21" t="str">
        <f>VLOOKUP(A233,'Trips&amp;Operators'!$C$1:$G$99999,5,FALSE)</f>
        <v>SPECTOR MICHAEL</v>
      </c>
      <c r="M233" s="6">
        <f t="shared" si="159"/>
        <v>1.48148147854954E-3</v>
      </c>
      <c r="N233" s="7">
        <f t="shared" si="149"/>
        <v>2.1333333291113377</v>
      </c>
      <c r="O233" s="7"/>
      <c r="P233" s="7"/>
      <c r="Q233" s="22"/>
      <c r="R233" s="170"/>
      <c r="S233" s="213">
        <f t="shared" si="150"/>
        <v>0</v>
      </c>
      <c r="T233" s="195" t="str">
        <f t="shared" si="160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151"/>
        <v>https://d0f6bd738d7f1b3e5a7ca70fe4ff75f0.us-east-1.aws.found.io/app/kibana#/discover/Steve-Slow-Train-Analysis-(2080s-and-2083s)?_g=(refreshInterval:(display:Off,pause:!f,section:0,value:0),time:(from:'2017-08-11T08:22:45-0600',mode:absolute,to:'2017-08-11T10:30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3" s="197" t="str">
        <f>IF(AA233&lt;VLOOKUP(AG233,Variables!$AC$3:$AD$8,2,FALSE),"Y","N")</f>
        <v>Y</v>
      </c>
      <c r="X233" s="197">
        <f t="shared" si="164"/>
        <v>1</v>
      </c>
      <c r="Y233" s="197">
        <f t="shared" si="166"/>
        <v>2.2012999999999998</v>
      </c>
      <c r="Z233" s="197">
        <f t="shared" si="165"/>
        <v>3.1579999999999999</v>
      </c>
      <c r="AA233" s="197">
        <f t="shared" si="161"/>
        <v>0.95670000000000011</v>
      </c>
      <c r="AB233" s="54" t="e">
        <f>VLOOKUP(A233,Enforcements!$C$7:$K$12,8,0)</f>
        <v>#N/A</v>
      </c>
      <c r="AC233" s="51" t="e">
        <f>VLOOKUP(A233,Enforcements!$C$7:$E$12,3,0)</f>
        <v>#N/A</v>
      </c>
      <c r="AD233" s="206">
        <f t="shared" si="162"/>
        <v>51</v>
      </c>
      <c r="AE233" s="77" t="str">
        <f t="shared" si="152"/>
        <v>aws s3 cp s3://rtdc.mdm.uploadarchive.raw/RTDC4004/ "%USERPROFILE%\AppData\Local\Temp\OnboardLogs"\RTDC4004\2017-08-11 --exclude "*" --recursive --include "*20170811*" &amp; "%USERPROFILE%\Documents\GitHub\mrs-test-scripts\Headless Mode &amp; Sideloading\WalkAndUnGZ.bat" "%USERPROFILE%\AppData\Local\Temp\OnboardLogs"\RTDC4004\2017-08-11 &amp; aws s3 cp s3://rtdc.mdm.uploadarchive.raw/RTDC4004/ "%USERPROFILE%\AppData\Local\Temp\OnboardLogs"\RTDC4004\2017-08-12 --exclude "*" --recursive --include "*20170812*" &amp; "%USERPROFILE%\Documents\GitHub\mrs-test-scripts\Headless Mode &amp; Sideloading\WalkAndUnGZ.bat" "%USERPROFILE%\AppData\Local\Temp\OnboardLogs"\RTDC4004\2017-08-12</v>
      </c>
      <c r="AF233" s="74" t="str">
        <f t="shared" si="153"/>
        <v>"C:\Program Files (x86)\AstroGrep\AstroGrep.exe" /e /r /s /spath="%USERPROFILE%\AppData\Local\Temp\OnboardLogs" /stypes="app*4004*20170811*" /stext=" 15:.+((SYSTEM_STATE.+slice.+state.+changed )|(ment ac)|(multiple cpu faults)|(system.+state.+changed )|(\[timeout)|(PRM\|1\|D)|(kpr)|(kdp)|(train st.+moving)|(\|lc)|(penalty))"</v>
      </c>
      <c r="AG233" s="209" t="str">
        <f t="shared" si="163"/>
        <v>Shuttle/Test</v>
      </c>
      <c r="AH233" s="78" t="str">
        <f t="shared" si="154"/>
        <v>"%USERPROFILE%\Documents\GitHub\eaglep3\Utilities\RefineRTDCRunTimes.py" --tripid 51-11 --locoid 4004 --swversion DE.1.0.9.0 --startMP 300:22013 --initTime 2017-08-11T09:22:45 --startdatetime 2017-08-11T09:27:53 --delay 3 --endMP 300:31580 --enddatetime 2017-08-11T09:30:01 --enforcementcount 0 &gt;&gt;C:\Users\stu\Documents\GitHub\eaglep3-reporting\EC\2017-08-11-refined-times.txt</v>
      </c>
      <c r="AI233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3.158"},{"id":17,"name":"Train ID","value":"51-11"},{"id":16,"name":"Locomotive ID","value":"4004"},{"id":130,"name":"Impact","value":""},{"id":150,"name":"Time of Event (Mountain Time)","value":"09:30:01"},{"id":151,"name":"Denver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156"/>
        <v>start /low /b %USERPROFILE%\Documents\GitHub\eaglep3\Utilities\DownloadLogsFromS3.py --loco 4004 --day 2017-08-11</v>
      </c>
      <c r="AN233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15:30:01"},{"id":29,"name":"Sharepoint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642</v>
      </c>
      <c r="B234" s="7">
        <v>4020</v>
      </c>
      <c r="C234" s="21" t="s">
        <v>198</v>
      </c>
      <c r="D234" s="21" t="s">
        <v>956</v>
      </c>
      <c r="E234" s="13">
        <v>42958.126307870371</v>
      </c>
      <c r="F234" s="13">
        <v>42958.137280092589</v>
      </c>
      <c r="G234" s="7">
        <v>1</v>
      </c>
      <c r="H234" s="21" t="s">
        <v>1059</v>
      </c>
      <c r="I234" s="13">
        <v>42958.139849537038</v>
      </c>
      <c r="J234" s="7">
        <v>0</v>
      </c>
      <c r="K234" s="89" t="str">
        <f t="shared" si="158"/>
        <v>4019/4020</v>
      </c>
      <c r="L234" s="21" t="str">
        <f>VLOOKUP(A234,'Trips&amp;Operators'!$C$1:$G$99999,5,FALSE)</f>
        <v>SPECTOR MICHAEL</v>
      </c>
      <c r="M234" s="6">
        <f t="shared" si="159"/>
        <v>2.5694444484543055E-3</v>
      </c>
      <c r="N234" s="7">
        <f t="shared" si="149"/>
        <v>3.7000000057742</v>
      </c>
      <c r="O234" s="7"/>
      <c r="P234" s="7"/>
      <c r="Q234" s="22"/>
      <c r="R234" s="170"/>
      <c r="S234" s="213">
        <f t="shared" si="150"/>
        <v>0</v>
      </c>
      <c r="T234" s="195" t="str">
        <f t="shared" si="160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151"/>
        <v>https://d0f6bd738d7f1b3e5a7ca70fe4ff75f0.us-east-1.aws.found.io/app/kibana#/discover/Steve-Slow-Train-Analysis-(2080s-and-2083s)?_g=(refreshInterval:(display:Off,pause:!f,section:0,value:0),time:(from:'2017-08-11T02:01:53-0600',mode:absolute,to:'2017-08-11T04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4" s="197" t="str">
        <f>IF(AA234&lt;VLOOKUP(AG234,Variables!$AC$3:$AD$8,2,FALSE),"Y","N")</f>
        <v>Y</v>
      </c>
      <c r="X234" s="197">
        <f t="shared" si="164"/>
        <v>0</v>
      </c>
      <c r="Y234" s="197">
        <f t="shared" si="166"/>
        <v>4.1799999999999997E-2</v>
      </c>
      <c r="Z234" s="197">
        <f t="shared" si="165"/>
        <v>0.35659999999999997</v>
      </c>
      <c r="AA234" s="197">
        <f t="shared" si="161"/>
        <v>0.31479999999999997</v>
      </c>
      <c r="AB234" s="54" t="e">
        <f>VLOOKUP(A234,Enforcements!$C$7:$K$12,8,0)</f>
        <v>#N/A</v>
      </c>
      <c r="AC234" s="51" t="e">
        <f>VLOOKUP(A234,Enforcements!$C$7:$E$12,3,0)</f>
        <v>#N/A</v>
      </c>
      <c r="AD234" s="206">
        <f t="shared" si="162"/>
        <v>51</v>
      </c>
      <c r="AE234" s="77" t="str">
        <f t="shared" si="152"/>
        <v>aws s3 cp s3://rtdc.mdm.uploadarchive.raw/RTDC4020/ "%USERPROFILE%\AppData\Local\Temp\OnboardLogs"\RTDC4020\2017-08-11 --exclude "*" --recursive --include "*20170811*" &amp; "%USERPROFILE%\Documents\GitHub\mrs-test-scripts\Headless Mode &amp; Sideloading\WalkAndUnGZ.bat" "%USERPROFILE%\AppData\Local\Temp\OnboardLogs"\RTDC4020\2017-08-11 &amp; aws s3 cp s3://rtdc.mdm.uploadarchive.raw/RTDC4020/ "%USERPROFILE%\AppData\Local\Temp\OnboardLogs"\RTDC4020\2017-08-12 --exclude "*" --recursive --include "*20170812*" &amp; "%USERPROFILE%\Documents\GitHub\mrs-test-scripts\Headless Mode &amp; Sideloading\WalkAndUnGZ.bat" "%USERPROFILE%\AppData\Local\Temp\OnboardLogs"\RTDC4020\2017-08-12</v>
      </c>
      <c r="AF234" s="74" t="str">
        <f t="shared" si="153"/>
        <v>"C:\Program Files (x86)\AstroGrep\AstroGrep.exe" /e /r /s /spath="%USERPROFILE%\AppData\Local\Temp\OnboardLogs" /stypes="app*4020*20170811*" /stext=" 09:.+((SYSTEM_STATE.+slice.+state.+changed )|(ment ac)|(multiple cpu faults)|(system.+state.+changed )|(\[timeout)|(PRM\|1\|D)|(kpr)|(kdp)|(train st.+moving)|(\|lc)|(penalty))"</v>
      </c>
      <c r="AG234" s="209" t="str">
        <f t="shared" si="163"/>
        <v>Shuttle/Test</v>
      </c>
      <c r="AH234" s="78" t="str">
        <f t="shared" si="154"/>
        <v>"%USERPROFILE%\Documents\GitHub\eaglep3\Utilities\RefineRTDCRunTimes.py" --tripid 51-11 --locoid 4020 --swversion DE.1.0.9.0 --startMP 204:418 --initTime 2017-08-11T03:01:53 --startdatetime 2017-08-11T03:17:41 --delay 1 --endMP 204:3566 --enddatetime 2017-08-11T03:21:23 --enforcementcount 0 &gt;&gt;C:\Users\stu\Documents\GitHub\eaglep3-reporting\EC\2017-08-11-refined-times.txt</v>
      </c>
      <c r="AI234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0.3566"},{"id":17,"name":"Train ID","value":"51-11"},{"id":16,"name":"Locomotive ID","value":"4020"},{"id":130,"name":"Impact","value":""},{"id":150,"name":"Time of Event (Mountain Time)","value":"03:21:23"},{"id":151,"name":"Denver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56"/>
        <v>start /low /b %USERPROFILE%\Documents\GitHub\eaglep3\Utilities\DownloadLogsFromS3.py --loco 4020 --day 2017-08-11</v>
      </c>
      <c r="AN234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09:21:23"},{"id":29,"name":"Sharepoint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645</v>
      </c>
      <c r="B235" s="7">
        <v>4019</v>
      </c>
      <c r="C235" s="21" t="s">
        <v>198</v>
      </c>
      <c r="D235" s="21" t="s">
        <v>587</v>
      </c>
      <c r="E235" s="13">
        <v>42958.140868055554</v>
      </c>
      <c r="F235" s="13">
        <v>42958.142291666663</v>
      </c>
      <c r="G235" s="7">
        <v>1</v>
      </c>
      <c r="H235" s="21" t="s">
        <v>959</v>
      </c>
      <c r="I235" s="13">
        <v>42958.143287037034</v>
      </c>
      <c r="J235" s="7">
        <v>0</v>
      </c>
      <c r="K235" s="89" t="str">
        <f t="shared" si="158"/>
        <v>4019/4020</v>
      </c>
      <c r="L235" s="21" t="str">
        <f>VLOOKUP(A235,'Trips&amp;Operators'!$C$1:$G$99999,5,FALSE)</f>
        <v>SPECTOR MICHAEL</v>
      </c>
      <c r="M235" s="6">
        <f t="shared" si="159"/>
        <v>9.9537037021946162E-4</v>
      </c>
      <c r="N235" s="7">
        <f t="shared" ref="N235:N265" si="167">24*60*SUM($M235:$M235)</f>
        <v>1.4333333331160247</v>
      </c>
      <c r="O235" s="7"/>
      <c r="P235" s="7"/>
      <c r="Q235" s="22"/>
      <c r="R235" s="170"/>
      <c r="S235" s="213">
        <f t="shared" ref="S235:S265" si="168">1/IF(AG235="EC",12,1)*SUM(U235:U235)</f>
        <v>0</v>
      </c>
      <c r="T235" s="195" t="str">
        <f t="shared" si="160"/>
        <v>Southbound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151"/>
        <v>https://d0f6bd738d7f1b3e5a7ca70fe4ff75f0.us-east-1.aws.found.io/app/kibana#/discover/Steve-Slow-Train-Analysis-(2080s-and-2083s)?_g=(refreshInterval:(display:Off,pause:!f,section:0,value:0),time:(from:'2017-08-11T02:22:51-0600',mode:absolute,to:'2017-08-11T04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5" s="197" t="str">
        <f>IF(AA235&lt;VLOOKUP(AG235,Variables!$AC$3:$AD$8,2,FALSE),"Y","N")</f>
        <v>Y</v>
      </c>
      <c r="X235" s="197">
        <f t="shared" si="164"/>
        <v>1</v>
      </c>
      <c r="Y235" s="197">
        <f t="shared" si="166"/>
        <v>0.3241</v>
      </c>
      <c r="Z235" s="197">
        <f t="shared" si="165"/>
        <v>0.11650000000000001</v>
      </c>
      <c r="AA235" s="197">
        <f t="shared" si="161"/>
        <v>0.20760000000000001</v>
      </c>
      <c r="AB235" s="54" t="e">
        <f>VLOOKUP(A235,Enforcements!$C$7:$K$12,8,0)</f>
        <v>#N/A</v>
      </c>
      <c r="AC235" s="51" t="e">
        <f>VLOOKUP(A235,Enforcements!$C$7:$E$12,3,0)</f>
        <v>#N/A</v>
      </c>
      <c r="AD235" s="206">
        <f t="shared" si="162"/>
        <v>52</v>
      </c>
      <c r="AE235" s="77" t="str">
        <f t="shared" si="152"/>
        <v>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 &amp; aws s3 cp s3://rtdc.mdm.uploadarchive.raw/RTDC4019/ "%USERPROFILE%\AppData\Local\Temp\OnboardLogs"\RTDC4019\2017-08-12 --exclude "*" --recursive --include "*20170812*" &amp; "%USERPROFILE%\Documents\GitHub\mrs-test-scripts\Headless Mode &amp; Sideloading\WalkAndUnGZ.bat" "%USERPROFILE%\AppData\Local\Temp\OnboardLogs"\RTDC4019\2017-08-12</v>
      </c>
      <c r="AF235" s="74" t="str">
        <f t="shared" si="153"/>
        <v>"C:\Program Files (x86)\AstroGrep\AstroGrep.exe" /e /r /s /spath="%USERPROFILE%\AppData\Local\Temp\OnboardLogs" /stypes="app*4019*20170811*" /stext=" 09:.+((SYSTEM_STATE.+slice.+state.+changed )|(ment ac)|(multiple cpu faults)|(system.+state.+changed )|(\[timeout)|(PRM\|1\|D)|(kpr)|(kdp)|(train st.+moving)|(\|lc)|(penalty))"</v>
      </c>
      <c r="AG235" s="209" t="str">
        <f t="shared" si="163"/>
        <v>Shuttle/Test</v>
      </c>
      <c r="AH235" s="78" t="str">
        <f t="shared" si="154"/>
        <v>"%USERPROFILE%\Documents\GitHub\eaglep3\Utilities\RefineRTDCRunTimes.py" --tripid 52-11 --locoid 4019 --swversion DE.1.0.9.0 --startMP 204:3241 --initTime 2017-08-11T03:22:51 --startdatetime 2017-08-11T03:24:54 --delay 1 --endMP 204:1165 --enddatetime 2017-08-11T03:26:20 --enforcementcount 0 &gt;&gt;C:\Users\stu\Documents\GitHub\eaglep3-reporting\EC\2017-08-11-refined-times.txt</v>
      </c>
      <c r="AI235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0.1165"},{"id":17,"name":"Train ID","value":"52-11"},{"id":16,"name":"Locomotive ID","value":"4019"},{"id":130,"name":"Impact","value":""},{"id":150,"name":"Time of Event (Mountain Time)","value":"03:26:20"},{"id":151,"name":"Denver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56"/>
        <v>start /low /b %USERPROFILE%\Documents\GitHub\eaglep3\Utilities\DownloadLogsFromS3.py --loco 4019 --day 2017-08-11</v>
      </c>
      <c r="AN235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09:26:20"},{"id":29,"name":"Sharepoint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724</v>
      </c>
      <c r="B236" s="7">
        <v>4004</v>
      </c>
      <c r="C236" s="21" t="s">
        <v>198</v>
      </c>
      <c r="D236" s="21" t="s">
        <v>962</v>
      </c>
      <c r="E236" s="13">
        <v>42958.452951388892</v>
      </c>
      <c r="F236" s="13">
        <v>42958.455752314818</v>
      </c>
      <c r="G236" s="7">
        <v>1</v>
      </c>
      <c r="H236" s="21" t="s">
        <v>963</v>
      </c>
      <c r="I236" s="13">
        <v>42958.457511574074</v>
      </c>
      <c r="J236" s="7">
        <v>0</v>
      </c>
      <c r="K236" s="89" t="str">
        <f t="shared" si="158"/>
        <v>4003/4004</v>
      </c>
      <c r="L236" s="21" t="str">
        <f>VLOOKUP(A236,'Trips&amp;Operators'!$C$1:$G$99999,5,FALSE)</f>
        <v>ELBAUM MIKE</v>
      </c>
      <c r="M236" s="6">
        <f t="shared" si="159"/>
        <v>1.7592592557775788E-3</v>
      </c>
      <c r="N236" s="7">
        <f t="shared" si="167"/>
        <v>2.5333333283197135</v>
      </c>
      <c r="O236" s="7"/>
      <c r="P236" s="7"/>
      <c r="Q236" s="22"/>
      <c r="R236" s="170"/>
      <c r="S236" s="213">
        <f t="shared" si="168"/>
        <v>0</v>
      </c>
      <c r="T236" s="195" t="str">
        <f t="shared" si="160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151"/>
        <v>https://d0f6bd738d7f1b3e5a7ca70fe4ff75f0.us-east-1.aws.found.io/app/kibana#/discover/Steve-Slow-Train-Analysis-(2080s-and-2083s)?_g=(refreshInterval:(display:Off,pause:!f,section:0,value:0),time:(from:'2017-08-11T09:52:15-0600',mode:absolute,to:'2017-08-11T11:58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6" s="197" t="str">
        <f>IF(AA236&lt;VLOOKUP(AG236,Variables!$AC$3:$AD$8,2,FALSE),"Y","N")</f>
        <v>Y</v>
      </c>
      <c r="X236" s="197">
        <f t="shared" si="164"/>
        <v>1</v>
      </c>
      <c r="Y236" s="197">
        <f t="shared" si="166"/>
        <v>2.202</v>
      </c>
      <c r="Z236" s="197">
        <f t="shared" si="165"/>
        <v>2.4192999999999998</v>
      </c>
      <c r="AA236" s="197">
        <f t="shared" si="161"/>
        <v>0.21729999999999983</v>
      </c>
      <c r="AB236" s="54" t="e">
        <f>VLOOKUP(A236,Enforcements!$C$7:$K$12,8,0)</f>
        <v>#N/A</v>
      </c>
      <c r="AC236" s="51" t="e">
        <f>VLOOKUP(A236,Enforcements!$C$7:$E$12,3,0)</f>
        <v>#N/A</v>
      </c>
      <c r="AD236" s="206">
        <f t="shared" si="162"/>
        <v>53</v>
      </c>
      <c r="AE236" s="77" t="str">
        <f t="shared" si="152"/>
        <v>aws s3 cp s3://rtdc.mdm.uploadarchive.raw/RTDC4004/ "%USERPROFILE%\AppData\Local\Temp\OnboardLogs"\RTDC4004\2017-08-11 --exclude "*" --recursive --include "*20170811*" &amp; "%USERPROFILE%\Documents\GitHub\mrs-test-scripts\Headless Mode &amp; Sideloading\WalkAndUnGZ.bat" "%USERPROFILE%\AppData\Local\Temp\OnboardLogs"\RTDC4004\2017-08-11 &amp; aws s3 cp s3://rtdc.mdm.uploadarchive.raw/RTDC4004/ "%USERPROFILE%\AppData\Local\Temp\OnboardLogs"\RTDC4004\2017-08-12 --exclude "*" --recursive --include "*20170812*" &amp; "%USERPROFILE%\Documents\GitHub\mrs-test-scripts\Headless Mode &amp; Sideloading\WalkAndUnGZ.bat" "%USERPROFILE%\AppData\Local\Temp\OnboardLogs"\RTDC4004\2017-08-12</v>
      </c>
      <c r="AF236" s="74" t="str">
        <f t="shared" si="153"/>
        <v>"C:\Program Files (x86)\AstroGrep\AstroGrep.exe" /e /r /s /spath="%USERPROFILE%\AppData\Local\Temp\OnboardLogs" /stypes="app*4004*20170811*" /stext=" 16:.+((SYSTEM_STATE.+slice.+state.+changed )|(ment ac)|(multiple cpu faults)|(system.+state.+changed )|(\[timeout)|(PRM\|1\|D)|(kpr)|(kdp)|(train st.+moving)|(\|lc)|(penalty))"</v>
      </c>
      <c r="AG236" s="209" t="str">
        <f t="shared" si="163"/>
        <v>Shuttle/Test</v>
      </c>
      <c r="AH236" s="78" t="str">
        <f t="shared" si="154"/>
        <v>"%USERPROFILE%\Documents\GitHub\eaglep3\Utilities\RefineRTDCRunTimes.py" --tripid 53-11 --locoid 4004 --swversion DE.1.0.9.0 --startMP 300:22020 --initTime 2017-08-11T10:52:15 --startdatetime 2017-08-11T10:56:17 --delay 1 --endMP 300:24193 --enddatetime 2017-08-11T10:58:49 --enforcementcount 0 &gt;&gt;C:\Users\stu\Documents\GitHub\eaglep3-reporting\EC\2017-08-11-refined-times.txt</v>
      </c>
      <c r="AI236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2.4193"},{"id":17,"name":"Train ID","value":"53-11"},{"id":16,"name":"Locomotive ID","value":"4004"},{"id":130,"name":"Impact","value":""},{"id":150,"name":"Time of Event (Mountain Time)","value":"10:58:49"},{"id":151,"name":"Denver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156"/>
        <v>start /low /b %USERPROFILE%\Documents\GitHub\eaglep3\Utilities\DownloadLogsFromS3.py --loco 4004 --day 2017-08-11</v>
      </c>
      <c r="AN236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16:58:49"},{"id":29,"name":"Sharepoint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724</v>
      </c>
      <c r="B237" s="7">
        <v>4004</v>
      </c>
      <c r="C237" s="21" t="s">
        <v>198</v>
      </c>
      <c r="D237" s="21" t="s">
        <v>960</v>
      </c>
      <c r="E237" s="13">
        <v>42958.442858796298</v>
      </c>
      <c r="F237" s="13">
        <v>42958.455752314818</v>
      </c>
      <c r="G237" s="7">
        <v>5</v>
      </c>
      <c r="H237" s="21" t="s">
        <v>961</v>
      </c>
      <c r="I237" s="13">
        <v>42958.457511574074</v>
      </c>
      <c r="J237" s="7">
        <v>0</v>
      </c>
      <c r="K237" s="89" t="str">
        <f t="shared" si="158"/>
        <v>4003/4004</v>
      </c>
      <c r="L237" s="21" t="str">
        <f>VLOOKUP(A237,'Trips&amp;Operators'!$C$1:$G$99999,5,FALSE)</f>
        <v>ELBAUM MIKE</v>
      </c>
      <c r="M237" s="6">
        <f t="shared" si="159"/>
        <v>1.7592592557775788E-3</v>
      </c>
      <c r="N237" s="7">
        <f t="shared" si="167"/>
        <v>2.5333333283197135</v>
      </c>
      <c r="O237" s="7"/>
      <c r="P237" s="7"/>
      <c r="Q237" s="22"/>
      <c r="R237" s="170"/>
      <c r="S237" s="213">
        <f t="shared" si="168"/>
        <v>0</v>
      </c>
      <c r="T237" s="195" t="str">
        <f t="shared" si="160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151"/>
        <v>https://d0f6bd738d7f1b3e5a7ca70fe4ff75f0.us-east-1.aws.found.io/app/kibana#/discover/Steve-Slow-Train-Analysis-(2080s-and-2083s)?_g=(refreshInterval:(display:Off,pause:!f,section:0,value:0),time:(from:'2017-08-11T09:37:43-0600',mode:absolute,to:'2017-08-11T11:58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7" s="197" t="str">
        <f>IF(AA237&lt;VLOOKUP(AG237,Variables!$AC$3:$AD$8,2,FALSE),"Y","N")</f>
        <v>Y</v>
      </c>
      <c r="X237" s="197">
        <f t="shared" si="164"/>
        <v>0</v>
      </c>
      <c r="Y237" s="197">
        <f t="shared" si="166"/>
        <v>3.0548999999999999</v>
      </c>
      <c r="Z237" s="197">
        <f t="shared" si="165"/>
        <v>3.1463999999999999</v>
      </c>
      <c r="AA237" s="197">
        <f t="shared" si="161"/>
        <v>9.1499999999999915E-2</v>
      </c>
      <c r="AB237" s="54" t="e">
        <f>VLOOKUP(A237,Enforcements!$C$7:$K$12,8,0)</f>
        <v>#N/A</v>
      </c>
      <c r="AC237" s="51" t="e">
        <f>VLOOKUP(A237,Enforcements!$C$7:$E$12,3,0)</f>
        <v>#N/A</v>
      </c>
      <c r="AD237" s="206">
        <f t="shared" si="162"/>
        <v>53</v>
      </c>
      <c r="AE237" s="77" t="str">
        <f t="shared" si="152"/>
        <v>aws s3 cp s3://rtdc.mdm.uploadarchive.raw/RTDC4004/ "%USERPROFILE%\AppData\Local\Temp\OnboardLogs"\RTDC4004\2017-08-11 --exclude "*" --recursive --include "*20170811*" &amp; "%USERPROFILE%\Documents\GitHub\mrs-test-scripts\Headless Mode &amp; Sideloading\WalkAndUnGZ.bat" "%USERPROFILE%\AppData\Local\Temp\OnboardLogs"\RTDC4004\2017-08-11 &amp; aws s3 cp s3://rtdc.mdm.uploadarchive.raw/RTDC4004/ "%USERPROFILE%\AppData\Local\Temp\OnboardLogs"\RTDC4004\2017-08-12 --exclude "*" --recursive --include "*20170812*" &amp; "%USERPROFILE%\Documents\GitHub\mrs-test-scripts\Headless Mode &amp; Sideloading\WalkAndUnGZ.bat" "%USERPROFILE%\AppData\Local\Temp\OnboardLogs"\RTDC4004\2017-08-12</v>
      </c>
      <c r="AF237" s="74" t="str">
        <f t="shared" si="153"/>
        <v>"C:\Program Files (x86)\AstroGrep\AstroGrep.exe" /e /r /s /spath="%USERPROFILE%\AppData\Local\Temp\OnboardLogs" /stypes="app*4004*20170811*" /stext=" 16:.+((SYSTEM_STATE.+slice.+state.+changed )|(ment ac)|(multiple cpu faults)|(system.+state.+changed )|(\[timeout)|(PRM\|1\|D)|(kpr)|(kdp)|(train st.+moving)|(\|lc)|(penalty))"</v>
      </c>
      <c r="AG237" s="209" t="str">
        <f t="shared" si="163"/>
        <v>Shuttle/Test</v>
      </c>
      <c r="AH237" s="78" t="str">
        <f t="shared" si="154"/>
        <v>"%USERPROFILE%\Documents\GitHub\eaglep3\Utilities\RefineRTDCRunTimes.py" --tripid 53-11 --locoid 4004 --swversion DE.1.0.9.0 --startMP 300:30549 --initTime 2017-08-11T10:37:43 --startdatetime 2017-08-11T10:56:17 --delay 5 --endMP 300:31464 --enddatetime 2017-08-11T10:58:49 --enforcementcount 0 &gt;&gt;C:\Users\stu\Documents\GitHub\eaglep3-reporting\EC\2017-08-11-refined-times.txt</v>
      </c>
      <c r="AI237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3.1464"},{"id":17,"name":"Train ID","value":"53-11"},{"id":16,"name":"Locomotive ID","value":"4004"},{"id":130,"name":"Impact","value":""},{"id":150,"name":"Time of Event (Mountain Time)","value":"10:58:49"},{"id":151,"name":"Denver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156"/>
        <v>start /low /b %USERPROFILE%\Documents\GitHub\eaglep3\Utilities\DownloadLogsFromS3.py --loco 4004 --day 2017-08-11</v>
      </c>
      <c r="AN237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16:58:49"},{"id":29,"name":"Sharepoint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731</v>
      </c>
      <c r="B238" s="7">
        <v>4003</v>
      </c>
      <c r="C238" s="21" t="s">
        <v>198</v>
      </c>
      <c r="D238" s="21" t="s">
        <v>964</v>
      </c>
      <c r="E238" s="13">
        <v>42958.448622685188</v>
      </c>
      <c r="F238" s="13">
        <v>42958.450370370374</v>
      </c>
      <c r="G238" s="7">
        <v>1</v>
      </c>
      <c r="H238" s="21" t="s">
        <v>965</v>
      </c>
      <c r="I238" s="13">
        <v>42958.452002314814</v>
      </c>
      <c r="J238" s="7">
        <v>0</v>
      </c>
      <c r="K238" s="89" t="str">
        <f t="shared" si="158"/>
        <v>4003/4004</v>
      </c>
      <c r="L238" s="21" t="str">
        <f>VLOOKUP(A238,'Trips&amp;Operators'!$C$1:$G$99999,5,FALSE)</f>
        <v>ELBAUM MIKE</v>
      </c>
      <c r="M238" s="6">
        <f t="shared" si="159"/>
        <v>1.631944440305233E-3</v>
      </c>
      <c r="N238" s="7">
        <f t="shared" si="167"/>
        <v>2.3499999940395355</v>
      </c>
      <c r="O238" s="7"/>
      <c r="P238" s="7"/>
      <c r="Q238" s="22"/>
      <c r="R238" s="170"/>
      <c r="S238" s="213">
        <f t="shared" si="168"/>
        <v>0</v>
      </c>
      <c r="T238" s="195" t="str">
        <f t="shared" si="160"/>
        <v>Southbound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151"/>
        <v>https://d0f6bd738d7f1b3e5a7ca70fe4ff75f0.us-east-1.aws.found.io/app/kibana#/discover/Steve-Slow-Train-Analysis-(2080s-and-2083s)?_g=(refreshInterval:(display:Off,pause:!f,section:0,value:0),time:(from:'2017-08-11T09:46:01-0600',mode:absolute,to:'2017-08-11T11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8" s="197" t="str">
        <f>IF(AA238&lt;VLOOKUP(AG238,Variables!$AC$3:$AD$8,2,FALSE),"Y","N")</f>
        <v>Y</v>
      </c>
      <c r="X238" s="197">
        <f t="shared" si="164"/>
        <v>1</v>
      </c>
      <c r="Y238" s="197">
        <f t="shared" si="166"/>
        <v>3.1150000000000002</v>
      </c>
      <c r="Z238" s="197">
        <f t="shared" si="165"/>
        <v>2.1711999999999998</v>
      </c>
      <c r="AA238" s="197">
        <f t="shared" si="161"/>
        <v>0.94380000000000042</v>
      </c>
      <c r="AB238" s="54" t="e">
        <f>VLOOKUP(A238,Enforcements!$C$7:$K$12,8,0)</f>
        <v>#N/A</v>
      </c>
      <c r="AC238" s="51" t="e">
        <f>VLOOKUP(A238,Enforcements!$C$7:$E$12,3,0)</f>
        <v>#N/A</v>
      </c>
      <c r="AD238" s="206">
        <f t="shared" si="162"/>
        <v>54</v>
      </c>
      <c r="AE238" s="77" t="str">
        <f t="shared" si="152"/>
        <v>aws s3 cp s3://rtdc.mdm.uploadarchive.raw/RTDC4003/ "%USERPROFILE%\AppData\Local\Temp\OnboardLogs"\RTDC4003\2017-08-11 --exclude "*" --recursive --include "*20170811*" &amp; "%USERPROFILE%\Documents\GitHub\mrs-test-scripts\Headless Mode &amp; Sideloading\WalkAndUnGZ.bat" "%USERPROFILE%\AppData\Local\Temp\OnboardLogs"\RTDC4003\2017-08-11 &amp; aws s3 cp s3://rtdc.mdm.uploadarchive.raw/RTDC4003/ "%USERPROFILE%\AppData\Local\Temp\OnboardLogs"\RTDC4003\2017-08-12 --exclude "*" --recursive --include "*20170812*" &amp; "%USERPROFILE%\Documents\GitHub\mrs-test-scripts\Headless Mode &amp; Sideloading\WalkAndUnGZ.bat" "%USERPROFILE%\AppData\Local\Temp\OnboardLogs"\RTDC4003\2017-08-12</v>
      </c>
      <c r="AF238" s="74" t="str">
        <f t="shared" si="153"/>
        <v>"C:\Program Files (x86)\AstroGrep\AstroGrep.exe" /e /r /s /spath="%USERPROFILE%\AppData\Local\Temp\OnboardLogs" /stypes="app*4003*20170811*" /stext=" 16:.+((SYSTEM_STATE.+slice.+state.+changed )|(ment ac)|(multiple cpu faults)|(system.+state.+changed )|(\[timeout)|(PRM\|1\|D)|(kpr)|(kdp)|(train st.+moving)|(\|lc)|(penalty))"</v>
      </c>
      <c r="AG238" s="209" t="str">
        <f t="shared" si="163"/>
        <v>Shuttle/Test</v>
      </c>
      <c r="AH238" s="78" t="str">
        <f t="shared" si="154"/>
        <v>"%USERPROFILE%\Documents\GitHub\eaglep3\Utilities\RefineRTDCRunTimes.py" --tripid 54-11 --locoid 4003 --swversion DE.1.0.9.0 --startMP 300:31150 --initTime 2017-08-11T10:46:01 --startdatetime 2017-08-11T10:48:32 --delay 1 --endMP 300:21712 --enddatetime 2017-08-11T10:50:53 --enforcementcount 0 &gt;&gt;C:\Users\stu\Documents\GitHub\eaglep3-reporting\EC\2017-08-11-refined-times.txt</v>
      </c>
      <c r="AI238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2.1712"},{"id":17,"name":"Train ID","value":"54-11"},{"id":16,"name":"Locomotive ID","value":"4003"},{"id":130,"name":"Impact","value":""},{"id":150,"name":"Time of Event (Mountain Time)","value":"10:50:53"},{"id":151,"name":"Denver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156"/>
        <v>start /low /b %USERPROFILE%\Documents\GitHub\eaglep3\Utilities\DownloadLogsFromS3.py --loco 4003 --day 2017-08-11</v>
      </c>
      <c r="AN238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s="20" customFormat="1" x14ac:dyDescent="0.25">
      <c r="A239" s="32" t="s">
        <v>764</v>
      </c>
      <c r="B239" s="7">
        <v>4004</v>
      </c>
      <c r="C239" s="21" t="s">
        <v>198</v>
      </c>
      <c r="D239" s="21" t="s">
        <v>957</v>
      </c>
      <c r="E239" s="13">
        <v>42958.540752314817</v>
      </c>
      <c r="F239" s="13">
        <v>42958.547303240739</v>
      </c>
      <c r="G239" s="7">
        <v>2</v>
      </c>
      <c r="H239" s="21" t="s">
        <v>1060</v>
      </c>
      <c r="I239" s="13">
        <v>42958.552974537037</v>
      </c>
      <c r="J239" s="7">
        <v>0</v>
      </c>
      <c r="K239" s="89" t="str">
        <f t="shared" si="158"/>
        <v>4003/4004</v>
      </c>
      <c r="L239" s="21" t="str">
        <f>VLOOKUP(A239,'Trips&amp;Operators'!$C$1:$G$99999,5,FALSE)</f>
        <v>NICHOLSON WESLEY</v>
      </c>
      <c r="M239" s="6">
        <f t="shared" si="159"/>
        <v>5.6712962978053838E-3</v>
      </c>
      <c r="N239" s="7">
        <f t="shared" si="167"/>
        <v>8.1666666688397527</v>
      </c>
      <c r="O239" s="7"/>
      <c r="P239" s="7"/>
      <c r="Q239" s="22"/>
      <c r="R239" s="170"/>
      <c r="S239" s="213">
        <f t="shared" si="168"/>
        <v>0</v>
      </c>
      <c r="T239" s="195" t="str">
        <f t="shared" si="160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 t="shared" si="151"/>
        <v>https://d0f6bd738d7f1b3e5a7ca70fe4ff75f0.us-east-1.aws.found.io/app/kibana#/discover/Steve-Slow-Train-Analysis-(2080s-and-2083s)?_g=(refreshInterval:(display:Off,pause:!f,section:0,value:0),time:(from:'2017-08-11T11:58:41-0600',mode:absolute,to:'2017-08-11T14:16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9" s="197" t="str">
        <f>IF(AA239&lt;VLOOKUP(AG239,Variables!$AC$3:$AD$8,2,FALSE),"Y","N")</f>
        <v>Y</v>
      </c>
      <c r="X239" s="197">
        <f t="shared" si="164"/>
        <v>1</v>
      </c>
      <c r="Y239" s="197">
        <f t="shared" si="166"/>
        <v>2.2012999999999998</v>
      </c>
      <c r="Z239" s="197">
        <f t="shared" si="165"/>
        <v>3.1503999999999999</v>
      </c>
      <c r="AA239" s="197">
        <f t="shared" si="161"/>
        <v>0.94910000000000005</v>
      </c>
      <c r="AB239" s="54" t="e">
        <f>VLOOKUP(A239,Enforcements!$C$7:$K$12,8,0)</f>
        <v>#N/A</v>
      </c>
      <c r="AC239" s="51" t="e">
        <f>VLOOKUP(A239,Enforcements!$C$7:$E$12,3,0)</f>
        <v>#N/A</v>
      </c>
      <c r="AD239" s="206">
        <f t="shared" si="162"/>
        <v>55</v>
      </c>
      <c r="AE239" s="77" t="str">
        <f t="shared" si="152"/>
        <v>aws s3 cp s3://rtdc.mdm.uploadarchive.raw/RTDC4004/ "%USERPROFILE%\AppData\Local\Temp\OnboardLogs"\RTDC4004\2017-08-11 --exclude "*" --recursive --include "*20170811*" &amp; "%USERPROFILE%\Documents\GitHub\mrs-test-scripts\Headless Mode &amp; Sideloading\WalkAndUnGZ.bat" "%USERPROFILE%\AppData\Local\Temp\OnboardLogs"\RTDC4004\2017-08-11 &amp; aws s3 cp s3://rtdc.mdm.uploadarchive.raw/RTDC4004/ "%USERPROFILE%\AppData\Local\Temp\OnboardLogs"\RTDC4004\2017-08-12 --exclude "*" --recursive --include "*20170812*" &amp; "%USERPROFILE%\Documents\GitHub\mrs-test-scripts\Headless Mode &amp; Sideloading\WalkAndUnGZ.bat" "%USERPROFILE%\AppData\Local\Temp\OnboardLogs"\RTDC4004\2017-08-12</v>
      </c>
      <c r="AF239" s="74" t="str">
        <f t="shared" si="153"/>
        <v>"C:\Program Files (x86)\AstroGrep\AstroGrep.exe" /e /r /s /spath="%USERPROFILE%\AppData\Local\Temp\OnboardLogs" /stypes="app*4004*20170811*" /stext=" 19:.+((SYSTEM_STATE.+slice.+state.+changed )|(ment ac)|(multiple cpu faults)|(system.+state.+changed )|(\[timeout)|(PRM\|1\|D)|(kpr)|(kdp)|(train st.+moving)|(\|lc)|(penalty))"</v>
      </c>
      <c r="AG239" s="209" t="str">
        <f t="shared" si="163"/>
        <v>Shuttle/Test</v>
      </c>
      <c r="AH239" s="78" t="str">
        <f t="shared" si="154"/>
        <v>"%USERPROFILE%\Documents\GitHub\eaglep3\Utilities\RefineRTDCRunTimes.py" --tripid 55-11 --locoid 4004 --swversion DE.1.0.9.0 --startMP 300:22013 --initTime 2017-08-11T12:58:41 --startdatetime 2017-08-11T13:08:07 --delay 2 --endMP 300:31504 --enddatetime 2017-08-11T13:16:17 --enforcementcount 0 &gt;&gt;C:\Users\stu\Documents\GitHub\eaglep3-reporting\EC\2017-08-11-refined-times.txt</v>
      </c>
      <c r="AI239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3.1504"},{"id":17,"name":"Train ID","value":"55-11"},{"id":16,"name":"Locomotive ID","value":"4004"},{"id":130,"name":"Impact","value":""},{"id":150,"name":"Time of Event (Mountain Time)","value":"13:16:17"},{"id":151,"name":"Denver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9" s="47"/>
      <c r="AL239" s="47"/>
      <c r="AM239" s="142" t="str">
        <f t="shared" si="156"/>
        <v>start /low /b %USERPROFILE%\Documents\GitHub\eaglep3\Utilities\DownloadLogsFromS3.py --loco 4004 --day 2017-08-11</v>
      </c>
      <c r="AN239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19:16:17"},{"id":29,"name":"Sharepoint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 s="32" t="s">
        <v>761</v>
      </c>
      <c r="B240" s="7">
        <v>4003</v>
      </c>
      <c r="C240" s="21" t="s">
        <v>198</v>
      </c>
      <c r="D240" s="21" t="s">
        <v>966</v>
      </c>
      <c r="E240" s="13">
        <v>42958.545335648145</v>
      </c>
      <c r="F240" s="13">
        <v>42958.547303240739</v>
      </c>
      <c r="G240" s="7">
        <v>1</v>
      </c>
      <c r="H240" s="21" t="s">
        <v>967</v>
      </c>
      <c r="I240" s="13">
        <v>42958.552974537037</v>
      </c>
      <c r="J240" s="7">
        <v>0</v>
      </c>
      <c r="K240" s="89" t="str">
        <f t="shared" si="158"/>
        <v>4003/4004</v>
      </c>
      <c r="L240" s="21" t="str">
        <f>VLOOKUP(A240,'Trips&amp;Operators'!$C$1:$G$99999,5,FALSE)</f>
        <v>NICHOLSON WESLEY</v>
      </c>
      <c r="M240" s="6">
        <f t="shared" si="159"/>
        <v>5.6712962978053838E-3</v>
      </c>
      <c r="N240" s="7">
        <f t="shared" si="167"/>
        <v>8.1666666688397527</v>
      </c>
      <c r="O240" s="7"/>
      <c r="P240" s="7"/>
      <c r="Q240" s="22"/>
      <c r="R240" s="170"/>
      <c r="S240" s="213">
        <f t="shared" si="168"/>
        <v>0</v>
      </c>
      <c r="T240" s="195" t="str">
        <f t="shared" si="160"/>
        <v>Southbound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151"/>
        <v>https://d0f6bd738d7f1b3e5a7ca70fe4ff75f0.us-east-1.aws.found.io/app/kibana#/discover/Steve-Slow-Train-Analysis-(2080s-and-2083s)?_g=(refreshInterval:(display:Off,pause:!f,section:0,value:0),time:(from:'2017-08-11T12:05:17-0600',mode:absolute,to:'2017-08-11T14:16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0" s="197" t="str">
        <f>IF(AA240&lt;VLOOKUP(AG240,Variables!$AC$3:$AD$8,2,FALSE),"Y","N")</f>
        <v>Y</v>
      </c>
      <c r="X240" s="197">
        <f t="shared" si="164"/>
        <v>1</v>
      </c>
      <c r="Y240" s="197">
        <f t="shared" si="166"/>
        <v>3.1193</v>
      </c>
      <c r="Z240" s="197">
        <f t="shared" si="165"/>
        <v>2.8769999999999998</v>
      </c>
      <c r="AA240" s="197">
        <f t="shared" si="161"/>
        <v>0.24230000000000018</v>
      </c>
      <c r="AB240" s="54" t="e">
        <f>VLOOKUP(A240,Enforcements!$C$7:$K$12,8,0)</f>
        <v>#N/A</v>
      </c>
      <c r="AC240" s="51" t="e">
        <f>VLOOKUP(A240,Enforcements!$C$7:$E$12,3,0)</f>
        <v>#N/A</v>
      </c>
      <c r="AD240" s="206">
        <f t="shared" si="162"/>
        <v>56</v>
      </c>
      <c r="AE240" s="77" t="str">
        <f t="shared" si="152"/>
        <v>aws s3 cp s3://rtdc.mdm.uploadarchive.raw/RTDC4003/ "%USERPROFILE%\AppData\Local\Temp\OnboardLogs"\RTDC4003\2017-08-11 --exclude "*" --recursive --include "*20170811*" &amp; "%USERPROFILE%\Documents\GitHub\mrs-test-scripts\Headless Mode &amp; Sideloading\WalkAndUnGZ.bat" "%USERPROFILE%\AppData\Local\Temp\OnboardLogs"\RTDC4003\2017-08-11 &amp; aws s3 cp s3://rtdc.mdm.uploadarchive.raw/RTDC4003/ "%USERPROFILE%\AppData\Local\Temp\OnboardLogs"\RTDC4003\2017-08-12 --exclude "*" --recursive --include "*20170812*" &amp; "%USERPROFILE%\Documents\GitHub\mrs-test-scripts\Headless Mode &amp; Sideloading\WalkAndUnGZ.bat" "%USERPROFILE%\AppData\Local\Temp\OnboardLogs"\RTDC4003\2017-08-12</v>
      </c>
      <c r="AF240" s="74" t="str">
        <f t="shared" si="153"/>
        <v>"C:\Program Files (x86)\AstroGrep\AstroGrep.exe" /e /r /s /spath="%USERPROFILE%\AppData\Local\Temp\OnboardLogs" /stypes="app*4003*20170811*" /stext=" 19:.+((SYSTEM_STATE.+slice.+state.+changed )|(ment ac)|(multiple cpu faults)|(system.+state.+changed )|(\[timeout)|(PRM\|1\|D)|(kpr)|(kdp)|(train st.+moving)|(\|lc)|(penalty))"</v>
      </c>
      <c r="AG240" s="209" t="str">
        <f t="shared" si="163"/>
        <v>Shuttle/Test</v>
      </c>
      <c r="AH240" s="78" t="str">
        <f t="shared" si="154"/>
        <v>"%USERPROFILE%\Documents\GitHub\eaglep3\Utilities\RefineRTDCRunTimes.py" --tripid 56-11 --locoid 4003 --swversion DE.1.0.9.0 --startMP 300:31193 --initTime 2017-08-11T13:05:17 --startdatetime 2017-08-11T13:08:07 --delay 1 --endMP 300:28770 --enddatetime 2017-08-11T13:16:17 --enforcementcount 0 &gt;&gt;C:\Users\stu\Documents\GitHub\eaglep3-reporting\EC\2017-08-11-refined-times.txt</v>
      </c>
      <c r="AI240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2.877"},{"id":17,"name":"Train ID","value":"56-11"},{"id":16,"name":"Locomotive ID","value":"4003"},{"id":130,"name":"Impact","value":""},{"id":150,"name":"Time of Event (Mountain Time)","value":"13:16:17"},{"id":151,"name":"Denver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156"/>
        <v>start /low /b %USERPROFILE%\Documents\GitHub\eaglep3\Utilities\DownloadLogsFromS3.py --loco 4003 --day 2017-08-11</v>
      </c>
      <c r="AN240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19:16:17"},{"id":29,"name":"Sharepoint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719</v>
      </c>
      <c r="B241" s="7">
        <v>4004</v>
      </c>
      <c r="C241" s="21" t="s">
        <v>198</v>
      </c>
      <c r="D241" s="21" t="s">
        <v>962</v>
      </c>
      <c r="E241" s="13">
        <v>42958.429247685184</v>
      </c>
      <c r="F241" s="13">
        <v>42958.435347222221</v>
      </c>
      <c r="G241" s="7">
        <v>1</v>
      </c>
      <c r="H241" s="21" t="s">
        <v>968</v>
      </c>
      <c r="I241" s="13">
        <v>42958.43917824074</v>
      </c>
      <c r="J241" s="7">
        <v>0</v>
      </c>
      <c r="K241" s="89" t="str">
        <f t="shared" si="158"/>
        <v>4003/4004</v>
      </c>
      <c r="L241" s="21" t="str">
        <f>VLOOKUP(A241,'Trips&amp;Operators'!$C$1:$G$99999,5,FALSE)</f>
        <v>ANDERS STEVEN</v>
      </c>
      <c r="M241" s="6">
        <f t="shared" si="159"/>
        <v>3.8310185191221535E-3</v>
      </c>
      <c r="N241" s="7">
        <f t="shared" si="167"/>
        <v>5.5166666675359011</v>
      </c>
      <c r="O241" s="7"/>
      <c r="P241" s="7"/>
      <c r="Q241" s="22"/>
      <c r="R241" s="170"/>
      <c r="S241" s="213">
        <f t="shared" si="168"/>
        <v>0</v>
      </c>
      <c r="T241" s="195" t="str">
        <f t="shared" si="160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151"/>
        <v>https://d0f6bd738d7f1b3e5a7ca70fe4ff75f0.us-east-1.aws.found.io/app/kibana#/discover/Steve-Slow-Train-Analysis-(2080s-and-2083s)?_g=(refreshInterval:(display:Off,pause:!f,section:0,value:0),time:(from:'2017-08-11T09:18:07-0600',mode:absolute,to:'2017-08-11T11:32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1" s="197" t="str">
        <f>IF(AA241&lt;VLOOKUP(AG241,Variables!$AC$3:$AD$8,2,FALSE),"Y","N")</f>
        <v>Y</v>
      </c>
      <c r="X241" s="197">
        <f t="shared" si="164"/>
        <v>1</v>
      </c>
      <c r="Y241" s="197">
        <f t="shared" si="166"/>
        <v>2.202</v>
      </c>
      <c r="Z241" s="197">
        <f t="shared" si="165"/>
        <v>3.1313</v>
      </c>
      <c r="AA241" s="197">
        <f t="shared" si="161"/>
        <v>0.92930000000000001</v>
      </c>
      <c r="AB241" s="54" t="e">
        <f>VLOOKUP(A241,Enforcements!$C$7:$K$12,8,0)</f>
        <v>#N/A</v>
      </c>
      <c r="AC241" s="51" t="e">
        <f>VLOOKUP(A241,Enforcements!$C$7:$E$12,3,0)</f>
        <v>#N/A</v>
      </c>
      <c r="AD241" s="206">
        <f t="shared" si="162"/>
        <v>57</v>
      </c>
      <c r="AE241" s="77" t="str">
        <f t="shared" si="152"/>
        <v>aws s3 cp s3://rtdc.mdm.uploadarchive.raw/RTDC4004/ "%USERPROFILE%\AppData\Local\Temp\OnboardLogs"\RTDC4004\2017-08-11 --exclude "*" --recursive --include "*20170811*" &amp; "%USERPROFILE%\Documents\GitHub\mrs-test-scripts\Headless Mode &amp; Sideloading\WalkAndUnGZ.bat" "%USERPROFILE%\AppData\Local\Temp\OnboardLogs"\RTDC4004\2017-08-11 &amp; aws s3 cp s3://rtdc.mdm.uploadarchive.raw/RTDC4004/ "%USERPROFILE%\AppData\Local\Temp\OnboardLogs"\RTDC4004\2017-08-12 --exclude "*" --recursive --include "*20170812*" &amp; "%USERPROFILE%\Documents\GitHub\mrs-test-scripts\Headless Mode &amp; Sideloading\WalkAndUnGZ.bat" "%USERPROFILE%\AppData\Local\Temp\OnboardLogs"\RTDC4004\2017-08-12</v>
      </c>
      <c r="AF241" s="74" t="str">
        <f t="shared" si="153"/>
        <v>"C:\Program Files (x86)\AstroGrep\AstroGrep.exe" /e /r /s /spath="%USERPROFILE%\AppData\Local\Temp\OnboardLogs" /stypes="app*4004*20170811*" /stext=" 16:.+((SYSTEM_STATE.+slice.+state.+changed )|(ment ac)|(multiple cpu faults)|(system.+state.+changed )|(\[timeout)|(PRM\|1\|D)|(kpr)|(kdp)|(train st.+moving)|(\|lc)|(penalty))"</v>
      </c>
      <c r="AG241" s="209" t="str">
        <f t="shared" si="163"/>
        <v>Shuttle/Test</v>
      </c>
      <c r="AH241" s="78" t="str">
        <f t="shared" si="154"/>
        <v>"%USERPROFILE%\Documents\GitHub\eaglep3\Utilities\RefineRTDCRunTimes.py" --tripid 57-11 --locoid 4004 --swversion DE.1.0.9.0 --startMP 300:22020 --initTime 2017-08-11T10:18:07 --startdatetime 2017-08-11T10:26:54 --delay 1 --endMP 300:31313 --enddatetime 2017-08-11T10:32:25 --enforcementcount 0 &gt;&gt;C:\Users\stu\Documents\GitHub\eaglep3-reporting\EC\2017-08-11-refined-times.txt</v>
      </c>
      <c r="AI241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3.1313"},{"id":17,"name":"Train ID","value":"57-11"},{"id":16,"name":"Locomotive ID","value":"4004"},{"id":130,"name":"Impact","value":""},{"id":150,"name":"Time of Event (Mountain Time)","value":"10:32:25"},{"id":151,"name":"Denver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156"/>
        <v>start /low /b %USERPROFILE%\Documents\GitHub\eaglep3\Utilities\DownloadLogsFromS3.py --loco 4004 --day 2017-08-11</v>
      </c>
      <c r="AN241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16:32:25"},{"id":29,"name":"Sharepoint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715</v>
      </c>
      <c r="B242" s="7">
        <v>4003</v>
      </c>
      <c r="C242" s="21" t="s">
        <v>198</v>
      </c>
      <c r="D242" s="21" t="s">
        <v>969</v>
      </c>
      <c r="E242" s="13">
        <v>42958.424270833333</v>
      </c>
      <c r="F242" s="13">
        <v>42958.435347222221</v>
      </c>
      <c r="G242" s="7">
        <v>15</v>
      </c>
      <c r="H242" s="21" t="s">
        <v>973</v>
      </c>
      <c r="I242" s="13">
        <v>42958.43917824074</v>
      </c>
      <c r="J242" s="7">
        <v>0</v>
      </c>
      <c r="K242" s="89" t="str">
        <f t="shared" si="158"/>
        <v>4003/4004</v>
      </c>
      <c r="L242" s="21" t="str">
        <f>VLOOKUP(A242,'Trips&amp;Operators'!$C$1:$G$99999,5,FALSE)</f>
        <v>ANDERS STEVEN</v>
      </c>
      <c r="M242" s="6">
        <f t="shared" si="159"/>
        <v>3.8310185191221535E-3</v>
      </c>
      <c r="N242" s="7">
        <f t="shared" si="167"/>
        <v>5.5166666675359011</v>
      </c>
      <c r="O242" s="7"/>
      <c r="P242" s="7"/>
      <c r="Q242" s="22"/>
      <c r="R242" s="170"/>
      <c r="S242" s="213">
        <f t="shared" si="168"/>
        <v>0</v>
      </c>
      <c r="T242" s="195" t="str">
        <f t="shared" si="160"/>
        <v>Southbound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151"/>
        <v>https://d0f6bd738d7f1b3e5a7ca70fe4ff75f0.us-east-1.aws.found.io/app/kibana#/discover/Steve-Slow-Train-Analysis-(2080s-and-2083s)?_g=(refreshInterval:(display:Off,pause:!f,section:0,value:0),time:(from:'2017-08-11T09:10:57-0600',mode:absolute,to:'2017-08-11T11:32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2" s="197" t="str">
        <f>IF(AA242&lt;VLOOKUP(AG242,Variables!$AC$3:$AD$8,2,FALSE),"Y","N")</f>
        <v>Y</v>
      </c>
      <c r="X242" s="197">
        <f t="shared" si="164"/>
        <v>1</v>
      </c>
      <c r="Y242" s="197">
        <f t="shared" si="166"/>
        <v>3.0998000000000001</v>
      </c>
      <c r="Z242" s="197">
        <f t="shared" si="165"/>
        <v>2.1709999999999998</v>
      </c>
      <c r="AA242" s="197">
        <f t="shared" si="161"/>
        <v>0.92880000000000029</v>
      </c>
      <c r="AB242" s="54" t="e">
        <f>VLOOKUP(A242,Enforcements!$C$7:$K$12,8,0)</f>
        <v>#N/A</v>
      </c>
      <c r="AC242" s="51" t="e">
        <f>VLOOKUP(A242,Enforcements!$C$7:$E$12,3,0)</f>
        <v>#N/A</v>
      </c>
      <c r="AD242" s="206">
        <f t="shared" si="162"/>
        <v>58</v>
      </c>
      <c r="AE242" s="77" t="str">
        <f t="shared" si="152"/>
        <v>aws s3 cp s3://rtdc.mdm.uploadarchive.raw/RTDC4003/ "%USERPROFILE%\AppData\Local\Temp\OnboardLogs"\RTDC4003\2017-08-11 --exclude "*" --recursive --include "*20170811*" &amp; "%USERPROFILE%\Documents\GitHub\mrs-test-scripts\Headless Mode &amp; Sideloading\WalkAndUnGZ.bat" "%USERPROFILE%\AppData\Local\Temp\OnboardLogs"\RTDC4003\2017-08-11 &amp; aws s3 cp s3://rtdc.mdm.uploadarchive.raw/RTDC4003/ "%USERPROFILE%\AppData\Local\Temp\OnboardLogs"\RTDC4003\2017-08-12 --exclude "*" --recursive --include "*20170812*" &amp; "%USERPROFILE%\Documents\GitHub\mrs-test-scripts\Headless Mode &amp; Sideloading\WalkAndUnGZ.bat" "%USERPROFILE%\AppData\Local\Temp\OnboardLogs"\RTDC4003\2017-08-12</v>
      </c>
      <c r="AF242" s="74" t="str">
        <f t="shared" si="153"/>
        <v>"C:\Program Files (x86)\AstroGrep\AstroGrep.exe" /e /r /s /spath="%USERPROFILE%\AppData\Local\Temp\OnboardLogs" /stypes="app*4003*20170811*" /stext=" 16:.+((SYSTEM_STATE.+slice.+state.+changed )|(ment ac)|(multiple cpu faults)|(system.+state.+changed )|(\[timeout)|(PRM\|1\|D)|(kpr)|(kdp)|(train st.+moving)|(\|lc)|(penalty))"</v>
      </c>
      <c r="AG242" s="209" t="str">
        <f t="shared" si="163"/>
        <v>Shuttle/Test</v>
      </c>
      <c r="AH242" s="78" t="str">
        <f t="shared" si="154"/>
        <v>"%USERPROFILE%\Documents\GitHub\eaglep3\Utilities\RefineRTDCRunTimes.py" --tripid 58-11 --locoid 4003 --swversion DE.1.0.9.0 --startMP 300:30998 --initTime 2017-08-11T10:10:57 --startdatetime 2017-08-11T10:26:54 --delay 15 --endMP 300:21710 --enddatetime 2017-08-11T10:32:25 --enforcementcount 0 &gt;&gt;C:\Users\stu\Documents\GitHub\eaglep3-reporting\EC\2017-08-11-refined-times.txt</v>
      </c>
      <c r="AI242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2.171"},{"id":17,"name":"Train ID","value":"58-11"},{"id":16,"name":"Locomotive ID","value":"4003"},{"id":130,"name":"Impact","value":""},{"id":150,"name":"Time of Event (Mountain Time)","value":"10:32:25"},{"id":151,"name":"Denver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156"/>
        <v>start /low /b %USERPROFILE%\Documents\GitHub\eaglep3\Utilities\DownloadLogsFromS3.py --loco 4003 --day 2017-08-11</v>
      </c>
      <c r="AN242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16:32:25"},{"id":29,"name":"Sharepoint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708</v>
      </c>
      <c r="B243" s="7">
        <v>4004</v>
      </c>
      <c r="C243" s="21" t="s">
        <v>198</v>
      </c>
      <c r="D243" s="21" t="s">
        <v>970</v>
      </c>
      <c r="E243" s="13">
        <v>42958.41710648148</v>
      </c>
      <c r="F243" s="13">
        <v>42958.418657407405</v>
      </c>
      <c r="G243" s="7">
        <v>1</v>
      </c>
      <c r="H243" s="21" t="s">
        <v>971</v>
      </c>
      <c r="I243" s="13">
        <v>42958.420474537037</v>
      </c>
      <c r="J243" s="7">
        <v>0</v>
      </c>
      <c r="K243" s="89" t="str">
        <f t="shared" si="158"/>
        <v>4003/4004</v>
      </c>
      <c r="L243" s="21" t="str">
        <f>VLOOKUP(A243,'Trips&amp;Operators'!$C$1:$G$99999,5,FALSE)</f>
        <v>CASSIDY BRANDON</v>
      </c>
      <c r="M243" s="6">
        <f t="shared" si="159"/>
        <v>1.8171296323998831E-3</v>
      </c>
      <c r="N243" s="7">
        <f t="shared" si="167"/>
        <v>2.6166666706558317</v>
      </c>
      <c r="O243" s="7"/>
      <c r="P243" s="7"/>
      <c r="Q243" s="22"/>
      <c r="R243" s="170"/>
      <c r="S243" s="213">
        <f t="shared" si="168"/>
        <v>0</v>
      </c>
      <c r="T243" s="195" t="str">
        <f t="shared" si="160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 t="shared" si="151"/>
        <v>https://d0f6bd738d7f1b3e5a7ca70fe4ff75f0.us-east-1.aws.found.io/app/kibana#/discover/Steve-Slow-Train-Analysis-(2080s-and-2083s)?_g=(refreshInterval:(display:Off,pause:!f,section:0,value:0),time:(from:'2017-08-11T09:00:38-0600',mode:absolute,to:'2017-08-11T11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3" s="197" t="str">
        <f>IF(AA243&lt;VLOOKUP(AG243,Variables!$AC$3:$AD$8,2,FALSE),"Y","N")</f>
        <v>Y</v>
      </c>
      <c r="X243" s="197">
        <f t="shared" si="164"/>
        <v>1</v>
      </c>
      <c r="Y243" s="197">
        <f t="shared" si="166"/>
        <v>2.2035999999999998</v>
      </c>
      <c r="Z243" s="197">
        <f t="shared" si="165"/>
        <v>2.4072</v>
      </c>
      <c r="AA243" s="197">
        <f t="shared" si="161"/>
        <v>0.20360000000000023</v>
      </c>
      <c r="AB243" s="54" t="e">
        <f>VLOOKUP(A243,Enforcements!$C$7:$K$12,8,0)</f>
        <v>#N/A</v>
      </c>
      <c r="AC243" s="51" t="e">
        <f>VLOOKUP(A243,Enforcements!$C$7:$E$12,3,0)</f>
        <v>#N/A</v>
      </c>
      <c r="AD243" s="206">
        <f t="shared" si="162"/>
        <v>59</v>
      </c>
      <c r="AE243" s="77" t="str">
        <f t="shared" si="152"/>
        <v>aws s3 cp s3://rtdc.mdm.uploadarchive.raw/RTDC4004/ "%USERPROFILE%\AppData\Local\Temp\OnboardLogs"\RTDC4004\2017-08-11 --exclude "*" --recursive --include "*20170811*" &amp; "%USERPROFILE%\Documents\GitHub\mrs-test-scripts\Headless Mode &amp; Sideloading\WalkAndUnGZ.bat" "%USERPROFILE%\AppData\Local\Temp\OnboardLogs"\RTDC4004\2017-08-11 &amp; aws s3 cp s3://rtdc.mdm.uploadarchive.raw/RTDC4004/ "%USERPROFILE%\AppData\Local\Temp\OnboardLogs"\RTDC4004\2017-08-12 --exclude "*" --recursive --include "*20170812*" &amp; "%USERPROFILE%\Documents\GitHub\mrs-test-scripts\Headless Mode &amp; Sideloading\WalkAndUnGZ.bat" "%USERPROFILE%\AppData\Local\Temp\OnboardLogs"\RTDC4004\2017-08-12</v>
      </c>
      <c r="AF243" s="74" t="str">
        <f t="shared" si="153"/>
        <v>"C:\Program Files (x86)\AstroGrep\AstroGrep.exe" /e /r /s /spath="%USERPROFILE%\AppData\Local\Temp\OnboardLogs" /stypes="app*4004*20170811*" /stext=" 16:.+((SYSTEM_STATE.+slice.+state.+changed )|(ment ac)|(multiple cpu faults)|(system.+state.+changed )|(\[timeout)|(PRM\|1\|D)|(kpr)|(kdp)|(train st.+moving)|(\|lc)|(penalty))"</v>
      </c>
      <c r="AG243" s="209" t="str">
        <f t="shared" si="163"/>
        <v>Shuttle/Test</v>
      </c>
      <c r="AH243" s="78" t="str">
        <f t="shared" si="154"/>
        <v>"%USERPROFILE%\Documents\GitHub\eaglep3\Utilities\RefineRTDCRunTimes.py" --tripid 59-11 --locoid 4004 --swversion DE.1.0.9.0 --startMP 300:22036 --initTime 2017-08-11T10:00:38 --startdatetime 2017-08-11T10:02:52 --delay 1 --endMP 300:24072 --enddatetime 2017-08-11T10:05:29 --enforcementcount 0 &gt;&gt;C:\Users\stu\Documents\GitHub\eaglep3-reporting\EC\2017-08-11-refined-times.txt</v>
      </c>
      <c r="AI243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2.4072"},{"id":17,"name":"Train ID","value":"59-11"},{"id":16,"name":"Locomotive ID","value":"4004"},{"id":130,"name":"Impact","value":""},{"id":150,"name":"Time of Event (Mountain Time)","value":"10:05:29"},{"id":151,"name":"Denver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156"/>
        <v>start /low /b %USERPROFILE%\Documents\GitHub\eaglep3\Utilities\DownloadLogsFromS3.py --loco 4004 --day 2017-08-11</v>
      </c>
      <c r="AN243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708</v>
      </c>
      <c r="B244" s="7">
        <v>4004</v>
      </c>
      <c r="C244" s="21" t="s">
        <v>198</v>
      </c>
      <c r="D244" s="21" t="s">
        <v>1061</v>
      </c>
      <c r="E244" s="13">
        <v>42958.405868055554</v>
      </c>
      <c r="F244" s="13">
        <v>42958.418657407405</v>
      </c>
      <c r="G244" s="7">
        <v>6</v>
      </c>
      <c r="H244" s="21" t="s">
        <v>1062</v>
      </c>
      <c r="I244" s="13">
        <v>42958.420474537037</v>
      </c>
      <c r="J244" s="7">
        <v>0</v>
      </c>
      <c r="K244" s="89" t="str">
        <f t="shared" si="158"/>
        <v>4003/4004</v>
      </c>
      <c r="L244" s="21" t="str">
        <f>VLOOKUP(A244,'Trips&amp;Operators'!$C$1:$G$99999,5,FALSE)</f>
        <v>CASSIDY BRANDON</v>
      </c>
      <c r="M244" s="6">
        <f t="shared" si="159"/>
        <v>1.8171296323998831E-3</v>
      </c>
      <c r="N244" s="7">
        <f t="shared" si="167"/>
        <v>2.6166666706558317</v>
      </c>
      <c r="O244" s="7"/>
      <c r="P244" s="7"/>
      <c r="Q244" s="22"/>
      <c r="R244" s="170"/>
      <c r="S244" s="213">
        <f t="shared" si="168"/>
        <v>0</v>
      </c>
      <c r="T244" s="195" t="str">
        <f t="shared" si="160"/>
        <v>NorthBound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 t="shared" si="151"/>
        <v>https://d0f6bd738d7f1b3e5a7ca70fe4ff75f0.us-east-1.aws.found.io/app/kibana#/discover/Steve-Slow-Train-Analysis-(2080s-and-2083s)?_g=(refreshInterval:(display:Off,pause:!f,section:0,value:0),time:(from:'2017-08-11T08:44:27-0600',mode:absolute,to:'2017-08-11T11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4" s="197" t="str">
        <f>IF(AA244&lt;VLOOKUP(AG244,Variables!$AC$3:$AD$8,2,FALSE),"Y","N")</f>
        <v>Y</v>
      </c>
      <c r="X244" s="197">
        <f t="shared" si="164"/>
        <v>0</v>
      </c>
      <c r="Y244" s="197">
        <f t="shared" si="166"/>
        <v>3.0640000000000001</v>
      </c>
      <c r="Z244" s="197">
        <f t="shared" si="165"/>
        <v>3.1595</v>
      </c>
      <c r="AA244" s="197">
        <f t="shared" si="161"/>
        <v>9.5499999999999918E-2</v>
      </c>
      <c r="AB244" s="54" t="e">
        <f>VLOOKUP(A244,Enforcements!$C$7:$K$12,8,0)</f>
        <v>#N/A</v>
      </c>
      <c r="AC244" s="51" t="e">
        <f>VLOOKUP(A244,Enforcements!$C$7:$E$12,3,0)</f>
        <v>#N/A</v>
      </c>
      <c r="AD244" s="206">
        <f t="shared" si="162"/>
        <v>59</v>
      </c>
      <c r="AE244" s="77" t="str">
        <f t="shared" si="152"/>
        <v>aws s3 cp s3://rtdc.mdm.uploadarchive.raw/RTDC4004/ "%USERPROFILE%\AppData\Local\Temp\OnboardLogs"\RTDC4004\2017-08-11 --exclude "*" --recursive --include "*20170811*" &amp; "%USERPROFILE%\Documents\GitHub\mrs-test-scripts\Headless Mode &amp; Sideloading\WalkAndUnGZ.bat" "%USERPROFILE%\AppData\Local\Temp\OnboardLogs"\RTDC4004\2017-08-11 &amp; aws s3 cp s3://rtdc.mdm.uploadarchive.raw/RTDC4004/ "%USERPROFILE%\AppData\Local\Temp\OnboardLogs"\RTDC4004\2017-08-12 --exclude "*" --recursive --include "*20170812*" &amp; "%USERPROFILE%\Documents\GitHub\mrs-test-scripts\Headless Mode &amp; Sideloading\WalkAndUnGZ.bat" "%USERPROFILE%\AppData\Local\Temp\OnboardLogs"\RTDC4004\2017-08-12</v>
      </c>
      <c r="AF244" s="74" t="str">
        <f t="shared" si="153"/>
        <v>"C:\Program Files (x86)\AstroGrep\AstroGrep.exe" /e /r /s /spath="%USERPROFILE%\AppData\Local\Temp\OnboardLogs" /stypes="app*4004*20170811*" /stext=" 16:.+((SYSTEM_STATE.+slice.+state.+changed )|(ment ac)|(multiple cpu faults)|(system.+state.+changed )|(\[timeout)|(PRM\|1\|D)|(kpr)|(kdp)|(train st.+moving)|(\|lc)|(penalty))"</v>
      </c>
      <c r="AG244" s="209" t="str">
        <f t="shared" si="163"/>
        <v>Shuttle/Test</v>
      </c>
      <c r="AH244" s="78" t="str">
        <f t="shared" si="154"/>
        <v>"%USERPROFILE%\Documents\GitHub\eaglep3\Utilities\RefineRTDCRunTimes.py" --tripid 59-11 --locoid 4004 --swversion DE.1.0.9.0 --startMP 300:30640 --initTime 2017-08-11T09:44:27 --startdatetime 2017-08-11T10:02:52 --delay 6 --endMP 300:31595 --enddatetime 2017-08-11T10:05:29 --enforcementcount 0 &gt;&gt;C:\Users\stu\Documents\GitHub\eaglep3-reporting\EC\2017-08-11-refined-times.txt</v>
      </c>
      <c r="AI244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3.1595"},{"id":17,"name":"Train ID","value":"59-11"},{"id":16,"name":"Locomotive ID","value":"4004"},{"id":130,"name":"Impact","value":""},{"id":150,"name":"Time of Event (Mountain Time)","value":"10:05:29"},{"id":151,"name":"Denver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156"/>
        <v>start /low /b %USERPROFILE%\Documents\GitHub\eaglep3\Utilities\DownloadLogsFromS3.py --loco 4004 --day 2017-08-11</v>
      </c>
      <c r="AN244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710</v>
      </c>
      <c r="B245" s="7">
        <v>4003</v>
      </c>
      <c r="C245" s="21" t="s">
        <v>198</v>
      </c>
      <c r="D245" s="21" t="s">
        <v>972</v>
      </c>
      <c r="E245" s="13">
        <v>42958.411527777775</v>
      </c>
      <c r="F245" s="13">
        <v>42958.418657407405</v>
      </c>
      <c r="G245" s="7">
        <v>1</v>
      </c>
      <c r="H245" s="21" t="s">
        <v>973</v>
      </c>
      <c r="I245" s="13">
        <v>42958.420474537037</v>
      </c>
      <c r="J245" s="7">
        <v>0</v>
      </c>
      <c r="K245" s="89" t="str">
        <f t="shared" si="158"/>
        <v>4003/4004</v>
      </c>
      <c r="L245" s="21" t="str">
        <f>VLOOKUP(A245,'Trips&amp;Operators'!$C$1:$G$99999,5,FALSE)</f>
        <v>CASSIDY BRANDON</v>
      </c>
      <c r="M245" s="6">
        <f t="shared" si="159"/>
        <v>1.8171296323998831E-3</v>
      </c>
      <c r="N245" s="7">
        <f t="shared" si="167"/>
        <v>2.6166666706558317</v>
      </c>
      <c r="O245" s="7"/>
      <c r="P245" s="7"/>
      <c r="Q245" s="22"/>
      <c r="R245" s="170"/>
      <c r="S245" s="213">
        <f t="shared" si="168"/>
        <v>0</v>
      </c>
      <c r="T245" s="195" t="str">
        <f t="shared" si="160"/>
        <v>Southbound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6" t="str">
        <f t="shared" si="151"/>
        <v>https://d0f6bd738d7f1b3e5a7ca70fe4ff75f0.us-east-1.aws.found.io/app/kibana#/discover/Steve-Slow-Train-Analysis-(2080s-and-2083s)?_g=(refreshInterval:(display:Off,pause:!f,section:0,value:0),time:(from:'2017-08-11T08:52:36-0600',mode:absolute,to:'2017-08-11T11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5" s="197" t="str">
        <f>IF(AA245&lt;VLOOKUP(AG245,Variables!$AC$3:$AD$8,2,FALSE),"Y","N")</f>
        <v>Y</v>
      </c>
      <c r="X245" s="197">
        <f t="shared" si="164"/>
        <v>1</v>
      </c>
      <c r="Y245" s="197">
        <f t="shared" si="166"/>
        <v>3.1271</v>
      </c>
      <c r="Z245" s="197">
        <f t="shared" si="165"/>
        <v>2.1709999999999998</v>
      </c>
      <c r="AA245" s="197">
        <f t="shared" si="161"/>
        <v>0.95610000000000017</v>
      </c>
      <c r="AB245" s="54" t="e">
        <f>VLOOKUP(A245,Enforcements!$C$7:$K$12,8,0)</f>
        <v>#N/A</v>
      </c>
      <c r="AC245" s="51" t="e">
        <f>VLOOKUP(A245,Enforcements!$C$7:$E$12,3,0)</f>
        <v>#N/A</v>
      </c>
      <c r="AD245" s="206">
        <f t="shared" si="162"/>
        <v>60</v>
      </c>
      <c r="AE245" s="77" t="str">
        <f t="shared" si="152"/>
        <v>aws s3 cp s3://rtdc.mdm.uploadarchive.raw/RTDC4003/ "%USERPROFILE%\AppData\Local\Temp\OnboardLogs"\RTDC4003\2017-08-11 --exclude "*" --recursive --include "*20170811*" &amp; "%USERPROFILE%\Documents\GitHub\mrs-test-scripts\Headless Mode &amp; Sideloading\WalkAndUnGZ.bat" "%USERPROFILE%\AppData\Local\Temp\OnboardLogs"\RTDC4003\2017-08-11 &amp; aws s3 cp s3://rtdc.mdm.uploadarchive.raw/RTDC4003/ "%USERPROFILE%\AppData\Local\Temp\OnboardLogs"\RTDC4003\2017-08-12 --exclude "*" --recursive --include "*20170812*" &amp; "%USERPROFILE%\Documents\GitHub\mrs-test-scripts\Headless Mode &amp; Sideloading\WalkAndUnGZ.bat" "%USERPROFILE%\AppData\Local\Temp\OnboardLogs"\RTDC4003\2017-08-12</v>
      </c>
      <c r="AF245" s="74" t="str">
        <f t="shared" si="153"/>
        <v>"C:\Program Files (x86)\AstroGrep\AstroGrep.exe" /e /r /s /spath="%USERPROFILE%\AppData\Local\Temp\OnboardLogs" /stypes="app*4003*20170811*" /stext=" 16:.+((SYSTEM_STATE.+slice.+state.+changed )|(ment ac)|(multiple cpu faults)|(system.+state.+changed )|(\[timeout)|(PRM\|1\|D)|(kpr)|(kdp)|(train st.+moving)|(\|lc)|(penalty))"</v>
      </c>
      <c r="AG245" s="209" t="str">
        <f t="shared" si="163"/>
        <v>Shuttle/Test</v>
      </c>
      <c r="AH245" s="78" t="str">
        <f t="shared" si="154"/>
        <v>"%USERPROFILE%\Documents\GitHub\eaglep3\Utilities\RefineRTDCRunTimes.py" --tripid 60-11 --locoid 4003 --swversion DE.1.0.9.0 --startMP 300:31271 --initTime 2017-08-11T09:52:36 --startdatetime 2017-08-11T10:02:52 --delay 1 --endMP 300:21710 --enddatetime 2017-08-11T10:05:29 --enforcementcount 0 &gt;&gt;C:\Users\stu\Documents\GitHub\eaglep3-reporting\EC\2017-08-11-refined-times.txt</v>
      </c>
      <c r="AI245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2.171"},{"id":17,"name":"Train ID","value":"60-11"},{"id":16,"name":"Locomotive ID","value":"4003"},{"id":130,"name":"Impact","value":""},{"id":150,"name":"Time of Event (Mountain Time)","value":"10:05:29"},{"id":151,"name":"Denver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156"/>
        <v>start /low /b %USERPROFILE%\Documents\GitHub\eaglep3\Utilities\DownloadLogsFromS3.py --loco 4003 --day 2017-08-11</v>
      </c>
      <c r="AN245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16:05:29"},{"id":29,"name":"Sharepoint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755</v>
      </c>
      <c r="B246" s="7">
        <v>4004</v>
      </c>
      <c r="C246" s="21" t="s">
        <v>198</v>
      </c>
      <c r="D246" s="21" t="s">
        <v>974</v>
      </c>
      <c r="E246" s="13">
        <v>42958.52853009259</v>
      </c>
      <c r="F246" s="13">
        <v>42958.529861111114</v>
      </c>
      <c r="G246" s="7">
        <v>1</v>
      </c>
      <c r="H246" s="21" t="s">
        <v>975</v>
      </c>
      <c r="I246" s="13">
        <v>42958.533460648148</v>
      </c>
      <c r="J246" s="7">
        <v>0</v>
      </c>
      <c r="K246" s="89" t="str">
        <f t="shared" si="158"/>
        <v>4003/4004</v>
      </c>
      <c r="L246" s="21" t="str">
        <f>VLOOKUP(A246,'Trips&amp;Operators'!$C$1:$G$99999,5,FALSE)</f>
        <v>BIRKHOLZ NADINE</v>
      </c>
      <c r="M246" s="6">
        <f t="shared" si="159"/>
        <v>3.5995370344608091E-3</v>
      </c>
      <c r="N246" s="7">
        <f t="shared" si="167"/>
        <v>5.1833333296235651</v>
      </c>
      <c r="O246" s="7"/>
      <c r="P246" s="7"/>
      <c r="Q246" s="22"/>
      <c r="R246" s="170"/>
      <c r="S246" s="213">
        <f t="shared" si="168"/>
        <v>0</v>
      </c>
      <c r="T246" s="195" t="str">
        <f t="shared" si="160"/>
        <v>NorthBound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6" t="str">
        <f t="shared" si="151"/>
        <v>https://d0f6bd738d7f1b3e5a7ca70fe4ff75f0.us-east-1.aws.found.io/app/kibana#/discover/Steve-Slow-Train-Analysis-(2080s-and-2083s)?_g=(refreshInterval:(display:Off,pause:!f,section:0,value:0),time:(from:'2017-08-11T11:41:05-0600',mode:absolute,to:'2017-08-11T13:48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6" s="197" t="str">
        <f>IF(AA246&lt;VLOOKUP(AG246,Variables!$AC$3:$AD$8,2,FALSE),"Y","N")</f>
        <v>Y</v>
      </c>
      <c r="X246" s="197">
        <f t="shared" si="164"/>
        <v>1</v>
      </c>
      <c r="Y246" s="197">
        <f t="shared" si="166"/>
        <v>2.1774</v>
      </c>
      <c r="Z246" s="197">
        <f t="shared" si="165"/>
        <v>2.4201000000000001</v>
      </c>
      <c r="AA246" s="197">
        <f t="shared" si="161"/>
        <v>0.24270000000000014</v>
      </c>
      <c r="AB246" s="54" t="e">
        <f>VLOOKUP(A246,Enforcements!$C$7:$K$12,8,0)</f>
        <v>#N/A</v>
      </c>
      <c r="AC246" s="51" t="e">
        <f>VLOOKUP(A246,Enforcements!$C$7:$E$12,3,0)</f>
        <v>#N/A</v>
      </c>
      <c r="AD246" s="206">
        <f t="shared" si="162"/>
        <v>61</v>
      </c>
      <c r="AE246" s="77" t="str">
        <f t="shared" si="152"/>
        <v>aws s3 cp s3://rtdc.mdm.uploadarchive.raw/RTDC4004/ "%USERPROFILE%\AppData\Local\Temp\OnboardLogs"\RTDC4004\2017-08-11 --exclude "*" --recursive --include "*20170811*" &amp; "%USERPROFILE%\Documents\GitHub\mrs-test-scripts\Headless Mode &amp; Sideloading\WalkAndUnGZ.bat" "%USERPROFILE%\AppData\Local\Temp\OnboardLogs"\RTDC4004\2017-08-11 &amp; aws s3 cp s3://rtdc.mdm.uploadarchive.raw/RTDC4004/ "%USERPROFILE%\AppData\Local\Temp\OnboardLogs"\RTDC4004\2017-08-12 --exclude "*" --recursive --include "*20170812*" &amp; "%USERPROFILE%\Documents\GitHub\mrs-test-scripts\Headless Mode &amp; Sideloading\WalkAndUnGZ.bat" "%USERPROFILE%\AppData\Local\Temp\OnboardLogs"\RTDC4004\2017-08-12</v>
      </c>
      <c r="AF246" s="74" t="str">
        <f t="shared" si="153"/>
        <v>"C:\Program Files (x86)\AstroGrep\AstroGrep.exe" /e /r /s /spath="%USERPROFILE%\AppData\Local\Temp\OnboardLogs" /stypes="app*4004*20170811*" /stext=" 18:.+((SYSTEM_STATE.+slice.+state.+changed )|(ment ac)|(multiple cpu faults)|(system.+state.+changed )|(\[timeout)|(PRM\|1\|D)|(kpr)|(kdp)|(train st.+moving)|(\|lc)|(penalty))"</v>
      </c>
      <c r="AG246" s="209" t="str">
        <f t="shared" si="163"/>
        <v>Shuttle/Test</v>
      </c>
      <c r="AH246" s="78" t="str">
        <f t="shared" si="154"/>
        <v>"%USERPROFILE%\Documents\GitHub\eaglep3\Utilities\RefineRTDCRunTimes.py" --tripid 61-11 --locoid 4004 --swversion DE.1.0.9.0 --startMP 300:21774 --initTime 2017-08-11T12:41:05 --startdatetime 2017-08-11T12:43:00 --delay 1 --endMP 300:24201 --enddatetime 2017-08-11T12:48:11 --enforcementcount 0 &gt;&gt;C:\Users\stu\Documents\GitHub\eaglep3-reporting\EC\2017-08-11-refined-times.txt</v>
      </c>
      <c r="AI246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2.4201"},{"id":17,"name":"Train ID","value":"61-11"},{"id":16,"name":"Locomotive ID","value":"4004"},{"id":130,"name":"Impact","value":""},{"id":150,"name":"Time of Event (Mountain Time)","value":"12:48:11"},{"id":151,"name":"Denver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156"/>
        <v>start /low /b %USERPROFILE%\Documents\GitHub\eaglep3\Utilities\DownloadLogsFromS3.py --loco 4004 --day 2017-08-11</v>
      </c>
      <c r="AN246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18:48:11"},{"id":29,"name":"Sharepoint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758</v>
      </c>
      <c r="B247" s="7">
        <v>4003</v>
      </c>
      <c r="C247" s="21" t="s">
        <v>198</v>
      </c>
      <c r="D247" s="21" t="s">
        <v>966</v>
      </c>
      <c r="E247" s="13">
        <v>42958.523831018516</v>
      </c>
      <c r="F247" s="13">
        <v>25568.708333333332</v>
      </c>
      <c r="G247" s="7">
        <v>32</v>
      </c>
      <c r="H247" s="21" t="s">
        <v>977</v>
      </c>
      <c r="I247" s="13">
        <v>25568.708333333332</v>
      </c>
      <c r="J247" s="7">
        <v>0</v>
      </c>
      <c r="K247" s="89" t="str">
        <f t="shared" ref="K247:K265" si="169">IF(ISEVEN(B247),(B247-1)&amp;"/"&amp;B247,B247&amp;"/"&amp;(B247+1))</f>
        <v>4003/4004</v>
      </c>
      <c r="L247" s="21" t="str">
        <f>VLOOKUP(A247,'Trips&amp;Operators'!$C$1:$G$99999,5,FALSE)</f>
        <v>BIRKHOLZ NADINE</v>
      </c>
      <c r="M247" s="6">
        <f t="shared" ref="M247:M265" si="170">I247-F247</f>
        <v>0</v>
      </c>
      <c r="N247" s="7">
        <f t="shared" si="167"/>
        <v>0</v>
      </c>
      <c r="O247" s="7"/>
      <c r="P247" s="7"/>
      <c r="Q247" s="22"/>
      <c r="R247" s="170"/>
      <c r="S247" s="213">
        <f t="shared" si="168"/>
        <v>0</v>
      </c>
      <c r="T247" s="195" t="str">
        <f t="shared" ref="T247:T265" si="171">IF(ISEVEN(LEFT(AD247,4)),"Southbound","NorthBound")</f>
        <v>Southbound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6" t="str">
        <f t="shared" si="151"/>
        <v>https://d0f6bd738d7f1b3e5a7ca70fe4ff75f0.us-east-1.aws.found.io/app/kibana#/discover/Steve-Slow-Train-Analysis-(2080s-and-2083s)?_g=(refreshInterval:(display:Off,pause:!f,section:0,value:0),time:(from:'2017-08-11T11:34:19-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7" s="197" t="str">
        <f>IF(AA247&lt;VLOOKUP(AG247,Variables!$AC$3:$AD$8,2,FALSE),"Y","N")</f>
        <v>Y</v>
      </c>
      <c r="X247" s="197">
        <f t="shared" si="164"/>
        <v>1</v>
      </c>
      <c r="Y247" s="197">
        <f t="shared" si="166"/>
        <v>3.1193</v>
      </c>
      <c r="Z247" s="197">
        <f t="shared" si="165"/>
        <v>2.1488</v>
      </c>
      <c r="AA247" s="197">
        <f t="shared" ref="AA247:AA265" si="172">ABS(Z247-Y247)</f>
        <v>0.97049999999999992</v>
      </c>
      <c r="AB247" s="54" t="e">
        <f>VLOOKUP(A247,Enforcements!$C$7:$K$12,8,0)</f>
        <v>#N/A</v>
      </c>
      <c r="AC247" s="51" t="e">
        <f>VLOOKUP(A247,Enforcements!$C$7:$E$12,3,0)</f>
        <v>#N/A</v>
      </c>
      <c r="AD247" s="206">
        <f t="shared" ref="AD247:AD265" si="173">VALUE(LEFT(A247,LEN(A247)-3))</f>
        <v>62</v>
      </c>
      <c r="AE247" s="77" t="str">
        <f t="shared" si="152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47" s="74" t="str">
        <f t="shared" si="153"/>
        <v>"C:\Program Files (x86)\AstroGrep\AstroGrep.exe" /e /r /s /spath="%USERPROFILE%\AppData\Local\Temp\OnboardLogs" /stypes="app*4003*19691231*" /stext=" 23:.+((SYSTEM_STATE.+slice.+state.+changed )|(ment ac)|(multiple cpu faults)|(system.+state.+changed )|(\[timeout)|(PRM\|1\|D)|(kpr)|(kdp)|(train st.+moving)|(\|lc)|(penalty))"</v>
      </c>
      <c r="AG247" s="209" t="str">
        <f t="shared" ref="AG247:AG265" si="174">DetSubdiv(A247)</f>
        <v>Shuttle/Test</v>
      </c>
      <c r="AH247" s="78" t="str">
        <f t="shared" si="154"/>
        <v>"%USERPROFILE%\Documents\GitHub\eaglep3\Utilities\RefineRTDCRunTimes.py" --tripid 62-11 --locoid 4003 --swversion DE.1.0.9.0 --startMP 300:31193 --initTime 2017-08-11T12:34:19 --startdatetime 1969-12-31T17:00:00 --delay 32 --endMP 300:21488 --enddatetime 1969-12-31T17:00:00 --enforcementcount 0 &gt;&gt;C:\Users\stu\Documents\GitHub\eaglep3-reporting\EC\2017-08-11-refined-times.txt</v>
      </c>
      <c r="AI247" s="96" t="str">
        <f t="shared" si="155"/>
        <v>echo {"issue":{"subject":"","project_id":79,"tracker_id":40,"status_id":1,"priority_id":2,"assigned_to_id":23,"start_date":"1969-12-31","description":"","custom_fields":[{"id":1,"name":"Subdivision","value":"Shuttle/Test"},{"id":4,"name":"Milepost","value":"2.1488"},{"id":17,"name":"Train ID","value":"62-11"},{"id":16,"name":"Locomotive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156"/>
        <v>start /low /b %USERPROFILE%\Documents\GitHub\eaglep3\Utilities\DownloadLogsFromS3.py --loco 4003 --day 1969-12-31</v>
      </c>
      <c r="AN247" s="151" t="str">
        <f t="shared" si="15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 s="32" t="s">
        <v>758</v>
      </c>
      <c r="B248" s="7">
        <v>4003</v>
      </c>
      <c r="C248" s="21" t="s">
        <v>198</v>
      </c>
      <c r="D248" s="21" t="s">
        <v>976</v>
      </c>
      <c r="E248" s="13">
        <v>42958.523831018516</v>
      </c>
      <c r="F248" s="13">
        <v>42958.525671296295</v>
      </c>
      <c r="G248" s="7">
        <v>2</v>
      </c>
      <c r="H248" s="21" t="s">
        <v>977</v>
      </c>
      <c r="I248" s="13">
        <v>42958.527314814812</v>
      </c>
      <c r="J248" s="7">
        <v>0</v>
      </c>
      <c r="K248" s="89" t="str">
        <f t="shared" si="169"/>
        <v>4003/4004</v>
      </c>
      <c r="L248" s="21" t="str">
        <f>VLOOKUP(A248,'Trips&amp;Operators'!$C$1:$G$99999,5,FALSE)</f>
        <v>BIRKHOLZ NADINE</v>
      </c>
      <c r="M248" s="6">
        <f t="shared" si="170"/>
        <v>1.6435185170848854E-3</v>
      </c>
      <c r="N248" s="7">
        <f t="shared" si="167"/>
        <v>2.366666664602235</v>
      </c>
      <c r="O248" s="7"/>
      <c r="P248" s="7"/>
      <c r="Q248" s="22"/>
      <c r="R248" s="170"/>
      <c r="S248" s="213">
        <f t="shared" si="168"/>
        <v>0</v>
      </c>
      <c r="T248" s="195" t="str">
        <f t="shared" si="171"/>
        <v>Southbound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6" t="str">
        <f t="shared" si="151"/>
        <v>https://d0f6bd738d7f1b3e5a7ca70fe4ff75f0.us-east-1.aws.found.io/app/kibana#/discover/Steve-Slow-Train-Analysis-(2080s-and-2083s)?_g=(refreshInterval:(display:Off,pause:!f,section:0,value:0),time:(from:'2017-08-11T11:34:19-0600',mode:absolute,to:'2017-08-11T13:39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8" s="197" t="str">
        <f>IF(AA248&lt;VLOOKUP(AG248,Variables!$AC$3:$AD$8,2,FALSE),"Y","N")</f>
        <v>Y</v>
      </c>
      <c r="X248" s="197">
        <f t="shared" si="164"/>
        <v>0</v>
      </c>
      <c r="Y248" s="197">
        <f t="shared" si="166"/>
        <v>3.1200999999999999</v>
      </c>
      <c r="Z248" s="197">
        <f t="shared" si="165"/>
        <v>2.1488</v>
      </c>
      <c r="AA248" s="197">
        <f t="shared" si="172"/>
        <v>0.97129999999999983</v>
      </c>
      <c r="AB248" s="54" t="e">
        <f>VLOOKUP(A248,Enforcements!$C$7:$K$12,8,0)</f>
        <v>#N/A</v>
      </c>
      <c r="AC248" s="51" t="e">
        <f>VLOOKUP(A248,Enforcements!$C$7:$E$12,3,0)</f>
        <v>#N/A</v>
      </c>
      <c r="AD248" s="206">
        <f t="shared" si="173"/>
        <v>62</v>
      </c>
      <c r="AE248" s="77" t="str">
        <f t="shared" si="152"/>
        <v>aws s3 cp s3://rtdc.mdm.uploadarchive.raw/RTDC4003/ "%USERPROFILE%\AppData\Local\Temp\OnboardLogs"\RTDC4003\2017-08-11 --exclude "*" --recursive --include "*20170811*" &amp; "%USERPROFILE%\Documents\GitHub\mrs-test-scripts\Headless Mode &amp; Sideloading\WalkAndUnGZ.bat" "%USERPROFILE%\AppData\Local\Temp\OnboardLogs"\RTDC4003\2017-08-11 &amp; aws s3 cp s3://rtdc.mdm.uploadarchive.raw/RTDC4003/ "%USERPROFILE%\AppData\Local\Temp\OnboardLogs"\RTDC4003\2017-08-12 --exclude "*" --recursive --include "*20170812*" &amp; "%USERPROFILE%\Documents\GitHub\mrs-test-scripts\Headless Mode &amp; Sideloading\WalkAndUnGZ.bat" "%USERPROFILE%\AppData\Local\Temp\OnboardLogs"\RTDC4003\2017-08-12</v>
      </c>
      <c r="AF248" s="74" t="str">
        <f t="shared" si="153"/>
        <v>"C:\Program Files (x86)\AstroGrep\AstroGrep.exe" /e /r /s /spath="%USERPROFILE%\AppData\Local\Temp\OnboardLogs" /stypes="app*4003*20170811*" /stext=" 18:.+((SYSTEM_STATE.+slice.+state.+changed )|(ment ac)|(multiple cpu faults)|(system.+state.+changed )|(\[timeout)|(PRM\|1\|D)|(kpr)|(kdp)|(train st.+moving)|(\|lc)|(penalty))"</v>
      </c>
      <c r="AG248" s="209" t="str">
        <f t="shared" si="174"/>
        <v>Shuttle/Test</v>
      </c>
      <c r="AH248" s="78" t="str">
        <f t="shared" si="154"/>
        <v>"%USERPROFILE%\Documents\GitHub\eaglep3\Utilities\RefineRTDCRunTimes.py" --tripid 62-11 --locoid 4003 --swversion DE.1.0.9.0 --startMP 300:31201 --initTime 2017-08-11T12:34:19 --startdatetime 2017-08-11T12:36:58 --delay 2 --endMP 300:21488 --enddatetime 2017-08-11T12:39:20 --enforcementcount 0 &gt;&gt;C:\Users\stu\Documents\GitHub\eaglep3-reporting\EC\2017-08-11-refined-times.txt</v>
      </c>
      <c r="AI248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2.1488"},{"id":17,"name":"Train ID","value":"62-11"},{"id":16,"name":"Locomotive ID","value":"4003"},{"id":130,"name":"Impact","value":""},{"id":150,"name":"Time of Event (Mountain Time)","value":"12:39:20"},{"id":151,"name":"Denver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156"/>
        <v>start /low /b %USERPROFILE%\Documents\GitHub\eaglep3\Utilities\DownloadLogsFromS3.py --loco 4003 --day 2017-08-11</v>
      </c>
      <c r="AN248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18:39:20"},{"id":29,"name":"Sharepoint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41" x14ac:dyDescent="0.25">
      <c r="A249" s="32" t="s">
        <v>775</v>
      </c>
      <c r="B249" s="7">
        <v>4004</v>
      </c>
      <c r="C249" s="21" t="s">
        <v>198</v>
      </c>
      <c r="D249" s="21" t="s">
        <v>978</v>
      </c>
      <c r="E249" s="13">
        <v>42958.578946759262</v>
      </c>
      <c r="F249" s="13">
        <v>42958.587314814817</v>
      </c>
      <c r="G249" s="7">
        <v>1</v>
      </c>
      <c r="H249" s="21" t="s">
        <v>979</v>
      </c>
      <c r="I249" s="13">
        <v>42958.590995370374</v>
      </c>
      <c r="J249" s="7">
        <v>0</v>
      </c>
      <c r="K249" s="89" t="str">
        <f t="shared" si="169"/>
        <v>4003/4004</v>
      </c>
      <c r="L249" s="21" t="str">
        <f>VLOOKUP(A249,'Trips&amp;Operators'!$C$1:$G$99999,5,FALSE)</f>
        <v>PAGE MARCUS</v>
      </c>
      <c r="M249" s="6">
        <f t="shared" si="170"/>
        <v>3.6805555573664606E-3</v>
      </c>
      <c r="N249" s="7">
        <f t="shared" si="167"/>
        <v>5.3000000026077032</v>
      </c>
      <c r="O249" s="7"/>
      <c r="P249" s="7"/>
      <c r="Q249" s="22"/>
      <c r="R249" s="170"/>
      <c r="S249" s="213">
        <f t="shared" si="168"/>
        <v>0</v>
      </c>
      <c r="T249" s="195" t="str">
        <f t="shared" si="171"/>
        <v>NorthBound</v>
      </c>
      <c r="U249" s="19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6" t="str">
        <f t="shared" si="151"/>
        <v>https://d0f6bd738d7f1b3e5a7ca70fe4ff75f0.us-east-1.aws.found.io/app/kibana#/discover/Steve-Slow-Train-Analysis-(2080s-and-2083s)?_g=(refreshInterval:(display:Off,pause:!f,section:0,value:0),time:(from:'2017-08-11T12:53:41-0600',mode:absolute,to:'2017-08-11T15:11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9" s="197" t="str">
        <f>IF(AA249&lt;VLOOKUP(AG249,Variables!$AC$3:$AD$8,2,FALSE),"Y","N")</f>
        <v>Y</v>
      </c>
      <c r="X249" s="197">
        <f t="shared" si="164"/>
        <v>1</v>
      </c>
      <c r="Y249" s="197">
        <f t="shared" si="166"/>
        <v>2.1949000000000001</v>
      </c>
      <c r="Z249" s="197">
        <f t="shared" si="165"/>
        <v>3.1560999999999999</v>
      </c>
      <c r="AA249" s="197">
        <f t="shared" si="172"/>
        <v>0.96119999999999983</v>
      </c>
      <c r="AB249" s="54" t="e">
        <f>VLOOKUP(A249,Enforcements!$C$7:$K$12,8,0)</f>
        <v>#N/A</v>
      </c>
      <c r="AC249" s="51" t="e">
        <f>VLOOKUP(A249,Enforcements!$C$7:$E$12,3,0)</f>
        <v>#N/A</v>
      </c>
      <c r="AD249" s="206">
        <f t="shared" si="173"/>
        <v>63</v>
      </c>
      <c r="AE249" s="77" t="str">
        <f t="shared" si="152"/>
        <v>aws s3 cp s3://rtdc.mdm.uploadarchive.raw/RTDC4004/ "%USERPROFILE%\AppData\Local\Temp\OnboardLogs"\RTDC4004\2017-08-11 --exclude "*" --recursive --include "*20170811*" &amp; "%USERPROFILE%\Documents\GitHub\mrs-test-scripts\Headless Mode &amp; Sideloading\WalkAndUnGZ.bat" "%USERPROFILE%\AppData\Local\Temp\OnboardLogs"\RTDC4004\2017-08-11 &amp; aws s3 cp s3://rtdc.mdm.uploadarchive.raw/RTDC4004/ "%USERPROFILE%\AppData\Local\Temp\OnboardLogs"\RTDC4004\2017-08-12 --exclude "*" --recursive --include "*20170812*" &amp; "%USERPROFILE%\Documents\GitHub\mrs-test-scripts\Headless Mode &amp; Sideloading\WalkAndUnGZ.bat" "%USERPROFILE%\AppData\Local\Temp\OnboardLogs"\RTDC4004\2017-08-12</v>
      </c>
      <c r="AF249" s="74" t="str">
        <f t="shared" si="153"/>
        <v>"C:\Program Files (x86)\AstroGrep\AstroGrep.exe" /e /r /s /spath="%USERPROFILE%\AppData\Local\Temp\OnboardLogs" /stypes="app*4004*20170811*" /stext=" 20:.+((SYSTEM_STATE.+slice.+state.+changed )|(ment ac)|(multiple cpu faults)|(system.+state.+changed )|(\[timeout)|(PRM\|1\|D)|(kpr)|(kdp)|(train st.+moving)|(\|lc)|(penalty))"</v>
      </c>
      <c r="AG249" s="209" t="str">
        <f t="shared" si="174"/>
        <v>Shuttle/Test</v>
      </c>
      <c r="AH249" s="78" t="str">
        <f t="shared" si="154"/>
        <v>"%USERPROFILE%\Documents\GitHub\eaglep3\Utilities\RefineRTDCRunTimes.py" --tripid 63-11 --locoid 4004 --swversion DE.1.0.9.0 --startMP 300:21949 --initTime 2017-08-11T13:53:41 --startdatetime 2017-08-11T14:05:44 --delay 1 --endMP 300:31561 --enddatetime 2017-08-11T14:11:02 --enforcementcount 0 &gt;&gt;C:\Users\stu\Documents\GitHub\eaglep3-reporting\EC\2017-08-11-refined-times.txt</v>
      </c>
      <c r="AI249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3.1561"},{"id":17,"name":"Train ID","value":"63-11"},{"id":16,"name":"Locomotive ID","value":"4004"},{"id":130,"name":"Impact","value":""},{"id":150,"name":"Time of Event (Mountain Time)","value":"14:11:02"},{"id":151,"name":"Denver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156"/>
        <v>start /low /b %USERPROFILE%\Documents\GitHub\eaglep3\Utilities\DownloadLogsFromS3.py --loco 4004 --day 2017-08-11</v>
      </c>
      <c r="AN249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20:11:02"},{"id":29,"name":"Sharepoint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41" x14ac:dyDescent="0.25">
      <c r="A250" s="32" t="s">
        <v>774</v>
      </c>
      <c r="B250" s="7">
        <v>4003</v>
      </c>
      <c r="C250" s="21" t="s">
        <v>198</v>
      </c>
      <c r="D250" s="21" t="s">
        <v>980</v>
      </c>
      <c r="E250" s="13">
        <v>42958.5859375</v>
      </c>
      <c r="F250" s="13">
        <v>42958.587314814817</v>
      </c>
      <c r="G250" s="7">
        <v>1</v>
      </c>
      <c r="H250" s="21" t="s">
        <v>981</v>
      </c>
      <c r="I250" s="13">
        <v>42958.590995370374</v>
      </c>
      <c r="J250" s="7">
        <v>0</v>
      </c>
      <c r="K250" s="89" t="str">
        <f t="shared" si="169"/>
        <v>4003/4004</v>
      </c>
      <c r="L250" s="21" t="str">
        <f>VLOOKUP(A250,'Trips&amp;Operators'!$C$1:$G$99999,5,FALSE)</f>
        <v>PAGE MARCUS</v>
      </c>
      <c r="M250" s="6">
        <f t="shared" si="170"/>
        <v>3.6805555573664606E-3</v>
      </c>
      <c r="N250" s="7">
        <f t="shared" si="167"/>
        <v>5.3000000026077032</v>
      </c>
      <c r="O250" s="7"/>
      <c r="P250" s="7"/>
      <c r="Q250" s="22"/>
      <c r="R250" s="170"/>
      <c r="S250" s="213">
        <f t="shared" si="168"/>
        <v>0</v>
      </c>
      <c r="T250" s="195" t="str">
        <f t="shared" si="171"/>
        <v>Southbound</v>
      </c>
      <c r="U250" s="19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6" t="str">
        <f t="shared" si="151"/>
        <v>https://d0f6bd738d7f1b3e5a7ca70fe4ff75f0.us-east-1.aws.found.io/app/kibana#/discover/Steve-Slow-Train-Analysis-(2080s-and-2083s)?_g=(refreshInterval:(display:Off,pause:!f,section:0,value:0),time:(from:'2017-08-11T13:03:45-0600',mode:absolute,to:'2017-08-11T15:11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50" s="197" t="str">
        <f>IF(AA250&lt;VLOOKUP(AG250,Variables!$AC$3:$AD$8,2,FALSE),"Y","N")</f>
        <v>Y</v>
      </c>
      <c r="X250" s="197">
        <f t="shared" si="164"/>
        <v>1</v>
      </c>
      <c r="Y250" s="197">
        <f t="shared" si="166"/>
        <v>3.125</v>
      </c>
      <c r="Z250" s="197">
        <f t="shared" si="165"/>
        <v>2.8780000000000001</v>
      </c>
      <c r="AA250" s="197">
        <f t="shared" si="172"/>
        <v>0.24699999999999989</v>
      </c>
      <c r="AB250" s="54" t="e">
        <f>VLOOKUP(A250,Enforcements!$C$7:$K$12,8,0)</f>
        <v>#N/A</v>
      </c>
      <c r="AC250" s="51" t="e">
        <f>VLOOKUP(A250,Enforcements!$C$7:$E$12,3,0)</f>
        <v>#N/A</v>
      </c>
      <c r="AD250" s="206">
        <f t="shared" si="173"/>
        <v>64</v>
      </c>
      <c r="AE250" s="77" t="str">
        <f t="shared" si="152"/>
        <v>aws s3 cp s3://rtdc.mdm.uploadarchive.raw/RTDC4003/ "%USERPROFILE%\AppData\Local\Temp\OnboardLogs"\RTDC4003\2017-08-11 --exclude "*" --recursive --include "*20170811*" &amp; "%USERPROFILE%\Documents\GitHub\mrs-test-scripts\Headless Mode &amp; Sideloading\WalkAndUnGZ.bat" "%USERPROFILE%\AppData\Local\Temp\OnboardLogs"\RTDC4003\2017-08-11 &amp; aws s3 cp s3://rtdc.mdm.uploadarchive.raw/RTDC4003/ "%USERPROFILE%\AppData\Local\Temp\OnboardLogs"\RTDC4003\2017-08-12 --exclude "*" --recursive --include "*20170812*" &amp; "%USERPROFILE%\Documents\GitHub\mrs-test-scripts\Headless Mode &amp; Sideloading\WalkAndUnGZ.bat" "%USERPROFILE%\AppData\Local\Temp\OnboardLogs"\RTDC4003\2017-08-12</v>
      </c>
      <c r="AF250" s="74" t="str">
        <f t="shared" si="153"/>
        <v>"C:\Program Files (x86)\AstroGrep\AstroGrep.exe" /e /r /s /spath="%USERPROFILE%\AppData\Local\Temp\OnboardLogs" /stypes="app*4003*20170811*" /stext=" 20:.+((SYSTEM_STATE.+slice.+state.+changed )|(ment ac)|(multiple cpu faults)|(system.+state.+changed )|(\[timeout)|(PRM\|1\|D)|(kpr)|(kdp)|(train st.+moving)|(\|lc)|(penalty))"</v>
      </c>
      <c r="AG250" s="209" t="str">
        <f t="shared" si="174"/>
        <v>Shuttle/Test</v>
      </c>
      <c r="AH250" s="78" t="str">
        <f t="shared" si="154"/>
        <v>"%USERPROFILE%\Documents\GitHub\eaglep3\Utilities\RefineRTDCRunTimes.py" --tripid 64-11 --locoid 4003 --swversion DE.1.0.9.0 --startMP 300:31250 --initTime 2017-08-11T14:03:45 --startdatetime 2017-08-11T14:05:44 --delay 1 --endMP 300:28780 --enddatetime 2017-08-11T14:11:02 --enforcementcount 0 &gt;&gt;C:\Users\stu\Documents\GitHub\eaglep3-reporting\EC\2017-08-11-refined-times.txt</v>
      </c>
      <c r="AI250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2.878"},{"id":17,"name":"Train ID","value":"64-11"},{"id":16,"name":"Locomotive ID","value":"4003"},{"id":130,"name":"Impact","value":""},{"id":150,"name":"Time of Event (Mountain Time)","value":"14:11:02"},{"id":151,"name":"Denver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156"/>
        <v>start /low /b %USERPROFILE%\Documents\GitHub\eaglep3\Utilities\DownloadLogsFromS3.py --loco 4003 --day 2017-08-11</v>
      </c>
      <c r="AN250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20:11:02"},{"id":29,"name":"Sharepoint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41" x14ac:dyDescent="0.25">
      <c r="A251" s="32" t="s">
        <v>769</v>
      </c>
      <c r="B251" s="7">
        <v>4004</v>
      </c>
      <c r="C251" s="21" t="s">
        <v>198</v>
      </c>
      <c r="D251" s="21" t="s">
        <v>984</v>
      </c>
      <c r="E251" s="13">
        <v>42958.564131944448</v>
      </c>
      <c r="F251" s="13">
        <v>42958.566481481481</v>
      </c>
      <c r="G251" s="7">
        <v>1</v>
      </c>
      <c r="H251" s="21" t="s">
        <v>985</v>
      </c>
      <c r="I251" s="13">
        <v>42958.568159722221</v>
      </c>
      <c r="J251" s="7">
        <v>0</v>
      </c>
      <c r="K251" s="89" t="str">
        <f t="shared" si="169"/>
        <v>4003/4004</v>
      </c>
      <c r="L251" s="21" t="str">
        <f>VLOOKUP(A251,'Trips&amp;Operators'!$C$1:$G$99999,5,FALSE)</f>
        <v>LANGERAK WILLIAM</v>
      </c>
      <c r="M251" s="6">
        <f t="shared" si="170"/>
        <v>1.6782407401478849E-3</v>
      </c>
      <c r="N251" s="7">
        <f t="shared" si="167"/>
        <v>2.4166666658129543</v>
      </c>
      <c r="O251" s="7"/>
      <c r="P251" s="7"/>
      <c r="Q251" s="22"/>
      <c r="R251" s="170"/>
      <c r="S251" s="213">
        <f t="shared" si="168"/>
        <v>0</v>
      </c>
      <c r="T251" s="195" t="str">
        <f t="shared" si="171"/>
        <v>NorthBound</v>
      </c>
      <c r="U251" s="19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6" t="str">
        <f t="shared" si="151"/>
        <v>https://d0f6bd738d7f1b3e5a7ca70fe4ff75f0.us-east-1.aws.found.io/app/kibana#/discover/Steve-Slow-Train-Analysis-(2080s-and-2083s)?_g=(refreshInterval:(display:Off,pause:!f,section:0,value:0),time:(from:'2017-08-11T12:32:21-0600',mode:absolute,to:'2017-08-11T14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1" s="197" t="str">
        <f>IF(AA251&lt;VLOOKUP(AG251,Variables!$AC$3:$AD$8,2,FALSE),"Y","N")</f>
        <v>Y</v>
      </c>
      <c r="X251" s="197">
        <f t="shared" ref="X251:X265" si="175">VALUE(LEFT(AD251,4))-VALUE(LEFT(AD250,4))</f>
        <v>1</v>
      </c>
      <c r="Y251" s="197">
        <f t="shared" si="166"/>
        <v>2.1977000000000002</v>
      </c>
      <c r="Z251" s="197">
        <f t="shared" ref="Z251:Z265" si="176">RIGHT(H251,LEN(H251)-4)/10000</f>
        <v>2.407</v>
      </c>
      <c r="AA251" s="197">
        <f t="shared" si="172"/>
        <v>0.20929999999999982</v>
      </c>
      <c r="AB251" s="54" t="e">
        <f>VLOOKUP(A251,Enforcements!$C$7:$K$12,8,0)</f>
        <v>#N/A</v>
      </c>
      <c r="AC251" s="51" t="e">
        <f>VLOOKUP(A251,Enforcements!$C$7:$E$12,3,0)</f>
        <v>#N/A</v>
      </c>
      <c r="AD251" s="206">
        <f t="shared" si="173"/>
        <v>65</v>
      </c>
      <c r="AE251" s="77" t="str">
        <f t="shared" si="152"/>
        <v>aws s3 cp s3://rtdc.mdm.uploadarchive.raw/RTDC4004/ "%USERPROFILE%\AppData\Local\Temp\OnboardLogs"\RTDC4004\2017-08-11 --exclude "*" --recursive --include "*20170811*" &amp; "%USERPROFILE%\Documents\GitHub\mrs-test-scripts\Headless Mode &amp; Sideloading\WalkAndUnGZ.bat" "%USERPROFILE%\AppData\Local\Temp\OnboardLogs"\RTDC4004\2017-08-11 &amp; aws s3 cp s3://rtdc.mdm.uploadarchive.raw/RTDC4004/ "%USERPROFILE%\AppData\Local\Temp\OnboardLogs"\RTDC4004\2017-08-12 --exclude "*" --recursive --include "*20170812*" &amp; "%USERPROFILE%\Documents\GitHub\mrs-test-scripts\Headless Mode &amp; Sideloading\WalkAndUnGZ.bat" "%USERPROFILE%\AppData\Local\Temp\OnboardLogs"\RTDC4004\2017-08-12</v>
      </c>
      <c r="AF251" s="74" t="str">
        <f t="shared" si="153"/>
        <v>"C:\Program Files (x86)\AstroGrep\AstroGrep.exe" /e /r /s /spath="%USERPROFILE%\AppData\Local\Temp\OnboardLogs" /stypes="app*4004*20170811*" /stext=" 19:.+((SYSTEM_STATE.+slice.+state.+changed )|(ment ac)|(multiple cpu faults)|(system.+state.+changed )|(\[timeout)|(PRM\|1\|D)|(kpr)|(kdp)|(train st.+moving)|(\|lc)|(penalty))"</v>
      </c>
      <c r="AG251" s="209" t="str">
        <f t="shared" si="174"/>
        <v>Shuttle/Test</v>
      </c>
      <c r="AH251" s="78" t="str">
        <f t="shared" si="154"/>
        <v>"%USERPROFILE%\Documents\GitHub\eaglep3\Utilities\RefineRTDCRunTimes.py" --tripid 65-11 --locoid 4004 --swversion DE.1.0.9.0 --startMP 300:21977 --initTime 2017-08-11T13:32:21 --startdatetime 2017-08-11T13:35:44 --delay 1 --endMP 300:24070 --enddatetime 2017-08-11T13:38:09 --enforcementcount 0 &gt;&gt;C:\Users\stu\Documents\GitHub\eaglep3-reporting\EC\2017-08-11-refined-times.txt</v>
      </c>
      <c r="AI251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2.407"},{"id":17,"name":"Train ID","value":"65-11"},{"id":16,"name":"Locomotive ID","value":"4004"},{"id":130,"name":"Impact","value":""},{"id":150,"name":"Time of Event (Mountain Time)","value":"13:38:09"},{"id":151,"name":"Denver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2" t="str">
        <f t="shared" si="156"/>
        <v>start /low /b %USERPROFILE%\Documents\GitHub\eaglep3\Utilities\DownloadLogsFromS3.py --loco 4004 --day 2017-08-11</v>
      </c>
      <c r="AN251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19:38:09"},{"id":29,"name":"Sharepoint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/>
    </row>
    <row r="252" spans="1:41" x14ac:dyDescent="0.25">
      <c r="A252" s="32" t="s">
        <v>769</v>
      </c>
      <c r="B252" s="7">
        <v>4004</v>
      </c>
      <c r="C252" s="21" t="s">
        <v>198</v>
      </c>
      <c r="D252" s="21" t="s">
        <v>982</v>
      </c>
      <c r="E252" s="13">
        <v>42958.554340277777</v>
      </c>
      <c r="F252" s="13">
        <v>42958.566481481481</v>
      </c>
      <c r="G252" s="7">
        <v>6</v>
      </c>
      <c r="H252" s="21" t="s">
        <v>983</v>
      </c>
      <c r="I252" s="13">
        <v>42958.568159722221</v>
      </c>
      <c r="J252" s="7">
        <v>0</v>
      </c>
      <c r="K252" s="89" t="str">
        <f t="shared" si="169"/>
        <v>4003/4004</v>
      </c>
      <c r="L252" s="21" t="str">
        <f>VLOOKUP(A252,'Trips&amp;Operators'!$C$1:$G$99999,5,FALSE)</f>
        <v>LANGERAK WILLIAM</v>
      </c>
      <c r="M252" s="6">
        <f t="shared" si="170"/>
        <v>1.6782407401478849E-3</v>
      </c>
      <c r="N252" s="7">
        <f t="shared" si="167"/>
        <v>2.4166666658129543</v>
      </c>
      <c r="O252" s="7"/>
      <c r="P252" s="7"/>
      <c r="Q252" s="22"/>
      <c r="R252" s="170"/>
      <c r="S252" s="213">
        <f t="shared" si="168"/>
        <v>0</v>
      </c>
      <c r="T252" s="195" t="str">
        <f t="shared" si="171"/>
        <v>NorthBound</v>
      </c>
      <c r="U252" s="195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6" t="str">
        <f t="shared" si="151"/>
        <v>https://d0f6bd738d7f1b3e5a7ca70fe4ff75f0.us-east-1.aws.found.io/app/kibana#/discover/Steve-Slow-Train-Analysis-(2080s-and-2083s)?_g=(refreshInterval:(display:Off,pause:!f,section:0,value:0),time:(from:'2017-08-11T12:18:15-0600',mode:absolute,to:'2017-08-11T14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2" s="197" t="str">
        <f>IF(AA252&lt;VLOOKUP(AG252,Variables!$AC$3:$AD$8,2,FALSE),"Y","N")</f>
        <v>Y</v>
      </c>
      <c r="X252" s="197">
        <f t="shared" si="175"/>
        <v>0</v>
      </c>
      <c r="Y252" s="197">
        <f t="shared" si="166"/>
        <v>3.0424000000000002</v>
      </c>
      <c r="Z252" s="197">
        <f t="shared" si="176"/>
        <v>3.1465999999999998</v>
      </c>
      <c r="AA252" s="197">
        <f t="shared" si="172"/>
        <v>0.10419999999999963</v>
      </c>
      <c r="AB252" s="54" t="e">
        <f>VLOOKUP(A252,Enforcements!$C$7:$K$12,8,0)</f>
        <v>#N/A</v>
      </c>
      <c r="AC252" s="51" t="e">
        <f>VLOOKUP(A252,Enforcements!$C$7:$E$12,3,0)</f>
        <v>#N/A</v>
      </c>
      <c r="AD252" s="206">
        <f t="shared" si="173"/>
        <v>65</v>
      </c>
      <c r="AE252" s="77" t="str">
        <f t="shared" si="152"/>
        <v>aws s3 cp s3://rtdc.mdm.uploadarchive.raw/RTDC4004/ "%USERPROFILE%\AppData\Local\Temp\OnboardLogs"\RTDC4004\2017-08-11 --exclude "*" --recursive --include "*20170811*" &amp; "%USERPROFILE%\Documents\GitHub\mrs-test-scripts\Headless Mode &amp; Sideloading\WalkAndUnGZ.bat" "%USERPROFILE%\AppData\Local\Temp\OnboardLogs"\RTDC4004\2017-08-11 &amp; aws s3 cp s3://rtdc.mdm.uploadarchive.raw/RTDC4004/ "%USERPROFILE%\AppData\Local\Temp\OnboardLogs"\RTDC4004\2017-08-12 --exclude "*" --recursive --include "*20170812*" &amp; "%USERPROFILE%\Documents\GitHub\mrs-test-scripts\Headless Mode &amp; Sideloading\WalkAndUnGZ.bat" "%USERPROFILE%\AppData\Local\Temp\OnboardLogs"\RTDC4004\2017-08-12</v>
      </c>
      <c r="AF252" s="74" t="str">
        <f t="shared" si="153"/>
        <v>"C:\Program Files (x86)\AstroGrep\AstroGrep.exe" /e /r /s /spath="%USERPROFILE%\AppData\Local\Temp\OnboardLogs" /stypes="app*4004*20170811*" /stext=" 19:.+((SYSTEM_STATE.+slice.+state.+changed )|(ment ac)|(multiple cpu faults)|(system.+state.+changed )|(\[timeout)|(PRM\|1\|D)|(kpr)|(kdp)|(train st.+moving)|(\|lc)|(penalty))"</v>
      </c>
      <c r="AG252" s="209" t="str">
        <f t="shared" si="174"/>
        <v>Shuttle/Test</v>
      </c>
      <c r="AH252" s="78" t="str">
        <f t="shared" si="154"/>
        <v>"%USERPROFILE%\Documents\GitHub\eaglep3\Utilities\RefineRTDCRunTimes.py" --tripid 65-11 --locoid 4004 --swversion DE.1.0.9.0 --startMP 300:30424 --initTime 2017-08-11T13:18:15 --startdatetime 2017-08-11T13:35:44 --delay 6 --endMP 300:31466 --enddatetime 2017-08-11T13:38:09 --enforcementcount 0 &gt;&gt;C:\Users\stu\Documents\GitHub\eaglep3-reporting\EC\2017-08-11-refined-times.txt</v>
      </c>
      <c r="AI252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3.1466"},{"id":17,"name":"Train ID","value":"65-11"},{"id":16,"name":"Locomotive ID","value":"4004"},{"id":130,"name":"Impact","value":""},{"id":150,"name":"Time of Event (Mountain Time)","value":"13:38:09"},{"id":151,"name":"Denver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2" t="str">
        <f t="shared" si="156"/>
        <v>start /low /b %USERPROFILE%\Documents\GitHub\eaglep3\Utilities\DownloadLogsFromS3.py --loco 4004 --day 2017-08-11</v>
      </c>
      <c r="AN252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19:38:09"},{"id":29,"name":"Sharepoint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/>
    </row>
    <row r="253" spans="1:41" x14ac:dyDescent="0.25">
      <c r="A253" s="32" t="s">
        <v>769</v>
      </c>
      <c r="B253" s="7">
        <v>4004</v>
      </c>
      <c r="C253" s="21" t="s">
        <v>198</v>
      </c>
      <c r="D253" s="21" t="s">
        <v>1063</v>
      </c>
      <c r="E253" s="13">
        <v>42958.554340277777</v>
      </c>
      <c r="F253" s="13">
        <v>42958.566481481481</v>
      </c>
      <c r="G253" s="7">
        <v>6</v>
      </c>
      <c r="H253" s="21" t="s">
        <v>983</v>
      </c>
      <c r="I253" s="13">
        <v>42958.568159722221</v>
      </c>
      <c r="J253" s="7">
        <v>0</v>
      </c>
      <c r="K253" s="89" t="str">
        <f t="shared" si="169"/>
        <v>4003/4004</v>
      </c>
      <c r="L253" s="21" t="str">
        <f>VLOOKUP(A253,'Trips&amp;Operators'!$C$1:$G$99999,5,FALSE)</f>
        <v>LANGERAK WILLIAM</v>
      </c>
      <c r="M253" s="6">
        <f t="shared" si="170"/>
        <v>1.6782407401478849E-3</v>
      </c>
      <c r="N253" s="7">
        <f t="shared" si="167"/>
        <v>2.4166666658129543</v>
      </c>
      <c r="O253" s="7"/>
      <c r="P253" s="7"/>
      <c r="Q253" s="22"/>
      <c r="R253" s="170"/>
      <c r="S253" s="213">
        <f t="shared" si="168"/>
        <v>0</v>
      </c>
      <c r="T253" s="195" t="str">
        <f t="shared" si="171"/>
        <v>NorthBound</v>
      </c>
      <c r="U253" s="195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6" t="str">
        <f t="shared" si="151"/>
        <v>https://d0f6bd738d7f1b3e5a7ca70fe4ff75f0.us-east-1.aws.found.io/app/kibana#/discover/Steve-Slow-Train-Analysis-(2080s-and-2083s)?_g=(refreshInterval:(display:Off,pause:!f,section:0,value:0),time:(from:'2017-08-11T12:18:15-0600',mode:absolute,to:'2017-08-11T14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3" s="197" t="str">
        <f>IF(AA253&lt;VLOOKUP(AG253,Variables!$AC$3:$AD$8,2,FALSE),"Y","N")</f>
        <v>Y</v>
      </c>
      <c r="X253" s="197">
        <f t="shared" si="175"/>
        <v>0</v>
      </c>
      <c r="Y253" s="197">
        <f t="shared" si="166"/>
        <v>3.0701000000000001</v>
      </c>
      <c r="Z253" s="197">
        <f t="shared" si="176"/>
        <v>3.1465999999999998</v>
      </c>
      <c r="AA253" s="197">
        <f t="shared" si="172"/>
        <v>7.649999999999979E-2</v>
      </c>
      <c r="AB253" s="54" t="e">
        <f>VLOOKUP(A253,Enforcements!$C$7:$K$12,8,0)</f>
        <v>#N/A</v>
      </c>
      <c r="AC253" s="51" t="e">
        <f>VLOOKUP(A253,Enforcements!$C$7:$E$12,3,0)</f>
        <v>#N/A</v>
      </c>
      <c r="AD253" s="206">
        <f t="shared" si="173"/>
        <v>65</v>
      </c>
      <c r="AE253" s="77" t="str">
        <f t="shared" si="152"/>
        <v>aws s3 cp s3://rtdc.mdm.uploadarchive.raw/RTDC4004/ "%USERPROFILE%\AppData\Local\Temp\OnboardLogs"\RTDC4004\2017-08-11 --exclude "*" --recursive --include "*20170811*" &amp; "%USERPROFILE%\Documents\GitHub\mrs-test-scripts\Headless Mode &amp; Sideloading\WalkAndUnGZ.bat" "%USERPROFILE%\AppData\Local\Temp\OnboardLogs"\RTDC4004\2017-08-11 &amp; aws s3 cp s3://rtdc.mdm.uploadarchive.raw/RTDC4004/ "%USERPROFILE%\AppData\Local\Temp\OnboardLogs"\RTDC4004\2017-08-12 --exclude "*" --recursive --include "*20170812*" &amp; "%USERPROFILE%\Documents\GitHub\mrs-test-scripts\Headless Mode &amp; Sideloading\WalkAndUnGZ.bat" "%USERPROFILE%\AppData\Local\Temp\OnboardLogs"\RTDC4004\2017-08-12</v>
      </c>
      <c r="AF253" s="74" t="str">
        <f t="shared" si="153"/>
        <v>"C:\Program Files (x86)\AstroGrep\AstroGrep.exe" /e /r /s /spath="%USERPROFILE%\AppData\Local\Temp\OnboardLogs" /stypes="app*4004*20170811*" /stext=" 19:.+((SYSTEM_STATE.+slice.+state.+changed )|(ment ac)|(multiple cpu faults)|(system.+state.+changed )|(\[timeout)|(PRM\|1\|D)|(kpr)|(kdp)|(train st.+moving)|(\|lc)|(penalty))"</v>
      </c>
      <c r="AG253" s="209" t="str">
        <f t="shared" si="174"/>
        <v>Shuttle/Test</v>
      </c>
      <c r="AH253" s="78" t="str">
        <f t="shared" si="154"/>
        <v>"%USERPROFILE%\Documents\GitHub\eaglep3\Utilities\RefineRTDCRunTimes.py" --tripid 65-11 --locoid 4004 --swversion DE.1.0.9.0 --startMP 300:30701 --initTime 2017-08-11T13:18:15 --startdatetime 2017-08-11T13:35:44 --delay 6 --endMP 300:31466 --enddatetime 2017-08-11T13:38:09 --enforcementcount 0 &gt;&gt;C:\Users\stu\Documents\GitHub\eaglep3-reporting\EC\2017-08-11-refined-times.txt</v>
      </c>
      <c r="AI253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3.1466"},{"id":17,"name":"Train ID","value":"65-11"},{"id":16,"name":"Locomotive ID","value":"4004"},{"id":130,"name":"Impact","value":""},{"id":150,"name":"Time of Event (Mountain Time)","value":"13:38:09"},{"id":151,"name":"Denver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2" t="str">
        <f t="shared" si="156"/>
        <v>start /low /b %USERPROFILE%\Documents\GitHub\eaglep3\Utilities\DownloadLogsFromS3.py --loco 4004 --day 2017-08-11</v>
      </c>
      <c r="AN253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19:38:09"},{"id":29,"name":"Sharepoint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/>
    </row>
    <row r="254" spans="1:41" x14ac:dyDescent="0.25">
      <c r="A254" s="32" t="s">
        <v>770</v>
      </c>
      <c r="B254" s="7">
        <v>4003</v>
      </c>
      <c r="C254" s="21" t="s">
        <v>198</v>
      </c>
      <c r="D254" s="21" t="s">
        <v>1064</v>
      </c>
      <c r="E254" s="13">
        <v>42958.560034722221</v>
      </c>
      <c r="F254" s="13">
        <v>42958.561597222222</v>
      </c>
      <c r="G254" s="7">
        <v>1</v>
      </c>
      <c r="H254" s="21" t="s">
        <v>1065</v>
      </c>
      <c r="I254" s="13">
        <v>42958.562974537039</v>
      </c>
      <c r="J254" s="7">
        <v>0</v>
      </c>
      <c r="K254" s="89" t="str">
        <f t="shared" si="169"/>
        <v>4003/4004</v>
      </c>
      <c r="L254" s="21" t="str">
        <f>VLOOKUP(A254,'Trips&amp;Operators'!$C$1:$G$99999,5,FALSE)</f>
        <v>LANGERAK WILLIAM</v>
      </c>
      <c r="M254" s="6">
        <f t="shared" si="170"/>
        <v>1.377314816636499E-3</v>
      </c>
      <c r="N254" s="7">
        <f t="shared" si="167"/>
        <v>1.9833333359565586</v>
      </c>
      <c r="O254" s="7"/>
      <c r="P254" s="7"/>
      <c r="Q254" s="22"/>
      <c r="R254" s="170"/>
      <c r="S254" s="213">
        <f t="shared" si="168"/>
        <v>0</v>
      </c>
      <c r="T254" s="195" t="str">
        <f t="shared" si="171"/>
        <v>Southbound</v>
      </c>
      <c r="U254" s="195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96" t="str">
        <f t="shared" si="151"/>
        <v>https://d0f6bd738d7f1b3e5a7ca70fe4ff75f0.us-east-1.aws.found.io/app/kibana#/discover/Steve-Slow-Train-Analysis-(2080s-and-2083s)?_g=(refreshInterval:(display:Off,pause:!f,section:0,value:0),time:(from:'2017-08-11T12:26:27-0600',mode:absolute,to:'2017-08-11T14:30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54" s="197" t="str">
        <f>IF(AA254&lt;VLOOKUP(AG254,Variables!$AC$3:$AD$8,2,FALSE),"Y","N")</f>
        <v>Y</v>
      </c>
      <c r="X254" s="197">
        <f t="shared" si="175"/>
        <v>1</v>
      </c>
      <c r="Y254" s="197">
        <f t="shared" si="166"/>
        <v>3.1152000000000002</v>
      </c>
      <c r="Z254" s="197">
        <f t="shared" si="176"/>
        <v>2.1652999999999998</v>
      </c>
      <c r="AA254" s="197">
        <f t="shared" si="172"/>
        <v>0.94990000000000041</v>
      </c>
      <c r="AB254" s="54" t="e">
        <f>VLOOKUP(A254,Enforcements!$C$7:$K$12,8,0)</f>
        <v>#N/A</v>
      </c>
      <c r="AC254" s="51" t="e">
        <f>VLOOKUP(A254,Enforcements!$C$7:$E$12,3,0)</f>
        <v>#N/A</v>
      </c>
      <c r="AD254" s="206">
        <f t="shared" si="173"/>
        <v>66</v>
      </c>
      <c r="AE254" s="77" t="str">
        <f t="shared" si="152"/>
        <v>aws s3 cp s3://rtdc.mdm.uploadarchive.raw/RTDC4003/ "%USERPROFILE%\AppData\Local\Temp\OnboardLogs"\RTDC4003\2017-08-11 --exclude "*" --recursive --include "*20170811*" &amp; "%USERPROFILE%\Documents\GitHub\mrs-test-scripts\Headless Mode &amp; Sideloading\WalkAndUnGZ.bat" "%USERPROFILE%\AppData\Local\Temp\OnboardLogs"\RTDC4003\2017-08-11 &amp; aws s3 cp s3://rtdc.mdm.uploadarchive.raw/RTDC4003/ "%USERPROFILE%\AppData\Local\Temp\OnboardLogs"\RTDC4003\2017-08-12 --exclude "*" --recursive --include "*20170812*" &amp; "%USERPROFILE%\Documents\GitHub\mrs-test-scripts\Headless Mode &amp; Sideloading\WalkAndUnGZ.bat" "%USERPROFILE%\AppData\Local\Temp\OnboardLogs"\RTDC4003\2017-08-12</v>
      </c>
      <c r="AF254" s="74" t="str">
        <f t="shared" si="153"/>
        <v>"C:\Program Files (x86)\AstroGrep\AstroGrep.exe" /e /r /s /spath="%USERPROFILE%\AppData\Local\Temp\OnboardLogs" /stypes="app*4003*20170811*" /stext=" 19:.+((SYSTEM_STATE.+slice.+state.+changed )|(ment ac)|(multiple cpu faults)|(system.+state.+changed )|(\[timeout)|(PRM\|1\|D)|(kpr)|(kdp)|(train st.+moving)|(\|lc)|(penalty))"</v>
      </c>
      <c r="AG254" s="209" t="str">
        <f t="shared" si="174"/>
        <v>Shuttle/Test</v>
      </c>
      <c r="AH254" s="78" t="str">
        <f t="shared" si="154"/>
        <v>"%USERPROFILE%\Documents\GitHub\eaglep3\Utilities\RefineRTDCRunTimes.py" --tripid 66-11 --locoid 4003 --swversion DE.1.0.9.0 --startMP 300:31152 --initTime 2017-08-11T13:26:27 --startdatetime 2017-08-11T13:28:42 --delay 1 --endMP 300:21653 --enddatetime 2017-08-11T13:30:41 --enforcementcount 0 &gt;&gt;C:\Users\stu\Documents\GitHub\eaglep3-reporting\EC\2017-08-11-refined-times.txt</v>
      </c>
      <c r="AI254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2.1653"},{"id":17,"name":"Train ID","value":"66-11"},{"id":16,"name":"Locomotive ID","value":"4003"},{"id":130,"name":"Impact","value":""},{"id":150,"name":"Time of Event (Mountain Time)","value":"13:30:41"},{"id":151,"name":"Denver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2" t="str">
        <f t="shared" si="156"/>
        <v>start /low /b %USERPROFILE%\Documents\GitHub\eaglep3\Utilities\DownloadLogsFromS3.py --loco 4003 --day 2017-08-11</v>
      </c>
      <c r="AN254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19:30:41"},{"id":29,"name":"Sharepoint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/>
    </row>
    <row r="255" spans="1:41" x14ac:dyDescent="0.25">
      <c r="A255" s="32" t="s">
        <v>770</v>
      </c>
      <c r="B255" s="7">
        <v>4003</v>
      </c>
      <c r="C255" s="21" t="s">
        <v>198</v>
      </c>
      <c r="D255" s="21" t="s">
        <v>1101</v>
      </c>
      <c r="E255" s="13">
        <v>42958.560034722221</v>
      </c>
      <c r="F255" s="13">
        <v>42958.561597222222</v>
      </c>
      <c r="G255" s="7">
        <v>1</v>
      </c>
      <c r="H255" s="21" t="s">
        <v>1102</v>
      </c>
      <c r="I255" s="13">
        <v>42958.562974537039</v>
      </c>
      <c r="J255" s="7">
        <v>0</v>
      </c>
      <c r="K255" s="89" t="str">
        <f t="shared" si="169"/>
        <v>4003/4004</v>
      </c>
      <c r="L255" s="21" t="str">
        <f>VLOOKUP(A255,'Trips&amp;Operators'!$C$1:$G$99999,5,FALSE)</f>
        <v>LANGERAK WILLIAM</v>
      </c>
      <c r="M255" s="6">
        <f t="shared" si="170"/>
        <v>1.377314816636499E-3</v>
      </c>
      <c r="N255" s="7">
        <f t="shared" si="167"/>
        <v>1.9833333359565586</v>
      </c>
      <c r="O255" s="7"/>
      <c r="P255" s="7"/>
      <c r="Q255" s="22"/>
      <c r="R255" s="170"/>
      <c r="S255" s="213">
        <f t="shared" si="168"/>
        <v>0</v>
      </c>
      <c r="T255" s="195" t="str">
        <f t="shared" si="171"/>
        <v>Southbound</v>
      </c>
      <c r="U255" s="195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6" t="str">
        <f t="shared" si="151"/>
        <v>https://d0f6bd738d7f1b3e5a7ca70fe4ff75f0.us-east-1.aws.found.io/app/kibana#/discover/Steve-Slow-Train-Analysis-(2080s-and-2083s)?_g=(refreshInterval:(display:Off,pause:!f,section:0,value:0),time:(from:'2017-08-11T12:26:27-0600',mode:absolute,to:'2017-08-11T14:30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55" s="197" t="str">
        <f>IF(AA255&lt;VLOOKUP(AG255,Variables!$AC$3:$AD$8,2,FALSE),"Y","N")</f>
        <v>Y</v>
      </c>
      <c r="X255" s="197">
        <f t="shared" si="175"/>
        <v>0</v>
      </c>
      <c r="Y255" s="197">
        <f t="shared" si="166"/>
        <v>3.1154000000000002</v>
      </c>
      <c r="Z255" s="197">
        <f t="shared" si="176"/>
        <v>2.1634000000000002</v>
      </c>
      <c r="AA255" s="197">
        <f t="shared" si="172"/>
        <v>0.95199999999999996</v>
      </c>
      <c r="AB255" s="54" t="e">
        <f>VLOOKUP(A255,Enforcements!$C$7:$K$12,8,0)</f>
        <v>#N/A</v>
      </c>
      <c r="AC255" s="51" t="e">
        <f>VLOOKUP(A255,Enforcements!$C$7:$E$12,3,0)</f>
        <v>#N/A</v>
      </c>
      <c r="AD255" s="206">
        <f t="shared" si="173"/>
        <v>66</v>
      </c>
      <c r="AE255" s="77" t="str">
        <f t="shared" si="152"/>
        <v>aws s3 cp s3://rtdc.mdm.uploadarchive.raw/RTDC4003/ "%USERPROFILE%\AppData\Local\Temp\OnboardLogs"\RTDC4003\2017-08-11 --exclude "*" --recursive --include "*20170811*" &amp; "%USERPROFILE%\Documents\GitHub\mrs-test-scripts\Headless Mode &amp; Sideloading\WalkAndUnGZ.bat" "%USERPROFILE%\AppData\Local\Temp\OnboardLogs"\RTDC4003\2017-08-11 &amp; aws s3 cp s3://rtdc.mdm.uploadarchive.raw/RTDC4003/ "%USERPROFILE%\AppData\Local\Temp\OnboardLogs"\RTDC4003\2017-08-12 --exclude "*" --recursive --include "*20170812*" &amp; "%USERPROFILE%\Documents\GitHub\mrs-test-scripts\Headless Mode &amp; Sideloading\WalkAndUnGZ.bat" "%USERPROFILE%\AppData\Local\Temp\OnboardLogs"\RTDC4003\2017-08-12</v>
      </c>
      <c r="AF255" s="74" t="str">
        <f t="shared" si="153"/>
        <v>"C:\Program Files (x86)\AstroGrep\AstroGrep.exe" /e /r /s /spath="%USERPROFILE%\AppData\Local\Temp\OnboardLogs" /stypes="app*4003*20170811*" /stext=" 19:.+((SYSTEM_STATE.+slice.+state.+changed )|(ment ac)|(multiple cpu faults)|(system.+state.+changed )|(\[timeout)|(PRM\|1\|D)|(kpr)|(kdp)|(train st.+moving)|(\|lc)|(penalty))"</v>
      </c>
      <c r="AG255" s="209" t="str">
        <f t="shared" si="174"/>
        <v>Shuttle/Test</v>
      </c>
      <c r="AH255" s="78" t="str">
        <f t="shared" si="154"/>
        <v>"%USERPROFILE%\Documents\GitHub\eaglep3\Utilities\RefineRTDCRunTimes.py" --tripid 66-11 --locoid 4003 --swversion DE.1.0.9.0 --startMP 300:31154 --initTime 2017-08-11T13:26:27 --startdatetime 2017-08-11T13:28:42 --delay 1 --endMP 300:21634 --enddatetime 2017-08-11T13:30:41 --enforcementcount 0 &gt;&gt;C:\Users\stu\Documents\GitHub\eaglep3-reporting\EC\2017-08-11-refined-times.txt</v>
      </c>
      <c r="AI255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2.1634"},{"id":17,"name":"Train ID","value":"66-11"},{"id":16,"name":"Locomotive ID","value":"4003"},{"id":130,"name":"Impact","value":""},{"id":150,"name":"Time of Event (Mountain Time)","value":"13:30:41"},{"id":151,"name":"Denver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2" t="str">
        <f t="shared" si="156"/>
        <v>start /low /b %USERPROFILE%\Documents\GitHub\eaglep3\Utilities\DownloadLogsFromS3.py --loco 4003 --day 2017-08-11</v>
      </c>
      <c r="AN255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19:30:41"},{"id":29,"name":"Sharepoint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/>
    </row>
    <row r="256" spans="1:41" x14ac:dyDescent="0.25">
      <c r="A256" s="32" t="s">
        <v>682</v>
      </c>
      <c r="B256" s="7">
        <v>4020</v>
      </c>
      <c r="C256" s="21" t="s">
        <v>198</v>
      </c>
      <c r="D256" s="21" t="s">
        <v>986</v>
      </c>
      <c r="E256" s="13">
        <v>42958.308020833334</v>
      </c>
      <c r="F256" s="13">
        <v>42958.317719907405</v>
      </c>
      <c r="G256" s="7">
        <v>1</v>
      </c>
      <c r="H256" s="21" t="s">
        <v>987</v>
      </c>
      <c r="I256" s="13">
        <v>42958.318761574075</v>
      </c>
      <c r="J256" s="7">
        <v>0</v>
      </c>
      <c r="K256" s="89" t="str">
        <f t="shared" si="169"/>
        <v>4019/4020</v>
      </c>
      <c r="L256" s="21" t="str">
        <f>VLOOKUP(A256,'Trips&amp;Operators'!$C$1:$G$99999,5,FALSE)</f>
        <v>SPECTOR MICHAEL</v>
      </c>
      <c r="M256" s="6">
        <f t="shared" si="170"/>
        <v>1.0416666700621136E-3</v>
      </c>
      <c r="N256" s="7">
        <f t="shared" si="167"/>
        <v>1.5000000048894435</v>
      </c>
      <c r="O256" s="7"/>
      <c r="P256" s="7"/>
      <c r="Q256" s="22"/>
      <c r="R256" s="170"/>
      <c r="S256" s="213">
        <f t="shared" si="168"/>
        <v>0</v>
      </c>
      <c r="T256" s="195" t="str">
        <f t="shared" si="171"/>
        <v>NorthBound</v>
      </c>
      <c r="U256" s="195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96" t="str">
        <f t="shared" si="151"/>
        <v>https://d0f6bd738d7f1b3e5a7ca70fe4ff75f0.us-east-1.aws.found.io/app/kibana#/discover/Steve-Slow-Train-Analysis-(2080s-and-2083s)?_g=(refreshInterval:(display:Off,pause:!f,section:0,value:0),time:(from:'2017-08-11T06:23:33-0600',mode:absolute,to:'2017-08-11T08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6" s="197" t="str">
        <f>IF(AA256&lt;VLOOKUP(AG256,Variables!$AC$3:$AD$8,2,FALSE),"Y","N")</f>
        <v>Y</v>
      </c>
      <c r="X256" s="197">
        <f t="shared" si="175"/>
        <v>1</v>
      </c>
      <c r="Y256" s="197">
        <f t="shared" ref="Y256:Y265" si="177">RIGHT(D256,LEN(D256)-4)/10000</f>
        <v>0.14860000000000001</v>
      </c>
      <c r="Z256" s="197">
        <f t="shared" si="176"/>
        <v>0.35560000000000003</v>
      </c>
      <c r="AA256" s="197">
        <f t="shared" si="172"/>
        <v>0.20700000000000002</v>
      </c>
      <c r="AB256" s="54" t="e">
        <f>VLOOKUP(A256,Enforcements!$C$7:$K$12,8,0)</f>
        <v>#N/A</v>
      </c>
      <c r="AC256" s="51" t="e">
        <f>VLOOKUP(A256,Enforcements!$C$7:$E$12,3,0)</f>
        <v>#N/A</v>
      </c>
      <c r="AD256" s="206">
        <f t="shared" si="173"/>
        <v>67</v>
      </c>
      <c r="AE256" s="77" t="str">
        <f t="shared" si="152"/>
        <v>aws s3 cp s3://rtdc.mdm.uploadarchive.raw/RTDC4020/ "%USERPROFILE%\AppData\Local\Temp\OnboardLogs"\RTDC4020\2017-08-11 --exclude "*" --recursive --include "*20170811*" &amp; "%USERPROFILE%\Documents\GitHub\mrs-test-scripts\Headless Mode &amp; Sideloading\WalkAndUnGZ.bat" "%USERPROFILE%\AppData\Local\Temp\OnboardLogs"\RTDC4020\2017-08-11 &amp; aws s3 cp s3://rtdc.mdm.uploadarchive.raw/RTDC4020/ "%USERPROFILE%\AppData\Local\Temp\OnboardLogs"\RTDC4020\2017-08-12 --exclude "*" --recursive --include "*20170812*" &amp; "%USERPROFILE%\Documents\GitHub\mrs-test-scripts\Headless Mode &amp; Sideloading\WalkAndUnGZ.bat" "%USERPROFILE%\AppData\Local\Temp\OnboardLogs"\RTDC4020\2017-08-12</v>
      </c>
      <c r="AF256" s="74" t="str">
        <f t="shared" si="153"/>
        <v>"C:\Program Files (x86)\AstroGrep\AstroGrep.exe" /e /r /s /spath="%USERPROFILE%\AppData\Local\Temp\OnboardLogs" /stypes="app*4020*20170811*" /stext=" 13:.+((SYSTEM_STATE.+slice.+state.+changed )|(ment ac)|(multiple cpu faults)|(system.+state.+changed )|(\[timeout)|(PRM\|1\|D)|(kpr)|(kdp)|(train st.+moving)|(\|lc)|(penalty))"</v>
      </c>
      <c r="AG256" s="209" t="str">
        <f t="shared" si="174"/>
        <v>Shuttle/Test</v>
      </c>
      <c r="AH256" s="78" t="str">
        <f t="shared" si="154"/>
        <v>"%USERPROFILE%\Documents\GitHub\eaglep3\Utilities\RefineRTDCRunTimes.py" --tripid 67-11 --locoid 4020 --swversion DE.1.0.9.0 --startMP 204:1486 --initTime 2017-08-11T07:23:33 --startdatetime 2017-08-11T07:37:31 --delay 1 --endMP 204:3556 --enddatetime 2017-08-11T07:39:01 --enforcementcount 0 &gt;&gt;C:\Users\stu\Documents\GitHub\eaglep3-reporting\EC\2017-08-11-refined-times.txt</v>
      </c>
      <c r="AI256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0.3556"},{"id":17,"name":"Train ID","value":"67-11"},{"id":16,"name":"Locomotive ID","value":"4020"},{"id":130,"name":"Impact","value":""},{"id":150,"name":"Time of Event (Mountain Time)","value":"07:39:01"},{"id":151,"name":"Denver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2" t="str">
        <f t="shared" si="156"/>
        <v>start /low /b %USERPROFILE%\Documents\GitHub\eaglep3\Utilities\DownloadLogsFromS3.py --loco 4020 --day 2017-08-11</v>
      </c>
      <c r="AN256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13:39:01"},{"id":29,"name":"Sharepoint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6"/>
    </row>
    <row r="257" spans="1:41" x14ac:dyDescent="0.25">
      <c r="A257" s="32" t="s">
        <v>687</v>
      </c>
      <c r="B257" s="7">
        <v>4019</v>
      </c>
      <c r="C257" s="21" t="s">
        <v>198</v>
      </c>
      <c r="D257" s="21" t="s">
        <v>988</v>
      </c>
      <c r="E257" s="13">
        <v>42958.319594907407</v>
      </c>
      <c r="F257" s="13">
        <v>42958.321261574078</v>
      </c>
      <c r="G257" s="7">
        <v>1</v>
      </c>
      <c r="H257" s="21" t="s">
        <v>342</v>
      </c>
      <c r="I257" s="13">
        <v>42958.323379629626</v>
      </c>
      <c r="J257" s="7">
        <v>0</v>
      </c>
      <c r="K257" s="89" t="str">
        <f t="shared" si="169"/>
        <v>4019/4020</v>
      </c>
      <c r="L257" s="21" t="str">
        <f>VLOOKUP(A257,'Trips&amp;Operators'!$C$1:$G$99999,5,FALSE)</f>
        <v>SPECTOR MICHAEL</v>
      </c>
      <c r="M257" s="6">
        <f t="shared" si="170"/>
        <v>2.1180555486353114E-3</v>
      </c>
      <c r="N257" s="7">
        <f t="shared" si="167"/>
        <v>3.0499999900348485</v>
      </c>
      <c r="O257" s="7"/>
      <c r="P257" s="7"/>
      <c r="Q257" s="22"/>
      <c r="R257" s="170"/>
      <c r="S257" s="213">
        <f t="shared" si="168"/>
        <v>0</v>
      </c>
      <c r="T257" s="195" t="str">
        <f t="shared" si="171"/>
        <v>Southbound</v>
      </c>
      <c r="U257" s="195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96" t="str">
        <f t="shared" si="151"/>
        <v>https://d0f6bd738d7f1b3e5a7ca70fe4ff75f0.us-east-1.aws.found.io/app/kibana#/discover/Steve-Slow-Train-Analysis-(2080s-and-2083s)?_g=(refreshInterval:(display:Off,pause:!f,section:0,value:0),time:(from:'2017-08-11T06:40:13-0600',mode:absolute,to:'2017-08-11T08:45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57" s="197" t="str">
        <f>IF(AA257&lt;VLOOKUP(AG257,Variables!$AC$3:$AD$8,2,FALSE),"Y","N")</f>
        <v>Y</v>
      </c>
      <c r="X257" s="197">
        <f t="shared" si="175"/>
        <v>1</v>
      </c>
      <c r="Y257" s="197">
        <f t="shared" si="177"/>
        <v>0.32419999999999999</v>
      </c>
      <c r="Z257" s="197">
        <f t="shared" si="176"/>
        <v>1.49E-2</v>
      </c>
      <c r="AA257" s="197">
        <f t="shared" si="172"/>
        <v>0.30929999999999996</v>
      </c>
      <c r="AB257" s="54" t="e">
        <f>VLOOKUP(A257,Enforcements!$C$7:$K$12,8,0)</f>
        <v>#N/A</v>
      </c>
      <c r="AC257" s="51" t="e">
        <f>VLOOKUP(A257,Enforcements!$C$7:$E$12,3,0)</f>
        <v>#N/A</v>
      </c>
      <c r="AD257" s="206">
        <f t="shared" si="173"/>
        <v>68</v>
      </c>
      <c r="AE257" s="77" t="str">
        <f t="shared" si="152"/>
        <v>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 &amp; aws s3 cp s3://rtdc.mdm.uploadarchive.raw/RTDC4019/ "%USERPROFILE%\AppData\Local\Temp\OnboardLogs"\RTDC4019\2017-08-12 --exclude "*" --recursive --include "*20170812*" &amp; "%USERPROFILE%\Documents\GitHub\mrs-test-scripts\Headless Mode &amp; Sideloading\WalkAndUnGZ.bat" "%USERPROFILE%\AppData\Local\Temp\OnboardLogs"\RTDC4019\2017-08-12</v>
      </c>
      <c r="AF257" s="74" t="str">
        <f t="shared" si="153"/>
        <v>"C:\Program Files (x86)\AstroGrep\AstroGrep.exe" /e /r /s /spath="%USERPROFILE%\AppData\Local\Temp\OnboardLogs" /stypes="app*4019*20170811*" /stext=" 13:.+((SYSTEM_STATE.+slice.+state.+changed )|(ment ac)|(multiple cpu faults)|(system.+state.+changed )|(\[timeout)|(PRM\|1\|D)|(kpr)|(kdp)|(train st.+moving)|(\|lc)|(penalty))"</v>
      </c>
      <c r="AG257" s="209" t="str">
        <f t="shared" si="174"/>
        <v>Shuttle/Test</v>
      </c>
      <c r="AH257" s="78" t="str">
        <f t="shared" si="154"/>
        <v>"%USERPROFILE%\Documents\GitHub\eaglep3\Utilities\RefineRTDCRunTimes.py" --tripid 68-11 --locoid 4019 --swversion DE.1.0.9.0 --startMP 204:3242 --initTime 2017-08-11T07:40:13 --startdatetime 2017-08-11T07:42:37 --delay 1 --endMP 204:149 --enddatetime 2017-08-11T07:45:40 --enforcementcount 0 &gt;&gt;C:\Users\stu\Documents\GitHub\eaglep3-reporting\EC\2017-08-11-refined-times.txt</v>
      </c>
      <c r="AI257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0.0149"},{"id":17,"name":"Train ID","value":"68-11"},{"id":16,"name":"Locomotive ID","value":"4019"},{"id":130,"name":"Impact","value":""},{"id":150,"name":"Time of Event (Mountain Time)","value":"07:45:40"},{"id":151,"name":"Denver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2" t="str">
        <f t="shared" si="156"/>
        <v>start /low /b %USERPROFILE%\Documents\GitHub\eaglep3\Utilities\DownloadLogsFromS3.py --loco 4019 --day 2017-08-11</v>
      </c>
      <c r="AN257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13:45:40"},{"id":29,"name":"Sharepoint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7"/>
    </row>
    <row r="258" spans="1:41" x14ac:dyDescent="0.25">
      <c r="A258" s="32" t="s">
        <v>728</v>
      </c>
      <c r="B258" s="7">
        <v>4003</v>
      </c>
      <c r="C258" s="21" t="s">
        <v>198</v>
      </c>
      <c r="D258" s="21" t="s">
        <v>989</v>
      </c>
      <c r="E258" s="13">
        <v>42958.737812500003</v>
      </c>
      <c r="F258" s="13">
        <v>42958.745810185188</v>
      </c>
      <c r="G258" s="7">
        <v>11</v>
      </c>
      <c r="H258" s="21" t="s">
        <v>990</v>
      </c>
      <c r="I258" s="13">
        <v>42958.75273148148</v>
      </c>
      <c r="J258" s="7">
        <v>0</v>
      </c>
      <c r="K258" s="89" t="str">
        <f t="shared" si="169"/>
        <v>4003/4004</v>
      </c>
      <c r="L258" s="21" t="str">
        <f>VLOOKUP(A258,'Trips&amp;Operators'!$C$1:$G$99999,5,FALSE)</f>
        <v>NEWELL JAMES</v>
      </c>
      <c r="M258" s="6">
        <f t="shared" si="170"/>
        <v>6.9212962916935794E-3</v>
      </c>
      <c r="N258" s="7">
        <f t="shared" si="167"/>
        <v>9.9666666600387543</v>
      </c>
      <c r="O258" s="7"/>
      <c r="P258" s="7"/>
      <c r="Q258" s="22"/>
      <c r="R258" s="170"/>
      <c r="S258" s="213">
        <f t="shared" si="168"/>
        <v>1</v>
      </c>
      <c r="T258" s="195" t="str">
        <f t="shared" si="171"/>
        <v>Southbound</v>
      </c>
      <c r="U258" s="195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1</v>
      </c>
      <c r="V258" s="196" t="str">
        <f t="shared" si="151"/>
        <v>https://d0f6bd738d7f1b3e5a7ca70fe4ff75f0.us-east-1.aws.found.io/app/kibana#/discover/Steve-Slow-Train-Analysis-(2080s-and-2083s)?_g=(refreshInterval:(display:Off,pause:!f,section:0,value:0),time:(from:'2017-08-11T16:42:27-0600',mode:absolute,to:'2017-08-11T19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58" s="197" t="str">
        <f>IF(AA258&lt;VLOOKUP(AG258,Variables!$AC$3:$AD$8,2,FALSE),"Y","N")</f>
        <v>Y</v>
      </c>
      <c r="X258" s="197">
        <f t="shared" si="175"/>
        <v>6</v>
      </c>
      <c r="Y258" s="197">
        <f t="shared" si="177"/>
        <v>2.2818999999999998</v>
      </c>
      <c r="Z258" s="197">
        <f t="shared" si="176"/>
        <v>0.16639999999999999</v>
      </c>
      <c r="AA258" s="197">
        <f t="shared" si="172"/>
        <v>2.1154999999999999</v>
      </c>
      <c r="AB258" s="54" t="e">
        <f>VLOOKUP(A258,Enforcements!$C$7:$K$12,8,0)</f>
        <v>#N/A</v>
      </c>
      <c r="AC258" s="51" t="e">
        <f>VLOOKUP(A258,Enforcements!$C$7:$E$12,3,0)</f>
        <v>#N/A</v>
      </c>
      <c r="AD258" s="206">
        <f t="shared" si="173"/>
        <v>74</v>
      </c>
      <c r="AE258" s="77" t="str">
        <f t="shared" si="152"/>
        <v>aws s3 cp s3://rtdc.mdm.uploadarchive.raw/RTDC4003/ "%USERPROFILE%\AppData\Local\Temp\OnboardLogs"\RTDC4003\2017-08-11 --exclude "*" --recursive --include "*20170811*" &amp; "%USERPROFILE%\Documents\GitHub\mrs-test-scripts\Headless Mode &amp; Sideloading\WalkAndUnGZ.bat" "%USERPROFILE%\AppData\Local\Temp\OnboardLogs"\RTDC4003\2017-08-11 &amp; aws s3 cp s3://rtdc.mdm.uploadarchive.raw/RTDC4003/ "%USERPROFILE%\AppData\Local\Temp\OnboardLogs"\RTDC4003\2017-08-12 --exclude "*" --recursive --include "*20170812*" &amp; "%USERPROFILE%\Documents\GitHub\mrs-test-scripts\Headless Mode &amp; Sideloading\WalkAndUnGZ.bat" "%USERPROFILE%\AppData\Local\Temp\OnboardLogs"\RTDC4003\2017-08-12</v>
      </c>
      <c r="AF258" s="74" t="str">
        <f t="shared" si="153"/>
        <v>"C:\Program Files (x86)\AstroGrep\AstroGrep.exe" /e /r /s /spath="%USERPROFILE%\AppData\Local\Temp\OnboardLogs" /stypes="app*4003*20170812*" /stext=" 00:.+((SYSTEM_STATE.+slice.+state.+changed )|(ment ac)|(multiple cpu faults)|(system.+state.+changed )|(\[timeout)|(PRM\|1\|D)|(kpr)|(kdp)|(train st.+moving)|(\|lc)|(penalty))"</v>
      </c>
      <c r="AG258" s="209" t="str">
        <f t="shared" si="174"/>
        <v>Shuttle/Test</v>
      </c>
      <c r="AH258" s="78" t="str">
        <f t="shared" si="154"/>
        <v>"%USERPROFILE%\Documents\GitHub\eaglep3\Utilities\RefineRTDCRunTimes.py" --tripid 74-11 --locoid 4003 --swversion DE.1.0.9.0 --startMP 300:22819 --initTime 2017-08-11T17:42:27 --startdatetime 2017-08-11T17:53:58 --delay 11 --endMP 204:1664 --enddatetime 2017-08-11T18:03:56 --enforcementcount 0 &gt;&gt;C:\Users\stu\Documents\GitHub\eaglep3-reporting\EC\2017-08-11-refined-times.txt</v>
      </c>
      <c r="AI258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0.1664"},{"id":17,"name":"Train ID","value":"74-11"},{"id":16,"name":"Locomotive ID","value":"4003"},{"id":130,"name":"Impact","value":""},{"id":150,"name":"Time of Event (Mountain Time)","value":"18:03:56"},{"id":151,"name":"Denver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7"/>
      <c r="AL258" s="47"/>
      <c r="AM258" s="142" t="str">
        <f t="shared" si="156"/>
        <v>start /low /b %USERPROFILE%\Documents\GitHub\eaglep3\Utilities\DownloadLogsFromS3.py --loco 4003 --day 2017-08-11</v>
      </c>
      <c r="AN258" s="151" t="str">
        <f t="shared" si="15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00:03:56"},{"id":29,"name":"Sharepoint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8"/>
    </row>
    <row r="259" spans="1:41" x14ac:dyDescent="0.25">
      <c r="A259" s="32" t="s">
        <v>742</v>
      </c>
      <c r="B259" s="7">
        <v>4015</v>
      </c>
      <c r="C259" s="21" t="s">
        <v>198</v>
      </c>
      <c r="D259" s="21" t="s">
        <v>998</v>
      </c>
      <c r="E259" s="13">
        <v>42958.695821759262</v>
      </c>
      <c r="F259" s="13">
        <v>42958.72761574074</v>
      </c>
      <c r="G259" s="7">
        <v>1</v>
      </c>
      <c r="H259" s="21" t="s">
        <v>589</v>
      </c>
      <c r="I259" s="13">
        <v>42958.733726851853</v>
      </c>
      <c r="J259" s="7">
        <v>0</v>
      </c>
      <c r="K259" s="89" t="str">
        <f t="shared" si="169"/>
        <v>4015/4016</v>
      </c>
      <c r="L259" s="21" t="str">
        <f>VLOOKUP(A259,'Trips&amp;Operators'!$C$1:$G$99999,5,FALSE)</f>
        <v>GEBRETEKLE DAGNEW</v>
      </c>
      <c r="M259" s="6">
        <f t="shared" si="170"/>
        <v>6.1111111135687679E-3</v>
      </c>
      <c r="N259" s="7">
        <f t="shared" si="167"/>
        <v>8.8000000035390258</v>
      </c>
      <c r="O259" s="7"/>
      <c r="P259" s="7"/>
      <c r="Q259" s="22"/>
      <c r="R259" s="170"/>
      <c r="S259" s="213">
        <f t="shared" si="168"/>
        <v>0</v>
      </c>
      <c r="T259" s="195" t="str">
        <f t="shared" si="171"/>
        <v>NorthBound</v>
      </c>
      <c r="U259" s="195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96" t="str">
        <f t="shared" si="151"/>
        <v>https://d0f6bd738d7f1b3e5a7ca70fe4ff75f0.us-east-1.aws.found.io/app/kibana#/discover/Steve-Slow-Train-Analysis-(2080s-and-2083s)?_g=(refreshInterval:(display:Off,pause:!f,section:0,value:0),time:(from:'2017-08-11T15:41:59-0600',mode:absolute,to:'2017-08-11T18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59" s="197" t="str">
        <f>IF(AA259&lt;VLOOKUP(AG259,Variables!$AC$3:$AD$8,2,FALSE),"Y","N")</f>
        <v>Y</v>
      </c>
      <c r="X259" s="197">
        <f t="shared" si="175"/>
        <v>1</v>
      </c>
      <c r="Y259" s="197">
        <f t="shared" si="177"/>
        <v>1.4229000000000001</v>
      </c>
      <c r="Z259" s="197">
        <f t="shared" si="176"/>
        <v>6.4299999999999996E-2</v>
      </c>
      <c r="AA259" s="197">
        <f t="shared" si="172"/>
        <v>1.3586</v>
      </c>
      <c r="AB259" s="54" t="e">
        <f>VLOOKUP(A259,Enforcements!$C$7:$K$12,8,0)</f>
        <v>#N/A</v>
      </c>
      <c r="AC259" s="51" t="e">
        <f>VLOOKUP(A259,Enforcements!$C$7:$E$12,3,0)</f>
        <v>#N/A</v>
      </c>
      <c r="AD259" s="206">
        <f t="shared" si="173"/>
        <v>75</v>
      </c>
      <c r="AE259" s="77" t="str">
        <f t="shared" si="152"/>
        <v>aws s3 cp s3://rtdc.mdm.uploadarchive.raw/RTDC4015/ "%USERPROFILE%\AppData\Local\Temp\OnboardLogs"\RTDC4015\2017-08-11 --exclude "*" --recursive --include "*20170811*" &amp; "%USERPROFILE%\Documents\GitHub\mrs-test-scripts\Headless Mode &amp; Sideloading\WalkAndUnGZ.bat" "%USERPROFILE%\AppData\Local\Temp\OnboardLogs"\RTDC4015\2017-08-11 &amp; 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</v>
      </c>
      <c r="AF259" s="74" t="str">
        <f t="shared" si="153"/>
        <v>"C:\Program Files (x86)\AstroGrep\AstroGrep.exe" /e /r /s /spath="%USERPROFILE%\AppData\Local\Temp\OnboardLogs" /stypes="app*4015*20170811*" /stext=" 23:.+((SYSTEM_STATE.+slice.+state.+changed )|(ment ac)|(multiple cpu faults)|(system.+state.+changed )|(\[timeout)|(PRM\|1\|D)|(kpr)|(kdp)|(train st.+moving)|(\|lc)|(penalty))"</v>
      </c>
      <c r="AG259" s="209" t="str">
        <f t="shared" si="174"/>
        <v>Shuttle/Test</v>
      </c>
      <c r="AH259" s="78" t="str">
        <f t="shared" si="154"/>
        <v>"%USERPROFILE%\Documents\GitHub\eaglep3\Utilities\RefineRTDCRunTimes.py" --tripid 75-11 --locoid 4015 --swversion DE.1.0.9.0 --startMP 300:14229 --initTime 2017-08-11T16:41:59 --startdatetime 2017-08-11T17:27:46 --delay 1 --endMP 204:643 --enddatetime 2017-08-11T17:36:34 --enforcementcount 0 &gt;&gt;C:\Users\stu\Documents\GitHub\eaglep3-reporting\EC\2017-08-11-refined-times.txt</v>
      </c>
      <c r="AI259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0.0643"},{"id":17,"name":"Train ID","value":"75-11"},{"id":16,"name":"Locomotive ID","value":"4015"},{"id":130,"name":"Impact","value":""},{"id":150,"name":"Time of Event (Mountain Time)","value":"17:36:34"},{"id":151,"name":"Denver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20"/>
      <c r="AK259" s="47"/>
      <c r="AL259" s="47"/>
      <c r="AM259" s="142" t="str">
        <f t="shared" si="156"/>
        <v>start /low /b %USERPROFILE%\Documents\GitHub\eaglep3\Utilities\DownloadLogsFromS3.py --loco 4015 --day 2017-08-11</v>
      </c>
      <c r="AN259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23:36:34"},{"id":29,"name":"Sharepoint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9"/>
    </row>
    <row r="260" spans="1:41" x14ac:dyDescent="0.25">
      <c r="A260" s="32" t="s">
        <v>742</v>
      </c>
      <c r="B260" s="7">
        <v>4016</v>
      </c>
      <c r="C260" s="21" t="s">
        <v>198</v>
      </c>
      <c r="D260" s="21" t="s">
        <v>996</v>
      </c>
      <c r="E260" s="13">
        <v>42958.678576388891</v>
      </c>
      <c r="F260" s="13">
        <v>42958.702557870369</v>
      </c>
      <c r="G260" s="7">
        <v>1</v>
      </c>
      <c r="H260" s="21" t="s">
        <v>997</v>
      </c>
      <c r="I260" s="13">
        <v>42958.707372685189</v>
      </c>
      <c r="J260" s="7">
        <v>0</v>
      </c>
      <c r="K260" s="89" t="str">
        <f t="shared" si="169"/>
        <v>4015/4016</v>
      </c>
      <c r="L260" s="21" t="str">
        <f>VLOOKUP(A260,'Trips&amp;Operators'!$C$1:$G$99999,5,FALSE)</f>
        <v>GEBRETEKLE DAGNEW</v>
      </c>
      <c r="M260" s="6">
        <f t="shared" si="170"/>
        <v>4.8148148198379204E-3</v>
      </c>
      <c r="N260" s="7">
        <f t="shared" si="167"/>
        <v>6.9333333405666053</v>
      </c>
      <c r="O260" s="7"/>
      <c r="P260" s="7"/>
      <c r="Q260" s="22"/>
      <c r="R260" s="170"/>
      <c r="S260" s="213">
        <f t="shared" si="168"/>
        <v>1</v>
      </c>
      <c r="T260" s="195" t="str">
        <f t="shared" si="171"/>
        <v>NorthBound</v>
      </c>
      <c r="U260" s="195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1</v>
      </c>
      <c r="V260" s="196" t="str">
        <f t="shared" si="151"/>
        <v>https://d0f6bd738d7f1b3e5a7ca70fe4ff75f0.us-east-1.aws.found.io/app/kibana#/discover/Steve-Slow-Train-Analysis-(2080s-and-2083s)?_g=(refreshInterval:(display:Off,pause:!f,section:0,value:0),time:(from:'2017-08-11T15:17:09-0600',mode:absolute,to:'2017-08-11T17:58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60" s="197" t="str">
        <f>IF(AA260&lt;VLOOKUP(AG260,Variables!$AC$3:$AD$8,2,FALSE),"Y","N")</f>
        <v>Y</v>
      </c>
      <c r="X260" s="197">
        <f t="shared" si="175"/>
        <v>0</v>
      </c>
      <c r="Y260" s="197">
        <f t="shared" si="177"/>
        <v>0.1158</v>
      </c>
      <c r="Z260" s="197">
        <f t="shared" si="176"/>
        <v>1.4516</v>
      </c>
      <c r="AA260" s="197">
        <f t="shared" si="172"/>
        <v>1.3358000000000001</v>
      </c>
      <c r="AB260" s="54" t="e">
        <f>VLOOKUP(A260,Enforcements!$C$7:$K$12,8,0)</f>
        <v>#N/A</v>
      </c>
      <c r="AC260" s="51" t="e">
        <f>VLOOKUP(A260,Enforcements!$C$7:$E$12,3,0)</f>
        <v>#N/A</v>
      </c>
      <c r="AD260" s="206">
        <f t="shared" si="173"/>
        <v>75</v>
      </c>
      <c r="AE260" s="77" t="str">
        <f t="shared" si="152"/>
        <v>aws s3 cp s3://rtdc.mdm.uploadarchive.raw/RTDC4016/ "%USERPROFILE%\AppData\Local\Temp\OnboardLogs"\RTDC4016\2017-08-11 --exclude "*" --recursive --include "*20170811*" &amp; "%USERPROFILE%\Documents\GitHub\mrs-test-scripts\Headless Mode &amp; Sideloading\WalkAndUnGZ.bat" "%USERPROFILE%\AppData\Local\Temp\OnboardLogs"\RTDC4016\2017-08-11 &amp; 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</v>
      </c>
      <c r="AF260" s="74" t="str">
        <f t="shared" si="153"/>
        <v>"C:\Program Files (x86)\AstroGrep\AstroGrep.exe" /e /r /s /spath="%USERPROFILE%\AppData\Local\Temp\OnboardLogs" /stypes="app*4016*20170811*" /stext=" 22:.+((SYSTEM_STATE.+slice.+state.+changed )|(ment ac)|(multiple cpu faults)|(system.+state.+changed )|(\[timeout)|(PRM\|1\|D)|(kpr)|(kdp)|(train st.+moving)|(\|lc)|(penalty))"</v>
      </c>
      <c r="AG260" s="209" t="str">
        <f t="shared" si="174"/>
        <v>Shuttle/Test</v>
      </c>
      <c r="AH260" s="78" t="str">
        <f t="shared" si="154"/>
        <v>"%USERPROFILE%\Documents\GitHub\eaglep3\Utilities\RefineRTDCRunTimes.py" --tripid 75-11 --locoid 4016 --swversion DE.1.0.9.0 --startMP 204:1158 --initTime 2017-08-11T16:17:09 --startdatetime 2017-08-11T16:51:41 --delay 1 --endMP 300:14516 --enddatetime 2017-08-11T16:58:37 --enforcementcount 0 &gt;&gt;C:\Users\stu\Documents\GitHub\eaglep3-reporting\EC\2017-08-11-refined-times.txt</v>
      </c>
      <c r="AI260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1.4516"},{"id":17,"name":"Train ID","value":"75-11"},{"id":16,"name":"Locomotive ID","value":"4016"},{"id":130,"name":"Impact","value":""},{"id":150,"name":"Time of Event (Mountain Time)","value":"16:58:37"},{"id":151,"name":"Denver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20"/>
      <c r="AK260" s="47"/>
      <c r="AL260" s="47"/>
      <c r="AM260" s="142" t="str">
        <f t="shared" si="156"/>
        <v>start /low /b %USERPROFILE%\Documents\GitHub\eaglep3\Utilities\DownloadLogsFromS3.py --loco 4016 --day 2017-08-11</v>
      </c>
      <c r="AN260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22:58:37"},{"id":29,"name":"Sharepoint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0"/>
    </row>
    <row r="261" spans="1:41" x14ac:dyDescent="0.25">
      <c r="A261" s="32" t="s">
        <v>742</v>
      </c>
      <c r="B261" s="7">
        <v>4026</v>
      </c>
      <c r="C261" s="21" t="s">
        <v>198</v>
      </c>
      <c r="D261" s="21" t="s">
        <v>991</v>
      </c>
      <c r="E261" s="13">
        <v>42958.477812500001</v>
      </c>
      <c r="F261" s="13">
        <v>42958.479756944442</v>
      </c>
      <c r="G261" s="7">
        <v>2</v>
      </c>
      <c r="H261" s="21" t="s">
        <v>992</v>
      </c>
      <c r="I261" s="13">
        <v>42958.485081018516</v>
      </c>
      <c r="J261" s="7">
        <v>0</v>
      </c>
      <c r="K261" s="89" t="str">
        <f t="shared" si="169"/>
        <v>4025/4026</v>
      </c>
      <c r="L261" s="21" t="str">
        <f>VLOOKUP(A261,'Trips&amp;Operators'!$C$1:$G$99999,5,FALSE)</f>
        <v>GEBRETEKLE DAGNEW</v>
      </c>
      <c r="M261" s="6">
        <f t="shared" si="170"/>
        <v>5.324074074451346E-3</v>
      </c>
      <c r="N261" s="7">
        <f t="shared" si="167"/>
        <v>7.6666666672099382</v>
      </c>
      <c r="O261" s="7"/>
      <c r="P261" s="7"/>
      <c r="Q261" s="22"/>
      <c r="R261" s="170"/>
      <c r="S261" s="213">
        <f t="shared" si="168"/>
        <v>1</v>
      </c>
      <c r="T261" s="195" t="str">
        <f t="shared" si="171"/>
        <v>NorthBound</v>
      </c>
      <c r="U261" s="195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1</v>
      </c>
      <c r="V261" s="196" t="str">
        <f t="shared" si="151"/>
        <v>https://d0f6bd738d7f1b3e5a7ca70fe4ff75f0.us-east-1.aws.found.io/app/kibana#/discover/Steve-Slow-Train-Analysis-(2080s-and-2083s)?_g=(refreshInterval:(display:Off,pause:!f,section:0,value:0),time:(from:'2017-08-11T10:28:03-0600',mode:absolute,to:'2017-08-11T12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61" s="197" t="str">
        <f>IF(AA261&lt;VLOOKUP(AG261,Variables!$AC$3:$AD$8,2,FALSE),"Y","N")</f>
        <v>Y</v>
      </c>
      <c r="X261" s="197">
        <f t="shared" si="175"/>
        <v>0</v>
      </c>
      <c r="Y261" s="197">
        <f t="shared" si="177"/>
        <v>4.0599999999999997E-2</v>
      </c>
      <c r="Z261" s="197">
        <f t="shared" si="176"/>
        <v>2.4228999999999998</v>
      </c>
      <c r="AA261" s="197">
        <f t="shared" si="172"/>
        <v>2.3822999999999999</v>
      </c>
      <c r="AB261" s="54" t="e">
        <f>VLOOKUP(A261,Enforcements!$C$7:$K$12,8,0)</f>
        <v>#N/A</v>
      </c>
      <c r="AC261" s="51" t="e">
        <f>VLOOKUP(A261,Enforcements!$C$7:$E$12,3,0)</f>
        <v>#N/A</v>
      </c>
      <c r="AD261" s="206">
        <f t="shared" si="173"/>
        <v>75</v>
      </c>
      <c r="AE261" s="77" t="str">
        <f t="shared" si="152"/>
        <v>aws s3 cp s3://rtdc.mdm.uploadarchive.raw/RTDC4026/ "%USERPROFILE%\AppData\Local\Temp\OnboardLogs"\RTDC4026\2017-08-11 --exclude "*" --recursive --include "*20170811*" &amp; "%USERPROFILE%\Documents\GitHub\mrs-test-scripts\Headless Mode &amp; Sideloading\WalkAndUnGZ.bat" "%USERPROFILE%\AppData\Local\Temp\OnboardLogs"\RTDC4026\2017-08-11 &amp; aws s3 cp s3://rtdc.mdm.uploadarchive.raw/RTDC4026/ "%USERPROFILE%\AppData\Local\Temp\OnboardLogs"\RTDC4026\2017-08-12 --exclude "*" --recursive --include "*20170812*" &amp; "%USERPROFILE%\Documents\GitHub\mrs-test-scripts\Headless Mode &amp; Sideloading\WalkAndUnGZ.bat" "%USERPROFILE%\AppData\Local\Temp\OnboardLogs"\RTDC4026\2017-08-12</v>
      </c>
      <c r="AF261" s="74" t="str">
        <f t="shared" si="153"/>
        <v>"C:\Program Files (x86)\AstroGrep\AstroGrep.exe" /e /r /s /spath="%USERPROFILE%\AppData\Local\Temp\OnboardLogs" /stypes="app*4026*20170811*" /stext=" 17:.+((SYSTEM_STATE.+slice.+state.+changed )|(ment ac)|(multiple cpu faults)|(system.+state.+changed )|(\[timeout)|(PRM\|1\|D)|(kpr)|(kdp)|(train st.+moving)|(\|lc)|(penalty))"</v>
      </c>
      <c r="AG261" s="209" t="str">
        <f t="shared" si="174"/>
        <v>Shuttle/Test</v>
      </c>
      <c r="AH261" s="78" t="str">
        <f t="shared" si="154"/>
        <v>"%USERPROFILE%\Documents\GitHub\eaglep3\Utilities\RefineRTDCRunTimes.py" --tripid 75-11 --locoid 4026 --swversion DE.1.0.9.0 --startMP 204:406 --initTime 2017-08-11T11:28:03 --startdatetime 2017-08-11T11:30:51 --delay 2 --endMP 300:24229 --enddatetime 2017-08-11T11:38:31 --enforcementcount 0 &gt;&gt;C:\Users\stu\Documents\GitHub\eaglep3-reporting\EC\2017-08-11-refined-times.txt</v>
      </c>
      <c r="AI261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2.4229"},{"id":17,"name":"Train ID","value":"75-11"},{"id":16,"name":"Locomotive ID","value":"4026"},{"id":130,"name":"Impact","value":""},{"id":150,"name":"Time of Event (Mountain Time)","value":"11:38:31"},{"id":151,"name":"Denver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20"/>
      <c r="AK261" s="47"/>
      <c r="AL261" s="47"/>
      <c r="AM261" s="142" t="str">
        <f t="shared" si="156"/>
        <v>start /low /b %USERPROFILE%\Documents\GitHub\eaglep3\Utilities\DownloadLogsFromS3.py --loco 4026 --day 2017-08-11</v>
      </c>
      <c r="AN261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17:38:31"},{"id":29,"name":"Sharepoint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1"/>
    </row>
    <row r="262" spans="1:41" x14ac:dyDescent="0.25">
      <c r="A262" s="32" t="s">
        <v>742</v>
      </c>
      <c r="B262" s="7">
        <v>4057</v>
      </c>
      <c r="C262" s="21" t="s">
        <v>198</v>
      </c>
      <c r="D262" s="21" t="s">
        <v>995</v>
      </c>
      <c r="E262" s="13">
        <v>42958.595266203702</v>
      </c>
      <c r="F262" s="13">
        <v>42958.597708333335</v>
      </c>
      <c r="G262" s="7">
        <v>2</v>
      </c>
      <c r="H262" s="21" t="s">
        <v>452</v>
      </c>
      <c r="I262" s="13">
        <v>42958.599166666667</v>
      </c>
      <c r="J262" s="7">
        <v>0</v>
      </c>
      <c r="K262" s="89" t="str">
        <f t="shared" si="169"/>
        <v>4057/4058</v>
      </c>
      <c r="L262" s="21" t="str">
        <f>VLOOKUP(A262,'Trips&amp;Operators'!$C$1:$G$99999,5,FALSE)</f>
        <v>GEBRETEKLE DAGNEW</v>
      </c>
      <c r="M262" s="6">
        <f t="shared" si="170"/>
        <v>1.4583333322661929E-3</v>
      </c>
      <c r="N262" s="7">
        <f t="shared" si="167"/>
        <v>2.0999999984633178</v>
      </c>
      <c r="O262" s="7"/>
      <c r="P262" s="7"/>
      <c r="Q262" s="22"/>
      <c r="R262" s="170"/>
      <c r="S262" s="213">
        <f t="shared" si="168"/>
        <v>0</v>
      </c>
      <c r="T262" s="195" t="str">
        <f t="shared" si="171"/>
        <v>NorthBound</v>
      </c>
      <c r="U262" s="195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196" t="str">
        <f t="shared" si="151"/>
        <v>https://d0f6bd738d7f1b3e5a7ca70fe4ff75f0.us-east-1.aws.found.io/app/kibana#/discover/Steve-Slow-Train-Analysis-(2080s-and-2083s)?_g=(refreshInterval:(display:Off,pause:!f,section:0,value:0),time:(from:'2017-08-11T13:17:11-0600',mode:absolute,to:'2017-08-11T15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62" s="197" t="str">
        <f>IF(AA262&lt;VLOOKUP(AG262,Variables!$AC$3:$AD$8,2,FALSE),"Y","N")</f>
        <v>Y</v>
      </c>
      <c r="X262" s="197">
        <f t="shared" si="175"/>
        <v>0</v>
      </c>
      <c r="Y262" s="197">
        <f t="shared" si="177"/>
        <v>0.51190000000000002</v>
      </c>
      <c r="Z262" s="197">
        <f t="shared" si="176"/>
        <v>1.4500000000000001E-2</v>
      </c>
      <c r="AA262" s="197">
        <f t="shared" si="172"/>
        <v>0.49740000000000001</v>
      </c>
      <c r="AB262" s="54" t="e">
        <f>VLOOKUP(A262,Enforcements!$C$7:$K$12,8,0)</f>
        <v>#N/A</v>
      </c>
      <c r="AC262" s="51" t="e">
        <f>VLOOKUP(A262,Enforcements!$C$7:$E$12,3,0)</f>
        <v>#N/A</v>
      </c>
      <c r="AD262" s="206">
        <f t="shared" si="173"/>
        <v>75</v>
      </c>
      <c r="AE262" s="77" t="str">
        <f t="shared" si="152"/>
        <v>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 &amp; aws s3 cp s3://rtdc.mdm.uploadarchive.raw/RTDC4057/ "%USERPROFILE%\AppData\Local\Temp\OnboardLogs"\RTDC4057\2017-08-12 --exclude "*" --recursive --include "*20170812*" &amp; "%USERPROFILE%\Documents\GitHub\mrs-test-scripts\Headless Mode &amp; Sideloading\WalkAndUnGZ.bat" "%USERPROFILE%\AppData\Local\Temp\OnboardLogs"\RTDC4057\2017-08-12</v>
      </c>
      <c r="AF262" s="74" t="str">
        <f t="shared" si="153"/>
        <v>"C:\Program Files (x86)\AstroGrep\AstroGrep.exe" /e /r /s /spath="%USERPROFILE%\AppData\Local\Temp\OnboardLogs" /stypes="app*4057*20170811*" /stext=" 20:.+((SYSTEM_STATE.+slice.+state.+changed )|(ment ac)|(multiple cpu faults)|(system.+state.+changed )|(\[timeout)|(PRM\|1\|D)|(kpr)|(kdp)|(train st.+moving)|(\|lc)|(penalty))"</v>
      </c>
      <c r="AG262" s="209" t="str">
        <f t="shared" si="174"/>
        <v>Shuttle/Test</v>
      </c>
      <c r="AH262" s="78" t="str">
        <f t="shared" si="154"/>
        <v>"%USERPROFILE%\Documents\GitHub\eaglep3\Utilities\RefineRTDCRunTimes.py" --tripid 75-11 --locoid 4057 --swversion DE.1.0.9.0 --startMP 300:5119 --initTime 2017-08-11T14:17:11 --startdatetime 2017-08-11T14:20:42 --delay 2 --endMP 204:145 --enddatetime 2017-08-11T14:22:48 --enforcementcount 0 &gt;&gt;C:\Users\stu\Documents\GitHub\eaglep3-reporting\EC\2017-08-11-refined-times.txt</v>
      </c>
      <c r="AI262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0.0145"},{"id":17,"name":"Train ID","value":"75-11"},{"id":16,"name":"Locomotive ID","value":"4057"},{"id":130,"name":"Impact","value":""},{"id":150,"name":"Time of Event (Mountain Time)","value":"14:22:48"},{"id":151,"name":"Denver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20"/>
      <c r="AK262" s="47"/>
      <c r="AL262" s="47"/>
      <c r="AM262" s="142" t="str">
        <f t="shared" si="156"/>
        <v>start /low /b %USERPROFILE%\Documents\GitHub\eaglep3\Utilities\DownloadLogsFromS3.py --loco 4057 --day 2017-08-11</v>
      </c>
      <c r="AN262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20:22:48"},{"id":29,"name":"Sharepoint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2"/>
    </row>
    <row r="263" spans="1:41" x14ac:dyDescent="0.25">
      <c r="A263" s="32" t="s">
        <v>742</v>
      </c>
      <c r="B263" s="7">
        <v>4058</v>
      </c>
      <c r="C263" s="21" t="s">
        <v>198</v>
      </c>
      <c r="D263" s="21" t="s">
        <v>993</v>
      </c>
      <c r="E263" s="13">
        <v>42958.59070601852</v>
      </c>
      <c r="F263" s="13">
        <v>42958.597708333335</v>
      </c>
      <c r="G263" s="7">
        <v>1</v>
      </c>
      <c r="H263" s="21" t="s">
        <v>994</v>
      </c>
      <c r="I263" s="13">
        <v>42958.599166666667</v>
      </c>
      <c r="J263" s="7">
        <v>0</v>
      </c>
      <c r="K263" s="89" t="str">
        <f t="shared" si="169"/>
        <v>4057/4058</v>
      </c>
      <c r="L263" s="21" t="str">
        <f>VLOOKUP(A263,'Trips&amp;Operators'!$C$1:$G$99999,5,FALSE)</f>
        <v>GEBRETEKLE DAGNEW</v>
      </c>
      <c r="M263" s="6">
        <f t="shared" si="170"/>
        <v>1.4583333322661929E-3</v>
      </c>
      <c r="N263" s="7">
        <f t="shared" si="167"/>
        <v>2.0999999984633178</v>
      </c>
      <c r="O263" s="7"/>
      <c r="P263" s="7"/>
      <c r="Q263" s="22"/>
      <c r="R263" s="170"/>
      <c r="S263" s="213">
        <f t="shared" si="168"/>
        <v>0</v>
      </c>
      <c r="T263" s="195" t="str">
        <f t="shared" si="171"/>
        <v>NorthBound</v>
      </c>
      <c r="U263" s="195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196" t="str">
        <f t="shared" si="151"/>
        <v>https://d0f6bd738d7f1b3e5a7ca70fe4ff75f0.us-east-1.aws.found.io/app/kibana#/discover/Steve-Slow-Train-Analysis-(2080s-and-2083s)?_g=(refreshInterval:(display:Off,pause:!f,section:0,value:0),time:(from:'2017-08-11T13:10:37-0600',mode:absolute,to:'2017-08-11T15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63" s="197" t="str">
        <f>IF(AA263&lt;VLOOKUP(AG263,Variables!$AC$3:$AD$8,2,FALSE),"Y","N")</f>
        <v>Y</v>
      </c>
      <c r="X263" s="197">
        <f t="shared" si="175"/>
        <v>0</v>
      </c>
      <c r="Y263" s="197">
        <f t="shared" si="177"/>
        <v>0.1236</v>
      </c>
      <c r="Z263" s="197">
        <f t="shared" si="176"/>
        <v>0.53879999999999995</v>
      </c>
      <c r="AA263" s="197">
        <f t="shared" si="172"/>
        <v>0.41519999999999996</v>
      </c>
      <c r="AB263" s="54" t="e">
        <f>VLOOKUP(A263,Enforcements!$C$7:$K$12,8,0)</f>
        <v>#N/A</v>
      </c>
      <c r="AC263" s="51" t="e">
        <f>VLOOKUP(A263,Enforcements!$C$7:$E$12,3,0)</f>
        <v>#N/A</v>
      </c>
      <c r="AD263" s="206">
        <f t="shared" si="173"/>
        <v>75</v>
      </c>
      <c r="AE263" s="77" t="str">
        <f t="shared" si="152"/>
        <v>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 &amp; aws s3 cp s3://rtdc.mdm.uploadarchive.raw/RTDC4058/ "%USERPROFILE%\AppData\Local\Temp\OnboardLogs"\RTDC4058\2017-08-12 --exclude "*" --recursive --include "*20170812*" &amp; "%USERPROFILE%\Documents\GitHub\mrs-test-scripts\Headless Mode &amp; Sideloading\WalkAndUnGZ.bat" "%USERPROFILE%\AppData\Local\Temp\OnboardLogs"\RTDC4058\2017-08-12</v>
      </c>
      <c r="AF263" s="74" t="str">
        <f t="shared" si="153"/>
        <v>"C:\Program Files (x86)\AstroGrep\AstroGrep.exe" /e /r /s /spath="%USERPROFILE%\AppData\Local\Temp\OnboardLogs" /stypes="app*4058*20170811*" /stext=" 20:.+((SYSTEM_STATE.+slice.+state.+changed )|(ment ac)|(multiple cpu faults)|(system.+state.+changed )|(\[timeout)|(PRM\|1\|D)|(kpr)|(kdp)|(train st.+moving)|(\|lc)|(penalty))"</v>
      </c>
      <c r="AG263" s="209" t="str">
        <f t="shared" si="174"/>
        <v>Shuttle/Test</v>
      </c>
      <c r="AH263" s="78" t="str">
        <f t="shared" si="154"/>
        <v>"%USERPROFILE%\Documents\GitHub\eaglep3\Utilities\RefineRTDCRunTimes.py" --tripid 75-11 --locoid 4058 --swversion DE.1.0.9.0 --startMP 204:1236 --initTime 2017-08-11T14:10:37 --startdatetime 2017-08-11T14:20:42 --delay 1 --endMP 300:5388 --enddatetime 2017-08-11T14:22:48 --enforcementcount 0 &gt;&gt;C:\Users\stu\Documents\GitHub\eaglep3-reporting\EC\2017-08-11-refined-times.txt</v>
      </c>
      <c r="AI263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0.5388"},{"id":17,"name":"Train ID","value":"75-11"},{"id":16,"name":"Locomotive ID","value":"4058"},{"id":130,"name":"Impact","value":""},{"id":150,"name":"Time of Event (Mountain Time)","value":"14:22:48"},{"id":151,"name":"Denver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20"/>
      <c r="AK263" s="47"/>
      <c r="AL263" s="47"/>
      <c r="AM263" s="142" t="str">
        <f t="shared" si="156"/>
        <v>start /low /b %USERPROFILE%\Documents\GitHub\eaglep3\Utilities\DownloadLogsFromS3.py --loco 4058 --day 2017-08-11</v>
      </c>
      <c r="AN263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20:22:48"},{"id":29,"name":"Sharepoint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3"/>
    </row>
    <row r="264" spans="1:41" x14ac:dyDescent="0.25">
      <c r="A264" s="32" t="s">
        <v>742</v>
      </c>
      <c r="B264" s="7">
        <v>4062</v>
      </c>
      <c r="C264" s="21" t="s">
        <v>198</v>
      </c>
      <c r="D264" s="21" t="s">
        <v>999</v>
      </c>
      <c r="E264" s="13">
        <v>42958.723495370374</v>
      </c>
      <c r="F264" s="13">
        <v>42958.72761574074</v>
      </c>
      <c r="G264" s="7">
        <v>1</v>
      </c>
      <c r="H264" s="21" t="s">
        <v>345</v>
      </c>
      <c r="I264" s="13">
        <v>42958.733726851853</v>
      </c>
      <c r="J264" s="7">
        <v>0</v>
      </c>
      <c r="K264" s="89" t="str">
        <f t="shared" si="169"/>
        <v>4061/4062</v>
      </c>
      <c r="L264" s="21" t="str">
        <f>VLOOKUP(A264,'Trips&amp;Operators'!$C$1:$G$99999,5,FALSE)</f>
        <v>GEBRETEKLE DAGNEW</v>
      </c>
      <c r="M264" s="6">
        <f t="shared" si="170"/>
        <v>6.1111111135687679E-3</v>
      </c>
      <c r="N264" s="7">
        <f t="shared" si="167"/>
        <v>8.8000000035390258</v>
      </c>
      <c r="O264" s="7"/>
      <c r="P264" s="7"/>
      <c r="Q264" s="22"/>
      <c r="R264" s="170"/>
      <c r="S264" s="213">
        <f t="shared" si="168"/>
        <v>1</v>
      </c>
      <c r="T264" s="195" t="str">
        <f t="shared" si="171"/>
        <v>NorthBound</v>
      </c>
      <c r="U264" s="195">
        <f>IF(AG264="EC",COUNTIFS(Variables!$M$2:$M$19,IF(T264="NorthBound","&gt;=","&lt;=")&amp;Y264,Variables!$M$2:$M$19,IF(T264="NorthBound","&lt;=","&gt;=")&amp;Z264),COUNTIFS(Variables!$P$2:$P$19,IF(T264="NorthBound","&gt;=","&lt;=")&amp;Y264,Variables!$P$2:$P$19,IF(T264="NorthBound","&lt;=","&gt;=")&amp;Z264))</f>
        <v>1</v>
      </c>
      <c r="V264" s="196" t="str">
        <f t="shared" si="151"/>
        <v>https://d0f6bd738d7f1b3e5a7ca70fe4ff75f0.us-east-1.aws.found.io/app/kibana#/discover/Steve-Slow-Train-Analysis-(2080s-and-2083s)?_g=(refreshInterval:(display:Off,pause:!f,section:0,value:0),time:(from:'2017-08-11T16:21:50-0600',mode:absolute,to:'2017-08-11T18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64" s="197" t="str">
        <f>IF(AA264&lt;VLOOKUP(AG264,Variables!$AC$3:$AD$8,2,FALSE),"Y","N")</f>
        <v>Y</v>
      </c>
      <c r="X264" s="197">
        <f t="shared" si="175"/>
        <v>0</v>
      </c>
      <c r="Y264" s="197">
        <f t="shared" si="177"/>
        <v>4.2099999999999999E-2</v>
      </c>
      <c r="Z264" s="197">
        <f t="shared" si="176"/>
        <v>2.3346</v>
      </c>
      <c r="AA264" s="197">
        <f t="shared" si="172"/>
        <v>2.2925</v>
      </c>
      <c r="AB264" s="54" t="e">
        <f>VLOOKUP(A264,Enforcements!$C$7:$K$12,8,0)</f>
        <v>#N/A</v>
      </c>
      <c r="AC264" s="51" t="e">
        <f>VLOOKUP(A264,Enforcements!$C$7:$E$12,3,0)</f>
        <v>#N/A</v>
      </c>
      <c r="AD264" s="206">
        <f t="shared" si="173"/>
        <v>75</v>
      </c>
      <c r="AE264" s="77" t="str">
        <f t="shared" si="152"/>
        <v>aws s3 cp s3://rtdc.mdm.uploadarchive.raw/RTDC4062/ "%USERPROFILE%\AppData\Local\Temp\OnboardLogs"\RTDC4062\2017-08-11 --exclude "*" --recursive --include "*20170811*" &amp; "%USERPROFILE%\Documents\GitHub\mrs-test-scripts\Headless Mode &amp; Sideloading\WalkAndUnGZ.bat" "%USERPROFILE%\AppData\Local\Temp\OnboardLogs"\RTDC4062\2017-08-11 &amp; aws s3 cp s3://rtdc.mdm.uploadarchive.raw/RTDC4062/ "%USERPROFILE%\AppData\Local\Temp\OnboardLogs"\RTDC4062\2017-08-12 --exclude "*" --recursive --include "*20170812*" &amp; "%USERPROFILE%\Documents\GitHub\mrs-test-scripts\Headless Mode &amp; Sideloading\WalkAndUnGZ.bat" "%USERPROFILE%\AppData\Local\Temp\OnboardLogs"\RTDC4062\2017-08-12</v>
      </c>
      <c r="AF264" s="74" t="str">
        <f t="shared" si="153"/>
        <v>"C:\Program Files (x86)\AstroGrep\AstroGrep.exe" /e /r /s /spath="%USERPROFILE%\AppData\Local\Temp\OnboardLogs" /stypes="app*4062*20170811*" /stext=" 23:.+((SYSTEM_STATE.+slice.+state.+changed )|(ment ac)|(multiple cpu faults)|(system.+state.+changed )|(\[timeout)|(PRM\|1\|D)|(kpr)|(kdp)|(train st.+moving)|(\|lc)|(penalty))"</v>
      </c>
      <c r="AG264" s="209" t="str">
        <f t="shared" si="174"/>
        <v>Shuttle/Test</v>
      </c>
      <c r="AH264" s="78" t="str">
        <f t="shared" si="154"/>
        <v>"%USERPROFILE%\Documents\GitHub\eaglep3\Utilities\RefineRTDCRunTimes.py" --tripid 75-11 --locoid 4062 --swversion DE.1.0.9.0 --startMP 204:421 --initTime 2017-08-11T17:21:50 --startdatetime 2017-08-11T17:27:46 --delay 1 --endMP 300:23346 --enddatetime 2017-08-11T17:36:34 --enforcementcount 0 &gt;&gt;C:\Users\stu\Documents\GitHub\eaglep3-reporting\EC\2017-08-11-refined-times.txt</v>
      </c>
      <c r="AI264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2.3346"},{"id":17,"name":"Train ID","value":"75-11"},{"id":16,"name":"Locomotive ID","value":"4062"},{"id":130,"name":"Impact","value":""},{"id":150,"name":"Time of Event (Mountain Time)","value":"17:36:34"},{"id":151,"name":"Denver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4" s="20"/>
      <c r="AK264" s="47"/>
      <c r="AL264" s="47"/>
      <c r="AM264" s="142" t="str">
        <f t="shared" si="156"/>
        <v>start /low /b %USERPROFILE%\Documents\GitHub\eaglep3\Utilities\DownloadLogsFromS3.py --loco 4062 --day 2017-08-11</v>
      </c>
      <c r="AN264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23:36:34"},{"id":29,"name":"Sharepoint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4"/>
    </row>
    <row r="265" spans="1:41" x14ac:dyDescent="0.25">
      <c r="A265" s="32" t="s">
        <v>800</v>
      </c>
      <c r="B265" s="7">
        <v>4066</v>
      </c>
      <c r="C265" s="21" t="s">
        <v>198</v>
      </c>
      <c r="D265" s="21" t="s">
        <v>1000</v>
      </c>
      <c r="E265" s="13">
        <v>42958.678506944445</v>
      </c>
      <c r="F265" s="13">
        <v>42958.684745370374</v>
      </c>
      <c r="G265" s="7">
        <v>1</v>
      </c>
      <c r="H265" s="21" t="s">
        <v>585</v>
      </c>
      <c r="I265" s="13">
        <v>42958.690752314818</v>
      </c>
      <c r="J265" s="7">
        <v>0</v>
      </c>
      <c r="K265" s="89" t="str">
        <f t="shared" si="169"/>
        <v>4065/4066</v>
      </c>
      <c r="L265" s="21" t="str">
        <f>VLOOKUP(A265,'Trips&amp;Operators'!$C$1:$G$99999,5,FALSE)</f>
        <v>YORK EDGAR</v>
      </c>
      <c r="M265" s="6">
        <f t="shared" si="170"/>
        <v>6.0069444443797693E-3</v>
      </c>
      <c r="N265" s="7">
        <f t="shared" si="167"/>
        <v>8.6499999999068677</v>
      </c>
      <c r="O265" s="7"/>
      <c r="P265" s="7"/>
      <c r="Q265" s="22"/>
      <c r="R265" s="170"/>
      <c r="S265" s="213">
        <f t="shared" si="168"/>
        <v>1</v>
      </c>
      <c r="T265" s="195" t="str">
        <f t="shared" si="171"/>
        <v>NorthBound</v>
      </c>
      <c r="U265" s="195">
        <f>IF(AG265="EC",COUNTIFS(Variables!$M$2:$M$19,IF(T265="NorthBound","&gt;=","&lt;=")&amp;Y265,Variables!$M$2:$M$19,IF(T265="NorthBound","&lt;=","&gt;=")&amp;Z265),COUNTIFS(Variables!$P$2:$P$19,IF(T265="NorthBound","&gt;=","&lt;=")&amp;Y265,Variables!$P$2:$P$19,IF(T265="NorthBound","&lt;=","&gt;=")&amp;Z265))</f>
        <v>1</v>
      </c>
      <c r="V265" s="196" t="str">
        <f t="shared" si="151"/>
        <v>https://d0f6bd738d7f1b3e5a7ca70fe4ff75f0.us-east-1.aws.found.io/app/kibana#/discover/Steve-Slow-Train-Analysis-(2080s-and-2083s)?_g=(refreshInterval:(display:Off,pause:!f,section:0,value:0),time:(from:'2017-08-11T15:17:03-0600',mode:absolute,to:'2017-08-11T17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65" s="197" t="str">
        <f>IF(AA265&lt;VLOOKUP(AG265,Variables!$AC$3:$AD$8,2,FALSE),"Y","N")</f>
        <v>Y</v>
      </c>
      <c r="X265" s="197">
        <f t="shared" si="175"/>
        <v>2</v>
      </c>
      <c r="Y265" s="197">
        <f t="shared" si="177"/>
        <v>0.1186</v>
      </c>
      <c r="Z265" s="197">
        <f t="shared" si="176"/>
        <v>2.3304</v>
      </c>
      <c r="AA265" s="197">
        <f t="shared" si="172"/>
        <v>2.2118000000000002</v>
      </c>
      <c r="AB265" s="54" t="e">
        <f>VLOOKUP(A265,Enforcements!$C$7:$K$12,8,0)</f>
        <v>#N/A</v>
      </c>
      <c r="AC265" s="51" t="e">
        <f>VLOOKUP(A265,Enforcements!$C$7:$E$12,3,0)</f>
        <v>#N/A</v>
      </c>
      <c r="AD265" s="206">
        <f t="shared" si="173"/>
        <v>77</v>
      </c>
      <c r="AE265" s="77" t="str">
        <f t="shared" si="152"/>
        <v>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 &amp; aws s3 cp s3://rtdc.mdm.uploadarchive.raw/RTDC4066/ "%USERPROFILE%\AppData\Local\Temp\OnboardLogs"\RTDC4066\2017-08-12 --exclude "*" --recursive --include "*20170812*" &amp; "%USERPROFILE%\Documents\GitHub\mrs-test-scripts\Headless Mode &amp; Sideloading\WalkAndUnGZ.bat" "%USERPROFILE%\AppData\Local\Temp\OnboardLogs"\RTDC4066\2017-08-12</v>
      </c>
      <c r="AF265" s="74" t="str">
        <f t="shared" si="153"/>
        <v>"C:\Program Files (x86)\AstroGrep\AstroGrep.exe" /e /r /s /spath="%USERPROFILE%\AppData\Local\Temp\OnboardLogs" /stypes="app*4066*20170811*" /stext=" 22:.+((SYSTEM_STATE.+slice.+state.+changed )|(ment ac)|(multiple cpu faults)|(system.+state.+changed )|(\[timeout)|(PRM\|1\|D)|(kpr)|(kdp)|(train st.+moving)|(\|lc)|(penalty))"</v>
      </c>
      <c r="AG265" s="209" t="str">
        <f t="shared" si="174"/>
        <v>Shuttle/Test</v>
      </c>
      <c r="AH265" s="78" t="str">
        <f t="shared" si="154"/>
        <v>"%USERPROFILE%\Documents\GitHub\eaglep3\Utilities\RefineRTDCRunTimes.py" --tripid 77-11 --locoid 4066 --swversion DE.1.0.9.0 --startMP 204:1186 --initTime 2017-08-11T16:17:03 --startdatetime 2017-08-11T16:26:02 --delay 1 --endMP 300:23304 --enddatetime 2017-08-11T16:34:41 --enforcementcount 0 &gt;&gt;C:\Users\stu\Documents\GitHub\eaglep3-reporting\EC\2017-08-11-refined-times.txt</v>
      </c>
      <c r="AI265" s="96" t="str">
        <f t="shared" si="155"/>
        <v>echo {"issue":{"subject":"","project_id":79,"tracker_id":40,"status_id":1,"priority_id":2,"assigned_to_id":23,"start_date":"2017-08-11","description":"","custom_fields":[{"id":1,"name":"Subdivision","value":"Shuttle/Test"},{"id":4,"name":"Milepost","value":"2.3304"},{"id":17,"name":"Train ID","value":"77-11"},{"id":16,"name":"Locomotive ID","value":"4066"},{"id":130,"name":"Impact","value":""},{"id":150,"name":"Time of Event (Mountain Time)","value":"16:34:41"},{"id":151,"name":"Denver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5" s="20"/>
      <c r="AK265" s="47"/>
      <c r="AL265" s="47"/>
      <c r="AM265" s="142" t="str">
        <f t="shared" si="156"/>
        <v>start /low /b %USERPROFILE%\Documents\GitHub\eaglep3\Utilities\DownloadLogsFromS3.py --loco 4066 --day 2017-08-11</v>
      </c>
      <c r="AN265" s="151" t="str">
        <f t="shared" si="157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22:34:41"},{"id":29,"name":"Sharepoint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4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4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4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4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4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4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4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4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4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4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4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4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4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4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4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4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4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4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4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4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4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4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4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4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4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4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4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4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4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4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4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4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4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4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</sheetData>
  <autoFilter ref="A12:AG265"/>
  <sortState ref="A13:AN211">
    <sortCondition ref="AG13:AG211"/>
    <sortCondition ref="AD13:AD211"/>
  </sortState>
  <mergeCells count="1">
    <mergeCell ref="A11:P11"/>
  </mergeCells>
  <conditionalFormatting sqref="W11:W12 W313:X1048576 W13:X265">
    <cfRule type="cellIs" dxfId="10" priority="415" operator="equal">
      <formula>"Y"</formula>
    </cfRule>
  </conditionalFormatting>
  <conditionalFormatting sqref="X313:X1048576 X13:X265">
    <cfRule type="cellIs" dxfId="9" priority="398" operator="greaterThan">
      <formula>1</formula>
    </cfRule>
  </conditionalFormatting>
  <conditionalFormatting sqref="X313:X1048576 X12:X265">
    <cfRule type="cellIs" dxfId="8" priority="395" operator="equal">
      <formula>0</formula>
    </cfRule>
  </conditionalFormatting>
  <conditionalFormatting sqref="A13:S265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A13:S265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A13:S265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AK13:AK265</xm:sqref>
        </x14:dataValidation>
        <x14:dataValidation type="list" allowBlank="1" showInputMessage="1" showErrorMessage="1">
          <x14:formula1>
            <xm:f>'Redmine List Values'!$C$2:$C$15</xm:f>
          </x14:formula1>
          <xm:sqref>AL13:AL265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opLeftCell="A2" workbookViewId="0">
      <selection activeCell="C24" sqref="C24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COUNTIF($O$7:$O$260,"=Y")</f>
        <v>11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COUNTA($O$7:$O$260)-O2</f>
        <v>37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- 2017-08-11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401</v>
      </c>
      <c r="X6" s="208" t="s">
        <v>394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42958.296469907407</v>
      </c>
      <c r="B7" s="30" t="s">
        <v>361</v>
      </c>
      <c r="C7" s="30" t="s">
        <v>608</v>
      </c>
      <c r="D7" s="30" t="s">
        <v>49</v>
      </c>
      <c r="E7" s="30" t="s">
        <v>187</v>
      </c>
      <c r="F7" s="42">
        <v>0</v>
      </c>
      <c r="G7" s="42">
        <v>225</v>
      </c>
      <c r="H7" s="42">
        <v>27000</v>
      </c>
      <c r="I7" s="42">
        <v>27265</v>
      </c>
      <c r="J7" s="30" t="s">
        <v>188</v>
      </c>
      <c r="K7" s="42">
        <v>27053</v>
      </c>
      <c r="L7" s="131" t="s">
        <v>50</v>
      </c>
      <c r="M7" s="132">
        <f t="shared" ref="M7:M54" si="0">CONVERT((I7-K7)/10000,"mi","ft")*IF(L7="Increasing Mileposts (1)",-1,1)</f>
        <v>-111.93600000000001</v>
      </c>
      <c r="N7" s="133" t="str">
        <f>VLOOKUP(C7,'Trips&amp;Operators'!$C$1:$G$99999,5,FALSE)</f>
        <v>DAVIDSON DAVID</v>
      </c>
      <c r="O7" s="203" t="s">
        <v>180</v>
      </c>
      <c r="P7" s="134" t="s">
        <v>551</v>
      </c>
      <c r="Q7" s="30"/>
      <c r="R7" s="81" t="str">
        <f>VLOOKUP(C7,'Train Runs'!$A$13:$AE$9914,31,0)</f>
        <v>aws s3 cp s3://rtdc.mdm.uploadarchive.raw/RTDC4014/ "%USERPROFILE%\AppData\Local\Temp\OnboardLogs"\RTDC4014\2017-08-11 --exclude "*" --recursive --include "*20170811*" &amp; "%USERPROFILE%\Documents\GitHub\mrs-test-scripts\Headless Mode &amp; Sideloading\WalkAndUnGZ.bat" "%USERPROFILE%\AppData\Local\Temp\OnboardLogs"\RTDC4014\2017-08-11 &amp; 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</v>
      </c>
      <c r="S7" s="84" t="str">
        <f>VLOOKUP(C7,'Train Runs'!$A$13:$AE$9914,22,0)</f>
        <v>https://d0f6bd738d7f1b3e5a7ca70fe4ff75f0.us-east-1.aws.found.io/app/kibana#/discover/Steve-Slow-Train-Analysis-(2080s-and-2083s)?_g=(refreshInterval:(display:Off,pause:!f,section:0,value:0),time:(from:'2017-08-11T05:53:59-0600',mode:absolute,to:'2017-08-11T08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7" s="86" t="str">
        <f t="shared" ref="T7:T5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/stypes="*4014*201708111*" /stext=" 13:.+((SYSTEM_STATE.+slice.+state.+changed )|(ment ac)|(multiple cpu faults)|(system.+state.+changed )|(\[timeout)|(PRM\|1\|D)|(kpr)|(kdp)|(train st.+moving)|(\|lc)|(penalty))"</v>
      </c>
      <c r="U7" s="9" t="str">
        <f t="shared" ref="U7:U54" si="2">MID(B7,13,4)</f>
        <v>4014</v>
      </c>
      <c r="V7" s="31">
        <f t="shared" ref="V7:V54" si="3">A7-utc_offset/24</f>
        <v>42958.546469907407</v>
      </c>
      <c r="W7" s="45" t="str">
        <f t="shared" ref="W7:W54" si="4">DetSubdiv(C7)</f>
        <v>EC</v>
      </c>
      <c r="X7" s="22">
        <f t="shared" ref="X7:X54" si="5">VALUE(LEFT(C7,LEN(C7)-3))</f>
        <v>127</v>
      </c>
      <c r="Y7" s="96" t="str">
        <f t="shared" ref="Y7:Y5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Arrival","project_id":79,"tracker_id":40,"status_id":1,"priority_id":2,"assigned_to_id":23,"start_date":"2017-08-11","description":"","custom_fields":[{"id":1,"name":"Subdivision","value":"EC"},{"id":4,"name":"Milepost","value":"2.7053"},{"id":17,"name":"Train ID","value":"127-11"},{"id":16,"name":"Locomotive ID","value":"4014"},{"id":130,"name":"Impact","value":""},{"id":150,"name":"Time of Event (Mountain Time)","value":"07:06:55"},{"id":151,"name":"Denver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54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/c/Users/stu/AppData/Local/Temp/OnboardLogs/RTDC4014 --include="*4014*201708111*"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"%USERPROFILE%\AppData\Local\Temp\OnboardLogs"\RTDC4014\*4014*201708111* &gt;&gt; 2017-08-11-SliceDisagreementCheck.txt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4014 --day 2017-08-11</v>
      </c>
    </row>
    <row r="8" spans="1:32" s="1" customFormat="1" x14ac:dyDescent="0.25">
      <c r="A8" s="31">
        <v>42958.310983796298</v>
      </c>
      <c r="B8" s="30" t="s">
        <v>549</v>
      </c>
      <c r="C8" s="30" t="s">
        <v>610</v>
      </c>
      <c r="D8" s="30" t="s">
        <v>49</v>
      </c>
      <c r="E8" s="30" t="s">
        <v>187</v>
      </c>
      <c r="F8" s="42">
        <v>0</v>
      </c>
      <c r="G8" s="42">
        <v>206</v>
      </c>
      <c r="H8" s="42">
        <v>31089</v>
      </c>
      <c r="I8" s="42">
        <v>30744</v>
      </c>
      <c r="J8" s="30" t="s">
        <v>188</v>
      </c>
      <c r="K8" s="42">
        <v>30970</v>
      </c>
      <c r="L8" s="131" t="s">
        <v>51</v>
      </c>
      <c r="M8" s="132">
        <f t="shared" si="0"/>
        <v>-119.328</v>
      </c>
      <c r="N8" s="133" t="str">
        <f>VLOOKUP(C8,'Trips&amp;Operators'!$C$1:$G$99999,5,FALSE)</f>
        <v>GUNTHIER ERIC</v>
      </c>
      <c r="O8" s="203" t="s">
        <v>180</v>
      </c>
      <c r="P8" s="134" t="s">
        <v>551</v>
      </c>
      <c r="Q8" s="30"/>
      <c r="R8" s="81" t="str">
        <f>VLOOKUP(C8,'Train Runs'!$A$13:$AE$9914,31,0)</f>
        <v>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 &amp; aws s3 cp s3://rtdc.mdm.uploadarchive.raw/RTDC4065/ "%USERPROFILE%\AppData\Local\Temp\OnboardLogs"\RTDC4065\2017-08-12 --exclude "*" --recursive --include "*20170812*" &amp; "%USERPROFILE%\Documents\GitHub\mrs-test-scripts\Headless Mode &amp; Sideloading\WalkAndUnGZ.bat" "%USERPROFILE%\AppData\Local\Temp\OnboardLogs"\RTDC4065\2017-08-12</v>
      </c>
      <c r="S8" s="84" t="str">
        <f>VLOOKUP(C8,'Train Runs'!$A$13:$AE$9914,22,0)</f>
        <v>https://d0f6bd738d7f1b3e5a7ca70fe4ff75f0.us-east-1.aws.found.io/app/kibana#/discover/Steve-Slow-Train-Analysis-(2080s-and-2083s)?_g=(refreshInterval:(display:Off,pause:!f,section:0,value:0),time:(from:'2017-08-11T05:54:12-0600',mode:absolute,to:'2017-08-11T08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8" s="86" t="str">
        <f t="shared" si="1"/>
        <v>"C:\Program Files (x86)\AstroGrep\AstroGrep.exe" /e /r /s /spath="%USERPROFILE%\AppData\Local\Temp\OnboardLogs" /stypes="*4065*201708111*" /stext=" 13:.+((SYSTEM_STATE.+slice.+state.+changed )|(ment ac)|(multiple cpu faults)|(system.+state.+changed )|(\[timeout)|(PRM\|1\|D)|(kpr)|(kdp)|(train st.+moving)|(\|lc)|(penalty))"</v>
      </c>
      <c r="U8" s="9" t="str">
        <f t="shared" si="2"/>
        <v>4065</v>
      </c>
      <c r="V8" s="31">
        <f t="shared" si="3"/>
        <v>42958.560983796298</v>
      </c>
      <c r="W8" s="45" t="str">
        <f t="shared" si="4"/>
        <v>EC</v>
      </c>
      <c r="X8" s="22">
        <f t="shared" si="5"/>
        <v>120</v>
      </c>
      <c r="Y8" s="96" t="str">
        <f t="shared" si="6"/>
        <v>echo {"issue":{"subject":"Early Arrival","project_id":79,"tracker_id":40,"status_id":1,"priority_id":2,"assigned_to_id":23,"start_date":"2017-08-11","description":"","custom_fields":[{"id":1,"name":"Subdivision","value":"EC"},{"id":4,"name":"Milepost","value":"3.097"},{"id":17,"name":"Train ID","value":"120-11"},{"id":16,"name":"Locomotive ID","value":"4065"},{"id":130,"name":"Impact","value":""},{"id":150,"name":"Time of Event (Mountain Time)","value":"07:27:49"},{"id":151,"name":"Denver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/c/Users/stu/AppData/Local/Temp/OnboardLogs/RTDC4065 --include="*4065*201708111*"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"%USERPROFILE%\AppData\Local\Temp\OnboardLogs"\RTDC4065\*4065*201708111* &gt;&gt; 2017-08-11-SliceDisagreementCheck.txt</v>
      </c>
      <c r="AE8" s="145" t="str">
        <f t="shared" ref="AE8:AE54" si="9">"start /low /b "&amp;dls3logs&amp;" --loco "&amp;U8&amp;" --day "&amp;TEXT(V8,"YYYY-MM-DD")</f>
        <v>start /low /b %USERPROFILE%\Documents\GitHub\eaglep3\Utilities\DownloadLogsFromS3.py --loco 4065 --day 2017-08-11</v>
      </c>
    </row>
    <row r="9" spans="1:32" s="1" customFormat="1" x14ac:dyDescent="0.25">
      <c r="A9" s="31">
        <v>42958.591249999998</v>
      </c>
      <c r="B9" s="30" t="s">
        <v>361</v>
      </c>
      <c r="C9" s="30" t="s">
        <v>623</v>
      </c>
      <c r="D9" s="30" t="s">
        <v>49</v>
      </c>
      <c r="E9" s="30" t="s">
        <v>187</v>
      </c>
      <c r="F9" s="42">
        <v>0</v>
      </c>
      <c r="G9" s="42">
        <v>364</v>
      </c>
      <c r="H9" s="42">
        <v>42393</v>
      </c>
      <c r="I9" s="42">
        <v>43345</v>
      </c>
      <c r="J9" s="30" t="s">
        <v>188</v>
      </c>
      <c r="K9" s="42">
        <v>42779</v>
      </c>
      <c r="L9" s="131" t="s">
        <v>50</v>
      </c>
      <c r="M9" s="132">
        <f t="shared" si="0"/>
        <v>-298.84800000000001</v>
      </c>
      <c r="N9" s="133" t="str">
        <f>VLOOKUP(C9,'Trips&amp;Operators'!$C$1:$G$99999,5,FALSE)</f>
        <v>LEVIN SCOTT</v>
      </c>
      <c r="O9" s="203" t="s">
        <v>180</v>
      </c>
      <c r="P9" s="134" t="s">
        <v>551</v>
      </c>
      <c r="Q9" s="30"/>
      <c r="R9" s="81" t="str">
        <f>VLOOKUP(C9,'Train Runs'!$A$13:$AE$9914,31,0)</f>
        <v>aws s3 cp s3://rtdc.mdm.uploadarchive.raw/RTDC4014/ "%USERPROFILE%\AppData\Local\Temp\OnboardLogs"\RTDC4014\2017-08-11 --exclude "*" --recursive --include "*20170811*" &amp; "%USERPROFILE%\Documents\GitHub\mrs-test-scripts\Headless Mode &amp; Sideloading\WalkAndUnGZ.bat" "%USERPROFILE%\AppData\Local\Temp\OnboardLogs"\RTDC4014\2017-08-11 &amp; 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</v>
      </c>
      <c r="S9" s="84" t="str">
        <f>VLOOKUP(C9,'Train Runs'!$A$13:$AE$9914,22,0)</f>
        <v>https://d0f6bd738d7f1b3e5a7ca70fe4ff75f0.us-east-1.aws.found.io/app/kibana#/discover/Steve-Slow-Train-Analysis-(2080s-and-2083s)?_g=(refreshInterval:(display:Off,pause:!f,section:0,value:0),time:(from:'2017-08-11T12:55:23-0600',mode:absolute,to:'2017-08-11T15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9" s="86" t="str">
        <f t="shared" si="1"/>
        <v>"C:\Program Files (x86)\AstroGrep\AstroGrep.exe" /e /r /s /spath="%USERPROFILE%\AppData\Local\Temp\OnboardLogs" /stypes="*4014*201708112*" /stext=" 20:.+((SYSTEM_STATE.+slice.+state.+changed )|(ment ac)|(multiple cpu faults)|(system.+state.+changed )|(\[timeout)|(PRM\|1\|D)|(kpr)|(kdp)|(train st.+moving)|(\|lc)|(penalty))"</v>
      </c>
      <c r="U9" s="9" t="str">
        <f t="shared" si="2"/>
        <v>4014</v>
      </c>
      <c r="V9" s="31">
        <f t="shared" si="3"/>
        <v>42958.841249999998</v>
      </c>
      <c r="W9" s="45" t="str">
        <f t="shared" si="4"/>
        <v>EC</v>
      </c>
      <c r="X9" s="22">
        <f t="shared" si="5"/>
        <v>183</v>
      </c>
      <c r="Y9" s="96" t="str">
        <f t="shared" si="6"/>
        <v>echo {"issue":{"subject":"Early Arrival","project_id":79,"tracker_id":40,"status_id":1,"priority_id":2,"assigned_to_id":23,"start_date":"2017-08-11","description":"","custom_fields":[{"id":1,"name":"Subdivision","value":"EC"},{"id":4,"name":"Milepost","value":"4.2779"},{"id":17,"name":"Train ID","value":"183-11"},{"id":16,"name":"Locomotive ID","value":"4014"},{"id":130,"name":"Impact","value":""},{"id":150,"name":"Time of Event (Mountain Time)","value":"14:11:24"},{"id":151,"name":"Denver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/c/Users/stu/AppData/Local/Temp/OnboardLogs/RTDC4014 --include="*4014*201708112*"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"%USERPROFILE%\AppData\Local\Temp\OnboardLogs"\RTDC4014\*4014*201708112* &gt;&gt; 2017-08-11-SliceDisagreementCheck.txt</v>
      </c>
      <c r="AE9" s="145" t="str">
        <f t="shared" si="9"/>
        <v>start /low /b %USERPROFILE%\Documents\GitHub\eaglep3\Utilities\DownloadLogsFromS3.py --loco 4014 --day 2017-08-11</v>
      </c>
    </row>
    <row r="10" spans="1:32" s="1" customFormat="1" x14ac:dyDescent="0.25">
      <c r="A10" s="31">
        <v>42958.946909722225</v>
      </c>
      <c r="B10" s="30" t="s">
        <v>508</v>
      </c>
      <c r="C10" s="30" t="s">
        <v>639</v>
      </c>
      <c r="D10" s="30" t="s">
        <v>49</v>
      </c>
      <c r="E10" s="30" t="s">
        <v>187</v>
      </c>
      <c r="F10" s="42">
        <v>0</v>
      </c>
      <c r="G10" s="42">
        <v>352</v>
      </c>
      <c r="H10" s="42">
        <v>56523</v>
      </c>
      <c r="I10" s="42">
        <v>57208</v>
      </c>
      <c r="J10" s="30" t="s">
        <v>188</v>
      </c>
      <c r="K10" s="42">
        <v>58117</v>
      </c>
      <c r="L10" s="131" t="s">
        <v>50</v>
      </c>
      <c r="M10" s="132">
        <f t="shared" si="0"/>
        <v>479.952</v>
      </c>
      <c r="N10" s="133" t="str">
        <f>VLOOKUP(C10,'Trips&amp;Operators'!$C$1:$G$99999,5,FALSE)</f>
        <v>FORTUNATO FRANK</v>
      </c>
      <c r="O10" s="203" t="s">
        <v>180</v>
      </c>
      <c r="P10" s="134" t="s">
        <v>1109</v>
      </c>
      <c r="Q10" s="30"/>
      <c r="R10" s="81" t="str">
        <f>VLOOKUP(C10,'Train Runs'!$A$13:$AE$9914,31,0)</f>
        <v>aws s3 cp s3://rtdc.mdm.uploadarchive.raw/RTDC4020/ "%USERPROFILE%\AppData\Local\Temp\OnboardLogs"\RTDC4020\2017-08-11 --exclude "*" --recursive --include "*20170811*" &amp; "%USERPROFILE%\Documents\GitHub\mrs-test-scripts\Headless Mode &amp; Sideloading\WalkAndUnGZ.bat" "%USERPROFILE%\AppData\Local\Temp\OnboardLogs"\RTDC4020\2017-08-11 &amp; aws s3 cp s3://rtdc.mdm.uploadarchive.raw/RTDC4020/ "%USERPROFILE%\AppData\Local\Temp\OnboardLogs"\RTDC4020\2017-08-12 --exclude "*" --recursive --include "*20170812*" &amp; "%USERPROFILE%\Documents\GitHub\mrs-test-scripts\Headless Mode &amp; Sideloading\WalkAndUnGZ.bat" "%USERPROFILE%\AppData\Local\Temp\OnboardLogs"\RTDC4020\2017-08-12</v>
      </c>
      <c r="S10" s="84" t="str">
        <f>VLOOKUP(C10,'Train Runs'!$A$13:$AE$9914,22,0)</f>
        <v>https://d0f6bd738d7f1b3e5a7ca70fe4ff75f0.us-east-1.aws.found.io/app/kibana#/discover/Steve-Slow-Train-Analysis-(2080s-and-2083s)?_g=(refreshInterval:(display:Off,pause:!f,section:0,value:0),time:(from:'2017-08-11T21:10:27-0600',mode:absolute,to:'2017-08-12T00:11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0" s="86" t="str">
        <f t="shared" si="1"/>
        <v>"C:\Program Files (x86)\AstroGrep\AstroGrep.exe" /e /r /s /spath="%USERPROFILE%\AppData\Local\Temp\OnboardLogs" /stypes="*4020*201708120*" /stext=" 04:.+((SYSTEM_STATE.+slice.+state.+changed )|(ment ac)|(multiple cpu faults)|(system.+state.+changed )|(\[timeout)|(PRM\|1\|D)|(kpr)|(kdp)|(train st.+moving)|(\|lc)|(penalty))"</v>
      </c>
      <c r="U10" s="9" t="str">
        <f t="shared" si="2"/>
        <v>4020</v>
      </c>
      <c r="V10" s="31">
        <f t="shared" si="3"/>
        <v>42959.196909722225</v>
      </c>
      <c r="W10" s="45" t="str">
        <f t="shared" si="4"/>
        <v>EC</v>
      </c>
      <c r="X10" s="22">
        <f t="shared" si="5"/>
        <v>235</v>
      </c>
      <c r="Y10" s="96" t="str">
        <f t="shared" si="6"/>
        <v>echo {"issue":{"subject":"Form C","project_id":79,"tracker_id":40,"status_id":1,"priority_id":2,"assigned_to_id":23,"start_date":"2017-08-11","description":"","custom_fields":[{"id":1,"name":"Subdivision","value":"EC"},{"id":4,"name":"Milepost","value":"5.8117"},{"id":17,"name":"Train ID","value":"235-11"},{"id":16,"name":"Locomotive ID","value":"4020"},{"id":130,"name":"Impact","value":""},{"id":150,"name":"Time of Event (Mountain Time)","value":"22:43:33"},{"id":151,"name":"Denver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/c/Users/stu/AppData/Local/Temp/OnboardLogs/RTDC4020 --include="*4020*201708120*"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"%USERPROFILE%\AppData\Local\Temp\OnboardLogs"\RTDC4020\*4020*201708120* &gt;&gt; 2017-08-11-SliceDisagreementCheck.txt</v>
      </c>
      <c r="AE10" s="145" t="str">
        <f t="shared" si="9"/>
        <v>start /low /b %USERPROFILE%\Documents\GitHub\eaglep3\Utilities\DownloadLogsFromS3.py --loco 4020 --day 2017-08-12</v>
      </c>
    </row>
    <row r="11" spans="1:32" s="1" customFormat="1" x14ac:dyDescent="0.25">
      <c r="A11" s="31">
        <v>42958.280972222223</v>
      </c>
      <c r="B11" s="30" t="s">
        <v>506</v>
      </c>
      <c r="C11" s="30" t="s">
        <v>607</v>
      </c>
      <c r="D11" s="30" t="s">
        <v>49</v>
      </c>
      <c r="E11" s="30" t="s">
        <v>187</v>
      </c>
      <c r="F11" s="42">
        <v>380</v>
      </c>
      <c r="G11" s="42">
        <v>446</v>
      </c>
      <c r="H11" s="42">
        <v>110251</v>
      </c>
      <c r="I11" s="42">
        <v>108770</v>
      </c>
      <c r="J11" s="30" t="s">
        <v>188</v>
      </c>
      <c r="K11" s="42">
        <v>109135</v>
      </c>
      <c r="L11" s="131" t="s">
        <v>51</v>
      </c>
      <c r="M11" s="132">
        <f t="shared" si="0"/>
        <v>-192.72</v>
      </c>
      <c r="N11" s="133" t="str">
        <f>VLOOKUP(C11,'Trips&amp;Operators'!$C$1:$G$99999,5,FALSE)</f>
        <v>WILLIAMS DONTE</v>
      </c>
      <c r="O11" s="203" t="s">
        <v>180</v>
      </c>
      <c r="P11" s="134" t="s">
        <v>551</v>
      </c>
      <c r="Q11" s="30"/>
      <c r="R11" s="81" t="str">
        <f>VLOOKUP(C11,'Train Runs'!$A$13:$AE$9914,31,0)</f>
        <v>aws s3 cp s3://rtdc.mdm.uploadarchive.raw/RTDC4011/ "%USERPROFILE%\AppData\Local\Temp\OnboardLogs"\RTDC4011\2017-08-11 --exclude "*" --recursive --include "*20170811*" &amp; "%USERPROFILE%\Documents\GitHub\mrs-test-scripts\Headless Mode &amp; Sideloading\WalkAndUnGZ.bat" "%USERPROFILE%\AppData\Local\Temp\OnboardLogs"\RTDC4011\2017-08-11 &amp; aws s3 cp s3://rtdc.mdm.uploadarchive.raw/RTDC4011/ "%USERPROFILE%\AppData\Local\Temp\OnboardLogs"\RTDC4011\2017-08-12 --exclude "*" --recursive --include "*20170812*" &amp; "%USERPROFILE%\Documents\GitHub\mrs-test-scripts\Headless Mode &amp; Sideloading\WalkAndUnGZ.bat" "%USERPROFILE%\AppData\Local\Temp\OnboardLogs"\RTDC4011\2017-08-12</v>
      </c>
      <c r="S11" s="84" t="str">
        <f>VLOOKUP(C11,'Train Runs'!$A$13:$AE$9914,22,0)</f>
        <v>https://d0f6bd738d7f1b3e5a7ca70fe4ff75f0.us-east-1.aws.found.io/app/kibana#/discover/Steve-Slow-Train-Analysis-(2080s-and-2083s)?_g=(refreshInterval:(display:Off,pause:!f,section:0,value:0),time:(from:'2017-08-11T05:23:10-0600',mode:absolute,to:'2017-08-11T08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1" s="86" t="str">
        <f t="shared" si="1"/>
        <v>"C:\Program Files (x86)\AstroGrep\AstroGrep.exe" /e /r /s /spath="%USERPROFILE%\AppData\Local\Temp\OnboardLogs" /stypes="*4011*201708111*" /stext=" 12:.+((SYSTEM_STATE.+slice.+state.+changed )|(ment ac)|(multiple cpu faults)|(system.+state.+changed )|(\[timeout)|(PRM\|1\|D)|(kpr)|(kdp)|(train st.+moving)|(\|lc)|(penalty))"</v>
      </c>
      <c r="U11" s="9" t="str">
        <f t="shared" si="2"/>
        <v>4011</v>
      </c>
      <c r="V11" s="31">
        <f t="shared" si="3"/>
        <v>42958.530972222223</v>
      </c>
      <c r="W11" s="45" t="str">
        <f t="shared" si="4"/>
        <v>EC</v>
      </c>
      <c r="X11" s="22">
        <f t="shared" si="5"/>
        <v>116</v>
      </c>
      <c r="Y11" s="96" t="str">
        <f t="shared" si="6"/>
        <v>echo {"issue":{"subject":"Early Arrival","project_id":79,"tracker_id":40,"status_id":1,"priority_id":2,"assigned_to_id":23,"start_date":"2017-08-11","description":"","custom_fields":[{"id":1,"name":"Subdivision","value":"EC"},{"id":4,"name":"Milepost","value":"10.9135"},{"id":17,"name":"Train ID","value":"116-11"},{"id":16,"name":"Locomotive ID","value":"4011"},{"id":130,"name":"Impact","value":""},{"id":150,"name":"Time of Event (Mountain Time)","value":"06:44:36"},{"id":151,"name":"Denver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/c/Users/stu/AppData/Local/Temp/OnboardLogs/RTDC4011 --include="*4011*201708111*"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"%USERPROFILE%\AppData\Local\Temp\OnboardLogs"\RTDC4011\*4011*201708111* &gt;&gt; 2017-08-11-SliceDisagreementCheck.txt</v>
      </c>
      <c r="AE11" s="145" t="str">
        <f t="shared" si="9"/>
        <v>start /low /b %USERPROFILE%\Documents\GitHub\eaglep3\Utilities\DownloadLogsFromS3.py --loco 4011 --day 2017-08-11</v>
      </c>
    </row>
    <row r="12" spans="1:32" s="1" customFormat="1" x14ac:dyDescent="0.25">
      <c r="A12" s="31">
        <v>42958.315613425926</v>
      </c>
      <c r="B12" s="30" t="s">
        <v>611</v>
      </c>
      <c r="C12" s="30" t="s">
        <v>612</v>
      </c>
      <c r="D12" s="30" t="s">
        <v>49</v>
      </c>
      <c r="E12" s="30" t="s">
        <v>196</v>
      </c>
      <c r="F12" s="42">
        <v>400</v>
      </c>
      <c r="G12" s="42">
        <v>582</v>
      </c>
      <c r="H12" s="42">
        <v>13850</v>
      </c>
      <c r="I12" s="42">
        <v>17443</v>
      </c>
      <c r="J12" s="30" t="s">
        <v>197</v>
      </c>
      <c r="K12" s="42">
        <v>17867</v>
      </c>
      <c r="L12" s="131" t="s">
        <v>50</v>
      </c>
      <c r="M12" s="132">
        <f t="shared" si="0"/>
        <v>223.87200000000001</v>
      </c>
      <c r="N12" s="133" t="str">
        <f>VLOOKUP(C12,'Trips&amp;Operators'!$C$1:$G$99999,5,FALSE)</f>
        <v>LOZA FIDEL</v>
      </c>
      <c r="O12" s="203" t="s">
        <v>180</v>
      </c>
      <c r="P12" s="134"/>
      <c r="Q12" s="30"/>
      <c r="R12" s="81" t="str">
        <f>VLOOKUP(C12,'Train Runs'!$A$13:$AE$9914,31,0)</f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S12" s="84" t="str">
        <f>VLOOKUP(C12,'Train Runs'!$A$13:$AE$9914,22,0)</f>
        <v>https://d0f6bd738d7f1b3e5a7ca70fe4ff75f0.us-east-1.aws.found.io/app/kibana#/discover/Steve-Slow-Train-Analysis-(2080s-and-2083s)?_g=(refreshInterval:(display:Off,pause:!f,section:0,value:0),time:(from:'2017-08-11T06:25:59-0600',mode:absolute,to:'2017-08-11T09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2" s="86" t="str">
        <f t="shared" si="1"/>
        <v>"C:\Program Files (x86)\AstroGrep\AstroGrep.exe" /e /r /s /spath="%USERPROFILE%\AppData\Local\Temp\OnboardLogs" /stypes="*4060*201708111*" /stext=" 13:.+((SYSTEM_STATE.+slice.+state.+changed )|(ment ac)|(multiple cpu faults)|(system.+state.+changed )|(\[timeout)|(PRM\|1\|D)|(kpr)|(kdp)|(train st.+moving)|(\|lc)|(penalty))"</v>
      </c>
      <c r="U12" s="9" t="str">
        <f t="shared" si="2"/>
        <v>4060</v>
      </c>
      <c r="V12" s="31">
        <f t="shared" si="3"/>
        <v>42958.565613425926</v>
      </c>
      <c r="W12" s="45" t="str">
        <f t="shared" si="4"/>
        <v>EC</v>
      </c>
      <c r="X12" s="22">
        <f t="shared" si="5"/>
        <v>131</v>
      </c>
      <c r="Y12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{"issue":{"subject":"","project_id":79,"tracker_id":40,"status_id":1,"priority_id":2,"assigned_to_id":23,"start_date":"2017-08-11","description":"","custom_fields":[{"id":1,"name":"Subdivision","value":"EC"},{"id":4,"name":"Milepost","value":"1.7867"},{"id":17,"name":"Train ID","value":"131-11"},{"id":16,"name":"Locomotive ID","value":"4060"},{"id":130,"name":"Impact","value":""},{"id":150,"name":"Time of Event (Mountain Time)","value":"07:34:29"},{"id":151,"name":"Denver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/c/Users/stu/AppData/Local/Temp/OnboardLogs/RTDC4060 --include="*4060*201708111*"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"%USERPROFILE%\AppData\Local\Temp\OnboardLogs"\RTDC4060\*4060*201708111* &gt;&gt; 2017-08-11-SliceDisagreementCheck.txt</v>
      </c>
      <c r="AE12" s="145" t="str">
        <f t="shared" si="9"/>
        <v>start /low /b %USERPROFILE%\Documents\GitHub\eaglep3\Utilities\DownloadLogsFromS3.py --loco 4060 --day 2017-08-11</v>
      </c>
    </row>
    <row r="13" spans="1:32" x14ac:dyDescent="0.25">
      <c r="A13" s="31">
        <v>42958.750520833331</v>
      </c>
      <c r="B13" s="30" t="s">
        <v>548</v>
      </c>
      <c r="C13" s="30" t="s">
        <v>634</v>
      </c>
      <c r="D13" s="30" t="s">
        <v>49</v>
      </c>
      <c r="E13" s="30" t="s">
        <v>196</v>
      </c>
      <c r="F13" s="42">
        <v>300</v>
      </c>
      <c r="G13" s="42">
        <v>405</v>
      </c>
      <c r="H13" s="42">
        <v>23246</v>
      </c>
      <c r="I13" s="42">
        <v>22032</v>
      </c>
      <c r="J13" s="30" t="s">
        <v>197</v>
      </c>
      <c r="K13" s="42">
        <v>21848</v>
      </c>
      <c r="L13" s="131" t="s">
        <v>51</v>
      </c>
      <c r="M13" s="132">
        <f t="shared" si="0"/>
        <v>97.152000000000001</v>
      </c>
      <c r="N13" s="133" t="str">
        <f>VLOOKUP(C13,'Trips&amp;Operators'!$C$1:$G$99999,5,FALSE)</f>
        <v>THOMPSON LESTER</v>
      </c>
      <c r="O13" s="203" t="s">
        <v>180</v>
      </c>
      <c r="P13" s="134"/>
      <c r="Q13" s="30"/>
      <c r="R13" s="81" t="str">
        <f>VLOOKUP(C13,'Train Runs'!$A$13:$AE$9914,31,0)</f>
        <v>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 &amp; aws s3 cp s3://rtdc.mdm.uploadarchive.raw/RTDC4057/ "%USERPROFILE%\AppData\Local\Temp\OnboardLogs"\RTDC4057\2017-08-12 --exclude "*" --recursive --include "*20170812*" &amp; "%USERPROFILE%\Documents\GitHub\mrs-test-scripts\Headless Mode &amp; Sideloading\WalkAndUnGZ.bat" "%USERPROFILE%\AppData\Local\Temp\OnboardLogs"\RTDC4057\2017-08-12</v>
      </c>
      <c r="S13" s="84" t="str">
        <f>VLOOKUP(C13,'Train Runs'!$A$13:$AE$9914,22,0)</f>
        <v>https://d0f6bd738d7f1b3e5a7ca70fe4ff75f0.us-east-1.aws.found.io/app/kibana#/discover/Steve-Slow-Train-Analysis-(2080s-and-2083s)?_g=(refreshInterval:(display:Off,pause:!f,section:0,value:0),time:(from:'2017-08-11T16:25:56-0600',mode:absolute,to:'2017-08-11T19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3" s="86" t="str">
        <f t="shared" si="1"/>
        <v>"C:\Program Files (x86)\AstroGrep\AstroGrep.exe" /e /r /s /spath="%USERPROFILE%\AppData\Local\Temp\OnboardLogs" /stypes="*4057*201708120*" /stext=" 00:.+((SYSTEM_STATE.+slice.+state.+changed )|(ment ac)|(multiple cpu faults)|(system.+state.+changed )|(\[timeout)|(PRM\|1\|D)|(kpr)|(kdp)|(train st.+moving)|(\|lc)|(penalty))"</v>
      </c>
      <c r="U13" s="9" t="str">
        <f t="shared" si="2"/>
        <v>4057</v>
      </c>
      <c r="V13" s="31">
        <f t="shared" si="3"/>
        <v>42959.000520833331</v>
      </c>
      <c r="W13" s="45" t="str">
        <f t="shared" si="4"/>
        <v>EC</v>
      </c>
      <c r="X13" s="22">
        <f t="shared" si="5"/>
        <v>204</v>
      </c>
      <c r="Y13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{"issue":{"subject":"","project_id":79,"tracker_id":40,"status_id":1,"priority_id":2,"assigned_to_id":23,"start_date":"2017-08-11","description":"","custom_fields":[{"id":1,"name":"Subdivision","value":"EC"},{"id":4,"name":"Milepost","value":"2.1848"},{"id":17,"name":"Train ID","value":"204-11"},{"id":16,"name":"Locomotive ID","value":"4057"},{"id":130,"name":"Impact","value":""},{"id":150,"name":"Time of Event (Mountain Time)","value":"18:00:45"},{"id":151,"name":"Denver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/c/Users/stu/AppData/Local/Temp/OnboardLogs/RTDC4057 --include="*4057*201708120*"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"%USERPROFILE%\AppData\Local\Temp\OnboardLogs"\RTDC4057\*4057*201708120* &gt;&gt; 2017-08-11-SliceDisagreementCheck.txt</v>
      </c>
      <c r="AE13" s="145" t="str">
        <f t="shared" si="9"/>
        <v>start /low /b %USERPROFILE%\Documents\GitHub\eaglep3\Utilities\DownloadLogsFromS3.py --loco 4057 --day 2017-08-12</v>
      </c>
      <c r="AF13" s="1"/>
    </row>
    <row r="14" spans="1:32" x14ac:dyDescent="0.25">
      <c r="A14" s="31">
        <v>42958.39261574074</v>
      </c>
      <c r="B14" s="30" t="s">
        <v>501</v>
      </c>
      <c r="C14" s="30" t="s">
        <v>617</v>
      </c>
      <c r="D14" s="30" t="s">
        <v>49</v>
      </c>
      <c r="E14" s="30" t="s">
        <v>196</v>
      </c>
      <c r="F14" s="42">
        <v>400</v>
      </c>
      <c r="G14" s="42">
        <v>691</v>
      </c>
      <c r="H14" s="42">
        <v>113597</v>
      </c>
      <c r="I14" s="42">
        <v>116158</v>
      </c>
      <c r="J14" s="30" t="s">
        <v>197</v>
      </c>
      <c r="K14" s="42">
        <v>116838</v>
      </c>
      <c r="L14" s="131" t="s">
        <v>50</v>
      </c>
      <c r="M14" s="132">
        <f t="shared" si="0"/>
        <v>359.04</v>
      </c>
      <c r="N14" s="133" t="str">
        <f>VLOOKUP(C14,'Trips&amp;Operators'!$C$1:$G$99999,5,FALSE)</f>
        <v>WILLIAMS DONTE</v>
      </c>
      <c r="O14" s="203" t="s">
        <v>180</v>
      </c>
      <c r="P14" s="134"/>
      <c r="Q14" s="30"/>
      <c r="R14" s="81" t="str">
        <f>VLOOKUP(C14,'Train Runs'!$A$13:$AE$9914,31,0)</f>
        <v>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 &amp; aws s3 cp s3://rtdc.mdm.uploadarchive.raw/RTDC4012/ "%USERPROFILE%\AppData\Local\Temp\OnboardLogs"\RTDC4012\2017-08-12 --exclude "*" --recursive --include "*20170812*" &amp; "%USERPROFILE%\Documents\GitHub\mrs-test-scripts\Headless Mode &amp; Sideloading\WalkAndUnGZ.bat" "%USERPROFILE%\AppData\Local\Temp\OnboardLogs"\RTDC4012\2017-08-12</v>
      </c>
      <c r="S14" s="84" t="str">
        <f>VLOOKUP(C14,'Train Runs'!$A$13:$AE$9914,22,0)</f>
        <v>https://d0f6bd738d7f1b3e5a7ca70fe4ff75f0.us-east-1.aws.found.io/app/kibana#/discover/Steve-Slow-Train-Analysis-(2080s-and-2083s)?_g=(refreshInterval:(display:Off,pause:!f,section:0,value:0),time:(from:'2017-08-11T07:56:05-0600',mode:absolute,to:'2017-08-11T10:41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4" s="86" t="str">
        <f t="shared" si="1"/>
        <v>"C:\Program Files (x86)\AstroGrep\AstroGrep.exe" /e /r /s /spath="%USERPROFILE%\AppData\Local\Temp\OnboardLogs" /stypes="*4012*201708111*" /stext=" 15:.+((SYSTEM_STATE.+slice.+state.+changed )|(ment ac)|(multiple cpu faults)|(system.+state.+changed )|(\[timeout)|(PRM\|1\|D)|(kpr)|(kdp)|(train st.+moving)|(\|lc)|(penalty))"</v>
      </c>
      <c r="U14" s="9" t="str">
        <f t="shared" si="2"/>
        <v>4012</v>
      </c>
      <c r="V14" s="31">
        <f t="shared" si="3"/>
        <v>42958.64261574074</v>
      </c>
      <c r="W14" s="45" t="str">
        <f t="shared" si="4"/>
        <v>EC</v>
      </c>
      <c r="X14" s="22">
        <f t="shared" si="5"/>
        <v>143</v>
      </c>
      <c r="Y14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{"issue":{"subject":"","project_id":79,"tracker_id":40,"status_id":1,"priority_id":2,"assigned_to_id":23,"start_date":"2017-08-11","description":"","custom_fields":[{"id":1,"name":"Subdivision","value":"EC"},{"id":4,"name":"Milepost","value":"11.6838"},{"id":17,"name":"Train ID","value":"143-11"},{"id":16,"name":"Locomotive ID","value":"4012"},{"id":130,"name":"Impact","value":""},{"id":150,"name":"Time of Event (Mountain Time)","value":"09:25:22"},{"id":151,"name":"Denver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/c/Users/stu/AppData/Local/Temp/OnboardLogs/RTDC4012 --include="*4012*201708111*"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"%USERPROFILE%\AppData\Local\Temp\OnboardLogs"\RTDC4012\*4012*201708111* &gt;&gt; 2017-08-11-SliceDisagreementCheck.txt</v>
      </c>
      <c r="AE14" s="145" t="str">
        <f t="shared" si="9"/>
        <v>start /low /b %USERPROFILE%\Documents\GitHub\eaglep3\Utilities\DownloadLogsFromS3.py --loco 4012 --day 2017-08-11</v>
      </c>
      <c r="AF14" s="1"/>
    </row>
    <row r="15" spans="1:32" x14ac:dyDescent="0.25">
      <c r="A15" s="31">
        <v>42958.627222222225</v>
      </c>
      <c r="B15" s="30" t="s">
        <v>611</v>
      </c>
      <c r="C15" s="30" t="s">
        <v>626</v>
      </c>
      <c r="D15" s="30" t="s">
        <v>49</v>
      </c>
      <c r="E15" s="30" t="s">
        <v>196</v>
      </c>
      <c r="F15" s="42">
        <v>550</v>
      </c>
      <c r="G15" s="42">
        <v>799</v>
      </c>
      <c r="H15" s="42">
        <v>217700</v>
      </c>
      <c r="I15" s="42">
        <v>221640</v>
      </c>
      <c r="J15" s="30" t="s">
        <v>197</v>
      </c>
      <c r="K15" s="42">
        <v>222091</v>
      </c>
      <c r="L15" s="131" t="s">
        <v>50</v>
      </c>
      <c r="M15" s="132">
        <f t="shared" si="0"/>
        <v>238.12799999999999</v>
      </c>
      <c r="N15" s="133" t="str">
        <f>VLOOKUP(C15,'Trips&amp;Operators'!$C$1:$G$99999,5,FALSE)</f>
        <v>HOLCOMB KAMDEN</v>
      </c>
      <c r="O15" s="203" t="s">
        <v>180</v>
      </c>
      <c r="P15" s="134"/>
      <c r="Q15" s="30"/>
      <c r="R15" s="81" t="str">
        <f>VLOOKUP(C15,'Train Runs'!$A$13:$AE$9914,31,0)</f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S15" s="84" t="str">
        <f>VLOOKUP(C15,'Train Runs'!$A$13:$AE$9914,22,0)</f>
        <v>https://d0f6bd738d7f1b3e5a7ca70fe4ff75f0.us-east-1.aws.found.io/app/kibana#/discover/Steve-Slow-Train-Analysis-(2080s-and-2083s)?_g=(refreshInterval:(display:Off,pause:!f,section:0,value:0),time:(from:'2017-08-11T13:22:38-0600',mode:absolute,to:'2017-08-11T16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5" s="86" t="str">
        <f t="shared" si="1"/>
        <v>"C:\Program Files (x86)\AstroGrep\AstroGrep.exe" /e /r /s /spath="%USERPROFILE%\AppData\Local\Temp\OnboardLogs" /stypes="*4060*201708112*" /stext=" 21:.+((SYSTEM_STATE.+slice.+state.+changed )|(ment ac)|(multiple cpu faults)|(system.+state.+changed )|(\[timeout)|(PRM\|1\|D)|(kpr)|(kdp)|(train st.+moving)|(\|lc)|(penalty))"</v>
      </c>
      <c r="U15" s="9" t="str">
        <f t="shared" si="2"/>
        <v>4060</v>
      </c>
      <c r="V15" s="31">
        <f t="shared" si="3"/>
        <v>42958.877222222225</v>
      </c>
      <c r="W15" s="45" t="str">
        <f t="shared" si="4"/>
        <v>EC</v>
      </c>
      <c r="X15" s="22">
        <f t="shared" si="5"/>
        <v>187</v>
      </c>
      <c r="Y15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{"issue":{"subject":"","project_id":79,"tracker_id":40,"status_id":1,"priority_id":2,"assigned_to_id":23,"start_date":"2017-08-11","description":"","custom_fields":[{"id":1,"name":"Subdivision","value":"EC"},{"id":4,"name":"Milepost","value":"22.2091"},{"id":17,"name":"Train ID","value":"187-11"},{"id":16,"name":"Locomotive ID","value":"4060"},{"id":130,"name":"Impact","value":""},{"id":150,"name":"Time of Event (Mountain Time)","value":"15:03:12"},{"id":151,"name":"Denver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/c/Users/stu/AppData/Local/Temp/OnboardLogs/RTDC4060 --include="*4060*201708112*"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"%USERPROFILE%\AppData\Local\Temp\OnboardLogs"\RTDC4060\*4060*201708112* &gt;&gt; 2017-08-11-SliceDisagreementCheck.txt</v>
      </c>
      <c r="AE15" s="145" t="str">
        <f t="shared" si="9"/>
        <v>start /low /b %USERPROFILE%\Documents\GitHub\eaglep3\Utilities\DownloadLogsFromS3.py --loco 4060 --day 2017-08-11</v>
      </c>
      <c r="AF15" s="1"/>
    </row>
    <row r="16" spans="1:32" x14ac:dyDescent="0.25">
      <c r="A16" s="31">
        <v>42958.816562499997</v>
      </c>
      <c r="B16" s="30" t="s">
        <v>359</v>
      </c>
      <c r="C16" s="30" t="s">
        <v>638</v>
      </c>
      <c r="D16" s="30" t="s">
        <v>96</v>
      </c>
      <c r="E16" s="30" t="s">
        <v>196</v>
      </c>
      <c r="F16" s="42">
        <v>350</v>
      </c>
      <c r="G16" s="42">
        <v>401</v>
      </c>
      <c r="H16" s="42">
        <v>229330</v>
      </c>
      <c r="I16" s="42">
        <v>230468</v>
      </c>
      <c r="J16" s="30" t="s">
        <v>197</v>
      </c>
      <c r="K16" s="42">
        <v>224578</v>
      </c>
      <c r="L16" s="131" t="s">
        <v>50</v>
      </c>
      <c r="M16" s="132">
        <f t="shared" si="0"/>
        <v>-3109.92</v>
      </c>
      <c r="N16" s="133" t="str">
        <f>VLOOKUP(C16,'Trips&amp;Operators'!$C$1:$G$99999,5,FALSE)</f>
        <v>LAMAR NEKESHA</v>
      </c>
      <c r="O16" s="203" t="s">
        <v>180</v>
      </c>
      <c r="P16" s="134"/>
      <c r="Q16" s="30"/>
      <c r="R16" s="81" t="str">
        <f>VLOOKUP(C16,'Train Runs'!$A$13:$AE$9914,31,0)</f>
        <v>aws s3 cp s3://rtdc.mdm.uploadarchive.raw/RTDC4040/ "%USERPROFILE%\AppData\Local\Temp\OnboardLogs"\RTDC4040\2017-08-11 --exclude "*" --recursive --include "*20170811*" &amp; "%USERPROFILE%\Documents\GitHub\mrs-test-scripts\Headless Mode &amp; Sideloading\WalkAndUnGZ.bat" "%USERPROFILE%\AppData\Local\Temp\OnboardLogs"\RTDC4040\2017-08-11 &amp; aws s3 cp s3://rtdc.mdm.uploadarchive.raw/RTDC4040/ "%USERPROFILE%\AppData\Local\Temp\OnboardLogs"\RTDC4040\2017-08-12 --exclude "*" --recursive --include "*20170812*" &amp; "%USERPROFILE%\Documents\GitHub\mrs-test-scripts\Headless Mode &amp; Sideloading\WalkAndUnGZ.bat" "%USERPROFILE%\AppData\Local\Temp\OnboardLogs"\RTDC4040\2017-08-12</v>
      </c>
      <c r="S16" s="84" t="str">
        <f>VLOOKUP(C16,'Train Runs'!$A$13:$AE$9914,22,0)</f>
        <v>https://d0f6bd738d7f1b3e5a7ca70fe4ff75f0.us-east-1.aws.found.io/app/kibana#/discover/Steve-Slow-Train-Analysis-(2080s-and-2083s)?_g=(refreshInterval:(display:Off,pause:!f,section:0,value:0),time:(from:'2017-08-11T17:53:43-0600',mode:absolute,to:'2017-08-11T20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6" s="86" t="str">
        <f t="shared" si="1"/>
        <v>"C:\Program Files (x86)\AstroGrep\AstroGrep.exe" /e /r /s /spath="%USERPROFILE%\AppData\Local\Temp\OnboardLogs" /stypes="*4040*201708120*" /stext=" 01:.+((SYSTEM_STATE.+slice.+state.+changed )|(ment ac)|(multiple cpu faults)|(system.+state.+changed )|(\[timeout)|(PRM\|1\|D)|(kpr)|(kdp)|(train st.+moving)|(\|lc)|(penalty))"</v>
      </c>
      <c r="U16" s="9" t="str">
        <f t="shared" si="2"/>
        <v>4040</v>
      </c>
      <c r="V16" s="31">
        <f t="shared" si="3"/>
        <v>42959.066562499997</v>
      </c>
      <c r="W16" s="45" t="str">
        <f t="shared" si="4"/>
        <v>EC</v>
      </c>
      <c r="X16" s="22">
        <f t="shared" si="5"/>
        <v>221</v>
      </c>
      <c r="Y16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{"issue":{"subject":"","project_id":79,"tracker_id":40,"status_id":1,"priority_id":2,"assigned_to_id":23,"start_date":"2017-08-11","description":"","custom_fields":[{"id":1,"name":"Subdivision","value":"EC"},{"id":4,"name":"Milepost","value":"22.4578"},{"id":17,"name":"Train ID","value":"221-11"},{"id":16,"name":"Locomotive ID","value":"4040"},{"id":130,"name":"Impact","value":""},{"id":150,"name":"Time of Event (Mountain Time)","value":"19:35:51"},{"id":151,"name":"Denver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/c/Users/stu/AppData/Local/Temp/OnboardLogs/RTDC4040 --include="*4040*201708120*"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"%USERPROFILE%\AppData\Local\Temp\OnboardLogs"\RTDC4040\*4040*201708120* &gt;&gt; 2017-08-11-SliceDisagreementCheck.txt</v>
      </c>
      <c r="AE16" s="145" t="str">
        <f t="shared" si="9"/>
        <v>start /low /b %USERPROFILE%\Documents\GitHub\eaglep3\Utilities\DownloadLogsFromS3.py --loco 4040 --day 2017-08-12</v>
      </c>
      <c r="AF16" s="1"/>
    </row>
    <row r="17" spans="1:32" x14ac:dyDescent="0.25">
      <c r="A17" s="31">
        <v>42958.732916666668</v>
      </c>
      <c r="B17" s="30" t="s">
        <v>447</v>
      </c>
      <c r="C17" s="30" t="s">
        <v>632</v>
      </c>
      <c r="D17" s="30" t="s">
        <v>49</v>
      </c>
      <c r="E17" s="30" t="s">
        <v>196</v>
      </c>
      <c r="F17" s="42">
        <v>350</v>
      </c>
      <c r="G17" s="42">
        <v>565</v>
      </c>
      <c r="H17" s="42">
        <v>222349</v>
      </c>
      <c r="I17" s="42">
        <v>224014</v>
      </c>
      <c r="J17" s="30" t="s">
        <v>197</v>
      </c>
      <c r="K17" s="42">
        <v>224581</v>
      </c>
      <c r="L17" s="131" t="s">
        <v>50</v>
      </c>
      <c r="M17" s="132">
        <f t="shared" si="0"/>
        <v>299.37599999999998</v>
      </c>
      <c r="N17" s="133" t="str">
        <f>VLOOKUP(C17,'Trips&amp;Operators'!$C$1:$G$99999,5,FALSE)</f>
        <v>WEST BRYAN</v>
      </c>
      <c r="O17" s="203" t="s">
        <v>180</v>
      </c>
      <c r="P17" s="134"/>
      <c r="Q17" s="30"/>
      <c r="R17" s="81" t="str">
        <f>VLOOKUP(C17,'Train Runs'!$A$13:$AE$9914,31,0)</f>
        <v>aws s3 cp s3://rtdc.mdm.uploadarchive.raw/RTDC4030/ "%USERPROFILE%\AppData\Local\Temp\OnboardLogs"\RTDC4030\2017-08-11 --exclude "*" --recursive --include "*20170811*" &amp; "%USERPROFILE%\Documents\GitHub\mrs-test-scripts\Headless Mode &amp; Sideloading\WalkAndUnGZ.bat" "%USERPROFILE%\AppData\Local\Temp\OnboardLogs"\RTDC4030\2017-08-11 &amp; aws s3 cp s3://rtdc.mdm.uploadarchive.raw/RTDC4030/ "%USERPROFILE%\AppData\Local\Temp\OnboardLogs"\RTDC4030\2017-08-12 --exclude "*" --recursive --include "*20170812*" &amp; "%USERPROFILE%\Documents\GitHub\mrs-test-scripts\Headless Mode &amp; Sideloading\WalkAndUnGZ.bat" "%USERPROFILE%\AppData\Local\Temp\OnboardLogs"\RTDC4030\2017-08-12</v>
      </c>
      <c r="S17" s="84" t="str">
        <f>VLOOKUP(C17,'Train Runs'!$A$13:$AE$9914,22,0)</f>
        <v>https://d0f6bd738d7f1b3e5a7ca70fe4ff75f0.us-east-1.aws.found.io/app/kibana#/discover/Steve-Slow-Train-Analysis-(2080s-and-2083s)?_g=(refreshInterval:(display:Off,pause:!f,section:0,value:0),time:(from:'2017-08-11T15:53:37-0600',mode:absolute,to:'2017-08-11T18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7" s="86" t="str">
        <f t="shared" si="1"/>
        <v>"C:\Program Files (x86)\AstroGrep\AstroGrep.exe" /e /r /s /spath="%USERPROFILE%\AppData\Local\Temp\OnboardLogs" /stypes="*4030*201708112*" /stext=" 23:.+((SYSTEM_STATE.+slice.+state.+changed )|(ment ac)|(multiple cpu faults)|(system.+state.+changed )|(\[timeout)|(PRM\|1\|D)|(kpr)|(kdp)|(train st.+moving)|(\|lc)|(penalty))"</v>
      </c>
      <c r="U17" s="9" t="str">
        <f t="shared" si="2"/>
        <v>4030</v>
      </c>
      <c r="V17" s="31">
        <f t="shared" si="3"/>
        <v>42958.982916666668</v>
      </c>
      <c r="W17" s="45" t="str">
        <f t="shared" si="4"/>
        <v>EC</v>
      </c>
      <c r="X17" s="22">
        <f t="shared" si="5"/>
        <v>207</v>
      </c>
      <c r="Y17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{"issue":{"subject":"","project_id":79,"tracker_id":40,"status_id":1,"priority_id":2,"assigned_to_id":23,"start_date":"2017-08-11","description":"","custom_fields":[{"id":1,"name":"Subdivision","value":"EC"},{"id":4,"name":"Milepost","value":"22.4581"},{"id":17,"name":"Train ID","value":"207-11"},{"id":16,"name":"Locomotive ID","value":"4030"},{"id":130,"name":"Impact","value":""},{"id":150,"name":"Time of Event (Mountain Time)","value":"17:35:24"},{"id":151,"name":"Denver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/c/Users/stu/AppData/Local/Temp/OnboardLogs/RTDC4030 --include="*4030*201708112*"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"%USERPROFILE%\AppData\Local\Temp\OnboardLogs"\RTDC4030\*4030*201708112* &gt;&gt; 2017-08-11-SliceDisagreementCheck.txt</v>
      </c>
      <c r="AE17" s="145" t="str">
        <f t="shared" si="9"/>
        <v>start /low /b %USERPROFILE%\Documents\GitHub\eaglep3\Utilities\DownloadLogsFromS3.py --loco 4030 --day 2017-08-11</v>
      </c>
      <c r="AF17" s="1"/>
    </row>
    <row r="18" spans="1:32" x14ac:dyDescent="0.25">
      <c r="A18" s="31">
        <v>42958.386111111111</v>
      </c>
      <c r="B18" s="30" t="s">
        <v>507</v>
      </c>
      <c r="C18" s="30" t="s">
        <v>616</v>
      </c>
      <c r="D18" s="30" t="s">
        <v>96</v>
      </c>
      <c r="E18" s="30" t="s">
        <v>196</v>
      </c>
      <c r="F18" s="42">
        <v>550</v>
      </c>
      <c r="G18" s="42">
        <v>606</v>
      </c>
      <c r="H18" s="42">
        <v>222053</v>
      </c>
      <c r="I18" s="42">
        <v>219736</v>
      </c>
      <c r="J18" s="30" t="s">
        <v>197</v>
      </c>
      <c r="K18" s="42">
        <v>224581</v>
      </c>
      <c r="L18" s="131" t="s">
        <v>51</v>
      </c>
      <c r="M18" s="132">
        <f t="shared" si="0"/>
        <v>-2558.16</v>
      </c>
      <c r="N18" s="133" t="str">
        <f>VLOOKUP(C18,'Trips&amp;Operators'!$C$1:$G$99999,5,FALSE)</f>
        <v>DAVIS WENDY</v>
      </c>
      <c r="O18" s="203" t="s">
        <v>180</v>
      </c>
      <c r="P18" s="134"/>
      <c r="Q18" s="30"/>
      <c r="R18" s="81" t="str">
        <f>VLOOKUP(C18,'Train Runs'!$A$13:$AE$9914,31,0)</f>
        <v>aws s3 cp s3://rtdc.mdm.uploadarchive.raw/RTDC4029/ "%USERPROFILE%\AppData\Local\Temp\OnboardLogs"\RTDC4029\2017-08-11 --exclude "*" --recursive --include "*20170811*" &amp; "%USERPROFILE%\Documents\GitHub\mrs-test-scripts\Headless Mode &amp; Sideloading\WalkAndUnGZ.bat" "%USERPROFILE%\AppData\Local\Temp\OnboardLogs"\RTDC4029\2017-08-11 &amp; aws s3 cp s3://rtdc.mdm.uploadarchive.raw/RTDC4029/ "%USERPROFILE%\AppData\Local\Temp\OnboardLogs"\RTDC4029\2017-08-12 --exclude "*" --recursive --include "*20170812*" &amp; "%USERPROFILE%\Documents\GitHub\mrs-test-scripts\Headless Mode &amp; Sideloading\WalkAndUnGZ.bat" "%USERPROFILE%\AppData\Local\Temp\OnboardLogs"\RTDC4029\2017-08-12</v>
      </c>
      <c r="S18" s="84" t="str">
        <f>VLOOKUP(C18,'Train Runs'!$A$13:$AE$9914,22,0)</f>
        <v>https://d0f6bd738d7f1b3e5a7ca70fe4ff75f0.us-east-1.aws.found.io/app/kibana#/discover/Steve-Slow-Train-Analysis-(2080s-and-2083s)?_g=(refreshInterval:(display:Off,pause:!f,section:0,value:0),time:(from:'2017-08-11T08:07:33-0600',mode:absolute,to:'2017-08-11T10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8" s="86" t="str">
        <f t="shared" si="1"/>
        <v>"C:\Program Files (x86)\AstroGrep\AstroGrep.exe" /e /r /s /spath="%USERPROFILE%\AppData\Local\Temp\OnboardLogs" /stypes="*4029*201708111*" /stext=" 15:.+((SYSTEM_STATE.+slice.+state.+changed )|(ment ac)|(multiple cpu faults)|(system.+state.+changed )|(\[timeout)|(PRM\|1\|D)|(kpr)|(kdp)|(train st.+moving)|(\|lc)|(penalty))"</v>
      </c>
      <c r="U18" s="9" t="str">
        <f t="shared" si="2"/>
        <v>4029</v>
      </c>
      <c r="V18" s="31">
        <f t="shared" si="3"/>
        <v>42958.636111111111</v>
      </c>
      <c r="W18" s="45" t="str">
        <f t="shared" si="4"/>
        <v>EC</v>
      </c>
      <c r="X18" s="22">
        <f t="shared" si="5"/>
        <v>138</v>
      </c>
      <c r="Y18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{"issue":{"subject":"","project_id":79,"tracker_id":40,"status_id":1,"priority_id":2,"assigned_to_id":23,"start_date":"2017-08-11","description":"","custom_fields":[{"id":1,"name":"Subdivision","value":"EC"},{"id":4,"name":"Milepost","value":"22.4581"},{"id":17,"name":"Train ID","value":"138-11"},{"id":16,"name":"Locomotive ID","value":"4029"},{"id":130,"name":"Impact","value":""},{"id":150,"name":"Time of Event (Mountain Time)","value":"09:16:00"},{"id":151,"name":"Denver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/c/Users/stu/AppData/Local/Temp/OnboardLogs/RTDC4029 --include="*4029*201708111*"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"%USERPROFILE%\AppData\Local\Temp\OnboardLogs"\RTDC4029\*4029*201708111* &gt;&gt; 2017-08-11-SliceDisagreementCheck.txt</v>
      </c>
      <c r="AE18" s="145" t="str">
        <f t="shared" si="9"/>
        <v>start /low /b %USERPROFILE%\Documents\GitHub\eaglep3\Utilities\DownloadLogsFromS3.py --loco 4029 --day 2017-08-11</v>
      </c>
      <c r="AF18" s="1"/>
    </row>
    <row r="19" spans="1:32" x14ac:dyDescent="0.25">
      <c r="A19" s="31">
        <v>42958.364479166667</v>
      </c>
      <c r="B19" s="30" t="s">
        <v>549</v>
      </c>
      <c r="C19" s="30" t="s">
        <v>615</v>
      </c>
      <c r="D19" s="30" t="s">
        <v>96</v>
      </c>
      <c r="E19" s="30" t="s">
        <v>196</v>
      </c>
      <c r="F19" s="42">
        <v>350</v>
      </c>
      <c r="G19" s="42">
        <v>400</v>
      </c>
      <c r="H19" s="42">
        <v>225950</v>
      </c>
      <c r="I19" s="42">
        <v>224871</v>
      </c>
      <c r="J19" s="30" t="s">
        <v>197</v>
      </c>
      <c r="K19" s="42">
        <v>228668</v>
      </c>
      <c r="L19" s="131" t="s">
        <v>51</v>
      </c>
      <c r="M19" s="132">
        <f t="shared" si="0"/>
        <v>-2004.816</v>
      </c>
      <c r="N19" s="133" t="str">
        <f>VLOOKUP(C19,'Trips&amp;Operators'!$C$1:$G$99999,5,FALSE)</f>
        <v>GUNTHIER ERIC</v>
      </c>
      <c r="O19" s="203" t="s">
        <v>180</v>
      </c>
      <c r="P19" s="134"/>
      <c r="Q19" s="30"/>
      <c r="R19" s="81" t="str">
        <f>VLOOKUP(C19,'Train Runs'!$A$13:$AE$9914,31,0)</f>
        <v>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 &amp; aws s3 cp s3://rtdc.mdm.uploadarchive.raw/RTDC4065/ "%USERPROFILE%\AppData\Local\Temp\OnboardLogs"\RTDC4065\2017-08-12 --exclude "*" --recursive --include "*20170812*" &amp; "%USERPROFILE%\Documents\GitHub\mrs-test-scripts\Headless Mode &amp; Sideloading\WalkAndUnGZ.bat" "%USERPROFILE%\AppData\Local\Temp\OnboardLogs"\RTDC4065\2017-08-12</v>
      </c>
      <c r="S19" s="84" t="str">
        <f>VLOOKUP(C19,'Train Runs'!$A$13:$AE$9914,22,0)</f>
        <v>https://d0f6bd738d7f1b3e5a7ca70fe4ff75f0.us-east-1.aws.found.io/app/kibana#/discover/Steve-Slow-Train-Analysis-(2080s-and-2083s)?_g=(refreshInterval:(display:Off,pause:!f,section:0,value:0),time:(from:'2017-08-11T07:36:00-0600',mode:absolute,to:'2017-08-11T10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9" s="86" t="str">
        <f t="shared" si="1"/>
        <v>"C:\Program Files (x86)\AstroGrep\AstroGrep.exe" /e /r /s /spath="%USERPROFILE%\AppData\Local\Temp\OnboardLogs" /stypes="*4065*201708111*" /stext=" 14:.+((SYSTEM_STATE.+slice.+state.+changed )|(ment ac)|(multiple cpu faults)|(system.+state.+changed )|(\[timeout)|(PRM\|1\|D)|(kpr)|(kdp)|(train st.+moving)|(\|lc)|(penalty))"</v>
      </c>
      <c r="U19" s="9" t="str">
        <f t="shared" si="2"/>
        <v>4065</v>
      </c>
      <c r="V19" s="31">
        <f t="shared" si="3"/>
        <v>42958.614479166667</v>
      </c>
      <c r="W19" s="45" t="str">
        <f t="shared" si="4"/>
        <v>EC</v>
      </c>
      <c r="X19" s="22">
        <f t="shared" si="5"/>
        <v>134</v>
      </c>
      <c r="Y19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{"issue":{"subject":"","project_id":79,"tracker_id":40,"status_id":1,"priority_id":2,"assigned_to_id":23,"start_date":"2017-08-11","description":"","custom_fields":[{"id":1,"name":"Subdivision","value":"EC"},{"id":4,"name":"Milepost","value":"22.8668"},{"id":17,"name":"Train ID","value":"134-11"},{"id":16,"name":"Locomotive ID","value":"4065"},{"id":130,"name":"Impact","value":""},{"id":150,"name":"Time of Event (Mountain Time)","value":"08:44:51"},{"id":151,"name":"Denver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/c/Users/stu/AppData/Local/Temp/OnboardLogs/RTDC4065 --include="*4065*201708111*"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"%USERPROFILE%\AppData\Local\Temp\OnboardLogs"\RTDC4065\*4065*201708111* &gt;&gt; 2017-08-11-SliceDisagreementCheck.txt</v>
      </c>
      <c r="AE19" s="145" t="str">
        <f t="shared" si="9"/>
        <v>start /low /b %USERPROFILE%\Documents\GitHub\eaglep3\Utilities\DownloadLogsFromS3.py --loco 4065 --day 2017-08-11</v>
      </c>
      <c r="AF19" s="1"/>
    </row>
    <row r="20" spans="1:32" x14ac:dyDescent="0.25">
      <c r="A20" s="31">
        <v>42958.812303240738</v>
      </c>
      <c r="B20" s="30" t="s">
        <v>504</v>
      </c>
      <c r="C20" s="30" t="s">
        <v>636</v>
      </c>
      <c r="D20" s="30" t="s">
        <v>96</v>
      </c>
      <c r="E20" s="30" t="s">
        <v>196</v>
      </c>
      <c r="F20" s="42">
        <v>350</v>
      </c>
      <c r="G20" s="42">
        <v>400</v>
      </c>
      <c r="H20" s="42">
        <v>224521</v>
      </c>
      <c r="I20" s="42">
        <v>222814</v>
      </c>
      <c r="J20" s="30" t="s">
        <v>197</v>
      </c>
      <c r="K20" s="42">
        <v>232107</v>
      </c>
      <c r="L20" s="131" t="s">
        <v>51</v>
      </c>
      <c r="M20" s="132">
        <f t="shared" si="0"/>
        <v>-4906.7039999999997</v>
      </c>
      <c r="N20" s="133" t="str">
        <f>VLOOKUP(C20,'Trips&amp;Operators'!$C$1:$G$99999,5,FALSE)</f>
        <v>MILLER KEVIN</v>
      </c>
      <c r="O20" s="203" t="s">
        <v>180</v>
      </c>
      <c r="P20" s="134"/>
      <c r="Q20" s="30"/>
      <c r="R20" s="81" t="str">
        <f>VLOOKUP(C20,'Train Runs'!$A$13:$AE$9914,31,0)</f>
        <v>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 &amp; aws s3 cp s3://rtdc.mdm.uploadarchive.raw/RTDC4019/ "%USERPROFILE%\AppData\Local\Temp\OnboardLogs"\RTDC4019\2017-08-12 --exclude "*" --recursive --include "*20170812*" &amp; "%USERPROFILE%\Documents\GitHub\mrs-test-scripts\Headless Mode &amp; Sideloading\WalkAndUnGZ.bat" "%USERPROFILE%\AppData\Local\Temp\OnboardLogs"\RTDC4019\2017-08-12</v>
      </c>
      <c r="S20" s="84" t="str">
        <f>VLOOKUP(C20,'Train Runs'!$A$13:$AE$9914,22,0)</f>
        <v>https://d0f6bd738d7f1b3e5a7ca70fe4ff75f0.us-east-1.aws.found.io/app/kibana#/discover/Steve-Slow-Train-Analysis-(2080s-and-2083s)?_g=(refreshInterval:(display:Off,pause:!f,section:0,value:0),time:(from:'2017-08-11T18:08:30-0600',mode:absolute,to:'2017-08-11T21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0" s="86" t="str">
        <f t="shared" si="1"/>
        <v>"C:\Program Files (x86)\AstroGrep\AstroGrep.exe" /e /r /s /spath="%USERPROFILE%\AppData\Local\Temp\OnboardLogs" /stypes="*4019*201708120*" /stext=" 01:.+((SYSTEM_STATE.+slice.+state.+changed )|(ment ac)|(multiple cpu faults)|(system.+state.+changed )|(\[timeout)|(PRM\|1\|D)|(kpr)|(kdp)|(train st.+moving)|(\|lc)|(penalty))"</v>
      </c>
      <c r="U20" s="9" t="str">
        <f t="shared" si="2"/>
        <v>4019</v>
      </c>
      <c r="V20" s="31">
        <f t="shared" si="3"/>
        <v>42959.062303240738</v>
      </c>
      <c r="W20" s="45" t="str">
        <f t="shared" si="4"/>
        <v>EC</v>
      </c>
      <c r="X20" s="22">
        <f t="shared" si="5"/>
        <v>220</v>
      </c>
      <c r="Y20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{"issue":{"subject":"","project_id":79,"tracker_id":40,"status_id":1,"priority_id":2,"assigned_to_id":23,"start_date":"2017-08-11","description":"","custom_fields":[{"id":1,"name":"Subdivision","value":"EC"},{"id":4,"name":"Milepost","value":"23.2107"},{"id":17,"name":"Train ID","value":"220-11"},{"id":16,"name":"Locomotive ID","value":"4019"},{"id":130,"name":"Impact","value":""},{"id":150,"name":"Time of Event (Mountain Time)","value":"19:29:43"},{"id":151,"name":"Denver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/c/Users/stu/AppData/Local/Temp/OnboardLogs/RTDC4019 --include="*4019*201708120*"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"%USERPROFILE%\AppData\Local\Temp\OnboardLogs"\RTDC4019\*4019*201708120* &gt;&gt; 2017-08-11-SliceDisagreementCheck.txt</v>
      </c>
      <c r="AE20" s="145" t="str">
        <f t="shared" si="9"/>
        <v>start /low /b %USERPROFILE%\Documents\GitHub\eaglep3\Utilities\DownloadLogsFromS3.py --loco 4019 --day 2017-08-12</v>
      </c>
      <c r="AF20" s="1"/>
    </row>
    <row r="21" spans="1:32" x14ac:dyDescent="0.25">
      <c r="A21" s="31">
        <v>42958.19568287037</v>
      </c>
      <c r="B21" s="30" t="s">
        <v>550</v>
      </c>
      <c r="C21" s="30" t="s">
        <v>603</v>
      </c>
      <c r="D21" s="30" t="s">
        <v>49</v>
      </c>
      <c r="E21" s="30" t="s">
        <v>443</v>
      </c>
      <c r="F21" s="42">
        <v>0</v>
      </c>
      <c r="G21" s="42">
        <v>603</v>
      </c>
      <c r="H21" s="42">
        <v>42928</v>
      </c>
      <c r="I21" s="42">
        <v>45585</v>
      </c>
      <c r="J21" s="30" t="s">
        <v>444</v>
      </c>
      <c r="K21" s="42">
        <v>43651</v>
      </c>
      <c r="L21" s="131" t="s">
        <v>50</v>
      </c>
      <c r="M21" s="132">
        <f t="shared" si="0"/>
        <v>-1021.152</v>
      </c>
      <c r="N21" s="133" t="str">
        <f>VLOOKUP(C21,'Trips&amp;Operators'!$C$1:$G$99999,5,FALSE)</f>
        <v>BARRON PERLA</v>
      </c>
      <c r="O21" s="203" t="s">
        <v>449</v>
      </c>
      <c r="P21" s="134" t="s">
        <v>1107</v>
      </c>
      <c r="Q21" s="30"/>
      <c r="R21" s="81" t="str">
        <f>VLOOKUP(C21,'Train Runs'!$A$13:$AE$9914,31,0)</f>
        <v>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 &amp; aws s3 cp s3://rtdc.mdm.uploadarchive.raw/RTDC4058/ "%USERPROFILE%\AppData\Local\Temp\OnboardLogs"\RTDC4058\2017-08-12 --exclude "*" --recursive --include "*20170812*" &amp; "%USERPROFILE%\Documents\GitHub\mrs-test-scripts\Headless Mode &amp; Sideloading\WalkAndUnGZ.bat" "%USERPROFILE%\AppData\Local\Temp\OnboardLogs"\RTDC4058\2017-08-12</v>
      </c>
      <c r="S21" s="84" t="str">
        <f>VLOOKUP(C21,'Train Runs'!$A$13:$AE$9914,22,0)</f>
        <v>https://d0f6bd738d7f1b3e5a7ca70fe4ff75f0.us-east-1.aws.found.io/app/kibana#/discover/Steve-Slow-Train-Analysis-(2080s-and-2083s)?_g=(refreshInterval:(display:Off,pause:!f,section:0,value:0),time:(from:'2017-08-11T03:25:21-0600',mode:absolute,to:'2017-08-11T06:12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1" s="86" t="str">
        <f t="shared" si="1"/>
        <v>"C:\Program Files (x86)\AstroGrep\AstroGrep.exe" /e /r /s /spath="%USERPROFILE%\AppData\Local\Temp\OnboardLogs" /stypes="*4058*201708111*" /stext=" 10:.+((SYSTEM_STATE.+slice.+state.+changed )|(ment ac)|(multiple cpu faults)|(system.+state.+changed )|(\[timeout)|(PRM\|1\|D)|(kpr)|(kdp)|(train st.+moving)|(\|lc)|(penalty))"</v>
      </c>
      <c r="U21" s="9" t="str">
        <f t="shared" si="2"/>
        <v>4058</v>
      </c>
      <c r="V21" s="31">
        <f t="shared" si="3"/>
        <v>42958.44568287037</v>
      </c>
      <c r="W21" s="45" t="str">
        <f t="shared" si="4"/>
        <v>EC</v>
      </c>
      <c r="X21" s="22">
        <f t="shared" si="5"/>
        <v>107</v>
      </c>
      <c r="Y21" s="96" t="str">
        <f t="shared" si="6"/>
        <v>echo {"issue":{"subject":"Wi-MAX data drop","project_id":79,"tracker_id":40,"status_id":1,"priority_id":2,"assigned_to_id":23,"start_date":"2017-08-11","description":"","custom_fields":[{"id":1,"name":"Subdivision","value":"EC"},{"id":4,"name":"Milepost","value":"4.3651"},{"id":17,"name":"Train ID","value":"107-11"},{"id":16,"name":"Locomotive ID","value":"4058"},{"id":130,"name":"Impact","value":""},{"id":150,"name":"Time of Event (Mountain Time)","value":"04:41:47"},{"id":151,"name":"Denver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/c/Users/stu/AppData/Local/Temp/OnboardLogs/RTDC4058 --include="*4058*201708111*"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"%USERPROFILE%\AppData\Local\Temp\OnboardLogs"\RTDC4058\*4058*201708111* &gt;&gt; 2017-08-11-SliceDisagreementCheck.txt</v>
      </c>
      <c r="AE21" s="145" t="str">
        <f t="shared" si="9"/>
        <v>start /low /b %USERPROFILE%\Documents\GitHub\eaglep3\Utilities\DownloadLogsFromS3.py --loco 4058 --day 2017-08-11</v>
      </c>
      <c r="AF21" s="1"/>
    </row>
    <row r="22" spans="1:32" x14ac:dyDescent="0.25">
      <c r="A22" s="31">
        <v>42958.296851851854</v>
      </c>
      <c r="B22" s="30" t="s">
        <v>605</v>
      </c>
      <c r="C22" s="30" t="s">
        <v>609</v>
      </c>
      <c r="D22" s="30" t="s">
        <v>49</v>
      </c>
      <c r="E22" s="30" t="s">
        <v>443</v>
      </c>
      <c r="F22" s="42">
        <v>0</v>
      </c>
      <c r="G22" s="42">
        <v>310</v>
      </c>
      <c r="H22" s="42">
        <v>59649</v>
      </c>
      <c r="I22" s="42">
        <v>58857</v>
      </c>
      <c r="J22" s="30" t="s">
        <v>444</v>
      </c>
      <c r="K22" s="42">
        <v>57897</v>
      </c>
      <c r="L22" s="131" t="s">
        <v>51</v>
      </c>
      <c r="M22" s="132">
        <f t="shared" si="0"/>
        <v>506.88</v>
      </c>
      <c r="N22" s="133" t="str">
        <f>VLOOKUP(C22,'Trips&amp;Operators'!$C$1:$G$99999,5,FALSE)</f>
        <v>LOZA FIDEL</v>
      </c>
      <c r="O22" s="203" t="s">
        <v>449</v>
      </c>
      <c r="P22" s="134" t="s">
        <v>1112</v>
      </c>
      <c r="Q22" s="30"/>
      <c r="R22" s="81" t="str">
        <f>VLOOKUP(C22,'Train Runs'!$A$13:$AE$9914,31,0)</f>
        <v>aws s3 cp s3://rtdc.mdm.uploadarchive.raw/RTDC4059/ "%USERPROFILE%\AppData\Local\Temp\OnboardLogs"\RTDC4059\2017-08-11 --exclude "*" --recursive --include "*20170811*" &amp; "%USERPROFILE%\Documents\GitHub\mrs-test-scripts\Headless Mode &amp; Sideloading\WalkAndUnGZ.bat" "%USERPROFILE%\AppData\Local\Temp\OnboardLogs"\RTDC4059\2017-08-11 &amp; aws s3 cp s3://rtdc.mdm.uploadarchive.raw/RTDC4059/ "%USERPROFILE%\AppData\Local\Temp\OnboardLogs"\RTDC4059\2017-08-12 --exclude "*" --recursive --include "*20170812*" &amp; "%USERPROFILE%\Documents\GitHub\mrs-test-scripts\Headless Mode &amp; Sideloading\WalkAndUnGZ.bat" "%USERPROFILE%\AppData\Local\Temp\OnboardLogs"\RTDC4059\2017-08-12</v>
      </c>
      <c r="S22" s="84" t="str">
        <f>VLOOKUP(C22,'Train Runs'!$A$13:$AE$9914,22,0)</f>
        <v>https://d0f6bd738d7f1b3e5a7ca70fe4ff75f0.us-east-1.aws.found.io/app/kibana#/discover/Steve-Slow-Train-Analysis-(2080s-and-2083s)?_g=(refreshInterval:(display:Off,pause:!f,section:0,value:0),time:(from:'2017-08-11T05:38:00-0600',mode:absolute,to:'2017-08-11T08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2" s="86" t="str">
        <f t="shared" si="1"/>
        <v>"C:\Program Files (x86)\AstroGrep\AstroGrep.exe" /e /r /s /spath="%USERPROFILE%\AppData\Local\Temp\OnboardLogs" /stypes="*4059*201708111*" /stext=" 13:.+((SYSTEM_STATE.+slice.+state.+changed )|(ment ac)|(multiple cpu faults)|(system.+state.+changed )|(\[timeout)|(PRM\|1\|D)|(kpr)|(kdp)|(train st.+moving)|(\|lc)|(penalty))"</v>
      </c>
      <c r="U22" s="9" t="str">
        <f t="shared" si="2"/>
        <v>4059</v>
      </c>
      <c r="V22" s="31">
        <f t="shared" si="3"/>
        <v>42958.546851851854</v>
      </c>
      <c r="W22" s="45" t="str">
        <f t="shared" si="4"/>
        <v>EC</v>
      </c>
      <c r="X22" s="22">
        <f t="shared" si="5"/>
        <v>118</v>
      </c>
      <c r="Y22" s="96" t="str">
        <f t="shared" si="6"/>
        <v>echo {"issue":{"subject":"Wi-MAX data drop (Ulster)","project_id":79,"tracker_id":40,"status_id":1,"priority_id":2,"assigned_to_id":23,"start_date":"2017-08-11","description":"","custom_fields":[{"id":1,"name":"Subdivision","value":"EC"},{"id":4,"name":"Milepost","value":"5.7897"},{"id":17,"name":"Train ID","value":"118-11"},{"id":16,"name":"Locomotive ID","value":"4059"},{"id":130,"name":"Impact","value":""},{"id":150,"name":"Time of Event (Mountain Time)","value":"07:07:28"},{"id":151,"name":"Denver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/c/Users/stu/AppData/Local/Temp/OnboardLogs/RTDC4059 --include="*4059*201708111*"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"%USERPROFILE%\AppData\Local\Temp\OnboardLogs"\RTDC4059\*4059*201708111* &gt;&gt; 2017-08-11-SliceDisagreementCheck.txt</v>
      </c>
      <c r="AE22" s="145" t="str">
        <f t="shared" si="9"/>
        <v>start /low /b %USERPROFILE%\Documents\GitHub\eaglep3\Utilities\DownloadLogsFromS3.py --loco 4059 --day 2017-08-11</v>
      </c>
      <c r="AF22" s="1"/>
    </row>
    <row r="23" spans="1:32" x14ac:dyDescent="0.25">
      <c r="A23" s="31">
        <v>42958.32366898148</v>
      </c>
      <c r="B23" s="30" t="s">
        <v>611</v>
      </c>
      <c r="C23" s="30" t="s">
        <v>612</v>
      </c>
      <c r="D23" s="30" t="s">
        <v>49</v>
      </c>
      <c r="E23" s="30" t="s">
        <v>443</v>
      </c>
      <c r="F23" s="42">
        <v>0</v>
      </c>
      <c r="G23" s="42">
        <v>402</v>
      </c>
      <c r="H23" s="42">
        <v>62958</v>
      </c>
      <c r="I23" s="42">
        <v>63927</v>
      </c>
      <c r="J23" s="30" t="s">
        <v>444</v>
      </c>
      <c r="K23" s="42">
        <v>63995</v>
      </c>
      <c r="L23" s="131" t="s">
        <v>50</v>
      </c>
      <c r="M23" s="132">
        <f t="shared" si="0"/>
        <v>35.904000000000003</v>
      </c>
      <c r="N23" s="133" t="str">
        <f>VLOOKUP(C23,'Trips&amp;Operators'!$C$1:$G$99999,5,FALSE)</f>
        <v>LOZA FIDEL</v>
      </c>
      <c r="O23" s="203" t="s">
        <v>449</v>
      </c>
      <c r="P23" s="134" t="s">
        <v>1112</v>
      </c>
      <c r="Q23" s="30"/>
      <c r="R23" s="81" t="str">
        <f>VLOOKUP(C23,'Train Runs'!$A$13:$AE$9914,31,0)</f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S23" s="84" t="str">
        <f>VLOOKUP(C23,'Train Runs'!$A$13:$AE$9914,22,0)</f>
        <v>https://d0f6bd738d7f1b3e5a7ca70fe4ff75f0.us-east-1.aws.found.io/app/kibana#/discover/Steve-Slow-Train-Analysis-(2080s-and-2083s)?_g=(refreshInterval:(display:Off,pause:!f,section:0,value:0),time:(from:'2017-08-11T06:25:59-0600',mode:absolute,to:'2017-08-11T09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3" s="86" t="str">
        <f t="shared" si="1"/>
        <v>"C:\Program Files (x86)\AstroGrep\AstroGrep.exe" /e /r /s /spath="%USERPROFILE%\AppData\Local\Temp\OnboardLogs" /stypes="*4060*201708111*" /stext=" 13:.+((SYSTEM_STATE.+slice.+state.+changed )|(ment ac)|(multiple cpu faults)|(system.+state.+changed )|(\[timeout)|(PRM\|1\|D)|(kpr)|(kdp)|(train st.+moving)|(\|lc)|(penalty))"</v>
      </c>
      <c r="U23" s="9" t="str">
        <f t="shared" si="2"/>
        <v>4060</v>
      </c>
      <c r="V23" s="31">
        <f t="shared" si="3"/>
        <v>42958.57366898148</v>
      </c>
      <c r="W23" s="45" t="str">
        <f t="shared" si="4"/>
        <v>EC</v>
      </c>
      <c r="X23" s="22">
        <f t="shared" si="5"/>
        <v>131</v>
      </c>
      <c r="Y23" s="96" t="str">
        <f t="shared" si="6"/>
        <v>echo {"issue":{"subject":"Wi-MAX data drop (Ulster)","project_id":79,"tracker_id":40,"status_id":1,"priority_id":2,"assigned_to_id":23,"start_date":"2017-08-11","description":"","custom_fields":[{"id":1,"name":"Subdivision","value":"EC"},{"id":4,"name":"Milepost","value":"6.3995"},{"id":17,"name":"Train ID","value":"131-11"},{"id":16,"name":"Locomotive ID","value":"4060"},{"id":130,"name":"Impact","value":""},{"id":150,"name":"Time of Event (Mountain Time)","value":"07:46:05"},{"id":151,"name":"Denver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/c/Users/stu/AppData/Local/Temp/OnboardLogs/RTDC4060 --include="*4060*201708111*"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"%USERPROFILE%\AppData\Local\Temp\OnboardLogs"\RTDC4060\*4060*201708111* &gt;&gt; 2017-08-11-SliceDisagreementCheck.txt</v>
      </c>
      <c r="AE23" s="145" t="str">
        <f t="shared" si="9"/>
        <v>start /low /b %USERPROFILE%\Documents\GitHub\eaglep3\Utilities\DownloadLogsFromS3.py --loco 4060 --day 2017-08-11</v>
      </c>
      <c r="AF23" s="1"/>
    </row>
    <row r="24" spans="1:32" x14ac:dyDescent="0.25">
      <c r="A24" s="31">
        <v>42958.395150462966</v>
      </c>
      <c r="B24" s="30" t="s">
        <v>611</v>
      </c>
      <c r="C24" s="30" t="s">
        <v>618</v>
      </c>
      <c r="D24" s="30" t="s">
        <v>49</v>
      </c>
      <c r="E24" s="30" t="s">
        <v>443</v>
      </c>
      <c r="F24" s="42">
        <v>0</v>
      </c>
      <c r="G24" s="42">
        <v>502</v>
      </c>
      <c r="H24" s="42">
        <v>61611</v>
      </c>
      <c r="I24" s="42">
        <v>63088</v>
      </c>
      <c r="J24" s="30" t="s">
        <v>444</v>
      </c>
      <c r="K24" s="42">
        <v>63995</v>
      </c>
      <c r="L24" s="131" t="s">
        <v>50</v>
      </c>
      <c r="M24" s="132">
        <f t="shared" si="0"/>
        <v>478.89600000000002</v>
      </c>
      <c r="N24" s="133" t="str">
        <f>VLOOKUP(C24,'Trips&amp;Operators'!$C$1:$G$99999,5,FALSE)</f>
        <v>LOZA FIDEL</v>
      </c>
      <c r="O24" s="203" t="s">
        <v>449</v>
      </c>
      <c r="P24" s="134" t="s">
        <v>1112</v>
      </c>
      <c r="Q24" s="30"/>
      <c r="R24" s="81" t="str">
        <f>VLOOKUP(C24,'Train Runs'!$A$13:$AE$9914,31,0)</f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S24" s="84" t="str">
        <f>VLOOKUP(C24,'Train Runs'!$A$13:$AE$9914,22,0)</f>
        <v>https://d0f6bd738d7f1b3e5a7ca70fe4ff75f0.us-east-1.aws.found.io/app/kibana#/discover/Steve-Slow-Train-Analysis-(2080s-and-2083s)?_g=(refreshInterval:(display:Off,pause:!f,section:0,value:0),time:(from:'2017-08-11T08:13:29-0600',mode:absolute,to:'2017-08-11T10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4" s="86" t="str">
        <f t="shared" si="1"/>
        <v>"C:\Program Files (x86)\AstroGrep\AstroGrep.exe" /e /r /s /spath="%USERPROFILE%\AppData\Local\Temp\OnboardLogs" /stypes="*4060*201708111*" /stext=" 15:.+((SYSTEM_STATE.+slice.+state.+changed )|(ment ac)|(multiple cpu faults)|(system.+state.+changed )|(\[timeout)|(PRM\|1\|D)|(kpr)|(kdp)|(train st.+moving)|(\|lc)|(penalty))"</v>
      </c>
      <c r="U24" s="9" t="str">
        <f t="shared" si="2"/>
        <v>4060</v>
      </c>
      <c r="V24" s="31">
        <f t="shared" si="3"/>
        <v>42958.645150462966</v>
      </c>
      <c r="W24" s="45" t="str">
        <f t="shared" si="4"/>
        <v>EC</v>
      </c>
      <c r="X24" s="22">
        <f t="shared" si="5"/>
        <v>145</v>
      </c>
      <c r="Y24" s="96" t="str">
        <f t="shared" si="6"/>
        <v>echo {"issue":{"subject":"Wi-MAX data drop (Ulster)","project_id":79,"tracker_id":40,"status_id":1,"priority_id":2,"assigned_to_id":23,"start_date":"2017-08-11","description":"","custom_fields":[{"id":1,"name":"Subdivision","value":"EC"},{"id":4,"name":"Milepost","value":"6.3995"},{"id":17,"name":"Train ID","value":"145-11"},{"id":16,"name":"Locomotive ID","value":"4060"},{"id":130,"name":"Impact","value":""},{"id":150,"name":"Time of Event (Mountain Time)","value":"09:29:01"},{"id":151,"name":"Denver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/c/Users/stu/AppData/Local/Temp/OnboardLogs/RTDC4060 --include="*4060*201708111*"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"%USERPROFILE%\AppData\Local\Temp\OnboardLogs"\RTDC4060\*4060*201708111* &gt;&gt; 2017-08-11-SliceDisagreementCheck.txt</v>
      </c>
      <c r="AE24" s="145" t="str">
        <f t="shared" si="9"/>
        <v>start /low /b %USERPROFILE%\Documents\GitHub\eaglep3\Utilities\DownloadLogsFromS3.py --loco 4060 --day 2017-08-11</v>
      </c>
      <c r="AF24" s="1"/>
    </row>
    <row r="25" spans="1:32" x14ac:dyDescent="0.25">
      <c r="A25" s="31">
        <v>42958.824421296296</v>
      </c>
      <c r="B25" s="30" t="s">
        <v>504</v>
      </c>
      <c r="C25" s="30" t="s">
        <v>636</v>
      </c>
      <c r="D25" s="30" t="s">
        <v>49</v>
      </c>
      <c r="E25" s="30" t="s">
        <v>443</v>
      </c>
      <c r="F25" s="42">
        <v>0</v>
      </c>
      <c r="G25" s="42">
        <v>755</v>
      </c>
      <c r="H25" s="42">
        <v>92698</v>
      </c>
      <c r="I25" s="42">
        <v>89055</v>
      </c>
      <c r="J25" s="30" t="s">
        <v>444</v>
      </c>
      <c r="K25" s="42">
        <v>87902</v>
      </c>
      <c r="L25" s="131" t="s">
        <v>51</v>
      </c>
      <c r="M25" s="132">
        <f t="shared" si="0"/>
        <v>608.78399999999999</v>
      </c>
      <c r="N25" s="133" t="str">
        <f>VLOOKUP(C25,'Trips&amp;Operators'!$C$1:$G$99999,5,FALSE)</f>
        <v>MILLER KEVIN</v>
      </c>
      <c r="O25" s="203" t="s">
        <v>449</v>
      </c>
      <c r="P25" s="134" t="s">
        <v>1107</v>
      </c>
      <c r="Q25" s="30"/>
      <c r="R25" s="81" t="str">
        <f>VLOOKUP(C25,'Train Runs'!$A$13:$AE$9914,31,0)</f>
        <v>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 &amp; aws s3 cp s3://rtdc.mdm.uploadarchive.raw/RTDC4019/ "%USERPROFILE%\AppData\Local\Temp\OnboardLogs"\RTDC4019\2017-08-12 --exclude "*" --recursive --include "*20170812*" &amp; "%USERPROFILE%\Documents\GitHub\mrs-test-scripts\Headless Mode &amp; Sideloading\WalkAndUnGZ.bat" "%USERPROFILE%\AppData\Local\Temp\OnboardLogs"\RTDC4019\2017-08-12</v>
      </c>
      <c r="S25" s="84" t="str">
        <f>VLOOKUP(C25,'Train Runs'!$A$13:$AE$9914,22,0)</f>
        <v>https://d0f6bd738d7f1b3e5a7ca70fe4ff75f0.us-east-1.aws.found.io/app/kibana#/discover/Steve-Slow-Train-Analysis-(2080s-and-2083s)?_g=(refreshInterval:(display:Off,pause:!f,section:0,value:0),time:(from:'2017-08-11T18:08:30-0600',mode:absolute,to:'2017-08-11T21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5" s="86" t="str">
        <f t="shared" si="1"/>
        <v>"C:\Program Files (x86)\AstroGrep\AstroGrep.exe" /e /r /s /spath="%USERPROFILE%\AppData\Local\Temp\OnboardLogs" /stypes="*4019*201708120*" /stext=" 01:.+((SYSTEM_STATE.+slice.+state.+changed )|(ment ac)|(multiple cpu faults)|(system.+state.+changed )|(\[timeout)|(PRM\|1\|D)|(kpr)|(kdp)|(train st.+moving)|(\|lc)|(penalty))"</v>
      </c>
      <c r="U25" s="9" t="str">
        <f t="shared" si="2"/>
        <v>4019</v>
      </c>
      <c r="V25" s="31">
        <f t="shared" si="3"/>
        <v>42959.074421296296</v>
      </c>
      <c r="W25" s="45" t="str">
        <f t="shared" si="4"/>
        <v>EC</v>
      </c>
      <c r="X25" s="22">
        <f t="shared" si="5"/>
        <v>220</v>
      </c>
      <c r="Y25" s="96" t="str">
        <f t="shared" si="6"/>
        <v>echo {"issue":{"subject":"Wi-MAX data drop","project_id":79,"tracker_id":40,"status_id":1,"priority_id":2,"assigned_to_id":23,"start_date":"2017-08-11","description":"","custom_fields":[{"id":1,"name":"Subdivision","value":"EC"},{"id":4,"name":"Milepost","value":"8.7902"},{"id":17,"name":"Train ID","value":"220-11"},{"id":16,"name":"Locomotive ID","value":"4019"},{"id":130,"name":"Impact","value":""},{"id":150,"name":"Time of Event (Mountain Time)","value":"19:47:10"},{"id":151,"name":"Denver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/c/Users/stu/AppData/Local/Temp/OnboardLogs/RTDC4019 --include="*4019*201708120*"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"%USERPROFILE%\AppData\Local\Temp\OnboardLogs"\RTDC4019\*4019*201708120* &gt;&gt; 2017-08-11-SliceDisagreementCheck.txt</v>
      </c>
      <c r="AE25" s="145" t="str">
        <f t="shared" si="9"/>
        <v>start /low /b %USERPROFILE%\Documents\GitHub\eaglep3\Utilities\DownloadLogsFromS3.py --loco 4019 --day 2017-08-12</v>
      </c>
      <c r="AF25" s="1"/>
    </row>
    <row r="26" spans="1:32" x14ac:dyDescent="0.25">
      <c r="A26" s="31">
        <v>42958.694421296299</v>
      </c>
      <c r="B26" s="30" t="s">
        <v>611</v>
      </c>
      <c r="C26" s="30" t="s">
        <v>629</v>
      </c>
      <c r="D26" s="30" t="s">
        <v>49</v>
      </c>
      <c r="E26" s="30" t="s">
        <v>443</v>
      </c>
      <c r="F26" s="42">
        <v>0</v>
      </c>
      <c r="G26" s="42">
        <v>725</v>
      </c>
      <c r="H26" s="42">
        <v>136885</v>
      </c>
      <c r="I26" s="42">
        <v>141016</v>
      </c>
      <c r="J26" s="30" t="s">
        <v>444</v>
      </c>
      <c r="K26" s="42">
        <v>138837</v>
      </c>
      <c r="L26" s="131" t="s">
        <v>50</v>
      </c>
      <c r="M26" s="132">
        <f t="shared" si="0"/>
        <v>-1150.5119999999999</v>
      </c>
      <c r="N26" s="133" t="str">
        <f>VLOOKUP(C26,'Trips&amp;Operators'!$C$1:$G$99999,5,FALSE)</f>
        <v>HOLCOMB KAMDEN</v>
      </c>
      <c r="O26" s="203" t="s">
        <v>449</v>
      </c>
      <c r="P26" s="134" t="s">
        <v>1107</v>
      </c>
      <c r="Q26" s="30"/>
      <c r="R26" s="81" t="str">
        <f>VLOOKUP(C26,'Train Runs'!$A$13:$AE$9914,31,0)</f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S26" s="84" t="str">
        <f>VLOOKUP(C26,'Train Runs'!$A$13:$AE$9914,22,0)</f>
        <v>https://d0f6bd738d7f1b3e5a7ca70fe4ff75f0.us-east-1.aws.found.io/app/kibana#/discover/Steve-Slow-Train-Analysis-(2080s-and-2083s)?_g=(refreshInterval:(display:Off,pause:!f,section:0,value:0),time:(from:'2017-08-11T15:06:54-0600',mode:absolute,to:'2017-08-11T17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6" s="86" t="str">
        <f t="shared" si="1"/>
        <v>"C:\Program Files (x86)\AstroGrep\AstroGrep.exe" /e /r /s /spath="%USERPROFILE%\AppData\Local\Temp\OnboardLogs" /stypes="*4060*201708112*" /stext=" 22:.+((SYSTEM_STATE.+slice.+state.+changed )|(ment ac)|(multiple cpu faults)|(system.+state.+changed )|(\[timeout)|(PRM\|1\|D)|(kpr)|(kdp)|(train st.+moving)|(\|lc)|(penalty))"</v>
      </c>
      <c r="U26" s="9" t="str">
        <f t="shared" si="2"/>
        <v>4060</v>
      </c>
      <c r="V26" s="31">
        <f t="shared" si="3"/>
        <v>42958.944421296299</v>
      </c>
      <c r="W26" s="45" t="str">
        <f t="shared" si="4"/>
        <v>EC</v>
      </c>
      <c r="X26" s="22">
        <f t="shared" si="5"/>
        <v>201</v>
      </c>
      <c r="Y26" s="96" t="str">
        <f t="shared" si="6"/>
        <v>echo {"issue":{"subject":"Wi-MAX data drop","project_id":79,"tracker_id":40,"status_id":1,"priority_id":2,"assigned_to_id":23,"start_date":"2017-08-11","description":"","custom_fields":[{"id":1,"name":"Subdivision","value":"EC"},{"id":4,"name":"Milepost","value":"13.8837"},{"id":17,"name":"Train ID","value":"201-11"},{"id":16,"name":"Locomotive ID","value":"4060"},{"id":130,"name":"Impact","value":""},{"id":150,"name":"Time of Event (Mountain Time)","value":"16:39:58"},{"id":151,"name":"Denver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/c/Users/stu/AppData/Local/Temp/OnboardLogs/RTDC4060 --include="*4060*201708112*"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"%USERPROFILE%\AppData\Local\Temp\OnboardLogs"\RTDC4060\*4060*201708112* &gt;&gt; 2017-08-11-SliceDisagreementCheck.txt</v>
      </c>
      <c r="AE26" s="145" t="str">
        <f t="shared" si="9"/>
        <v>start /low /b %USERPROFILE%\Documents\GitHub\eaglep3\Utilities\DownloadLogsFromS3.py --loco 4060 --day 2017-08-11</v>
      </c>
      <c r="AF26" s="1"/>
    </row>
    <row r="27" spans="1:32" x14ac:dyDescent="0.25">
      <c r="A27" s="31">
        <v>42958.317812499998</v>
      </c>
      <c r="B27" s="30" t="s">
        <v>548</v>
      </c>
      <c r="C27" s="30" t="s">
        <v>613</v>
      </c>
      <c r="D27" s="30" t="s">
        <v>49</v>
      </c>
      <c r="E27" s="30" t="s">
        <v>502</v>
      </c>
      <c r="F27" s="42">
        <v>0</v>
      </c>
      <c r="G27" s="42">
        <v>316</v>
      </c>
      <c r="H27" s="42">
        <v>58871</v>
      </c>
      <c r="I27" s="42">
        <v>58125</v>
      </c>
      <c r="J27" s="30" t="s">
        <v>503</v>
      </c>
      <c r="K27" s="42">
        <v>57801</v>
      </c>
      <c r="L27" s="131" t="s">
        <v>51</v>
      </c>
      <c r="M27" s="132">
        <f t="shared" si="0"/>
        <v>171.072</v>
      </c>
      <c r="N27" s="133" t="str">
        <f>VLOOKUP(C27,'Trips&amp;Operators'!$C$1:$G$99999,5,FALSE)</f>
        <v>BARRON PERLA</v>
      </c>
      <c r="O27" s="203" t="s">
        <v>449</v>
      </c>
      <c r="P27" s="134" t="s">
        <v>1112</v>
      </c>
      <c r="Q27" s="30"/>
      <c r="R27" s="81" t="str">
        <f>VLOOKUP(C27,'Train Runs'!$A$13:$AE$9914,31,0)</f>
        <v>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 &amp; aws s3 cp s3://rtdc.mdm.uploadarchive.raw/RTDC4057/ "%USERPROFILE%\AppData\Local\Temp\OnboardLogs"\RTDC4057\2017-08-12 --exclude "*" --recursive --include "*20170812*" &amp; "%USERPROFILE%\Documents\GitHub\mrs-test-scripts\Headless Mode &amp; Sideloading\WalkAndUnGZ.bat" "%USERPROFILE%\AppData\Local\Temp\OnboardLogs"\RTDC4057\2017-08-12</v>
      </c>
      <c r="S27" s="84" t="str">
        <f>VLOOKUP(C27,'Train Runs'!$A$13:$AE$9914,22,0)</f>
        <v>https://d0f6bd738d7f1b3e5a7ca70fe4ff75f0.us-east-1.aws.found.io/app/kibana#/discover/Steve-Slow-Train-Analysis-(2080s-and-2083s)?_g=(refreshInterval:(display:Off,pause:!f,section:0,value:0),time:(from:'2017-08-11T05:54:19-0600',mode:absolute,to:'2017-08-11T08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7" s="86" t="str">
        <f t="shared" si="1"/>
        <v>"C:\Program Files (x86)\AstroGrep\AstroGrep.exe" /e /r /s /spath="%USERPROFILE%\AppData\Local\Temp\OnboardLogs" /stypes="*4057*201708111*" /stext=" 13:.+((SYSTEM_STATE.+slice.+state.+changed )|(ment ac)|(multiple cpu faults)|(system.+state.+changed )|(\[timeout)|(PRM\|1\|D)|(kpr)|(kdp)|(train st.+moving)|(\|lc)|(penalty))"</v>
      </c>
      <c r="U27" s="9" t="str">
        <f t="shared" si="2"/>
        <v>4057</v>
      </c>
      <c r="V27" s="31">
        <f t="shared" si="3"/>
        <v>42958.567812499998</v>
      </c>
      <c r="W27" s="45" t="str">
        <f t="shared" si="4"/>
        <v>EC</v>
      </c>
      <c r="X27" s="22">
        <f t="shared" si="5"/>
        <v>122</v>
      </c>
      <c r="Y27" s="96" t="str">
        <f t="shared" si="6"/>
        <v>echo {"issue":{"subject":"Wi-MAX data drop (Ulster)","project_id":79,"tracker_id":40,"status_id":1,"priority_id":2,"assigned_to_id":23,"start_date":"2017-08-11","description":"","custom_fields":[{"id":1,"name":"Subdivision","value":"EC"},{"id":4,"name":"Milepost","value":"5.7801"},{"id":17,"name":"Train ID","value":"122-11"},{"id":16,"name":"Locomotive ID","value":"4057"},{"id":130,"name":"Impact","value":""},{"id":150,"name":"Time of Event (Mountain Time)","value":"07:37:39"},{"id":151,"name":"Denver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/c/Users/stu/AppData/Local/Temp/OnboardLogs/RTDC4057 --include="*4057*201708111*"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"%USERPROFILE%\AppData\Local\Temp\OnboardLogs"\RTDC4057\*4057*201708111* &gt;&gt; 2017-08-11-SliceDisagreementCheck.txt</v>
      </c>
      <c r="AE27" s="145" t="str">
        <f t="shared" si="9"/>
        <v>start /low /b %USERPROFILE%\Documents\GitHub\eaglep3\Utilities\DownloadLogsFromS3.py --loco 4057 --day 2017-08-11</v>
      </c>
      <c r="AF27" s="1"/>
    </row>
    <row r="28" spans="1:32" x14ac:dyDescent="0.25">
      <c r="A28" s="31">
        <v>42958.402650462966</v>
      </c>
      <c r="B28" s="30" t="s">
        <v>507</v>
      </c>
      <c r="C28" s="30" t="s">
        <v>616</v>
      </c>
      <c r="D28" s="30" t="s">
        <v>49</v>
      </c>
      <c r="E28" s="30" t="s">
        <v>502</v>
      </c>
      <c r="F28" s="42">
        <v>0</v>
      </c>
      <c r="G28" s="42">
        <v>450</v>
      </c>
      <c r="H28" s="42">
        <v>60030</v>
      </c>
      <c r="I28" s="42">
        <v>58737</v>
      </c>
      <c r="J28" s="30" t="s">
        <v>503</v>
      </c>
      <c r="K28" s="42">
        <v>57801</v>
      </c>
      <c r="L28" s="131" t="s">
        <v>51</v>
      </c>
      <c r="M28" s="132">
        <f t="shared" si="0"/>
        <v>494.20800000000003</v>
      </c>
      <c r="N28" s="133" t="str">
        <f>VLOOKUP(C28,'Trips&amp;Operators'!$C$1:$G$99999,5,FALSE)</f>
        <v>DAVIS WENDY</v>
      </c>
      <c r="O28" s="203" t="s">
        <v>449</v>
      </c>
      <c r="P28" s="134" t="s">
        <v>1112</v>
      </c>
      <c r="Q28" s="30"/>
      <c r="R28" s="81" t="str">
        <f>VLOOKUP(C28,'Train Runs'!$A$13:$AE$9914,31,0)</f>
        <v>aws s3 cp s3://rtdc.mdm.uploadarchive.raw/RTDC4029/ "%USERPROFILE%\AppData\Local\Temp\OnboardLogs"\RTDC4029\2017-08-11 --exclude "*" --recursive --include "*20170811*" &amp; "%USERPROFILE%\Documents\GitHub\mrs-test-scripts\Headless Mode &amp; Sideloading\WalkAndUnGZ.bat" "%USERPROFILE%\AppData\Local\Temp\OnboardLogs"\RTDC4029\2017-08-11 &amp; aws s3 cp s3://rtdc.mdm.uploadarchive.raw/RTDC4029/ "%USERPROFILE%\AppData\Local\Temp\OnboardLogs"\RTDC4029\2017-08-12 --exclude "*" --recursive --include "*20170812*" &amp; "%USERPROFILE%\Documents\GitHub\mrs-test-scripts\Headless Mode &amp; Sideloading\WalkAndUnGZ.bat" "%USERPROFILE%\AppData\Local\Temp\OnboardLogs"\RTDC4029\2017-08-12</v>
      </c>
      <c r="S28" s="84" t="str">
        <f>VLOOKUP(C28,'Train Runs'!$A$13:$AE$9914,22,0)</f>
        <v>https://d0f6bd738d7f1b3e5a7ca70fe4ff75f0.us-east-1.aws.found.io/app/kibana#/discover/Steve-Slow-Train-Analysis-(2080s-and-2083s)?_g=(refreshInterval:(display:Off,pause:!f,section:0,value:0),time:(from:'2017-08-11T08:07:33-0600',mode:absolute,to:'2017-08-11T10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8" s="86" t="str">
        <f t="shared" si="1"/>
        <v>"C:\Program Files (x86)\AstroGrep\AstroGrep.exe" /e /r /s /spath="%USERPROFILE%\AppData\Local\Temp\OnboardLogs" /stypes="*4029*201708111*" /stext=" 15:.+((SYSTEM_STATE.+slice.+state.+changed )|(ment ac)|(multiple cpu faults)|(system.+state.+changed )|(\[timeout)|(PRM\|1\|D)|(kpr)|(kdp)|(train st.+moving)|(\|lc)|(penalty))"</v>
      </c>
      <c r="U28" s="9" t="str">
        <f t="shared" si="2"/>
        <v>4029</v>
      </c>
      <c r="V28" s="31">
        <f t="shared" si="3"/>
        <v>42958.652650462966</v>
      </c>
      <c r="W28" s="45" t="str">
        <f t="shared" si="4"/>
        <v>EC</v>
      </c>
      <c r="X28" s="22">
        <f t="shared" si="5"/>
        <v>138</v>
      </c>
      <c r="Y28" s="96" t="str">
        <f t="shared" si="6"/>
        <v>echo {"issue":{"subject":"Wi-MAX data drop (Ulster)","project_id":79,"tracker_id":40,"status_id":1,"priority_id":2,"assigned_to_id":23,"start_date":"2017-08-11","description":"","custom_fields":[{"id":1,"name":"Subdivision","value":"EC"},{"id":4,"name":"Milepost","value":"5.7801"},{"id":17,"name":"Train ID","value":"138-11"},{"id":16,"name":"Locomotive ID","value":"4029"},{"id":130,"name":"Impact","value":""},{"id":150,"name":"Time of Event (Mountain Time)","value":"09:39:49"},{"id":151,"name":"Denver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/c/Users/stu/AppData/Local/Temp/OnboardLogs/RTDC4029 --include="*4029*201708111*"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"%USERPROFILE%\AppData\Local\Temp\OnboardLogs"\RTDC4029\*4029*201708111* &gt;&gt; 2017-08-11-SliceDisagreementCheck.txt</v>
      </c>
      <c r="AE28" s="145" t="str">
        <f t="shared" si="9"/>
        <v>start /low /b %USERPROFILE%\Documents\GitHub\eaglep3\Utilities\DownloadLogsFromS3.py --loco 4029 --day 2017-08-11</v>
      </c>
      <c r="AF28" s="1"/>
    </row>
    <row r="29" spans="1:32" x14ac:dyDescent="0.25">
      <c r="A29" s="31">
        <v>42958.332245370373</v>
      </c>
      <c r="B29" s="30" t="s">
        <v>611</v>
      </c>
      <c r="C29" s="30" t="s">
        <v>612</v>
      </c>
      <c r="D29" s="30" t="s">
        <v>49</v>
      </c>
      <c r="E29" s="30" t="s">
        <v>502</v>
      </c>
      <c r="F29" s="42">
        <v>0</v>
      </c>
      <c r="G29" s="42">
        <v>652</v>
      </c>
      <c r="H29" s="42">
        <v>99414</v>
      </c>
      <c r="I29" s="42">
        <v>102258</v>
      </c>
      <c r="J29" s="30" t="s">
        <v>503</v>
      </c>
      <c r="K29" s="42">
        <v>103445</v>
      </c>
      <c r="L29" s="131" t="s">
        <v>50</v>
      </c>
      <c r="M29" s="132">
        <f t="shared" si="0"/>
        <v>626.73599999999999</v>
      </c>
      <c r="N29" s="133" t="str">
        <f>VLOOKUP(C29,'Trips&amp;Operators'!$C$1:$G$99999,5,FALSE)</f>
        <v>LOZA FIDEL</v>
      </c>
      <c r="O29" s="203" t="s">
        <v>449</v>
      </c>
      <c r="P29" s="134" t="s">
        <v>1107</v>
      </c>
      <c r="Q29" s="30"/>
      <c r="R29" s="81" t="str">
        <f>VLOOKUP(C29,'Train Runs'!$A$13:$AE$9914,31,0)</f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S29" s="84" t="str">
        <f>VLOOKUP(C29,'Train Runs'!$A$13:$AE$9914,22,0)</f>
        <v>https://d0f6bd738d7f1b3e5a7ca70fe4ff75f0.us-east-1.aws.found.io/app/kibana#/discover/Steve-Slow-Train-Analysis-(2080s-and-2083s)?_g=(refreshInterval:(display:Off,pause:!f,section:0,value:0),time:(from:'2017-08-11T06:25:59-0600',mode:absolute,to:'2017-08-11T09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9" s="86" t="str">
        <f t="shared" si="1"/>
        <v>"C:\Program Files (x86)\AstroGrep\AstroGrep.exe" /e /r /s /spath="%USERPROFILE%\AppData\Local\Temp\OnboardLogs" /stypes="*4060*201708111*" /stext=" 13:.+((SYSTEM_STATE.+slice.+state.+changed )|(ment ac)|(multiple cpu faults)|(system.+state.+changed )|(\[timeout)|(PRM\|1\|D)|(kpr)|(kdp)|(train st.+moving)|(\|lc)|(penalty))"</v>
      </c>
      <c r="U29" s="9" t="str">
        <f t="shared" si="2"/>
        <v>4060</v>
      </c>
      <c r="V29" s="31">
        <f t="shared" si="3"/>
        <v>42958.582245370373</v>
      </c>
      <c r="W29" s="45" t="str">
        <f t="shared" si="4"/>
        <v>EC</v>
      </c>
      <c r="X29" s="22">
        <f t="shared" si="5"/>
        <v>131</v>
      </c>
      <c r="Y29" s="96" t="str">
        <f t="shared" si="6"/>
        <v>echo {"issue":{"subject":"Wi-MAX data drop","project_id":79,"tracker_id":40,"status_id":1,"priority_id":2,"assigned_to_id":23,"start_date":"2017-08-11","description":"","custom_fields":[{"id":1,"name":"Subdivision","value":"EC"},{"id":4,"name":"Milepost","value":"10.3445"},{"id":17,"name":"Train ID","value":"131-11"},{"id":16,"name":"Locomotive ID","value":"4060"},{"id":130,"name":"Impact","value":""},{"id":150,"name":"Time of Event (Mountain Time)","value":"07:58:26"},{"id":151,"name":"Denver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/c/Users/stu/AppData/Local/Temp/OnboardLogs/RTDC4060 --include="*4060*201708111*"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"%USERPROFILE%\AppData\Local\Temp\OnboardLogs"\RTDC4060\*4060*201708111* &gt;&gt; 2017-08-11-SliceDisagreementCheck.txt</v>
      </c>
      <c r="AE29" s="145" t="str">
        <f t="shared" si="9"/>
        <v>start /low /b %USERPROFILE%\Documents\GitHub\eaglep3\Utilities\DownloadLogsFromS3.py --loco 4060 --day 2017-08-11</v>
      </c>
      <c r="AF29" s="1"/>
    </row>
    <row r="30" spans="1:32" x14ac:dyDescent="0.25">
      <c r="A30" s="31">
        <v>42958.209953703707</v>
      </c>
      <c r="B30" s="30" t="s">
        <v>550</v>
      </c>
      <c r="C30" s="30" t="s">
        <v>603</v>
      </c>
      <c r="D30" s="30" t="s">
        <v>96</v>
      </c>
      <c r="E30" s="30" t="s">
        <v>502</v>
      </c>
      <c r="F30" s="42">
        <v>0</v>
      </c>
      <c r="G30" s="42">
        <v>380</v>
      </c>
      <c r="H30" s="42">
        <v>155847</v>
      </c>
      <c r="I30" s="42">
        <v>157886</v>
      </c>
      <c r="J30" s="30" t="s">
        <v>503</v>
      </c>
      <c r="K30" s="42">
        <v>155600</v>
      </c>
      <c r="L30" s="131" t="s">
        <v>50</v>
      </c>
      <c r="M30" s="132">
        <f t="shared" si="0"/>
        <v>-1207.008</v>
      </c>
      <c r="N30" s="133" t="str">
        <f>VLOOKUP(C30,'Trips&amp;Operators'!$C$1:$G$99999,5,FALSE)</f>
        <v>BARRON PERLA</v>
      </c>
      <c r="O30" s="203" t="s">
        <v>449</v>
      </c>
      <c r="P30" s="134" t="s">
        <v>1107</v>
      </c>
      <c r="Q30" s="30"/>
      <c r="R30" s="81" t="str">
        <f>VLOOKUP(C30,'Train Runs'!$A$13:$AE$9914,31,0)</f>
        <v>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 &amp; aws s3 cp s3://rtdc.mdm.uploadarchive.raw/RTDC4058/ "%USERPROFILE%\AppData\Local\Temp\OnboardLogs"\RTDC4058\2017-08-12 --exclude "*" --recursive --include "*20170812*" &amp; "%USERPROFILE%\Documents\GitHub\mrs-test-scripts\Headless Mode &amp; Sideloading\WalkAndUnGZ.bat" "%USERPROFILE%\AppData\Local\Temp\OnboardLogs"\RTDC4058\2017-08-12</v>
      </c>
      <c r="S30" s="84" t="str">
        <f>VLOOKUP(C30,'Train Runs'!$A$13:$AE$9914,22,0)</f>
        <v>https://d0f6bd738d7f1b3e5a7ca70fe4ff75f0.us-east-1.aws.found.io/app/kibana#/discover/Steve-Slow-Train-Analysis-(2080s-and-2083s)?_g=(refreshInterval:(display:Off,pause:!f,section:0,value:0),time:(from:'2017-08-11T03:25:21-0600',mode:absolute,to:'2017-08-11T06:12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0" s="86" t="str">
        <f t="shared" si="1"/>
        <v>"C:\Program Files (x86)\AstroGrep\AstroGrep.exe" /e /r /s /spath="%USERPROFILE%\AppData\Local\Temp\OnboardLogs" /stypes="*4058*201708111*" /stext=" 11:.+((SYSTEM_STATE.+slice.+state.+changed )|(ment ac)|(multiple cpu faults)|(system.+state.+changed )|(\[timeout)|(PRM\|1\|D)|(kpr)|(kdp)|(train st.+moving)|(\|lc)|(penalty))"</v>
      </c>
      <c r="U30" s="9" t="str">
        <f t="shared" si="2"/>
        <v>4058</v>
      </c>
      <c r="V30" s="31">
        <f t="shared" si="3"/>
        <v>42958.459953703707</v>
      </c>
      <c r="W30" s="45" t="str">
        <f t="shared" si="4"/>
        <v>EC</v>
      </c>
      <c r="X30" s="22">
        <f t="shared" si="5"/>
        <v>107</v>
      </c>
      <c r="Y30" s="96" t="str">
        <f t="shared" si="6"/>
        <v>echo {"issue":{"subject":"Wi-MAX data drop","project_id":79,"tracker_id":40,"status_id":1,"priority_id":2,"assigned_to_id":23,"start_date":"2017-08-11","description":"","custom_fields":[{"id":1,"name":"Subdivision","value":"EC"},{"id":4,"name":"Milepost","value":"15.56"},{"id":17,"name":"Train ID","value":"107-11"},{"id":16,"name":"Locomotive ID","value":"4058"},{"id":130,"name":"Impact","value":""},{"id":150,"name":"Time of Event (Mountain Time)","value":"05:02:20"},{"id":151,"name":"Denver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/c/Users/stu/AppData/Local/Temp/OnboardLogs/RTDC4058 --include="*4058*201708111*"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"%USERPROFILE%\AppData\Local\Temp\OnboardLogs"\RTDC4058\*4058*201708111* &gt;&gt; 2017-08-11-SliceDisagreementCheck.txt</v>
      </c>
      <c r="AE30" s="145" t="str">
        <f t="shared" si="9"/>
        <v>start /low /b %USERPROFILE%\Documents\GitHub\eaglep3\Utilities\DownloadLogsFromS3.py --loco 4058 --day 2017-08-11</v>
      </c>
      <c r="AF30" s="1"/>
    </row>
    <row r="31" spans="1:32" x14ac:dyDescent="0.25">
      <c r="A31" s="31">
        <v>42958.202777777777</v>
      </c>
      <c r="B31" s="30" t="s">
        <v>356</v>
      </c>
      <c r="C31" s="30" t="s">
        <v>604</v>
      </c>
      <c r="D31" s="30" t="s">
        <v>49</v>
      </c>
      <c r="E31" s="30" t="s">
        <v>181</v>
      </c>
      <c r="F31" s="42">
        <v>0</v>
      </c>
      <c r="G31" s="42">
        <v>65</v>
      </c>
      <c r="H31" s="42">
        <v>205</v>
      </c>
      <c r="I31" s="42">
        <v>150</v>
      </c>
      <c r="J31" s="30" t="s">
        <v>182</v>
      </c>
      <c r="K31" s="42">
        <v>1</v>
      </c>
      <c r="L31" s="131" t="s">
        <v>51</v>
      </c>
      <c r="M31" s="132">
        <f t="shared" si="0"/>
        <v>78.671999999999997</v>
      </c>
      <c r="N31" s="133" t="str">
        <f>VLOOKUP(C31,'Trips&amp;Operators'!$C$1:$G$99999,5,FALSE)</f>
        <v>STARKS ANGELINA</v>
      </c>
      <c r="O31" s="203" t="s">
        <v>180</v>
      </c>
      <c r="P31" s="134"/>
      <c r="Q31" s="30"/>
      <c r="R31" s="81" t="str">
        <f>VLOOKUP(C31,'Train Runs'!$A$13:$AE$9914,31,0)</f>
        <v>aws s3 cp s3://rtdc.mdm.uploadarchive.raw/RTDC4039/ "%USERPROFILE%\AppData\Local\Temp\OnboardLogs"\RTDC4039\2017-08-11 --exclude "*" --recursive --include "*20170811*" &amp; "%USERPROFILE%\Documents\GitHub\mrs-test-scripts\Headless Mode &amp; Sideloading\WalkAndUnGZ.bat" "%USERPROFILE%\AppData\Local\Temp\OnboardLogs"\RTDC4039\2017-08-11 &amp; aws s3 cp s3://rtdc.mdm.uploadarchive.raw/RTDC4039/ "%USERPROFILE%\AppData\Local\Temp\OnboardLogs"\RTDC4039\2017-08-12 --exclude "*" --recursive --include "*20170812*" &amp; "%USERPROFILE%\Documents\GitHub\mrs-test-scripts\Headless Mode &amp; Sideloading\WalkAndUnGZ.bat" "%USERPROFILE%\AppData\Local\Temp\OnboardLogs"\RTDC4039\2017-08-12</v>
      </c>
      <c r="S31" s="84" t="str">
        <f>VLOOKUP(C31,'Train Runs'!$A$13:$AE$9914,22,0)</f>
        <v>https://d0f6bd738d7f1b3e5a7ca70fe4ff75f0.us-east-1.aws.found.io/app/kibana#/discover/Steve-Slow-Train-Analysis-(2080s-and-2083s)?_g=(refreshInterval:(display:Off,pause:!f,section:0,value:0),time:(from:'2017-08-11T03:05:15-0600',mode:absolute,to:'2017-08-11T05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1" s="86" t="str">
        <f t="shared" si="1"/>
        <v>"C:\Program Files (x86)\AstroGrep\AstroGrep.exe" /e /r /s /spath="%USERPROFILE%\AppData\Local\Temp\OnboardLogs" /stypes="*4039*201708111*" /stext=" 10:.+((SYSTEM_STATE.+slice.+state.+changed )|(ment ac)|(multiple cpu faults)|(system.+state.+changed )|(\[timeout)|(PRM\|1\|D)|(kpr)|(kdp)|(train st.+moving)|(\|lc)|(penalty))"</v>
      </c>
      <c r="U31" s="9" t="str">
        <f t="shared" si="2"/>
        <v>4039</v>
      </c>
      <c r="V31" s="31">
        <f t="shared" si="3"/>
        <v>42958.452777777777</v>
      </c>
      <c r="W31" s="45" t="str">
        <f t="shared" si="4"/>
        <v>EC</v>
      </c>
      <c r="X31" s="22">
        <f t="shared" si="5"/>
        <v>102</v>
      </c>
      <c r="Y31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{"issue":{"subject":"","project_id":79,"tracker_id":40,"status_id":1,"priority_id":2,"assigned_to_id":23,"start_date":"2017-08-11","description":"","custom_fields":[{"id":1,"name":"Subdivision","value":"EC"},{"id":4,"name":"Milepost","value":"0.0001"},{"id":17,"name":"Train ID","value":"102-11"},{"id":16,"name":"Locomotive ID","value":"4039"},{"id":130,"name":"Impact","value":""},{"id":150,"name":"Time of Event (Mountain Time)","value":"04:52:00"},{"id":151,"name":"Denver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/c/Users/stu/AppData/Local/Temp/OnboardLogs/RTDC4039 --include="*4039*201708111*"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"%USERPROFILE%\AppData\Local\Temp\OnboardLogs"\RTDC4039\*4039*201708111* &gt;&gt; 2017-08-11-SliceDisagreementCheck.txt</v>
      </c>
      <c r="AE31" s="145" t="str">
        <f t="shared" si="9"/>
        <v>start /low /b %USERPROFILE%\Documents\GitHub\eaglep3\Utilities\DownloadLogsFromS3.py --loco 4039 --day 2017-08-11</v>
      </c>
      <c r="AF31" s="1"/>
    </row>
    <row r="32" spans="1:32" x14ac:dyDescent="0.25">
      <c r="A32" s="31">
        <v>42958.353668981479</v>
      </c>
      <c r="B32" s="30" t="s">
        <v>356</v>
      </c>
      <c r="C32" s="30" t="s">
        <v>614</v>
      </c>
      <c r="D32" s="30" t="s">
        <v>49</v>
      </c>
      <c r="E32" s="30" t="s">
        <v>181</v>
      </c>
      <c r="F32" s="42">
        <v>0</v>
      </c>
      <c r="G32" s="42">
        <v>58</v>
      </c>
      <c r="H32" s="42">
        <v>327</v>
      </c>
      <c r="I32" s="42">
        <v>249</v>
      </c>
      <c r="J32" s="30" t="s">
        <v>182</v>
      </c>
      <c r="K32" s="42">
        <v>1</v>
      </c>
      <c r="L32" s="131" t="s">
        <v>51</v>
      </c>
      <c r="M32" s="132">
        <f t="shared" si="0"/>
        <v>130.94399999999999</v>
      </c>
      <c r="N32" s="133" t="str">
        <f>VLOOKUP(C32,'Trips&amp;Operators'!$C$1:$G$99999,5,FALSE)</f>
        <v>STARKS ANGELINA</v>
      </c>
      <c r="O32" s="203" t="s">
        <v>180</v>
      </c>
      <c r="P32" s="134"/>
      <c r="Q32" s="30"/>
      <c r="R32" s="81" t="str">
        <f>VLOOKUP(C32,'Train Runs'!$A$13:$AE$9914,31,0)</f>
        <v>aws s3 cp s3://rtdc.mdm.uploadarchive.raw/RTDC4039/ "%USERPROFILE%\AppData\Local\Temp\OnboardLogs"\RTDC4039\2017-08-11 --exclude "*" --recursive --include "*20170811*" &amp; "%USERPROFILE%\Documents\GitHub\mrs-test-scripts\Headless Mode &amp; Sideloading\WalkAndUnGZ.bat" "%USERPROFILE%\AppData\Local\Temp\OnboardLogs"\RTDC4039\2017-08-11 &amp; aws s3 cp s3://rtdc.mdm.uploadarchive.raw/RTDC4039/ "%USERPROFILE%\AppData\Local\Temp\OnboardLogs"\RTDC4039\2017-08-12 --exclude "*" --recursive --include "*20170812*" &amp; "%USERPROFILE%\Documents\GitHub\mrs-test-scripts\Headless Mode &amp; Sideloading\WalkAndUnGZ.bat" "%USERPROFILE%\AppData\Local\Temp\OnboardLogs"\RTDC4039\2017-08-12</v>
      </c>
      <c r="S32" s="84" t="str">
        <f>VLOOKUP(C32,'Train Runs'!$A$13:$AE$9914,22,0)</f>
        <v>https://d0f6bd738d7f1b3e5a7ca70fe4ff75f0.us-east-1.aws.found.io/app/kibana#/discover/Steve-Slow-Train-Analysis-(2080s-and-2083s)?_g=(refreshInterval:(display:Off,pause:!f,section:0,value:0),time:(from:'2017-08-11T06:40:12-0600',mode:absolute,to:'2017-08-11T09:30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2" s="86" t="str">
        <f t="shared" si="1"/>
        <v>"C:\Program Files (x86)\AstroGrep\AstroGrep.exe" /e /r /s /spath="%USERPROFILE%\AppData\Local\Temp\OnboardLogs" /stypes="*4039*201708111*" /stext=" 14:.+((SYSTEM_STATE.+slice.+state.+changed )|(ment ac)|(multiple cpu faults)|(system.+state.+changed )|(\[timeout)|(PRM\|1\|D)|(kpr)|(kdp)|(train st.+moving)|(\|lc)|(penalty))"</v>
      </c>
      <c r="U32" s="9" t="str">
        <f t="shared" si="2"/>
        <v>4039</v>
      </c>
      <c r="V32" s="31">
        <f t="shared" si="3"/>
        <v>42958.603668981479</v>
      </c>
      <c r="W32" s="45" t="str">
        <f t="shared" si="4"/>
        <v>EC</v>
      </c>
      <c r="X32" s="22">
        <f t="shared" si="5"/>
        <v>126</v>
      </c>
      <c r="Y32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{"issue":{"subject":"","project_id":79,"tracker_id":40,"status_id":1,"priority_id":2,"assigned_to_id":23,"start_date":"2017-08-11","description":"","custom_fields":[{"id":1,"name":"Subdivision","value":"EC"},{"id":4,"name":"Milepost","value":"0.0001"},{"id":17,"name":"Train ID","value":"126-11"},{"id":16,"name":"Locomotive ID","value":"4039"},{"id":130,"name":"Impact","value":""},{"id":150,"name":"Time of Event (Mountain Time)","value":"08:29:17"},{"id":151,"name":"Denver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/c/Users/stu/AppData/Local/Temp/OnboardLogs/RTDC4039 --include="*4039*201708111*"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"%USERPROFILE%\AppData\Local\Temp\OnboardLogs"\RTDC4039\*4039*201708111* &gt;&gt; 2017-08-11-SliceDisagreementCheck.txt</v>
      </c>
      <c r="AE32" s="145" t="str">
        <f t="shared" si="9"/>
        <v>start /low /b %USERPROFILE%\Documents\GitHub\eaglep3\Utilities\DownloadLogsFromS3.py --loco 4039 --day 2017-08-11</v>
      </c>
      <c r="AF32" s="1"/>
    </row>
    <row r="33" spans="1:32" x14ac:dyDescent="0.25">
      <c r="A33" s="31">
        <v>42958.390243055554</v>
      </c>
      <c r="B33" s="30" t="s">
        <v>549</v>
      </c>
      <c r="C33" s="30" t="s">
        <v>615</v>
      </c>
      <c r="D33" s="30" t="s">
        <v>49</v>
      </c>
      <c r="E33" s="30" t="s">
        <v>181</v>
      </c>
      <c r="F33" s="42">
        <v>0</v>
      </c>
      <c r="G33" s="42">
        <v>47</v>
      </c>
      <c r="H33" s="42">
        <v>172</v>
      </c>
      <c r="I33" s="42">
        <v>129</v>
      </c>
      <c r="J33" s="30" t="s">
        <v>182</v>
      </c>
      <c r="K33" s="42">
        <v>1</v>
      </c>
      <c r="L33" s="131" t="s">
        <v>51</v>
      </c>
      <c r="M33" s="132">
        <f t="shared" si="0"/>
        <v>67.584000000000003</v>
      </c>
      <c r="N33" s="133" t="str">
        <f>VLOOKUP(C33,'Trips&amp;Operators'!$C$1:$G$99999,5,FALSE)</f>
        <v>GUNTHIER ERIC</v>
      </c>
      <c r="O33" s="203" t="s">
        <v>180</v>
      </c>
      <c r="P33" s="134"/>
      <c r="Q33" s="30"/>
      <c r="R33" s="81" t="str">
        <f>VLOOKUP(C33,'Train Runs'!$A$13:$AE$9914,31,0)</f>
        <v>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 &amp; aws s3 cp s3://rtdc.mdm.uploadarchive.raw/RTDC4065/ "%USERPROFILE%\AppData\Local\Temp\OnboardLogs"\RTDC4065\2017-08-12 --exclude "*" --recursive --include "*20170812*" &amp; "%USERPROFILE%\Documents\GitHub\mrs-test-scripts\Headless Mode &amp; Sideloading\WalkAndUnGZ.bat" "%USERPROFILE%\AppData\Local\Temp\OnboardLogs"\RTDC4065\2017-08-12</v>
      </c>
      <c r="S33" s="84" t="str">
        <f>VLOOKUP(C33,'Train Runs'!$A$13:$AE$9914,22,0)</f>
        <v>https://d0f6bd738d7f1b3e5a7ca70fe4ff75f0.us-east-1.aws.found.io/app/kibana#/discover/Steve-Slow-Train-Analysis-(2080s-and-2083s)?_g=(refreshInterval:(display:Off,pause:!f,section:0,value:0),time:(from:'2017-08-11T07:36:00-0600',mode:absolute,to:'2017-08-11T10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3" s="86" t="str">
        <f t="shared" si="1"/>
        <v>"C:\Program Files (x86)\AstroGrep\AstroGrep.exe" /e /r /s /spath="%USERPROFILE%\AppData\Local\Temp\OnboardLogs" /stypes="*4065*201708111*" /stext=" 15:.+((SYSTEM_STATE.+slice.+state.+changed )|(ment ac)|(multiple cpu faults)|(system.+state.+changed )|(\[timeout)|(PRM\|1\|D)|(kpr)|(kdp)|(train st.+moving)|(\|lc)|(penalty))"</v>
      </c>
      <c r="U33" s="9" t="str">
        <f t="shared" si="2"/>
        <v>4065</v>
      </c>
      <c r="V33" s="31">
        <f t="shared" si="3"/>
        <v>42958.640243055554</v>
      </c>
      <c r="W33" s="45" t="str">
        <f t="shared" si="4"/>
        <v>EC</v>
      </c>
      <c r="X33" s="22">
        <f t="shared" si="5"/>
        <v>134</v>
      </c>
      <c r="Y33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{"issue":{"subject":"","project_id":79,"tracker_id":40,"status_id":1,"priority_id":2,"assigned_to_id":23,"start_date":"2017-08-11","description":"","custom_fields":[{"id":1,"name":"Subdivision","value":"EC"},{"id":4,"name":"Milepost","value":"0.0001"},{"id":17,"name":"Train ID","value":"134-11"},{"id":16,"name":"Locomotive ID","value":"4065"},{"id":130,"name":"Impact","value":""},{"id":150,"name":"Time of Event (Mountain Time)","value":"09:21:57"},{"id":151,"name":"Denver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/c/Users/stu/AppData/Local/Temp/OnboardLogs/RTDC4065 --include="*4065*201708111*"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"%USERPROFILE%\AppData\Local\Temp\OnboardLogs"\RTDC4065\*4065*201708111* &gt;&gt; 2017-08-11-SliceDisagreementCheck.txt</v>
      </c>
      <c r="AE33" s="145" t="str">
        <f t="shared" si="9"/>
        <v>start /low /b %USERPROFILE%\Documents\GitHub\eaglep3\Utilities\DownloadLogsFromS3.py --loco 4065 --day 2017-08-11</v>
      </c>
      <c r="AF33" s="1"/>
    </row>
    <row r="34" spans="1:32" x14ac:dyDescent="0.25">
      <c r="A34" s="31">
        <v>42958.556527777779</v>
      </c>
      <c r="B34" s="30" t="s">
        <v>507</v>
      </c>
      <c r="C34" s="30" t="s">
        <v>620</v>
      </c>
      <c r="D34" s="30" t="s">
        <v>49</v>
      </c>
      <c r="E34" s="30" t="s">
        <v>181</v>
      </c>
      <c r="F34" s="42">
        <v>0</v>
      </c>
      <c r="G34" s="42">
        <v>66</v>
      </c>
      <c r="H34" s="42">
        <v>227</v>
      </c>
      <c r="I34" s="42">
        <v>154</v>
      </c>
      <c r="J34" s="30" t="s">
        <v>182</v>
      </c>
      <c r="K34" s="42">
        <v>1</v>
      </c>
      <c r="L34" s="131" t="s">
        <v>51</v>
      </c>
      <c r="M34" s="132">
        <f t="shared" si="0"/>
        <v>80.784000000000006</v>
      </c>
      <c r="N34" s="133" t="str">
        <f>VLOOKUP(C34,'Trips&amp;Operators'!$C$1:$G$99999,5,FALSE)</f>
        <v>WEST BRYAN</v>
      </c>
      <c r="O34" s="203" t="s">
        <v>180</v>
      </c>
      <c r="P34" s="134"/>
      <c r="Q34" s="30"/>
      <c r="R34" s="81" t="str">
        <f>VLOOKUP(C34,'Train Runs'!$A$13:$AE$9914,31,0)</f>
        <v>aws s3 cp s3://rtdc.mdm.uploadarchive.raw/RTDC4029/ "%USERPROFILE%\AppData\Local\Temp\OnboardLogs"\RTDC4029\2017-08-11 --exclude "*" --recursive --include "*20170811*" &amp; "%USERPROFILE%\Documents\GitHub\mrs-test-scripts\Headless Mode &amp; Sideloading\WalkAndUnGZ.bat" "%USERPROFILE%\AppData\Local\Temp\OnboardLogs"\RTDC4029\2017-08-11 &amp; aws s3 cp s3://rtdc.mdm.uploadarchive.raw/RTDC4029/ "%USERPROFILE%\AppData\Local\Temp\OnboardLogs"\RTDC4029\2017-08-12 --exclude "*" --recursive --include "*20170812*" &amp; "%USERPROFILE%\Documents\GitHub\mrs-test-scripts\Headless Mode &amp; Sideloading\WalkAndUnGZ.bat" "%USERPROFILE%\AppData\Local\Temp\OnboardLogs"\RTDC4029\2017-08-12</v>
      </c>
      <c r="S34" s="84" t="str">
        <f>VLOOKUP(C34,'Train Runs'!$A$13:$AE$9914,22,0)</f>
        <v>https://d0f6bd738d7f1b3e5a7ca70fe4ff75f0.us-east-1.aws.found.io/app/kibana#/discover/Steve-Slow-Train-Analysis-(2080s-and-2083s)?_g=(refreshInterval:(display:Off,pause:!f,section:0,value:0),time:(from:'2017-08-11T11:31:47-0600',mode:absolute,to:'2017-08-11T14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4" s="86" t="str">
        <f t="shared" si="1"/>
        <v>"C:\Program Files (x86)\AstroGrep\AstroGrep.exe" /e /r /s /spath="%USERPROFILE%\AppData\Local\Temp\OnboardLogs" /stypes="*4029*201708111*" /stext=" 19:.+((SYSTEM_STATE.+slice.+state.+changed )|(ment ac)|(multiple cpu faults)|(system.+state.+changed )|(\[timeout)|(PRM\|1\|D)|(kpr)|(kdp)|(train st.+moving)|(\|lc)|(penalty))"</v>
      </c>
      <c r="U34" s="9" t="str">
        <f t="shared" si="2"/>
        <v>4029</v>
      </c>
      <c r="V34" s="31">
        <f t="shared" si="3"/>
        <v>42958.806527777779</v>
      </c>
      <c r="W34" s="45" t="str">
        <f t="shared" si="4"/>
        <v>EC</v>
      </c>
      <c r="X34" s="22">
        <f t="shared" si="5"/>
        <v>166</v>
      </c>
      <c r="Y34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{"issue":{"subject":"","project_id":79,"tracker_id":40,"status_id":1,"priority_id":2,"assigned_to_id":23,"start_date":"2017-08-11","description":"","custom_fields":[{"id":1,"name":"Subdivision","value":"EC"},{"id":4,"name":"Milepost","value":"0.0001"},{"id":17,"name":"Train ID","value":"166-11"},{"id":16,"name":"Locomotive ID","value":"4029"},{"id":130,"name":"Impact","value":""},{"id":150,"name":"Time of Event (Mountain Time)","value":"13:21:24"},{"id":151,"name":"Denver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/c/Users/stu/AppData/Local/Temp/OnboardLogs/RTDC4029 --include="*4029*201708111*"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"%USERPROFILE%\AppData\Local\Temp\OnboardLogs"\RTDC4029\*4029*201708111* &gt;&gt; 2017-08-11-SliceDisagreementCheck.txt</v>
      </c>
      <c r="AE34" s="145" t="str">
        <f t="shared" si="9"/>
        <v>start /low /b %USERPROFILE%\Documents\GitHub\eaglep3\Utilities\DownloadLogsFromS3.py --loco 4029 --day 2017-08-11</v>
      </c>
      <c r="AF34" s="1"/>
    </row>
    <row r="35" spans="1:32" x14ac:dyDescent="0.25">
      <c r="A35" s="31">
        <v>42958.691944444443</v>
      </c>
      <c r="B35" s="30" t="s">
        <v>504</v>
      </c>
      <c r="C35" s="30" t="s">
        <v>628</v>
      </c>
      <c r="D35" s="30" t="s">
        <v>49</v>
      </c>
      <c r="E35" s="30" t="s">
        <v>181</v>
      </c>
      <c r="F35" s="42">
        <v>0</v>
      </c>
      <c r="G35" s="42">
        <v>160</v>
      </c>
      <c r="H35" s="42">
        <v>710</v>
      </c>
      <c r="I35" s="42">
        <v>524</v>
      </c>
      <c r="J35" s="30" t="s">
        <v>182</v>
      </c>
      <c r="K35" s="42">
        <v>1</v>
      </c>
      <c r="L35" s="131" t="s">
        <v>51</v>
      </c>
      <c r="M35" s="132">
        <f t="shared" si="0"/>
        <v>276.14400000000001</v>
      </c>
      <c r="N35" s="133" t="str">
        <f>VLOOKUP(C35,'Trips&amp;Operators'!$C$1:$G$99999,5,FALSE)</f>
        <v>STEWART MICHAEL</v>
      </c>
      <c r="O35" s="203" t="s">
        <v>180</v>
      </c>
      <c r="P35" s="134"/>
      <c r="Q35" s="30"/>
      <c r="R35" s="81" t="str">
        <f>VLOOKUP(C35,'Train Runs'!$A$13:$AE$9914,31,0)</f>
        <v>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 &amp; aws s3 cp s3://rtdc.mdm.uploadarchive.raw/RTDC4019/ "%USERPROFILE%\AppData\Local\Temp\OnboardLogs"\RTDC4019\2017-08-12 --exclude "*" --recursive --include "*20170812*" &amp; "%USERPROFILE%\Documents\GitHub\mrs-test-scripts\Headless Mode &amp; Sideloading\WalkAndUnGZ.bat" "%USERPROFILE%\AppData\Local\Temp\OnboardLogs"\RTDC4019\2017-08-12</v>
      </c>
      <c r="S35" s="84" t="str">
        <f>VLOOKUP(C35,'Train Runs'!$A$13:$AE$9914,22,0)</f>
        <v>https://d0f6bd738d7f1b3e5a7ca70fe4ff75f0.us-east-1.aws.found.io/app/kibana#/discover/Steve-Slow-Train-Analysis-(2080s-and-2083s)?_g=(refreshInterval:(display:Off,pause:!f,section:0,value:0),time:(from:'2017-08-11T14:51:54-0600',mode:absolute,to:'2017-08-11T17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5" s="86" t="str">
        <f t="shared" si="1"/>
        <v>"C:\Program Files (x86)\AstroGrep\AstroGrep.exe" /e /r /s /spath="%USERPROFILE%\AppData\Local\Temp\OnboardLogs" /stypes="*4019*201708112*" /stext=" 22:.+((SYSTEM_STATE.+slice.+state.+changed )|(ment ac)|(multiple cpu faults)|(system.+state.+changed )|(\[timeout)|(PRM\|1\|D)|(kpr)|(kdp)|(train st.+moving)|(\|lc)|(penalty))"</v>
      </c>
      <c r="U35" s="9" t="str">
        <f t="shared" si="2"/>
        <v>4019</v>
      </c>
      <c r="V35" s="31">
        <f t="shared" si="3"/>
        <v>42958.941944444443</v>
      </c>
      <c r="W35" s="45" t="str">
        <f t="shared" si="4"/>
        <v>EC</v>
      </c>
      <c r="X35" s="22">
        <f t="shared" si="5"/>
        <v>192</v>
      </c>
      <c r="Y35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{"issue":{"subject":"","project_id":79,"tracker_id":40,"status_id":1,"priority_id":2,"assigned_to_id":23,"start_date":"2017-08-11","description":"","custom_fields":[{"id":1,"name":"Subdivision","value":"EC"},{"id":4,"name":"Milepost","value":"0.0001"},{"id":17,"name":"Train ID","value":"192-11"},{"id":16,"name":"Locomotive ID","value":"4019"},{"id":130,"name":"Impact","value":""},{"id":150,"name":"Time of Event (Mountain Time)","value":"16:36:24"},{"id":151,"name":"Denver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/c/Users/stu/AppData/Local/Temp/OnboardLogs/RTDC4019 --include="*4019*201708112*"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"%USERPROFILE%\AppData\Local\Temp\OnboardLogs"\RTDC4019\*4019*201708112* &gt;&gt; 2017-08-11-SliceDisagreementCheck.txt</v>
      </c>
      <c r="AE35" s="145" t="str">
        <f t="shared" si="9"/>
        <v>start /low /b %USERPROFILE%\Documents\GitHub\eaglep3\Utilities\DownloadLogsFromS3.py --loco 4019 --day 2017-08-11</v>
      </c>
      <c r="AF35" s="1"/>
    </row>
    <row r="36" spans="1:32" x14ac:dyDescent="0.25">
      <c r="A36" s="31">
        <v>42958.692476851851</v>
      </c>
      <c r="B36" s="30" t="s">
        <v>504</v>
      </c>
      <c r="C36" s="30" t="s">
        <v>628</v>
      </c>
      <c r="D36" s="30" t="s">
        <v>49</v>
      </c>
      <c r="E36" s="30" t="s">
        <v>181</v>
      </c>
      <c r="F36" s="42">
        <v>0</v>
      </c>
      <c r="G36" s="42">
        <v>78</v>
      </c>
      <c r="H36" s="42">
        <v>234</v>
      </c>
      <c r="I36" s="42">
        <v>160</v>
      </c>
      <c r="J36" s="30" t="s">
        <v>182</v>
      </c>
      <c r="K36" s="42">
        <v>1</v>
      </c>
      <c r="L36" s="131" t="s">
        <v>51</v>
      </c>
      <c r="M36" s="132">
        <f t="shared" si="0"/>
        <v>83.951999999999998</v>
      </c>
      <c r="N36" s="133" t="str">
        <f>VLOOKUP(C36,'Trips&amp;Operators'!$C$1:$G$99999,5,FALSE)</f>
        <v>STEWART MICHAEL</v>
      </c>
      <c r="O36" s="203" t="s">
        <v>180</v>
      </c>
      <c r="P36" s="134"/>
      <c r="Q36" s="30"/>
      <c r="R36" s="81" t="str">
        <f>VLOOKUP(C36,'Train Runs'!$A$13:$AE$9914,31,0)</f>
        <v>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 &amp; aws s3 cp s3://rtdc.mdm.uploadarchive.raw/RTDC4019/ "%USERPROFILE%\AppData\Local\Temp\OnboardLogs"\RTDC4019\2017-08-12 --exclude "*" --recursive --include "*20170812*" &amp; "%USERPROFILE%\Documents\GitHub\mrs-test-scripts\Headless Mode &amp; Sideloading\WalkAndUnGZ.bat" "%USERPROFILE%\AppData\Local\Temp\OnboardLogs"\RTDC4019\2017-08-12</v>
      </c>
      <c r="S36" s="84" t="str">
        <f>VLOOKUP(C36,'Train Runs'!$A$13:$AE$9914,22,0)</f>
        <v>https://d0f6bd738d7f1b3e5a7ca70fe4ff75f0.us-east-1.aws.found.io/app/kibana#/discover/Steve-Slow-Train-Analysis-(2080s-and-2083s)?_g=(refreshInterval:(display:Off,pause:!f,section:0,value:0),time:(from:'2017-08-11T14:51:54-0600',mode:absolute,to:'2017-08-11T17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6" s="86" t="str">
        <f t="shared" si="1"/>
        <v>"C:\Program Files (x86)\AstroGrep\AstroGrep.exe" /e /r /s /spath="%USERPROFILE%\AppData\Local\Temp\OnboardLogs" /stypes="*4019*201708112*" /stext=" 22:.+((SYSTEM_STATE.+slice.+state.+changed )|(ment ac)|(multiple cpu faults)|(system.+state.+changed )|(\[timeout)|(PRM\|1\|D)|(kpr)|(kdp)|(train st.+moving)|(\|lc)|(penalty))"</v>
      </c>
      <c r="U36" s="9" t="str">
        <f t="shared" si="2"/>
        <v>4019</v>
      </c>
      <c r="V36" s="31">
        <f t="shared" si="3"/>
        <v>42958.942476851851</v>
      </c>
      <c r="W36" s="45" t="str">
        <f t="shared" si="4"/>
        <v>EC</v>
      </c>
      <c r="X36" s="22">
        <f t="shared" si="5"/>
        <v>192</v>
      </c>
      <c r="Y36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{"issue":{"subject":"","project_id":79,"tracker_id":40,"status_id":1,"priority_id":2,"assigned_to_id":23,"start_date":"2017-08-11","description":"","custom_fields":[{"id":1,"name":"Subdivision","value":"EC"},{"id":4,"name":"Milepost","value":"0.0001"},{"id":17,"name":"Train ID","value":"192-11"},{"id":16,"name":"Locomotive ID","value":"4019"},{"id":130,"name":"Impact","value":""},{"id":150,"name":"Time of Event (Mountain Time)","value":"16:37:10"},{"id":151,"name":"Denver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/c/Users/stu/AppData/Local/Temp/OnboardLogs/RTDC4019 --include="*4019*201708112*"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"%USERPROFILE%\AppData\Local\Temp\OnboardLogs"\RTDC4019\*4019*201708112* &gt;&gt; 2017-08-11-SliceDisagreementCheck.txt</v>
      </c>
      <c r="AE36" s="145" t="str">
        <f t="shared" si="9"/>
        <v>start /low /b %USERPROFILE%\Documents\GitHub\eaglep3\Utilities\DownloadLogsFromS3.py --loco 4019 --day 2017-08-11</v>
      </c>
      <c r="AF36" s="1"/>
    </row>
    <row r="37" spans="1:32" x14ac:dyDescent="0.25">
      <c r="A37" s="31">
        <v>42958.702175925922</v>
      </c>
      <c r="B37" s="30" t="s">
        <v>507</v>
      </c>
      <c r="C37" s="30" t="s">
        <v>630</v>
      </c>
      <c r="D37" s="30" t="s">
        <v>49</v>
      </c>
      <c r="E37" s="30" t="s">
        <v>181</v>
      </c>
      <c r="F37" s="42">
        <v>0</v>
      </c>
      <c r="G37" s="42">
        <v>46</v>
      </c>
      <c r="H37" s="42">
        <v>194</v>
      </c>
      <c r="I37" s="42">
        <v>152</v>
      </c>
      <c r="J37" s="30" t="s">
        <v>182</v>
      </c>
      <c r="K37" s="42">
        <v>1</v>
      </c>
      <c r="L37" s="131" t="s">
        <v>51</v>
      </c>
      <c r="M37" s="132">
        <f t="shared" si="0"/>
        <v>79.727999999999994</v>
      </c>
      <c r="N37" s="133" t="str">
        <f>VLOOKUP(C37,'Trips&amp;Operators'!$C$1:$G$99999,5,FALSE)</f>
        <v>WEST BRYAN</v>
      </c>
      <c r="O37" s="203" t="s">
        <v>180</v>
      </c>
      <c r="P37" s="134"/>
      <c r="Q37" s="30"/>
      <c r="R37" s="81" t="str">
        <f>VLOOKUP(C37,'Train Runs'!$A$13:$AE$9914,31,0)</f>
        <v>aws s3 cp s3://rtdc.mdm.uploadarchive.raw/RTDC4029/ "%USERPROFILE%\AppData\Local\Temp\OnboardLogs"\RTDC4029\2017-08-11 --exclude "*" --recursive --include "*20170811*" &amp; "%USERPROFILE%\Documents\GitHub\mrs-test-scripts\Headless Mode &amp; Sideloading\WalkAndUnGZ.bat" "%USERPROFILE%\AppData\Local\Temp\OnboardLogs"\RTDC4029\2017-08-11 &amp; aws s3 cp s3://rtdc.mdm.uploadarchive.raw/RTDC4029/ "%USERPROFILE%\AppData\Local\Temp\OnboardLogs"\RTDC4029\2017-08-12 --exclude "*" --recursive --include "*20170812*" &amp; "%USERPROFILE%\Documents\GitHub\mrs-test-scripts\Headless Mode &amp; Sideloading\WalkAndUnGZ.bat" "%USERPROFILE%\AppData\Local\Temp\OnboardLogs"\RTDC4029\2017-08-12</v>
      </c>
      <c r="S37" s="84" t="str">
        <f>VLOOKUP(C37,'Train Runs'!$A$13:$AE$9914,22,0)</f>
        <v>https://d0f6bd738d7f1b3e5a7ca70fe4ff75f0.us-east-1.aws.found.io/app/kibana#/discover/Steve-Slow-Train-Analysis-(2080s-and-2083s)?_g=(refreshInterval:(display:Off,pause:!f,section:0,value:0),time:(from:'2017-08-11T15:05:11-0600',mode:absolute,to:'2017-08-11T17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7" s="86" t="str">
        <f t="shared" si="1"/>
        <v>"C:\Program Files (x86)\AstroGrep\AstroGrep.exe" /e /r /s /spath="%USERPROFILE%\AppData\Local\Temp\OnboardLogs" /stypes="*4029*201708112*" /stext=" 22:.+((SYSTEM_STATE.+slice.+state.+changed )|(ment ac)|(multiple cpu faults)|(system.+state.+changed )|(\[timeout)|(PRM\|1\|D)|(kpr)|(kdp)|(train st.+moving)|(\|lc)|(penalty))"</v>
      </c>
      <c r="U37" s="9" t="str">
        <f t="shared" si="2"/>
        <v>4029</v>
      </c>
      <c r="V37" s="31">
        <f t="shared" si="3"/>
        <v>42958.952175925922</v>
      </c>
      <c r="W37" s="45" t="str">
        <f t="shared" si="4"/>
        <v>EC</v>
      </c>
      <c r="X37" s="22">
        <f t="shared" si="5"/>
        <v>194</v>
      </c>
      <c r="Y37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{"issue":{"subject":"","project_id":79,"tracker_id":40,"status_id":1,"priority_id":2,"assigned_to_id":23,"start_date":"2017-08-11","description":"","custom_fields":[{"id":1,"name":"Subdivision","value":"EC"},{"id":4,"name":"Milepost","value":"0.0001"},{"id":17,"name":"Train ID","value":"194-11"},{"id":16,"name":"Locomotive ID","value":"4029"},{"id":130,"name":"Impact","value":""},{"id":150,"name":"Time of Event (Mountain Time)","value":"16:51:08"},{"id":151,"name":"Denver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/c/Users/stu/AppData/Local/Temp/OnboardLogs/RTDC4029 --include="*4029*201708112*"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"%USERPROFILE%\AppData\Local\Temp\OnboardLogs"\RTDC4029\*4029*201708112* &gt;&gt; 2017-08-11-SliceDisagreementCheck.txt</v>
      </c>
      <c r="AE37" s="145" t="str">
        <f t="shared" si="9"/>
        <v>start /low /b %USERPROFILE%\Documents\GitHub\eaglep3\Utilities\DownloadLogsFromS3.py --loco 4029 --day 2017-08-11</v>
      </c>
      <c r="AF37" s="1"/>
    </row>
    <row r="38" spans="1:32" x14ac:dyDescent="0.25">
      <c r="A38" s="31">
        <v>42958.742951388886</v>
      </c>
      <c r="B38" s="30" t="s">
        <v>605</v>
      </c>
      <c r="C38" s="30" t="s">
        <v>633</v>
      </c>
      <c r="D38" s="30" t="s">
        <v>49</v>
      </c>
      <c r="E38" s="30" t="s">
        <v>181</v>
      </c>
      <c r="F38" s="42">
        <v>0</v>
      </c>
      <c r="G38" s="42">
        <v>56</v>
      </c>
      <c r="H38" s="42">
        <v>214</v>
      </c>
      <c r="I38" s="42">
        <v>163</v>
      </c>
      <c r="J38" s="30" t="s">
        <v>182</v>
      </c>
      <c r="K38" s="42">
        <v>1</v>
      </c>
      <c r="L38" s="131" t="s">
        <v>51</v>
      </c>
      <c r="M38" s="132">
        <f t="shared" si="0"/>
        <v>85.536000000000001</v>
      </c>
      <c r="N38" s="133" t="str">
        <f>VLOOKUP(C38,'Trips&amp;Operators'!$C$1:$G$99999,5,FALSE)</f>
        <v>HOLCOMB KAMDEN</v>
      </c>
      <c r="O38" s="203" t="s">
        <v>180</v>
      </c>
      <c r="P38" s="134"/>
      <c r="Q38" s="30"/>
      <c r="R38" s="81" t="str">
        <f>VLOOKUP(C38,'Train Runs'!$A$13:$AE$9914,31,0)</f>
        <v>aws s3 cp s3://rtdc.mdm.uploadarchive.raw/RTDC4059/ "%USERPROFILE%\AppData\Local\Temp\OnboardLogs"\RTDC4059\2017-08-11 --exclude "*" --recursive --include "*20170811*" &amp; "%USERPROFILE%\Documents\GitHub\mrs-test-scripts\Headless Mode &amp; Sideloading\WalkAndUnGZ.bat" "%USERPROFILE%\AppData\Local\Temp\OnboardLogs"\RTDC4059\2017-08-11 &amp; aws s3 cp s3://rtdc.mdm.uploadarchive.raw/RTDC4059/ "%USERPROFILE%\AppData\Local\Temp\OnboardLogs"\RTDC4059\2017-08-12 --exclude "*" --recursive --include "*20170812*" &amp; "%USERPROFILE%\Documents\GitHub\mrs-test-scripts\Headless Mode &amp; Sideloading\WalkAndUnGZ.bat" "%USERPROFILE%\AppData\Local\Temp\OnboardLogs"\RTDC4059\2017-08-12</v>
      </c>
      <c r="S38" s="84" t="str">
        <f>VLOOKUP(C38,'Train Runs'!$A$13:$AE$9914,22,0)</f>
        <v>https://d0f6bd738d7f1b3e5a7ca70fe4ff75f0.us-east-1.aws.found.io/app/kibana#/discover/Steve-Slow-Train-Analysis-(2080s-and-2083s)?_g=(refreshInterval:(display:Off,pause:!f,section:0,value:0),time:(from:'2017-08-11T16:08:17-0600',mode:absolute,to:'2017-08-11T18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8" s="86" t="str">
        <f t="shared" si="1"/>
        <v>"C:\Program Files (x86)\AstroGrep\AstroGrep.exe" /e /r /s /spath="%USERPROFILE%\AppData\Local\Temp\OnboardLogs" /stypes="*4059*201708112*" /stext=" 23:.+((SYSTEM_STATE.+slice.+state.+changed )|(ment ac)|(multiple cpu faults)|(system.+state.+changed )|(\[timeout)|(PRM\|1\|D)|(kpr)|(kdp)|(train st.+moving)|(\|lc)|(penalty))"</v>
      </c>
      <c r="U38" s="9" t="str">
        <f t="shared" si="2"/>
        <v>4059</v>
      </c>
      <c r="V38" s="31">
        <f t="shared" si="3"/>
        <v>42958.992951388886</v>
      </c>
      <c r="W38" s="45" t="str">
        <f t="shared" si="4"/>
        <v>EC</v>
      </c>
      <c r="X38" s="22">
        <f t="shared" si="5"/>
        <v>202</v>
      </c>
      <c r="Y38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{"issue":{"subject":"","project_id":79,"tracker_id":40,"status_id":1,"priority_id":2,"assigned_to_id":23,"start_date":"2017-08-11","description":"","custom_fields":[{"id":1,"name":"Subdivision","value":"EC"},{"id":4,"name":"Milepost","value":"0.0001"},{"id":17,"name":"Train ID","value":"202-11"},{"id":16,"name":"Locomotive ID","value":"4059"},{"id":130,"name":"Impact","value":""},{"id":150,"name":"Time of Event (Mountain Time)","value":"17:49:51"},{"id":151,"name":"Denver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/c/Users/stu/AppData/Local/Temp/OnboardLogs/RTDC4059 --include="*4059*201708112*"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"%USERPROFILE%\AppData\Local\Temp\OnboardLogs"\RTDC4059\*4059*201708112* &gt;&gt; 2017-08-11-SliceDisagreementCheck.txt</v>
      </c>
      <c r="AE38" s="145" t="str">
        <f t="shared" si="9"/>
        <v>start /low /b %USERPROFILE%\Documents\GitHub\eaglep3\Utilities\DownloadLogsFromS3.py --loco 4059 --day 2017-08-11</v>
      </c>
      <c r="AF38" s="1"/>
    </row>
    <row r="39" spans="1:32" x14ac:dyDescent="0.25">
      <c r="A39" s="31">
        <v>42958.775601851848</v>
      </c>
      <c r="B39" s="30" t="s">
        <v>507</v>
      </c>
      <c r="C39" s="30" t="s">
        <v>635</v>
      </c>
      <c r="D39" s="30" t="s">
        <v>49</v>
      </c>
      <c r="E39" s="30" t="s">
        <v>181</v>
      </c>
      <c r="F39" s="42">
        <v>0</v>
      </c>
      <c r="G39" s="42">
        <v>53</v>
      </c>
      <c r="H39" s="42">
        <v>205</v>
      </c>
      <c r="I39" s="42">
        <v>157</v>
      </c>
      <c r="J39" s="30" t="s">
        <v>182</v>
      </c>
      <c r="K39" s="42">
        <v>1</v>
      </c>
      <c r="L39" s="131" t="s">
        <v>51</v>
      </c>
      <c r="M39" s="132">
        <f t="shared" si="0"/>
        <v>82.367999999999995</v>
      </c>
      <c r="N39" s="133" t="str">
        <f>VLOOKUP(C39,'Trips&amp;Operators'!$C$1:$G$99999,5,FALSE)</f>
        <v>WEST BRYAN</v>
      </c>
      <c r="O39" s="203" t="s">
        <v>180</v>
      </c>
      <c r="P39" s="134"/>
      <c r="Q39" s="30"/>
      <c r="R39" s="81" t="str">
        <f>VLOOKUP(C39,'Train Runs'!$A$13:$AE$9914,31,0)</f>
        <v>aws s3 cp s3://rtdc.mdm.uploadarchive.raw/RTDC4029/ "%USERPROFILE%\AppData\Local\Temp\OnboardLogs"\RTDC4029\2017-08-11 --exclude "*" --recursive --include "*20170811*" &amp; "%USERPROFILE%\Documents\GitHub\mrs-test-scripts\Headless Mode &amp; Sideloading\WalkAndUnGZ.bat" "%USERPROFILE%\AppData\Local\Temp\OnboardLogs"\RTDC4029\2017-08-11 &amp; aws s3 cp s3://rtdc.mdm.uploadarchive.raw/RTDC4029/ "%USERPROFILE%\AppData\Local\Temp\OnboardLogs"\RTDC4029\2017-08-12 --exclude "*" --recursive --include "*20170812*" &amp; "%USERPROFILE%\Documents\GitHub\mrs-test-scripts\Headless Mode &amp; Sideloading\WalkAndUnGZ.bat" "%USERPROFILE%\AppData\Local\Temp\OnboardLogs"\RTDC4029\2017-08-12</v>
      </c>
      <c r="S39" s="84" t="str">
        <f>VLOOKUP(C39,'Train Runs'!$A$13:$AE$9914,22,0)</f>
        <v>https://d0f6bd738d7f1b3e5a7ca70fe4ff75f0.us-east-1.aws.found.io/app/kibana#/discover/Steve-Slow-Train-Analysis-(2080s-and-2083s)?_g=(refreshInterval:(display:Off,pause:!f,section:0,value:0),time:(from:'2017-08-11T16:49:35-0600',mode:absolute,to:'2017-08-11T19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9" s="86" t="str">
        <f t="shared" si="1"/>
        <v>"C:\Program Files (x86)\AstroGrep\AstroGrep.exe" /e /r /s /spath="%USERPROFILE%\AppData\Local\Temp\OnboardLogs" /stypes="*4029*201708120*" /stext=" 00:.+((SYSTEM_STATE.+slice.+state.+changed )|(ment ac)|(multiple cpu faults)|(system.+state.+changed )|(\[timeout)|(PRM\|1\|D)|(kpr)|(kdp)|(train st.+moving)|(\|lc)|(penalty))"</v>
      </c>
      <c r="U39" s="9" t="str">
        <f t="shared" si="2"/>
        <v>4029</v>
      </c>
      <c r="V39" s="31">
        <f t="shared" si="3"/>
        <v>42959.025601851848</v>
      </c>
      <c r="W39" s="45" t="str">
        <f t="shared" si="4"/>
        <v>EC</v>
      </c>
      <c r="X39" s="22">
        <f t="shared" si="5"/>
        <v>208</v>
      </c>
      <c r="Y39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{"issue":{"subject":"","project_id":79,"tracker_id":40,"status_id":1,"priority_id":2,"assigned_to_id":23,"start_date":"2017-08-11","description":"","custom_fields":[{"id":1,"name":"Subdivision","value":"EC"},{"id":4,"name":"Milepost","value":"0.0001"},{"id":17,"name":"Train ID","value":"208-11"},{"id":16,"name":"Locomotive ID","value":"4029"},{"id":130,"name":"Impact","value":""},{"id":150,"name":"Time of Event (Mountain Time)","value":"18:36:52"},{"id":151,"name":"Denver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/c/Users/stu/AppData/Local/Temp/OnboardLogs/RTDC4029 --include="*4029*201708120*"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"%USERPROFILE%\AppData\Local\Temp\OnboardLogs"\RTDC4029\*4029*201708120* &gt;&gt; 2017-08-11-SliceDisagreementCheck.txt</v>
      </c>
      <c r="AE39" s="145" t="str">
        <f t="shared" si="9"/>
        <v>start /low /b %USERPROFILE%\Documents\GitHub\eaglep3\Utilities\DownloadLogsFromS3.py --loco 4029 --day 2017-08-12</v>
      </c>
      <c r="AF39" s="1"/>
    </row>
    <row r="40" spans="1:32" x14ac:dyDescent="0.25">
      <c r="A40" s="31">
        <v>42958.813078703701</v>
      </c>
      <c r="B40" s="30" t="s">
        <v>501</v>
      </c>
      <c r="C40" s="30" t="s">
        <v>637</v>
      </c>
      <c r="D40" s="30" t="s">
        <v>49</v>
      </c>
      <c r="E40" s="30" t="s">
        <v>181</v>
      </c>
      <c r="F40" s="42">
        <v>0</v>
      </c>
      <c r="G40" s="42">
        <v>62</v>
      </c>
      <c r="H40" s="42">
        <v>409</v>
      </c>
      <c r="I40" s="42">
        <v>529</v>
      </c>
      <c r="J40" s="30" t="s">
        <v>182</v>
      </c>
      <c r="K40" s="42">
        <v>1</v>
      </c>
      <c r="L40" s="131" t="s">
        <v>51</v>
      </c>
      <c r="M40" s="132">
        <f t="shared" si="0"/>
        <v>278.78399999999999</v>
      </c>
      <c r="N40" s="133" t="str">
        <f>VLOOKUP(C40,'Trips&amp;Operators'!$C$1:$G$99999,5,FALSE)</f>
        <v>HELVIE ADAM</v>
      </c>
      <c r="O40" s="203" t="s">
        <v>180</v>
      </c>
      <c r="P40" s="134"/>
      <c r="Q40" s="30"/>
      <c r="R40" s="81" t="str">
        <f>VLOOKUP(C40,'Train Runs'!$A$13:$AE$9914,31,0)</f>
        <v>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 &amp; aws s3 cp s3://rtdc.mdm.uploadarchive.raw/RTDC4012/ "%USERPROFILE%\AppData\Local\Temp\OnboardLogs"\RTDC4012\2017-08-12 --exclude "*" --recursive --include "*20170812*" &amp; "%USERPROFILE%\Documents\GitHub\mrs-test-scripts\Headless Mode &amp; Sideloading\WalkAndUnGZ.bat" "%USERPROFILE%\AppData\Local\Temp\OnboardLogs"\RTDC4012\2017-08-12</v>
      </c>
      <c r="S40" s="84" t="str">
        <f>VLOOKUP(C40,'Train Runs'!$A$13:$AE$9914,22,0)</f>
        <v>https://d0f6bd738d7f1b3e5a7ca70fe4ff75f0.us-east-1.aws.found.io/app/kibana#/discover/Steve-Slow-Train-Analysis-(2080s-and-2083s)?_g=(refreshInterval:(display:Off,pause:!f,section:0,value:0),time:(from:'2017-08-11T18:35:44-0600',mode:absolute,to:'2017-08-11T21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0" s="86" t="str">
        <f t="shared" si="1"/>
        <v>"C:\Program Files (x86)\AstroGrep\AstroGrep.exe" /e /r /s /spath="%USERPROFILE%\AppData\Local\Temp\OnboardLogs" /stypes="*4012*201708120*" /stext=" 01:.+((SYSTEM_STATE.+slice.+state.+changed )|(ment ac)|(multiple cpu faults)|(system.+state.+changed )|(\[timeout)|(PRM\|1\|D)|(kpr)|(kdp)|(train st.+moving)|(\|lc)|(penalty))"</v>
      </c>
      <c r="U40" s="9" t="str">
        <f t="shared" si="2"/>
        <v>4012</v>
      </c>
      <c r="V40" s="31">
        <f t="shared" si="3"/>
        <v>42959.063078703701</v>
      </c>
      <c r="W40" s="45" t="str">
        <f t="shared" si="4"/>
        <v>EC</v>
      </c>
      <c r="X40" s="22">
        <f t="shared" si="5"/>
        <v>223</v>
      </c>
      <c r="Y40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{"issue":{"subject":"","project_id":79,"tracker_id":40,"status_id":1,"priority_id":2,"assigned_to_id":23,"start_date":"2017-08-11","description":"","custom_fields":[{"id":1,"name":"Subdivision","value":"EC"},{"id":4,"name":"Milepost","value":"0.0001"},{"id":17,"name":"Train ID","value":"223-11"},{"id":16,"name":"Locomotive ID","value":"4012"},{"id":130,"name":"Impact","value":""},{"id":150,"name":"Time of Event (Mountain Time)","value":"19:30:50"},{"id":151,"name":"Denver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/c/Users/stu/AppData/Local/Temp/OnboardLogs/RTDC4012 --include="*4012*201708120*"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"%USERPROFILE%\AppData\Local\Temp\OnboardLogs"\RTDC4012\*4012*201708120* &gt;&gt; 2017-08-11-SliceDisagreementCheck.txt</v>
      </c>
      <c r="AE40" s="145" t="str">
        <f t="shared" si="9"/>
        <v>start /low /b %USERPROFILE%\Documents\GitHub\eaglep3\Utilities\DownloadLogsFromS3.py --loco 4012 --day 2017-08-12</v>
      </c>
      <c r="AF40" s="1"/>
    </row>
    <row r="41" spans="1:32" x14ac:dyDescent="0.25">
      <c r="A41" s="31">
        <v>42958.326956018522</v>
      </c>
      <c r="B41" s="30" t="s">
        <v>548</v>
      </c>
      <c r="C41" s="30" t="s">
        <v>613</v>
      </c>
      <c r="D41" s="30" t="s">
        <v>49</v>
      </c>
      <c r="E41" s="30" t="s">
        <v>181</v>
      </c>
      <c r="F41" s="42">
        <v>0</v>
      </c>
      <c r="G41" s="42">
        <v>89</v>
      </c>
      <c r="H41" s="42">
        <v>1450</v>
      </c>
      <c r="I41" s="42">
        <v>1318</v>
      </c>
      <c r="J41" s="30" t="s">
        <v>182</v>
      </c>
      <c r="K41" s="42">
        <v>826</v>
      </c>
      <c r="L41" s="131" t="s">
        <v>51</v>
      </c>
      <c r="M41" s="132">
        <f t="shared" si="0"/>
        <v>259.77600000000001</v>
      </c>
      <c r="N41" s="133" t="str">
        <f>VLOOKUP(C41,'Trips&amp;Operators'!$C$1:$G$99999,5,FALSE)</f>
        <v>BARRON PERLA</v>
      </c>
      <c r="O41" s="203" t="s">
        <v>180</v>
      </c>
      <c r="P41" s="134"/>
      <c r="Q41" s="30"/>
      <c r="R41" s="81" t="str">
        <f>VLOOKUP(C41,'Train Runs'!$A$13:$AE$9914,31,0)</f>
        <v>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 &amp; aws s3 cp s3://rtdc.mdm.uploadarchive.raw/RTDC4057/ "%USERPROFILE%\AppData\Local\Temp\OnboardLogs"\RTDC4057\2017-08-12 --exclude "*" --recursive --include "*20170812*" &amp; "%USERPROFILE%\Documents\GitHub\mrs-test-scripts\Headless Mode &amp; Sideloading\WalkAndUnGZ.bat" "%USERPROFILE%\AppData\Local\Temp\OnboardLogs"\RTDC4057\2017-08-12</v>
      </c>
      <c r="S41" s="84" t="str">
        <f>VLOOKUP(C41,'Train Runs'!$A$13:$AE$9914,22,0)</f>
        <v>https://d0f6bd738d7f1b3e5a7ca70fe4ff75f0.us-east-1.aws.found.io/app/kibana#/discover/Steve-Slow-Train-Analysis-(2080s-and-2083s)?_g=(refreshInterval:(display:Off,pause:!f,section:0,value:0),time:(from:'2017-08-11T05:54:19-0600',mode:absolute,to:'2017-08-11T08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41" s="86" t="str">
        <f t="shared" si="1"/>
        <v>"C:\Program Files (x86)\AstroGrep\AstroGrep.exe" /e /r /s /spath="%USERPROFILE%\AppData\Local\Temp\OnboardLogs" /stypes="*4057*201708111*" /stext=" 13:.+((SYSTEM_STATE.+slice.+state.+changed )|(ment ac)|(multiple cpu faults)|(system.+state.+changed )|(\[timeout)|(PRM\|1\|D)|(kpr)|(kdp)|(train st.+moving)|(\|lc)|(penalty))"</v>
      </c>
      <c r="U41" s="9" t="str">
        <f t="shared" si="2"/>
        <v>4057</v>
      </c>
      <c r="V41" s="31">
        <f t="shared" si="3"/>
        <v>42958.576956018522</v>
      </c>
      <c r="W41" s="45" t="str">
        <f t="shared" si="4"/>
        <v>EC</v>
      </c>
      <c r="X41" s="22">
        <f t="shared" si="5"/>
        <v>122</v>
      </c>
      <c r="Y41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{"issue":{"subject":"","project_id":79,"tracker_id":40,"status_id":1,"priority_id":2,"assigned_to_id":23,"start_date":"2017-08-11","description":"","custom_fields":[{"id":1,"name":"Subdivision","value":"EC"},{"id":4,"name":"Milepost","value":"0.0826"},{"id":17,"name":"Train ID","value":"122-11"},{"id":16,"name":"Locomotive ID","value":"4057"},{"id":130,"name":"Impact","value":""},{"id":150,"name":"Time of Event (Mountain Time)","value":"07:50:49"},{"id":151,"name":"Denver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/c/Users/stu/AppData/Local/Temp/OnboardLogs/RTDC4057 --include="*4057*201708111*"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"%USERPROFILE%\AppData\Local\Temp\OnboardLogs"\RTDC4057\*4057*201708111* &gt;&gt; 2017-08-11-SliceDisagreementCheck.txt</v>
      </c>
      <c r="AE41" s="145" t="str">
        <f t="shared" si="9"/>
        <v>start /low /b %USERPROFILE%\Documents\GitHub\eaglep3\Utilities\DownloadLogsFromS3.py --loco 4057 --day 2017-08-11</v>
      </c>
      <c r="AF41" s="1"/>
    </row>
    <row r="42" spans="1:32" x14ac:dyDescent="0.25">
      <c r="A42" s="31">
        <v>42958.609537037039</v>
      </c>
      <c r="B42" s="30" t="s">
        <v>549</v>
      </c>
      <c r="C42" s="30" t="s">
        <v>624</v>
      </c>
      <c r="D42" s="30" t="s">
        <v>49</v>
      </c>
      <c r="E42" s="30" t="s">
        <v>181</v>
      </c>
      <c r="F42" s="42">
        <v>0</v>
      </c>
      <c r="G42" s="42">
        <v>13</v>
      </c>
      <c r="H42" s="42">
        <v>846</v>
      </c>
      <c r="I42" s="42">
        <v>833</v>
      </c>
      <c r="J42" s="30" t="s">
        <v>182</v>
      </c>
      <c r="K42" s="42">
        <v>826</v>
      </c>
      <c r="L42" s="131" t="s">
        <v>51</v>
      </c>
      <c r="M42" s="132">
        <f t="shared" si="0"/>
        <v>3.6960000000000002</v>
      </c>
      <c r="N42" s="133" t="str">
        <f>VLOOKUP(C42,'Trips&amp;Operators'!$C$1:$G$99999,5,FALSE)</f>
        <v>THOMPSON LESTER</v>
      </c>
      <c r="O42" s="203" t="s">
        <v>180</v>
      </c>
      <c r="P42" s="134"/>
      <c r="Q42" s="30"/>
      <c r="R42" s="81" t="str">
        <f>VLOOKUP(C42,'Train Runs'!$A$13:$AE$9914,31,0)</f>
        <v>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 &amp; aws s3 cp s3://rtdc.mdm.uploadarchive.raw/RTDC4065/ "%USERPROFILE%\AppData\Local\Temp\OnboardLogs"\RTDC4065\2017-08-12 --exclude "*" --recursive --include "*20170812*" &amp; "%USERPROFILE%\Documents\GitHub\mrs-test-scripts\Headless Mode &amp; Sideloading\WalkAndUnGZ.bat" "%USERPROFILE%\AppData\Local\Temp\OnboardLogs"\RTDC4065\2017-08-12</v>
      </c>
      <c r="S42" s="84" t="str">
        <f>VLOOKUP(C42,'Train Runs'!$A$13:$AE$9914,22,0)</f>
        <v>https://d0f6bd738d7f1b3e5a7ca70fe4ff75f0.us-east-1.aws.found.io/app/kibana#/discover/Steve-Slow-Train-Analysis-(2080s-and-2083s)?_g=(refreshInterval:(display:Off,pause:!f,section:0,value:0),time:(from:'2017-08-11T11:57:59-0600',mode:absolute,to:'2017-08-11T15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42" s="86" t="str">
        <f t="shared" si="1"/>
        <v>"C:\Program Files (x86)\AstroGrep\AstroGrep.exe" /e /r /s /spath="%USERPROFILE%\AppData\Local\Temp\OnboardLogs" /stypes="*4065*201708112*" /stext=" 20:.+((SYSTEM_STATE.+slice.+state.+changed )|(ment ac)|(multiple cpu faults)|(system.+state.+changed )|(\[timeout)|(PRM\|1\|D)|(kpr)|(kdp)|(train st.+moving)|(\|lc)|(penalty))"</v>
      </c>
      <c r="U42" s="9" t="str">
        <f t="shared" si="2"/>
        <v>4065</v>
      </c>
      <c r="V42" s="31">
        <f t="shared" si="3"/>
        <v>42958.859537037039</v>
      </c>
      <c r="W42" s="45" t="str">
        <f t="shared" si="4"/>
        <v>EC</v>
      </c>
      <c r="X42" s="22">
        <f t="shared" si="5"/>
        <v>176</v>
      </c>
      <c r="Y42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{"issue":{"subject":"","project_id":79,"tracker_id":40,"status_id":1,"priority_id":2,"assigned_to_id":23,"start_date":"2017-08-11","description":"","custom_fields":[{"id":1,"name":"Subdivision","value":"EC"},{"id":4,"name":"Milepost","value":"0.0826"},{"id":17,"name":"Train ID","value":"176-11"},{"id":16,"name":"Locomotive ID","value":"4065"},{"id":130,"name":"Impact","value":""},{"id":150,"name":"Time of Event (Mountain Time)","value":"14:37:44"},{"id":151,"name":"Denver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/c/Users/stu/AppData/Local/Temp/OnboardLogs/RTDC4065 --include="*4065*201708112*"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"%USERPROFILE%\AppData\Local\Temp\OnboardLogs"\RTDC4065\*4065*201708112* &gt;&gt; 2017-08-11-SliceDisagreementCheck.txt</v>
      </c>
      <c r="AE42" s="145" t="str">
        <f t="shared" si="9"/>
        <v>start /low /b %USERPROFILE%\Documents\GitHub\eaglep3\Utilities\DownloadLogsFromS3.py --loco 4065 --day 2017-08-11</v>
      </c>
      <c r="AF42" s="1"/>
    </row>
    <row r="43" spans="1:32" x14ac:dyDescent="0.25">
      <c r="A43" s="31">
        <v>42958.556111111109</v>
      </c>
      <c r="B43" s="30" t="s">
        <v>611</v>
      </c>
      <c r="C43" s="30" t="s">
        <v>619</v>
      </c>
      <c r="D43" s="30" t="s">
        <v>49</v>
      </c>
      <c r="E43" s="30" t="s">
        <v>181</v>
      </c>
      <c r="F43" s="42">
        <v>0</v>
      </c>
      <c r="G43" s="42">
        <v>38</v>
      </c>
      <c r="H43" s="42">
        <v>233385</v>
      </c>
      <c r="I43" s="42">
        <v>233424</v>
      </c>
      <c r="J43" s="30" t="s">
        <v>182</v>
      </c>
      <c r="K43" s="42">
        <v>233491</v>
      </c>
      <c r="L43" s="131" t="s">
        <v>50</v>
      </c>
      <c r="M43" s="132">
        <f t="shared" si="0"/>
        <v>35.375999999999998</v>
      </c>
      <c r="N43" s="133" t="str">
        <f>VLOOKUP(C43,'Trips&amp;Operators'!$C$1:$G$99999,5,FALSE)</f>
        <v>HOLCOMB KAMDEN</v>
      </c>
      <c r="O43" s="203" t="s">
        <v>180</v>
      </c>
      <c r="P43" s="134"/>
      <c r="Q43" s="30"/>
      <c r="R43" s="81" t="str">
        <f>VLOOKUP(C43,'Train Runs'!$A$13:$AE$9914,31,0)</f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S43" s="84" t="str">
        <f>VLOOKUP(C43,'Train Runs'!$A$13:$AE$9914,22,0)</f>
        <v>https://d0f6bd738d7f1b3e5a7ca70fe4ff75f0.us-east-1.aws.found.io/app/kibana#/discover/Steve-Slow-Train-Analysis-(2080s-and-2083s)?_g=(refreshInterval:(display:Off,pause:!f,section:0,value:0),time:(from:'2017-08-11T11:41:02-0600',mode:absolute,to:'2017-08-11T14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43" s="86" t="str">
        <f t="shared" si="1"/>
        <v>"C:\Program Files (x86)\AstroGrep\AstroGrep.exe" /e /r /s /spath="%USERPROFILE%\AppData\Local\Temp\OnboardLogs" /stypes="*4060*201708111*" /stext=" 19:.+((SYSTEM_STATE.+slice.+state.+changed )|(ment ac)|(multiple cpu faults)|(system.+state.+changed )|(\[timeout)|(PRM\|1\|D)|(kpr)|(kdp)|(train st.+moving)|(\|lc)|(penalty))"</v>
      </c>
      <c r="U43" s="9" t="str">
        <f t="shared" si="2"/>
        <v>4060</v>
      </c>
      <c r="V43" s="31">
        <f t="shared" si="3"/>
        <v>42958.806111111109</v>
      </c>
      <c r="W43" s="45" t="str">
        <f t="shared" si="4"/>
        <v>EC</v>
      </c>
      <c r="X43" s="22">
        <f t="shared" si="5"/>
        <v>173</v>
      </c>
      <c r="Y43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{"issue":{"subject":"","project_id":79,"tracker_id":40,"status_id":1,"priority_id":2,"assigned_to_id":23,"start_date":"2017-08-11","description":"","custom_fields":[{"id":1,"name":"Subdivision","value":"EC"},{"id":4,"name":"Milepost","value":"23.3491"},{"id":17,"name":"Train ID","value":"173-11"},{"id":16,"name":"Locomotive ID","value":"4060"},{"id":130,"name":"Impact","value":""},{"id":150,"name":"Time of Event (Mountain Time)","value":"13:20:48"},{"id":151,"name":"Denver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/c/Users/stu/AppData/Local/Temp/OnboardLogs/RTDC4060 --include="*4060*201708111*"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"%USERPROFILE%\AppData\Local\Temp\OnboardLogs"\RTDC4060\*4060*201708111* &gt;&gt; 2017-08-11-SliceDisagreementCheck.txt</v>
      </c>
      <c r="AE43" s="145" t="str">
        <f t="shared" si="9"/>
        <v>start /low /b %USERPROFILE%\Documents\GitHub\eaglep3\Utilities\DownloadLogsFromS3.py --loco 4060 --day 2017-08-11</v>
      </c>
      <c r="AF43" s="1"/>
    </row>
    <row r="44" spans="1:32" x14ac:dyDescent="0.25">
      <c r="A44" s="31">
        <v>42958.568680555552</v>
      </c>
      <c r="B44" s="30" t="s">
        <v>545</v>
      </c>
      <c r="C44" s="30" t="s">
        <v>621</v>
      </c>
      <c r="D44" s="30" t="s">
        <v>49</v>
      </c>
      <c r="E44" s="30" t="s">
        <v>181</v>
      </c>
      <c r="F44" s="42">
        <v>0</v>
      </c>
      <c r="G44" s="42">
        <v>33</v>
      </c>
      <c r="H44" s="42">
        <v>233398</v>
      </c>
      <c r="I44" s="42">
        <v>233438</v>
      </c>
      <c r="J44" s="30" t="s">
        <v>182</v>
      </c>
      <c r="K44" s="42">
        <v>233491</v>
      </c>
      <c r="L44" s="131" t="s">
        <v>50</v>
      </c>
      <c r="M44" s="132">
        <f t="shared" si="0"/>
        <v>27.984000000000002</v>
      </c>
      <c r="N44" s="133" t="str">
        <f>VLOOKUP(C44,'Trips&amp;Operators'!$C$1:$G$99999,5,FALSE)</f>
        <v>THOMPSON LESTER</v>
      </c>
      <c r="O44" s="203" t="s">
        <v>180</v>
      </c>
      <c r="P44" s="134"/>
      <c r="Q44" s="30"/>
      <c r="R44" s="81" t="str">
        <f>VLOOKUP(C44,'Train Runs'!$A$13:$AE$9914,31,0)</f>
        <v>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 &amp; aws s3 cp s3://rtdc.mdm.uploadarchive.raw/RTDC4066/ "%USERPROFILE%\AppData\Local\Temp\OnboardLogs"\RTDC4066\2017-08-12 --exclude "*" --recursive --include "*20170812*" &amp; "%USERPROFILE%\Documents\GitHub\mrs-test-scripts\Headless Mode &amp; Sideloading\WalkAndUnGZ.bat" "%USERPROFILE%\AppData\Local\Temp\OnboardLogs"\RTDC4066\2017-08-12</v>
      </c>
      <c r="S44" s="84" t="str">
        <f>VLOOKUP(C44,'Train Runs'!$A$13:$AE$9914,22,0)</f>
        <v>https://d0f6bd738d7f1b3e5a7ca70fe4ff75f0.us-east-1.aws.found.io/app/kibana#/discover/Steve-Slow-Train-Analysis-(2080s-and-2083s)?_g=(refreshInterval:(display:Off,pause:!f,section:0,value:0),time:(from:'2017-08-11T11:57:59-0600',mode:absolute,to:'2017-08-11T14:38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44" s="86" t="str">
        <f t="shared" si="1"/>
        <v>"C:\Program Files (x86)\AstroGrep\AstroGrep.exe" /e /r /s /spath="%USERPROFILE%\AppData\Local\Temp\OnboardLogs" /stypes="*4066*201708111*" /stext=" 19:.+((SYSTEM_STATE.+slice.+state.+changed )|(ment ac)|(multiple cpu faults)|(system.+state.+changed )|(\[timeout)|(PRM\|1\|D)|(kpr)|(kdp)|(train st.+moving)|(\|lc)|(penalty))"</v>
      </c>
      <c r="U44" s="9" t="str">
        <f t="shared" si="2"/>
        <v>4066</v>
      </c>
      <c r="V44" s="31">
        <f t="shared" si="3"/>
        <v>42958.818680555552</v>
      </c>
      <c r="W44" s="45" t="str">
        <f t="shared" si="4"/>
        <v>EC</v>
      </c>
      <c r="X44" s="22">
        <f t="shared" si="5"/>
        <v>175</v>
      </c>
      <c r="Y44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{"issue":{"subject":"","project_id":79,"tracker_id":40,"status_id":1,"priority_id":2,"assigned_to_id":23,"start_date":"2017-08-11","description":"","custom_fields":[{"id":1,"name":"Subdivision","value":"EC"},{"id":4,"name":"Milepost","value":"23.3491"},{"id":17,"name":"Train ID","value":"175-11"},{"id":16,"name":"Locomotive ID","value":"4066"},{"id":130,"name":"Impact","value":""},{"id":150,"name":"Time of Event (Mountain Time)","value":"13:38:54"},{"id":151,"name":"Denver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/c/Users/stu/AppData/Local/Temp/OnboardLogs/RTDC4066 --include="*4066*201708111*"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"%USERPROFILE%\AppData\Local\Temp\OnboardLogs"\RTDC4066\*4066*201708111* &gt;&gt; 2017-08-11-SliceDisagreementCheck.txt</v>
      </c>
      <c r="AE44" s="145" t="str">
        <f t="shared" si="9"/>
        <v>start /low /b %USERPROFILE%\Documents\GitHub\eaglep3\Utilities\DownloadLogsFromS3.py --loco 4066 --day 2017-08-11</v>
      </c>
      <c r="AF44" s="1"/>
    </row>
    <row r="45" spans="1:32" x14ac:dyDescent="0.25">
      <c r="A45" s="31">
        <v>42958.588692129626</v>
      </c>
      <c r="B45" s="30" t="s">
        <v>447</v>
      </c>
      <c r="C45" s="30" t="s">
        <v>622</v>
      </c>
      <c r="D45" s="30" t="s">
        <v>49</v>
      </c>
      <c r="E45" s="30" t="s">
        <v>181</v>
      </c>
      <c r="F45" s="42">
        <v>0</v>
      </c>
      <c r="G45" s="42">
        <v>53</v>
      </c>
      <c r="H45" s="42">
        <v>233306</v>
      </c>
      <c r="I45" s="42">
        <v>233355</v>
      </c>
      <c r="J45" s="30" t="s">
        <v>182</v>
      </c>
      <c r="K45" s="42">
        <v>233491</v>
      </c>
      <c r="L45" s="131" t="s">
        <v>50</v>
      </c>
      <c r="M45" s="132">
        <f t="shared" si="0"/>
        <v>71.808000000000007</v>
      </c>
      <c r="N45" s="133" t="str">
        <f>VLOOKUP(C45,'Trips&amp;Operators'!$C$1:$G$99999,5,FALSE)</f>
        <v>WEST BRYAN</v>
      </c>
      <c r="O45" s="203" t="s">
        <v>180</v>
      </c>
      <c r="P45" s="134"/>
      <c r="Q45" s="30"/>
      <c r="R45" s="81" t="str">
        <f>VLOOKUP(C45,'Train Runs'!$A$13:$AE$9914,31,0)</f>
        <v>aws s3 cp s3://rtdc.mdm.uploadarchive.raw/RTDC4030/ "%USERPROFILE%\AppData\Local\Temp\OnboardLogs"\RTDC4030\2017-08-11 --exclude "*" --recursive --include "*20170811*" &amp; "%USERPROFILE%\Documents\GitHub\mrs-test-scripts\Headless Mode &amp; Sideloading\WalkAndUnGZ.bat" "%USERPROFILE%\AppData\Local\Temp\OnboardLogs"\RTDC4030\2017-08-11 &amp; aws s3 cp s3://rtdc.mdm.uploadarchive.raw/RTDC4030/ "%USERPROFILE%\AppData\Local\Temp\OnboardLogs"\RTDC4030\2017-08-12 --exclude "*" --recursive --include "*20170812*" &amp; "%USERPROFILE%\Documents\GitHub\mrs-test-scripts\Headless Mode &amp; Sideloading\WalkAndUnGZ.bat" "%USERPROFILE%\AppData\Local\Temp\OnboardLogs"\RTDC4030\2017-08-12</v>
      </c>
      <c r="S45" s="84" t="str">
        <f>VLOOKUP(C45,'Train Runs'!$A$13:$AE$9914,22,0)</f>
        <v>https://d0f6bd738d7f1b3e5a7ca70fe4ff75f0.us-east-1.aws.found.io/app/kibana#/discover/Steve-Slow-Train-Analysis-(2080s-and-2083s)?_g=(refreshInterval:(display:Off,pause:!f,section:0,value:0),time:(from:'2017-08-11T12:24:28-0600',mode:absolute,to:'2017-08-11T15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45" s="86" t="str">
        <f t="shared" si="1"/>
        <v>"C:\Program Files (x86)\AstroGrep\AstroGrep.exe" /e /r /s /spath="%USERPROFILE%\AppData\Local\Temp\OnboardLogs" /stypes="*4030*201708112*" /stext=" 20:.+((SYSTEM_STATE.+slice.+state.+changed )|(ment ac)|(multiple cpu faults)|(system.+state.+changed )|(\[timeout)|(PRM\|1\|D)|(kpr)|(kdp)|(train st.+moving)|(\|lc)|(penalty))"</v>
      </c>
      <c r="U45" s="9" t="str">
        <f t="shared" si="2"/>
        <v>4030</v>
      </c>
      <c r="V45" s="31">
        <f t="shared" si="3"/>
        <v>42958.838692129626</v>
      </c>
      <c r="W45" s="45" t="str">
        <f t="shared" si="4"/>
        <v>EC</v>
      </c>
      <c r="X45" s="22">
        <f t="shared" si="5"/>
        <v>179</v>
      </c>
      <c r="Y45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{"issue":{"subject":"","project_id":79,"tracker_id":40,"status_id":1,"priority_id":2,"assigned_to_id":23,"start_date":"2017-08-11","description":"","custom_fields":[{"id":1,"name":"Subdivision","value":"EC"},{"id":4,"name":"Milepost","value":"23.3491"},{"id":17,"name":"Train ID","value":"179-11"},{"id":16,"name":"Locomotive ID","value":"4030"},{"id":130,"name":"Impact","value":""},{"id":150,"name":"Time of Event (Mountain Time)","value":"14:07:43"},{"id":151,"name":"Denver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/c/Users/stu/AppData/Local/Temp/OnboardLogs/RTDC4030 --include="*4030*201708112*"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"%USERPROFILE%\AppData\Local\Temp\OnboardLogs"\RTDC4030\*4030*201708112* &gt;&gt; 2017-08-11-SliceDisagreementCheck.txt</v>
      </c>
      <c r="AE45" s="145" t="str">
        <f t="shared" si="9"/>
        <v>start /low /b %USERPROFILE%\Documents\GitHub\eaglep3\Utilities\DownloadLogsFromS3.py --loco 4030 --day 2017-08-11</v>
      </c>
      <c r="AF45" s="1"/>
    </row>
    <row r="46" spans="1:32" x14ac:dyDescent="0.25">
      <c r="A46" s="31">
        <v>42958.619456018518</v>
      </c>
      <c r="B46" s="30" t="s">
        <v>501</v>
      </c>
      <c r="C46" s="30" t="s">
        <v>625</v>
      </c>
      <c r="D46" s="30" t="s">
        <v>49</v>
      </c>
      <c r="E46" s="30" t="s">
        <v>181</v>
      </c>
      <c r="F46" s="42">
        <v>0</v>
      </c>
      <c r="G46" s="42">
        <v>49</v>
      </c>
      <c r="H46" s="42">
        <v>233343</v>
      </c>
      <c r="I46" s="42">
        <v>233376</v>
      </c>
      <c r="J46" s="30" t="s">
        <v>182</v>
      </c>
      <c r="K46" s="42">
        <v>233491</v>
      </c>
      <c r="L46" s="131" t="s">
        <v>50</v>
      </c>
      <c r="M46" s="132">
        <f t="shared" si="0"/>
        <v>60.72</v>
      </c>
      <c r="N46" s="133" t="str">
        <f>VLOOKUP(C46,'Trips&amp;Operators'!$C$1:$G$99999,5,FALSE)</f>
        <v>SULLIVAN BRANDON</v>
      </c>
      <c r="O46" s="203" t="s">
        <v>180</v>
      </c>
      <c r="P46" s="134"/>
      <c r="Q46" s="30"/>
      <c r="R46" s="81" t="str">
        <f>VLOOKUP(C46,'Train Runs'!$A$13:$AE$9914,31,0)</f>
        <v>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 &amp; aws s3 cp s3://rtdc.mdm.uploadarchive.raw/RTDC4012/ "%USERPROFILE%\AppData\Local\Temp\OnboardLogs"\RTDC4012\2017-08-12 --exclude "*" --recursive --include "*20170812*" &amp; "%USERPROFILE%\Documents\GitHub\mrs-test-scripts\Headless Mode &amp; Sideloading\WalkAndUnGZ.bat" "%USERPROFILE%\AppData\Local\Temp\OnboardLogs"\RTDC4012\2017-08-12</v>
      </c>
      <c r="S46" s="84" t="str">
        <f>VLOOKUP(C46,'Train Runs'!$A$13:$AE$9914,22,0)</f>
        <v>https://d0f6bd738d7f1b3e5a7ca70fe4ff75f0.us-east-1.aws.found.io/app/kibana#/discover/Steve-Slow-Train-Analysis-(2080s-and-2083s)?_g=(refreshInterval:(display:Off,pause:!f,section:0,value:0),time:(from:'2017-08-11T13:07:49-0600',mode:absolute,to:'2017-08-11T15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6" s="86" t="str">
        <f t="shared" si="1"/>
        <v>"C:\Program Files (x86)\AstroGrep\AstroGrep.exe" /e /r /s /spath="%USERPROFILE%\AppData\Local\Temp\OnboardLogs" /stypes="*4012*201708112*" /stext=" 20:.+((SYSTEM_STATE.+slice.+state.+changed )|(ment ac)|(multiple cpu faults)|(system.+state.+changed )|(\[timeout)|(PRM\|1\|D)|(kpr)|(kdp)|(train st.+moving)|(\|lc)|(penalty))"</v>
      </c>
      <c r="U46" s="9" t="str">
        <f t="shared" si="2"/>
        <v>4012</v>
      </c>
      <c r="V46" s="31">
        <f t="shared" si="3"/>
        <v>42958.869456018518</v>
      </c>
      <c r="W46" s="45" t="str">
        <f t="shared" si="4"/>
        <v>EC</v>
      </c>
      <c r="X46" s="22">
        <f t="shared" si="5"/>
        <v>185</v>
      </c>
      <c r="Y46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{"issue":{"subject":"","project_id":79,"tracker_id":40,"status_id":1,"priority_id":2,"assigned_to_id":23,"start_date":"2017-08-11","description":"","custom_fields":[{"id":1,"name":"Subdivision","value":"EC"},{"id":4,"name":"Milepost","value":"23.3491"},{"id":17,"name":"Train ID","value":"185-11"},{"id":16,"name":"Locomotive ID","value":"4012"},{"id":130,"name":"Impact","value":""},{"id":150,"name":"Time of Event (Mountain Time)","value":"14:52:01"},{"id":151,"name":"Denver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/c/Users/stu/AppData/Local/Temp/OnboardLogs/RTDC4012 --include="*4012*201708112*"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"%USERPROFILE%\AppData\Local\Temp\OnboardLogs"\RTDC4012\*4012*201708112* &gt;&gt; 2017-08-11-SliceDisagreementCheck.txt</v>
      </c>
      <c r="AE46" s="145" t="str">
        <f t="shared" si="9"/>
        <v>start /low /b %USERPROFILE%\Documents\GitHub\eaglep3\Utilities\DownloadLogsFromS3.py --loco 4012 --day 2017-08-11</v>
      </c>
      <c r="AF46" s="1"/>
    </row>
    <row r="47" spans="1:32" x14ac:dyDescent="0.25">
      <c r="A47" s="31">
        <v>42958.629756944443</v>
      </c>
      <c r="B47" s="30" t="s">
        <v>611</v>
      </c>
      <c r="C47" s="30" t="s">
        <v>626</v>
      </c>
      <c r="D47" s="30" t="s">
        <v>49</v>
      </c>
      <c r="E47" s="30" t="s">
        <v>181</v>
      </c>
      <c r="F47" s="42">
        <v>0</v>
      </c>
      <c r="G47" s="42">
        <v>58</v>
      </c>
      <c r="H47" s="42">
        <v>233274</v>
      </c>
      <c r="I47" s="42">
        <v>233338</v>
      </c>
      <c r="J47" s="30" t="s">
        <v>182</v>
      </c>
      <c r="K47" s="42">
        <v>233491</v>
      </c>
      <c r="L47" s="131" t="s">
        <v>50</v>
      </c>
      <c r="M47" s="132">
        <f t="shared" si="0"/>
        <v>80.784000000000006</v>
      </c>
      <c r="N47" s="133" t="str">
        <f>VLOOKUP(C47,'Trips&amp;Operators'!$C$1:$G$99999,5,FALSE)</f>
        <v>HOLCOMB KAMDEN</v>
      </c>
      <c r="O47" s="203" t="s">
        <v>180</v>
      </c>
      <c r="P47" s="134"/>
      <c r="Q47" s="30"/>
      <c r="R47" s="81" t="str">
        <f>VLOOKUP(C47,'Train Runs'!$A$13:$AE$9914,31,0)</f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S47" s="84" t="str">
        <f>VLOOKUP(C47,'Train Runs'!$A$13:$AE$9914,22,0)</f>
        <v>https://d0f6bd738d7f1b3e5a7ca70fe4ff75f0.us-east-1.aws.found.io/app/kibana#/discover/Steve-Slow-Train-Analysis-(2080s-and-2083s)?_g=(refreshInterval:(display:Off,pause:!f,section:0,value:0),time:(from:'2017-08-11T13:22:38-0600',mode:absolute,to:'2017-08-11T16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47" s="86" t="str">
        <f t="shared" si="1"/>
        <v>"C:\Program Files (x86)\AstroGrep\AstroGrep.exe" /e /r /s /spath="%USERPROFILE%\AppData\Local\Temp\OnboardLogs" /stypes="*4060*201708112*" /stext=" 21:.+((SYSTEM_STATE.+slice.+state.+changed )|(ment ac)|(multiple cpu faults)|(system.+state.+changed )|(\[timeout)|(PRM\|1\|D)|(kpr)|(kdp)|(train st.+moving)|(\|lc)|(penalty))"</v>
      </c>
      <c r="U47" s="9" t="str">
        <f t="shared" si="2"/>
        <v>4060</v>
      </c>
      <c r="V47" s="31">
        <f t="shared" si="3"/>
        <v>42958.879756944443</v>
      </c>
      <c r="W47" s="45" t="str">
        <f t="shared" si="4"/>
        <v>EC</v>
      </c>
      <c r="X47" s="22">
        <f t="shared" si="5"/>
        <v>187</v>
      </c>
      <c r="Y47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{"issue":{"subject":"","project_id":79,"tracker_id":40,"status_id":1,"priority_id":2,"assigned_to_id":23,"start_date":"2017-08-11","description":"","custom_fields":[{"id":1,"name":"Subdivision","value":"EC"},{"id":4,"name":"Milepost","value":"23.3491"},{"id":17,"name":"Train ID","value":"187-11"},{"id":16,"name":"Locomotive ID","value":"4060"},{"id":130,"name":"Impact","value":""},{"id":150,"name":"Time of Event (Mountain Time)","value":"15:06:51"},{"id":151,"name":"Denver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/c/Users/stu/AppData/Local/Temp/OnboardLogs/RTDC4060 --include="*4060*201708112*"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"%USERPROFILE%\AppData\Local\Temp\OnboardLogs"\RTDC4060\*4060*201708112* &gt;&gt; 2017-08-11-SliceDisagreementCheck.txt</v>
      </c>
      <c r="AE47" s="145" t="str">
        <f t="shared" si="9"/>
        <v>start /low /b %USERPROFILE%\Documents\GitHub\eaglep3\Utilities\DownloadLogsFromS3.py --loco 4060 --day 2017-08-11</v>
      </c>
      <c r="AF47" s="1"/>
    </row>
    <row r="48" spans="1:32" x14ac:dyDescent="0.25">
      <c r="A48" s="31">
        <v>42958.704074074078</v>
      </c>
      <c r="B48" s="30" t="s">
        <v>611</v>
      </c>
      <c r="C48" s="30" t="s">
        <v>629</v>
      </c>
      <c r="D48" s="30" t="s">
        <v>49</v>
      </c>
      <c r="E48" s="30" t="s">
        <v>181</v>
      </c>
      <c r="F48" s="42">
        <v>0</v>
      </c>
      <c r="G48" s="42">
        <v>48</v>
      </c>
      <c r="H48" s="42">
        <v>233341</v>
      </c>
      <c r="I48" s="42">
        <v>233397</v>
      </c>
      <c r="J48" s="30" t="s">
        <v>182</v>
      </c>
      <c r="K48" s="42">
        <v>233491</v>
      </c>
      <c r="L48" s="131" t="s">
        <v>50</v>
      </c>
      <c r="M48" s="132">
        <f t="shared" si="0"/>
        <v>49.631999999999998</v>
      </c>
      <c r="N48" s="133" t="str">
        <f>VLOOKUP(C48,'Trips&amp;Operators'!$C$1:$G$99999,5,FALSE)</f>
        <v>HOLCOMB KAMDEN</v>
      </c>
      <c r="O48" s="203" t="s">
        <v>180</v>
      </c>
      <c r="P48" s="134"/>
      <c r="Q48" s="30"/>
      <c r="R48" s="81" t="str">
        <f>VLOOKUP(C48,'Train Runs'!$A$13:$AE$9914,31,0)</f>
        <v>aws s3 cp s3://rtdc.mdm.uploadarchive.raw/RTDC4060/ "%USERPROFILE%\AppData\Local\Temp\OnboardLogs"\RTDC4060\2017-08-11 --exclude "*" --recursive --include "*20170811*" &amp; "%USERPROFILE%\Documents\GitHub\mrs-test-scripts\Headless Mode &amp; Sideloading\WalkAndUnGZ.bat" "%USERPROFILE%\AppData\Local\Temp\OnboardLogs"\RTDC4060\2017-08-11 &amp; aws s3 cp s3://rtdc.mdm.uploadarchive.raw/RTDC4060/ "%USERPROFILE%\AppData\Local\Temp\OnboardLogs"\RTDC4060\2017-08-12 --exclude "*" --recursive --include "*20170812*" &amp; "%USERPROFILE%\Documents\GitHub\mrs-test-scripts\Headless Mode &amp; Sideloading\WalkAndUnGZ.bat" "%USERPROFILE%\AppData\Local\Temp\OnboardLogs"\RTDC4060\2017-08-12</v>
      </c>
      <c r="S48" s="84" t="str">
        <f>VLOOKUP(C48,'Train Runs'!$A$13:$AE$9914,22,0)</f>
        <v>https://d0f6bd738d7f1b3e5a7ca70fe4ff75f0.us-east-1.aws.found.io/app/kibana#/discover/Steve-Slow-Train-Analysis-(2080s-and-2083s)?_g=(refreshInterval:(display:Off,pause:!f,section:0,value:0),time:(from:'2017-08-11T15:06:54-0600',mode:absolute,to:'2017-08-11T17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48" s="86" t="str">
        <f t="shared" si="1"/>
        <v>"C:\Program Files (x86)\AstroGrep\AstroGrep.exe" /e /r /s /spath="%USERPROFILE%\AppData\Local\Temp\OnboardLogs" /stypes="*4060*201708112*" /stext=" 22:.+((SYSTEM_STATE.+slice.+state.+changed )|(ment ac)|(multiple cpu faults)|(system.+state.+changed )|(\[timeout)|(PRM\|1\|D)|(kpr)|(kdp)|(train st.+moving)|(\|lc)|(penalty))"</v>
      </c>
      <c r="U48" s="9" t="str">
        <f t="shared" si="2"/>
        <v>4060</v>
      </c>
      <c r="V48" s="31">
        <f t="shared" si="3"/>
        <v>42958.954074074078</v>
      </c>
      <c r="W48" s="45" t="str">
        <f t="shared" si="4"/>
        <v>EC</v>
      </c>
      <c r="X48" s="22">
        <f t="shared" si="5"/>
        <v>201</v>
      </c>
      <c r="Y48" s="96" t="str">
        <f t="shared" si="6"/>
        <v>echo {"issue":{"subject":"","project_id":79,"tracker_id":40,"status_id":1,"priority_id":2,"assigned_to_id":23,"start_date":"2017-08-11","description":"","custom_fields":[{"id":1,"name":"Subdivision","value":"EC"},{"id":4,"name":"Milepost","value":"23.3491"},{"id":17,"name":"Train ID","value":"201-11"},{"id":16,"name":"Locomotive ID","value":"4060"},{"id":130,"name":"Impact","value":""},{"id":150,"name":"Time of Event (Mountain Time)","value":"16:53:52"},{"id":151,"name":"Denver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7"/>
        <v>grep -hrE -A400 "Enforcement Action" /c/Users/stu/AppData/Local/Temp/OnboardLogs/RTDC4060 --include="*4060*201708112*"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"%USERPROFILE%\AppData\Local\Temp\OnboardLogs"\RTDC4060\*4060*201708112* &gt;&gt; 2017-08-11-SliceDisagreementCheck.txt</v>
      </c>
      <c r="AE48" s="145" t="str">
        <f t="shared" si="9"/>
        <v>start /low /b %USERPROFILE%\Documents\GitHub\eaglep3\Utilities\DownloadLogsFromS3.py --loco 4060 --day 2017-08-11</v>
      </c>
      <c r="AF48" s="1"/>
    </row>
    <row r="49" spans="1:32" x14ac:dyDescent="0.25">
      <c r="A49" s="31">
        <v>42958.724502314813</v>
      </c>
      <c r="B49" s="30" t="s">
        <v>404</v>
      </c>
      <c r="C49" s="30" t="s">
        <v>631</v>
      </c>
      <c r="D49" s="30" t="s">
        <v>49</v>
      </c>
      <c r="E49" s="30" t="s">
        <v>443</v>
      </c>
      <c r="F49" s="42">
        <v>0</v>
      </c>
      <c r="G49" s="42">
        <v>147</v>
      </c>
      <c r="H49" s="42">
        <v>4801</v>
      </c>
      <c r="I49" s="42">
        <v>4532</v>
      </c>
      <c r="J49" s="30" t="s">
        <v>444</v>
      </c>
      <c r="K49" s="42">
        <v>4790</v>
      </c>
      <c r="L49" s="131" t="s">
        <v>51</v>
      </c>
      <c r="M49" s="132">
        <f t="shared" si="0"/>
        <v>-136.22399999999999</v>
      </c>
      <c r="N49" s="133" t="str">
        <f>VLOOKUP(C49,'Trips&amp;Operators'!$C$1:$G$99999,5,FALSE)</f>
        <v>MCREYNOLDS KYLE</v>
      </c>
      <c r="O49" s="203" t="s">
        <v>449</v>
      </c>
      <c r="P49" s="134" t="s">
        <v>1110</v>
      </c>
      <c r="Q49" s="30"/>
      <c r="R49" s="81" t="str">
        <f>VLOOKUP(C49,'Train Runs'!$A$13:$AE$9914,31,0)</f>
        <v>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 &amp; aws s3 cp s3://rtdc.mdm.uploadarchive.raw/RTDC4017/ "%USERPROFILE%\AppData\Local\Temp\OnboardLogs"\RTDC4017\2017-08-12 --exclude "*" --recursive --include "*20170812*" &amp; "%USERPROFILE%\Documents\GitHub\mrs-test-scripts\Headless Mode &amp; Sideloading\WalkAndUnGZ.bat" "%USERPROFILE%\AppData\Local\Temp\OnboardLogs"\RTDC4017\2017-08-12</v>
      </c>
      <c r="S49" s="84" t="str">
        <f>VLOOKUP(C49,'Train Runs'!$A$13:$AE$9914,22,0)</f>
        <v>https://d0f6bd738d7f1b3e5a7ca70fe4ff75f0.us-east-1.aws.found.io/app/kibana#/discover/Steve-Slow-Train-Analysis-(2080s-and-2083s)?_g=(refreshInterval:(display:Off,pause:!f,section:0,value:0),time:(from:'2017-08-11T16:07:28-0600',mode:absolute,to:'2017-08-11T18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9" s="86" t="str">
        <f t="shared" si="1"/>
        <v>"C:\Program Files (x86)\AstroGrep\AstroGrep.exe" /e /r /s /spath="%USERPROFILE%\AppData\Local\Temp\OnboardLogs" /stypes="*4017*201708112*" /stext=" 23:.+((SYSTEM_STATE.+slice.+state.+changed )|(ment ac)|(multiple cpu faults)|(system.+state.+changed )|(\[timeout)|(PRM\|1\|D)|(kpr)|(kdp)|(train st.+moving)|(\|lc)|(penalty))"</v>
      </c>
      <c r="U49" s="9" t="str">
        <f t="shared" si="2"/>
        <v>4017</v>
      </c>
      <c r="V49" s="31">
        <f t="shared" si="3"/>
        <v>42958.974502314813</v>
      </c>
      <c r="W49" s="45" t="str">
        <f t="shared" si="4"/>
        <v>NW</v>
      </c>
      <c r="X49" s="22">
        <f t="shared" si="5"/>
        <v>832</v>
      </c>
      <c r="Y49" s="96" t="str">
        <f t="shared" si="6"/>
        <v>echo {"issue":{"subject":"Minor onboard in-route failure caused signal status unknown","project_id":79,"tracker_id":40,"status_id":1,"priority_id":2,"assigned_to_id":23,"start_date":"2017-08-11","description":"","custom_fields":[{"id":1,"name":"Subdivision","value":"NW"},{"id":4,"name":"Milepost","value":"0.479"},{"id":17,"name":"Train ID","value":"832-11"},{"id":16,"name":"Locomotive ID","value":"4017"},{"id":130,"name":"Impact","value":""},{"id":150,"name":"Time of Event (Mountain Time)","value":"17:23:17"},{"id":151,"name":"Denver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7"/>
        <v>grep -hrE -A400 "Enforcement Action" /c/Users/stu/AppData/Local/Temp/OnboardLogs/RTDC4017 --include="*4017*201708112*"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"%USERPROFILE%\AppData\Local\Temp\OnboardLogs"\RTDC4017\*4017*201708112* &gt;&gt; 2017-08-11-SliceDisagreementCheck.txt</v>
      </c>
      <c r="AE49" s="145" t="str">
        <f t="shared" si="9"/>
        <v>start /low /b %USERPROFILE%\Documents\GitHub\eaglep3\Utilities\DownloadLogsFromS3.py --loco 4017 --day 2017-08-11</v>
      </c>
      <c r="AF49" s="1"/>
    </row>
    <row r="50" spans="1:32" x14ac:dyDescent="0.25">
      <c r="A50" s="31">
        <v>42958.660624999997</v>
      </c>
      <c r="B50" s="30" t="s">
        <v>410</v>
      </c>
      <c r="C50" s="30" t="s">
        <v>627</v>
      </c>
      <c r="D50" s="30" t="s">
        <v>49</v>
      </c>
      <c r="E50" s="30" t="s">
        <v>443</v>
      </c>
      <c r="F50" s="42">
        <v>0</v>
      </c>
      <c r="G50" s="42">
        <v>358</v>
      </c>
      <c r="H50" s="42">
        <v>8936</v>
      </c>
      <c r="I50" s="42">
        <v>8297</v>
      </c>
      <c r="J50" s="30" t="s">
        <v>444</v>
      </c>
      <c r="K50" s="42">
        <v>6799</v>
      </c>
      <c r="L50" s="131" t="s">
        <v>51</v>
      </c>
      <c r="M50" s="132">
        <f t="shared" si="0"/>
        <v>790.94399999999996</v>
      </c>
      <c r="N50" s="133" t="str">
        <f>VLOOKUP(C50,'Trips&amp;Operators'!$C$1:$G$99999,5,FALSE)</f>
        <v>DELGADO DIANAH</v>
      </c>
      <c r="O50" s="203" t="s">
        <v>180</v>
      </c>
      <c r="P50" s="134" t="s">
        <v>1111</v>
      </c>
      <c r="Q50" s="30"/>
      <c r="R50" s="81" t="str">
        <f>VLOOKUP(C50,'Train Runs'!$A$13:$AE$9914,31,0)</f>
        <v>aws s3 cp s3://rtdc.mdm.uploadarchive.raw/RTDC4061/ "%USERPROFILE%\AppData\Local\Temp\OnboardLogs"\RTDC4061\2017-08-11 --exclude "*" --recursive --include "*20170811*" &amp; "%USERPROFILE%\Documents\GitHub\mrs-test-scripts\Headless Mode &amp; Sideloading\WalkAndUnGZ.bat" "%USERPROFILE%\AppData\Local\Temp\OnboardLogs"\RTDC4061\2017-08-11 &amp; aws s3 cp s3://rtdc.mdm.uploadarchive.raw/RTDC4061/ "%USERPROFILE%\AppData\Local\Temp\OnboardLogs"\RTDC4061\2017-08-12 --exclude "*" --recursive --include "*20170812*" &amp; "%USERPROFILE%\Documents\GitHub\mrs-test-scripts\Headless Mode &amp; Sideloading\WalkAndUnGZ.bat" "%USERPROFILE%\AppData\Local\Temp\OnboardLogs"\RTDC4061\2017-08-12</v>
      </c>
      <c r="S50" s="84" t="str">
        <f>VLOOKUP(C50,'Train Runs'!$A$13:$AE$9914,22,0)</f>
        <v>https://d0f6bd738d7f1b3e5a7ca70fe4ff75f0.us-east-1.aws.found.io/app/kibana#/discover/Steve-Slow-Train-Analysis-(2080s-and-2083s)?_g=(refreshInterval:(display:Off,pause:!f,section:0,value:0),time:(from:'2017-08-11T14:36:38-0600',mode:absolute,to:'2017-08-11T16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50" s="86" t="str">
        <f t="shared" si="1"/>
        <v>"C:\Program Files (x86)\AstroGrep\AstroGrep.exe" /e /r /s /spath="%USERPROFILE%\AppData\Local\Temp\OnboardLogs" /stypes="*4061*201708112*" /stext=" 21:.+((SYSTEM_STATE.+slice.+state.+changed )|(ment ac)|(multiple cpu faults)|(system.+state.+changed )|(\[timeout)|(PRM\|1\|D)|(kpr)|(kdp)|(train st.+moving)|(\|lc)|(penalty))"</v>
      </c>
      <c r="U50" s="9" t="str">
        <f t="shared" si="2"/>
        <v>4061</v>
      </c>
      <c r="V50" s="31">
        <f t="shared" si="3"/>
        <v>42958.910624999997</v>
      </c>
      <c r="W50" s="45" t="str">
        <f t="shared" si="4"/>
        <v>NW</v>
      </c>
      <c r="X50" s="22">
        <f t="shared" si="5"/>
        <v>826</v>
      </c>
      <c r="Y50" s="96" t="str">
        <f t="shared" si="6"/>
        <v>echo {"issue":{"subject":"RESTRICTING aspect, cleared afterward","project_id":79,"tracker_id":40,"status_id":1,"priority_id":2,"assigned_to_id":23,"start_date":"2017-08-11","description":"","custom_fields":[{"id":1,"name":"Subdivision","value":"NW"},{"id":4,"name":"Milepost","value":"0.6799"},{"id":17,"name":"Train ID","value":"826-11"},{"id":16,"name":"Locomotive ID","value":"4061"},{"id":130,"name":"Impact","value":""},{"id":150,"name":"Time of Event (Mountain Time)","value":"15:51:18"},{"id":151,"name":"Denver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7"/>
        <v>grep -hrE -A400 "Enforcement Action" /c/Users/stu/AppData/Local/Temp/OnboardLogs/RTDC4061 --include="*4061*201708112*"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"%USERPROFILE%\AppData\Local\Temp\OnboardLogs"\RTDC4061\*4061*201708112* &gt;&gt; 2017-08-11-SliceDisagreementCheck.txt</v>
      </c>
      <c r="AE50" s="145" t="str">
        <f t="shared" si="9"/>
        <v>start /low /b %USERPROFILE%\Documents\GitHub\eaglep3\Utilities\DownloadLogsFromS3.py --loco 4061 --day 2017-08-11</v>
      </c>
      <c r="AF50" s="1"/>
    </row>
    <row r="51" spans="1:32" x14ac:dyDescent="0.25">
      <c r="A51" s="31">
        <v>42958.232789351852</v>
      </c>
      <c r="B51" s="30" t="s">
        <v>605</v>
      </c>
      <c r="C51" s="30" t="s">
        <v>606</v>
      </c>
      <c r="D51" s="30" t="s">
        <v>49</v>
      </c>
      <c r="E51" s="30" t="s">
        <v>187</v>
      </c>
      <c r="F51" s="42">
        <v>240</v>
      </c>
      <c r="G51" s="42">
        <v>313</v>
      </c>
      <c r="H51" s="42">
        <v>12300</v>
      </c>
      <c r="I51" s="42">
        <v>11333</v>
      </c>
      <c r="J51" s="30" t="s">
        <v>188</v>
      </c>
      <c r="K51" s="42">
        <v>10988</v>
      </c>
      <c r="L51" s="131" t="s">
        <v>51</v>
      </c>
      <c r="M51" s="132">
        <f t="shared" si="0"/>
        <v>182.16</v>
      </c>
      <c r="N51" s="133" t="str">
        <f>VLOOKUP(C51,'Trips&amp;Operators'!$C$1:$G$99999,5,FALSE)</f>
        <v>TOUSIGNAUT CARL</v>
      </c>
      <c r="O51" s="203" t="s">
        <v>180</v>
      </c>
      <c r="P51" s="134" t="s">
        <v>551</v>
      </c>
      <c r="Q51" s="30"/>
      <c r="R51" s="81" t="str">
        <f>VLOOKUP(C51,'Train Runs'!$A$13:$AE$9914,31,0)</f>
        <v>aws s3 cp s3://rtdc.mdm.uploadarchive.raw/RTDC4059/ "%USERPROFILE%\AppData\Local\Temp\OnboardLogs"\RTDC4059\2017-08-11 --exclude "*" --recursive --include "*20170811*" &amp; "%USERPROFILE%\Documents\GitHub\mrs-test-scripts\Headless Mode &amp; Sideloading\WalkAndUnGZ.bat" "%USERPROFILE%\AppData\Local\Temp\OnboardLogs"\RTDC4059\2017-08-11 &amp; aws s3 cp s3://rtdc.mdm.uploadarchive.raw/RTDC4059/ "%USERPROFILE%\AppData\Local\Temp\OnboardLogs"\RTDC4059\2017-08-12 --exclude "*" --recursive --include "*20170812*" &amp; "%USERPROFILE%\Documents\GitHub\mrs-test-scripts\Headless Mode &amp; Sideloading\WalkAndUnGZ.bat" "%USERPROFILE%\AppData\Local\Temp\OnboardLogs"\RTDC4059\2017-08-12</v>
      </c>
      <c r="S51" s="84" t="str">
        <f>VLOOKUP(C51,'Train Runs'!$A$13:$AE$9914,22,0)</f>
        <v>https://d0f6bd738d7f1b3e5a7ca70fe4ff75f0.us-east-1.aws.found.io/app/kibana#/discover/Steve-Slow-Train-Analysis-(2080s-and-2083s)?_g=(refreshInterval:(display:Off,pause:!f,section:0,value:0),time:(from:'2017-08-11T04:23:58-0600',mode:absolute,to:'2017-08-11T06:40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51" s="86" t="str">
        <f t="shared" si="1"/>
        <v>"C:\Program Files (x86)\AstroGrep\AstroGrep.exe" /e /r /s /spath="%USERPROFILE%\AppData\Local\Temp\OnboardLogs" /stypes="*4059*201708111*" /stext=" 11:.+((SYSTEM_STATE.+slice.+state.+changed )|(ment ac)|(multiple cpu faults)|(system.+state.+changed )|(\[timeout)|(PRM\|1\|D)|(kpr)|(kdp)|(train st.+moving)|(\|lc)|(penalty))"</v>
      </c>
      <c r="U51" s="9" t="str">
        <f t="shared" si="2"/>
        <v>4059</v>
      </c>
      <c r="V51" s="31">
        <f t="shared" si="3"/>
        <v>42958.482789351852</v>
      </c>
      <c r="W51" s="45" t="str">
        <f t="shared" si="4"/>
        <v>Other</v>
      </c>
      <c r="X51" s="22">
        <f t="shared" si="5"/>
        <v>312</v>
      </c>
      <c r="Y51" s="96" t="str">
        <f t="shared" si="6"/>
        <v>echo {"issue":{"subject":"Early Arrival","project_id":79,"tracker_id":40,"status_id":1,"priority_id":2,"assigned_to_id":23,"start_date":"2017-08-11","description":"","custom_fields":[{"id":1,"name":"Subdivision","value":"Other"},{"id":4,"name":"Milepost","value":"1.0988"},{"id":17,"name":"Train ID","value":"312-11"},{"id":16,"name":"Locomotive ID","value":"4059"},{"id":130,"name":"Impact","value":""},{"id":150,"name":"Time of Event (Mountain Time)","value":"05:35:13"},{"id":151,"name":"Denver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7"/>
        <v>grep -hrE -A400 "Enforcement Action" /c/Users/stu/AppData/Local/Temp/OnboardLogs/RTDC4059 --include="*4059*201708111*"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"%USERPROFILE%\AppData\Local\Temp\OnboardLogs"\RTDC4059\*4059*201708111* &gt;&gt; 2017-08-11-SliceDisagreementCheck.txt</v>
      </c>
      <c r="AE51" s="145" t="str">
        <f t="shared" si="9"/>
        <v>start /low /b %USERPROFILE%\Documents\GitHub\eaglep3\Utilities\DownloadLogsFromS3.py --loco 4059 --day 2017-08-11</v>
      </c>
      <c r="AF51" s="1"/>
    </row>
    <row r="52" spans="1:32" x14ac:dyDescent="0.25">
      <c r="A52" s="31">
        <v>42959.07671296296</v>
      </c>
      <c r="B52" s="30" t="s">
        <v>550</v>
      </c>
      <c r="C52" s="30" t="s">
        <v>640</v>
      </c>
      <c r="D52" s="30" t="s">
        <v>96</v>
      </c>
      <c r="E52" s="30" t="s">
        <v>443</v>
      </c>
      <c r="F52" s="42">
        <v>200</v>
      </c>
      <c r="G52" s="42">
        <v>260</v>
      </c>
      <c r="H52" s="42">
        <v>16112</v>
      </c>
      <c r="I52" s="42">
        <v>16761</v>
      </c>
      <c r="J52" s="30" t="s">
        <v>444</v>
      </c>
      <c r="K52" s="42">
        <v>13677</v>
      </c>
      <c r="L52" s="131" t="s">
        <v>50</v>
      </c>
      <c r="M52" s="132">
        <f t="shared" si="0"/>
        <v>-1628.3520000000001</v>
      </c>
      <c r="N52" s="133" t="str">
        <f>VLOOKUP(C52,'Trips&amp;Operators'!$C$1:$G$99999,5,FALSE)</f>
        <v>PERKINS DARREN</v>
      </c>
      <c r="O52" s="203" t="s">
        <v>180</v>
      </c>
      <c r="P52" s="134"/>
      <c r="Q52" s="30"/>
      <c r="R52" s="81" t="str">
        <f>VLOOKUP(C52,'Train Runs'!$A$13:$AE$9914,31,0)</f>
        <v>aws s3 cp s3://rtdc.mdm.uploadarchive.raw/RTDC4058/ "%USERPROFILE%\AppData\Local\Temp\OnboardLogs"\RTDC4058\2017-08-12 --exclude "*" --recursive --include "*20170812*" &amp; "%USERPROFILE%\Documents\GitHub\mrs-test-scripts\Headless Mode &amp; Sideloading\WalkAndUnGZ.bat" "%USERPROFILE%\AppData\Local\Temp\OnboardLogs"\RTDC4058\2017-08-12 &amp; aws s3 cp s3://rtdc.mdm.uploadarchive.raw/RTDC4058/ "%USERPROFILE%\AppData\Local\Temp\OnboardLogs"\RTDC4058\2017-08-13 --exclude "*" --recursive --include "*20170813*" &amp; "%USERPROFILE%\Documents\GitHub\mrs-test-scripts\Headless Mode &amp; Sideloading\WalkAndUnGZ.bat" "%USERPROFILE%\AppData\Local\Temp\OnboardLogs"\RTDC4058\2017-08-13</v>
      </c>
      <c r="S52" s="84" t="str">
        <f>VLOOKUP(C52,'Train Runs'!$A$13:$AE$9914,22,0)</f>
        <v>https://d0f6bd738d7f1b3e5a7ca70fe4ff75f0.us-east-1.aws.found.io/app/kibana#/discover/Steve-Slow-Train-Analysis-(2080s-and-2083s)?_g=(refreshInterval:(display:Off,pause:!f,section:0,value:0),time:(from:'2017-08-12T00:38:12-0600',mode:absolute,to:'2017-08-12T03:01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52" s="86" t="str">
        <f t="shared" si="1"/>
        <v>"C:\Program Files (x86)\AstroGrep\AstroGrep.exe" /e /r /s /spath="%USERPROFILE%\AppData\Local\Temp\OnboardLogs" /stypes="*4058*201708120*" /stext=" 07:.+((SYSTEM_STATE.+slice.+state.+changed )|(ment ac)|(multiple cpu faults)|(system.+state.+changed )|(\[timeout)|(PRM\|1\|D)|(kpr)|(kdp)|(train st.+moving)|(\|lc)|(penalty))"</v>
      </c>
      <c r="U52" s="9" t="str">
        <f t="shared" si="2"/>
        <v>4058</v>
      </c>
      <c r="V52" s="31">
        <f t="shared" si="3"/>
        <v>42959.32671296296</v>
      </c>
      <c r="W52" s="45" t="str">
        <f t="shared" si="4"/>
        <v>Other</v>
      </c>
      <c r="X52" s="22">
        <f t="shared" si="5"/>
        <v>309</v>
      </c>
      <c r="Y52" s="96" t="str">
        <f t="shared" si="6"/>
        <v>echo {"issue":{"subject":"","project_id":79,"tracker_id":40,"status_id":1,"priority_id":2,"assigned_to_id":23,"start_date":"2017-08-12","description":"","custom_fields":[{"id":1,"name":"Subdivision","value":"Other"},{"id":4,"name":"Milepost","value":"1.3677"},{"id":17,"name":"Train ID","value":"309-11"},{"id":16,"name":"Locomotive ID","value":"4058"},{"id":130,"name":"Impact","value":""},{"id":150,"name":"Time of Event (Mountain Time)","value":"01:50:28"},{"id":151,"name":"Denver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7"/>
        <v>grep -hrE -A400 "Enforcement Action" /c/Users/stu/AppData/Local/Temp/OnboardLogs/RTDC4058 --include="*4058*201708120*"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"%USERPROFILE%\AppData\Local\Temp\OnboardLogs"\RTDC4058\*4058*201708120* &gt;&gt; 2017-08-11-SliceDisagreementCheck.txt</v>
      </c>
      <c r="AE52" s="145" t="str">
        <f t="shared" si="9"/>
        <v>start /low /b %USERPROFILE%\Documents\GitHub\eaglep3\Utilities\DownloadLogsFromS3.py --loco 4058 --day 2017-08-12</v>
      </c>
      <c r="AF52" s="1"/>
    </row>
    <row r="53" spans="1:32" x14ac:dyDescent="0.25">
      <c r="A53" s="31">
        <v>42958.185266203705</v>
      </c>
      <c r="B53" s="30" t="s">
        <v>507</v>
      </c>
      <c r="C53" s="30" t="s">
        <v>601</v>
      </c>
      <c r="D53" s="30" t="s">
        <v>96</v>
      </c>
      <c r="E53" s="30" t="s">
        <v>602</v>
      </c>
      <c r="F53" s="42">
        <v>0</v>
      </c>
      <c r="G53" s="42">
        <v>120</v>
      </c>
      <c r="H53" s="42">
        <v>22467</v>
      </c>
      <c r="I53" s="42">
        <v>22346</v>
      </c>
      <c r="J53" s="30" t="s">
        <v>503</v>
      </c>
      <c r="K53" s="42">
        <v>24235</v>
      </c>
      <c r="L53" s="131" t="s">
        <v>51</v>
      </c>
      <c r="M53" s="132">
        <f t="shared" si="0"/>
        <v>-997.39200000000005</v>
      </c>
      <c r="N53" s="133" t="str">
        <f>VLOOKUP(C53,'Trips&amp;Operators'!$C$1:$G$99999,5,FALSE)</f>
        <v>DAVIS WENDY</v>
      </c>
      <c r="O53" s="203" t="s">
        <v>180</v>
      </c>
      <c r="P53" s="134"/>
      <c r="Q53" s="30"/>
      <c r="R53" s="81" t="str">
        <f>VLOOKUP(C53,'Train Runs'!$A$13:$AE$9914,31,0)</f>
        <v>aws s3 cp s3://rtdc.mdm.uploadarchive.raw/RTDC4029/ "%USERPROFILE%\AppData\Local\Temp\OnboardLogs"\RTDC4029\2017-08-11 --exclude "*" --recursive --include "*20170811*" &amp; "%USERPROFILE%\Documents\GitHub\mrs-test-scripts\Headless Mode &amp; Sideloading\WalkAndUnGZ.bat" "%USERPROFILE%\AppData\Local\Temp\OnboardLogs"\RTDC4029\2017-08-11 &amp; aws s3 cp s3://rtdc.mdm.uploadarchive.raw/RTDC4029/ "%USERPROFILE%\AppData\Local\Temp\OnboardLogs"\RTDC4029\2017-08-12 --exclude "*" --recursive --include "*20170812*" &amp; "%USERPROFILE%\Documents\GitHub\mrs-test-scripts\Headless Mode &amp; Sideloading\WalkAndUnGZ.bat" "%USERPROFILE%\AppData\Local\Temp\OnboardLogs"\RTDC4029\2017-08-12</v>
      </c>
      <c r="S53" s="84" t="str">
        <f>VLOOKUP(C53,'Train Runs'!$A$13:$AE$9914,22,0)</f>
        <v>https://d0f6bd738d7f1b3e5a7ca70fe4ff75f0.us-east-1.aws.found.io/app/kibana#/discover/Steve-Slow-Train-Analysis-(2080s-and-2083s)?_g=(refreshInterval:(display:Off,pause:!f,section:0,value:0),time:(from:'2017-08-11T03:20:11-0600',mode:absolute,to:'2017-08-11T05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53" s="86" t="str">
        <f t="shared" si="1"/>
        <v>"C:\Program Files (x86)\AstroGrep\AstroGrep.exe" /e /r /s /spath="%USERPROFILE%\AppData\Local\Temp\OnboardLogs" /stypes="*4029*201708111*" /stext=" 10:.+((SYSTEM_STATE.+slice.+state.+changed )|(ment ac)|(multiple cpu faults)|(system.+state.+changed )|(\[timeout)|(PRM\|1\|D)|(kpr)|(kdp)|(train st.+moving)|(\|lc)|(penalty))"</v>
      </c>
      <c r="U53" s="9" t="str">
        <f t="shared" si="2"/>
        <v>4029</v>
      </c>
      <c r="V53" s="31">
        <f t="shared" si="3"/>
        <v>42958.435266203705</v>
      </c>
      <c r="W53" s="45" t="str">
        <f t="shared" si="4"/>
        <v>Other</v>
      </c>
      <c r="X53" s="22">
        <f t="shared" si="5"/>
        <v>308</v>
      </c>
      <c r="Y53" s="96" t="str">
        <f t="shared" si="6"/>
        <v>echo {"issue":{"subject":"","project_id":79,"tracker_id":40,"status_id":1,"priority_id":2,"assigned_to_id":23,"start_date":"2017-08-11","description":"","custom_fields":[{"id":1,"name":"Subdivision","value":"Other"},{"id":4,"name":"Milepost","value":"2.4235"},{"id":17,"name":"Train ID","value":"308-11"},{"id":16,"name":"Locomotive ID","value":"4029"},{"id":130,"name":"Impact","value":""},{"id":150,"name":"Time of Event (Mountain Time)","value":"04:26:47"},{"id":151,"name":"Denver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7"/>
        <v>grep -hrE -A400 "Enforcement Action" /c/Users/stu/AppData/Local/Temp/OnboardLogs/RTDC4029 --include="*4029*201708111*"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"%USERPROFILE%\AppData\Local\Temp\OnboardLogs"\RTDC4029\*4029*201708111* &gt;&gt; 2017-08-11-SliceDisagreementCheck.txt</v>
      </c>
      <c r="AE53" s="145" t="str">
        <f t="shared" si="9"/>
        <v>start /low /b %USERPROFILE%\Documents\GitHub\eaglep3\Utilities\DownloadLogsFromS3.py --loco 4029 --day 2017-08-11</v>
      </c>
      <c r="AF53" s="1"/>
    </row>
    <row r="54" spans="1:32" x14ac:dyDescent="0.25">
      <c r="A54" s="31">
        <v>42958.175983796296</v>
      </c>
      <c r="B54" s="30" t="s">
        <v>548</v>
      </c>
      <c r="C54" s="30" t="s">
        <v>600</v>
      </c>
      <c r="D54" s="30" t="s">
        <v>96</v>
      </c>
      <c r="E54" s="30" t="s">
        <v>502</v>
      </c>
      <c r="F54" s="42">
        <v>0</v>
      </c>
      <c r="G54" s="42">
        <v>138</v>
      </c>
      <c r="H54" s="42">
        <v>23105</v>
      </c>
      <c r="I54" s="42">
        <v>0</v>
      </c>
      <c r="J54" s="30" t="s">
        <v>503</v>
      </c>
      <c r="K54" s="42">
        <v>24235</v>
      </c>
      <c r="L54" s="131" t="s">
        <v>51</v>
      </c>
      <c r="M54" s="132">
        <f t="shared" si="0"/>
        <v>-12796.08</v>
      </c>
      <c r="N54" s="133" t="str">
        <f>VLOOKUP(C54,'Trips&amp;Operators'!$C$1:$G$99999,5,FALSE)</f>
        <v>BARRON PERLA</v>
      </c>
      <c r="O54" s="203" t="s">
        <v>180</v>
      </c>
      <c r="P54" s="134"/>
      <c r="Q54" s="30"/>
      <c r="R54" s="81" t="str">
        <f>VLOOKUP(C54,'Train Runs'!$A$13:$AE$9914,31,0)</f>
        <v>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 &amp; aws s3 cp s3://rtdc.mdm.uploadarchive.raw/RTDC4057/ "%USERPROFILE%\AppData\Local\Temp\OnboardLogs"\RTDC4057\2017-08-12 --exclude "*" --recursive --include "*20170812*" &amp; "%USERPROFILE%\Documents\GitHub\mrs-test-scripts\Headless Mode &amp; Sideloading\WalkAndUnGZ.bat" "%USERPROFILE%\AppData\Local\Temp\OnboardLogs"\RTDC4057\2017-08-12</v>
      </c>
      <c r="S54" s="84" t="str">
        <f>VLOOKUP(C54,'Train Runs'!$A$13:$AE$9914,22,0)</f>
        <v>https://d0f6bd738d7f1b3e5a7ca70fe4ff75f0.us-east-1.aws.found.io/app/kibana#/discover/Steve-Slow-Train-Analysis-(2080s-and-2083s)?_g=(refreshInterval:(display:Off,pause:!f,section:0,value:0),time:(from:'2017-08-11T03:01:43-0600',mode:absolute,to:'2017-08-11T05:13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54" s="86" t="str">
        <f t="shared" si="1"/>
        <v>"C:\Program Files (x86)\AstroGrep\AstroGrep.exe" /e /r /s /spath="%USERPROFILE%\AppData\Local\Temp\OnboardLogs" /stypes="*4057*201708111*" /stext=" 10:.+((SYSTEM_STATE.+slice.+state.+changed )|(ment ac)|(multiple cpu faults)|(system.+state.+changed )|(\[timeout)|(PRM\|1\|D)|(kpr)|(kdp)|(train st.+moving)|(\|lc)|(penalty))"</v>
      </c>
      <c r="U54" s="9" t="str">
        <f t="shared" si="2"/>
        <v>4057</v>
      </c>
      <c r="V54" s="31">
        <f t="shared" si="3"/>
        <v>42958.425983796296</v>
      </c>
      <c r="W54" s="45" t="str">
        <f t="shared" si="4"/>
        <v>Other</v>
      </c>
      <c r="X54" s="22">
        <f t="shared" si="5"/>
        <v>306</v>
      </c>
      <c r="Y54" s="96" t="str">
        <f t="shared" si="6"/>
        <v>echo {"issue":{"subject":"","project_id":79,"tracker_id":40,"status_id":1,"priority_id":2,"assigned_to_id":23,"start_date":"2017-08-11","description":"","custom_fields":[{"id":1,"name":"Subdivision","value":"Other"},{"id":4,"name":"Milepost","value":"2.4235"},{"id":17,"name":"Train ID","value":"306-11"},{"id":16,"name":"Locomotive ID","value":"4057"},{"id":130,"name":"Impact","value":""},{"id":150,"name":"Time of Event (Mountain Time)","value":"04:13:25"},{"id":151,"name":"Denver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7"/>
        <v>grep -hrE -A400 "Enforcement Action" /c/Users/stu/AppData/Local/Temp/OnboardLogs/RTDC4057 --include="*4057*201708111*"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"%USERPROFILE%\AppData\Local\Temp\OnboardLogs"\RTDC4057\*4057*201708111* &gt;&gt; 2017-08-11-SliceDisagreementCheck.txt</v>
      </c>
      <c r="AE54" s="145" t="str">
        <f t="shared" si="9"/>
        <v>start /low /b %USERPROFILE%\Documents\GitHub\eaglep3\Utilities\DownloadLogsFromS3.py --loco 4057 --day 2017-08-11</v>
      </c>
      <c r="AF54" s="1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</sheetData>
  <autoFilter ref="A6:AC58">
    <sortState ref="A7:AC58">
      <sortCondition ref="W7:W54"/>
      <sortCondition ref="E7:E54"/>
      <sortCondition ref="K7:K54"/>
      <sortCondition ref="F7:F54"/>
    </sortState>
  </autoFilter>
  <sortState ref="A7:AE39">
    <sortCondition ref="W7:W39"/>
    <sortCondition ref="E7:E39"/>
    <sortCondition ref="K7:K39"/>
    <sortCondition ref="C7:C39"/>
    <sortCondition ref="F7:F39"/>
  </sortState>
  <mergeCells count="1">
    <mergeCell ref="A5:O5"/>
  </mergeCells>
  <conditionalFormatting sqref="O6:P6 R6 O64:O1048576 O7:O5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4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AA7:AA54</xm:sqref>
        </x14:dataValidation>
        <x14:dataValidation type="list" allowBlank="1" showInputMessage="1" showErrorMessage="1">
          <x14:formula1>
            <xm:f>'Redmine List Values'!$C$2:$C$15</xm:f>
          </x14:formula1>
          <xm:sqref>AB7:AB54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1"/>
  <sheetViews>
    <sheetView workbookViewId="0">
      <selection activeCell="B37" sqref="B37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2017-08-11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-11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" s="30" t="e">
        <f>VLOOKUP(B3,'Train Runs'!$A$13:$A$99911,1,FALSE)</f>
        <v>#N/A</v>
      </c>
    </row>
    <row r="4" spans="1:10" x14ac:dyDescent="0.25">
      <c r="A4" s="195"/>
      <c r="B4" s="42" t="str">
        <f>A4&amp;"-"&amp;IF(DAY(Variables!$A$2)&lt;10,0,"")&amp;DAY(Variables!$A$2)</f>
        <v>-11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" s="30" t="e">
        <f>VLOOKUP(B4,'Train Runs'!$A$13:$A$99911,1,FALSE)</f>
        <v>#N/A</v>
      </c>
    </row>
    <row r="5" spans="1:10" x14ac:dyDescent="0.25">
      <c r="A5" s="195"/>
      <c r="B5" s="42" t="str">
        <f>A5&amp;"-"&amp;IF(DAY(Variables!$A$2)&lt;10,0,"")&amp;DAY(Variables!$A$2)</f>
        <v>-11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ref="I5:I2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" s="30" t="e">
        <f>VLOOKUP(B5,'Train Runs'!$A$13:$A$99911,1,FALSE)</f>
        <v>#N/A</v>
      </c>
    </row>
    <row r="6" spans="1:10" x14ac:dyDescent="0.25">
      <c r="A6" s="195"/>
      <c r="B6" s="42" t="str">
        <f>A6&amp;"-"&amp;IF(DAY(Variables!$A$2)&lt;10,0,"")&amp;DAY(Variables!$A$2)</f>
        <v>-11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" s="30" t="e">
        <f>VLOOKUP(B6,'Train Runs'!$A$13:$A$99911,1,FALSE)</f>
        <v>#N/A</v>
      </c>
    </row>
    <row r="7" spans="1:10" x14ac:dyDescent="0.25">
      <c r="A7" s="195"/>
      <c r="B7" s="42" t="str">
        <f>A7&amp;"-"&amp;IF(DAY(Variables!$A$2)&lt;10,0,"")&amp;DAY(Variables!$A$2)</f>
        <v>-11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" s="30" t="e">
        <f>VLOOKUP(B7,'Train Runs'!$A$13:$A$99911,1,FALSE)</f>
        <v>#N/A</v>
      </c>
    </row>
    <row r="8" spans="1:10" x14ac:dyDescent="0.25">
      <c r="A8" s="195"/>
      <c r="B8" s="42" t="str">
        <f>A8&amp;"-"&amp;IF(DAY(Variables!$A$2)&lt;10,0,"")&amp;DAY(Variables!$A$2)</f>
        <v>-11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" s="30" t="e">
        <f>VLOOKUP(B8,'Train Runs'!$A$13:$A$99911,1,FALSE)</f>
        <v>#N/A</v>
      </c>
    </row>
    <row r="9" spans="1:10" x14ac:dyDescent="0.25">
      <c r="A9" s="195"/>
      <c r="B9" s="42" t="str">
        <f>A9&amp;"-"&amp;IF(DAY(Variables!$A$2)&lt;10,0,"")&amp;DAY(Variables!$A$2)</f>
        <v>-11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" s="30" t="e">
        <f>VLOOKUP(B9,'Train Runs'!$A$13:$A$99911,1,FALSE)</f>
        <v>#N/A</v>
      </c>
    </row>
    <row r="10" spans="1:10" x14ac:dyDescent="0.25">
      <c r="A10" s="195"/>
      <c r="B10" s="42" t="str">
        <f>A10&amp;"-"&amp;IF(DAY(Variables!$A$2)&lt;10,0,"")&amp;DAY(Variables!$A$2)</f>
        <v>-11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" s="30" t="e">
        <f>VLOOKUP(B10,'Train Runs'!$A$13:$A$99911,1,FALSE)</f>
        <v>#N/A</v>
      </c>
    </row>
    <row r="11" spans="1:10" x14ac:dyDescent="0.25">
      <c r="A11" s="195"/>
      <c r="B11" s="42" t="str">
        <f>A11&amp;"-"&amp;IF(DAY(Variables!$A$2)&lt;10,0,"")&amp;DAY(Variables!$A$2)</f>
        <v>-11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" s="30" t="e">
        <f>VLOOKUP(B11,'Train Runs'!$A$13:$A$99911,1,FALSE)</f>
        <v>#N/A</v>
      </c>
    </row>
    <row r="12" spans="1:10" x14ac:dyDescent="0.25">
      <c r="A12" s="195"/>
      <c r="B12" s="42" t="str">
        <f>A12&amp;"-"&amp;IF(DAY(Variables!$A$2)&lt;10,0,"")&amp;DAY(Variables!$A$2)</f>
        <v>-11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2" s="30" t="e">
        <f>VLOOKUP(B12,'Train Runs'!$A$13:$A$99911,1,FALSE)</f>
        <v>#N/A</v>
      </c>
    </row>
    <row r="13" spans="1:10" x14ac:dyDescent="0.25">
      <c r="A13" s="195"/>
      <c r="B13" s="42" t="str">
        <f>A13&amp;"-"&amp;IF(DAY(Variables!$A$2)&lt;10,0,"")&amp;DAY(Variables!$A$2)</f>
        <v>-11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3" s="30" t="e">
        <f>VLOOKUP(B13,'Train Runs'!$A$13:$A$99911,1,FALSE)</f>
        <v>#N/A</v>
      </c>
    </row>
    <row r="14" spans="1:10" x14ac:dyDescent="0.25">
      <c r="A14" s="195"/>
      <c r="B14" s="42" t="str">
        <f>A14&amp;"-"&amp;IF(DAY(Variables!$A$2)&lt;10,0,"")&amp;DAY(Variables!$A$2)</f>
        <v>-11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4" s="30" t="e">
        <f>VLOOKUP(B14,'Train Runs'!$A$13:$A$99911,1,FALSE)</f>
        <v>#N/A</v>
      </c>
    </row>
    <row r="15" spans="1:10" x14ac:dyDescent="0.25">
      <c r="A15" s="195"/>
      <c r="B15" s="42" t="str">
        <f>A15&amp;"-"&amp;IF(DAY(Variables!$A$2)&lt;10,0,"")&amp;DAY(Variables!$A$2)</f>
        <v>-11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5" s="30" t="e">
        <f>VLOOKUP(B15,'Train Runs'!$A$13:$A$99911,1,FALSE)</f>
        <v>#N/A</v>
      </c>
    </row>
    <row r="16" spans="1:10" x14ac:dyDescent="0.25">
      <c r="A16" s="195"/>
      <c r="B16" s="42" t="str">
        <f>A16&amp;"-"&amp;IF(DAY(Variables!$A$2)&lt;10,0,"")&amp;DAY(Variables!$A$2)</f>
        <v>-11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6" s="30" t="e">
        <f>VLOOKUP(B16,'Train Runs'!$A$13:$A$99911,1,FALSE)</f>
        <v>#N/A</v>
      </c>
    </row>
    <row r="17" spans="1:10" x14ac:dyDescent="0.25">
      <c r="A17" s="195"/>
      <c r="B17" s="42" t="str">
        <f>A17&amp;"-"&amp;IF(DAY(Variables!$A$2)&lt;10,0,"")&amp;DAY(Variables!$A$2)</f>
        <v>-11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7" s="30" t="e">
        <f>VLOOKUP(B17,'Train Runs'!$A$13:$A$99911,1,FALSE)</f>
        <v>#N/A</v>
      </c>
    </row>
    <row r="18" spans="1:10" x14ac:dyDescent="0.25">
      <c r="A18" s="195"/>
      <c r="B18" s="42" t="str">
        <f>A18&amp;"-"&amp;IF(DAY(Variables!$A$2)&lt;10,0,"")&amp;DAY(Variables!$A$2)</f>
        <v>-11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8" s="30" t="e">
        <f>VLOOKUP(B18,'Train Runs'!$A$13:$A$99911,1,FALSE)</f>
        <v>#N/A</v>
      </c>
    </row>
    <row r="19" spans="1:10" x14ac:dyDescent="0.25">
      <c r="A19" s="195"/>
      <c r="B19" s="42" t="str">
        <f>A19&amp;"-"&amp;IF(DAY(Variables!$A$2)&lt;10,0,"")&amp;DAY(Variables!$A$2)</f>
        <v>-11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9" s="30" t="e">
        <f>VLOOKUP(B19,'Train Runs'!$A$13:$A$99911,1,FALSE)</f>
        <v>#N/A</v>
      </c>
    </row>
    <row r="20" spans="1:10" x14ac:dyDescent="0.25">
      <c r="A20" s="195"/>
      <c r="B20" s="42" t="str">
        <f>A20&amp;"-"&amp;IF(DAY(Variables!$A$2)&lt;10,0,"")&amp;DAY(Variables!$A$2)</f>
        <v>-11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0" s="30" t="e">
        <f>VLOOKUP(B20,'Train Runs'!$A$13:$A$99911,1,FALSE)</f>
        <v>#N/A</v>
      </c>
    </row>
    <row r="21" spans="1:10" x14ac:dyDescent="0.25">
      <c r="A21" s="195"/>
      <c r="B21" s="42" t="str">
        <f>A21&amp;"-"&amp;IF(DAY(Variables!$A$2)&lt;10,0,"")&amp;DAY(Variables!$A$2)</f>
        <v>-11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1" s="30" t="e">
        <f>VLOOKUP(B21,'Train Runs'!$A$13:$A$99911,1,FALSE)</f>
        <v>#N/A</v>
      </c>
    </row>
    <row r="22" spans="1:10" x14ac:dyDescent="0.25">
      <c r="A22" s="195"/>
      <c r="B22" s="42" t="str">
        <f>A22&amp;"-"&amp;IF(DAY(Variables!$A$2)&lt;10,0,"")&amp;DAY(Variables!$A$2)</f>
        <v>-11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2" s="30" t="e">
        <f>VLOOKUP(B22,'Train Runs'!$A$13:$A$99911,1,FALSE)</f>
        <v>#N/A</v>
      </c>
    </row>
    <row r="23" spans="1:10" x14ac:dyDescent="0.25">
      <c r="A23" s="195"/>
      <c r="B23" s="42" t="str">
        <f>A23&amp;"-"&amp;IF(DAY(Variables!$A$2)&lt;10,0,"")&amp;DAY(Variables!$A$2)</f>
        <v>-11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3" s="30" t="e">
        <f>VLOOKUP(B23,'Train Runs'!$A$13:$A$99911,1,FALSE)</f>
        <v>#N/A</v>
      </c>
    </row>
    <row r="24" spans="1:10" x14ac:dyDescent="0.25">
      <c r="A24" s="195"/>
      <c r="B24" s="42" t="str">
        <f>A24&amp;"-"&amp;IF(DAY(Variables!$A$2)&lt;10,0,"")&amp;DAY(Variables!$A$2)</f>
        <v>-11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4" s="30" t="e">
        <f>VLOOKUP(B24,'Train Runs'!$A$13:$A$99911,1,FALSE)</f>
        <v>#N/A</v>
      </c>
    </row>
    <row r="25" spans="1:10" x14ac:dyDescent="0.25">
      <c r="A25" s="195"/>
      <c r="B25" s="42" t="str">
        <f>A25&amp;"-"&amp;IF(DAY(Variables!$A$2)&lt;10,0,"")&amp;DAY(Variables!$A$2)</f>
        <v>-11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5" s="30" t="e">
        <f>VLOOKUP(B25,'Train Runs'!$A$13:$A$99911,1,FALSE)</f>
        <v>#N/A</v>
      </c>
    </row>
    <row r="26" spans="1:10" x14ac:dyDescent="0.25">
      <c r="A26" s="195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5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</sheetData>
  <autoFilter ref="A2:J33"/>
  <sortState ref="A3:J112">
    <sortCondition ref="A3:A112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42958.032442129632</v>
      </c>
      <c r="B2" s="20" t="s">
        <v>546</v>
      </c>
      <c r="C2" s="20" t="s">
        <v>557</v>
      </c>
      <c r="D2" s="138">
        <v>2620000</v>
      </c>
      <c r="E2" s="20" t="s">
        <v>555</v>
      </c>
      <c r="F2" s="20" t="s">
        <v>556</v>
      </c>
      <c r="G2" s="8" t="str">
        <f>E2&amp;" "&amp;F2</f>
        <v>PERKINS DARREN</v>
      </c>
    </row>
    <row r="3" spans="1:7" x14ac:dyDescent="0.25">
      <c r="A3" s="8">
        <v>42958.048043981478</v>
      </c>
      <c r="B3" s="20" t="s">
        <v>471</v>
      </c>
      <c r="C3" s="20" t="s">
        <v>558</v>
      </c>
      <c r="D3" s="138">
        <v>2230000</v>
      </c>
      <c r="E3" s="20" t="s">
        <v>336</v>
      </c>
      <c r="F3" s="20" t="s">
        <v>192</v>
      </c>
      <c r="G3" s="8" t="str">
        <f t="shared" ref="G3:G66" si="0">E3&amp;" "&amp;F3</f>
        <v>SMITH MICHAEL</v>
      </c>
    </row>
    <row r="4" spans="1:7" x14ac:dyDescent="0.25">
      <c r="A4" s="8">
        <v>42958.04954861111</v>
      </c>
      <c r="B4" s="20" t="s">
        <v>405</v>
      </c>
      <c r="C4" s="20" t="s">
        <v>559</v>
      </c>
      <c r="D4" s="138">
        <v>3000000</v>
      </c>
      <c r="E4" s="20" t="s">
        <v>380</v>
      </c>
      <c r="F4" s="20" t="s">
        <v>381</v>
      </c>
      <c r="G4" s="8" t="str">
        <f t="shared" si="0"/>
        <v>FORTUNATO FRANK</v>
      </c>
    </row>
    <row r="5" spans="1:7" x14ac:dyDescent="0.25">
      <c r="A5" s="8">
        <v>42958.050729166665</v>
      </c>
      <c r="B5" s="20" t="s">
        <v>471</v>
      </c>
      <c r="C5" s="20" t="s">
        <v>558</v>
      </c>
      <c r="D5" s="138">
        <v>2230000</v>
      </c>
      <c r="E5" s="20" t="s">
        <v>336</v>
      </c>
      <c r="F5" s="20" t="s">
        <v>192</v>
      </c>
      <c r="G5" s="8" t="str">
        <f t="shared" si="0"/>
        <v>SMITH MICHAEL</v>
      </c>
    </row>
    <row r="6" spans="1:7" x14ac:dyDescent="0.25">
      <c r="A6" s="8">
        <v>42958.068194444444</v>
      </c>
      <c r="B6" s="20" t="s">
        <v>547</v>
      </c>
      <c r="C6" s="20" t="s">
        <v>560</v>
      </c>
      <c r="D6" s="138">
        <v>2620000</v>
      </c>
      <c r="E6" s="20" t="s">
        <v>555</v>
      </c>
      <c r="F6" s="20" t="s">
        <v>556</v>
      </c>
      <c r="G6" s="8" t="str">
        <f t="shared" si="0"/>
        <v>PERKINS DARREN</v>
      </c>
    </row>
    <row r="7" spans="1:7" x14ac:dyDescent="0.25">
      <c r="A7" s="8">
        <v>42958.08861111111</v>
      </c>
      <c r="B7" s="20" t="s">
        <v>376</v>
      </c>
      <c r="C7" s="20" t="s">
        <v>561</v>
      </c>
      <c r="D7" s="138">
        <v>3000000</v>
      </c>
      <c r="E7" s="20" t="s">
        <v>380</v>
      </c>
      <c r="F7" s="20" t="s">
        <v>381</v>
      </c>
      <c r="G7" s="8" t="str">
        <f t="shared" si="0"/>
        <v>FORTUNATO FRANK</v>
      </c>
    </row>
    <row r="8" spans="1:7" x14ac:dyDescent="0.25">
      <c r="A8" s="8">
        <v>42958.089814814812</v>
      </c>
      <c r="B8" s="20" t="s">
        <v>376</v>
      </c>
      <c r="C8" s="20" t="s">
        <v>561</v>
      </c>
      <c r="D8" s="138">
        <v>3000000</v>
      </c>
      <c r="E8" s="20" t="s">
        <v>380</v>
      </c>
      <c r="F8" s="20" t="s">
        <v>381</v>
      </c>
      <c r="G8" s="8" t="str">
        <f t="shared" si="0"/>
        <v>FORTUNATO FRANK</v>
      </c>
    </row>
    <row r="9" spans="1:7" ht="15.75" thickBot="1" x14ac:dyDescent="0.3">
      <c r="A9" s="24">
        <v>42958.115567129629</v>
      </c>
      <c r="B9" s="20" t="s">
        <v>504</v>
      </c>
      <c r="C9" s="20" t="s">
        <v>641</v>
      </c>
      <c r="D9" s="138">
        <v>1110000</v>
      </c>
      <c r="E9" s="20" t="s">
        <v>406</v>
      </c>
      <c r="F9" s="20" t="s">
        <v>407</v>
      </c>
      <c r="G9" s="8" t="str">
        <f t="shared" si="0"/>
        <v>STARKS ANGELINA</v>
      </c>
    </row>
    <row r="10" spans="1:7" x14ac:dyDescent="0.25">
      <c r="A10" s="8">
        <v>42958.126782407409</v>
      </c>
      <c r="B10" s="20" t="s">
        <v>508</v>
      </c>
      <c r="C10" s="20" t="s">
        <v>642</v>
      </c>
      <c r="D10" s="138">
        <v>1090000</v>
      </c>
      <c r="E10" s="20" t="s">
        <v>486</v>
      </c>
      <c r="F10" s="20" t="s">
        <v>192</v>
      </c>
      <c r="G10" s="8" t="str">
        <f t="shared" si="0"/>
        <v>SPECTOR MICHAEL</v>
      </c>
    </row>
    <row r="11" spans="1:7" x14ac:dyDescent="0.25">
      <c r="A11" s="8">
        <v>42958.12940972222</v>
      </c>
      <c r="B11" s="20" t="s">
        <v>359</v>
      </c>
      <c r="C11" s="20" t="s">
        <v>643</v>
      </c>
      <c r="D11" s="138">
        <v>1110000</v>
      </c>
      <c r="E11" s="20" t="s">
        <v>406</v>
      </c>
      <c r="F11" s="20" t="s">
        <v>407</v>
      </c>
      <c r="G11" s="8" t="str">
        <f t="shared" si="0"/>
        <v>STARKS ANGELINA</v>
      </c>
    </row>
    <row r="12" spans="1:7" x14ac:dyDescent="0.25">
      <c r="A12" s="8">
        <v>42958.137407407405</v>
      </c>
      <c r="B12" s="20" t="s">
        <v>506</v>
      </c>
      <c r="C12" s="20" t="s">
        <v>644</v>
      </c>
      <c r="D12" s="138">
        <v>3040000</v>
      </c>
      <c r="E12" s="20" t="s">
        <v>367</v>
      </c>
      <c r="F12" s="20" t="s">
        <v>368</v>
      </c>
      <c r="G12" s="8" t="str">
        <f t="shared" si="0"/>
        <v>WILLIAMS DONTE</v>
      </c>
    </row>
    <row r="13" spans="1:7" x14ac:dyDescent="0.25">
      <c r="A13" s="8">
        <v>42958.14135416667</v>
      </c>
      <c r="B13" s="20" t="s">
        <v>504</v>
      </c>
      <c r="C13" s="20" t="s">
        <v>645</v>
      </c>
      <c r="D13" s="138">
        <v>1090000</v>
      </c>
      <c r="E13" s="20" t="s">
        <v>486</v>
      </c>
      <c r="F13" s="20" t="s">
        <v>192</v>
      </c>
      <c r="G13" s="8" t="str">
        <f t="shared" si="0"/>
        <v>SPECTOR MICHAEL</v>
      </c>
    </row>
    <row r="14" spans="1:7" x14ac:dyDescent="0.25">
      <c r="A14" s="8">
        <v>42958.153854166667</v>
      </c>
      <c r="B14" s="20" t="s">
        <v>501</v>
      </c>
      <c r="C14" s="20" t="s">
        <v>646</v>
      </c>
      <c r="D14" s="138">
        <v>3040000</v>
      </c>
      <c r="E14" s="20" t="s">
        <v>367</v>
      </c>
      <c r="F14" s="20" t="s">
        <v>368</v>
      </c>
      <c r="G14" s="8" t="str">
        <f t="shared" si="0"/>
        <v>WILLIAMS DONTE</v>
      </c>
    </row>
    <row r="15" spans="1:7" x14ac:dyDescent="0.25">
      <c r="A15" s="8">
        <v>42958.159791666665</v>
      </c>
      <c r="B15" s="20" t="s">
        <v>549</v>
      </c>
      <c r="C15" s="20" t="s">
        <v>647</v>
      </c>
      <c r="D15" s="138">
        <v>3500000</v>
      </c>
      <c r="E15" s="20" t="s">
        <v>509</v>
      </c>
      <c r="F15" s="20" t="s">
        <v>510</v>
      </c>
      <c r="G15" s="8" t="str">
        <f t="shared" si="0"/>
        <v>GUNTHIER ERIC</v>
      </c>
    </row>
    <row r="16" spans="1:7" x14ac:dyDescent="0.25">
      <c r="A16" s="8">
        <v>42958.16033564815</v>
      </c>
      <c r="B16" s="20" t="s">
        <v>549</v>
      </c>
      <c r="C16" s="20" t="s">
        <v>648</v>
      </c>
      <c r="D16" s="138">
        <v>3500000</v>
      </c>
      <c r="E16" s="20" t="s">
        <v>509</v>
      </c>
      <c r="F16" s="20" t="s">
        <v>510</v>
      </c>
      <c r="G16" s="8" t="str">
        <f t="shared" si="0"/>
        <v>GUNTHIER ERIC</v>
      </c>
    </row>
    <row r="17" spans="1:7" x14ac:dyDescent="0.25">
      <c r="A17" s="8">
        <v>42958.169027777774</v>
      </c>
      <c r="B17" s="20" t="s">
        <v>548</v>
      </c>
      <c r="C17" s="20" t="s">
        <v>600</v>
      </c>
      <c r="D17" s="138">
        <v>3510000</v>
      </c>
      <c r="E17" s="20" t="s">
        <v>511</v>
      </c>
      <c r="F17" s="20" t="s">
        <v>512</v>
      </c>
      <c r="G17" s="8" t="str">
        <f t="shared" si="0"/>
        <v>BARRON PERLA</v>
      </c>
    </row>
    <row r="18" spans="1:7" x14ac:dyDescent="0.25">
      <c r="A18" s="8">
        <v>42958.171041666668</v>
      </c>
      <c r="B18" s="20" t="s">
        <v>356</v>
      </c>
      <c r="C18" s="20" t="s">
        <v>604</v>
      </c>
      <c r="D18" s="138">
        <v>1110000</v>
      </c>
      <c r="E18" s="20" t="s">
        <v>406</v>
      </c>
      <c r="F18" s="20" t="s">
        <v>407</v>
      </c>
      <c r="G18" s="8" t="str">
        <f t="shared" si="0"/>
        <v>STARKS ANGELINA</v>
      </c>
    </row>
    <row r="19" spans="1:7" x14ac:dyDescent="0.25">
      <c r="A19" s="8">
        <v>42958.171909722223</v>
      </c>
      <c r="B19" s="20" t="s">
        <v>545</v>
      </c>
      <c r="C19" s="20" t="s">
        <v>647</v>
      </c>
      <c r="D19" s="138">
        <v>3500000</v>
      </c>
      <c r="E19" s="20" t="s">
        <v>509</v>
      </c>
      <c r="F19" s="20" t="s">
        <v>510</v>
      </c>
      <c r="G19" s="8" t="str">
        <f t="shared" si="0"/>
        <v>GUNTHIER ERIC</v>
      </c>
    </row>
    <row r="20" spans="1:7" x14ac:dyDescent="0.25">
      <c r="A20" s="8">
        <v>42958.181331018517</v>
      </c>
      <c r="B20" s="20" t="s">
        <v>507</v>
      </c>
      <c r="C20" s="20" t="s">
        <v>601</v>
      </c>
      <c r="D20" s="138">
        <v>1990000</v>
      </c>
      <c r="E20" s="20" t="s">
        <v>377</v>
      </c>
      <c r="F20" s="20" t="s">
        <v>552</v>
      </c>
      <c r="G20" s="8" t="str">
        <f t="shared" si="0"/>
        <v>DAVIS WENDY</v>
      </c>
    </row>
    <row r="21" spans="1:7" x14ac:dyDescent="0.25">
      <c r="A21" s="8">
        <v>42958.184837962966</v>
      </c>
      <c r="B21" s="20" t="s">
        <v>550</v>
      </c>
      <c r="C21" s="20" t="s">
        <v>603</v>
      </c>
      <c r="D21" s="138">
        <v>3510000</v>
      </c>
      <c r="E21" s="20" t="s">
        <v>511</v>
      </c>
      <c r="F21" s="20" t="s">
        <v>512</v>
      </c>
      <c r="G21" s="8" t="str">
        <f t="shared" si="0"/>
        <v>BARRON PERLA</v>
      </c>
    </row>
    <row r="22" spans="1:7" x14ac:dyDescent="0.25">
      <c r="A22" s="26">
        <v>42958.191493055558</v>
      </c>
      <c r="B22" s="20" t="s">
        <v>506</v>
      </c>
      <c r="C22" s="20" t="s">
        <v>649</v>
      </c>
      <c r="D22" s="138">
        <v>3040000</v>
      </c>
      <c r="E22" s="20" t="s">
        <v>367</v>
      </c>
      <c r="F22" s="20" t="s">
        <v>368</v>
      </c>
      <c r="G22" s="8" t="str">
        <f t="shared" si="0"/>
        <v>WILLIAMS DONTE</v>
      </c>
    </row>
    <row r="23" spans="1:7" x14ac:dyDescent="0.25">
      <c r="A23" s="8">
        <v>42958.194710648146</v>
      </c>
      <c r="B23" s="20" t="s">
        <v>447</v>
      </c>
      <c r="C23" s="20" t="s">
        <v>650</v>
      </c>
      <c r="D23" s="138">
        <v>1990000</v>
      </c>
      <c r="E23" s="20" t="s">
        <v>377</v>
      </c>
      <c r="F23" s="20" t="s">
        <v>552</v>
      </c>
      <c r="G23" s="8" t="str">
        <f t="shared" si="0"/>
        <v>DAVIS WENDY</v>
      </c>
    </row>
    <row r="24" spans="1:7" x14ac:dyDescent="0.25">
      <c r="A24" s="8">
        <v>42958.197500000002</v>
      </c>
      <c r="B24" s="20" t="s">
        <v>355</v>
      </c>
      <c r="C24" s="20" t="s">
        <v>651</v>
      </c>
      <c r="D24" s="138">
        <v>2600000</v>
      </c>
      <c r="E24" s="20" t="s">
        <v>652</v>
      </c>
      <c r="F24" s="20" t="s">
        <v>653</v>
      </c>
      <c r="G24" s="8" t="str">
        <f t="shared" si="0"/>
        <v>DAVIDSON DAVID</v>
      </c>
    </row>
    <row r="25" spans="1:7" x14ac:dyDescent="0.25">
      <c r="A25" s="8">
        <v>42958.198807870373</v>
      </c>
      <c r="B25" s="20" t="s">
        <v>402</v>
      </c>
      <c r="C25" s="20" t="s">
        <v>654</v>
      </c>
      <c r="D25" s="138">
        <v>2970000</v>
      </c>
      <c r="E25" s="20" t="s">
        <v>364</v>
      </c>
      <c r="F25" s="20" t="s">
        <v>365</v>
      </c>
      <c r="G25" s="8" t="str">
        <f t="shared" si="0"/>
        <v>GUZMAN DANNY</v>
      </c>
    </row>
    <row r="26" spans="1:7" x14ac:dyDescent="0.25">
      <c r="A26" s="8">
        <v>42958.200162037036</v>
      </c>
      <c r="B26" s="20" t="s">
        <v>550</v>
      </c>
      <c r="C26" s="20" t="s">
        <v>603</v>
      </c>
      <c r="D26" s="138">
        <v>3510000</v>
      </c>
      <c r="E26" s="20" t="s">
        <v>511</v>
      </c>
      <c r="F26" s="20" t="s">
        <v>512</v>
      </c>
      <c r="G26" s="8" t="str">
        <f t="shared" si="0"/>
        <v>BARRON PERLA</v>
      </c>
    </row>
    <row r="27" spans="1:7" x14ac:dyDescent="0.25">
      <c r="A27" s="8">
        <v>42958.205381944441</v>
      </c>
      <c r="B27" s="20" t="s">
        <v>359</v>
      </c>
      <c r="C27" s="20" t="s">
        <v>655</v>
      </c>
      <c r="D27" s="138">
        <v>1110000</v>
      </c>
      <c r="E27" s="20" t="s">
        <v>406</v>
      </c>
      <c r="F27" s="20" t="s">
        <v>407</v>
      </c>
      <c r="G27" s="8" t="str">
        <f t="shared" si="0"/>
        <v>STARKS ANGELINA</v>
      </c>
    </row>
    <row r="28" spans="1:7" x14ac:dyDescent="0.25">
      <c r="A28" s="8">
        <v>42958.20884259259</v>
      </c>
      <c r="B28" s="20" t="s">
        <v>355</v>
      </c>
      <c r="C28" s="20" t="s">
        <v>651</v>
      </c>
      <c r="D28" s="138">
        <v>2600000</v>
      </c>
      <c r="E28" s="20" t="s">
        <v>652</v>
      </c>
      <c r="F28" s="20" t="s">
        <v>653</v>
      </c>
      <c r="G28" s="8" t="str">
        <f t="shared" si="0"/>
        <v>DAVIDSON DAVID</v>
      </c>
    </row>
    <row r="29" spans="1:7" x14ac:dyDescent="0.25">
      <c r="A29" s="8">
        <v>42958.210879629631</v>
      </c>
      <c r="B29" s="20" t="s">
        <v>404</v>
      </c>
      <c r="C29" s="20" t="s">
        <v>656</v>
      </c>
      <c r="D29" s="138">
        <v>2970000</v>
      </c>
      <c r="E29" s="20" t="s">
        <v>364</v>
      </c>
      <c r="F29" s="20" t="s">
        <v>365</v>
      </c>
      <c r="G29" s="8" t="str">
        <f t="shared" si="0"/>
        <v>GUZMAN DANNY</v>
      </c>
    </row>
    <row r="30" spans="1:7" x14ac:dyDescent="0.25">
      <c r="A30" s="8">
        <v>42958.212754629632</v>
      </c>
      <c r="B30" s="20" t="s">
        <v>549</v>
      </c>
      <c r="C30" s="20" t="s">
        <v>657</v>
      </c>
      <c r="D30" s="138">
        <v>3500000</v>
      </c>
      <c r="E30" s="20" t="s">
        <v>509</v>
      </c>
      <c r="F30" s="20" t="s">
        <v>510</v>
      </c>
      <c r="G30" s="8" t="str">
        <f t="shared" si="0"/>
        <v>GUNTHIER ERIC</v>
      </c>
    </row>
    <row r="31" spans="1:7" x14ac:dyDescent="0.25">
      <c r="A31" s="8">
        <v>42958.218113425923</v>
      </c>
      <c r="B31" s="20" t="s">
        <v>361</v>
      </c>
      <c r="C31" s="20" t="s">
        <v>658</v>
      </c>
      <c r="D31" s="138">
        <v>2600000</v>
      </c>
      <c r="E31" s="20" t="s">
        <v>652</v>
      </c>
      <c r="F31" s="20" t="s">
        <v>653</v>
      </c>
      <c r="G31" s="8" t="str">
        <f t="shared" si="0"/>
        <v>DAVIDSON DAVID</v>
      </c>
    </row>
    <row r="32" spans="1:7" x14ac:dyDescent="0.25">
      <c r="A32" s="8">
        <v>42958.224999999999</v>
      </c>
      <c r="B32" s="20" t="s">
        <v>548</v>
      </c>
      <c r="C32" s="20" t="s">
        <v>659</v>
      </c>
      <c r="D32" s="138">
        <v>3510000</v>
      </c>
      <c r="E32" s="20" t="s">
        <v>511</v>
      </c>
      <c r="F32" s="20" t="s">
        <v>512</v>
      </c>
      <c r="G32" s="8" t="str">
        <f t="shared" si="0"/>
        <v>BARRON PERLA</v>
      </c>
    </row>
    <row r="33" spans="1:7" x14ac:dyDescent="0.25">
      <c r="A33" s="8">
        <v>42958.226412037038</v>
      </c>
      <c r="B33" s="20" t="s">
        <v>605</v>
      </c>
      <c r="C33" s="20" t="s">
        <v>606</v>
      </c>
      <c r="D33" s="138">
        <v>3520000</v>
      </c>
      <c r="E33" s="20" t="s">
        <v>660</v>
      </c>
      <c r="F33" s="20" t="s">
        <v>661</v>
      </c>
      <c r="G33" s="8" t="str">
        <f t="shared" si="0"/>
        <v>TOUSIGNAUT CARL</v>
      </c>
    </row>
    <row r="34" spans="1:7" x14ac:dyDescent="0.25">
      <c r="A34" s="8">
        <v>42958.227777777778</v>
      </c>
      <c r="B34" s="20" t="s">
        <v>501</v>
      </c>
      <c r="C34" s="20" t="s">
        <v>662</v>
      </c>
      <c r="D34" s="138">
        <v>3040000</v>
      </c>
      <c r="E34" s="20" t="s">
        <v>367</v>
      </c>
      <c r="F34" s="20" t="s">
        <v>368</v>
      </c>
      <c r="G34" s="8" t="str">
        <f t="shared" si="0"/>
        <v>WILLIAMS DONTE</v>
      </c>
    </row>
    <row r="35" spans="1:7" x14ac:dyDescent="0.25">
      <c r="A35" s="8">
        <v>42958.228009259263</v>
      </c>
      <c r="B35" s="20" t="s">
        <v>402</v>
      </c>
      <c r="C35" s="20" t="s">
        <v>663</v>
      </c>
      <c r="D35" s="138">
        <v>2970000</v>
      </c>
      <c r="E35" s="20" t="s">
        <v>364</v>
      </c>
      <c r="F35" s="20" t="s">
        <v>365</v>
      </c>
      <c r="G35" s="8" t="str">
        <f t="shared" si="0"/>
        <v>GUZMAN DANNY</v>
      </c>
    </row>
    <row r="36" spans="1:7" x14ac:dyDescent="0.25">
      <c r="A36" s="8">
        <v>42958.236400462964</v>
      </c>
      <c r="B36" s="20" t="s">
        <v>507</v>
      </c>
      <c r="C36" s="20" t="s">
        <v>664</v>
      </c>
      <c r="D36" s="138">
        <v>1990000</v>
      </c>
      <c r="E36" s="20" t="s">
        <v>377</v>
      </c>
      <c r="F36" s="20" t="s">
        <v>552</v>
      </c>
      <c r="G36" s="8" t="str">
        <f t="shared" si="0"/>
        <v>DAVIS WENDY</v>
      </c>
    </row>
    <row r="37" spans="1:7" x14ac:dyDescent="0.25">
      <c r="A37" s="8">
        <v>42958.238738425927</v>
      </c>
      <c r="B37" s="20" t="s">
        <v>611</v>
      </c>
      <c r="C37" s="20" t="s">
        <v>665</v>
      </c>
      <c r="D37" s="138">
        <v>890000</v>
      </c>
      <c r="E37" s="20" t="s">
        <v>474</v>
      </c>
      <c r="F37" s="20" t="s">
        <v>475</v>
      </c>
      <c r="G37" s="8" t="str">
        <f t="shared" si="0"/>
        <v>LOZA FIDEL</v>
      </c>
    </row>
    <row r="38" spans="1:7" x14ac:dyDescent="0.25">
      <c r="A38" s="8">
        <v>42958.246701388889</v>
      </c>
      <c r="B38" s="20" t="s">
        <v>545</v>
      </c>
      <c r="C38" s="20" t="s">
        <v>666</v>
      </c>
      <c r="D38" s="138">
        <v>3500000</v>
      </c>
      <c r="E38" s="20" t="s">
        <v>509</v>
      </c>
      <c r="F38" s="20" t="s">
        <v>510</v>
      </c>
      <c r="G38" s="8" t="str">
        <f t="shared" si="0"/>
        <v>GUNTHIER ERIC</v>
      </c>
    </row>
    <row r="39" spans="1:7" x14ac:dyDescent="0.25">
      <c r="A39" s="8">
        <v>42958.24695601852</v>
      </c>
      <c r="B39" s="20" t="s">
        <v>355</v>
      </c>
      <c r="C39" s="20" t="s">
        <v>667</v>
      </c>
      <c r="D39" s="138">
        <v>2600000</v>
      </c>
      <c r="E39" s="20" t="s">
        <v>652</v>
      </c>
      <c r="F39" s="20" t="s">
        <v>653</v>
      </c>
      <c r="G39" s="8" t="str">
        <f t="shared" si="0"/>
        <v>DAVIDSON DAVID</v>
      </c>
    </row>
    <row r="40" spans="1:7" x14ac:dyDescent="0.25">
      <c r="A40" s="8">
        <v>42958.247430555559</v>
      </c>
      <c r="B40" s="25" t="s">
        <v>356</v>
      </c>
      <c r="C40" s="20" t="s">
        <v>668</v>
      </c>
      <c r="D40" s="138">
        <v>1110000</v>
      </c>
      <c r="E40" s="20" t="s">
        <v>406</v>
      </c>
      <c r="F40" s="20" t="s">
        <v>407</v>
      </c>
      <c r="G40" s="8" t="str">
        <f t="shared" si="0"/>
        <v>STARKS ANGELINA</v>
      </c>
    </row>
    <row r="41" spans="1:7" x14ac:dyDescent="0.25">
      <c r="A41" s="8">
        <v>42958.248159722221</v>
      </c>
      <c r="B41" s="20" t="s">
        <v>356</v>
      </c>
      <c r="C41" s="20" t="s">
        <v>669</v>
      </c>
      <c r="D41" s="138">
        <v>1110000</v>
      </c>
      <c r="E41" s="20" t="s">
        <v>406</v>
      </c>
      <c r="F41" s="20" t="s">
        <v>407</v>
      </c>
      <c r="G41" s="8" t="str">
        <f t="shared" si="0"/>
        <v>STARKS ANGELINA</v>
      </c>
    </row>
    <row r="42" spans="1:7" x14ac:dyDescent="0.25">
      <c r="A42" s="8">
        <v>42958.249502314815</v>
      </c>
      <c r="B42" s="20" t="s">
        <v>410</v>
      </c>
      <c r="C42" s="20" t="s">
        <v>670</v>
      </c>
      <c r="D42" s="138">
        <v>2530000</v>
      </c>
      <c r="E42" s="20" t="s">
        <v>671</v>
      </c>
      <c r="F42" s="20" t="s">
        <v>672</v>
      </c>
      <c r="G42" s="8" t="str">
        <f t="shared" si="0"/>
        <v>LALONDE GREGORY</v>
      </c>
    </row>
    <row r="43" spans="1:7" x14ac:dyDescent="0.25">
      <c r="A43" s="8">
        <v>42958.254745370374</v>
      </c>
      <c r="B43" s="20" t="s">
        <v>404</v>
      </c>
      <c r="C43" s="20" t="s">
        <v>673</v>
      </c>
      <c r="D43" s="138">
        <v>2970000</v>
      </c>
      <c r="E43" s="20" t="s">
        <v>364</v>
      </c>
      <c r="F43" s="20" t="s">
        <v>365</v>
      </c>
      <c r="G43" s="8" t="str">
        <f t="shared" si="0"/>
        <v>GUZMAN DANNY</v>
      </c>
    </row>
    <row r="44" spans="1:7" x14ac:dyDescent="0.25">
      <c r="A44" s="8">
        <v>42958.260752314818</v>
      </c>
      <c r="B44" s="20" t="s">
        <v>409</v>
      </c>
      <c r="C44" s="20" t="s">
        <v>674</v>
      </c>
      <c r="D44" s="138">
        <v>2530000</v>
      </c>
      <c r="E44" s="20" t="s">
        <v>671</v>
      </c>
      <c r="F44" s="20" t="s">
        <v>672</v>
      </c>
      <c r="G44" s="8" t="str">
        <f t="shared" si="0"/>
        <v>LALONDE GREGORY</v>
      </c>
    </row>
    <row r="45" spans="1:7" x14ac:dyDescent="0.25">
      <c r="A45" s="8">
        <v>42958.266412037039</v>
      </c>
      <c r="B45" s="20" t="s">
        <v>506</v>
      </c>
      <c r="C45" s="20" t="s">
        <v>607</v>
      </c>
      <c r="D45" s="138">
        <v>3040000</v>
      </c>
      <c r="E45" s="20" t="s">
        <v>367</v>
      </c>
      <c r="F45" s="20" t="s">
        <v>368</v>
      </c>
      <c r="G45" s="8" t="str">
        <f t="shared" si="0"/>
        <v>WILLIAMS DONTE</v>
      </c>
    </row>
    <row r="46" spans="1:7" x14ac:dyDescent="0.25">
      <c r="A46" s="8">
        <v>42958.267256944448</v>
      </c>
      <c r="B46" s="20" t="s">
        <v>447</v>
      </c>
      <c r="C46" s="20" t="s">
        <v>675</v>
      </c>
      <c r="D46" s="138">
        <v>1990000</v>
      </c>
      <c r="E46" s="20" t="s">
        <v>377</v>
      </c>
      <c r="F46" s="20" t="s">
        <v>552</v>
      </c>
      <c r="G46" s="8" t="str">
        <f t="shared" si="0"/>
        <v>DAVIS WENDY</v>
      </c>
    </row>
    <row r="47" spans="1:7" x14ac:dyDescent="0.25">
      <c r="A47" s="8">
        <v>42958.269699074073</v>
      </c>
      <c r="B47" s="20" t="s">
        <v>402</v>
      </c>
      <c r="C47" s="20" t="s">
        <v>676</v>
      </c>
      <c r="D47" s="138">
        <v>2970000</v>
      </c>
      <c r="E47" s="20" t="s">
        <v>364</v>
      </c>
      <c r="F47" s="20" t="s">
        <v>365</v>
      </c>
      <c r="G47" s="8" t="str">
        <f t="shared" si="0"/>
        <v>GUZMAN DANNY</v>
      </c>
    </row>
    <row r="48" spans="1:7" x14ac:dyDescent="0.25">
      <c r="A48" s="8">
        <v>42958.27484953704</v>
      </c>
      <c r="B48" s="20" t="s">
        <v>410</v>
      </c>
      <c r="C48" s="20" t="s">
        <v>677</v>
      </c>
      <c r="D48" s="138">
        <v>2530000</v>
      </c>
      <c r="E48" s="20" t="s">
        <v>671</v>
      </c>
      <c r="F48" s="20" t="s">
        <v>672</v>
      </c>
      <c r="G48" s="8" t="str">
        <f t="shared" si="0"/>
        <v>LALONDE GREGORY</v>
      </c>
    </row>
    <row r="49" spans="1:7" x14ac:dyDescent="0.25">
      <c r="A49" s="8">
        <v>42958.277685185189</v>
      </c>
      <c r="B49" s="20" t="s">
        <v>605</v>
      </c>
      <c r="C49" s="20" t="s">
        <v>609</v>
      </c>
      <c r="D49" s="138">
        <v>890000</v>
      </c>
      <c r="E49" s="20" t="s">
        <v>474</v>
      </c>
      <c r="F49" s="20" t="s">
        <v>475</v>
      </c>
      <c r="G49" s="8" t="str">
        <f t="shared" si="0"/>
        <v>LOZA FIDEL</v>
      </c>
    </row>
    <row r="50" spans="1:7" x14ac:dyDescent="0.25">
      <c r="A50" s="8">
        <v>42958.278749999998</v>
      </c>
      <c r="B50" s="20" t="s">
        <v>359</v>
      </c>
      <c r="C50" s="20" t="s">
        <v>668</v>
      </c>
      <c r="D50" s="138">
        <v>1110000</v>
      </c>
      <c r="E50" s="20" t="s">
        <v>406</v>
      </c>
      <c r="F50" s="20" t="s">
        <v>407</v>
      </c>
      <c r="G50" s="8" t="str">
        <f t="shared" si="0"/>
        <v>STARKS ANGELINA</v>
      </c>
    </row>
    <row r="51" spans="1:7" x14ac:dyDescent="0.25">
      <c r="A51" s="8">
        <v>42958.287800925929</v>
      </c>
      <c r="B51" s="20" t="s">
        <v>361</v>
      </c>
      <c r="C51" s="20" t="s">
        <v>608</v>
      </c>
      <c r="D51" s="138">
        <v>2600000</v>
      </c>
      <c r="E51" s="20" t="s">
        <v>652</v>
      </c>
      <c r="F51" s="20" t="s">
        <v>653</v>
      </c>
      <c r="G51" s="8" t="str">
        <f t="shared" si="0"/>
        <v>DAVIDSON DAVID</v>
      </c>
    </row>
    <row r="52" spans="1:7" x14ac:dyDescent="0.25">
      <c r="A52" s="8">
        <v>42958.288090277776</v>
      </c>
      <c r="B52" s="20" t="s">
        <v>548</v>
      </c>
      <c r="C52" s="20" t="s">
        <v>613</v>
      </c>
      <c r="D52" s="138">
        <v>3510000</v>
      </c>
      <c r="E52" s="20" t="s">
        <v>511</v>
      </c>
      <c r="F52" s="20" t="s">
        <v>512</v>
      </c>
      <c r="G52" s="8" t="str">
        <f t="shared" si="0"/>
        <v>BARRON PERLA</v>
      </c>
    </row>
    <row r="53" spans="1:7" x14ac:dyDescent="0.25">
      <c r="A53" s="8">
        <v>42958.288148148145</v>
      </c>
      <c r="B53" s="20" t="s">
        <v>549</v>
      </c>
      <c r="C53" s="20" t="s">
        <v>610</v>
      </c>
      <c r="D53" s="138">
        <v>3500000</v>
      </c>
      <c r="E53" s="20" t="s">
        <v>509</v>
      </c>
      <c r="F53" s="20" t="s">
        <v>510</v>
      </c>
      <c r="G53" s="8" t="str">
        <f t="shared" si="0"/>
        <v>GUNTHIER ERIC</v>
      </c>
    </row>
    <row r="54" spans="1:7" x14ac:dyDescent="0.25">
      <c r="A54" s="8">
        <v>42958.289872685185</v>
      </c>
      <c r="B54" s="20" t="s">
        <v>409</v>
      </c>
      <c r="C54" s="20" t="s">
        <v>678</v>
      </c>
      <c r="D54" s="138">
        <v>2530000</v>
      </c>
      <c r="E54" s="20" t="s">
        <v>671</v>
      </c>
      <c r="F54" s="20" t="s">
        <v>672</v>
      </c>
      <c r="G54" s="8" t="str">
        <f t="shared" si="0"/>
        <v>LALONDE GREGORY</v>
      </c>
    </row>
    <row r="55" spans="1:7" x14ac:dyDescent="0.25">
      <c r="A55" s="8">
        <v>42958.296030092592</v>
      </c>
      <c r="B55" s="20" t="s">
        <v>404</v>
      </c>
      <c r="C55" s="20" t="s">
        <v>679</v>
      </c>
      <c r="D55" s="138">
        <v>2970000</v>
      </c>
      <c r="E55" s="20" t="s">
        <v>364</v>
      </c>
      <c r="F55" s="20" t="s">
        <v>365</v>
      </c>
      <c r="G55" s="8" t="str">
        <f t="shared" si="0"/>
        <v>GUZMAN DANNY</v>
      </c>
    </row>
    <row r="56" spans="1:7" x14ac:dyDescent="0.25">
      <c r="A56" s="8">
        <v>42958.298796296294</v>
      </c>
      <c r="B56" s="20" t="s">
        <v>501</v>
      </c>
      <c r="C56" s="20" t="s">
        <v>680</v>
      </c>
      <c r="D56" s="138">
        <v>3040000</v>
      </c>
      <c r="E56" s="20" t="s">
        <v>367</v>
      </c>
      <c r="F56" s="20" t="s">
        <v>368</v>
      </c>
      <c r="G56" s="8" t="str">
        <f t="shared" si="0"/>
        <v>WILLIAMS DONTE</v>
      </c>
    </row>
    <row r="57" spans="1:7" x14ac:dyDescent="0.25">
      <c r="A57" s="8">
        <v>42958.30746527778</v>
      </c>
      <c r="B57" s="20" t="s">
        <v>507</v>
      </c>
      <c r="C57" s="20" t="s">
        <v>681</v>
      </c>
      <c r="D57" s="138">
        <v>1990000</v>
      </c>
      <c r="E57" s="20" t="s">
        <v>377</v>
      </c>
      <c r="F57" s="20" t="s">
        <v>552</v>
      </c>
      <c r="G57" s="8" t="str">
        <f t="shared" si="0"/>
        <v>DAVIS WENDY</v>
      </c>
    </row>
    <row r="58" spans="1:7" x14ac:dyDescent="0.25">
      <c r="A58" s="8">
        <v>42958.308472222219</v>
      </c>
      <c r="B58" s="20" t="s">
        <v>508</v>
      </c>
      <c r="C58" s="20" t="s">
        <v>682</v>
      </c>
      <c r="D58" s="138">
        <v>1090000</v>
      </c>
      <c r="E58" s="20" t="s">
        <v>486</v>
      </c>
      <c r="F58" s="20" t="s">
        <v>192</v>
      </c>
      <c r="G58" s="8" t="str">
        <f t="shared" si="0"/>
        <v>SPECTOR MICHAEL</v>
      </c>
    </row>
    <row r="59" spans="1:7" x14ac:dyDescent="0.25">
      <c r="A59" s="8">
        <v>42958.310532407406</v>
      </c>
      <c r="B59" s="20" t="s">
        <v>611</v>
      </c>
      <c r="C59" s="20" t="s">
        <v>612</v>
      </c>
      <c r="D59" s="138">
        <v>890000</v>
      </c>
      <c r="E59" s="20" t="s">
        <v>474</v>
      </c>
      <c r="F59" s="20" t="s">
        <v>475</v>
      </c>
      <c r="G59" s="8" t="str">
        <f t="shared" si="0"/>
        <v>LOZA FIDEL</v>
      </c>
    </row>
    <row r="60" spans="1:7" x14ac:dyDescent="0.25">
      <c r="A60" s="8">
        <v>42958.311296296299</v>
      </c>
      <c r="B60" s="20" t="s">
        <v>402</v>
      </c>
      <c r="C60" s="20" t="s">
        <v>683</v>
      </c>
      <c r="D60" s="138">
        <v>2970000</v>
      </c>
      <c r="E60" s="20" t="s">
        <v>364</v>
      </c>
      <c r="F60" s="20" t="s">
        <v>365</v>
      </c>
      <c r="G60" s="8" t="str">
        <f t="shared" si="0"/>
        <v>GUZMAN DANNY</v>
      </c>
    </row>
    <row r="61" spans="1:7" x14ac:dyDescent="0.25">
      <c r="A61" s="8">
        <v>42958.316388888888</v>
      </c>
      <c r="B61" s="20" t="s">
        <v>410</v>
      </c>
      <c r="C61" s="20" t="s">
        <v>684</v>
      </c>
      <c r="D61" s="138">
        <v>2530000</v>
      </c>
      <c r="E61" s="20" t="s">
        <v>671</v>
      </c>
      <c r="F61" s="20" t="s">
        <v>672</v>
      </c>
      <c r="G61" s="8" t="str">
        <f t="shared" si="0"/>
        <v>LALONDE GREGORY</v>
      </c>
    </row>
    <row r="62" spans="1:7" x14ac:dyDescent="0.25">
      <c r="A62" s="8">
        <v>42958.319282407407</v>
      </c>
      <c r="B62" s="20" t="s">
        <v>355</v>
      </c>
      <c r="C62" s="20" t="s">
        <v>685</v>
      </c>
      <c r="D62" s="138">
        <v>2600000</v>
      </c>
      <c r="E62" s="20" t="s">
        <v>652</v>
      </c>
      <c r="F62" s="20" t="s">
        <v>653</v>
      </c>
      <c r="G62" s="8" t="str">
        <f t="shared" si="0"/>
        <v>DAVIDSON DAVID</v>
      </c>
    </row>
    <row r="63" spans="1:7" x14ac:dyDescent="0.25">
      <c r="A63" s="8">
        <v>42958.319502314815</v>
      </c>
      <c r="B63" s="20" t="s">
        <v>545</v>
      </c>
      <c r="C63" s="20" t="s">
        <v>686</v>
      </c>
      <c r="D63" s="138">
        <v>3500000</v>
      </c>
      <c r="E63" s="20" t="s">
        <v>509</v>
      </c>
      <c r="F63" s="20" t="s">
        <v>510</v>
      </c>
      <c r="G63" s="8" t="str">
        <f t="shared" si="0"/>
        <v>GUNTHIER ERIC</v>
      </c>
    </row>
    <row r="64" spans="1:7" x14ac:dyDescent="0.25">
      <c r="A64" s="26">
        <v>42958.320034722223</v>
      </c>
      <c r="B64" s="20" t="s">
        <v>356</v>
      </c>
      <c r="C64" s="20" t="s">
        <v>614</v>
      </c>
      <c r="D64" s="138">
        <v>1110000</v>
      </c>
      <c r="E64" s="20" t="s">
        <v>406</v>
      </c>
      <c r="F64" s="20" t="s">
        <v>407</v>
      </c>
      <c r="G64" s="8" t="str">
        <f t="shared" si="0"/>
        <v>STARKS ANGELINA</v>
      </c>
    </row>
    <row r="65" spans="1:7" x14ac:dyDescent="0.25">
      <c r="A65" s="8">
        <v>42958.320081018515</v>
      </c>
      <c r="B65" s="20" t="s">
        <v>504</v>
      </c>
      <c r="C65" s="20" t="s">
        <v>687</v>
      </c>
      <c r="D65" s="138">
        <v>1090000</v>
      </c>
      <c r="E65" s="20" t="s">
        <v>486</v>
      </c>
      <c r="F65" s="20" t="s">
        <v>192</v>
      </c>
      <c r="G65" s="8" t="str">
        <f t="shared" si="0"/>
        <v>SPECTOR MICHAEL</v>
      </c>
    </row>
    <row r="66" spans="1:7" x14ac:dyDescent="0.25">
      <c r="A66" s="8">
        <v>42958.327222222222</v>
      </c>
      <c r="B66" s="20" t="s">
        <v>611</v>
      </c>
      <c r="C66" s="20" t="s">
        <v>612</v>
      </c>
      <c r="D66" s="138">
        <v>890000</v>
      </c>
      <c r="E66" s="20" t="s">
        <v>474</v>
      </c>
      <c r="F66" s="20" t="s">
        <v>475</v>
      </c>
      <c r="G66" s="8" t="str">
        <f t="shared" si="0"/>
        <v>LOZA FIDEL</v>
      </c>
    </row>
    <row r="67" spans="1:7" x14ac:dyDescent="0.25">
      <c r="A67" s="8">
        <v>42958.331203703703</v>
      </c>
      <c r="B67" s="20" t="s">
        <v>508</v>
      </c>
      <c r="C67" s="20" t="s">
        <v>688</v>
      </c>
      <c r="D67" s="138">
        <v>3510000</v>
      </c>
      <c r="E67" s="20" t="s">
        <v>511</v>
      </c>
      <c r="F67" s="20" t="s">
        <v>512</v>
      </c>
      <c r="G67" s="8" t="str">
        <f t="shared" ref="G67:G130" si="1">E67&amp;" "&amp;F67</f>
        <v>BARRON PERLA</v>
      </c>
    </row>
    <row r="68" spans="1:7" x14ac:dyDescent="0.25">
      <c r="A68" s="8">
        <v>42958.332129629627</v>
      </c>
      <c r="B68" s="20" t="s">
        <v>409</v>
      </c>
      <c r="C68" s="20" t="s">
        <v>689</v>
      </c>
      <c r="D68" s="138">
        <v>2530000</v>
      </c>
      <c r="E68" s="20" t="s">
        <v>671</v>
      </c>
      <c r="F68" s="20" t="s">
        <v>672</v>
      </c>
      <c r="G68" s="8" t="str">
        <f t="shared" si="1"/>
        <v>LALONDE GREGORY</v>
      </c>
    </row>
    <row r="69" spans="1:7" x14ac:dyDescent="0.25">
      <c r="A69" s="8">
        <v>42958.338009259256</v>
      </c>
      <c r="B69" s="20" t="s">
        <v>404</v>
      </c>
      <c r="C69" s="20" t="s">
        <v>690</v>
      </c>
      <c r="D69" s="138">
        <v>2970000</v>
      </c>
      <c r="E69" s="20" t="s">
        <v>364</v>
      </c>
      <c r="F69" s="20" t="s">
        <v>365</v>
      </c>
      <c r="G69" s="8" t="str">
        <f t="shared" si="1"/>
        <v>GUZMAN DANNY</v>
      </c>
    </row>
    <row r="70" spans="1:7" x14ac:dyDescent="0.25">
      <c r="A70" s="8">
        <v>42958.339224537034</v>
      </c>
      <c r="B70" s="20" t="s">
        <v>506</v>
      </c>
      <c r="C70" s="20" t="s">
        <v>691</v>
      </c>
      <c r="D70" s="138">
        <v>3040000</v>
      </c>
      <c r="E70" s="20" t="s">
        <v>367</v>
      </c>
      <c r="F70" s="20" t="s">
        <v>368</v>
      </c>
      <c r="G70" s="8" t="str">
        <f t="shared" si="1"/>
        <v>WILLIAMS DONTE</v>
      </c>
    </row>
    <row r="71" spans="1:7" x14ac:dyDescent="0.25">
      <c r="A71" s="8">
        <v>42958.339756944442</v>
      </c>
      <c r="B71" s="20" t="s">
        <v>447</v>
      </c>
      <c r="C71" s="20" t="s">
        <v>692</v>
      </c>
      <c r="D71" s="138">
        <v>1990000</v>
      </c>
      <c r="E71" s="20" t="s">
        <v>377</v>
      </c>
      <c r="F71" s="20" t="s">
        <v>552</v>
      </c>
      <c r="G71" s="8" t="str">
        <f t="shared" si="1"/>
        <v>DAVIS WENDY</v>
      </c>
    </row>
    <row r="72" spans="1:7" x14ac:dyDescent="0.25">
      <c r="A72" s="8">
        <v>42958.353333333333</v>
      </c>
      <c r="B72" s="20" t="s">
        <v>402</v>
      </c>
      <c r="C72" s="20" t="s">
        <v>693</v>
      </c>
      <c r="D72" s="138">
        <v>2970000</v>
      </c>
      <c r="E72" s="20" t="s">
        <v>364</v>
      </c>
      <c r="F72" s="20" t="s">
        <v>365</v>
      </c>
      <c r="G72" s="8" t="str">
        <f t="shared" si="1"/>
        <v>GUZMAN DANNY</v>
      </c>
    </row>
    <row r="73" spans="1:7" x14ac:dyDescent="0.25">
      <c r="A73" s="8">
        <v>42958.35491898148</v>
      </c>
      <c r="B73" s="20" t="s">
        <v>605</v>
      </c>
      <c r="C73" s="20" t="s">
        <v>694</v>
      </c>
      <c r="D73" s="138">
        <v>890000</v>
      </c>
      <c r="E73" s="20" t="s">
        <v>474</v>
      </c>
      <c r="F73" s="20" t="s">
        <v>475</v>
      </c>
      <c r="G73" s="8" t="str">
        <f t="shared" si="1"/>
        <v>LOZA FIDEL</v>
      </c>
    </row>
    <row r="74" spans="1:7" x14ac:dyDescent="0.25">
      <c r="A74" s="8">
        <v>42958.356053240743</v>
      </c>
      <c r="B74" s="20" t="s">
        <v>359</v>
      </c>
      <c r="C74" s="20" t="s">
        <v>695</v>
      </c>
      <c r="D74" s="138">
        <v>900000</v>
      </c>
      <c r="E74" s="20" t="s">
        <v>458</v>
      </c>
      <c r="F74" s="20" t="s">
        <v>459</v>
      </c>
      <c r="G74" s="8" t="str">
        <f t="shared" si="1"/>
        <v>ROCHA YAOTL</v>
      </c>
    </row>
    <row r="75" spans="1:7" x14ac:dyDescent="0.25">
      <c r="A75" s="8">
        <v>42958.357905092591</v>
      </c>
      <c r="B75" s="20" t="s">
        <v>410</v>
      </c>
      <c r="C75" s="20" t="s">
        <v>696</v>
      </c>
      <c r="D75" s="138">
        <v>2530000</v>
      </c>
      <c r="E75" s="20" t="s">
        <v>671</v>
      </c>
      <c r="F75" s="20" t="s">
        <v>672</v>
      </c>
      <c r="G75" s="8" t="str">
        <f t="shared" si="1"/>
        <v>LALONDE GREGORY</v>
      </c>
    </row>
    <row r="76" spans="1:7" x14ac:dyDescent="0.25">
      <c r="A76" s="8">
        <v>42958.358761574076</v>
      </c>
      <c r="B76" s="20" t="s">
        <v>549</v>
      </c>
      <c r="C76" s="20" t="s">
        <v>615</v>
      </c>
      <c r="D76" s="138">
        <v>3500000</v>
      </c>
      <c r="E76" s="20" t="s">
        <v>509</v>
      </c>
      <c r="F76" s="20" t="s">
        <v>510</v>
      </c>
      <c r="G76" s="8" t="str">
        <f t="shared" si="1"/>
        <v>GUNTHIER ERIC</v>
      </c>
    </row>
    <row r="77" spans="1:7" x14ac:dyDescent="0.25">
      <c r="A77" s="8">
        <v>42958.361527777779</v>
      </c>
      <c r="B77" s="20" t="s">
        <v>361</v>
      </c>
      <c r="C77" s="20" t="s">
        <v>697</v>
      </c>
      <c r="D77" s="138">
        <v>2600000</v>
      </c>
      <c r="E77" s="20" t="s">
        <v>652</v>
      </c>
      <c r="F77" s="20" t="s">
        <v>653</v>
      </c>
      <c r="G77" s="8" t="str">
        <f t="shared" si="1"/>
        <v>DAVIDSON DAVID</v>
      </c>
    </row>
    <row r="78" spans="1:7" x14ac:dyDescent="0.25">
      <c r="A78" s="8">
        <v>42958.363807870373</v>
      </c>
      <c r="B78" s="20" t="s">
        <v>504</v>
      </c>
      <c r="C78" s="20" t="s">
        <v>698</v>
      </c>
      <c r="D78" s="138">
        <v>3510000</v>
      </c>
      <c r="E78" s="20" t="s">
        <v>511</v>
      </c>
      <c r="F78" s="20" t="s">
        <v>512</v>
      </c>
      <c r="G78" s="8" t="str">
        <f t="shared" si="1"/>
        <v>BARRON PERLA</v>
      </c>
    </row>
    <row r="79" spans="1:7" x14ac:dyDescent="0.25">
      <c r="A79" s="8">
        <v>42958.372881944444</v>
      </c>
      <c r="B79" s="20" t="s">
        <v>501</v>
      </c>
      <c r="C79" s="20" t="s">
        <v>617</v>
      </c>
      <c r="D79" s="138">
        <v>3040000</v>
      </c>
      <c r="E79" s="20" t="s">
        <v>367</v>
      </c>
      <c r="F79" s="20" t="s">
        <v>368</v>
      </c>
      <c r="G79" s="8" t="str">
        <f t="shared" si="1"/>
        <v>WILLIAMS DONTE</v>
      </c>
    </row>
    <row r="80" spans="1:7" x14ac:dyDescent="0.25">
      <c r="A80" s="8">
        <v>42958.380196759259</v>
      </c>
      <c r="B80" s="20" t="s">
        <v>409</v>
      </c>
      <c r="C80" s="20" t="s">
        <v>699</v>
      </c>
      <c r="D80" s="138">
        <v>1110000</v>
      </c>
      <c r="E80" s="20" t="s">
        <v>406</v>
      </c>
      <c r="F80" s="20" t="s">
        <v>407</v>
      </c>
      <c r="G80" s="8" t="str">
        <f t="shared" si="1"/>
        <v>STARKS ANGELINA</v>
      </c>
    </row>
    <row r="81" spans="1:7" x14ac:dyDescent="0.25">
      <c r="A81" s="8">
        <v>42958.380659722221</v>
      </c>
      <c r="B81" s="20" t="s">
        <v>507</v>
      </c>
      <c r="C81" s="20" t="s">
        <v>616</v>
      </c>
      <c r="D81" s="138">
        <v>1990000</v>
      </c>
      <c r="E81" s="20" t="s">
        <v>377</v>
      </c>
      <c r="F81" s="20" t="s">
        <v>552</v>
      </c>
      <c r="G81" s="8" t="str">
        <f t="shared" si="1"/>
        <v>DAVIS WENDY</v>
      </c>
    </row>
    <row r="82" spans="1:7" x14ac:dyDescent="0.25">
      <c r="A82" s="8">
        <v>42958.385347222225</v>
      </c>
      <c r="B82" s="20" t="s">
        <v>611</v>
      </c>
      <c r="C82" s="20" t="s">
        <v>618</v>
      </c>
      <c r="D82" s="138">
        <v>890000</v>
      </c>
      <c r="E82" s="20" t="s">
        <v>474</v>
      </c>
      <c r="F82" s="20" t="s">
        <v>475</v>
      </c>
      <c r="G82" s="8" t="str">
        <f t="shared" si="1"/>
        <v>LOZA FIDEL</v>
      </c>
    </row>
    <row r="83" spans="1:7" x14ac:dyDescent="0.25">
      <c r="A83" s="8">
        <v>42958.386099537034</v>
      </c>
      <c r="B83" s="20" t="s">
        <v>442</v>
      </c>
      <c r="C83" s="20" t="s">
        <v>700</v>
      </c>
      <c r="D83" s="138">
        <v>3330000</v>
      </c>
      <c r="E83" s="20" t="s">
        <v>701</v>
      </c>
      <c r="F83" s="20" t="s">
        <v>702</v>
      </c>
      <c r="G83" s="8" t="str">
        <f t="shared" si="1"/>
        <v>GONZALEZ ARMANDO</v>
      </c>
    </row>
    <row r="84" spans="1:7" x14ac:dyDescent="0.25">
      <c r="A84" s="8">
        <v>42958.392129629632</v>
      </c>
      <c r="B84" s="20" t="s">
        <v>545</v>
      </c>
      <c r="C84" s="20" t="s">
        <v>703</v>
      </c>
      <c r="D84" s="138">
        <v>3500000</v>
      </c>
      <c r="E84" s="20" t="s">
        <v>509</v>
      </c>
      <c r="F84" s="20" t="s">
        <v>510</v>
      </c>
      <c r="G84" s="8" t="str">
        <f t="shared" si="1"/>
        <v>GUNTHIER ERIC</v>
      </c>
    </row>
    <row r="85" spans="1:7" x14ac:dyDescent="0.25">
      <c r="A85" s="8">
        <v>42958.392175925925</v>
      </c>
      <c r="B85" s="20" t="s">
        <v>355</v>
      </c>
      <c r="C85" s="20" t="s">
        <v>704</v>
      </c>
      <c r="D85" s="138">
        <v>2600000</v>
      </c>
      <c r="E85" s="20" t="s">
        <v>652</v>
      </c>
      <c r="F85" s="20" t="s">
        <v>653</v>
      </c>
      <c r="G85" s="8" t="str">
        <f t="shared" si="1"/>
        <v>DAVIDSON DAVID</v>
      </c>
    </row>
    <row r="86" spans="1:7" x14ac:dyDescent="0.25">
      <c r="A86" s="8">
        <v>42958.392407407409</v>
      </c>
      <c r="B86" s="20" t="s">
        <v>445</v>
      </c>
      <c r="C86" s="20" t="s">
        <v>642</v>
      </c>
      <c r="D86" s="138">
        <v>3330000</v>
      </c>
      <c r="E86" s="20" t="s">
        <v>701</v>
      </c>
      <c r="F86" s="20" t="s">
        <v>702</v>
      </c>
      <c r="G86" s="8" t="str">
        <f t="shared" si="1"/>
        <v>GONZALEZ ARMANDO</v>
      </c>
    </row>
    <row r="87" spans="1:7" x14ac:dyDescent="0.25">
      <c r="A87" s="8">
        <v>42958.39298611111</v>
      </c>
      <c r="B87" s="20" t="s">
        <v>356</v>
      </c>
      <c r="C87" s="20" t="s">
        <v>705</v>
      </c>
      <c r="D87" s="138">
        <v>900000</v>
      </c>
      <c r="E87" s="20" t="s">
        <v>458</v>
      </c>
      <c r="F87" s="20" t="s">
        <v>459</v>
      </c>
      <c r="G87" s="8" t="str">
        <f t="shared" si="1"/>
        <v>ROCHA YAOTL</v>
      </c>
    </row>
    <row r="88" spans="1:7" x14ac:dyDescent="0.25">
      <c r="A88" s="8">
        <v>42958.397418981483</v>
      </c>
      <c r="B88" s="20" t="s">
        <v>442</v>
      </c>
      <c r="C88" s="20" t="s">
        <v>700</v>
      </c>
      <c r="D88" s="138">
        <v>3330000</v>
      </c>
      <c r="E88" s="20" t="s">
        <v>701</v>
      </c>
      <c r="F88" s="20" t="s">
        <v>702</v>
      </c>
      <c r="G88" s="8" t="str">
        <f t="shared" si="1"/>
        <v>GONZALEZ ARMANDO</v>
      </c>
    </row>
    <row r="89" spans="1:7" x14ac:dyDescent="0.25">
      <c r="A89" s="8">
        <v>42958.400787037041</v>
      </c>
      <c r="B89" s="20" t="s">
        <v>410</v>
      </c>
      <c r="C89" s="20" t="s">
        <v>706</v>
      </c>
      <c r="D89" s="138">
        <v>1110000</v>
      </c>
      <c r="E89" s="20" t="s">
        <v>406</v>
      </c>
      <c r="F89" s="20" t="s">
        <v>407</v>
      </c>
      <c r="G89" s="8" t="str">
        <f t="shared" si="1"/>
        <v>STARKS ANGELINA</v>
      </c>
    </row>
    <row r="90" spans="1:7" x14ac:dyDescent="0.25">
      <c r="A90" s="8">
        <v>42958.402245370373</v>
      </c>
      <c r="B90" s="20" t="s">
        <v>508</v>
      </c>
      <c r="C90" s="20" t="s">
        <v>707</v>
      </c>
      <c r="D90" s="138">
        <v>3510000</v>
      </c>
      <c r="E90" s="20" t="s">
        <v>511</v>
      </c>
      <c r="F90" s="20" t="s">
        <v>512</v>
      </c>
      <c r="G90" s="8" t="str">
        <f t="shared" si="1"/>
        <v>BARRON PERLA</v>
      </c>
    </row>
    <row r="91" spans="1:7" x14ac:dyDescent="0.25">
      <c r="A91" s="8">
        <v>42958.406377314815</v>
      </c>
      <c r="B91" s="20" t="s">
        <v>445</v>
      </c>
      <c r="C91" s="20" t="s">
        <v>708</v>
      </c>
      <c r="D91" s="138">
        <v>3290000</v>
      </c>
      <c r="E91" s="20" t="s">
        <v>709</v>
      </c>
      <c r="F91" s="20" t="s">
        <v>554</v>
      </c>
      <c r="G91" s="8" t="str">
        <f t="shared" si="1"/>
        <v>CASSIDY BRANDON</v>
      </c>
    </row>
    <row r="92" spans="1:7" x14ac:dyDescent="0.25">
      <c r="A92" s="8">
        <v>42958.412037037036</v>
      </c>
      <c r="B92" s="20" t="s">
        <v>442</v>
      </c>
      <c r="C92" s="20" t="s">
        <v>710</v>
      </c>
      <c r="D92" s="138">
        <v>3290000</v>
      </c>
      <c r="E92" s="20" t="s">
        <v>709</v>
      </c>
      <c r="F92" s="20" t="s">
        <v>554</v>
      </c>
      <c r="G92" s="8" t="str">
        <f t="shared" si="1"/>
        <v>CASSIDY BRANDON</v>
      </c>
    </row>
    <row r="93" spans="1:7" x14ac:dyDescent="0.25">
      <c r="A93" s="8">
        <v>42958.412372685183</v>
      </c>
      <c r="B93" s="20" t="s">
        <v>506</v>
      </c>
      <c r="C93" s="20" t="s">
        <v>711</v>
      </c>
      <c r="D93" s="138">
        <v>3040000</v>
      </c>
      <c r="E93" s="20" t="s">
        <v>367</v>
      </c>
      <c r="F93" s="20" t="s">
        <v>368</v>
      </c>
      <c r="G93" s="8" t="str">
        <f t="shared" si="1"/>
        <v>WILLIAMS DONTE</v>
      </c>
    </row>
    <row r="94" spans="1:7" x14ac:dyDescent="0.25">
      <c r="A94" s="8">
        <v>42958.414456018516</v>
      </c>
      <c r="B94" s="20" t="s">
        <v>447</v>
      </c>
      <c r="C94" s="20" t="s">
        <v>712</v>
      </c>
      <c r="D94" s="138">
        <v>1990000</v>
      </c>
      <c r="E94" s="20" t="s">
        <v>377</v>
      </c>
      <c r="F94" s="20" t="s">
        <v>552</v>
      </c>
      <c r="G94" s="8" t="str">
        <f t="shared" si="1"/>
        <v>DAVIS WENDY</v>
      </c>
    </row>
    <row r="95" spans="1:7" x14ac:dyDescent="0.25">
      <c r="A95" s="8">
        <v>42958.415625000001</v>
      </c>
      <c r="B95" s="20" t="s">
        <v>409</v>
      </c>
      <c r="C95" s="20" t="s">
        <v>713</v>
      </c>
      <c r="D95" s="138">
        <v>2530000</v>
      </c>
      <c r="E95" s="20" t="s">
        <v>671</v>
      </c>
      <c r="F95" s="20" t="s">
        <v>672</v>
      </c>
      <c r="G95" s="8" t="str">
        <f t="shared" si="1"/>
        <v>LALONDE GREGORY</v>
      </c>
    </row>
    <row r="96" spans="1:7" x14ac:dyDescent="0.25">
      <c r="A96" s="8">
        <v>42958.416238425925</v>
      </c>
      <c r="B96" s="20" t="s">
        <v>445</v>
      </c>
      <c r="C96" s="20" t="s">
        <v>710</v>
      </c>
      <c r="D96" s="138">
        <v>3290000</v>
      </c>
      <c r="E96" s="20" t="s">
        <v>709</v>
      </c>
      <c r="F96" s="20" t="s">
        <v>554</v>
      </c>
      <c r="G96" s="8" t="str">
        <f t="shared" si="1"/>
        <v>CASSIDY BRANDON</v>
      </c>
    </row>
    <row r="97" spans="1:7" x14ac:dyDescent="0.25">
      <c r="A97" s="8">
        <v>42958.417453703703</v>
      </c>
      <c r="B97" s="20" t="s">
        <v>445</v>
      </c>
      <c r="C97" s="20" t="s">
        <v>708</v>
      </c>
      <c r="D97" s="138">
        <v>3290000</v>
      </c>
      <c r="E97" s="20" t="s">
        <v>709</v>
      </c>
      <c r="F97" s="20" t="s">
        <v>554</v>
      </c>
      <c r="G97" s="8" t="str">
        <f t="shared" si="1"/>
        <v>CASSIDY BRANDON</v>
      </c>
    </row>
    <row r="98" spans="1:7" x14ac:dyDescent="0.25">
      <c r="A98" s="8">
        <v>42958.421712962961</v>
      </c>
      <c r="B98" s="20" t="s">
        <v>605</v>
      </c>
      <c r="C98" s="20" t="s">
        <v>714</v>
      </c>
      <c r="D98" s="138">
        <v>890000</v>
      </c>
      <c r="E98" s="20" t="s">
        <v>474</v>
      </c>
      <c r="F98" s="20" t="s">
        <v>475</v>
      </c>
      <c r="G98" s="8" t="str">
        <f t="shared" si="1"/>
        <v>LOZA FIDEL</v>
      </c>
    </row>
    <row r="99" spans="1:7" x14ac:dyDescent="0.25">
      <c r="A99" s="8">
        <v>42958.425000000003</v>
      </c>
      <c r="B99" s="20" t="s">
        <v>442</v>
      </c>
      <c r="C99" s="20" t="s">
        <v>715</v>
      </c>
      <c r="D99" s="138">
        <v>3310000</v>
      </c>
      <c r="E99" s="20" t="s">
        <v>716</v>
      </c>
      <c r="F99" s="20" t="s">
        <v>717</v>
      </c>
      <c r="G99" s="8" t="str">
        <f t="shared" si="1"/>
        <v>ANDERS STEVEN</v>
      </c>
    </row>
    <row r="100" spans="1:7" x14ac:dyDescent="0.25">
      <c r="A100" s="8">
        <v>42958.42597222222</v>
      </c>
      <c r="B100" s="20" t="s">
        <v>359</v>
      </c>
      <c r="C100" s="20" t="s">
        <v>718</v>
      </c>
      <c r="D100" s="138">
        <v>2970000</v>
      </c>
      <c r="E100" s="20" t="s">
        <v>364</v>
      </c>
      <c r="F100" s="20" t="s">
        <v>365</v>
      </c>
      <c r="G100" s="8" t="str">
        <f t="shared" si="1"/>
        <v>GUZMAN DANNY</v>
      </c>
    </row>
    <row r="101" spans="1:7" x14ac:dyDescent="0.25">
      <c r="A101" s="8">
        <v>42958.429722222223</v>
      </c>
      <c r="B101" s="20" t="s">
        <v>445</v>
      </c>
      <c r="C101" s="20" t="s">
        <v>719</v>
      </c>
      <c r="D101" s="138">
        <v>3310000</v>
      </c>
      <c r="E101" s="20" t="s">
        <v>716</v>
      </c>
      <c r="F101" s="20" t="s">
        <v>717</v>
      </c>
      <c r="G101" s="8" t="str">
        <f t="shared" si="1"/>
        <v>ANDERS STEVEN</v>
      </c>
    </row>
    <row r="102" spans="1:7" x14ac:dyDescent="0.25">
      <c r="A102" s="8">
        <v>42958.432233796295</v>
      </c>
      <c r="B102" s="20" t="s">
        <v>549</v>
      </c>
      <c r="C102" s="20" t="s">
        <v>720</v>
      </c>
      <c r="D102" s="138">
        <v>3500000</v>
      </c>
      <c r="E102" s="20" t="s">
        <v>509</v>
      </c>
      <c r="F102" s="20" t="s">
        <v>510</v>
      </c>
      <c r="G102" s="8" t="str">
        <f t="shared" si="1"/>
        <v>GUNTHIER ERIC</v>
      </c>
    </row>
    <row r="103" spans="1:7" x14ac:dyDescent="0.25">
      <c r="A103" s="8">
        <v>42958.432962962965</v>
      </c>
      <c r="B103" s="20" t="s">
        <v>504</v>
      </c>
      <c r="C103" s="20" t="s">
        <v>721</v>
      </c>
      <c r="D103" s="138">
        <v>3510000</v>
      </c>
      <c r="E103" s="20" t="s">
        <v>511</v>
      </c>
      <c r="F103" s="20" t="s">
        <v>512</v>
      </c>
      <c r="G103" s="8" t="str">
        <f t="shared" si="1"/>
        <v>BARRON PERLA</v>
      </c>
    </row>
    <row r="104" spans="1:7" x14ac:dyDescent="0.25">
      <c r="A104" s="8">
        <v>42958.433425925927</v>
      </c>
      <c r="B104" s="20" t="s">
        <v>442</v>
      </c>
      <c r="C104" s="20" t="s">
        <v>719</v>
      </c>
      <c r="D104" s="138">
        <v>3310000</v>
      </c>
      <c r="E104" s="20" t="s">
        <v>716</v>
      </c>
      <c r="F104" s="20" t="s">
        <v>717</v>
      </c>
      <c r="G104" s="8" t="str">
        <f t="shared" si="1"/>
        <v>ANDERS STEVEN</v>
      </c>
    </row>
    <row r="105" spans="1:7" x14ac:dyDescent="0.25">
      <c r="A105" s="8">
        <v>42958.433749999997</v>
      </c>
      <c r="B105" s="20" t="s">
        <v>361</v>
      </c>
      <c r="C105" s="20" t="s">
        <v>722</v>
      </c>
      <c r="D105" s="138">
        <v>2600000</v>
      </c>
      <c r="E105" s="20" t="s">
        <v>652</v>
      </c>
      <c r="F105" s="20" t="s">
        <v>653</v>
      </c>
      <c r="G105" s="8" t="str">
        <f t="shared" si="1"/>
        <v>DAVIDSON DAVID</v>
      </c>
    </row>
    <row r="106" spans="1:7" x14ac:dyDescent="0.25">
      <c r="A106" s="8">
        <v>42958.43409722222</v>
      </c>
      <c r="B106" s="20" t="s">
        <v>442</v>
      </c>
      <c r="C106" s="20" t="s">
        <v>715</v>
      </c>
      <c r="D106" s="138">
        <v>3310000</v>
      </c>
      <c r="E106" s="20" t="s">
        <v>716</v>
      </c>
      <c r="F106" s="20" t="s">
        <v>717</v>
      </c>
      <c r="G106" s="8" t="str">
        <f t="shared" si="1"/>
        <v>ANDERS STEVEN</v>
      </c>
    </row>
    <row r="107" spans="1:7" x14ac:dyDescent="0.25">
      <c r="A107" s="8">
        <v>42958.442037037035</v>
      </c>
      <c r="B107" s="20" t="s">
        <v>410</v>
      </c>
      <c r="C107" s="20" t="s">
        <v>723</v>
      </c>
      <c r="D107" s="138">
        <v>2530000</v>
      </c>
      <c r="E107" s="20" t="s">
        <v>671</v>
      </c>
      <c r="F107" s="20" t="s">
        <v>672</v>
      </c>
      <c r="G107" s="8" t="str">
        <f t="shared" si="1"/>
        <v>LALONDE GREGORY</v>
      </c>
    </row>
    <row r="108" spans="1:7" x14ac:dyDescent="0.25">
      <c r="A108" s="8">
        <v>42958.443344907406</v>
      </c>
      <c r="B108" s="20" t="s">
        <v>445</v>
      </c>
      <c r="C108" s="20" t="s">
        <v>724</v>
      </c>
      <c r="D108" s="138">
        <v>3340000</v>
      </c>
      <c r="E108" s="20" t="s">
        <v>725</v>
      </c>
      <c r="F108" s="20" t="s">
        <v>726</v>
      </c>
      <c r="G108" s="8" t="str">
        <f t="shared" si="1"/>
        <v>ELBAUM MIKE</v>
      </c>
    </row>
    <row r="109" spans="1:7" x14ac:dyDescent="0.25">
      <c r="A109" s="8">
        <v>42958.443993055553</v>
      </c>
      <c r="B109" s="20" t="s">
        <v>727</v>
      </c>
      <c r="C109" s="20" t="s">
        <v>728</v>
      </c>
      <c r="D109" s="138">
        <v>1810000</v>
      </c>
      <c r="E109" s="20" t="s">
        <v>729</v>
      </c>
      <c r="F109" s="20" t="s">
        <v>189</v>
      </c>
      <c r="G109" s="8" t="str">
        <f t="shared" si="1"/>
        <v>NEWELL JAMES</v>
      </c>
    </row>
    <row r="110" spans="1:7" x14ac:dyDescent="0.25">
      <c r="A110" s="8">
        <v>42958.444826388892</v>
      </c>
      <c r="B110" s="20" t="s">
        <v>501</v>
      </c>
      <c r="C110" s="20" t="s">
        <v>730</v>
      </c>
      <c r="D110" s="138">
        <v>3010000</v>
      </c>
      <c r="E110" s="20" t="s">
        <v>553</v>
      </c>
      <c r="F110" s="20" t="s">
        <v>554</v>
      </c>
      <c r="G110" s="8" t="str">
        <f t="shared" si="1"/>
        <v>SULLIVAN BRANDON</v>
      </c>
    </row>
    <row r="111" spans="1:7" x14ac:dyDescent="0.25">
      <c r="A111" s="8">
        <v>42958.449212962965</v>
      </c>
      <c r="B111" s="20" t="s">
        <v>442</v>
      </c>
      <c r="C111" s="20" t="s">
        <v>731</v>
      </c>
      <c r="D111" s="138">
        <v>3340000</v>
      </c>
      <c r="E111" s="20" t="s">
        <v>725</v>
      </c>
      <c r="F111" s="20" t="s">
        <v>726</v>
      </c>
      <c r="G111" s="8" t="str">
        <f t="shared" si="1"/>
        <v>ELBAUM MIKE</v>
      </c>
    </row>
    <row r="112" spans="1:7" x14ac:dyDescent="0.25">
      <c r="A112" s="8">
        <v>42958.452835648146</v>
      </c>
      <c r="B112" s="20" t="s">
        <v>507</v>
      </c>
      <c r="C112" s="20" t="s">
        <v>732</v>
      </c>
      <c r="D112" s="138">
        <v>1990000</v>
      </c>
      <c r="E112" s="20" t="s">
        <v>377</v>
      </c>
      <c r="F112" s="20" t="s">
        <v>552</v>
      </c>
      <c r="G112" s="8" t="str">
        <f t="shared" si="1"/>
        <v>DAVIS WENDY</v>
      </c>
    </row>
    <row r="113" spans="1:7" x14ac:dyDescent="0.25">
      <c r="A113" s="8">
        <v>42958.453483796293</v>
      </c>
      <c r="B113" s="20" t="s">
        <v>445</v>
      </c>
      <c r="C113" s="20" t="s">
        <v>724</v>
      </c>
      <c r="D113" s="138">
        <v>3340000</v>
      </c>
      <c r="E113" s="20" t="s">
        <v>725</v>
      </c>
      <c r="F113" s="20" t="s">
        <v>726</v>
      </c>
      <c r="G113" s="8" t="str">
        <f t="shared" si="1"/>
        <v>ELBAUM MIKE</v>
      </c>
    </row>
    <row r="114" spans="1:7" x14ac:dyDescent="0.25">
      <c r="A114" s="8">
        <v>42958.455960648149</v>
      </c>
      <c r="B114" s="20" t="s">
        <v>356</v>
      </c>
      <c r="C114" s="20" t="s">
        <v>733</v>
      </c>
      <c r="D114" s="138">
        <v>2970000</v>
      </c>
      <c r="E114" s="20" t="s">
        <v>364</v>
      </c>
      <c r="F114" s="20" t="s">
        <v>365</v>
      </c>
      <c r="G114" s="8" t="str">
        <f t="shared" si="1"/>
        <v>GUZMAN DANNY</v>
      </c>
    </row>
    <row r="115" spans="1:7" x14ac:dyDescent="0.25">
      <c r="A115" s="8">
        <v>42958.456435185188</v>
      </c>
      <c r="B115" s="20" t="s">
        <v>409</v>
      </c>
      <c r="C115" s="20" t="s">
        <v>734</v>
      </c>
      <c r="D115" s="138">
        <v>2530000</v>
      </c>
      <c r="E115" s="20" t="s">
        <v>671</v>
      </c>
      <c r="F115" s="20" t="s">
        <v>672</v>
      </c>
      <c r="G115" s="8" t="str">
        <f t="shared" si="1"/>
        <v>LALONDE GREGORY</v>
      </c>
    </row>
    <row r="116" spans="1:7" x14ac:dyDescent="0.25">
      <c r="A116" s="8">
        <v>42958.45685185185</v>
      </c>
      <c r="B116" s="20" t="s">
        <v>611</v>
      </c>
      <c r="C116" s="20" t="s">
        <v>735</v>
      </c>
      <c r="D116" s="138">
        <v>890000</v>
      </c>
      <c r="E116" s="20" t="s">
        <v>474</v>
      </c>
      <c r="F116" s="20" t="s">
        <v>475</v>
      </c>
      <c r="G116" s="8" t="str">
        <f t="shared" si="1"/>
        <v>LOZA FIDEL</v>
      </c>
    </row>
    <row r="117" spans="1:7" x14ac:dyDescent="0.25">
      <c r="A117" s="8">
        <v>42958.465949074074</v>
      </c>
      <c r="B117" s="20" t="s">
        <v>355</v>
      </c>
      <c r="C117" s="20" t="s">
        <v>736</v>
      </c>
      <c r="D117" s="138">
        <v>2600000</v>
      </c>
      <c r="E117" s="20" t="s">
        <v>652</v>
      </c>
      <c r="F117" s="20" t="s">
        <v>653</v>
      </c>
      <c r="G117" s="8" t="str">
        <f t="shared" si="1"/>
        <v>DAVIDSON DAVID</v>
      </c>
    </row>
    <row r="118" spans="1:7" x14ac:dyDescent="0.25">
      <c r="A118" s="8">
        <v>42958.466006944444</v>
      </c>
      <c r="B118" s="20" t="s">
        <v>545</v>
      </c>
      <c r="C118" s="20" t="s">
        <v>737</v>
      </c>
      <c r="D118" s="138">
        <v>3120000</v>
      </c>
      <c r="E118" s="20" t="s">
        <v>738</v>
      </c>
      <c r="F118" s="20" t="s">
        <v>739</v>
      </c>
      <c r="G118" s="8" t="str">
        <f t="shared" si="1"/>
        <v>THOMPSON LESTER</v>
      </c>
    </row>
    <row r="119" spans="1:7" x14ac:dyDescent="0.25">
      <c r="A119" s="8">
        <v>42958.475960648146</v>
      </c>
      <c r="B119" s="20" t="s">
        <v>508</v>
      </c>
      <c r="C119" s="20" t="s">
        <v>740</v>
      </c>
      <c r="D119" s="138">
        <v>880000</v>
      </c>
      <c r="E119" s="20" t="s">
        <v>489</v>
      </c>
      <c r="F119" s="20" t="s">
        <v>192</v>
      </c>
      <c r="G119" s="8" t="str">
        <f t="shared" si="1"/>
        <v>STEWART MICHAEL</v>
      </c>
    </row>
    <row r="120" spans="1:7" x14ac:dyDescent="0.25">
      <c r="A120" s="8">
        <v>42958.478425925925</v>
      </c>
      <c r="B120" s="20" t="s">
        <v>741</v>
      </c>
      <c r="C120" s="20" t="s">
        <v>742</v>
      </c>
      <c r="D120" s="138">
        <v>1100000</v>
      </c>
      <c r="E120" s="20" t="s">
        <v>743</v>
      </c>
      <c r="F120" s="20" t="s">
        <v>744</v>
      </c>
      <c r="G120" s="8" t="str">
        <f t="shared" si="1"/>
        <v>GEBRETEKLE DAGNEW</v>
      </c>
    </row>
    <row r="121" spans="1:7" x14ac:dyDescent="0.25">
      <c r="A121" s="8">
        <v>42958.481296296297</v>
      </c>
      <c r="B121" s="20" t="s">
        <v>506</v>
      </c>
      <c r="C121" s="20" t="s">
        <v>745</v>
      </c>
      <c r="D121" s="138">
        <v>3010000</v>
      </c>
      <c r="E121" s="20" t="s">
        <v>553</v>
      </c>
      <c r="F121" s="20" t="s">
        <v>554</v>
      </c>
      <c r="G121" s="8" t="str">
        <f t="shared" si="1"/>
        <v>SULLIVAN BRANDON</v>
      </c>
    </row>
    <row r="122" spans="1:7" x14ac:dyDescent="0.25">
      <c r="A122" s="8">
        <v>42958.483182870368</v>
      </c>
      <c r="B122" s="25" t="s">
        <v>410</v>
      </c>
      <c r="C122" s="20" t="s">
        <v>746</v>
      </c>
      <c r="D122" s="138">
        <v>2530000</v>
      </c>
      <c r="E122" s="20" t="s">
        <v>671</v>
      </c>
      <c r="F122" s="20" t="s">
        <v>672</v>
      </c>
      <c r="G122" s="8" t="str">
        <f t="shared" si="1"/>
        <v>LALONDE GREGORY</v>
      </c>
    </row>
    <row r="123" spans="1:7" x14ac:dyDescent="0.25">
      <c r="A123" s="8">
        <v>42958.486319444448</v>
      </c>
      <c r="B123" s="20" t="s">
        <v>447</v>
      </c>
      <c r="C123" s="20" t="s">
        <v>747</v>
      </c>
      <c r="D123" s="138">
        <v>3490000</v>
      </c>
      <c r="E123" s="20" t="s">
        <v>517</v>
      </c>
      <c r="F123" s="20" t="s">
        <v>518</v>
      </c>
      <c r="G123" s="8" t="str">
        <f t="shared" si="1"/>
        <v>WEST BRYAN</v>
      </c>
    </row>
    <row r="124" spans="1:7" x14ac:dyDescent="0.25">
      <c r="A124" s="8">
        <v>42958.487743055557</v>
      </c>
      <c r="B124" s="20" t="s">
        <v>605</v>
      </c>
      <c r="C124" s="20" t="s">
        <v>748</v>
      </c>
      <c r="D124" s="138">
        <v>890000</v>
      </c>
      <c r="E124" s="20" t="s">
        <v>474</v>
      </c>
      <c r="F124" s="20" t="s">
        <v>475</v>
      </c>
      <c r="G124" s="8" t="str">
        <f t="shared" si="1"/>
        <v>LOZA FIDEL</v>
      </c>
    </row>
    <row r="125" spans="1:7" x14ac:dyDescent="0.25">
      <c r="A125" s="8">
        <v>42958.497175925928</v>
      </c>
      <c r="B125" s="20" t="s">
        <v>359</v>
      </c>
      <c r="C125" s="20" t="s">
        <v>749</v>
      </c>
      <c r="D125" s="138">
        <v>2730000</v>
      </c>
      <c r="E125" s="20" t="s">
        <v>487</v>
      </c>
      <c r="F125" s="20" t="s">
        <v>488</v>
      </c>
      <c r="G125" s="8" t="str">
        <f t="shared" si="1"/>
        <v>YANG JAN</v>
      </c>
    </row>
    <row r="126" spans="1:7" x14ac:dyDescent="0.25">
      <c r="A126" s="8">
        <v>42958.497546296298</v>
      </c>
      <c r="B126" s="20" t="s">
        <v>409</v>
      </c>
      <c r="C126" s="20" t="s">
        <v>750</v>
      </c>
      <c r="D126" s="138">
        <v>2530000</v>
      </c>
      <c r="E126" s="20" t="s">
        <v>671</v>
      </c>
      <c r="F126" s="20" t="s">
        <v>672</v>
      </c>
      <c r="G126" s="8" t="str">
        <f t="shared" si="1"/>
        <v>LALONDE GREGORY</v>
      </c>
    </row>
    <row r="127" spans="1:7" x14ac:dyDescent="0.25">
      <c r="A127" s="8">
        <v>42958.506111111114</v>
      </c>
      <c r="B127" s="20" t="s">
        <v>549</v>
      </c>
      <c r="C127" s="20" t="s">
        <v>751</v>
      </c>
      <c r="D127" s="138">
        <v>3120000</v>
      </c>
      <c r="E127" s="20" t="s">
        <v>738</v>
      </c>
      <c r="F127" s="20" t="s">
        <v>739</v>
      </c>
      <c r="G127" s="8" t="str">
        <f t="shared" si="1"/>
        <v>THOMPSON LESTER</v>
      </c>
    </row>
    <row r="128" spans="1:7" x14ac:dyDescent="0.25">
      <c r="A128" s="8">
        <v>42958.508263888885</v>
      </c>
      <c r="B128" s="20" t="s">
        <v>361</v>
      </c>
      <c r="C128" s="20" t="s">
        <v>752</v>
      </c>
      <c r="D128" s="138">
        <v>1300000</v>
      </c>
      <c r="E128" s="20" t="s">
        <v>476</v>
      </c>
      <c r="F128" s="20" t="s">
        <v>477</v>
      </c>
      <c r="G128" s="8" t="str">
        <f t="shared" si="1"/>
        <v>LEVIN SCOTT</v>
      </c>
    </row>
    <row r="129" spans="1:7" x14ac:dyDescent="0.25">
      <c r="A129" s="8">
        <v>42958.516284722224</v>
      </c>
      <c r="B129" s="20" t="s">
        <v>501</v>
      </c>
      <c r="C129" s="20" t="s">
        <v>753</v>
      </c>
      <c r="D129" s="138">
        <v>3010000</v>
      </c>
      <c r="E129" s="20" t="s">
        <v>553</v>
      </c>
      <c r="F129" s="20" t="s">
        <v>554</v>
      </c>
      <c r="G129" s="8" t="str">
        <f t="shared" si="1"/>
        <v>SULLIVAN BRANDON</v>
      </c>
    </row>
    <row r="130" spans="1:7" x14ac:dyDescent="0.25">
      <c r="A130" s="8">
        <v>42958.51666666667</v>
      </c>
      <c r="B130" s="20" t="s">
        <v>504</v>
      </c>
      <c r="C130" s="20" t="s">
        <v>754</v>
      </c>
      <c r="D130" s="138">
        <v>880000</v>
      </c>
      <c r="E130" s="20" t="s">
        <v>489</v>
      </c>
      <c r="F130" s="20" t="s">
        <v>192</v>
      </c>
      <c r="G130" s="8" t="str">
        <f t="shared" si="1"/>
        <v>STEWART MICHAEL</v>
      </c>
    </row>
    <row r="131" spans="1:7" x14ac:dyDescent="0.25">
      <c r="A131" s="8">
        <v>42958.517152777778</v>
      </c>
      <c r="B131" s="20" t="s">
        <v>445</v>
      </c>
      <c r="C131" s="20" t="s">
        <v>755</v>
      </c>
      <c r="D131" s="138">
        <v>3280000</v>
      </c>
      <c r="E131" s="20" t="s">
        <v>756</v>
      </c>
      <c r="F131" s="20" t="s">
        <v>757</v>
      </c>
      <c r="G131" s="8" t="str">
        <f t="shared" ref="G131:G194" si="2">E131&amp;" "&amp;F131</f>
        <v>BIRKHOLZ NADINE</v>
      </c>
    </row>
    <row r="132" spans="1:7" x14ac:dyDescent="0.25">
      <c r="A132" s="8">
        <v>42958.522824074076</v>
      </c>
      <c r="B132" s="20" t="s">
        <v>507</v>
      </c>
      <c r="C132" s="20" t="s">
        <v>620</v>
      </c>
      <c r="D132" s="138">
        <v>3490000</v>
      </c>
      <c r="E132" s="20" t="s">
        <v>517</v>
      </c>
      <c r="F132" s="20" t="s">
        <v>518</v>
      </c>
      <c r="G132" s="8" t="str">
        <f t="shared" si="2"/>
        <v>WEST BRYAN</v>
      </c>
    </row>
    <row r="133" spans="1:7" x14ac:dyDescent="0.25">
      <c r="A133" s="8">
        <v>42958.524525462963</v>
      </c>
      <c r="B133" s="20" t="s">
        <v>442</v>
      </c>
      <c r="C133" s="20" t="s">
        <v>758</v>
      </c>
      <c r="D133" s="138">
        <v>3280000</v>
      </c>
      <c r="E133" s="20" t="s">
        <v>756</v>
      </c>
      <c r="F133" s="20" t="s">
        <v>757</v>
      </c>
      <c r="G133" s="8" t="str">
        <f t="shared" si="2"/>
        <v>BIRKHOLZ NADINE</v>
      </c>
    </row>
    <row r="134" spans="1:7" x14ac:dyDescent="0.25">
      <c r="A134" s="8">
        <v>42958.525347222225</v>
      </c>
      <c r="B134" s="20" t="s">
        <v>410</v>
      </c>
      <c r="C134" s="20" t="s">
        <v>759</v>
      </c>
      <c r="D134" s="138">
        <v>2530000</v>
      </c>
      <c r="E134" s="20" t="s">
        <v>671</v>
      </c>
      <c r="F134" s="20" t="s">
        <v>672</v>
      </c>
      <c r="G134" s="8" t="str">
        <f t="shared" si="2"/>
        <v>LALONDE GREGORY</v>
      </c>
    </row>
    <row r="135" spans="1:7" x14ac:dyDescent="0.25">
      <c r="A135" s="8">
        <v>42958.528831018521</v>
      </c>
      <c r="B135" s="20" t="s">
        <v>445</v>
      </c>
      <c r="C135" s="20" t="s">
        <v>755</v>
      </c>
      <c r="D135" s="138">
        <v>3280000</v>
      </c>
      <c r="E135" s="20" t="s">
        <v>756</v>
      </c>
      <c r="F135" s="20" t="s">
        <v>757</v>
      </c>
      <c r="G135" s="8" t="str">
        <f t="shared" si="2"/>
        <v>BIRKHOLZ NADINE</v>
      </c>
    </row>
    <row r="136" spans="1:7" x14ac:dyDescent="0.25">
      <c r="A136" s="8">
        <v>42958.52921296296</v>
      </c>
      <c r="B136" s="20" t="s">
        <v>611</v>
      </c>
      <c r="C136" s="20" t="s">
        <v>619</v>
      </c>
      <c r="D136" s="138">
        <v>2420000</v>
      </c>
      <c r="E136" s="20" t="s">
        <v>515</v>
      </c>
      <c r="F136" s="20" t="s">
        <v>516</v>
      </c>
      <c r="G136" s="8" t="str">
        <f t="shared" si="2"/>
        <v>HOLCOMB KAMDEN</v>
      </c>
    </row>
    <row r="137" spans="1:7" x14ac:dyDescent="0.25">
      <c r="A137" s="8">
        <v>42958.536782407406</v>
      </c>
      <c r="B137" s="20" t="s">
        <v>356</v>
      </c>
      <c r="C137" s="20" t="s">
        <v>760</v>
      </c>
      <c r="D137" s="138">
        <v>2730000</v>
      </c>
      <c r="E137" s="20" t="s">
        <v>487</v>
      </c>
      <c r="F137" s="20" t="s">
        <v>488</v>
      </c>
      <c r="G137" s="8" t="str">
        <f t="shared" si="2"/>
        <v>YANG JAN</v>
      </c>
    </row>
    <row r="138" spans="1:7" x14ac:dyDescent="0.25">
      <c r="A138" s="8">
        <v>42958.536805555559</v>
      </c>
      <c r="B138" s="20" t="s">
        <v>442</v>
      </c>
      <c r="C138" s="20" t="s">
        <v>761</v>
      </c>
      <c r="D138" s="138">
        <v>3320000</v>
      </c>
      <c r="E138" s="20" t="s">
        <v>762</v>
      </c>
      <c r="F138" s="20" t="s">
        <v>763</v>
      </c>
      <c r="G138" s="8" t="str">
        <f t="shared" si="2"/>
        <v>NICHOLSON WESLEY</v>
      </c>
    </row>
    <row r="139" spans="1:7" x14ac:dyDescent="0.25">
      <c r="A139" s="8">
        <v>42958.540682870371</v>
      </c>
      <c r="B139" s="20" t="s">
        <v>545</v>
      </c>
      <c r="C139" s="20" t="s">
        <v>621</v>
      </c>
      <c r="D139" s="138">
        <v>3120000</v>
      </c>
      <c r="E139" s="20" t="s">
        <v>738</v>
      </c>
      <c r="F139" s="20" t="s">
        <v>739</v>
      </c>
      <c r="G139" s="8" t="str">
        <f t="shared" si="2"/>
        <v>THOMPSON LESTER</v>
      </c>
    </row>
    <row r="140" spans="1:7" x14ac:dyDescent="0.25">
      <c r="A140" s="8">
        <v>42958.541666666664</v>
      </c>
      <c r="B140" s="20" t="s">
        <v>445</v>
      </c>
      <c r="C140" s="20" t="s">
        <v>764</v>
      </c>
      <c r="D140" s="138">
        <v>3320000</v>
      </c>
      <c r="E140" s="20" t="s">
        <v>762</v>
      </c>
      <c r="F140" s="20" t="s">
        <v>763</v>
      </c>
      <c r="G140" s="8" t="str">
        <f t="shared" si="2"/>
        <v>NICHOLSON WESLEY</v>
      </c>
    </row>
    <row r="141" spans="1:7" x14ac:dyDescent="0.25">
      <c r="A141" s="8">
        <v>42958.544710648152</v>
      </c>
      <c r="B141" s="20" t="s">
        <v>409</v>
      </c>
      <c r="C141" s="20" t="s">
        <v>765</v>
      </c>
      <c r="D141" s="138">
        <v>2370000</v>
      </c>
      <c r="E141" s="20" t="s">
        <v>513</v>
      </c>
      <c r="F141" s="20" t="s">
        <v>514</v>
      </c>
      <c r="G141" s="8" t="str">
        <f t="shared" si="2"/>
        <v>DELGADO DIANAH</v>
      </c>
    </row>
    <row r="142" spans="1:7" x14ac:dyDescent="0.25">
      <c r="A142" s="8">
        <v>42958.545185185183</v>
      </c>
      <c r="B142" s="20" t="s">
        <v>442</v>
      </c>
      <c r="C142" s="20" t="s">
        <v>764</v>
      </c>
      <c r="D142" s="138">
        <v>3320000</v>
      </c>
      <c r="E142" s="20" t="s">
        <v>762</v>
      </c>
      <c r="F142" s="20" t="s">
        <v>763</v>
      </c>
      <c r="G142" s="8" t="str">
        <f t="shared" si="2"/>
        <v>NICHOLSON WESLEY</v>
      </c>
    </row>
    <row r="143" spans="1:7" x14ac:dyDescent="0.25">
      <c r="A143" s="8">
        <v>42958.546018518522</v>
      </c>
      <c r="B143" s="20" t="s">
        <v>442</v>
      </c>
      <c r="C143" s="20" t="s">
        <v>761</v>
      </c>
      <c r="D143" s="138">
        <v>3320000</v>
      </c>
      <c r="E143" s="20" t="s">
        <v>762</v>
      </c>
      <c r="F143" s="20" t="s">
        <v>763</v>
      </c>
      <c r="G143" s="8" t="str">
        <f t="shared" si="2"/>
        <v>NICHOLSON WESLEY</v>
      </c>
    </row>
    <row r="144" spans="1:7" x14ac:dyDescent="0.25">
      <c r="A144" s="8">
        <v>42958.548101851855</v>
      </c>
      <c r="B144" s="20" t="s">
        <v>355</v>
      </c>
      <c r="C144" s="20" t="s">
        <v>766</v>
      </c>
      <c r="D144" s="138">
        <v>1300000</v>
      </c>
      <c r="E144" s="20" t="s">
        <v>476</v>
      </c>
      <c r="F144" s="20" t="s">
        <v>477</v>
      </c>
      <c r="G144" s="8" t="str">
        <f t="shared" si="2"/>
        <v>LEVIN SCOTT</v>
      </c>
    </row>
    <row r="145" spans="1:7" x14ac:dyDescent="0.25">
      <c r="A145" s="8">
        <v>42958.550092592595</v>
      </c>
      <c r="B145" s="20" t="s">
        <v>508</v>
      </c>
      <c r="C145" s="20" t="s">
        <v>767</v>
      </c>
      <c r="D145" s="138">
        <v>880000</v>
      </c>
      <c r="E145" s="20" t="s">
        <v>489</v>
      </c>
      <c r="F145" s="20" t="s">
        <v>192</v>
      </c>
      <c r="G145" s="8" t="str">
        <f t="shared" si="2"/>
        <v>STEWART MICHAEL</v>
      </c>
    </row>
    <row r="146" spans="1:7" x14ac:dyDescent="0.25">
      <c r="A146" s="8">
        <v>42958.554375</v>
      </c>
      <c r="B146" s="20" t="s">
        <v>506</v>
      </c>
      <c r="C146" s="20" t="s">
        <v>768</v>
      </c>
      <c r="D146" s="138">
        <v>3010000</v>
      </c>
      <c r="E146" s="20" t="s">
        <v>553</v>
      </c>
      <c r="F146" s="20" t="s">
        <v>554</v>
      </c>
      <c r="G146" s="8" t="str">
        <f t="shared" si="2"/>
        <v>SULLIVAN BRANDON</v>
      </c>
    </row>
    <row r="147" spans="1:7" x14ac:dyDescent="0.25">
      <c r="A147" s="8">
        <v>42958.554814814815</v>
      </c>
      <c r="B147" s="20" t="s">
        <v>445</v>
      </c>
      <c r="C147" s="20" t="s">
        <v>769</v>
      </c>
      <c r="D147" s="138">
        <v>3300000</v>
      </c>
      <c r="E147" s="20" t="s">
        <v>450</v>
      </c>
      <c r="F147" s="20" t="s">
        <v>451</v>
      </c>
      <c r="G147" s="8" t="str">
        <f t="shared" si="2"/>
        <v>LANGERAK WILLIAM</v>
      </c>
    </row>
    <row r="148" spans="1:7" x14ac:dyDescent="0.25">
      <c r="A148" s="8">
        <v>42958.55914351852</v>
      </c>
      <c r="B148" s="20" t="s">
        <v>447</v>
      </c>
      <c r="C148" s="20" t="s">
        <v>622</v>
      </c>
      <c r="D148" s="138">
        <v>3490000</v>
      </c>
      <c r="E148" s="20" t="s">
        <v>517</v>
      </c>
      <c r="F148" s="20" t="s">
        <v>518</v>
      </c>
      <c r="G148" s="8" t="str">
        <f t="shared" si="2"/>
        <v>WEST BRYAN</v>
      </c>
    </row>
    <row r="149" spans="1:7" x14ac:dyDescent="0.25">
      <c r="A149" s="8">
        <v>42958.560520833336</v>
      </c>
      <c r="B149" s="20" t="s">
        <v>442</v>
      </c>
      <c r="C149" s="20" t="s">
        <v>770</v>
      </c>
      <c r="D149" s="138">
        <v>3300000</v>
      </c>
      <c r="E149" s="20" t="s">
        <v>450</v>
      </c>
      <c r="F149" s="20" t="s">
        <v>451</v>
      </c>
      <c r="G149" s="8" t="str">
        <f t="shared" si="2"/>
        <v>LANGERAK WILLIAM</v>
      </c>
    </row>
    <row r="150" spans="1:7" x14ac:dyDescent="0.25">
      <c r="A150" s="8">
        <v>42958.564641203702</v>
      </c>
      <c r="B150" s="20" t="s">
        <v>445</v>
      </c>
      <c r="C150" s="20" t="s">
        <v>769</v>
      </c>
      <c r="D150" s="138">
        <v>3300000</v>
      </c>
      <c r="E150" s="20" t="s">
        <v>450</v>
      </c>
      <c r="F150" s="20" t="s">
        <v>451</v>
      </c>
      <c r="G150" s="8" t="str">
        <f t="shared" si="2"/>
        <v>LANGERAK WILLIAM</v>
      </c>
    </row>
    <row r="151" spans="1:7" x14ac:dyDescent="0.25">
      <c r="A151" s="8">
        <v>42958.566886574074</v>
      </c>
      <c r="B151" s="20" t="s">
        <v>605</v>
      </c>
      <c r="C151" s="20" t="s">
        <v>771</v>
      </c>
      <c r="D151" s="138">
        <v>2420000</v>
      </c>
      <c r="E151" s="20" t="s">
        <v>515</v>
      </c>
      <c r="F151" s="20" t="s">
        <v>516</v>
      </c>
      <c r="G151" s="8" t="str">
        <f t="shared" si="2"/>
        <v>HOLCOMB KAMDEN</v>
      </c>
    </row>
    <row r="152" spans="1:7" x14ac:dyDescent="0.25">
      <c r="A152" s="8">
        <v>42958.569374999999</v>
      </c>
      <c r="B152" s="20" t="s">
        <v>359</v>
      </c>
      <c r="C152" s="20" t="s">
        <v>772</v>
      </c>
      <c r="D152" s="138">
        <v>2730000</v>
      </c>
      <c r="E152" s="20" t="s">
        <v>487</v>
      </c>
      <c r="F152" s="20" t="s">
        <v>488</v>
      </c>
      <c r="G152" s="8" t="str">
        <f t="shared" si="2"/>
        <v>YANG JAN</v>
      </c>
    </row>
    <row r="153" spans="1:7" x14ac:dyDescent="0.25">
      <c r="A153" s="8">
        <v>42958.569386574076</v>
      </c>
      <c r="B153" s="20" t="s">
        <v>410</v>
      </c>
      <c r="C153" s="20" t="s">
        <v>773</v>
      </c>
      <c r="D153" s="138">
        <v>2370000</v>
      </c>
      <c r="E153" s="20" t="s">
        <v>513</v>
      </c>
      <c r="F153" s="20" t="s">
        <v>514</v>
      </c>
      <c r="G153" s="8" t="str">
        <f t="shared" si="2"/>
        <v>DELGADO DIANAH</v>
      </c>
    </row>
    <row r="154" spans="1:7" x14ac:dyDescent="0.25">
      <c r="A154" s="8">
        <v>42958.572581018518</v>
      </c>
      <c r="B154" s="20" t="s">
        <v>442</v>
      </c>
      <c r="C154" s="20" t="s">
        <v>774</v>
      </c>
      <c r="D154" s="138">
        <v>3260000</v>
      </c>
      <c r="E154" s="20" t="s">
        <v>437</v>
      </c>
      <c r="F154" s="20" t="s">
        <v>438</v>
      </c>
      <c r="G154" s="8" t="str">
        <f t="shared" si="2"/>
        <v>PAGE MARCUS</v>
      </c>
    </row>
    <row r="155" spans="1:7" x14ac:dyDescent="0.25">
      <c r="A155" s="8">
        <v>42958.579513888886</v>
      </c>
      <c r="B155" s="20" t="s">
        <v>445</v>
      </c>
      <c r="C155" s="20" t="s">
        <v>775</v>
      </c>
      <c r="D155" s="138">
        <v>3260000</v>
      </c>
      <c r="E155" s="20" t="s">
        <v>437</v>
      </c>
      <c r="F155" s="20" t="s">
        <v>438</v>
      </c>
      <c r="G155" s="8" t="str">
        <f t="shared" si="2"/>
        <v>PAGE MARCUS</v>
      </c>
    </row>
    <row r="156" spans="1:7" x14ac:dyDescent="0.25">
      <c r="A156" s="8">
        <v>42958.580474537041</v>
      </c>
      <c r="B156" s="20" t="s">
        <v>549</v>
      </c>
      <c r="C156" s="20" t="s">
        <v>624</v>
      </c>
      <c r="D156" s="138">
        <v>3120000</v>
      </c>
      <c r="E156" s="20" t="s">
        <v>738</v>
      </c>
      <c r="F156" s="20" t="s">
        <v>739</v>
      </c>
      <c r="G156" s="8" t="str">
        <f t="shared" si="2"/>
        <v>THOMPSON LESTER</v>
      </c>
    </row>
    <row r="157" spans="1:7" x14ac:dyDescent="0.25">
      <c r="A157" s="8">
        <v>42958.580648148149</v>
      </c>
      <c r="B157" s="20" t="s">
        <v>361</v>
      </c>
      <c r="C157" s="20" t="s">
        <v>623</v>
      </c>
      <c r="D157" s="138">
        <v>1300000</v>
      </c>
      <c r="E157" s="20" t="s">
        <v>476</v>
      </c>
      <c r="F157" s="20" t="s">
        <v>477</v>
      </c>
      <c r="G157" s="8" t="str">
        <f t="shared" si="2"/>
        <v>LEVIN SCOTT</v>
      </c>
    </row>
    <row r="158" spans="1:7" x14ac:dyDescent="0.25">
      <c r="A158" s="8">
        <v>42958.583043981482</v>
      </c>
      <c r="B158" s="20" t="s">
        <v>409</v>
      </c>
      <c r="C158" s="20" t="s">
        <v>776</v>
      </c>
      <c r="D158" s="138">
        <v>2370000</v>
      </c>
      <c r="E158" s="20" t="s">
        <v>513</v>
      </c>
      <c r="F158" s="20" t="s">
        <v>514</v>
      </c>
      <c r="G158" s="8" t="str">
        <f t="shared" si="2"/>
        <v>DELGADO DIANAH</v>
      </c>
    </row>
    <row r="159" spans="1:7" x14ac:dyDescent="0.25">
      <c r="A159" s="8">
        <v>42958.583773148152</v>
      </c>
      <c r="B159" s="20" t="s">
        <v>442</v>
      </c>
      <c r="C159" s="20" t="s">
        <v>775</v>
      </c>
      <c r="D159" s="138">
        <v>3260000</v>
      </c>
      <c r="E159" s="20" t="s">
        <v>437</v>
      </c>
      <c r="F159" s="20" t="s">
        <v>438</v>
      </c>
      <c r="G159" s="8" t="str">
        <f t="shared" si="2"/>
        <v>PAGE MARCUS</v>
      </c>
    </row>
    <row r="160" spans="1:7" x14ac:dyDescent="0.25">
      <c r="A160" s="8">
        <v>42958.586296296293</v>
      </c>
      <c r="B160" s="20" t="s">
        <v>442</v>
      </c>
      <c r="C160" s="20" t="s">
        <v>774</v>
      </c>
      <c r="D160" s="138">
        <v>3260000</v>
      </c>
      <c r="E160" s="20" t="s">
        <v>437</v>
      </c>
      <c r="F160" s="20" t="s">
        <v>438</v>
      </c>
      <c r="G160" s="8" t="str">
        <f t="shared" si="2"/>
        <v>PAGE MARCUS</v>
      </c>
    </row>
    <row r="161" spans="1:7" x14ac:dyDescent="0.25">
      <c r="A161" s="8">
        <v>42958.588368055556</v>
      </c>
      <c r="B161" s="20" t="s">
        <v>504</v>
      </c>
      <c r="C161" s="20" t="s">
        <v>777</v>
      </c>
      <c r="D161" s="138">
        <v>880000</v>
      </c>
      <c r="E161" s="20" t="s">
        <v>489</v>
      </c>
      <c r="F161" s="20" t="s">
        <v>192</v>
      </c>
      <c r="G161" s="8" t="str">
        <f t="shared" si="2"/>
        <v>STEWART MICHAEL</v>
      </c>
    </row>
    <row r="162" spans="1:7" x14ac:dyDescent="0.25">
      <c r="A162" s="8">
        <v>42958.589062500003</v>
      </c>
      <c r="B162" s="20" t="s">
        <v>501</v>
      </c>
      <c r="C162" s="20" t="s">
        <v>625</v>
      </c>
      <c r="D162" s="138">
        <v>3010000</v>
      </c>
      <c r="E162" s="20" t="s">
        <v>553</v>
      </c>
      <c r="F162" s="20" t="s">
        <v>554</v>
      </c>
      <c r="G162" s="8" t="str">
        <f t="shared" si="2"/>
        <v>SULLIVAN BRANDON</v>
      </c>
    </row>
    <row r="163" spans="1:7" x14ac:dyDescent="0.25">
      <c r="A163" s="8">
        <v>42958.591458333336</v>
      </c>
      <c r="B163" s="20" t="s">
        <v>550</v>
      </c>
      <c r="C163" s="20" t="s">
        <v>742</v>
      </c>
      <c r="D163" s="138">
        <v>1830000</v>
      </c>
      <c r="E163" s="20" t="s">
        <v>519</v>
      </c>
      <c r="F163" s="20" t="s">
        <v>520</v>
      </c>
      <c r="G163" s="8" t="str">
        <f t="shared" si="2"/>
        <v>YORK EDGAR</v>
      </c>
    </row>
    <row r="164" spans="1:7" x14ac:dyDescent="0.25">
      <c r="A164" s="8">
        <v>42958.59447916667</v>
      </c>
      <c r="B164" s="20" t="s">
        <v>548</v>
      </c>
      <c r="C164" s="20" t="s">
        <v>742</v>
      </c>
      <c r="D164" s="138">
        <v>1830000</v>
      </c>
      <c r="E164" s="20" t="s">
        <v>519</v>
      </c>
      <c r="F164" s="20" t="s">
        <v>520</v>
      </c>
      <c r="G164" s="8" t="str">
        <f t="shared" si="2"/>
        <v>YORK EDGAR</v>
      </c>
    </row>
    <row r="165" spans="1:7" x14ac:dyDescent="0.25">
      <c r="A165" s="8">
        <v>42958.595104166663</v>
      </c>
      <c r="B165" s="20" t="s">
        <v>548</v>
      </c>
      <c r="C165" s="20" t="s">
        <v>742</v>
      </c>
      <c r="D165" s="138">
        <v>1830000</v>
      </c>
      <c r="E165" s="20" t="s">
        <v>519</v>
      </c>
      <c r="F165" s="20" t="s">
        <v>520</v>
      </c>
      <c r="G165" s="8" t="str">
        <f t="shared" si="2"/>
        <v>YORK EDGAR</v>
      </c>
    </row>
    <row r="166" spans="1:7" x14ac:dyDescent="0.25">
      <c r="A166" s="8">
        <v>42958.595625000002</v>
      </c>
      <c r="B166" s="20" t="s">
        <v>548</v>
      </c>
      <c r="C166" s="20" t="s">
        <v>742</v>
      </c>
      <c r="D166" s="138">
        <v>1830000</v>
      </c>
      <c r="E166" s="20" t="s">
        <v>519</v>
      </c>
      <c r="F166" s="20" t="s">
        <v>520</v>
      </c>
      <c r="G166" s="8" t="str">
        <f t="shared" si="2"/>
        <v>YORK EDGAR</v>
      </c>
    </row>
    <row r="167" spans="1:7" x14ac:dyDescent="0.25">
      <c r="A167" s="8">
        <v>42958.596030092594</v>
      </c>
      <c r="B167" s="20" t="s">
        <v>507</v>
      </c>
      <c r="C167" s="20" t="s">
        <v>778</v>
      </c>
      <c r="D167" s="138">
        <v>3490000</v>
      </c>
      <c r="E167" s="20" t="s">
        <v>517</v>
      </c>
      <c r="F167" s="20" t="s">
        <v>518</v>
      </c>
      <c r="G167" s="8" t="str">
        <f t="shared" si="2"/>
        <v>WEST BRYAN</v>
      </c>
    </row>
    <row r="168" spans="1:7" x14ac:dyDescent="0.25">
      <c r="A168" s="8">
        <v>42958.599606481483</v>
      </c>
      <c r="B168" s="20" t="s">
        <v>611</v>
      </c>
      <c r="C168" s="20" t="s">
        <v>626</v>
      </c>
      <c r="D168" s="138">
        <v>2420000</v>
      </c>
      <c r="E168" s="20" t="s">
        <v>515</v>
      </c>
      <c r="F168" s="20" t="s">
        <v>516</v>
      </c>
      <c r="G168" s="8" t="str">
        <f t="shared" si="2"/>
        <v>HOLCOMB KAMDEN</v>
      </c>
    </row>
    <row r="169" spans="1:7" x14ac:dyDescent="0.25">
      <c r="A169" s="8">
        <v>42958.60765046296</v>
      </c>
      <c r="B169" s="20" t="s">
        <v>356</v>
      </c>
      <c r="C169" s="20" t="s">
        <v>779</v>
      </c>
      <c r="D169" s="138">
        <v>2730000</v>
      </c>
      <c r="E169" s="20" t="s">
        <v>487</v>
      </c>
      <c r="F169" s="20" t="s">
        <v>488</v>
      </c>
      <c r="G169" s="8" t="str">
        <f t="shared" si="2"/>
        <v>YANG JAN</v>
      </c>
    </row>
    <row r="170" spans="1:7" x14ac:dyDescent="0.25">
      <c r="A170" s="8">
        <v>42958.609398148146</v>
      </c>
      <c r="B170" s="20" t="s">
        <v>410</v>
      </c>
      <c r="C170" s="20" t="s">
        <v>780</v>
      </c>
      <c r="D170" s="138">
        <v>2370000</v>
      </c>
      <c r="E170" s="20" t="s">
        <v>513</v>
      </c>
      <c r="F170" s="20" t="s">
        <v>514</v>
      </c>
      <c r="G170" s="8" t="str">
        <f t="shared" si="2"/>
        <v>DELGADO DIANAH</v>
      </c>
    </row>
    <row r="171" spans="1:7" x14ac:dyDescent="0.25">
      <c r="A171" s="8">
        <v>42958.616030092591</v>
      </c>
      <c r="B171" s="20" t="s">
        <v>550</v>
      </c>
      <c r="C171" s="20" t="s">
        <v>781</v>
      </c>
      <c r="D171" s="138">
        <v>3120000</v>
      </c>
      <c r="E171" s="20" t="s">
        <v>738</v>
      </c>
      <c r="F171" s="20" t="s">
        <v>739</v>
      </c>
      <c r="G171" s="8" t="str">
        <f t="shared" si="2"/>
        <v>THOMPSON LESTER</v>
      </c>
    </row>
    <row r="172" spans="1:7" x14ac:dyDescent="0.25">
      <c r="A172" s="8">
        <v>42958.619166666664</v>
      </c>
      <c r="B172" s="20" t="s">
        <v>355</v>
      </c>
      <c r="C172" s="20" t="s">
        <v>782</v>
      </c>
      <c r="D172" s="138">
        <v>1300000</v>
      </c>
      <c r="E172" s="20" t="s">
        <v>476</v>
      </c>
      <c r="F172" s="20" t="s">
        <v>477</v>
      </c>
      <c r="G172" s="8" t="str">
        <f t="shared" si="2"/>
        <v>LEVIN SCOTT</v>
      </c>
    </row>
    <row r="173" spans="1:7" x14ac:dyDescent="0.25">
      <c r="A173" s="8">
        <v>42958.622210648151</v>
      </c>
      <c r="B173" s="20" t="s">
        <v>508</v>
      </c>
      <c r="C173" s="20" t="s">
        <v>783</v>
      </c>
      <c r="D173" s="138">
        <v>880000</v>
      </c>
      <c r="E173" s="20" t="s">
        <v>489</v>
      </c>
      <c r="F173" s="20" t="s">
        <v>192</v>
      </c>
      <c r="G173" s="8" t="str">
        <f t="shared" si="2"/>
        <v>STEWART MICHAEL</v>
      </c>
    </row>
    <row r="174" spans="1:7" x14ac:dyDescent="0.25">
      <c r="A174" s="8">
        <v>42958.623749999999</v>
      </c>
      <c r="B174" s="20" t="s">
        <v>409</v>
      </c>
      <c r="C174" s="20" t="s">
        <v>784</v>
      </c>
      <c r="D174" s="138">
        <v>2370000</v>
      </c>
      <c r="E174" s="20" t="s">
        <v>513</v>
      </c>
      <c r="F174" s="20" t="s">
        <v>514</v>
      </c>
      <c r="G174" s="8" t="str">
        <f t="shared" si="2"/>
        <v>DELGADO DIANAH</v>
      </c>
    </row>
    <row r="175" spans="1:7" x14ac:dyDescent="0.25">
      <c r="A175" s="8">
        <v>42958.627696759257</v>
      </c>
      <c r="B175" s="20" t="s">
        <v>506</v>
      </c>
      <c r="C175" s="20" t="s">
        <v>785</v>
      </c>
      <c r="D175" s="138">
        <v>3010000</v>
      </c>
      <c r="E175" s="20" t="s">
        <v>553</v>
      </c>
      <c r="F175" s="20" t="s">
        <v>554</v>
      </c>
      <c r="G175" s="8" t="str">
        <f t="shared" si="2"/>
        <v>SULLIVAN BRANDON</v>
      </c>
    </row>
    <row r="176" spans="1:7" x14ac:dyDescent="0.25">
      <c r="A176" s="8">
        <v>42958.632638888892</v>
      </c>
      <c r="B176" s="20" t="s">
        <v>447</v>
      </c>
      <c r="C176" s="20" t="s">
        <v>786</v>
      </c>
      <c r="D176" s="138">
        <v>3490000</v>
      </c>
      <c r="E176" s="20" t="s">
        <v>517</v>
      </c>
      <c r="F176" s="20" t="s">
        <v>518</v>
      </c>
      <c r="G176" s="8" t="str">
        <f t="shared" si="2"/>
        <v>WEST BRYAN</v>
      </c>
    </row>
    <row r="177" spans="1:7" x14ac:dyDescent="0.25">
      <c r="A177" s="8">
        <v>42958.635254629633</v>
      </c>
      <c r="B177" s="20" t="s">
        <v>404</v>
      </c>
      <c r="C177" s="20" t="s">
        <v>787</v>
      </c>
      <c r="D177" s="138">
        <v>2540000</v>
      </c>
      <c r="E177" s="20" t="s">
        <v>788</v>
      </c>
      <c r="F177" s="20" t="s">
        <v>789</v>
      </c>
      <c r="G177" s="8" t="str">
        <f t="shared" si="2"/>
        <v>MCREYNOLDS KYLE</v>
      </c>
    </row>
    <row r="178" spans="1:7" x14ac:dyDescent="0.25">
      <c r="A178" s="8">
        <v>42958.638923611114</v>
      </c>
      <c r="B178" s="20" t="s">
        <v>605</v>
      </c>
      <c r="C178" s="20" t="s">
        <v>790</v>
      </c>
      <c r="D178" s="138">
        <v>2420000</v>
      </c>
      <c r="E178" s="20" t="s">
        <v>515</v>
      </c>
      <c r="F178" s="20" t="s">
        <v>516</v>
      </c>
      <c r="G178" s="8" t="str">
        <f t="shared" si="2"/>
        <v>HOLCOMB KAMDEN</v>
      </c>
    </row>
    <row r="179" spans="1:7" x14ac:dyDescent="0.25">
      <c r="A179" s="8">
        <v>42958.642048611109</v>
      </c>
      <c r="B179" s="20" t="s">
        <v>359</v>
      </c>
      <c r="C179" s="20" t="s">
        <v>791</v>
      </c>
      <c r="D179" s="138">
        <v>2730000</v>
      </c>
      <c r="E179" s="20" t="s">
        <v>487</v>
      </c>
      <c r="F179" s="20" t="s">
        <v>488</v>
      </c>
      <c r="G179" s="8" t="str">
        <f t="shared" si="2"/>
        <v>YANG JAN</v>
      </c>
    </row>
    <row r="180" spans="1:7" x14ac:dyDescent="0.25">
      <c r="A180" s="8">
        <v>42958.646597222221</v>
      </c>
      <c r="B180" s="20" t="s">
        <v>402</v>
      </c>
      <c r="C180" s="20" t="s">
        <v>792</v>
      </c>
      <c r="D180" s="138">
        <v>2540000</v>
      </c>
      <c r="E180" s="20" t="s">
        <v>788</v>
      </c>
      <c r="F180" s="20" t="s">
        <v>789</v>
      </c>
      <c r="G180" s="8" t="str">
        <f t="shared" si="2"/>
        <v>MCREYNOLDS KYLE</v>
      </c>
    </row>
    <row r="181" spans="1:7" x14ac:dyDescent="0.25">
      <c r="A181" s="8">
        <v>42958.650868055556</v>
      </c>
      <c r="B181" s="20" t="s">
        <v>410</v>
      </c>
      <c r="C181" s="20" t="s">
        <v>627</v>
      </c>
      <c r="D181" s="138">
        <v>2370000</v>
      </c>
      <c r="E181" s="20" t="s">
        <v>513</v>
      </c>
      <c r="F181" s="20" t="s">
        <v>514</v>
      </c>
      <c r="G181" s="8" t="str">
        <f t="shared" si="2"/>
        <v>DELGADO DIANAH</v>
      </c>
    </row>
    <row r="182" spans="1:7" x14ac:dyDescent="0.25">
      <c r="A182" s="8">
        <v>42958.653506944444</v>
      </c>
      <c r="B182" s="20" t="s">
        <v>548</v>
      </c>
      <c r="C182" s="20" t="s">
        <v>793</v>
      </c>
      <c r="D182" s="138">
        <v>3120000</v>
      </c>
      <c r="E182" s="20" t="s">
        <v>738</v>
      </c>
      <c r="F182" s="20" t="s">
        <v>739</v>
      </c>
      <c r="G182" s="8" t="str">
        <f t="shared" si="2"/>
        <v>THOMPSON LESTER</v>
      </c>
    </row>
    <row r="183" spans="1:7" x14ac:dyDescent="0.25">
      <c r="A183" s="8">
        <v>42958.654270833336</v>
      </c>
      <c r="B183" s="20" t="s">
        <v>361</v>
      </c>
      <c r="C183" s="20" t="s">
        <v>794</v>
      </c>
      <c r="D183" s="138">
        <v>1300000</v>
      </c>
      <c r="E183" s="20" t="s">
        <v>476</v>
      </c>
      <c r="F183" s="20" t="s">
        <v>477</v>
      </c>
      <c r="G183" s="8" t="str">
        <f t="shared" si="2"/>
        <v>LEVIN SCOTT</v>
      </c>
    </row>
    <row r="184" spans="1:7" x14ac:dyDescent="0.25">
      <c r="A184" s="8">
        <v>42958.661423611113</v>
      </c>
      <c r="B184" s="20" t="s">
        <v>504</v>
      </c>
      <c r="C184" s="20" t="s">
        <v>628</v>
      </c>
      <c r="D184" s="138">
        <v>880000</v>
      </c>
      <c r="E184" s="20" t="s">
        <v>489</v>
      </c>
      <c r="F184" s="20" t="s">
        <v>192</v>
      </c>
      <c r="G184" s="8" t="str">
        <f t="shared" si="2"/>
        <v>STEWART MICHAEL</v>
      </c>
    </row>
    <row r="185" spans="1:7" x14ac:dyDescent="0.25">
      <c r="A185" s="8">
        <v>42958.663032407407</v>
      </c>
      <c r="B185" s="20" t="s">
        <v>501</v>
      </c>
      <c r="C185" s="20" t="s">
        <v>795</v>
      </c>
      <c r="D185" s="138">
        <v>3010000</v>
      </c>
      <c r="E185" s="20" t="s">
        <v>553</v>
      </c>
      <c r="F185" s="20" t="s">
        <v>554</v>
      </c>
      <c r="G185" s="8" t="str">
        <f t="shared" si="2"/>
        <v>SULLIVAN BRANDON</v>
      </c>
    </row>
    <row r="186" spans="1:7" x14ac:dyDescent="0.25">
      <c r="A186" s="8">
        <v>42958.670844907407</v>
      </c>
      <c r="B186" s="20" t="s">
        <v>507</v>
      </c>
      <c r="C186" s="20" t="s">
        <v>630</v>
      </c>
      <c r="D186" s="138">
        <v>3490000</v>
      </c>
      <c r="E186" s="20" t="s">
        <v>517</v>
      </c>
      <c r="F186" s="20" t="s">
        <v>518</v>
      </c>
      <c r="G186" s="8" t="str">
        <f t="shared" si="2"/>
        <v>WEST BRYAN</v>
      </c>
    </row>
    <row r="187" spans="1:7" x14ac:dyDescent="0.25">
      <c r="A187" s="8">
        <v>42958.671863425923</v>
      </c>
      <c r="B187" s="20" t="s">
        <v>611</v>
      </c>
      <c r="C187" s="20" t="s">
        <v>629</v>
      </c>
      <c r="D187" s="138">
        <v>2420000</v>
      </c>
      <c r="E187" s="20" t="s">
        <v>515</v>
      </c>
      <c r="F187" s="20" t="s">
        <v>516</v>
      </c>
      <c r="G187" s="8" t="str">
        <f t="shared" si="2"/>
        <v>HOLCOMB KAMDEN</v>
      </c>
    </row>
    <row r="188" spans="1:7" x14ac:dyDescent="0.25">
      <c r="A188" s="8">
        <v>42958.671875</v>
      </c>
      <c r="B188" s="20" t="s">
        <v>404</v>
      </c>
      <c r="C188" s="20" t="s">
        <v>796</v>
      </c>
      <c r="D188" s="138">
        <v>2540000</v>
      </c>
      <c r="E188" s="20" t="s">
        <v>788</v>
      </c>
      <c r="F188" s="20" t="s">
        <v>789</v>
      </c>
      <c r="G188" s="8" t="str">
        <f t="shared" si="2"/>
        <v>MCREYNOLDS KYLE</v>
      </c>
    </row>
    <row r="189" spans="1:7" x14ac:dyDescent="0.25">
      <c r="A189" s="8">
        <v>42958.679039351853</v>
      </c>
      <c r="B189" s="20" t="s">
        <v>797</v>
      </c>
      <c r="C189" s="20" t="s">
        <v>742</v>
      </c>
      <c r="D189" s="138">
        <v>2440000</v>
      </c>
      <c r="E189" s="20" t="s">
        <v>798</v>
      </c>
      <c r="F189" s="20" t="s">
        <v>799</v>
      </c>
      <c r="G189" s="8" t="str">
        <f t="shared" si="2"/>
        <v>LOPES KIMBERLY</v>
      </c>
    </row>
    <row r="190" spans="1:7" x14ac:dyDescent="0.25">
      <c r="A190" s="8">
        <v>42958.679201388892</v>
      </c>
      <c r="B190" s="20" t="s">
        <v>545</v>
      </c>
      <c r="C190" s="20" t="s">
        <v>800</v>
      </c>
      <c r="D190" s="138">
        <v>1830000</v>
      </c>
      <c r="E190" s="20" t="s">
        <v>519</v>
      </c>
      <c r="F190" s="20" t="s">
        <v>520</v>
      </c>
      <c r="G190" s="8" t="str">
        <f t="shared" si="2"/>
        <v>YORK EDGAR</v>
      </c>
    </row>
    <row r="191" spans="1:7" x14ac:dyDescent="0.25">
      <c r="A191" s="8">
        <v>42958.679398148146</v>
      </c>
      <c r="B191" s="20" t="s">
        <v>409</v>
      </c>
      <c r="C191" s="20" t="s">
        <v>801</v>
      </c>
      <c r="D191" s="138">
        <v>2370000</v>
      </c>
      <c r="E191" s="20" t="s">
        <v>513</v>
      </c>
      <c r="F191" s="20" t="s">
        <v>514</v>
      </c>
      <c r="G191" s="8" t="str">
        <f t="shared" si="2"/>
        <v>DELGADO DIANAH</v>
      </c>
    </row>
    <row r="192" spans="1:7" x14ac:dyDescent="0.25">
      <c r="A192" s="8">
        <v>42958.681712962964</v>
      </c>
      <c r="B192" s="20" t="s">
        <v>356</v>
      </c>
      <c r="C192" s="20" t="s">
        <v>802</v>
      </c>
      <c r="D192" s="138">
        <v>2730000</v>
      </c>
      <c r="E192" s="20" t="s">
        <v>487</v>
      </c>
      <c r="F192" s="20" t="s">
        <v>488</v>
      </c>
      <c r="G192" s="8" t="str">
        <f t="shared" si="2"/>
        <v>YANG JAN</v>
      </c>
    </row>
    <row r="193" spans="1:7" x14ac:dyDescent="0.25">
      <c r="A193" s="8">
        <v>42958.686168981483</v>
      </c>
      <c r="B193" s="20" t="s">
        <v>550</v>
      </c>
      <c r="C193" s="20" t="s">
        <v>803</v>
      </c>
      <c r="D193" s="138">
        <v>3120000</v>
      </c>
      <c r="E193" s="20" t="s">
        <v>738</v>
      </c>
      <c r="F193" s="20" t="s">
        <v>739</v>
      </c>
      <c r="G193" s="8" t="str">
        <f t="shared" si="2"/>
        <v>THOMPSON LESTER</v>
      </c>
    </row>
    <row r="194" spans="1:7" x14ac:dyDescent="0.25">
      <c r="A194" s="8">
        <v>42958.686481481483</v>
      </c>
      <c r="B194" s="20" t="s">
        <v>402</v>
      </c>
      <c r="C194" s="20" t="s">
        <v>804</v>
      </c>
      <c r="D194" s="138">
        <v>2540000</v>
      </c>
      <c r="E194" s="20" t="s">
        <v>788</v>
      </c>
      <c r="F194" s="20" t="s">
        <v>789</v>
      </c>
      <c r="G194" s="8" t="str">
        <f t="shared" si="2"/>
        <v>MCREYNOLDS KYLE</v>
      </c>
    </row>
    <row r="195" spans="1:7" x14ac:dyDescent="0.25">
      <c r="A195" s="8">
        <v>42958.693182870367</v>
      </c>
      <c r="B195" s="20" t="s">
        <v>410</v>
      </c>
      <c r="C195" s="20" t="s">
        <v>801</v>
      </c>
      <c r="D195" s="138">
        <v>2370000</v>
      </c>
      <c r="E195" s="20" t="s">
        <v>513</v>
      </c>
      <c r="F195" s="20" t="s">
        <v>514</v>
      </c>
      <c r="G195" s="8" t="str">
        <f t="shared" ref="G195:G258" si="3">E195&amp;" "&amp;F195</f>
        <v>DELGADO DIANAH</v>
      </c>
    </row>
    <row r="196" spans="1:7" x14ac:dyDescent="0.25">
      <c r="A196" s="8">
        <v>42958.693645833337</v>
      </c>
      <c r="B196" s="20" t="s">
        <v>355</v>
      </c>
      <c r="C196" s="20" t="s">
        <v>805</v>
      </c>
      <c r="D196" s="138">
        <v>1300000</v>
      </c>
      <c r="E196" s="20" t="s">
        <v>476</v>
      </c>
      <c r="F196" s="20" t="s">
        <v>477</v>
      </c>
      <c r="G196" s="8" t="str">
        <f t="shared" si="3"/>
        <v>LEVIN SCOTT</v>
      </c>
    </row>
    <row r="197" spans="1:7" x14ac:dyDescent="0.25">
      <c r="A197" s="8">
        <v>42958.693715277775</v>
      </c>
      <c r="B197" s="20" t="s">
        <v>410</v>
      </c>
      <c r="C197" s="20" t="s">
        <v>806</v>
      </c>
      <c r="D197" s="138">
        <v>2370000</v>
      </c>
      <c r="E197" s="20" t="s">
        <v>513</v>
      </c>
      <c r="F197" s="20" t="s">
        <v>514</v>
      </c>
      <c r="G197" s="8" t="str">
        <f t="shared" si="3"/>
        <v>DELGADO DIANAH</v>
      </c>
    </row>
    <row r="198" spans="1:7" x14ac:dyDescent="0.25">
      <c r="A198" s="8">
        <v>42958.695162037038</v>
      </c>
      <c r="B198" s="20" t="s">
        <v>508</v>
      </c>
      <c r="C198" s="20" t="s">
        <v>807</v>
      </c>
      <c r="D198" s="138">
        <v>880000</v>
      </c>
      <c r="E198" s="20" t="s">
        <v>489</v>
      </c>
      <c r="F198" s="20" t="s">
        <v>192</v>
      </c>
      <c r="G198" s="8" t="str">
        <f t="shared" si="3"/>
        <v>STEWART MICHAEL</v>
      </c>
    </row>
    <row r="199" spans="1:7" x14ac:dyDescent="0.25">
      <c r="A199" s="8">
        <v>42958.696226851855</v>
      </c>
      <c r="B199" s="20" t="s">
        <v>505</v>
      </c>
      <c r="C199" s="20" t="s">
        <v>742</v>
      </c>
      <c r="D199" s="138">
        <v>2440000</v>
      </c>
      <c r="E199" s="20" t="s">
        <v>798</v>
      </c>
      <c r="F199" s="20" t="s">
        <v>799</v>
      </c>
      <c r="G199" s="8" t="str">
        <f t="shared" si="3"/>
        <v>LOPES KIMBERLY</v>
      </c>
    </row>
    <row r="200" spans="1:7" x14ac:dyDescent="0.25">
      <c r="A200" s="8">
        <v>42958.700370370374</v>
      </c>
      <c r="B200" s="20" t="s">
        <v>506</v>
      </c>
      <c r="C200" s="20" t="s">
        <v>808</v>
      </c>
      <c r="D200" s="138">
        <v>3010000</v>
      </c>
      <c r="E200" s="20" t="s">
        <v>553</v>
      </c>
      <c r="F200" s="20" t="s">
        <v>554</v>
      </c>
      <c r="G200" s="8" t="str">
        <f t="shared" si="3"/>
        <v>SULLIVAN BRANDON</v>
      </c>
    </row>
    <row r="201" spans="1:7" x14ac:dyDescent="0.25">
      <c r="A201" s="8">
        <v>42958.704467592594</v>
      </c>
      <c r="B201" s="20" t="s">
        <v>447</v>
      </c>
      <c r="C201" s="20" t="s">
        <v>632</v>
      </c>
      <c r="D201" s="138">
        <v>3490000</v>
      </c>
      <c r="E201" s="20" t="s">
        <v>517</v>
      </c>
      <c r="F201" s="20" t="s">
        <v>518</v>
      </c>
      <c r="G201" s="8" t="str">
        <f t="shared" si="3"/>
        <v>WEST BRYAN</v>
      </c>
    </row>
    <row r="202" spans="1:7" x14ac:dyDescent="0.25">
      <c r="A202" s="26">
        <v>42958.714050925926</v>
      </c>
      <c r="B202" s="20" t="s">
        <v>404</v>
      </c>
      <c r="C202" s="20" t="s">
        <v>631</v>
      </c>
      <c r="D202" s="138">
        <v>2540000</v>
      </c>
      <c r="E202" s="20" t="s">
        <v>788</v>
      </c>
      <c r="F202" s="20" t="s">
        <v>789</v>
      </c>
      <c r="G202" s="8" t="str">
        <f t="shared" si="3"/>
        <v>MCREYNOLDS KYLE</v>
      </c>
    </row>
    <row r="203" spans="1:7" x14ac:dyDescent="0.25">
      <c r="A203" s="8">
        <v>42958.714490740742</v>
      </c>
      <c r="B203" s="20" t="s">
        <v>605</v>
      </c>
      <c r="C203" s="20" t="s">
        <v>633</v>
      </c>
      <c r="D203" s="138">
        <v>2420000</v>
      </c>
      <c r="E203" s="20" t="s">
        <v>515</v>
      </c>
      <c r="F203" s="20" t="s">
        <v>516</v>
      </c>
      <c r="G203" s="8" t="str">
        <f t="shared" si="3"/>
        <v>HOLCOMB KAMDEN</v>
      </c>
    </row>
    <row r="204" spans="1:7" x14ac:dyDescent="0.25">
      <c r="A204" s="8">
        <v>42958.715011574073</v>
      </c>
      <c r="B204" s="20" t="s">
        <v>359</v>
      </c>
      <c r="C204" s="20" t="s">
        <v>809</v>
      </c>
      <c r="D204" s="138">
        <v>2730000</v>
      </c>
      <c r="E204" s="20" t="s">
        <v>487</v>
      </c>
      <c r="F204" s="20" t="s">
        <v>488</v>
      </c>
      <c r="G204" s="8" t="str">
        <f t="shared" si="3"/>
        <v>YANG JAN</v>
      </c>
    </row>
    <row r="205" spans="1:7" x14ac:dyDescent="0.25">
      <c r="A205" s="8">
        <v>42958.720763888887</v>
      </c>
      <c r="B205" s="20" t="s">
        <v>797</v>
      </c>
      <c r="C205" s="20" t="s">
        <v>810</v>
      </c>
      <c r="D205" s="138">
        <v>2370000</v>
      </c>
      <c r="E205" s="20" t="s">
        <v>513</v>
      </c>
      <c r="F205" s="20" t="s">
        <v>514</v>
      </c>
      <c r="G205" s="8" t="str">
        <f t="shared" si="3"/>
        <v>DELGADO DIANAH</v>
      </c>
    </row>
    <row r="206" spans="1:7" x14ac:dyDescent="0.25">
      <c r="A206" s="8">
        <v>42958.724270833336</v>
      </c>
      <c r="B206" s="20" t="s">
        <v>409</v>
      </c>
      <c r="C206" s="20" t="s">
        <v>742</v>
      </c>
      <c r="D206" s="138">
        <v>2440000</v>
      </c>
      <c r="E206" s="20" t="s">
        <v>798</v>
      </c>
      <c r="F206" s="20" t="s">
        <v>799</v>
      </c>
      <c r="G206" s="8" t="str">
        <f t="shared" si="3"/>
        <v>LOPES KIMBERLY</v>
      </c>
    </row>
    <row r="207" spans="1:7" x14ac:dyDescent="0.25">
      <c r="A207" s="8">
        <v>42958.725277777776</v>
      </c>
      <c r="B207" s="20" t="s">
        <v>361</v>
      </c>
      <c r="C207" s="20" t="s">
        <v>811</v>
      </c>
      <c r="D207" s="138">
        <v>1300000</v>
      </c>
      <c r="E207" s="20" t="s">
        <v>476</v>
      </c>
      <c r="F207" s="20" t="s">
        <v>477</v>
      </c>
      <c r="G207" s="8" t="str">
        <f t="shared" si="3"/>
        <v>LEVIN SCOTT</v>
      </c>
    </row>
    <row r="208" spans="1:7" x14ac:dyDescent="0.25">
      <c r="A208" s="8">
        <v>42958.726666666669</v>
      </c>
      <c r="B208" s="20" t="s">
        <v>548</v>
      </c>
      <c r="C208" s="20" t="s">
        <v>634</v>
      </c>
      <c r="D208" s="138">
        <v>3120000</v>
      </c>
      <c r="E208" s="20" t="s">
        <v>738</v>
      </c>
      <c r="F208" s="20" t="s">
        <v>739</v>
      </c>
      <c r="G208" s="8" t="str">
        <f t="shared" si="3"/>
        <v>THOMPSON LESTER</v>
      </c>
    </row>
    <row r="209" spans="1:7" x14ac:dyDescent="0.25">
      <c r="A209" s="8">
        <v>42958.729247685187</v>
      </c>
      <c r="B209" s="20" t="s">
        <v>402</v>
      </c>
      <c r="C209" s="20" t="s">
        <v>812</v>
      </c>
      <c r="D209" s="138">
        <v>2540000</v>
      </c>
      <c r="E209" s="20" t="s">
        <v>788</v>
      </c>
      <c r="F209" s="20" t="s">
        <v>789</v>
      </c>
      <c r="G209" s="8" t="str">
        <f t="shared" si="3"/>
        <v>MCREYNOLDS KYLE</v>
      </c>
    </row>
    <row r="210" spans="1:7" x14ac:dyDescent="0.25">
      <c r="A210" s="8">
        <v>42958.734247685185</v>
      </c>
      <c r="B210" s="20" t="s">
        <v>504</v>
      </c>
      <c r="C210" s="20" t="s">
        <v>813</v>
      </c>
      <c r="D210" s="138">
        <v>880000</v>
      </c>
      <c r="E210" s="20" t="s">
        <v>489</v>
      </c>
      <c r="F210" s="20" t="s">
        <v>192</v>
      </c>
      <c r="G210" s="8" t="str">
        <f t="shared" si="3"/>
        <v>STEWART MICHAEL</v>
      </c>
    </row>
    <row r="211" spans="1:7" x14ac:dyDescent="0.25">
      <c r="A211" s="8">
        <v>42958.734444444446</v>
      </c>
      <c r="B211" s="20" t="s">
        <v>505</v>
      </c>
      <c r="C211" s="20" t="s">
        <v>814</v>
      </c>
      <c r="D211" s="138">
        <v>2370000</v>
      </c>
      <c r="E211" s="20" t="s">
        <v>513</v>
      </c>
      <c r="F211" s="20" t="s">
        <v>514</v>
      </c>
      <c r="G211" s="8" t="str">
        <f t="shared" si="3"/>
        <v>DELGADO DIANAH</v>
      </c>
    </row>
    <row r="212" spans="1:7" x14ac:dyDescent="0.25">
      <c r="A212" s="8">
        <v>42958.73673611111</v>
      </c>
      <c r="B212" s="20" t="s">
        <v>501</v>
      </c>
      <c r="C212" s="20" t="s">
        <v>815</v>
      </c>
      <c r="D212" s="138">
        <v>1540000</v>
      </c>
      <c r="E212" s="20" t="s">
        <v>472</v>
      </c>
      <c r="F212" s="20" t="s">
        <v>473</v>
      </c>
      <c r="G212" s="8" t="str">
        <f t="shared" si="3"/>
        <v>HELVIE ADAM</v>
      </c>
    </row>
    <row r="213" spans="1:7" x14ac:dyDescent="0.25">
      <c r="A213" s="8">
        <v>42958.742118055554</v>
      </c>
      <c r="B213" s="20" t="s">
        <v>442</v>
      </c>
      <c r="C213" s="20" t="s">
        <v>728</v>
      </c>
      <c r="D213" s="138">
        <v>3200000</v>
      </c>
      <c r="E213" s="20" t="s">
        <v>816</v>
      </c>
      <c r="F213" s="20" t="s">
        <v>817</v>
      </c>
      <c r="G213" s="8" t="str">
        <f t="shared" si="3"/>
        <v>MILLER KEVIN</v>
      </c>
    </row>
    <row r="214" spans="1:7" x14ac:dyDescent="0.25">
      <c r="A214" s="8">
        <v>42958.743275462963</v>
      </c>
      <c r="B214" s="20" t="s">
        <v>507</v>
      </c>
      <c r="C214" s="20" t="s">
        <v>635</v>
      </c>
      <c r="D214" s="138">
        <v>3490000</v>
      </c>
      <c r="E214" s="20" t="s">
        <v>517</v>
      </c>
      <c r="F214" s="20" t="s">
        <v>518</v>
      </c>
      <c r="G214" s="8" t="str">
        <f t="shared" si="3"/>
        <v>WEST BRYAN</v>
      </c>
    </row>
    <row r="215" spans="1:7" x14ac:dyDescent="0.25">
      <c r="A215" s="8">
        <v>42958.746805555558</v>
      </c>
      <c r="B215" s="20" t="s">
        <v>611</v>
      </c>
      <c r="C215" s="20" t="s">
        <v>818</v>
      </c>
      <c r="D215" s="138">
        <v>2420000</v>
      </c>
      <c r="E215" s="20" t="s">
        <v>515</v>
      </c>
      <c r="F215" s="20" t="s">
        <v>516</v>
      </c>
      <c r="G215" s="8" t="str">
        <f t="shared" si="3"/>
        <v>HOLCOMB KAMDEN</v>
      </c>
    </row>
    <row r="216" spans="1:7" x14ac:dyDescent="0.25">
      <c r="A216" s="8">
        <v>42958.750127314815</v>
      </c>
      <c r="B216" s="20" t="s">
        <v>797</v>
      </c>
      <c r="C216" s="20" t="s">
        <v>819</v>
      </c>
      <c r="D216" s="138">
        <v>2370000</v>
      </c>
      <c r="E216" s="20" t="s">
        <v>513</v>
      </c>
      <c r="F216" s="20" t="s">
        <v>514</v>
      </c>
      <c r="G216" s="8" t="str">
        <f t="shared" si="3"/>
        <v>DELGADO DIANAH</v>
      </c>
    </row>
    <row r="217" spans="1:7" x14ac:dyDescent="0.25">
      <c r="A217" s="8">
        <v>42958.754004629627</v>
      </c>
      <c r="B217" s="20" t="s">
        <v>356</v>
      </c>
      <c r="C217" s="20" t="s">
        <v>820</v>
      </c>
      <c r="D217" s="138">
        <v>2730000</v>
      </c>
      <c r="E217" s="20" t="s">
        <v>487</v>
      </c>
      <c r="F217" s="20" t="s">
        <v>488</v>
      </c>
      <c r="G217" s="8" t="str">
        <f t="shared" si="3"/>
        <v>YANG JAN</v>
      </c>
    </row>
    <row r="218" spans="1:7" x14ac:dyDescent="0.25">
      <c r="A218" s="8">
        <v>42958.755231481482</v>
      </c>
      <c r="B218" s="20" t="s">
        <v>404</v>
      </c>
      <c r="C218" s="20" t="s">
        <v>821</v>
      </c>
      <c r="D218" s="138">
        <v>2540000</v>
      </c>
      <c r="E218" s="20" t="s">
        <v>788</v>
      </c>
      <c r="F218" s="20" t="s">
        <v>789</v>
      </c>
      <c r="G218" s="8" t="str">
        <f t="shared" si="3"/>
        <v>MCREYNOLDS KYLE</v>
      </c>
    </row>
    <row r="219" spans="1:7" x14ac:dyDescent="0.25">
      <c r="A219" s="8">
        <v>42958.758981481478</v>
      </c>
      <c r="B219" s="20" t="s">
        <v>550</v>
      </c>
      <c r="C219" s="20" t="s">
        <v>822</v>
      </c>
      <c r="D219" s="138">
        <v>2620000</v>
      </c>
      <c r="E219" s="20" t="s">
        <v>555</v>
      </c>
      <c r="F219" s="20" t="s">
        <v>556</v>
      </c>
      <c r="G219" s="8" t="str">
        <f t="shared" si="3"/>
        <v>PERKINS DARREN</v>
      </c>
    </row>
    <row r="220" spans="1:7" x14ac:dyDescent="0.25">
      <c r="A220" s="8">
        <v>42958.766446759262</v>
      </c>
      <c r="B220" s="20" t="s">
        <v>355</v>
      </c>
      <c r="C220" s="20" t="s">
        <v>823</v>
      </c>
      <c r="D220" s="138">
        <v>1300000</v>
      </c>
      <c r="E220" s="20" t="s">
        <v>476</v>
      </c>
      <c r="F220" s="20" t="s">
        <v>477</v>
      </c>
      <c r="G220" s="8" t="str">
        <f t="shared" si="3"/>
        <v>LEVIN SCOTT</v>
      </c>
    </row>
    <row r="221" spans="1:7" x14ac:dyDescent="0.25">
      <c r="A221" s="8">
        <v>42958.767974537041</v>
      </c>
      <c r="B221" s="20" t="s">
        <v>508</v>
      </c>
      <c r="C221" s="20" t="s">
        <v>824</v>
      </c>
      <c r="D221" s="138">
        <v>3200000</v>
      </c>
      <c r="E221" s="20" t="s">
        <v>816</v>
      </c>
      <c r="F221" s="20" t="s">
        <v>817</v>
      </c>
      <c r="G221" s="8" t="str">
        <f t="shared" si="3"/>
        <v>MILLER KEVIN</v>
      </c>
    </row>
    <row r="222" spans="1:7" x14ac:dyDescent="0.25">
      <c r="A222" s="8">
        <v>42958.769421296296</v>
      </c>
      <c r="B222" s="20" t="s">
        <v>402</v>
      </c>
      <c r="C222" s="20" t="s">
        <v>825</v>
      </c>
      <c r="D222" s="138">
        <v>2540000</v>
      </c>
      <c r="E222" s="20" t="s">
        <v>788</v>
      </c>
      <c r="F222" s="20" t="s">
        <v>789</v>
      </c>
      <c r="G222" s="8" t="str">
        <f t="shared" si="3"/>
        <v>MCREYNOLDS KYLE</v>
      </c>
    </row>
    <row r="223" spans="1:7" x14ac:dyDescent="0.25">
      <c r="A223" s="8">
        <v>42958.776388888888</v>
      </c>
      <c r="B223" s="20" t="s">
        <v>505</v>
      </c>
      <c r="C223" s="20" t="s">
        <v>826</v>
      </c>
      <c r="D223" s="138">
        <v>2370000</v>
      </c>
      <c r="E223" s="20" t="s">
        <v>513</v>
      </c>
      <c r="F223" s="20" t="s">
        <v>514</v>
      </c>
      <c r="G223" s="8" t="str">
        <f t="shared" si="3"/>
        <v>DELGADO DIANAH</v>
      </c>
    </row>
    <row r="224" spans="1:7" x14ac:dyDescent="0.25">
      <c r="A224" s="8">
        <v>42958.777604166666</v>
      </c>
      <c r="B224" t="s">
        <v>506</v>
      </c>
      <c r="C224" t="s">
        <v>827</v>
      </c>
      <c r="D224" s="138">
        <v>1540000</v>
      </c>
      <c r="E224" t="s">
        <v>472</v>
      </c>
      <c r="F224" s="20" t="s">
        <v>473</v>
      </c>
      <c r="G224" s="8" t="str">
        <f t="shared" si="3"/>
        <v>HELVIE ADAM</v>
      </c>
    </row>
    <row r="225" spans="1:7" x14ac:dyDescent="0.25">
      <c r="A225" s="8">
        <v>42958.778055555558</v>
      </c>
      <c r="B225" t="s">
        <v>447</v>
      </c>
      <c r="C225" t="s">
        <v>828</v>
      </c>
      <c r="D225" s="138">
        <v>3490000</v>
      </c>
      <c r="E225" t="s">
        <v>517</v>
      </c>
      <c r="F225" s="20" t="s">
        <v>518</v>
      </c>
      <c r="G225" s="8" t="str">
        <f t="shared" si="3"/>
        <v>WEST BRYAN</v>
      </c>
    </row>
    <row r="226" spans="1:7" x14ac:dyDescent="0.25">
      <c r="A226" s="8">
        <v>42958.784317129626</v>
      </c>
      <c r="B226" t="s">
        <v>605</v>
      </c>
      <c r="C226" t="s">
        <v>829</v>
      </c>
      <c r="D226" s="138">
        <v>2420000</v>
      </c>
      <c r="E226" t="s">
        <v>515</v>
      </c>
      <c r="F226" s="20" t="s">
        <v>516</v>
      </c>
      <c r="G226" s="8" t="str">
        <f t="shared" si="3"/>
        <v>HOLCOMB KAMDEN</v>
      </c>
    </row>
    <row r="227" spans="1:7" x14ac:dyDescent="0.25">
      <c r="A227" s="8">
        <v>42958.788101851853</v>
      </c>
      <c r="B227" t="s">
        <v>359</v>
      </c>
      <c r="C227" t="s">
        <v>638</v>
      </c>
      <c r="D227" s="138">
        <v>3090000</v>
      </c>
      <c r="E227" t="s">
        <v>362</v>
      </c>
      <c r="F227" s="20" t="s">
        <v>363</v>
      </c>
      <c r="G227" s="8" t="str">
        <f t="shared" si="3"/>
        <v>LAMAR NEKESHA</v>
      </c>
    </row>
    <row r="228" spans="1:7" x14ac:dyDescent="0.25">
      <c r="A228" s="8">
        <v>42958.795011574075</v>
      </c>
      <c r="B228" t="s">
        <v>548</v>
      </c>
      <c r="C228" t="s">
        <v>830</v>
      </c>
      <c r="D228" s="138">
        <v>2620000</v>
      </c>
      <c r="E228" t="s">
        <v>555</v>
      </c>
      <c r="F228" s="20" t="s">
        <v>556</v>
      </c>
      <c r="G228" s="8" t="str">
        <f t="shared" si="3"/>
        <v>PERKINS DARREN</v>
      </c>
    </row>
    <row r="229" spans="1:7" x14ac:dyDescent="0.25">
      <c r="A229" s="8">
        <v>42958.7971875</v>
      </c>
      <c r="B229" t="s">
        <v>404</v>
      </c>
      <c r="C229" t="s">
        <v>831</v>
      </c>
      <c r="D229" s="138">
        <v>2540000</v>
      </c>
      <c r="E229" t="s">
        <v>788</v>
      </c>
      <c r="F229" s="20" t="s">
        <v>789</v>
      </c>
      <c r="G229" s="8" t="str">
        <f t="shared" si="3"/>
        <v>MCREYNOLDS KYLE</v>
      </c>
    </row>
    <row r="230" spans="1:7" x14ac:dyDescent="0.25">
      <c r="A230" s="8">
        <v>42958.798159722224</v>
      </c>
      <c r="B230" t="s">
        <v>504</v>
      </c>
      <c r="C230" t="s">
        <v>636</v>
      </c>
      <c r="D230" s="138">
        <v>3200000</v>
      </c>
      <c r="E230" t="s">
        <v>816</v>
      </c>
      <c r="F230" s="20" t="s">
        <v>817</v>
      </c>
      <c r="G230" s="8" t="str">
        <f t="shared" si="3"/>
        <v>MILLER KEVIN</v>
      </c>
    </row>
    <row r="231" spans="1:7" x14ac:dyDescent="0.25">
      <c r="A231" s="8">
        <v>42958.798622685186</v>
      </c>
      <c r="B231" t="s">
        <v>361</v>
      </c>
      <c r="C231" t="s">
        <v>832</v>
      </c>
      <c r="D231" s="138">
        <v>1300000</v>
      </c>
      <c r="E231" t="s">
        <v>476</v>
      </c>
      <c r="F231" s="20" t="s">
        <v>477</v>
      </c>
      <c r="G231" s="8" t="str">
        <f t="shared" si="3"/>
        <v>LEVIN SCOTT</v>
      </c>
    </row>
    <row r="232" spans="1:7" x14ac:dyDescent="0.25">
      <c r="A232" s="8">
        <v>42958.803252314814</v>
      </c>
      <c r="B232" t="s">
        <v>797</v>
      </c>
      <c r="C232" t="s">
        <v>833</v>
      </c>
      <c r="D232" s="138">
        <v>2370000</v>
      </c>
      <c r="E232" t="s">
        <v>513</v>
      </c>
      <c r="F232" s="20" t="s">
        <v>514</v>
      </c>
      <c r="G232" s="8" t="str">
        <f t="shared" si="3"/>
        <v>DELGADO DIANAH</v>
      </c>
    </row>
    <row r="233" spans="1:7" x14ac:dyDescent="0.25">
      <c r="A233" s="8">
        <v>42958.803796296299</v>
      </c>
      <c r="B233" t="s">
        <v>797</v>
      </c>
      <c r="C233" t="s">
        <v>834</v>
      </c>
      <c r="D233" s="138">
        <v>2370000</v>
      </c>
      <c r="E233" t="s">
        <v>513</v>
      </c>
      <c r="F233" s="20" t="s">
        <v>514</v>
      </c>
      <c r="G233" s="8" t="str">
        <f t="shared" si="3"/>
        <v>DELGADO DIANAH</v>
      </c>
    </row>
    <row r="234" spans="1:7" x14ac:dyDescent="0.25">
      <c r="A234" s="8">
        <v>42958.810613425929</v>
      </c>
      <c r="B234" t="s">
        <v>501</v>
      </c>
      <c r="C234" t="s">
        <v>637</v>
      </c>
      <c r="D234" s="138">
        <v>1540000</v>
      </c>
      <c r="E234" t="s">
        <v>472</v>
      </c>
      <c r="F234" s="20" t="s">
        <v>473</v>
      </c>
      <c r="G234" s="8" t="str">
        <f t="shared" si="3"/>
        <v>HELVIE ADAM</v>
      </c>
    </row>
    <row r="235" spans="1:7" x14ac:dyDescent="0.25">
      <c r="A235" s="8">
        <v>42958.816655092596</v>
      </c>
      <c r="B235" t="s">
        <v>501</v>
      </c>
      <c r="C235" t="s">
        <v>637</v>
      </c>
      <c r="D235" s="138">
        <v>1540000</v>
      </c>
      <c r="E235" t="s">
        <v>472</v>
      </c>
      <c r="F235" s="20" t="s">
        <v>473</v>
      </c>
      <c r="G235" s="8" t="str">
        <f t="shared" si="3"/>
        <v>HELVIE ADAM</v>
      </c>
    </row>
    <row r="236" spans="1:7" x14ac:dyDescent="0.25">
      <c r="A236" s="8">
        <v>42958.816747685189</v>
      </c>
      <c r="B236" t="s">
        <v>505</v>
      </c>
      <c r="C236" t="s">
        <v>833</v>
      </c>
      <c r="D236" s="138">
        <v>2370000</v>
      </c>
      <c r="E236" t="s">
        <v>513</v>
      </c>
      <c r="F236" s="20" t="s">
        <v>514</v>
      </c>
      <c r="G236" s="8" t="str">
        <f t="shared" si="3"/>
        <v>DELGADO DIANAH</v>
      </c>
    </row>
    <row r="237" spans="1:7" x14ac:dyDescent="0.25">
      <c r="A237" s="8">
        <v>42958.81832175926</v>
      </c>
      <c r="B237" t="s">
        <v>611</v>
      </c>
      <c r="C237" t="s">
        <v>835</v>
      </c>
      <c r="D237" s="138">
        <v>2420000</v>
      </c>
      <c r="E237" t="s">
        <v>515</v>
      </c>
      <c r="F237" s="20" t="s">
        <v>516</v>
      </c>
      <c r="G237" s="8" t="str">
        <f t="shared" si="3"/>
        <v>HOLCOMB KAMDEN</v>
      </c>
    </row>
    <row r="238" spans="1:7" x14ac:dyDescent="0.25">
      <c r="A238" s="8">
        <v>42958.827199074076</v>
      </c>
      <c r="B238" t="s">
        <v>356</v>
      </c>
      <c r="C238" t="s">
        <v>836</v>
      </c>
      <c r="D238" s="138">
        <v>3090000</v>
      </c>
      <c r="E238" t="s">
        <v>362</v>
      </c>
      <c r="F238" s="20" t="s">
        <v>363</v>
      </c>
      <c r="G238" s="8" t="str">
        <f t="shared" si="3"/>
        <v>LAMAR NEKESHA</v>
      </c>
    </row>
    <row r="239" spans="1:7" x14ac:dyDescent="0.25">
      <c r="A239" s="8">
        <v>42958.82849537037</v>
      </c>
      <c r="B239" t="s">
        <v>550</v>
      </c>
      <c r="C239" t="s">
        <v>837</v>
      </c>
      <c r="D239" s="138">
        <v>2620000</v>
      </c>
      <c r="E239" t="s">
        <v>555</v>
      </c>
      <c r="F239" s="20" t="s">
        <v>556</v>
      </c>
      <c r="G239" s="8" t="str">
        <f t="shared" si="3"/>
        <v>PERKINS DARREN</v>
      </c>
    </row>
    <row r="240" spans="1:7" x14ac:dyDescent="0.25">
      <c r="A240" s="8">
        <v>42958.839409722219</v>
      </c>
      <c r="B240" t="s">
        <v>797</v>
      </c>
      <c r="C240" t="s">
        <v>838</v>
      </c>
      <c r="D240" s="138">
        <v>2370000</v>
      </c>
      <c r="E240" t="s">
        <v>513</v>
      </c>
      <c r="F240" s="20" t="s">
        <v>514</v>
      </c>
      <c r="G240" s="8" t="str">
        <f t="shared" si="3"/>
        <v>DELGADO DIANAH</v>
      </c>
    </row>
    <row r="241" spans="1:7" x14ac:dyDescent="0.25">
      <c r="A241" s="8">
        <v>42958.841851851852</v>
      </c>
      <c r="B241" t="s">
        <v>508</v>
      </c>
      <c r="C241" t="s">
        <v>839</v>
      </c>
      <c r="D241" s="138">
        <v>3000000</v>
      </c>
      <c r="E241" t="s">
        <v>380</v>
      </c>
      <c r="F241" s="20" t="s">
        <v>381</v>
      </c>
      <c r="G241" s="8" t="str">
        <f t="shared" si="3"/>
        <v>FORTUNATO FRANK</v>
      </c>
    </row>
    <row r="242" spans="1:7" x14ac:dyDescent="0.25">
      <c r="A242" s="8">
        <v>42958.849930555552</v>
      </c>
      <c r="B242" t="s">
        <v>506</v>
      </c>
      <c r="C242" t="s">
        <v>840</v>
      </c>
      <c r="D242" s="138">
        <v>1540000</v>
      </c>
      <c r="E242" t="s">
        <v>472</v>
      </c>
      <c r="F242" s="20" t="s">
        <v>473</v>
      </c>
      <c r="G242" s="8" t="str">
        <f t="shared" si="3"/>
        <v>HELVIE ADAM</v>
      </c>
    </row>
    <row r="243" spans="1:7" x14ac:dyDescent="0.25">
      <c r="A243" s="8">
        <v>42958.859386574077</v>
      </c>
      <c r="B243" t="s">
        <v>505</v>
      </c>
      <c r="C243" t="s">
        <v>841</v>
      </c>
      <c r="D243" s="138">
        <v>2370000</v>
      </c>
      <c r="E243" t="s">
        <v>513</v>
      </c>
      <c r="F243" s="20" t="s">
        <v>514</v>
      </c>
      <c r="G243" s="8" t="str">
        <f t="shared" si="3"/>
        <v>DELGADO DIANAH</v>
      </c>
    </row>
    <row r="244" spans="1:7" x14ac:dyDescent="0.25">
      <c r="A244" s="8">
        <v>42958.864976851852</v>
      </c>
      <c r="B244" t="s">
        <v>548</v>
      </c>
      <c r="C244" t="s">
        <v>842</v>
      </c>
      <c r="D244" s="138">
        <v>2620000</v>
      </c>
      <c r="E244" t="s">
        <v>555</v>
      </c>
      <c r="F244" s="20" t="s">
        <v>556</v>
      </c>
      <c r="G244" s="8" t="str">
        <f t="shared" si="3"/>
        <v>PERKINS DARREN</v>
      </c>
    </row>
    <row r="245" spans="1:7" x14ac:dyDescent="0.25">
      <c r="A245" s="8">
        <v>42958.866909722223</v>
      </c>
      <c r="B245" t="s">
        <v>359</v>
      </c>
      <c r="C245" t="s">
        <v>843</v>
      </c>
      <c r="D245" s="138">
        <v>3130000</v>
      </c>
      <c r="E245" t="s">
        <v>369</v>
      </c>
      <c r="F245" s="20" t="s">
        <v>370</v>
      </c>
      <c r="G245" s="8" t="str">
        <f t="shared" si="3"/>
        <v>ZEWDU DEREJE</v>
      </c>
    </row>
    <row r="246" spans="1:7" x14ac:dyDescent="0.25">
      <c r="A246" s="8">
        <v>42958.8825462963</v>
      </c>
      <c r="B246" t="s">
        <v>504</v>
      </c>
      <c r="C246" t="s">
        <v>844</v>
      </c>
      <c r="D246" s="138">
        <v>3000000</v>
      </c>
      <c r="E246" t="s">
        <v>380</v>
      </c>
      <c r="F246" s="20" t="s">
        <v>381</v>
      </c>
      <c r="G246" s="8" t="str">
        <f t="shared" si="3"/>
        <v>FORTUNATO FRANK</v>
      </c>
    </row>
    <row r="247" spans="1:7" x14ac:dyDescent="0.25">
      <c r="A247" s="8">
        <v>42958.884421296294</v>
      </c>
      <c r="B247" t="s">
        <v>797</v>
      </c>
      <c r="C247" t="s">
        <v>845</v>
      </c>
      <c r="D247" s="138">
        <v>2540000</v>
      </c>
      <c r="E247" t="s">
        <v>788</v>
      </c>
      <c r="F247" s="20" t="s">
        <v>789</v>
      </c>
      <c r="G247" s="8" t="str">
        <f t="shared" si="3"/>
        <v>MCREYNOLDS KYLE</v>
      </c>
    </row>
    <row r="248" spans="1:7" x14ac:dyDescent="0.25">
      <c r="A248" s="8">
        <v>42958.892592592594</v>
      </c>
      <c r="B248" t="s">
        <v>501</v>
      </c>
      <c r="C248" t="s">
        <v>846</v>
      </c>
      <c r="D248" s="138">
        <v>1540000</v>
      </c>
      <c r="E248" t="s">
        <v>472</v>
      </c>
      <c r="F248" s="20" t="s">
        <v>473</v>
      </c>
      <c r="G248" s="8" t="str">
        <f t="shared" si="3"/>
        <v>HELVIE ADAM</v>
      </c>
    </row>
    <row r="249" spans="1:7" x14ac:dyDescent="0.25">
      <c r="A249" s="8">
        <v>42958.902858796297</v>
      </c>
      <c r="B249" t="s">
        <v>505</v>
      </c>
      <c r="C249" t="s">
        <v>847</v>
      </c>
      <c r="D249" s="138">
        <v>2540000</v>
      </c>
      <c r="E249" t="s">
        <v>788</v>
      </c>
      <c r="F249" s="20" t="s">
        <v>789</v>
      </c>
      <c r="G249" s="8" t="str">
        <f t="shared" si="3"/>
        <v>MCREYNOLDS KYLE</v>
      </c>
    </row>
    <row r="250" spans="1:7" x14ac:dyDescent="0.25">
      <c r="A250" s="8">
        <v>42958.905624999999</v>
      </c>
      <c r="B250" t="s">
        <v>550</v>
      </c>
      <c r="C250" t="s">
        <v>848</v>
      </c>
      <c r="D250" s="138">
        <v>2620000</v>
      </c>
      <c r="E250" t="s">
        <v>555</v>
      </c>
      <c r="F250" s="20" t="s">
        <v>556</v>
      </c>
      <c r="G250" s="8" t="str">
        <f t="shared" si="3"/>
        <v>PERKINS DARREN</v>
      </c>
    </row>
    <row r="251" spans="1:7" x14ac:dyDescent="0.25">
      <c r="A251" s="8">
        <v>42958.911527777775</v>
      </c>
      <c r="B251" t="s">
        <v>356</v>
      </c>
      <c r="C251" t="s">
        <v>849</v>
      </c>
      <c r="D251" s="138">
        <v>3130000</v>
      </c>
      <c r="E251" t="s">
        <v>369</v>
      </c>
      <c r="F251" s="20" t="s">
        <v>370</v>
      </c>
      <c r="G251" s="8" t="str">
        <f t="shared" si="3"/>
        <v>ZEWDU DEREJE</v>
      </c>
    </row>
    <row r="252" spans="1:7" x14ac:dyDescent="0.25">
      <c r="A252" s="8">
        <v>42958.914965277778</v>
      </c>
      <c r="B252" t="s">
        <v>797</v>
      </c>
      <c r="C252" t="s">
        <v>850</v>
      </c>
      <c r="D252" s="138">
        <v>2540000</v>
      </c>
      <c r="E252" t="s">
        <v>788</v>
      </c>
      <c r="F252" s="20" t="s">
        <v>789</v>
      </c>
      <c r="G252" s="8" t="str">
        <f t="shared" si="3"/>
        <v>MCREYNOLDS KYLE</v>
      </c>
    </row>
    <row r="253" spans="1:7" x14ac:dyDescent="0.25">
      <c r="A253" s="8">
        <v>42958.924201388887</v>
      </c>
      <c r="B253" t="s">
        <v>508</v>
      </c>
      <c r="C253" t="s">
        <v>639</v>
      </c>
      <c r="D253" s="138">
        <v>3000000</v>
      </c>
      <c r="E253" t="s">
        <v>380</v>
      </c>
      <c r="F253" s="20" t="s">
        <v>381</v>
      </c>
      <c r="G253" s="8" t="str">
        <f t="shared" si="3"/>
        <v>FORTUNATO FRANK</v>
      </c>
    </row>
    <row r="254" spans="1:7" x14ac:dyDescent="0.25">
      <c r="A254" s="8">
        <v>42958.933136574073</v>
      </c>
      <c r="B254" t="s">
        <v>506</v>
      </c>
      <c r="C254" t="s">
        <v>851</v>
      </c>
      <c r="D254" s="138">
        <v>1540000</v>
      </c>
      <c r="E254" t="s">
        <v>472</v>
      </c>
      <c r="F254" s="20" t="s">
        <v>473</v>
      </c>
      <c r="G254" s="8" t="str">
        <f t="shared" si="3"/>
        <v>HELVIE ADAM</v>
      </c>
    </row>
    <row r="255" spans="1:7" x14ac:dyDescent="0.25">
      <c r="A255" s="8">
        <v>42958.943460648145</v>
      </c>
      <c r="B255" t="s">
        <v>505</v>
      </c>
      <c r="C255" t="s">
        <v>852</v>
      </c>
      <c r="D255" s="138">
        <v>2540000</v>
      </c>
      <c r="E255" t="s">
        <v>788</v>
      </c>
      <c r="F255" s="20" t="s">
        <v>789</v>
      </c>
      <c r="G255" s="8" t="str">
        <f t="shared" si="3"/>
        <v>MCREYNOLDS KYLE</v>
      </c>
    </row>
    <row r="256" spans="1:7" x14ac:dyDescent="0.25">
      <c r="A256" s="8">
        <v>42958.945694444446</v>
      </c>
      <c r="B256" t="s">
        <v>548</v>
      </c>
      <c r="C256" t="s">
        <v>853</v>
      </c>
      <c r="D256" s="138">
        <v>2620000</v>
      </c>
      <c r="E256" t="s">
        <v>555</v>
      </c>
      <c r="F256" s="20" t="s">
        <v>556</v>
      </c>
      <c r="G256" s="8" t="str">
        <f t="shared" si="3"/>
        <v>PERKINS DARREN</v>
      </c>
    </row>
    <row r="257" spans="1:7" x14ac:dyDescent="0.25">
      <c r="A257" s="8">
        <v>42958.948101851849</v>
      </c>
      <c r="B257" t="s">
        <v>356</v>
      </c>
      <c r="C257" t="s">
        <v>849</v>
      </c>
      <c r="D257" s="138">
        <v>3130000</v>
      </c>
      <c r="E257" t="s">
        <v>369</v>
      </c>
      <c r="F257" s="20" t="s">
        <v>370</v>
      </c>
      <c r="G257" s="8" t="str">
        <f t="shared" si="3"/>
        <v>ZEWDU DEREJE</v>
      </c>
    </row>
    <row r="258" spans="1:7" x14ac:dyDescent="0.25">
      <c r="A258" s="8">
        <v>42958.951736111114</v>
      </c>
      <c r="B258" t="s">
        <v>359</v>
      </c>
      <c r="C258" t="s">
        <v>854</v>
      </c>
      <c r="D258" s="138">
        <v>3090000</v>
      </c>
      <c r="E258" t="s">
        <v>362</v>
      </c>
      <c r="F258" s="20" t="s">
        <v>363</v>
      </c>
      <c r="G258" s="8" t="str">
        <f t="shared" si="3"/>
        <v>LAMAR NEKESHA</v>
      </c>
    </row>
    <row r="259" spans="1:7" x14ac:dyDescent="0.25">
      <c r="A259" s="8">
        <v>42958.968541666669</v>
      </c>
      <c r="B259" t="s">
        <v>504</v>
      </c>
      <c r="C259" t="s">
        <v>855</v>
      </c>
      <c r="D259" s="138">
        <v>3000000</v>
      </c>
      <c r="E259" t="s">
        <v>380</v>
      </c>
      <c r="F259" s="20" t="s">
        <v>381</v>
      </c>
      <c r="G259" s="8" t="str">
        <f t="shared" ref="G259:G322" si="4">E259&amp;" "&amp;F259</f>
        <v>FORTUNATO FRANK</v>
      </c>
    </row>
    <row r="260" spans="1:7" x14ac:dyDescent="0.25">
      <c r="A260" s="8">
        <v>42958.97729166667</v>
      </c>
      <c r="B260" t="s">
        <v>501</v>
      </c>
      <c r="C260" t="s">
        <v>856</v>
      </c>
      <c r="D260" s="138">
        <v>1540000</v>
      </c>
      <c r="E260" t="s">
        <v>472</v>
      </c>
      <c r="F260" s="20" t="s">
        <v>473</v>
      </c>
      <c r="G260" s="8" t="str">
        <f t="shared" si="4"/>
        <v>HELVIE ADAM</v>
      </c>
    </row>
    <row r="261" spans="1:7" x14ac:dyDescent="0.25">
      <c r="A261" s="8">
        <v>42958.989872685182</v>
      </c>
      <c r="B261" t="s">
        <v>550</v>
      </c>
      <c r="C261" t="s">
        <v>857</v>
      </c>
      <c r="D261" s="138">
        <v>2620000</v>
      </c>
      <c r="E261" t="s">
        <v>555</v>
      </c>
      <c r="F261" s="20" t="s">
        <v>556</v>
      </c>
      <c r="G261" s="8" t="str">
        <f t="shared" si="4"/>
        <v>PERKINS DARREN</v>
      </c>
    </row>
    <row r="262" spans="1:7" x14ac:dyDescent="0.25">
      <c r="A262" s="8">
        <v>42958.995312500003</v>
      </c>
      <c r="B262" t="s">
        <v>356</v>
      </c>
      <c r="C262" t="s">
        <v>858</v>
      </c>
      <c r="D262" s="138">
        <v>3090000</v>
      </c>
      <c r="E262" t="s">
        <v>362</v>
      </c>
      <c r="F262" s="20" t="s">
        <v>363</v>
      </c>
      <c r="G262" s="8" t="str">
        <f t="shared" si="4"/>
        <v>LAMAR NEKESHA</v>
      </c>
    </row>
    <row r="263" spans="1:7" x14ac:dyDescent="0.25">
      <c r="A263" s="8">
        <v>42959.012604166666</v>
      </c>
      <c r="B263" t="s">
        <v>506</v>
      </c>
      <c r="C263" t="s">
        <v>859</v>
      </c>
      <c r="D263" s="138">
        <v>1540000</v>
      </c>
      <c r="E263" t="s">
        <v>472</v>
      </c>
      <c r="F263" s="20" t="s">
        <v>473</v>
      </c>
      <c r="G263" s="8" t="str">
        <f t="shared" si="4"/>
        <v>HELVIE ADAM</v>
      </c>
    </row>
    <row r="264" spans="1:7" x14ac:dyDescent="0.25">
      <c r="A264" s="8">
        <v>42959.014965277776</v>
      </c>
      <c r="B264" t="s">
        <v>508</v>
      </c>
      <c r="C264" t="s">
        <v>860</v>
      </c>
      <c r="D264" s="138">
        <v>3000000</v>
      </c>
      <c r="E264" t="s">
        <v>380</v>
      </c>
      <c r="F264" s="20" t="s">
        <v>381</v>
      </c>
      <c r="G264" s="8" t="str">
        <f t="shared" si="4"/>
        <v>FORTUNATO FRANK</v>
      </c>
    </row>
    <row r="265" spans="1:7" x14ac:dyDescent="0.25">
      <c r="A265" s="8">
        <v>42959.028414351851</v>
      </c>
      <c r="B265" t="s">
        <v>548</v>
      </c>
      <c r="C265" t="s">
        <v>861</v>
      </c>
      <c r="D265" s="138">
        <v>2620000</v>
      </c>
      <c r="E265" t="s">
        <v>555</v>
      </c>
      <c r="F265" s="20" t="s">
        <v>556</v>
      </c>
      <c r="G265" s="8" t="str">
        <f t="shared" si="4"/>
        <v>PERKINS DARREN</v>
      </c>
    </row>
    <row r="266" spans="1:7" x14ac:dyDescent="0.25">
      <c r="A266" s="8">
        <v>42959.040162037039</v>
      </c>
      <c r="B266" t="s">
        <v>359</v>
      </c>
      <c r="C266" t="s">
        <v>862</v>
      </c>
      <c r="D266" s="138">
        <v>3090000</v>
      </c>
      <c r="E266" t="s">
        <v>362</v>
      </c>
      <c r="F266" s="20" t="s">
        <v>363</v>
      </c>
      <c r="G266" s="8" t="str">
        <f t="shared" si="4"/>
        <v>LAMAR NEKESHA</v>
      </c>
    </row>
    <row r="267" spans="1:7" x14ac:dyDescent="0.25">
      <c r="A267" s="8">
        <v>42959.047361111108</v>
      </c>
      <c r="B267" t="s">
        <v>501</v>
      </c>
      <c r="C267" t="s">
        <v>863</v>
      </c>
      <c r="D267" s="138">
        <v>1540000</v>
      </c>
      <c r="E267" t="s">
        <v>472</v>
      </c>
      <c r="F267" s="20" t="s">
        <v>473</v>
      </c>
      <c r="G267" s="8" t="str">
        <f t="shared" si="4"/>
        <v>HELVIE ADAM</v>
      </c>
    </row>
    <row r="268" spans="1:7" x14ac:dyDescent="0.25">
      <c r="A268" s="8">
        <v>42959.049212962964</v>
      </c>
      <c r="B268" t="s">
        <v>504</v>
      </c>
      <c r="C268" t="s">
        <v>864</v>
      </c>
      <c r="D268" s="138">
        <v>3000000</v>
      </c>
      <c r="E268" t="s">
        <v>380</v>
      </c>
      <c r="F268" s="20" t="s">
        <v>381</v>
      </c>
      <c r="G268" s="8" t="str">
        <f t="shared" si="4"/>
        <v>FORTUNATO FRANK</v>
      </c>
    </row>
    <row r="269" spans="1:7" x14ac:dyDescent="0.25">
      <c r="A269" s="8">
        <v>42959.068518518521</v>
      </c>
      <c r="B269" t="s">
        <v>550</v>
      </c>
      <c r="C269" t="s">
        <v>640</v>
      </c>
      <c r="D269" s="138">
        <v>2620000</v>
      </c>
      <c r="E269" t="s">
        <v>555</v>
      </c>
      <c r="F269" s="20" t="s">
        <v>556</v>
      </c>
      <c r="G269" s="8" t="str">
        <f t="shared" si="4"/>
        <v>PERKINS DARREN</v>
      </c>
    </row>
    <row r="270" spans="1:7" x14ac:dyDescent="0.25">
      <c r="A270" s="8">
        <v>42959.078622685185</v>
      </c>
      <c r="B270" t="s">
        <v>356</v>
      </c>
      <c r="C270" t="s">
        <v>865</v>
      </c>
      <c r="D270" s="138">
        <v>3090000</v>
      </c>
      <c r="E270" t="s">
        <v>362</v>
      </c>
      <c r="F270" s="20" t="s">
        <v>363</v>
      </c>
      <c r="G270" s="8" t="str">
        <f t="shared" si="4"/>
        <v>LAMAR NEKESHA</v>
      </c>
    </row>
    <row r="271" spans="1:7" x14ac:dyDescent="0.25">
      <c r="A271" s="8">
        <v>42959.089513888888</v>
      </c>
      <c r="B271" t="s">
        <v>508</v>
      </c>
      <c r="C271" t="s">
        <v>866</v>
      </c>
      <c r="D271" s="138">
        <v>3000000</v>
      </c>
      <c r="E271" t="s">
        <v>380</v>
      </c>
      <c r="F271" s="20" t="s">
        <v>381</v>
      </c>
      <c r="G271" s="8" t="str">
        <f t="shared" si="4"/>
        <v>FORTUNATO FRANK</v>
      </c>
    </row>
    <row r="272" spans="1:7" x14ac:dyDescent="0.25">
      <c r="A272" s="8">
        <v>42959.110532407409</v>
      </c>
      <c r="B272" t="s">
        <v>359</v>
      </c>
      <c r="C272" t="s">
        <v>867</v>
      </c>
      <c r="D272" s="138">
        <v>3090000</v>
      </c>
      <c r="E272" t="s">
        <v>362</v>
      </c>
      <c r="F272" s="20" t="s">
        <v>363</v>
      </c>
      <c r="G272" s="8" t="str">
        <f t="shared" si="4"/>
        <v>LAMAR NEKESHA</v>
      </c>
    </row>
    <row r="273" spans="1:7" x14ac:dyDescent="0.25">
      <c r="A273" s="8">
        <v>42959.114212962966</v>
      </c>
      <c r="B273" t="s">
        <v>408</v>
      </c>
      <c r="C273" t="s">
        <v>868</v>
      </c>
      <c r="D273" s="138">
        <v>2010000</v>
      </c>
      <c r="E273" t="s">
        <v>869</v>
      </c>
      <c r="F273" s="20" t="s">
        <v>870</v>
      </c>
      <c r="G273" s="8" t="str">
        <f t="shared" si="4"/>
        <v>MAELZER KURT</v>
      </c>
    </row>
    <row r="274" spans="1:7" x14ac:dyDescent="0.25">
      <c r="A274" s="8">
        <v>42921.910995370374</v>
      </c>
      <c r="B274" t="s">
        <v>410</v>
      </c>
      <c r="C274" t="s">
        <v>412</v>
      </c>
      <c r="D274" s="138">
        <v>3000000</v>
      </c>
      <c r="E274" t="s">
        <v>380</v>
      </c>
      <c r="F274" s="20" t="s">
        <v>381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386</v>
      </c>
      <c r="C275" t="s">
        <v>413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385</v>
      </c>
      <c r="C276" t="s">
        <v>414</v>
      </c>
      <c r="D276" s="138">
        <v>2000000</v>
      </c>
      <c r="E276" t="s">
        <v>390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404</v>
      </c>
      <c r="C277" t="s">
        <v>415</v>
      </c>
      <c r="D277" s="138">
        <v>2090000</v>
      </c>
      <c r="E277" t="s">
        <v>389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376</v>
      </c>
      <c r="C278" t="s">
        <v>416</v>
      </c>
      <c r="D278" s="138">
        <v>3090000</v>
      </c>
      <c r="E278" t="s">
        <v>362</v>
      </c>
      <c r="F278" s="20" t="s">
        <v>363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384</v>
      </c>
      <c r="C279" t="s">
        <v>417</v>
      </c>
      <c r="D279" s="138">
        <v>2000000</v>
      </c>
      <c r="E279" t="s">
        <v>390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409</v>
      </c>
      <c r="C280" t="s">
        <v>418</v>
      </c>
      <c r="D280" s="138">
        <v>3000000</v>
      </c>
      <c r="E280" t="s">
        <v>380</v>
      </c>
      <c r="F280" s="20" t="s">
        <v>381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387</v>
      </c>
      <c r="C281" t="s">
        <v>419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385</v>
      </c>
      <c r="C282" t="s">
        <v>417</v>
      </c>
      <c r="D282" s="138">
        <v>2000000</v>
      </c>
      <c r="E282" t="s">
        <v>390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402</v>
      </c>
      <c r="C283" t="s">
        <v>420</v>
      </c>
      <c r="D283" s="138">
        <v>2090000</v>
      </c>
      <c r="E283" t="s">
        <v>389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348</v>
      </c>
      <c r="C284" t="s">
        <v>421</v>
      </c>
      <c r="D284" s="138">
        <v>2610000</v>
      </c>
      <c r="E284" t="s">
        <v>378</v>
      </c>
      <c r="F284" s="20" t="s">
        <v>379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408</v>
      </c>
      <c r="C285" t="s">
        <v>422</v>
      </c>
      <c r="D285" s="138">
        <v>2610000</v>
      </c>
      <c r="E285" t="s">
        <v>378</v>
      </c>
      <c r="F285" s="20" t="s">
        <v>379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405</v>
      </c>
      <c r="C286" t="s">
        <v>423</v>
      </c>
      <c r="D286" s="138">
        <v>3090000</v>
      </c>
      <c r="E286" t="s">
        <v>362</v>
      </c>
      <c r="F286" s="20" t="s">
        <v>363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410</v>
      </c>
      <c r="C287" t="s">
        <v>424</v>
      </c>
      <c r="D287" s="138">
        <v>3000000</v>
      </c>
      <c r="E287" t="s">
        <v>380</v>
      </c>
      <c r="F287" s="20" t="s">
        <v>381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348</v>
      </c>
      <c r="C288" t="s">
        <v>425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404</v>
      </c>
      <c r="C289" t="s">
        <v>411</v>
      </c>
      <c r="D289" s="138">
        <v>2090000</v>
      </c>
      <c r="E289" t="s">
        <v>389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376</v>
      </c>
      <c r="C290" t="s">
        <v>426</v>
      </c>
      <c r="D290" s="138">
        <v>3090000</v>
      </c>
      <c r="E290" t="s">
        <v>362</v>
      </c>
      <c r="F290" s="20" t="s">
        <v>363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409</v>
      </c>
      <c r="C291" t="s">
        <v>427</v>
      </c>
      <c r="D291" s="138">
        <v>3000000</v>
      </c>
      <c r="E291" t="s">
        <v>380</v>
      </c>
      <c r="F291" s="20" t="s">
        <v>381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402</v>
      </c>
      <c r="C292" t="s">
        <v>428</v>
      </c>
      <c r="D292" s="138">
        <v>2090000</v>
      </c>
      <c r="E292" t="s">
        <v>389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405</v>
      </c>
      <c r="C293" t="s">
        <v>429</v>
      </c>
      <c r="D293" s="138">
        <v>3090000</v>
      </c>
      <c r="E293" t="s">
        <v>362</v>
      </c>
      <c r="F293" s="20" t="s">
        <v>363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348</v>
      </c>
      <c r="C294" t="s">
        <v>430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376</v>
      </c>
      <c r="C295" t="s">
        <v>431</v>
      </c>
      <c r="D295" s="138">
        <v>3090000</v>
      </c>
      <c r="E295" t="s">
        <v>362</v>
      </c>
      <c r="F295" s="20" t="s">
        <v>363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376</v>
      </c>
      <c r="C296" t="s">
        <v>431</v>
      </c>
      <c r="D296" s="138">
        <v>3090000</v>
      </c>
      <c r="E296" t="s">
        <v>362</v>
      </c>
      <c r="F296" s="20" t="s">
        <v>363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376</v>
      </c>
      <c r="C297" t="s">
        <v>431</v>
      </c>
      <c r="D297" s="138">
        <v>3090000</v>
      </c>
      <c r="E297" t="s">
        <v>362</v>
      </c>
      <c r="F297" s="20" t="s">
        <v>363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348</v>
      </c>
      <c r="C298" t="s">
        <v>371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355</v>
      </c>
      <c r="C299" t="s">
        <v>357</v>
      </c>
      <c r="D299" s="138">
        <v>2970000</v>
      </c>
      <c r="E299" t="s">
        <v>364</v>
      </c>
      <c r="F299" s="20" t="s">
        <v>365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356</v>
      </c>
      <c r="C300" t="s">
        <v>360</v>
      </c>
      <c r="D300" s="138">
        <v>3130000</v>
      </c>
      <c r="E300" t="s">
        <v>369</v>
      </c>
      <c r="F300" s="20" t="s">
        <v>370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355</v>
      </c>
      <c r="C301" t="s">
        <v>357</v>
      </c>
      <c r="D301" s="138">
        <v>2970000</v>
      </c>
      <c r="E301" t="s">
        <v>364</v>
      </c>
      <c r="F301" s="20" t="s">
        <v>365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352</v>
      </c>
      <c r="C302" t="s">
        <v>358</v>
      </c>
      <c r="D302" s="138">
        <v>3040000</v>
      </c>
      <c r="E302" t="s">
        <v>367</v>
      </c>
      <c r="F302" s="20" t="s">
        <v>368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352</v>
      </c>
      <c r="C303" t="s">
        <v>358</v>
      </c>
      <c r="D303" s="138">
        <v>3040000</v>
      </c>
      <c r="E303" t="s">
        <v>367</v>
      </c>
      <c r="F303" s="20" t="s">
        <v>368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372</v>
      </c>
      <c r="D304" s="138">
        <v>3030000</v>
      </c>
      <c r="E304" t="s">
        <v>366</v>
      </c>
      <c r="F304" s="20" t="s">
        <v>354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361</v>
      </c>
      <c r="C305" t="s">
        <v>357</v>
      </c>
      <c r="D305" s="138">
        <v>2970000</v>
      </c>
      <c r="E305" t="s">
        <v>364</v>
      </c>
      <c r="F305" s="20" t="s">
        <v>365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355</v>
      </c>
      <c r="C306" t="s">
        <v>357</v>
      </c>
      <c r="D306" s="138">
        <v>2970000</v>
      </c>
      <c r="E306" t="s">
        <v>364</v>
      </c>
      <c r="F306" s="20" t="s">
        <v>365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353</v>
      </c>
      <c r="C307" t="s">
        <v>358</v>
      </c>
      <c r="D307" s="138">
        <v>3040000</v>
      </c>
      <c r="E307" t="s">
        <v>367</v>
      </c>
      <c r="F307" s="20" t="s">
        <v>368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359</v>
      </c>
      <c r="C308" t="s">
        <v>373</v>
      </c>
      <c r="D308" s="138">
        <v>3130000</v>
      </c>
      <c r="E308" t="s">
        <v>369</v>
      </c>
      <c r="F308" s="20" t="s">
        <v>370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352</v>
      </c>
      <c r="C309" t="s">
        <v>358</v>
      </c>
      <c r="D309" s="138">
        <v>3040000</v>
      </c>
      <c r="E309" t="s">
        <v>367</v>
      </c>
      <c r="F309" s="20" t="s">
        <v>368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361</v>
      </c>
      <c r="C310" t="s">
        <v>357</v>
      </c>
      <c r="D310" s="138">
        <v>2970000</v>
      </c>
      <c r="E310" t="s">
        <v>364</v>
      </c>
      <c r="F310" s="20" t="s">
        <v>365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355</v>
      </c>
      <c r="C311" t="s">
        <v>357</v>
      </c>
      <c r="D311" s="138">
        <v>2970000</v>
      </c>
      <c r="E311" t="s">
        <v>364</v>
      </c>
      <c r="F311" s="20" t="s">
        <v>365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/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391</v>
      </c>
      <c r="O1" s="171" t="s">
        <v>156</v>
      </c>
      <c r="P1" s="171" t="s">
        <v>163</v>
      </c>
      <c r="Q1" s="171" t="s">
        <v>392</v>
      </c>
      <c r="R1" s="171" t="s">
        <v>160</v>
      </c>
      <c r="S1"/>
    </row>
    <row r="2" spans="1:19" x14ac:dyDescent="0.25">
      <c r="A2" s="172">
        <v>59.32</v>
      </c>
      <c r="B2" s="172">
        <v>0.35</v>
      </c>
      <c r="C2" s="172">
        <v>55.25</v>
      </c>
      <c r="D2" s="8">
        <v>42958</v>
      </c>
      <c r="E2" s="172">
        <v>0.86</v>
      </c>
      <c r="F2" s="172" t="s">
        <v>460</v>
      </c>
      <c r="G2" s="172">
        <v>286.19</v>
      </c>
      <c r="H2" s="172">
        <v>0</v>
      </c>
      <c r="I2" s="172">
        <v>0</v>
      </c>
      <c r="J2" s="172">
        <v>1021.12</v>
      </c>
      <c r="K2" s="172" t="s">
        <v>461</v>
      </c>
      <c r="L2" s="172">
        <v>59.32</v>
      </c>
      <c r="M2" s="172">
        <v>1502431200</v>
      </c>
      <c r="N2" s="172">
        <v>0</v>
      </c>
      <c r="O2" s="172">
        <v>2.78</v>
      </c>
      <c r="P2" s="172">
        <v>98</v>
      </c>
      <c r="Q2" s="172">
        <v>2.08</v>
      </c>
      <c r="R2" s="172">
        <v>0.6</v>
      </c>
      <c r="S2"/>
    </row>
    <row r="3" spans="1:19" x14ac:dyDescent="0.25">
      <c r="A3" s="172">
        <v>58.07</v>
      </c>
      <c r="B3" s="172">
        <v>0.25</v>
      </c>
      <c r="C3" s="172">
        <v>54.81</v>
      </c>
      <c r="D3" s="8">
        <v>42958.041666666664</v>
      </c>
      <c r="E3" s="172">
        <v>0.89</v>
      </c>
      <c r="F3" s="172" t="s">
        <v>460</v>
      </c>
      <c r="G3" s="172">
        <v>285.83999999999997</v>
      </c>
      <c r="H3" s="172">
        <v>0</v>
      </c>
      <c r="I3" s="172">
        <v>0</v>
      </c>
      <c r="J3" s="172">
        <v>1020.93</v>
      </c>
      <c r="K3" s="172" t="s">
        <v>461</v>
      </c>
      <c r="L3" s="172">
        <v>58.07</v>
      </c>
      <c r="M3" s="172">
        <v>1502434800</v>
      </c>
      <c r="N3" s="172">
        <v>0</v>
      </c>
      <c r="O3" s="172">
        <v>2.37</v>
      </c>
      <c r="P3" s="172">
        <v>118</v>
      </c>
      <c r="Q3" s="172">
        <v>2.5299999999999998</v>
      </c>
      <c r="R3" s="172">
        <v>0.97</v>
      </c>
      <c r="S3"/>
    </row>
    <row r="4" spans="1:19" x14ac:dyDescent="0.25">
      <c r="A4" s="172">
        <v>57.14</v>
      </c>
      <c r="B4" s="172">
        <v>0.52</v>
      </c>
      <c r="C4" s="172">
        <v>54.37</v>
      </c>
      <c r="D4" s="8">
        <v>42958.083333333336</v>
      </c>
      <c r="E4" s="172">
        <v>0.9</v>
      </c>
      <c r="F4" s="172" t="s">
        <v>460</v>
      </c>
      <c r="G4" s="172">
        <v>285.73</v>
      </c>
      <c r="H4" s="172">
        <v>0</v>
      </c>
      <c r="I4" s="172">
        <v>0</v>
      </c>
      <c r="J4" s="172">
        <v>1020.59</v>
      </c>
      <c r="K4" s="172" t="s">
        <v>461</v>
      </c>
      <c r="L4" s="172">
        <v>57.14</v>
      </c>
      <c r="M4" s="172">
        <v>1502438400</v>
      </c>
      <c r="N4" s="172">
        <v>0</v>
      </c>
      <c r="O4" s="172">
        <v>2.2799999999999998</v>
      </c>
      <c r="P4" s="172">
        <v>102</v>
      </c>
      <c r="Q4" s="172">
        <v>2.4500000000000002</v>
      </c>
      <c r="R4" s="172">
        <v>0.95</v>
      </c>
      <c r="S4"/>
    </row>
    <row r="5" spans="1:19" x14ac:dyDescent="0.25">
      <c r="A5" s="172">
        <v>57.09</v>
      </c>
      <c r="B5" s="172">
        <v>0.56999999999999995</v>
      </c>
      <c r="C5" s="172">
        <v>54.41</v>
      </c>
      <c r="D5" s="8">
        <v>42958.125</v>
      </c>
      <c r="E5" s="172">
        <v>0.91</v>
      </c>
      <c r="F5" s="172" t="s">
        <v>460</v>
      </c>
      <c r="G5" s="172">
        <v>285.61</v>
      </c>
      <c r="H5" s="172">
        <v>0</v>
      </c>
      <c r="I5" s="172">
        <v>0</v>
      </c>
      <c r="J5" s="172">
        <v>1020.25</v>
      </c>
      <c r="K5" s="172" t="s">
        <v>461</v>
      </c>
      <c r="L5" s="172">
        <v>57.09</v>
      </c>
      <c r="M5" s="172">
        <v>1502442000</v>
      </c>
      <c r="N5" s="172">
        <v>0</v>
      </c>
      <c r="O5" s="172">
        <v>2.2599999999999998</v>
      </c>
      <c r="P5" s="172">
        <v>80</v>
      </c>
      <c r="Q5" s="172">
        <v>2.19</v>
      </c>
      <c r="R5" s="172">
        <v>0.56999999999999995</v>
      </c>
      <c r="S5"/>
    </row>
    <row r="6" spans="1:19" x14ac:dyDescent="0.25">
      <c r="A6" s="172">
        <v>56.37</v>
      </c>
      <c r="B6" s="172">
        <v>0.59</v>
      </c>
      <c r="C6" s="172">
        <v>53.64</v>
      </c>
      <c r="D6" s="8">
        <v>42958.166666666664</v>
      </c>
      <c r="E6" s="172">
        <v>0.91</v>
      </c>
      <c r="F6" s="172" t="s">
        <v>460</v>
      </c>
      <c r="G6" s="172">
        <v>285.5</v>
      </c>
      <c r="H6" s="172">
        <v>0</v>
      </c>
      <c r="I6" s="172">
        <v>0</v>
      </c>
      <c r="J6" s="172">
        <v>1020</v>
      </c>
      <c r="K6" s="172" t="s">
        <v>461</v>
      </c>
      <c r="L6" s="172">
        <v>56.37</v>
      </c>
      <c r="M6" s="172">
        <v>1502445600</v>
      </c>
      <c r="N6" s="172">
        <v>0</v>
      </c>
      <c r="O6" s="172">
        <v>2.21</v>
      </c>
      <c r="P6" s="172">
        <v>72</v>
      </c>
      <c r="Q6" s="172">
        <v>1.81</v>
      </c>
      <c r="R6" s="172">
        <v>0.43</v>
      </c>
      <c r="S6"/>
    </row>
    <row r="7" spans="1:19" x14ac:dyDescent="0.25">
      <c r="A7" s="172">
        <v>55.67</v>
      </c>
      <c r="B7" s="172">
        <v>0.64</v>
      </c>
      <c r="C7" s="172">
        <v>53.31</v>
      </c>
      <c r="D7" s="8">
        <v>42958.208333333336</v>
      </c>
      <c r="E7" s="172">
        <v>0.92</v>
      </c>
      <c r="F7" s="172" t="s">
        <v>460</v>
      </c>
      <c r="G7" s="172">
        <v>285.51</v>
      </c>
      <c r="H7" s="172">
        <v>0</v>
      </c>
      <c r="I7" s="172">
        <v>0</v>
      </c>
      <c r="J7" s="172">
        <v>1020</v>
      </c>
      <c r="K7" s="172" t="s">
        <v>462</v>
      </c>
      <c r="L7" s="172">
        <v>55.67</v>
      </c>
      <c r="M7" s="172">
        <v>1502449200</v>
      </c>
      <c r="N7" s="172">
        <v>0</v>
      </c>
      <c r="O7" s="172">
        <v>2.19</v>
      </c>
      <c r="P7" s="172">
        <v>350</v>
      </c>
      <c r="Q7" s="172">
        <v>1.83</v>
      </c>
      <c r="R7" s="172">
        <v>0.31</v>
      </c>
      <c r="S7"/>
    </row>
    <row r="8" spans="1:19" x14ac:dyDescent="0.25">
      <c r="A8" s="172">
        <v>55.15</v>
      </c>
      <c r="B8" s="172">
        <v>0.56999999999999995</v>
      </c>
      <c r="C8" s="172">
        <v>52.96</v>
      </c>
      <c r="D8" s="8">
        <v>42958.25</v>
      </c>
      <c r="E8" s="172">
        <v>0.92</v>
      </c>
      <c r="F8" s="172" t="s">
        <v>460</v>
      </c>
      <c r="G8" s="172">
        <v>284.35000000000002</v>
      </c>
      <c r="H8" s="172">
        <v>0</v>
      </c>
      <c r="I8" s="172">
        <v>0</v>
      </c>
      <c r="J8" s="172">
        <v>1020.44</v>
      </c>
      <c r="K8" s="172" t="s">
        <v>461</v>
      </c>
      <c r="L8" s="172">
        <v>55.15</v>
      </c>
      <c r="M8" s="172">
        <v>1502452800</v>
      </c>
      <c r="N8" s="172">
        <v>0</v>
      </c>
      <c r="O8" s="172">
        <v>2.4700000000000002</v>
      </c>
      <c r="P8" s="172">
        <v>332</v>
      </c>
      <c r="Q8" s="172">
        <v>2.0099999999999998</v>
      </c>
      <c r="R8" s="172">
        <v>0.51</v>
      </c>
      <c r="S8"/>
    </row>
    <row r="9" spans="1:19" x14ac:dyDescent="0.25">
      <c r="A9" s="172">
        <v>55.64</v>
      </c>
      <c r="B9" s="172">
        <v>0.4</v>
      </c>
      <c r="C9" s="172">
        <v>53.49</v>
      </c>
      <c r="D9" s="8">
        <v>42958.291666666664</v>
      </c>
      <c r="E9" s="172">
        <v>0.92</v>
      </c>
      <c r="F9" s="172" t="s">
        <v>464</v>
      </c>
      <c r="G9" s="172">
        <v>284.81</v>
      </c>
      <c r="H9" s="172">
        <v>0</v>
      </c>
      <c r="I9" s="172">
        <v>0</v>
      </c>
      <c r="J9" s="172">
        <v>1020.31</v>
      </c>
      <c r="K9" s="172" t="s">
        <v>461</v>
      </c>
      <c r="L9" s="172">
        <v>55.64</v>
      </c>
      <c r="M9" s="172">
        <v>1502456400</v>
      </c>
      <c r="N9" s="172">
        <v>0</v>
      </c>
      <c r="O9" s="172">
        <v>2.71</v>
      </c>
      <c r="P9" s="172">
        <v>330</v>
      </c>
      <c r="Q9" s="172">
        <v>2.7</v>
      </c>
      <c r="R9" s="172">
        <v>0.55000000000000004</v>
      </c>
      <c r="S9"/>
    </row>
    <row r="10" spans="1:19" x14ac:dyDescent="0.25">
      <c r="A10" s="172">
        <v>57.4</v>
      </c>
      <c r="B10" s="172">
        <v>0.57999999999999996</v>
      </c>
      <c r="C10" s="172">
        <v>54.73</v>
      </c>
      <c r="D10" s="8">
        <v>42958.333333333336</v>
      </c>
      <c r="E10" s="172">
        <v>0.91</v>
      </c>
      <c r="F10" s="172" t="s">
        <v>464</v>
      </c>
      <c r="G10" s="172">
        <v>285.63</v>
      </c>
      <c r="H10" s="172">
        <v>0</v>
      </c>
      <c r="I10" s="172">
        <v>0</v>
      </c>
      <c r="J10" s="172">
        <v>1020.27</v>
      </c>
      <c r="K10" s="172" t="s">
        <v>461</v>
      </c>
      <c r="L10" s="172">
        <v>57.4</v>
      </c>
      <c r="M10" s="172">
        <v>1502460000</v>
      </c>
      <c r="N10" s="172">
        <v>1</v>
      </c>
      <c r="O10" s="172">
        <v>2.6</v>
      </c>
      <c r="P10" s="172">
        <v>309</v>
      </c>
      <c r="Q10" s="172">
        <v>3.49</v>
      </c>
      <c r="R10" s="172">
        <v>0.99</v>
      </c>
      <c r="S10"/>
    </row>
    <row r="11" spans="1:19" x14ac:dyDescent="0.25">
      <c r="A11" s="172">
        <v>60.06</v>
      </c>
      <c r="B11" s="172">
        <v>0.63</v>
      </c>
      <c r="C11" s="172">
        <v>55.62</v>
      </c>
      <c r="D11" s="8">
        <v>42958.375</v>
      </c>
      <c r="E11" s="172">
        <v>0.85</v>
      </c>
      <c r="F11" s="172" t="s">
        <v>464</v>
      </c>
      <c r="G11" s="172">
        <v>286.2</v>
      </c>
      <c r="H11" s="172">
        <v>0</v>
      </c>
      <c r="I11" s="172">
        <v>0</v>
      </c>
      <c r="J11" s="172">
        <v>1020.17</v>
      </c>
      <c r="K11" s="172" t="s">
        <v>462</v>
      </c>
      <c r="L11" s="172">
        <v>60.06</v>
      </c>
      <c r="M11" s="172">
        <v>1502463600</v>
      </c>
      <c r="N11" s="172">
        <v>2</v>
      </c>
      <c r="O11" s="172">
        <v>2.42</v>
      </c>
      <c r="P11" s="172">
        <v>326</v>
      </c>
      <c r="Q11" s="172">
        <v>4.09</v>
      </c>
      <c r="R11" s="172">
        <v>0.86</v>
      </c>
      <c r="S11"/>
    </row>
    <row r="12" spans="1:19" x14ac:dyDescent="0.25">
      <c r="A12" s="172">
        <v>63.67</v>
      </c>
      <c r="B12" s="172">
        <v>0.56999999999999995</v>
      </c>
      <c r="C12" s="172">
        <v>55.85</v>
      </c>
      <c r="D12" s="8">
        <v>42958.416666666664</v>
      </c>
      <c r="E12" s="172">
        <v>0.76</v>
      </c>
      <c r="F12" s="172" t="s">
        <v>464</v>
      </c>
      <c r="G12" s="172">
        <v>286.20999999999998</v>
      </c>
      <c r="H12" s="172">
        <v>0</v>
      </c>
      <c r="I12" s="172">
        <v>0</v>
      </c>
      <c r="J12" s="172">
        <v>1019.77</v>
      </c>
      <c r="K12" s="172" t="s">
        <v>461</v>
      </c>
      <c r="L12" s="172">
        <v>63.67</v>
      </c>
      <c r="M12" s="172">
        <v>1502467200</v>
      </c>
      <c r="N12" s="172">
        <v>3</v>
      </c>
      <c r="O12" s="172">
        <v>3</v>
      </c>
      <c r="P12" s="172">
        <v>334</v>
      </c>
      <c r="Q12" s="172">
        <v>5.14</v>
      </c>
      <c r="R12" s="172">
        <v>1.37</v>
      </c>
      <c r="S12"/>
    </row>
    <row r="13" spans="1:19" x14ac:dyDescent="0.25">
      <c r="A13" s="172">
        <v>67.55</v>
      </c>
      <c r="B13" s="172">
        <v>0.5</v>
      </c>
      <c r="C13" s="172">
        <v>56.15</v>
      </c>
      <c r="D13" s="8">
        <v>42958.458333333336</v>
      </c>
      <c r="E13" s="172">
        <v>0.67</v>
      </c>
      <c r="F13" s="172" t="s">
        <v>464</v>
      </c>
      <c r="G13" s="172">
        <v>285.98</v>
      </c>
      <c r="H13" s="172">
        <v>0</v>
      </c>
      <c r="I13" s="172">
        <v>0</v>
      </c>
      <c r="J13" s="172">
        <v>1019.24</v>
      </c>
      <c r="K13" s="172" t="s">
        <v>461</v>
      </c>
      <c r="L13" s="172">
        <v>67.55</v>
      </c>
      <c r="M13" s="172">
        <v>1502470800</v>
      </c>
      <c r="N13" s="172">
        <v>5</v>
      </c>
      <c r="O13" s="172">
        <v>3.2</v>
      </c>
      <c r="P13" s="172">
        <v>357</v>
      </c>
      <c r="Q13" s="172">
        <v>5.17</v>
      </c>
      <c r="R13" s="172">
        <v>1.07</v>
      </c>
      <c r="S13"/>
    </row>
    <row r="14" spans="1:19" x14ac:dyDescent="0.25">
      <c r="A14" s="172">
        <v>71.61</v>
      </c>
      <c r="B14" s="172">
        <v>0.15</v>
      </c>
      <c r="C14" s="172">
        <v>55.13</v>
      </c>
      <c r="D14" s="8">
        <v>42958.5</v>
      </c>
      <c r="E14" s="172">
        <v>0.56000000000000005</v>
      </c>
      <c r="F14" s="172" t="s">
        <v>490</v>
      </c>
      <c r="G14" s="172">
        <v>286.20999999999998</v>
      </c>
      <c r="H14" s="172">
        <v>0</v>
      </c>
      <c r="I14" s="172">
        <v>0</v>
      </c>
      <c r="J14" s="172">
        <v>1015.89</v>
      </c>
      <c r="K14" s="172" t="s">
        <v>491</v>
      </c>
      <c r="L14" s="172">
        <v>71.61</v>
      </c>
      <c r="M14" s="172">
        <v>1502474400</v>
      </c>
      <c r="N14" s="172">
        <v>9</v>
      </c>
      <c r="O14" s="172">
        <v>10</v>
      </c>
      <c r="P14" s="172">
        <v>66</v>
      </c>
      <c r="Q14" s="172">
        <v>4.3099999999999996</v>
      </c>
      <c r="R14" s="172">
        <v>4.24</v>
      </c>
      <c r="S14"/>
    </row>
    <row r="15" spans="1:19" x14ac:dyDescent="0.25">
      <c r="A15" s="172">
        <v>69.900000000000006</v>
      </c>
      <c r="B15" s="172">
        <v>0.08</v>
      </c>
      <c r="C15" s="172">
        <v>57.25</v>
      </c>
      <c r="D15" s="8">
        <v>42958.541666666664</v>
      </c>
      <c r="E15" s="172">
        <v>0.64</v>
      </c>
      <c r="F15" s="172" t="s">
        <v>490</v>
      </c>
      <c r="G15" s="172">
        <v>286.08999999999997</v>
      </c>
      <c r="H15" s="172">
        <v>0</v>
      </c>
      <c r="I15" s="172">
        <v>0</v>
      </c>
      <c r="J15" s="172">
        <v>1015.09</v>
      </c>
      <c r="K15" s="172" t="s">
        <v>491</v>
      </c>
      <c r="L15" s="172">
        <v>69.900000000000006</v>
      </c>
      <c r="M15" s="172">
        <v>1502478000</v>
      </c>
      <c r="N15" s="172">
        <v>11</v>
      </c>
      <c r="O15" s="172">
        <v>3.46</v>
      </c>
      <c r="P15" s="172">
        <v>38</v>
      </c>
      <c r="Q15" s="172">
        <v>5.04</v>
      </c>
      <c r="R15" s="172">
        <v>1.24</v>
      </c>
      <c r="S15"/>
    </row>
    <row r="16" spans="1:19" x14ac:dyDescent="0.25">
      <c r="A16" s="172">
        <v>75.83</v>
      </c>
      <c r="B16" s="172">
        <v>0.17</v>
      </c>
      <c r="C16" s="172">
        <v>57.1</v>
      </c>
      <c r="D16" s="8">
        <v>42958.583333333336</v>
      </c>
      <c r="E16" s="172">
        <v>0.52</v>
      </c>
      <c r="F16" s="172" t="s">
        <v>490</v>
      </c>
      <c r="G16" s="172">
        <v>285.74</v>
      </c>
      <c r="H16" s="172">
        <v>0</v>
      </c>
      <c r="I16" s="172">
        <v>0</v>
      </c>
      <c r="J16" s="172">
        <v>1015.99</v>
      </c>
      <c r="K16" s="172" t="s">
        <v>491</v>
      </c>
      <c r="L16" s="172">
        <v>75.83</v>
      </c>
      <c r="M16" s="172">
        <v>1502481600</v>
      </c>
      <c r="N16" s="172">
        <v>9</v>
      </c>
      <c r="O16" s="172">
        <v>3.02</v>
      </c>
      <c r="P16" s="172">
        <v>51</v>
      </c>
      <c r="Q16" s="172">
        <v>6</v>
      </c>
      <c r="R16" s="172">
        <v>0.94</v>
      </c>
      <c r="S16"/>
    </row>
    <row r="17" spans="1:19" x14ac:dyDescent="0.25">
      <c r="A17" s="172">
        <v>78.05</v>
      </c>
      <c r="B17" s="172">
        <v>0.12</v>
      </c>
      <c r="C17" s="172">
        <v>56.17</v>
      </c>
      <c r="D17" s="8">
        <v>42958.625</v>
      </c>
      <c r="E17" s="172">
        <v>0.47</v>
      </c>
      <c r="F17" s="172" t="s">
        <v>490</v>
      </c>
      <c r="G17" s="172">
        <v>285.5</v>
      </c>
      <c r="H17" s="172">
        <v>0</v>
      </c>
      <c r="I17" s="172">
        <v>0</v>
      </c>
      <c r="J17" s="172">
        <v>1014.84</v>
      </c>
      <c r="K17" s="172" t="s">
        <v>491</v>
      </c>
      <c r="L17" s="172">
        <v>78.05</v>
      </c>
      <c r="M17" s="172">
        <v>1502485200</v>
      </c>
      <c r="N17" s="172">
        <v>7</v>
      </c>
      <c r="O17" s="172">
        <v>3.38</v>
      </c>
      <c r="P17" s="172">
        <v>69</v>
      </c>
      <c r="Q17" s="172">
        <v>5.73</v>
      </c>
      <c r="R17" s="172">
        <v>1.27</v>
      </c>
      <c r="S17"/>
    </row>
    <row r="18" spans="1:19" x14ac:dyDescent="0.25">
      <c r="A18" s="172">
        <v>78.87</v>
      </c>
      <c r="B18" s="172">
        <v>0.3</v>
      </c>
      <c r="C18" s="172">
        <v>56.08</v>
      </c>
      <c r="D18" s="8">
        <v>42958.666666666664</v>
      </c>
      <c r="E18" s="172">
        <v>0.46</v>
      </c>
      <c r="F18" s="172" t="s">
        <v>464</v>
      </c>
      <c r="G18" s="172">
        <v>285.49</v>
      </c>
      <c r="H18" s="172">
        <v>0</v>
      </c>
      <c r="I18" s="172">
        <v>0</v>
      </c>
      <c r="J18" s="172">
        <v>1014.62</v>
      </c>
      <c r="K18" s="172" t="s">
        <v>461</v>
      </c>
      <c r="L18" s="172">
        <v>78.87</v>
      </c>
      <c r="M18" s="172">
        <v>1502488800</v>
      </c>
      <c r="N18" s="172">
        <v>4</v>
      </c>
      <c r="O18" s="172">
        <v>3.07</v>
      </c>
      <c r="P18" s="172">
        <v>22</v>
      </c>
      <c r="Q18" s="172">
        <v>7.54</v>
      </c>
      <c r="R18" s="172">
        <v>1.33</v>
      </c>
      <c r="S18"/>
    </row>
    <row r="19" spans="1:19" x14ac:dyDescent="0.25">
      <c r="A19" s="172">
        <v>78.22</v>
      </c>
      <c r="B19" s="172">
        <v>0.27</v>
      </c>
      <c r="C19" s="172">
        <v>56.31</v>
      </c>
      <c r="D19" s="8">
        <v>42958.708333333336</v>
      </c>
      <c r="E19" s="172">
        <v>0.47</v>
      </c>
      <c r="F19" s="172" t="s">
        <v>464</v>
      </c>
      <c r="G19" s="172">
        <v>285.60000000000002</v>
      </c>
      <c r="H19" s="172">
        <v>0</v>
      </c>
      <c r="I19" s="172">
        <v>0</v>
      </c>
      <c r="J19" s="172">
        <v>1014.42</v>
      </c>
      <c r="K19" s="172" t="s">
        <v>461</v>
      </c>
      <c r="L19" s="172">
        <v>78.22</v>
      </c>
      <c r="M19" s="172">
        <v>1502492400</v>
      </c>
      <c r="N19" s="172">
        <v>2</v>
      </c>
      <c r="O19" s="172">
        <v>3.2</v>
      </c>
      <c r="P19" s="172">
        <v>313</v>
      </c>
      <c r="Q19" s="172">
        <v>8.5299999999999994</v>
      </c>
      <c r="R19" s="172">
        <v>0.86</v>
      </c>
      <c r="S19"/>
    </row>
    <row r="20" spans="1:19" x14ac:dyDescent="0.25">
      <c r="A20" s="172">
        <v>76.27</v>
      </c>
      <c r="B20" s="172">
        <v>0.18</v>
      </c>
      <c r="C20" s="172">
        <v>55.51</v>
      </c>
      <c r="D20" s="8">
        <v>42958.75</v>
      </c>
      <c r="E20" s="172">
        <v>0.49</v>
      </c>
      <c r="F20" s="172" t="s">
        <v>490</v>
      </c>
      <c r="G20" s="172">
        <v>286.39999999999998</v>
      </c>
      <c r="H20" s="172">
        <v>0</v>
      </c>
      <c r="I20" s="172">
        <v>0</v>
      </c>
      <c r="J20" s="172">
        <v>1012.14</v>
      </c>
      <c r="K20" s="172" t="s">
        <v>491</v>
      </c>
      <c r="L20" s="172">
        <v>76.27</v>
      </c>
      <c r="M20" s="172">
        <v>1502496000</v>
      </c>
      <c r="N20" s="172">
        <v>1</v>
      </c>
      <c r="O20" s="172">
        <v>3</v>
      </c>
      <c r="P20" s="172">
        <v>229</v>
      </c>
      <c r="Q20" s="172">
        <v>7.95</v>
      </c>
      <c r="R20" s="172">
        <v>0.86</v>
      </c>
      <c r="S20"/>
    </row>
    <row r="21" spans="1:19" x14ac:dyDescent="0.25">
      <c r="A21" s="172">
        <v>75.08</v>
      </c>
      <c r="B21" s="172">
        <v>0.05</v>
      </c>
      <c r="C21" s="172">
        <v>54.5</v>
      </c>
      <c r="D21" s="8">
        <v>42958.791666666664</v>
      </c>
      <c r="E21" s="172">
        <v>0.49</v>
      </c>
      <c r="F21" s="172" t="s">
        <v>490</v>
      </c>
      <c r="G21" s="172">
        <v>286.29000000000002</v>
      </c>
      <c r="H21" s="172">
        <v>0</v>
      </c>
      <c r="I21" s="172">
        <v>0</v>
      </c>
      <c r="J21" s="172">
        <v>1014.47</v>
      </c>
      <c r="K21" s="172" t="s">
        <v>491</v>
      </c>
      <c r="L21" s="172">
        <v>75.08</v>
      </c>
      <c r="M21" s="172">
        <v>1502499600</v>
      </c>
      <c r="N21" s="172">
        <v>1</v>
      </c>
      <c r="O21" s="172">
        <v>3.83</v>
      </c>
      <c r="P21" s="172">
        <v>214</v>
      </c>
      <c r="Q21" s="172">
        <v>6.33</v>
      </c>
      <c r="R21" s="172">
        <v>1.59</v>
      </c>
      <c r="S21"/>
    </row>
    <row r="22" spans="1:19" x14ac:dyDescent="0.25">
      <c r="A22" s="172">
        <v>72.27</v>
      </c>
      <c r="B22" s="172">
        <v>0.08</v>
      </c>
      <c r="C22" s="172">
        <v>55.18</v>
      </c>
      <c r="D22" s="8">
        <v>42958.833333333336</v>
      </c>
      <c r="E22" s="172">
        <v>0.55000000000000004</v>
      </c>
      <c r="F22" s="172" t="s">
        <v>492</v>
      </c>
      <c r="G22" s="172">
        <v>286.05</v>
      </c>
      <c r="H22" s="172">
        <v>0</v>
      </c>
      <c r="I22" s="172">
        <v>0</v>
      </c>
      <c r="J22" s="172">
        <v>1014.02</v>
      </c>
      <c r="K22" s="172" t="s">
        <v>491</v>
      </c>
      <c r="L22" s="172">
        <v>72.27</v>
      </c>
      <c r="M22" s="172">
        <v>1502503200</v>
      </c>
      <c r="N22" s="172">
        <v>0</v>
      </c>
      <c r="O22" s="172">
        <v>3.69</v>
      </c>
      <c r="P22" s="172">
        <v>196</v>
      </c>
      <c r="Q22" s="172">
        <v>4.4000000000000004</v>
      </c>
      <c r="R22" s="172">
        <v>1.27</v>
      </c>
      <c r="S22"/>
    </row>
    <row r="23" spans="1:19" x14ac:dyDescent="0.25">
      <c r="A23" s="172">
        <v>69.010000000000005</v>
      </c>
      <c r="B23" s="172">
        <v>0.08</v>
      </c>
      <c r="C23" s="172">
        <v>56.1</v>
      </c>
      <c r="D23" s="8">
        <v>42958.875</v>
      </c>
      <c r="E23" s="172">
        <v>0.64</v>
      </c>
      <c r="F23" s="172" t="s">
        <v>492</v>
      </c>
      <c r="G23" s="172">
        <v>285.94</v>
      </c>
      <c r="H23" s="172">
        <v>0</v>
      </c>
      <c r="I23" s="172">
        <v>0</v>
      </c>
      <c r="J23" s="172">
        <v>1014.65</v>
      </c>
      <c r="K23" s="172" t="s">
        <v>491</v>
      </c>
      <c r="L23" s="172">
        <v>69.010000000000005</v>
      </c>
      <c r="M23" s="172">
        <v>1502506800</v>
      </c>
      <c r="N23" s="172">
        <v>0</v>
      </c>
      <c r="O23" s="172">
        <v>3.83</v>
      </c>
      <c r="P23" s="172">
        <v>165</v>
      </c>
      <c r="Q23" s="172">
        <v>3.99</v>
      </c>
      <c r="R23" s="172">
        <v>0.89</v>
      </c>
      <c r="S23"/>
    </row>
    <row r="24" spans="1:19" x14ac:dyDescent="0.25">
      <c r="A24" s="172">
        <v>66.819999999999993</v>
      </c>
      <c r="B24" s="172">
        <v>0.12</v>
      </c>
      <c r="C24" s="172">
        <v>56.05</v>
      </c>
      <c r="D24" s="8">
        <v>42958.916666666664</v>
      </c>
      <c r="E24" s="172">
        <v>0.68</v>
      </c>
      <c r="F24" s="172" t="s">
        <v>492</v>
      </c>
      <c r="G24" s="172">
        <v>286.05</v>
      </c>
      <c r="H24" s="172">
        <v>0</v>
      </c>
      <c r="I24" s="172">
        <v>0</v>
      </c>
      <c r="J24" s="172">
        <v>1014.98</v>
      </c>
      <c r="K24" s="172" t="s">
        <v>491</v>
      </c>
      <c r="L24" s="172">
        <v>66.819999999999993</v>
      </c>
      <c r="M24" s="172">
        <v>1502510400</v>
      </c>
      <c r="N24" s="172">
        <v>0</v>
      </c>
      <c r="O24" s="172">
        <v>3.69</v>
      </c>
      <c r="P24" s="172">
        <v>36</v>
      </c>
      <c r="Q24" s="172">
        <v>5.18</v>
      </c>
      <c r="R24" s="172">
        <v>0.87</v>
      </c>
      <c r="S24"/>
    </row>
    <row r="25" spans="1:19" x14ac:dyDescent="0.25">
      <c r="A25" s="172">
        <v>65.069999999999993</v>
      </c>
      <c r="B25" s="172">
        <v>0.37</v>
      </c>
      <c r="C25" s="172">
        <v>55.94</v>
      </c>
      <c r="D25" s="8">
        <v>42958.958333333336</v>
      </c>
      <c r="E25" s="172">
        <v>0.72</v>
      </c>
      <c r="F25" s="172" t="s">
        <v>460</v>
      </c>
      <c r="G25" s="172">
        <v>286.18</v>
      </c>
      <c r="H25" s="172">
        <v>0</v>
      </c>
      <c r="I25" s="172">
        <v>0</v>
      </c>
      <c r="J25" s="172">
        <v>1014.69</v>
      </c>
      <c r="K25" s="172" t="s">
        <v>461</v>
      </c>
      <c r="L25" s="172">
        <v>65.069999999999993</v>
      </c>
      <c r="M25" s="172">
        <v>1502514000</v>
      </c>
      <c r="N25" s="172">
        <v>0</v>
      </c>
      <c r="O25" s="172">
        <v>3.83</v>
      </c>
      <c r="P25" s="172">
        <v>329</v>
      </c>
      <c r="Q25" s="172">
        <v>5.5</v>
      </c>
      <c r="R25" s="172">
        <v>1.52</v>
      </c>
      <c r="S25"/>
    </row>
    <row r="26" spans="1:19" x14ac:dyDescent="0.25">
      <c r="A26" s="172">
        <v>62.83</v>
      </c>
      <c r="B26" s="172">
        <v>7.0000000000000007E-2</v>
      </c>
      <c r="C26" s="172">
        <v>55.41</v>
      </c>
      <c r="D26" s="8">
        <v>42959</v>
      </c>
      <c r="E26" s="172">
        <v>0.77</v>
      </c>
      <c r="F26" s="172" t="s">
        <v>492</v>
      </c>
      <c r="G26" s="172">
        <v>286.86</v>
      </c>
      <c r="H26" s="172">
        <v>0</v>
      </c>
      <c r="I26" s="172">
        <v>0</v>
      </c>
      <c r="J26" s="172">
        <v>1014.99</v>
      </c>
      <c r="K26" s="172" t="s">
        <v>491</v>
      </c>
      <c r="L26" s="172">
        <v>62.83</v>
      </c>
      <c r="M26" s="172">
        <v>1502517600</v>
      </c>
      <c r="N26" s="172">
        <v>0</v>
      </c>
      <c r="O26" s="172">
        <v>3.83</v>
      </c>
      <c r="P26" s="172">
        <v>305</v>
      </c>
      <c r="Q26" s="172">
        <v>6.24</v>
      </c>
      <c r="R26" s="172">
        <v>2.68</v>
      </c>
      <c r="S26"/>
    </row>
    <row r="27" spans="1:19" x14ac:dyDescent="0.25">
      <c r="A27" s="172">
        <v>61.44</v>
      </c>
      <c r="B27" s="172">
        <v>0.03</v>
      </c>
      <c r="C27" s="172">
        <v>54.97</v>
      </c>
      <c r="D27" s="8">
        <v>42959.041666666664</v>
      </c>
      <c r="E27" s="172">
        <v>0.79</v>
      </c>
      <c r="F27" s="172" t="s">
        <v>492</v>
      </c>
      <c r="G27" s="172">
        <v>286.87</v>
      </c>
      <c r="H27" s="172">
        <v>0</v>
      </c>
      <c r="I27" s="172">
        <v>0</v>
      </c>
      <c r="J27" s="172">
        <v>1015.34</v>
      </c>
      <c r="K27" s="172" t="s">
        <v>491</v>
      </c>
      <c r="L27" s="172">
        <v>61.44</v>
      </c>
      <c r="M27" s="172">
        <v>1502521200</v>
      </c>
      <c r="N27" s="172">
        <v>0</v>
      </c>
      <c r="O27" s="172">
        <v>3.69</v>
      </c>
      <c r="P27" s="172">
        <v>308</v>
      </c>
      <c r="Q27" s="172">
        <v>4.05</v>
      </c>
      <c r="R27" s="172">
        <v>1.77</v>
      </c>
      <c r="S27"/>
    </row>
    <row r="28" spans="1:19" x14ac:dyDescent="0.25">
      <c r="A28" s="172">
        <v>60.33</v>
      </c>
      <c r="B28" s="172">
        <v>0.03</v>
      </c>
      <c r="C28" s="172">
        <v>54.91</v>
      </c>
      <c r="D28" s="8">
        <v>42959.083333333336</v>
      </c>
      <c r="E28" s="172">
        <v>0.82</v>
      </c>
      <c r="F28" s="172" t="s">
        <v>492</v>
      </c>
      <c r="G28" s="172">
        <v>286.87</v>
      </c>
      <c r="H28" s="172">
        <v>0</v>
      </c>
      <c r="I28" s="172">
        <v>0</v>
      </c>
      <c r="J28" s="172">
        <v>1014.73</v>
      </c>
      <c r="K28" s="172" t="s">
        <v>491</v>
      </c>
      <c r="L28" s="172">
        <v>60.33</v>
      </c>
      <c r="M28" s="172">
        <v>1502524800</v>
      </c>
      <c r="N28" s="172">
        <v>0</v>
      </c>
      <c r="O28" s="172">
        <v>3.69</v>
      </c>
      <c r="P28" s="172">
        <v>294</v>
      </c>
      <c r="Q28" s="172">
        <v>3.21</v>
      </c>
      <c r="R28" s="172">
        <v>1.04</v>
      </c>
      <c r="S28"/>
    </row>
    <row r="29" spans="1:19" x14ac:dyDescent="0.25">
      <c r="A29" s="172">
        <v>59.16</v>
      </c>
      <c r="B29" s="172">
        <v>0.14000000000000001</v>
      </c>
      <c r="C29" s="172">
        <v>54.62</v>
      </c>
      <c r="D29" s="8">
        <v>42959.125</v>
      </c>
      <c r="E29" s="172">
        <v>0.85</v>
      </c>
      <c r="F29" s="172" t="s">
        <v>492</v>
      </c>
      <c r="G29" s="172">
        <v>286.89</v>
      </c>
      <c r="H29" s="172">
        <v>0</v>
      </c>
      <c r="I29" s="172">
        <v>0</v>
      </c>
      <c r="J29" s="172">
        <v>1014.52</v>
      </c>
      <c r="K29" s="172" t="s">
        <v>491</v>
      </c>
      <c r="L29" s="172">
        <v>59.16</v>
      </c>
      <c r="M29" s="172">
        <v>1502528400</v>
      </c>
      <c r="N29" s="172">
        <v>0</v>
      </c>
      <c r="O29" s="172">
        <v>3.39</v>
      </c>
      <c r="P29" s="172">
        <v>301</v>
      </c>
      <c r="Q29" s="172">
        <v>2.69</v>
      </c>
      <c r="R29" s="172">
        <v>1.1200000000000001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9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42958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395</v>
      </c>
      <c r="AE2" s="56" t="s">
        <v>398</v>
      </c>
      <c r="AF2" s="56" t="s">
        <v>399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396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397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383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400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1078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1079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1080</v>
      </c>
      <c r="J20" s="140" t="s">
        <v>87</v>
      </c>
      <c r="M20" s="154" t="s">
        <v>351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1081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1082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1083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1084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1085</v>
      </c>
      <c r="J25" s="140" t="s">
        <v>146</v>
      </c>
      <c r="M25" s="154" t="b">
        <v>1</v>
      </c>
    </row>
    <row r="26" spans="3:24" x14ac:dyDescent="0.25">
      <c r="C26" t="s">
        <v>1086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C:\Users\stu\Documents\GitHub\eaglep3-reporting\EC\2017-08-11-refined-times.txt</v>
      </c>
    </row>
    <row r="27" spans="3:24" x14ac:dyDescent="0.25">
      <c r="C27" t="s">
        <v>1087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C:\Users\stu\Documents\GitHub\eaglep3-reporting\EC\2017-08-11-Enforcements.txt</v>
      </c>
    </row>
    <row r="28" spans="3:24" x14ac:dyDescent="0.25">
      <c r="C28" t="s">
        <v>1088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C:\Users\stu\Documents\GitHub\eaglep3-reporting\EC\2017-08-11-Runs-refined.txt</v>
      </c>
    </row>
    <row r="29" spans="3:24" x14ac:dyDescent="0.25">
      <c r="C29" t="s">
        <v>1089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C:\Users\stu\Documents\GitHub\eaglep3-reporting\EC\2017-08-11-Trips.txt</v>
      </c>
    </row>
    <row r="30" spans="3:24" x14ac:dyDescent="0.25">
      <c r="C30" t="s">
        <v>1090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C:\Users\stu\Documents\GitHub\eaglep3-reporting\EC\2017-08-11-Weather.txt</v>
      </c>
    </row>
    <row r="31" spans="3:24" x14ac:dyDescent="0.25">
      <c r="C31" t="s">
        <v>1091</v>
      </c>
      <c r="J31" s="140" t="s">
        <v>194</v>
      </c>
      <c r="M31" s="154" t="s">
        <v>195</v>
      </c>
    </row>
    <row r="32" spans="3:24" x14ac:dyDescent="0.25">
      <c r="C32" t="s">
        <v>1092</v>
      </c>
    </row>
    <row r="33" spans="3:3" x14ac:dyDescent="0.25">
      <c r="C33" t="s">
        <v>1093</v>
      </c>
    </row>
    <row r="34" spans="3:3" x14ac:dyDescent="0.25">
      <c r="C34" t="s">
        <v>1094</v>
      </c>
    </row>
    <row r="35" spans="3:3" x14ac:dyDescent="0.25">
      <c r="C35" t="s">
        <v>1095</v>
      </c>
    </row>
    <row r="36" spans="3:3" x14ac:dyDescent="0.25">
      <c r="C36" t="s">
        <v>1096</v>
      </c>
    </row>
    <row r="37" spans="3:3" x14ac:dyDescent="0.25">
      <c r="C37" t="s">
        <v>1097</v>
      </c>
    </row>
    <row r="38" spans="3:3" x14ac:dyDescent="0.25">
      <c r="C38" t="s">
        <v>1098</v>
      </c>
    </row>
    <row r="39" spans="3:3" x14ac:dyDescent="0.25">
      <c r="C39" t="s">
        <v>1099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2017-08-14T20:48:16Z</dcterms:modified>
</cp:coreProperties>
</file>